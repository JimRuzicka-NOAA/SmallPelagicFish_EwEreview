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32C4390D-6254-0642-BCA9-5585E339E3D7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Main!$C$2:$N$40</definedName>
    <definedName name="matDetritus">Detritus!$C$2:$E$40</definedName>
    <definedName name="matDiet">Diets!$B$2:$AI$38</definedName>
    <definedName name="matDiscards">Discards!$C$2:$E$37</definedName>
    <definedName name="matFishery">Fishing!$C$2:$E$37</definedName>
    <definedName name="matFishing">Fishing!#REF!</definedName>
    <definedName name="matMort">Mortalities!$A$1:$AP$37</definedName>
    <definedName name="matOut">MainOutputs!$A$2:$I$40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<sst xmlns="http://schemas.openxmlformats.org/spreadsheetml/2006/main" count="1093" uniqueCount="241">
  <si>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</si>
  <si>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</si>
  <si>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</si>
  <si>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</si>
  <si>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</si>
  <si>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</si>
  <si>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</si>
  <si>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</si>
  <si>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</si>
  <si>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</si>
  <si>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</si>
  <si>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</si>
  <si>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</si>
  <si>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</si>
  <si>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</si>
  <si>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</si>
  <si>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</si>
  <si>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</si>
  <si>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</si>
  <si>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</si>
  <si>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</si>
  <si>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</si>
  <si>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</si>
  <si>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</si>
  <si>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</si>
  <si>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</si>
  <si>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</si>
  <si>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</si>
  <si>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</si>
  <si>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</si>
  <si>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</si>
  <si>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</si>
  <si>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</si>
  <si>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</si>
  <si>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</si>
  <si>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</si>
  <si>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</si>
  <si>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</si>
  <si>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</si>
  <si>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</si>
  <si>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</si>
  <si>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</si>
  <si>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</si>
  <si>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</si>
  <si>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</si>
  <si>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</si>
  <si>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</si>
  <si>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</si>
  <si>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</si>
  <si>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</si>
  <si>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</si>
  <si>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</si>
  <si>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</si>
  <si>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</si>
  <si>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</si>
  <si>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</si>
  <si>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</si>
  <si>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</si>
  <si>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</si>
  <si>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</si>
  <si>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</si>
  <si>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</si>
  <si>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</si>
  <si>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</si>
  <si>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</si>
  <si>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</si>
  <si>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</si>
  <si>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</si>
  <si>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</si>
  <si>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</si>
  <si>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</si>
  <si>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</si>
  <si>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</si>
  <si>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</si>
  <si>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</si>
  <si>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</si>
  <si>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</si>
  <si>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</si>
  <si>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</si>
  <si>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</si>
  <si>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</si>
  <si>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</si>
  <si>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</si>
  <si>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</si>
  <si>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</si>
  <si>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</si>
  <si>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</si>
  <si>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</si>
  <si>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</si>
  <si>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</si>
  <si>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</si>
  <si>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</si>
  <si>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</si>
  <si>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</si>
  <si>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</si>
  <si>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</si>
  <si>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</si>
  <si>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</si>
  <si>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</si>
  <si>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</si>
  <si>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</si>
  <si>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</si>
  <si>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</si>
  <si>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</si>
  <si>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</si>
  <si>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</si>
  <si>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</si>
  <si>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</si>
  <si>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</si>
  <si>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</si>
  <si>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</si>
  <si>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</si>
  <si>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</si>
  <si>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</si>
  <si>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</si>
  <si>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</si>
  <si>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</si>
  <si>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</si>
  <si>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</si>
  <si>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</si>
  <si>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</si>
  <si>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</si>
  <si>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</si>
  <si>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</si>
  <si>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</si>
  <si>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</si>
  <si>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</si>
  <si>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</si>
  <si>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</si>
  <si>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</si>
  <si>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</si>
  <si>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</si>
  <si>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</si>
  <si>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</si>
  <si>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</si>
  <si>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</si>
  <si>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</si>
  <si>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</si>
  <si>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</si>
  <si>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</si>
  <si>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</si>
  <si>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</si>
  <si>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</si>
  <si>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</si>
  <si>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</si>
  <si>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</si>
  <si>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</si>
  <si>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</si>
  <si>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</si>
  <si>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</si>
  <si>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</si>
  <si>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</si>
  <si>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</si>
  <si>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</si>
  <si>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</si>
  <si>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</si>
  <si>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</si>
  <si>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</si>
  <si>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</si>
  <si>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</si>
  <si>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</si>
  <si>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</si>
  <si>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</si>
  <si>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</si>
  <si>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</si>
  <si>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</si>
  <si>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</si>
  <si>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</si>
  <si>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</si>
  <si>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</si>
  <si>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</si>
  <si>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</si>
  <si>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</si>
  <si>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</si>
  <si>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</si>
  <si>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</si>
  <si>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</si>
  <si>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</si>
  <si>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</si>
  <si>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</si>
  <si>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</si>
  <si>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</si>
  <si>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</si>
  <si>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</si>
  <si>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</si>
  <si>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Western Antarctic Peninsula</t>
  </si>
  <si>
    <t>Antarctica</t>
  </si>
  <si>
    <t>BOX(-70.0264016496481 -69.9911189624469,-49.9990724985394 -59.9774543868925)</t>
  </si>
  <si>
    <t>Continental shelf</t>
  </si>
  <si>
    <t>WetWeight</t>
  </si>
  <si>
    <t xml:space="preserve">Base model from Hoover at al 2012 combined with  Ballerini et al  (2014) and Cornejo- Donoso and Antezana 2008 
            Functional  groups reflect  a meshing of all three models
            Biomasses updated to better reflect late 1990s
            P/Q ratios calculated following Ballerini et  al method
            P/B values updated from the  literature
            Diet matrices updated formt the literature and  modified to make the model balance
        </t>
  </si>
  <si>
    <t>Dahood, A., de Mutsert, K., and Watters, G.M. (2020). Evaluating Antarctic marine protected area sce</t>
  </si>
  <si>
    <t>https://doi.org/10.1016/j.biocon.2020.108766</t>
  </si>
  <si>
    <t>Killer whales</t>
  </si>
  <si>
    <t>Leopard Seal</t>
  </si>
  <si>
    <t>Weddell Seal</t>
  </si>
  <si>
    <t>Crabeater Seal</t>
  </si>
  <si>
    <t>Antarctic fur seals</t>
  </si>
  <si>
    <t>S Elephant Seals</t>
  </si>
  <si>
    <t>Sperm Whales</t>
  </si>
  <si>
    <t>Blue Whales</t>
  </si>
  <si>
    <t>Fin Whales</t>
  </si>
  <si>
    <t>Minke Whales</t>
  </si>
  <si>
    <t>Humpback whales</t>
  </si>
  <si>
    <t>Emperor Penguins</t>
  </si>
  <si>
    <t>Gentoo Penguins</t>
  </si>
  <si>
    <t>Chinstrap Penguins</t>
  </si>
  <si>
    <t>Adelie Penguins</t>
  </si>
  <si>
    <t>Macaroni Penguins</t>
  </si>
  <si>
    <t>Flying Birds</t>
  </si>
  <si>
    <t>Cephalopods</t>
  </si>
  <si>
    <t>Myctophids</t>
  </si>
  <si>
    <t>On-shelf fish</t>
  </si>
  <si>
    <t>N. rossii</t>
  </si>
  <si>
    <t>C gunnari</t>
  </si>
  <si>
    <t>G gibberifrons</t>
  </si>
  <si>
    <t>Salps</t>
  </si>
  <si>
    <t>Benthic invertbrates</t>
  </si>
  <si>
    <t>Krill Large</t>
  </si>
  <si>
    <t>Krill Small</t>
  </si>
  <si>
    <t>Other Euphausiids</t>
  </si>
  <si>
    <t>Micro-Zool</t>
  </si>
  <si>
    <t>Meso zooplankton</t>
  </si>
  <si>
    <t>Macro-zoopl</t>
  </si>
  <si>
    <t>Small phytoplankton</t>
  </si>
  <si>
    <t>Large phytoplankton</t>
  </si>
  <si>
    <t>Ice Algae</t>
  </si>
  <si>
    <t>Detritus</t>
  </si>
  <si>
    <t>detritus_TerminalBenthic</t>
  </si>
  <si>
    <t>N. rossii Fleet</t>
  </si>
  <si>
    <t>C. gunnari Fleet</t>
  </si>
  <si>
    <t>Krill</t>
  </si>
  <si>
    <t>Import</t>
  </si>
  <si>
    <t>export</t>
  </si>
  <si>
    <t>sum</t>
  </si>
  <si>
    <t>TOTAL</t>
  </si>
  <si>
    <t>F N. rossii Fleet</t>
  </si>
  <si>
    <t>F C. gunnari Fleet</t>
  </si>
  <si>
    <t>F Krill</t>
  </si>
  <si>
    <t>&lt;&lt;--ba was 0.029</t>
  </si>
  <si>
    <t>&lt;&lt;--ba was 0.039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</si>
</sst>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11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FF8E00"/>
        <bgColor indexed="64"/>
      </patternFill>
    </fill>
    <fill>
      <patternFill patternType="solid">
        <fgColor rgb="FFFD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63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647B3"/>
        <bgColor indexed="64"/>
      </patternFill>
    </fill>
    <fill>
      <patternFill patternType="solid">
        <fgColor rgb="FF67CFBD"/>
        <bgColor indexed="64"/>
      </patternFill>
    </fill>
    <fill>
      <patternFill patternType="solid">
        <fgColor rgb="FF701469"/>
        <bgColor indexed="64"/>
      </patternFill>
    </fill>
    <fill>
      <patternFill patternType="solid">
        <fgColor rgb="FF57B550"/>
        <bgColor indexed="64"/>
      </patternFill>
    </fill>
    <fill>
      <patternFill patternType="solid">
        <fgColor rgb="FFCC2797"/>
        <bgColor indexed="64"/>
      </patternFill>
    </fill>
    <fill>
      <patternFill patternType="solid">
        <fgColor rgb="FFF43EF0"/>
        <bgColor indexed="64"/>
      </patternFill>
    </fill>
    <fill>
      <patternFill patternType="solid">
        <fgColor rgb="FF1DFBA1"/>
        <bgColor indexed="64"/>
      </patternFill>
    </fill>
    <fill>
      <patternFill patternType="solid">
        <fgColor rgb="FF99E693"/>
        <bgColor indexed="64"/>
      </patternFill>
    </fill>
    <fill>
      <patternFill patternType="solid">
        <fgColor rgb="FF3FDB13"/>
        <bgColor indexed="64"/>
      </patternFill>
    </fill>
    <fill>
      <patternFill patternType="solid">
        <fgColor rgb="FF70C23F"/>
        <bgColor indexed="64"/>
      </patternFill>
    </fill>
    <fill>
      <patternFill patternType="solid">
        <fgColor rgb="FF616586"/>
        <bgColor indexed="64"/>
      </patternFill>
    </fill>
    <fill>
      <patternFill patternType="solid">
        <fgColor rgb="FF459435"/>
        <bgColor indexed="64"/>
      </patternFill>
    </fill>
    <fill>
      <patternFill patternType="solid">
        <fgColor rgb="FF14E41C"/>
        <bgColor indexed="64"/>
      </patternFill>
    </fill>
    <fill>
      <patternFill patternType="solid">
        <fgColor rgb="FFA6E63B"/>
        <bgColor indexed="64"/>
      </patternFill>
    </fill>
    <fill>
      <patternFill patternType="solid">
        <fgColor rgb="FFF2D871"/>
        <bgColor indexed="64"/>
      </patternFill>
    </fill>
    <fill>
      <patternFill patternType="solid">
        <fgColor rgb="FF7DC4D5"/>
        <bgColor indexed="64"/>
      </patternFill>
    </fill>
    <fill>
      <patternFill patternType="solid">
        <fgColor rgb="FF623253"/>
        <bgColor indexed="64"/>
      </patternFill>
    </fill>
    <fill>
      <patternFill patternType="solid">
        <fgColor rgb="FF69279E"/>
        <bgColor indexed="64"/>
      </patternFill>
    </fill>
    <fill>
      <patternFill patternType="solid">
        <fgColor rgb="FF1934B1"/>
        <bgColor indexed="64"/>
      </patternFill>
    </fill>
    <fill>
      <patternFill patternType="solid">
        <fgColor rgb="FF812FFD"/>
        <bgColor indexed="64"/>
      </patternFill>
    </fill>
    <fill>
      <patternFill patternType="solid">
        <fgColor rgb="FF78016D"/>
        <bgColor indexed="64"/>
      </patternFill>
    </fill>
    <fill>
      <patternFill patternType="solid">
        <fgColor rgb="FF4AC0E3"/>
        <bgColor indexed="64"/>
      </patternFill>
    </fill>
    <fill>
      <patternFill patternType="solid">
        <fgColor rgb="FFD22D1C"/>
        <bgColor indexed="64"/>
      </patternFill>
    </fill>
    <fill>
      <patternFill patternType="solid">
        <fgColor rgb="FF032760"/>
        <bgColor indexed="64"/>
      </patternFill>
    </fill>
    <fill>
      <patternFill patternType="solid">
        <fgColor rgb="FF30FADE"/>
        <bgColor indexed="64"/>
      </patternFill>
    </fill>
    <fill>
      <patternFill patternType="solid">
        <fgColor rgb="FF94BA25"/>
        <bgColor indexed="64"/>
      </patternFill>
    </fill>
    <fill>
      <patternFill patternType="solid">
        <fgColor rgb="FF4207D3"/>
        <bgColor indexed="64"/>
      </patternFill>
    </fill>
    <fill>
      <patternFill patternType="solid">
        <fgColor rgb="FFC8CA55"/>
        <bgColor indexed="64"/>
      </patternFill>
    </fill>
    <fill>
      <patternFill patternType="solid">
        <fgColor rgb="FF738ECD"/>
        <bgColor indexed="64"/>
      </patternFill>
    </fill>
    <fill>
      <patternFill patternType="solid">
        <fgColor rgb="FF903435"/>
        <bgColor indexed="64"/>
      </patternFill>
    </fill>
    <fill>
      <patternFill patternType="solid">
        <fgColor rgb="FF5D9258"/>
        <bgColor indexed="64"/>
      </patternFill>
    </fill>
    <fill>
      <patternFill patternType="solid">
        <fgColor rgb="FF876C92"/>
        <bgColor indexed="64"/>
      </patternFill>
    </fill>
    <fill>
      <patternFill patternType="solid">
        <fgColor rgb="FF0D8C35"/>
        <bgColor indexed="64"/>
      </patternFill>
    </fill>
    <fill>
      <patternFill patternType="solid">
        <fgColor rgb="FFF5EEFD"/>
        <bgColor indexed="64"/>
      </patternFill>
    </fill>
    <fill>
      <patternFill patternType="solid">
        <fgColor rgb="FFD668CD"/>
        <bgColor indexed="64"/>
      </patternFill>
    </fill>
    <fill>
      <patternFill patternType="solid">
        <fgColor rgb="FFFC422C"/>
        <bgColor indexed="64"/>
      </patternFill>
    </fill>
    <fill>
      <patternFill patternType="solid">
        <fgColor rgb="FFB10456"/>
        <bgColor indexed="64"/>
      </patternFill>
    </fill>
    <fill>
      <patternFill patternType="solid">
        <fgColor rgb="FFB11C1C"/>
        <bgColor indexed="64"/>
      </patternFill>
    </fill>
    <fill>
      <patternFill patternType="solid">
        <fgColor rgb="FF4A668F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32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0" borderId="2" xfId="0" applyFont="1" applyFill="1" applyBorder="1" applyAlignment="1">
      <alignment horizontal="center"/>
    </xf>
    <xf numFmtId="0" fontId="1" fillId="20" borderId="4" xfId="0" applyFont="1" applyFill="1" applyBorder="1" applyAlignment="1">
      <alignment horizontal="center"/>
    </xf>
    <xf numFmtId="0" fontId="1" fillId="20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0" fillId="20" borderId="8" xfId="0" applyFill="1" applyBorder="1"/>
    <xf numFmtId="0" fontId="0" fillId="20" borderId="9" xfId="0" applyFill="1" applyBorder="1"/>
    <xf numFmtId="0" fontId="0" fillId="20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1" fillId="0" borderId="0" xfId="0" applyFont="1" applyAlignment="1">
      <alignment horizontal="center"/>
    </xf>
    <xf numFmtId="0" fontId="0" fillId="30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2" borderId="0" xfId="0" applyFill="1"/>
    <xf numFmtId="0" fontId="0" fillId="0" borderId="0" xfId="0" applyFont="1" applyFill="1" applyAlignment="1">
      <alignment horizontal="center"/>
    </xf>
    <xf numFmtId="0" fontId="0" fillId="3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1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1" borderId="3" xfId="0" applyNumberFormat="1" applyFont="1" applyFill="1" applyBorder="1"/>
    <xf numFmtId="0" fontId="0" fillId="31" borderId="2" xfId="0" applyFont="1" applyFill="1" applyBorder="1"/>
    <xf numFmtId="0" fontId="0" fillId="31" borderId="3" xfId="0" applyFont="1" applyFill="1" applyBorder="1"/>
    <xf numFmtId="0" fontId="0" fillId="31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4" borderId="0" xfId="0" applyFill="1"/>
    <xf numFmtId="0" fontId="0" fillId="35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0" borderId="2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0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6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7" borderId="0" xfId="0" applyFill="1"/>
    <xf numFmtId="0" fontId="0" fillId="3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8" fillId="71" borderId="0" xfId="0" applyFont="1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95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7" t="s">
        <v>164</v>
      </c>
    </row>
    <row r="6" spans="2:4" ht="14" thickBot="1" x14ac:dyDescent="0.2">
      <c r="B6" s="41" t="s">
        <v>141</v>
      </c>
    </row>
    <row r="7" spans="2:4" x14ac:dyDescent="0.15">
      <c r="B7" s="57" t="s">
        <v>143</v>
      </c>
    </row>
    <row r="8" spans="2:4" x14ac:dyDescent="0.15">
      <c r="B8" s="57" t="s">
        <v>142</v>
      </c>
    </row>
    <row r="9" spans="2:4" x14ac:dyDescent="0.15">
      <c r="B9" s="57" t="s">
        <v>144</v>
      </c>
    </row>
    <row r="10" spans="2:4" x14ac:dyDescent="0.15">
      <c r="B10" s="57" t="s">
        <v>147</v>
      </c>
    </row>
    <row r="11" spans="2:4" x14ac:dyDescent="0.15">
      <c r="B11" s="57" t="s">
        <v>151</v>
      </c>
    </row>
    <row r="12" spans="2:4" x14ac:dyDescent="0.15">
      <c r="B12" s="57" t="s">
        <v>153</v>
      </c>
    </row>
    <row r="13" spans="2:4" x14ac:dyDescent="0.15">
      <c r="B13" s="57" t="s">
        <v>165</v>
      </c>
    </row>
    <row r="15" spans="2:4" ht="14" thickBot="1" x14ac:dyDescent="0.2"/>
    <row r="16" spans="2:4" ht="14" thickBot="1" x14ac:dyDescent="0.2">
      <c r="B16" s="42" t="s">
        <v>137</v>
      </c>
      <c r="C16" s="43"/>
      <c r="D16" s="25">
        <v>41373</v>
      </c>
    </row>
    <row r="17" spans="2:4" x14ac:dyDescent="0.15">
      <c r="B17" s="44" t="s">
        <v>58</v>
      </c>
      <c r="C17" s="28">
        <v>0</v>
      </c>
    </row>
    <row r="18" spans="2:4" x14ac:dyDescent="0.15">
      <c r="B18" s="44" t="s">
        <v>59</v>
      </c>
      <c r="C18" s="28">
        <v>1</v>
      </c>
    </row>
    <row r="19" spans="2:4" x14ac:dyDescent="0.15">
      <c r="B19" s="44" t="s">
        <v>60</v>
      </c>
      <c r="C19" s="28">
        <v>2</v>
      </c>
    </row>
    <row r="20" spans="2:4" ht="14" thickBot="1" x14ac:dyDescent="0.2">
      <c r="B20" s="45" t="s">
        <v>44</v>
      </c>
      <c r="C20" s="29">
        <v>3</v>
      </c>
    </row>
    <row r="21" spans="2:4" x14ac:dyDescent="0.15">
      <c r="B21" s="46" t="s">
        <v>140</v>
      </c>
    </row>
    <row r="22" spans="2:4" ht="14" thickBot="1" x14ac:dyDescent="0.2"/>
    <row r="23" spans="2:4" ht="14" thickBot="1" x14ac:dyDescent="0.2">
      <c r="B23" s="42" t="s">
        <v>65</v>
      </c>
      <c r="C23" s="43"/>
      <c r="D23" s="25" t="s">
        <v>148</v>
      </c>
    </row>
    <row r="24" spans="2:4" x14ac:dyDescent="0.15">
      <c r="B24" s="48" t="s">
        <v>38</v>
      </c>
      <c r="C24" s="26">
        <v>1</v>
      </c>
    </row>
    <row r="25" spans="2:4" x14ac:dyDescent="0.15">
      <c r="B25" s="44" t="s">
        <v>40</v>
      </c>
      <c r="C25" s="28">
        <v>1.1000000000000001</v>
      </c>
    </row>
    <row r="26" spans="2:4" x14ac:dyDescent="0.15">
      <c r="B26" s="44" t="s">
        <v>41</v>
      </c>
      <c r="C26" s="28">
        <v>1.2</v>
      </c>
    </row>
    <row r="27" spans="2:4" x14ac:dyDescent="0.15">
      <c r="B27" s="44"/>
      <c r="C27" s="28"/>
    </row>
    <row r="28" spans="2:4" x14ac:dyDescent="0.15">
      <c r="B28" s="44" t="s">
        <v>42</v>
      </c>
      <c r="C28" s="28">
        <v>2.1</v>
      </c>
    </row>
    <row r="29" spans="2:4" x14ac:dyDescent="0.15">
      <c r="B29" s="44" t="s">
        <v>43</v>
      </c>
      <c r="C29" s="28">
        <v>2.2000000000000002</v>
      </c>
    </row>
    <row r="30" spans="2:4" x14ac:dyDescent="0.15">
      <c r="B30" s="44" t="s">
        <v>67</v>
      </c>
      <c r="C30" s="28">
        <v>2.2999999999999998</v>
      </c>
    </row>
    <row r="31" spans="2:4" x14ac:dyDescent="0.15">
      <c r="B31" s="44"/>
      <c r="C31" s="28"/>
    </row>
    <row r="32" spans="2:4" x14ac:dyDescent="0.15">
      <c r="B32" s="44" t="s">
        <v>62</v>
      </c>
      <c r="C32" s="28">
        <v>3.11</v>
      </c>
    </row>
    <row r="33" spans="2:3" x14ac:dyDescent="0.15">
      <c r="B33" s="44" t="s">
        <v>61</v>
      </c>
      <c r="C33" s="28">
        <v>3.12</v>
      </c>
    </row>
    <row r="34" spans="2:3" x14ac:dyDescent="0.15">
      <c r="B34" s="44" t="s">
        <v>68</v>
      </c>
      <c r="C34" s="28">
        <v>3.13</v>
      </c>
    </row>
    <row r="35" spans="2:3" x14ac:dyDescent="0.15">
      <c r="B35" s="44"/>
      <c r="C35" s="28"/>
    </row>
    <row r="36" spans="2:3" x14ac:dyDescent="0.15">
      <c r="B36" s="44" t="s">
        <v>66</v>
      </c>
      <c r="C36" s="28">
        <v>3.21</v>
      </c>
    </row>
    <row r="37" spans="2:3" x14ac:dyDescent="0.15">
      <c r="B37" s="44" t="s">
        <v>63</v>
      </c>
      <c r="C37" s="28">
        <v>3.22</v>
      </c>
    </row>
    <row r="38" spans="2:3" x14ac:dyDescent="0.15">
      <c r="B38" s="44" t="s">
        <v>69</v>
      </c>
      <c r="C38" s="28">
        <v>3.23</v>
      </c>
    </row>
    <row r="39" spans="2:3" x14ac:dyDescent="0.15">
      <c r="B39" s="44"/>
      <c r="C39" s="28"/>
    </row>
    <row r="40" spans="2:3" x14ac:dyDescent="0.15">
      <c r="B40" s="44" t="s">
        <v>64</v>
      </c>
      <c r="C40" s="28">
        <v>8</v>
      </c>
    </row>
    <row r="41" spans="2:3" x14ac:dyDescent="0.15">
      <c r="B41" s="44"/>
      <c r="C41" s="28"/>
    </row>
    <row r="42" spans="2:3" x14ac:dyDescent="0.15">
      <c r="B42" s="44" t="s">
        <v>71</v>
      </c>
      <c r="C42" s="28">
        <v>4.0999999999999996</v>
      </c>
    </row>
    <row r="43" spans="2:3" x14ac:dyDescent="0.15">
      <c r="B43" s="44" t="s">
        <v>70</v>
      </c>
      <c r="C43" s="28">
        <v>4.2</v>
      </c>
    </row>
    <row r="44" spans="2:3" x14ac:dyDescent="0.15">
      <c r="B44" s="44" t="s">
        <v>72</v>
      </c>
      <c r="C44" s="28">
        <v>4.3</v>
      </c>
    </row>
    <row r="45" spans="2:3" x14ac:dyDescent="0.15">
      <c r="B45" s="27"/>
      <c r="C45" s="28"/>
    </row>
    <row r="46" spans="2:3" x14ac:dyDescent="0.15">
      <c r="B46" s="44" t="s">
        <v>138</v>
      </c>
      <c r="C46" s="28">
        <v>6.1</v>
      </c>
    </row>
    <row r="47" spans="2:3" x14ac:dyDescent="0.15">
      <c r="B47" s="44" t="s">
        <v>45</v>
      </c>
      <c r="C47" s="28">
        <v>6.2</v>
      </c>
    </row>
    <row r="48" spans="2:3" x14ac:dyDescent="0.15">
      <c r="B48" s="44"/>
      <c r="C48" s="28"/>
    </row>
    <row r="49" spans="2:4" x14ac:dyDescent="0.15">
      <c r="B49" s="44" t="s">
        <v>44</v>
      </c>
      <c r="C49" s="28">
        <v>5</v>
      </c>
    </row>
    <row r="50" spans="2:4" x14ac:dyDescent="0.15">
      <c r="B50" s="44"/>
      <c r="C50" s="28"/>
    </row>
    <row r="51" spans="2:4" ht="14" thickBot="1" x14ac:dyDescent="0.2">
      <c r="B51" s="45" t="s">
        <v>73</v>
      </c>
      <c r="C51" s="29">
        <v>7</v>
      </c>
    </row>
    <row r="53" spans="2:4" x14ac:dyDescent="0.15">
      <c r="B53" s="133" t="s">
        <v>171</v>
      </c>
      <c r="C53" s="100">
        <v>756</v>
      </c>
      <c r="D53" s="100"/>
    </row>
    <row r="54" spans="2:4" x14ac:dyDescent="0.15">
      <c r="B54" s="133" t="s">
        <v>172</v>
      </c>
      <c r="C54" s="133" t="s">
        <v>185</v>
      </c>
      <c r="D54" s="100"/>
    </row>
    <row r="55" spans="2:4" x14ac:dyDescent="0.15">
      <c r="B55" s="133" t="s">
        <v>173</v>
      </c>
      <c r="C55" s="133" t="s">
        <v>186</v>
      </c>
      <c r="D55" s="100"/>
    </row>
    <row r="56" spans="2:4" x14ac:dyDescent="0.15">
      <c r="B56" s="133" t="s">
        <v>174</v>
      </c>
      <c r="C56" s="100">
        <v>630278</v>
      </c>
      <c r="D56" s="100"/>
    </row>
    <row r="57" spans="2:4" x14ac:dyDescent="0.15">
      <c r="B57" s="133" t="s">
        <v>175</v>
      </c>
      <c r="C57" s="133" t="s">
        <v>187</v>
      </c>
      <c r="D57" s="100"/>
    </row>
    <row r="58" spans="2:4" x14ac:dyDescent="0.15">
      <c r="B58" s="133" t="s">
        <v>176</v>
      </c>
      <c r="C58" s="133" t="s">
        <v>188</v>
      </c>
      <c r="D58" s="100"/>
    </row>
    <row r="59" spans="2:4" x14ac:dyDescent="0.15">
      <c r="B59" s="133" t="s">
        <v>177</v>
      </c>
      <c r="C59" s="133" t="s">
        <v>189</v>
      </c>
      <c r="D59" s="100"/>
    </row>
    <row r="60" spans="2:4" x14ac:dyDescent="0.15">
      <c r="B60" s="133" t="s">
        <v>178</v>
      </c>
      <c r="C60" s="133" t="s">
        <v>190</v>
      </c>
      <c r="D60" s="100"/>
    </row>
    <row r="61" spans="2:4" x14ac:dyDescent="0.15">
      <c r="B61" s="133" t="s">
        <v>179</v>
      </c>
      <c r="C61" s="100">
        <v>35</v>
      </c>
      <c r="D61" s="100"/>
    </row>
    <row r="62" spans="2:4" x14ac:dyDescent="0.15">
      <c r="B62" s="133" t="s">
        <v>180</v>
      </c>
      <c r="C62" s="100">
        <v>3</v>
      </c>
      <c r="D62" s="100"/>
    </row>
    <row r="63" spans="2:4" x14ac:dyDescent="0.15">
      <c r="B63" s="133" t="s">
        <v>181</v>
      </c>
      <c r="C63" s="100">
        <v>1996</v>
      </c>
      <c r="D63" s="100"/>
    </row>
    <row r="64" spans="2:4" x14ac:dyDescent="0.15">
      <c r="B64" s="133" t="s">
        <v>182</v>
      </c>
      <c r="C64" s="100">
        <v>1</v>
      </c>
      <c r="D64" s="100"/>
    </row>
    <row r="65" spans="2:4" x14ac:dyDescent="0.15">
      <c r="B65" s="133" t="s">
        <v>183</v>
      </c>
      <c r="C65" s="133" t="s">
        <v>191</v>
      </c>
      <c r="D65" s="100"/>
    </row>
    <row r="66" spans="2:4" x14ac:dyDescent="0.15">
      <c r="B66" s="133" t="s">
        <v>184</v>
      </c>
      <c r="C66" s="133" t="s">
        <v>192</v>
      </c>
      <c r="D66" s="100"/>
    </row>
    <row r="67" spans="2:4" x14ac:dyDescent="0.15">
      <c r="B67" s="100"/>
      <c r="C67" s="100"/>
      <c r="D67" s="100"/>
    </row>
    <row r="68" spans="2:4" x14ac:dyDescent="0.15">
      <c r="B68" s="100"/>
      <c r="C68" s="100"/>
      <c r="D68" s="100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L13" sqref="L13"/>
    </sheetView>
  </sheetViews>
  <sheetFormatPr baseColWidth="10" defaultColWidth="8.83203125" defaultRowHeight="15" customHeight="1" x14ac:dyDescent="0.15"/>
  <cols>
    <col min="1" max="1" width="22.5" style="74" customWidth="1"/>
    <col min="2" max="3" width="3.33203125" style="74" customWidth="1"/>
    <col min="4" max="4" width="14.33203125" style="74" customWidth="1"/>
    <col min="5" max="5" width="21.6640625" style="74" bestFit="1" customWidth="1"/>
    <col min="6" max="6" width="2.33203125" style="74" bestFit="1" customWidth="1"/>
    <col min="7" max="7" width="11.83203125" style="74" bestFit="1" customWidth="1"/>
    <col min="8" max="8" width="6.83203125" style="74" customWidth="1"/>
    <col min="9" max="9" width="10.83203125" style="74" customWidth="1"/>
    <col min="10" max="11" width="13.83203125" style="74" customWidth="1"/>
    <col min="12" max="12" width="5.83203125" style="74" customWidth="1"/>
    <col min="13" max="13" width="3.83203125" style="74" customWidth="1"/>
    <col min="14" max="14" width="2.33203125" style="74" customWidth="1"/>
    <col min="16" max="25" width="8.83203125" style="7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4"/>
  </cols>
  <sheetData>
    <row r="1" spans="1:46" s="91" customFormat="1" ht="15" customHeight="1" x14ac:dyDescent="0.15">
      <c r="A1" s="70" t="s">
        <v>18</v>
      </c>
      <c r="C1" s="71" t="s">
        <v>8</v>
      </c>
      <c r="D1" s="70" t="s">
        <v>23</v>
      </c>
      <c r="E1" s="70" t="s">
        <v>0</v>
      </c>
      <c r="F1" s="70" t="s">
        <v>7</v>
      </c>
      <c r="G1" s="72" t="s">
        <v>13</v>
      </c>
      <c r="H1" s="70" t="s">
        <v>1</v>
      </c>
      <c r="I1" s="70" t="s">
        <v>2</v>
      </c>
      <c r="J1" s="70" t="s">
        <v>14</v>
      </c>
      <c r="K1" s="70" t="s">
        <v>3</v>
      </c>
      <c r="L1" s="70" t="s">
        <v>4</v>
      </c>
      <c r="M1" s="70" t="s">
        <v>5</v>
      </c>
      <c r="N1" s="7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1">
        <v>1</v>
      </c>
      <c r="D2"/>
      <c r="E2" s="134" t="s">
        <v>193</v>
      </c>
      <c r="F2" s="74">
        <v>0</v>
      </c>
      <c r="G2" s="74">
        <v>7.5240000000000003E-3</v>
      </c>
      <c r="H2" s="74">
        <v>0.02</v>
      </c>
      <c r="I2" s="6">
        <v>1.07526886</v>
      </c>
      <c r="J2" s="6">
        <v>0</v>
      </c>
      <c r="K2" s="6">
        <v>1.8599998199999999E-2</v>
      </c>
      <c r="L2" s="6">
        <v>0</v>
      </c>
      <c r="M2" s="74">
        <v>0.2</v>
      </c>
      <c r="N2" s="74">
        <v>0</v>
      </c>
    </row>
    <row r="3" spans="1:46" ht="15" customHeight="1" x14ac:dyDescent="0.15">
      <c r="A3" s="1" t="s">
        <v>9</v>
      </c>
      <c r="B3" s="4">
        <v>34</v>
      </c>
      <c r="C3" s="74">
        <v>2</v>
      </c>
      <c r="D3"/>
      <c r="E3" s="134" t="s">
        <v>194</v>
      </c>
      <c r="F3" s="74">
        <v>0</v>
      </c>
      <c r="G3" s="74">
        <v>8.352E-3</v>
      </c>
      <c r="H3" s="74">
        <v>0.27</v>
      </c>
      <c r="I3" s="74">
        <v>15.168539000000001</v>
      </c>
      <c r="J3" s="74">
        <v>0.10762986500000001</v>
      </c>
      <c r="K3" s="74">
        <v>1.7800001400000001E-2</v>
      </c>
      <c r="L3" s="74">
        <v>0</v>
      </c>
      <c r="M3" s="74">
        <v>0.2</v>
      </c>
      <c r="N3" s="74">
        <v>0</v>
      </c>
    </row>
    <row r="4" spans="1:46" ht="15" customHeight="1" x14ac:dyDescent="0.15">
      <c r="A4" s="1" t="s">
        <v>10</v>
      </c>
      <c r="B4" s="4">
        <v>2</v>
      </c>
      <c r="C4" s="74">
        <v>3</v>
      </c>
      <c r="D4"/>
      <c r="E4" s="134" t="s">
        <v>195</v>
      </c>
      <c r="F4" s="74">
        <v>0</v>
      </c>
      <c r="G4" s="74">
        <v>8.1212000000000006E-2</v>
      </c>
      <c r="H4" s="74">
        <v>0.08</v>
      </c>
      <c r="I4" s="74">
        <v>4.5977009999999998</v>
      </c>
      <c r="J4" s="74">
        <v>0.57904009999999995</v>
      </c>
      <c r="K4" s="74">
        <v>1.7399999999999999E-2</v>
      </c>
      <c r="L4" s="74">
        <v>0</v>
      </c>
      <c r="M4" s="74">
        <v>0.2</v>
      </c>
      <c r="N4" s="7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3</v>
      </c>
      <c r="C5" s="74">
        <v>4</v>
      </c>
      <c r="D5"/>
      <c r="E5" s="134" t="s">
        <v>196</v>
      </c>
      <c r="F5" s="74">
        <v>0</v>
      </c>
      <c r="G5" s="74">
        <v>1.097774</v>
      </c>
      <c r="H5" s="74">
        <v>0.1</v>
      </c>
      <c r="I5" s="74">
        <v>5.9523809999999999</v>
      </c>
      <c r="J5" s="74">
        <v>2.68995967E-2</v>
      </c>
      <c r="K5" s="74">
        <v>1.6799999999999999E-2</v>
      </c>
      <c r="L5" s="74">
        <v>0</v>
      </c>
      <c r="M5" s="74">
        <v>0.2</v>
      </c>
      <c r="N5" s="74">
        <v>0</v>
      </c>
      <c r="P5" s="65"/>
      <c r="Q5" s="65"/>
      <c r="R5" s="65"/>
    </row>
    <row r="6" spans="1:46" ht="15" customHeight="1" thickBot="1" x14ac:dyDescent="0.2">
      <c r="B6" s="1"/>
      <c r="C6" s="74">
        <v>5</v>
      </c>
      <c r="D6"/>
      <c r="E6" s="134" t="s">
        <v>197</v>
      </c>
      <c r="F6" s="74">
        <v>0</v>
      </c>
      <c r="G6" s="74">
        <v>1.032318E-3</v>
      </c>
      <c r="H6" s="74">
        <v>0.17</v>
      </c>
      <c r="I6" s="74">
        <v>9.6590910000000001</v>
      </c>
      <c r="J6" s="74">
        <v>0.72189139999999996</v>
      </c>
      <c r="K6" s="74">
        <v>1.7600000000000001E-2</v>
      </c>
      <c r="L6" s="74">
        <v>0</v>
      </c>
      <c r="M6" s="74">
        <v>0.2</v>
      </c>
      <c r="N6" s="74">
        <v>0</v>
      </c>
      <c r="P6" s="65"/>
      <c r="Q6" s="65"/>
      <c r="R6" s="65"/>
      <c r="W6" s="31" t="s">
        <v>31</v>
      </c>
      <c r="X6" s="47">
        <f>MAX(MainOutputs!G:G)</f>
        <v>0.94967597723007202</v>
      </c>
    </row>
    <row r="7" spans="1:46" ht="15" customHeight="1" x14ac:dyDescent="0.15">
      <c r="A7" s="2" t="s">
        <v>27</v>
      </c>
      <c r="B7" s="74">
        <f ca="1">COUNTIF(OFFSET(cornerDiets,1,1,NumLiving+NumDead+1,NumLiving+NumDead),"&gt;0")+NumLiving+NumDead+1</f>
        <v>201</v>
      </c>
      <c r="C7" s="74">
        <v>6</v>
      </c>
      <c r="D7"/>
      <c r="E7" s="134" t="s">
        <v>198</v>
      </c>
      <c r="F7" s="74">
        <v>0</v>
      </c>
      <c r="G7" s="74">
        <v>1.0352569999999999E-3</v>
      </c>
      <c r="H7" s="74">
        <v>0.21</v>
      </c>
      <c r="I7" s="74">
        <v>12.068965</v>
      </c>
      <c r="J7" s="74">
        <v>0.37213316600000002</v>
      </c>
      <c r="K7" s="74">
        <v>1.7399999999999999E-2</v>
      </c>
      <c r="L7" s="74">
        <v>0</v>
      </c>
      <c r="M7" s="74">
        <v>0.2</v>
      </c>
      <c r="N7" s="74">
        <v>0</v>
      </c>
      <c r="P7" s="65"/>
      <c r="Q7" s="65"/>
      <c r="R7" s="65"/>
    </row>
    <row r="8" spans="1:46" ht="15" customHeight="1" x14ac:dyDescent="0.15">
      <c r="A8" s="2" t="s">
        <v>28</v>
      </c>
      <c r="B8" s="74">
        <f ca="1">COUNTIF(OFFSET(cornerFishing,1,2,NumLiving+NumDead,NumGears),"&gt;0")+NumDead*COUNTIF(OFFSET(cornerDiscards,1,2,NumLiving+NumDead,NumGears),"&gt;0")+NumLiving+NumDead+1</f>
        <v>40</v>
      </c>
      <c r="C8" s="74">
        <v>7</v>
      </c>
      <c r="D8"/>
      <c r="E8" s="134" t="s">
        <v>199</v>
      </c>
      <c r="F8" s="74">
        <v>0</v>
      </c>
      <c r="G8" s="74">
        <v>2.839939E-2</v>
      </c>
      <c r="H8" s="74">
        <v>0.28999999999999998</v>
      </c>
      <c r="I8" s="74">
        <v>16.666665999999999</v>
      </c>
      <c r="J8" s="74">
        <v>0</v>
      </c>
      <c r="K8" s="74">
        <v>1.7399999999999999E-2</v>
      </c>
      <c r="L8" s="74">
        <v>0</v>
      </c>
      <c r="M8" s="74">
        <v>0.2</v>
      </c>
      <c r="N8" s="74">
        <v>0</v>
      </c>
      <c r="P8" s="65"/>
      <c r="Q8" s="65"/>
      <c r="R8" s="65"/>
    </row>
    <row r="9" spans="1:46" ht="15" customHeight="1" x14ac:dyDescent="0.15">
      <c r="B9" s="1"/>
      <c r="C9" s="74">
        <v>8</v>
      </c>
      <c r="D9"/>
      <c r="E9" s="134" t="s">
        <v>200</v>
      </c>
      <c r="F9" s="74">
        <v>0</v>
      </c>
      <c r="G9" s="74">
        <v>7.1768999999999999E-3</v>
      </c>
      <c r="H9" s="74">
        <v>0.04</v>
      </c>
      <c r="I9" s="74">
        <v>2.53164554</v>
      </c>
      <c r="J9" s="74">
        <v>0.281818181</v>
      </c>
      <c r="K9" s="74">
        <v>1.5800000000000002E-2</v>
      </c>
      <c r="L9" s="74">
        <v>0</v>
      </c>
      <c r="M9" s="74">
        <v>0.2</v>
      </c>
      <c r="N9" s="74">
        <v>0</v>
      </c>
      <c r="P9" s="65"/>
      <c r="Q9" s="65"/>
      <c r="R9" s="65"/>
    </row>
    <row r="10" spans="1:46" ht="15" customHeight="1" x14ac:dyDescent="0.15">
      <c r="B10" s="1"/>
      <c r="C10" s="74">
        <v>9</v>
      </c>
      <c r="D10"/>
      <c r="E10" s="134" t="s">
        <v>201</v>
      </c>
      <c r="F10" s="74">
        <v>0</v>
      </c>
      <c r="G10" s="74">
        <v>4.2804300000000003E-2</v>
      </c>
      <c r="H10" s="74">
        <v>3.15E-2</v>
      </c>
      <c r="I10" s="74">
        <v>2.5499999999999998</v>
      </c>
      <c r="J10" s="74">
        <v>0.98063719999999999</v>
      </c>
      <c r="K10" s="74">
        <v>1.23529416E-2</v>
      </c>
      <c r="L10" s="192">
        <v>0</v>
      </c>
      <c r="M10" s="74">
        <v>0.2</v>
      </c>
      <c r="N10" s="74">
        <v>0</v>
      </c>
      <c r="P10" s="56" t="s">
        <v>239</v>
      </c>
    </row>
    <row r="11" spans="1:46" ht="15" customHeight="1" x14ac:dyDescent="0.15">
      <c r="C11" s="74">
        <v>10</v>
      </c>
      <c r="D11"/>
      <c r="E11" s="134" t="s">
        <v>202</v>
      </c>
      <c r="F11" s="74">
        <v>0</v>
      </c>
      <c r="G11" s="74">
        <v>4.7275200000000003E-2</v>
      </c>
      <c r="H11" s="74">
        <v>9.5000000000000001E-2</v>
      </c>
      <c r="I11" s="74">
        <v>5.6547619999999998</v>
      </c>
      <c r="J11" s="74">
        <v>1.8013946699999998E-2</v>
      </c>
      <c r="K11" s="74">
        <v>1.6799999999999999E-2</v>
      </c>
      <c r="L11" s="74">
        <v>0</v>
      </c>
      <c r="M11" s="74">
        <v>0.2</v>
      </c>
      <c r="N11" s="74">
        <v>0</v>
      </c>
    </row>
    <row r="12" spans="1:46" ht="15" customHeight="1" x14ac:dyDescent="0.15">
      <c r="C12" s="74">
        <v>11</v>
      </c>
      <c r="D12"/>
      <c r="E12" s="134" t="s">
        <v>203</v>
      </c>
      <c r="F12" s="74">
        <v>0</v>
      </c>
      <c r="G12" s="74">
        <v>8.1189360000000002E-2</v>
      </c>
      <c r="H12" s="74">
        <v>0.04</v>
      </c>
      <c r="I12" s="74">
        <v>2.3809523600000002</v>
      </c>
      <c r="J12" s="74">
        <v>0.99991196400000004</v>
      </c>
      <c r="K12" s="74">
        <v>1.6799999999999999E-2</v>
      </c>
      <c r="L12" s="192">
        <v>0</v>
      </c>
      <c r="M12" s="74">
        <v>0.2</v>
      </c>
      <c r="N12" s="74">
        <v>0</v>
      </c>
      <c r="P12" s="56" t="s">
        <v>240</v>
      </c>
    </row>
    <row r="13" spans="1:46" ht="15" customHeight="1" x14ac:dyDescent="0.15">
      <c r="C13" s="74">
        <v>12</v>
      </c>
      <c r="D13"/>
      <c r="E13" s="134" t="s">
        <v>204</v>
      </c>
      <c r="F13" s="74">
        <v>0</v>
      </c>
      <c r="G13" s="74">
        <v>1.15949E-4</v>
      </c>
      <c r="H13" s="74">
        <v>0.19450000000000001</v>
      </c>
      <c r="I13" s="74">
        <v>13.892857599999999</v>
      </c>
      <c r="J13" s="74">
        <v>3.5873954199999998E-3</v>
      </c>
      <c r="K13" s="74">
        <v>1.3999999500000001E-2</v>
      </c>
      <c r="L13" s="74">
        <v>0</v>
      </c>
      <c r="M13" s="74">
        <v>0.2</v>
      </c>
      <c r="N13" s="74">
        <v>0</v>
      </c>
    </row>
    <row r="14" spans="1:46" ht="15" customHeight="1" x14ac:dyDescent="0.15">
      <c r="C14" s="74">
        <v>13</v>
      </c>
      <c r="D14"/>
      <c r="E14" s="134" t="s">
        <v>205</v>
      </c>
      <c r="F14" s="74">
        <v>0</v>
      </c>
      <c r="G14" s="74">
        <v>1.161069E-3</v>
      </c>
      <c r="H14" s="74">
        <v>0.22</v>
      </c>
      <c r="I14" s="74">
        <v>15.277699999999999</v>
      </c>
      <c r="J14" s="74">
        <v>0.94967670000000004</v>
      </c>
      <c r="K14" s="74">
        <v>1.44000724E-2</v>
      </c>
      <c r="L14" s="74">
        <v>0</v>
      </c>
      <c r="M14" s="74">
        <v>0.2</v>
      </c>
      <c r="N14" s="74">
        <v>0</v>
      </c>
    </row>
    <row r="15" spans="1:46" ht="15" customHeight="1" x14ac:dyDescent="0.15">
      <c r="C15" s="74">
        <v>14</v>
      </c>
      <c r="D15"/>
      <c r="E15" s="134" t="s">
        <v>206</v>
      </c>
      <c r="F15" s="74">
        <v>0</v>
      </c>
      <c r="G15" s="74">
        <v>2.1420000000000002E-2</v>
      </c>
      <c r="H15" s="74">
        <v>0.22</v>
      </c>
      <c r="I15" s="74">
        <v>15.277799999999999</v>
      </c>
      <c r="J15" s="74">
        <v>0.90433180000000002</v>
      </c>
      <c r="K15" s="74">
        <v>1.4399979300000001E-2</v>
      </c>
      <c r="L15" s="74">
        <v>0</v>
      </c>
      <c r="M15" s="74">
        <v>0.2</v>
      </c>
      <c r="N15" s="74">
        <v>0</v>
      </c>
    </row>
    <row r="16" spans="1:46" ht="15" customHeight="1" x14ac:dyDescent="0.15">
      <c r="C16" s="74">
        <v>15</v>
      </c>
      <c r="D16"/>
      <c r="E16" s="134" t="s">
        <v>207</v>
      </c>
      <c r="F16" s="74">
        <v>0</v>
      </c>
      <c r="G16" s="74">
        <v>5.8300000000000001E-3</v>
      </c>
      <c r="H16" s="74">
        <v>0.12</v>
      </c>
      <c r="I16" s="74">
        <v>36.619720000000001</v>
      </c>
      <c r="J16" s="74">
        <v>0.117520809</v>
      </c>
      <c r="K16" s="74">
        <v>3.2769227399999999E-3</v>
      </c>
      <c r="L16" s="74">
        <v>0</v>
      </c>
      <c r="M16" s="74">
        <v>0.2</v>
      </c>
      <c r="N16" s="74">
        <v>0</v>
      </c>
    </row>
    <row r="17" spans="1:22" ht="15" customHeight="1" x14ac:dyDescent="0.15">
      <c r="C17" s="74">
        <v>16</v>
      </c>
      <c r="D17"/>
      <c r="E17" s="134" t="s">
        <v>208</v>
      </c>
      <c r="F17" s="74">
        <v>0</v>
      </c>
      <c r="G17" s="74">
        <v>1.14505E-4</v>
      </c>
      <c r="H17" s="74">
        <v>0.11</v>
      </c>
      <c r="I17" s="74">
        <v>7.6388889999999998</v>
      </c>
      <c r="J17" s="74">
        <v>0.79164900000000005</v>
      </c>
      <c r="K17" s="74">
        <v>1.44E-2</v>
      </c>
      <c r="L17" s="74">
        <v>0</v>
      </c>
      <c r="M17" s="74">
        <v>0.2</v>
      </c>
      <c r="N17" s="74">
        <v>0</v>
      </c>
      <c r="V17" s="1" t="s">
        <v>30</v>
      </c>
    </row>
    <row r="18" spans="1:22" ht="15" customHeight="1" x14ac:dyDescent="0.15">
      <c r="C18" s="74">
        <v>17</v>
      </c>
      <c r="D18"/>
      <c r="E18" s="134" t="s">
        <v>209</v>
      </c>
      <c r="F18" s="74">
        <v>0</v>
      </c>
      <c r="G18" s="74">
        <v>4.0000000000000001E-3</v>
      </c>
      <c r="H18" s="74">
        <v>8.7999999999999995E-2</v>
      </c>
      <c r="I18" s="74">
        <v>4.8888889999999998</v>
      </c>
      <c r="J18" s="74">
        <v>0</v>
      </c>
      <c r="K18" s="74">
        <v>1.7999999999999999E-2</v>
      </c>
      <c r="L18" s="74">
        <v>0</v>
      </c>
      <c r="M18" s="74">
        <v>0.2</v>
      </c>
      <c r="N18" s="74">
        <v>0</v>
      </c>
      <c r="V18" s="1"/>
    </row>
    <row r="19" spans="1:22" ht="15" customHeight="1" x14ac:dyDescent="0.15">
      <c r="C19" s="74">
        <v>18</v>
      </c>
      <c r="D19"/>
      <c r="E19" s="134" t="s">
        <v>210</v>
      </c>
      <c r="F19" s="74">
        <v>0</v>
      </c>
      <c r="G19" s="74">
        <v>2.4900000000000002</v>
      </c>
      <c r="H19" s="74">
        <v>3.15</v>
      </c>
      <c r="I19" s="74">
        <v>30.288461699999999</v>
      </c>
      <c r="J19" s="74">
        <v>0.29211379999999998</v>
      </c>
      <c r="K19" s="74">
        <v>0.104</v>
      </c>
      <c r="L19" s="74">
        <v>0</v>
      </c>
      <c r="M19" s="74">
        <v>0.2</v>
      </c>
      <c r="N19" s="74">
        <v>0</v>
      </c>
    </row>
    <row r="20" spans="1:22" ht="15" customHeight="1" thickBot="1" x14ac:dyDescent="0.2">
      <c r="C20" s="74">
        <v>19</v>
      </c>
      <c r="D20"/>
      <c r="E20" s="134" t="s">
        <v>211</v>
      </c>
      <c r="F20" s="74">
        <v>0</v>
      </c>
      <c r="G20" s="74">
        <v>3.27</v>
      </c>
      <c r="H20" s="74">
        <v>1.1000000000000001</v>
      </c>
      <c r="I20" s="74">
        <v>10.58</v>
      </c>
      <c r="J20" s="74">
        <v>0.75156843699999998</v>
      </c>
      <c r="K20" s="74">
        <v>0.10396975999999999</v>
      </c>
      <c r="L20" s="74">
        <v>0</v>
      </c>
      <c r="M20" s="74">
        <v>0.2</v>
      </c>
      <c r="N20" s="74">
        <v>0</v>
      </c>
    </row>
    <row r="21" spans="1:22" ht="15" customHeight="1" thickBot="1" x14ac:dyDescent="0.2">
      <c r="A21" s="42" t="s">
        <v>137</v>
      </c>
      <c r="B21" s="92"/>
      <c r="C21" s="74">
        <v>20</v>
      </c>
      <c r="D21"/>
      <c r="E21" s="134" t="s">
        <v>212</v>
      </c>
      <c r="F21" s="74">
        <v>0</v>
      </c>
      <c r="G21" s="74">
        <v>5.25</v>
      </c>
      <c r="H21" s="74">
        <v>0.46</v>
      </c>
      <c r="I21" s="74">
        <v>4.4230770000000001</v>
      </c>
      <c r="J21" s="74">
        <v>0.92695959999999999</v>
      </c>
      <c r="K21" s="74">
        <v>0.103999995</v>
      </c>
      <c r="L21" s="74">
        <v>0</v>
      </c>
      <c r="M21" s="74">
        <v>0.2</v>
      </c>
      <c r="N21" s="74">
        <v>0</v>
      </c>
    </row>
    <row r="22" spans="1:22" ht="15" customHeight="1" x14ac:dyDescent="0.15">
      <c r="A22" s="93" t="s">
        <v>58</v>
      </c>
      <c r="B22" s="94">
        <v>0</v>
      </c>
      <c r="C22" s="74">
        <v>21</v>
      </c>
      <c r="D22"/>
      <c r="E22" s="134" t="s">
        <v>213</v>
      </c>
      <c r="F22" s="74">
        <v>0</v>
      </c>
      <c r="G22" s="74">
        <v>0.13800000000000001</v>
      </c>
      <c r="H22" s="74">
        <v>0.28999999999999998</v>
      </c>
      <c r="I22" s="74">
        <v>2.7879999999999998</v>
      </c>
      <c r="J22" s="74">
        <v>3.2233879999999999E-2</v>
      </c>
      <c r="K22" s="74">
        <v>0.104017213</v>
      </c>
      <c r="L22" s="74">
        <v>0</v>
      </c>
      <c r="M22" s="74">
        <v>0.2</v>
      </c>
      <c r="N22" s="74">
        <v>0</v>
      </c>
    </row>
    <row r="23" spans="1:22" ht="15" customHeight="1" x14ac:dyDescent="0.15">
      <c r="A23" s="93" t="s">
        <v>59</v>
      </c>
      <c r="B23" s="94">
        <v>1</v>
      </c>
      <c r="C23" s="74">
        <v>22</v>
      </c>
      <c r="D23"/>
      <c r="E23" s="134" t="s">
        <v>214</v>
      </c>
      <c r="F23" s="74">
        <v>0</v>
      </c>
      <c r="G23" s="74">
        <v>0.9</v>
      </c>
      <c r="H23" s="74">
        <v>0.48</v>
      </c>
      <c r="I23" s="74">
        <v>4.6153845799999997</v>
      </c>
      <c r="J23" s="74">
        <v>0.80653739999999996</v>
      </c>
      <c r="K23" s="74">
        <v>0.104</v>
      </c>
      <c r="L23" s="74">
        <v>0</v>
      </c>
      <c r="M23" s="74">
        <v>0.2</v>
      </c>
      <c r="N23" s="74">
        <v>0</v>
      </c>
    </row>
    <row r="24" spans="1:22" ht="15" customHeight="1" x14ac:dyDescent="0.15">
      <c r="A24" s="93" t="s">
        <v>60</v>
      </c>
      <c r="B24" s="94">
        <v>2</v>
      </c>
      <c r="C24" s="74">
        <v>23</v>
      </c>
      <c r="D24"/>
      <c r="E24" s="134" t="s">
        <v>215</v>
      </c>
      <c r="F24" s="74">
        <v>0</v>
      </c>
      <c r="G24" s="74">
        <v>1.2</v>
      </c>
      <c r="H24" s="74">
        <v>0.46</v>
      </c>
      <c r="I24" s="74">
        <v>4.4230770000000001</v>
      </c>
      <c r="J24" s="74">
        <v>0.18957942699999999</v>
      </c>
      <c r="K24" s="74">
        <v>0.103999995</v>
      </c>
      <c r="L24" s="74">
        <v>0</v>
      </c>
      <c r="M24" s="74">
        <v>0.2</v>
      </c>
      <c r="N24" s="74">
        <v>0</v>
      </c>
    </row>
    <row r="25" spans="1:22" ht="15" customHeight="1" thickBot="1" x14ac:dyDescent="0.2">
      <c r="A25" s="95" t="s">
        <v>44</v>
      </c>
      <c r="B25" s="96">
        <v>3</v>
      </c>
      <c r="C25" s="74">
        <v>24</v>
      </c>
      <c r="D25"/>
      <c r="E25" s="134" t="s">
        <v>216</v>
      </c>
      <c r="F25" s="74">
        <v>0</v>
      </c>
      <c r="G25" s="74">
        <v>320</v>
      </c>
      <c r="H25" s="74">
        <v>3</v>
      </c>
      <c r="I25" s="74">
        <v>12.244999999999999</v>
      </c>
      <c r="J25" s="74">
        <v>1.1898063800000001E-3</v>
      </c>
      <c r="K25" s="74">
        <v>0.24499796300000001</v>
      </c>
      <c r="L25" s="74">
        <v>0</v>
      </c>
      <c r="M25" s="74">
        <v>0.2</v>
      </c>
      <c r="N25" s="74">
        <v>0</v>
      </c>
    </row>
    <row r="26" spans="1:22" ht="15" customHeight="1" x14ac:dyDescent="0.15">
      <c r="A26" s="97" t="s">
        <v>140</v>
      </c>
      <c r="C26" s="74">
        <v>25</v>
      </c>
      <c r="D26"/>
      <c r="E26" s="134" t="s">
        <v>217</v>
      </c>
      <c r="F26" s="74">
        <v>0</v>
      </c>
      <c r="G26" s="74">
        <v>85.537499999999994</v>
      </c>
      <c r="H26" s="74">
        <v>0.5</v>
      </c>
      <c r="I26" s="74">
        <v>2.19</v>
      </c>
      <c r="J26" s="74">
        <v>0.55384599999999995</v>
      </c>
      <c r="K26" s="74">
        <v>0.2283105</v>
      </c>
      <c r="L26" s="74">
        <v>0</v>
      </c>
      <c r="M26" s="74">
        <v>0.2</v>
      </c>
      <c r="N26" s="74">
        <v>0</v>
      </c>
    </row>
    <row r="27" spans="1:22" ht="15" customHeight="1" x14ac:dyDescent="0.15">
      <c r="C27" s="74">
        <v>26</v>
      </c>
      <c r="D27"/>
      <c r="E27" s="134" t="s">
        <v>218</v>
      </c>
      <c r="F27" s="74">
        <v>0</v>
      </c>
      <c r="G27" s="74">
        <v>81.260000000000005</v>
      </c>
      <c r="H27" s="74">
        <v>0.8</v>
      </c>
      <c r="I27" s="74">
        <v>3.57</v>
      </c>
      <c r="J27" s="74">
        <v>0.8988448</v>
      </c>
      <c r="K27" s="74">
        <v>0.22408963700000001</v>
      </c>
      <c r="L27" s="74">
        <v>0</v>
      </c>
      <c r="M27" s="74">
        <v>0.2</v>
      </c>
      <c r="N27" s="74">
        <v>0</v>
      </c>
    </row>
    <row r="28" spans="1:22" ht="15" customHeight="1" x14ac:dyDescent="0.15">
      <c r="C28" s="74">
        <v>27</v>
      </c>
      <c r="D28"/>
      <c r="E28" s="134" t="s">
        <v>219</v>
      </c>
      <c r="F28" s="74">
        <v>0</v>
      </c>
      <c r="G28" s="74">
        <v>28.930694599999999</v>
      </c>
      <c r="H28" s="74">
        <v>0.8</v>
      </c>
      <c r="I28" s="74">
        <v>6.5127253500000002</v>
      </c>
      <c r="J28" s="74">
        <v>0.43934299999999998</v>
      </c>
      <c r="K28" s="74">
        <v>0.122836441</v>
      </c>
      <c r="L28" s="74">
        <v>0</v>
      </c>
      <c r="M28" s="74">
        <v>0.2</v>
      </c>
      <c r="N28" s="74">
        <v>0</v>
      </c>
    </row>
    <row r="29" spans="1:22" customFormat="1" ht="15" customHeight="1" x14ac:dyDescent="0.15">
      <c r="C29" s="74">
        <v>28</v>
      </c>
      <c r="E29" s="134" t="s">
        <v>220</v>
      </c>
      <c r="F29" s="74">
        <v>0</v>
      </c>
      <c r="G29" s="74">
        <v>148</v>
      </c>
      <c r="H29" s="74">
        <v>1.5</v>
      </c>
      <c r="I29" s="74">
        <v>6.6963999999999997</v>
      </c>
      <c r="J29" s="74">
        <v>0.13575272299999999</v>
      </c>
      <c r="K29" s="74">
        <v>0.22400094600000001</v>
      </c>
      <c r="L29" s="74">
        <v>0</v>
      </c>
      <c r="M29" s="74">
        <v>0.2</v>
      </c>
      <c r="N29" s="74">
        <v>0</v>
      </c>
    </row>
    <row r="30" spans="1:22" customFormat="1" ht="15" customHeight="1" x14ac:dyDescent="0.15">
      <c r="C30" s="74">
        <v>29</v>
      </c>
      <c r="E30" s="134" t="s">
        <v>221</v>
      </c>
      <c r="F30" s="74">
        <v>0</v>
      </c>
      <c r="G30" s="74">
        <v>25</v>
      </c>
      <c r="H30" s="74">
        <v>55</v>
      </c>
      <c r="I30" s="74">
        <v>275</v>
      </c>
      <c r="J30" s="74">
        <v>0.36576196599999999</v>
      </c>
      <c r="K30" s="74">
        <v>0.2</v>
      </c>
      <c r="L30" s="74">
        <v>0</v>
      </c>
      <c r="M30" s="74">
        <v>0.2</v>
      </c>
      <c r="N30" s="74">
        <v>0</v>
      </c>
    </row>
    <row r="31" spans="1:22" customFormat="1" ht="15" customHeight="1" x14ac:dyDescent="0.15">
      <c r="C31" s="74">
        <v>30</v>
      </c>
      <c r="E31" s="134" t="s">
        <v>222</v>
      </c>
      <c r="F31" s="74">
        <v>0</v>
      </c>
      <c r="G31" s="74">
        <v>130</v>
      </c>
      <c r="H31" s="74">
        <v>4.8099999999999996</v>
      </c>
      <c r="I31" s="74">
        <v>19.632650000000002</v>
      </c>
      <c r="J31" s="74">
        <v>0.80718529999999999</v>
      </c>
      <c r="K31" s="74">
        <v>0.245000035</v>
      </c>
      <c r="L31" s="74">
        <v>0</v>
      </c>
      <c r="M31" s="74">
        <v>0.2</v>
      </c>
      <c r="N31" s="74">
        <v>0</v>
      </c>
    </row>
    <row r="32" spans="1:22" customFormat="1" ht="15" customHeight="1" x14ac:dyDescent="0.15">
      <c r="C32" s="74">
        <v>31</v>
      </c>
      <c r="E32" s="134" t="s">
        <v>223</v>
      </c>
      <c r="F32" s="74">
        <v>0</v>
      </c>
      <c r="G32" s="74">
        <v>35</v>
      </c>
      <c r="H32" s="74">
        <v>2.5</v>
      </c>
      <c r="I32" s="74">
        <v>8.9285700000000006</v>
      </c>
      <c r="J32" s="74">
        <v>0.37429633699999998</v>
      </c>
      <c r="K32" s="74">
        <v>0.28000006100000002</v>
      </c>
      <c r="L32" s="74">
        <v>0</v>
      </c>
      <c r="M32" s="74">
        <v>0.2</v>
      </c>
      <c r="N32" s="74">
        <v>0</v>
      </c>
    </row>
    <row r="33" spans="3:14" customFormat="1" ht="15" customHeight="1" x14ac:dyDescent="0.15">
      <c r="C33" s="74">
        <v>32</v>
      </c>
      <c r="E33" s="134" t="s">
        <v>224</v>
      </c>
      <c r="F33" s="74">
        <v>1</v>
      </c>
      <c r="G33" s="74">
        <v>171.91305500000001</v>
      </c>
      <c r="H33" s="74">
        <v>75</v>
      </c>
      <c r="I33" s="74">
        <v>0</v>
      </c>
      <c r="J33" s="74">
        <v>0.5</v>
      </c>
      <c r="K33" s="74">
        <v>0</v>
      </c>
      <c r="L33" s="74">
        <v>0</v>
      </c>
      <c r="M33" s="74">
        <v>0</v>
      </c>
      <c r="N33" s="74">
        <v>0</v>
      </c>
    </row>
    <row r="34" spans="3:14" customFormat="1" ht="15" customHeight="1" x14ac:dyDescent="0.15">
      <c r="C34" s="74">
        <v>33</v>
      </c>
      <c r="E34" s="134" t="s">
        <v>225</v>
      </c>
      <c r="F34" s="74">
        <v>1</v>
      </c>
      <c r="G34" s="74">
        <v>160.63041699999999</v>
      </c>
      <c r="H34" s="74">
        <v>75</v>
      </c>
      <c r="I34" s="74">
        <v>0</v>
      </c>
      <c r="J34" s="74">
        <v>0.5</v>
      </c>
      <c r="K34" s="74">
        <v>0</v>
      </c>
      <c r="L34" s="74">
        <v>0</v>
      </c>
      <c r="M34" s="74">
        <v>0</v>
      </c>
      <c r="N34" s="74">
        <v>0</v>
      </c>
    </row>
    <row r="35" spans="3:14" customFormat="1" ht="15" customHeight="1" x14ac:dyDescent="0.15">
      <c r="C35" s="74">
        <v>34</v>
      </c>
      <c r="E35" s="134" t="s">
        <v>226</v>
      </c>
      <c r="F35" s="74">
        <v>1</v>
      </c>
      <c r="G35" s="74">
        <v>3.0667235900000001</v>
      </c>
      <c r="H35" s="74">
        <v>50</v>
      </c>
      <c r="I35" s="74">
        <v>0</v>
      </c>
      <c r="J35" s="74">
        <v>0.5</v>
      </c>
      <c r="K35" s="74">
        <v>0</v>
      </c>
      <c r="L35" s="74">
        <v>0</v>
      </c>
      <c r="M35" s="74">
        <v>0</v>
      </c>
      <c r="N35" s="74">
        <v>0</v>
      </c>
    </row>
    <row r="36" spans="3:14" customFormat="1" ht="15" customHeight="1" x14ac:dyDescent="0.15">
      <c r="C36" s="74">
        <v>35</v>
      </c>
      <c r="E36" s="134" t="s">
        <v>227</v>
      </c>
      <c r="F36" s="74">
        <v>2</v>
      </c>
      <c r="G36" s="74">
        <v>5.77</v>
      </c>
      <c r="H36" s="74">
        <v>0</v>
      </c>
      <c r="I36" s="74">
        <v>0</v>
      </c>
      <c r="J36" s="74">
        <v>0</v>
      </c>
      <c r="K36" s="74">
        <v>0</v>
      </c>
      <c r="L36" s="74">
        <v>0</v>
      </c>
      <c r="M36" s="74">
        <v>0</v>
      </c>
      <c r="N36" s="74">
        <v>0</v>
      </c>
    </row>
    <row r="37" spans="3:14" customFormat="1" ht="15" customHeight="1" x14ac:dyDescent="0.15">
      <c r="C37" s="74">
        <v>36</v>
      </c>
      <c r="E37" s="134" t="s">
        <v>228</v>
      </c>
      <c r="F37" s="74">
        <v>2</v>
      </c>
      <c r="G37" s="74">
        <v>5</v>
      </c>
      <c r="H37" s="74">
        <v>0</v>
      </c>
      <c r="I37" s="74">
        <v>0</v>
      </c>
      <c r="J37" s="74">
        <v>0</v>
      </c>
      <c r="K37" s="74">
        <v>0</v>
      </c>
      <c r="L37" s="74">
        <v>0</v>
      </c>
      <c r="M37" s="74">
        <v>0</v>
      </c>
      <c r="N37" s="74">
        <v>0</v>
      </c>
    </row>
    <row r="38" spans="3:14" customFormat="1" ht="15" customHeight="1" x14ac:dyDescent="0.15">
      <c r="C38" s="74">
        <v>37</v>
      </c>
      <c r="E38" s="134" t="s">
        <v>229</v>
      </c>
      <c r="F38" s="74">
        <v>3</v>
      </c>
      <c r="G38" s="74">
        <v>0</v>
      </c>
      <c r="H38" s="74">
        <v>0</v>
      </c>
      <c r="I38" s="74">
        <v>0</v>
      </c>
      <c r="J38" s="74">
        <v>0</v>
      </c>
      <c r="K38" s="74">
        <v>0</v>
      </c>
      <c r="L38" s="74">
        <v>0</v>
      </c>
      <c r="M38" s="74">
        <v>0</v>
      </c>
      <c r="N38" s="74">
        <v>0</v>
      </c>
    </row>
    <row r="39" spans="3:14" customFormat="1" ht="15" customHeight="1" x14ac:dyDescent="0.15">
      <c r="C39" s="74">
        <v>38</v>
      </c>
      <c r="E39" s="134" t="s">
        <v>230</v>
      </c>
      <c r="F39" s="74">
        <v>3</v>
      </c>
      <c r="G39" s="74">
        <v>0</v>
      </c>
      <c r="H39" s="74">
        <v>0</v>
      </c>
      <c r="I39" s="74">
        <v>0</v>
      </c>
      <c r="J39" s="74">
        <v>0</v>
      </c>
      <c r="K39" s="74">
        <v>0</v>
      </c>
      <c r="L39" s="74">
        <v>0</v>
      </c>
      <c r="M39" s="74">
        <v>0</v>
      </c>
      <c r="N39" s="74">
        <v>0</v>
      </c>
    </row>
    <row r="40" spans="3:14" customFormat="1" ht="15" customHeight="1" x14ac:dyDescent="0.15">
      <c r="C40" s="74">
        <v>39</v>
      </c>
      <c r="E40" s="134" t="s">
        <v>231</v>
      </c>
      <c r="F40" s="74">
        <v>3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  <c r="N40" s="74">
        <v>0</v>
      </c>
    </row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K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0" bestFit="1" customWidth="1"/>
    <col min="2" max="2" width="15.5" style="130" bestFit="1" customWidth="1"/>
    <col min="3" max="3" width="5.83203125" style="130" bestFit="1" customWidth="1"/>
    <col min="4" max="4" width="4.83203125" style="130" bestFit="1" customWidth="1"/>
    <col min="5" max="6" width="5.83203125" style="130" bestFit="1" customWidth="1"/>
    <col min="7" max="7" width="4.83203125" style="130" bestFit="1" customWidth="1"/>
    <col min="8" max="8" width="5.83203125" style="130" bestFit="1" customWidth="1"/>
    <col min="9" max="9" width="4.83203125" style="130" bestFit="1" customWidth="1"/>
    <col min="10" max="10" width="5.83203125" style="130" bestFit="1" customWidth="1"/>
    <col min="11" max="11" width="4.83203125" style="130" bestFit="1" customWidth="1"/>
    <col min="12" max="12" width="5.83203125" style="130" bestFit="1" customWidth="1"/>
    <col min="13" max="13" width="4.83203125" style="130" bestFit="1" customWidth="1"/>
    <col min="14" max="14" width="3.83203125" style="130" bestFit="1" customWidth="1"/>
    <col min="15" max="16" width="6.83203125" style="130" bestFit="1" customWidth="1"/>
    <col min="17" max="17" width="4.83203125" style="130" bestFit="1" customWidth="1"/>
    <col min="18" max="18" width="5.83203125" style="130" bestFit="1" customWidth="1"/>
    <col min="19" max="20" width="4.83203125" style="130" bestFit="1" customWidth="1"/>
    <col min="21" max="21" width="5.83203125" style="130" bestFit="1" customWidth="1"/>
    <col min="22" max="24" width="4.83203125" style="130" bestFit="1" customWidth="1"/>
    <col min="25" max="25" width="5.83203125" style="130" bestFit="1" customWidth="1"/>
    <col min="26" max="26" width="2.33203125" style="130" bestFit="1" customWidth="1"/>
    <col min="27" max="27" width="3.83203125" style="130" bestFit="1" customWidth="1"/>
    <col min="28" max="28" width="5.83203125" style="130" bestFit="1" customWidth="1"/>
    <col min="29" max="29" width="3.83203125" style="130" bestFit="1" customWidth="1"/>
    <col min="30" max="32" width="4.83203125" style="130" customWidth="1"/>
    <col min="33" max="37" width="2.33203125" style="130" customWidth="1"/>
    <col min="38" max="16384" width="8.83203125" style="130"/>
  </cols>
  <sheetData>
    <row r="1" spans="1:37" x14ac:dyDescent="0.15">
      <c r="A1" s="129" t="s">
        <v>19</v>
      </c>
      <c r="B1" s="136" t="s">
        <v>193</v>
      </c>
      <c r="C1" s="136" t="s">
        <v>194</v>
      </c>
      <c r="D1" s="136" t="s">
        <v>195</v>
      </c>
      <c r="E1" s="136" t="s">
        <v>196</v>
      </c>
      <c r="F1" s="136" t="s">
        <v>197</v>
      </c>
      <c r="G1" s="136" t="s">
        <v>198</v>
      </c>
      <c r="H1" s="136" t="s">
        <v>199</v>
      </c>
      <c r="I1" s="136" t="s">
        <v>200</v>
      </c>
      <c r="J1" s="136" t="s">
        <v>201</v>
      </c>
      <c r="K1" s="136" t="s">
        <v>202</v>
      </c>
      <c r="L1" s="136" t="s">
        <v>203</v>
      </c>
      <c r="M1" s="136" t="s">
        <v>204</v>
      </c>
      <c r="N1" s="136" t="s">
        <v>205</v>
      </c>
      <c r="O1" s="136" t="s">
        <v>206</v>
      </c>
      <c r="P1" s="136" t="s">
        <v>207</v>
      </c>
      <c r="Q1" s="136" t="s">
        <v>208</v>
      </c>
      <c r="R1" s="136" t="s">
        <v>209</v>
      </c>
      <c r="S1" s="136" t="s">
        <v>210</v>
      </c>
      <c r="T1" s="136" t="s">
        <v>211</v>
      </c>
      <c r="U1" s="136" t="s">
        <v>212</v>
      </c>
      <c r="V1" s="136" t="s">
        <v>213</v>
      </c>
      <c r="W1" s="136" t="s">
        <v>214</v>
      </c>
      <c r="X1" s="136" t="s">
        <v>215</v>
      </c>
      <c r="Y1" s="136" t="s">
        <v>216</v>
      </c>
      <c r="Z1" s="136" t="s">
        <v>217</v>
      </c>
      <c r="AA1" s="136" t="s">
        <v>218</v>
      </c>
      <c r="AB1" s="136" t="s">
        <v>219</v>
      </c>
      <c r="AC1" s="136" t="s">
        <v>220</v>
      </c>
      <c r="AD1" s="136" t="s">
        <v>221</v>
      </c>
      <c r="AE1" s="136" t="s">
        <v>222</v>
      </c>
      <c r="AF1" s="136" t="s">
        <v>223</v>
      </c>
      <c r="AG1" s="136" t="s">
        <v>224</v>
      </c>
      <c r="AH1" s="136" t="s">
        <v>225</v>
      </c>
      <c r="AI1" s="136" t="s">
        <v>226</v>
      </c>
      <c r="AJ1" s="136" t="s">
        <v>227</v>
      </c>
      <c r="AK1" s="136" t="s">
        <v>228</v>
      </c>
    </row>
    <row r="2" spans="1:37" customFormat="1" x14ac:dyDescent="0.15">
      <c r="A2" s="135" t="s">
        <v>193</v>
      </c>
      <c r="B2" s="130">
        <v>0</v>
      </c>
      <c r="C2" s="130">
        <v>0</v>
      </c>
      <c r="D2" s="130">
        <v>0</v>
      </c>
      <c r="E2" s="130">
        <v>0</v>
      </c>
      <c r="F2" s="130">
        <v>0</v>
      </c>
      <c r="G2" s="130">
        <v>0</v>
      </c>
      <c r="H2" s="130">
        <v>0</v>
      </c>
      <c r="I2" s="130">
        <v>0</v>
      </c>
      <c r="J2" s="130">
        <v>0</v>
      </c>
      <c r="K2" s="130">
        <v>0</v>
      </c>
      <c r="L2" s="130">
        <v>0</v>
      </c>
      <c r="M2" s="130">
        <v>0</v>
      </c>
      <c r="N2" s="130">
        <v>0</v>
      </c>
      <c r="O2" s="130">
        <v>0</v>
      </c>
      <c r="P2" s="130">
        <v>0</v>
      </c>
      <c r="Q2" s="130">
        <v>0</v>
      </c>
      <c r="R2" s="130">
        <v>0</v>
      </c>
      <c r="S2" s="130">
        <v>0</v>
      </c>
      <c r="T2" s="130">
        <v>0</v>
      </c>
      <c r="U2" s="130">
        <v>0</v>
      </c>
      <c r="V2" s="130">
        <v>0</v>
      </c>
      <c r="W2" s="130">
        <v>0</v>
      </c>
      <c r="X2" s="130">
        <v>0</v>
      </c>
      <c r="Y2" s="130">
        <v>0</v>
      </c>
      <c r="Z2" s="130">
        <v>0</v>
      </c>
      <c r="AA2" s="130">
        <v>0</v>
      </c>
      <c r="AB2" s="130">
        <v>0</v>
      </c>
      <c r="AC2" s="130">
        <v>0</v>
      </c>
      <c r="AD2" s="130">
        <v>0</v>
      </c>
      <c r="AE2" s="130">
        <v>0</v>
      </c>
      <c r="AF2" s="130">
        <v>0</v>
      </c>
      <c r="AG2" s="130">
        <v>0</v>
      </c>
      <c r="AH2" s="130">
        <v>0</v>
      </c>
      <c r="AI2" s="130">
        <v>0</v>
      </c>
      <c r="AJ2" s="130">
        <v>0</v>
      </c>
      <c r="AK2" s="130">
        <v>0</v>
      </c>
    </row>
    <row r="3" spans="1:37" customFormat="1" x14ac:dyDescent="0.15">
      <c r="A3" s="135" t="s">
        <v>194</v>
      </c>
      <c r="B3" s="130">
        <v>2.9999700002999966E-2</v>
      </c>
      <c r="C3" s="130">
        <v>0</v>
      </c>
      <c r="D3" s="130">
        <v>0</v>
      </c>
      <c r="E3" s="130">
        <v>0</v>
      </c>
      <c r="F3" s="130">
        <v>0</v>
      </c>
      <c r="G3" s="130">
        <v>0</v>
      </c>
      <c r="H3" s="130">
        <v>0</v>
      </c>
      <c r="I3" s="130">
        <v>0</v>
      </c>
      <c r="J3" s="130">
        <v>0</v>
      </c>
      <c r="K3" s="130">
        <v>0</v>
      </c>
      <c r="L3" s="130">
        <v>0</v>
      </c>
      <c r="M3" s="130">
        <v>0</v>
      </c>
      <c r="N3" s="130">
        <v>0</v>
      </c>
      <c r="O3" s="130">
        <v>0</v>
      </c>
      <c r="P3" s="130">
        <v>0</v>
      </c>
      <c r="Q3" s="130">
        <v>0</v>
      </c>
      <c r="R3" s="130">
        <v>0</v>
      </c>
      <c r="S3" s="130">
        <v>0</v>
      </c>
      <c r="T3" s="130">
        <v>0</v>
      </c>
      <c r="U3" s="130">
        <v>0</v>
      </c>
      <c r="V3" s="130">
        <v>0</v>
      </c>
      <c r="W3" s="130">
        <v>0</v>
      </c>
      <c r="X3" s="130">
        <v>0</v>
      </c>
      <c r="Y3" s="130">
        <v>0</v>
      </c>
      <c r="Z3" s="130">
        <v>0</v>
      </c>
      <c r="AA3" s="130">
        <v>0</v>
      </c>
      <c r="AB3" s="130">
        <v>0</v>
      </c>
      <c r="AC3" s="130">
        <v>0</v>
      </c>
      <c r="AD3" s="130">
        <v>0</v>
      </c>
      <c r="AE3" s="130">
        <v>0</v>
      </c>
      <c r="AF3" s="130">
        <v>0</v>
      </c>
      <c r="AG3" s="130">
        <v>0</v>
      </c>
      <c r="AH3" s="130">
        <v>0</v>
      </c>
      <c r="AI3" s="130">
        <v>0</v>
      </c>
      <c r="AJ3" s="130">
        <v>0</v>
      </c>
      <c r="AK3" s="130">
        <v>0</v>
      </c>
    </row>
    <row r="4" spans="1:37" customFormat="1" x14ac:dyDescent="0.15">
      <c r="A4" s="135" t="s">
        <v>195</v>
      </c>
      <c r="B4" s="130">
        <v>0.46499535004649956</v>
      </c>
      <c r="C4" s="130">
        <v>0</v>
      </c>
      <c r="D4" s="130">
        <v>0</v>
      </c>
      <c r="E4" s="130">
        <v>0</v>
      </c>
      <c r="F4" s="130">
        <v>0</v>
      </c>
      <c r="G4" s="130">
        <v>0</v>
      </c>
      <c r="H4" s="130">
        <v>0</v>
      </c>
      <c r="I4" s="130">
        <v>0</v>
      </c>
      <c r="J4" s="130">
        <v>0</v>
      </c>
      <c r="K4" s="130">
        <v>0</v>
      </c>
      <c r="L4" s="130">
        <v>0</v>
      </c>
      <c r="M4" s="130">
        <v>0</v>
      </c>
      <c r="N4" s="130">
        <v>0</v>
      </c>
      <c r="O4" s="130">
        <v>0</v>
      </c>
      <c r="P4" s="130">
        <v>0</v>
      </c>
      <c r="Q4" s="130">
        <v>0</v>
      </c>
      <c r="R4" s="130">
        <v>0</v>
      </c>
      <c r="S4" s="130">
        <v>0</v>
      </c>
      <c r="T4" s="130">
        <v>0</v>
      </c>
      <c r="U4" s="130">
        <v>0</v>
      </c>
      <c r="V4" s="130">
        <v>0</v>
      </c>
      <c r="W4" s="130">
        <v>0</v>
      </c>
      <c r="X4" s="130">
        <v>0</v>
      </c>
      <c r="Y4" s="130">
        <v>0</v>
      </c>
      <c r="Z4" s="130">
        <v>0</v>
      </c>
      <c r="AA4" s="130">
        <v>0</v>
      </c>
      <c r="AB4" s="130">
        <v>0</v>
      </c>
      <c r="AC4" s="130">
        <v>0</v>
      </c>
      <c r="AD4" s="130">
        <v>0</v>
      </c>
      <c r="AE4" s="130">
        <v>0</v>
      </c>
      <c r="AF4" s="130">
        <v>0</v>
      </c>
      <c r="AG4" s="130">
        <v>0</v>
      </c>
      <c r="AH4" s="130">
        <v>0</v>
      </c>
      <c r="AI4" s="130">
        <v>0</v>
      </c>
      <c r="AJ4" s="130">
        <v>0</v>
      </c>
      <c r="AK4" s="130">
        <v>0</v>
      </c>
    </row>
    <row r="5" spans="1:37" customFormat="1" x14ac:dyDescent="0.15">
      <c r="A5" s="135" t="s">
        <v>196</v>
      </c>
      <c r="B5" s="130">
        <v>0.36499635003649961</v>
      </c>
      <c r="C5" s="130">
        <v>0</v>
      </c>
      <c r="D5" s="130">
        <v>0</v>
      </c>
      <c r="E5" s="130">
        <v>0</v>
      </c>
      <c r="F5" s="130">
        <v>0</v>
      </c>
      <c r="G5" s="130">
        <v>0</v>
      </c>
      <c r="H5" s="130">
        <v>0</v>
      </c>
      <c r="I5" s="130">
        <v>0</v>
      </c>
      <c r="J5" s="130">
        <v>0</v>
      </c>
      <c r="K5" s="130">
        <v>0</v>
      </c>
      <c r="L5" s="130">
        <v>0</v>
      </c>
      <c r="M5" s="130">
        <v>0</v>
      </c>
      <c r="N5" s="130">
        <v>0</v>
      </c>
      <c r="O5" s="130">
        <v>0</v>
      </c>
      <c r="P5" s="130">
        <v>0</v>
      </c>
      <c r="Q5" s="130">
        <v>0</v>
      </c>
      <c r="R5" s="130">
        <v>0</v>
      </c>
      <c r="S5" s="130">
        <v>0</v>
      </c>
      <c r="T5" s="130">
        <v>0</v>
      </c>
      <c r="U5" s="130">
        <v>0</v>
      </c>
      <c r="V5" s="130">
        <v>0</v>
      </c>
      <c r="W5" s="130">
        <v>0</v>
      </c>
      <c r="X5" s="130">
        <v>0</v>
      </c>
      <c r="Y5" s="130">
        <v>0</v>
      </c>
      <c r="Z5" s="130">
        <v>0</v>
      </c>
      <c r="AA5" s="130">
        <v>0</v>
      </c>
      <c r="AB5" s="130">
        <v>0</v>
      </c>
      <c r="AC5" s="130">
        <v>0</v>
      </c>
      <c r="AD5" s="130">
        <v>0</v>
      </c>
      <c r="AE5" s="130">
        <v>0</v>
      </c>
      <c r="AF5" s="130">
        <v>0</v>
      </c>
      <c r="AG5" s="130">
        <v>0</v>
      </c>
      <c r="AH5" s="130">
        <v>0</v>
      </c>
      <c r="AI5" s="130">
        <v>0</v>
      </c>
      <c r="AJ5" s="130">
        <v>0</v>
      </c>
      <c r="AK5" s="130">
        <v>0</v>
      </c>
    </row>
    <row r="6" spans="1:37" customFormat="1" x14ac:dyDescent="0.15">
      <c r="A6" s="135" t="s">
        <v>197</v>
      </c>
      <c r="B6" s="130">
        <v>0</v>
      </c>
      <c r="C6" s="130">
        <v>1E-3</v>
      </c>
      <c r="D6" s="130">
        <v>0</v>
      </c>
      <c r="E6" s="130">
        <v>0</v>
      </c>
      <c r="F6" s="130">
        <v>0</v>
      </c>
      <c r="G6" s="130">
        <v>0</v>
      </c>
      <c r="H6" s="130">
        <v>0</v>
      </c>
      <c r="I6" s="130">
        <v>0</v>
      </c>
      <c r="J6" s="130">
        <v>0</v>
      </c>
      <c r="K6" s="130">
        <v>0</v>
      </c>
      <c r="L6" s="130">
        <v>0</v>
      </c>
      <c r="M6" s="130">
        <v>0</v>
      </c>
      <c r="N6" s="130">
        <v>0</v>
      </c>
      <c r="O6" s="130">
        <v>0</v>
      </c>
      <c r="P6" s="130">
        <v>0</v>
      </c>
      <c r="Q6" s="130">
        <v>0</v>
      </c>
      <c r="R6" s="130">
        <v>0</v>
      </c>
      <c r="S6" s="130">
        <v>0</v>
      </c>
      <c r="T6" s="130">
        <v>0</v>
      </c>
      <c r="U6" s="130">
        <v>0</v>
      </c>
      <c r="V6" s="130">
        <v>0</v>
      </c>
      <c r="W6" s="130">
        <v>0</v>
      </c>
      <c r="X6" s="130">
        <v>0</v>
      </c>
      <c r="Y6" s="130">
        <v>0</v>
      </c>
      <c r="Z6" s="130">
        <v>0</v>
      </c>
      <c r="AA6" s="130">
        <v>0</v>
      </c>
      <c r="AB6" s="130">
        <v>0</v>
      </c>
      <c r="AC6" s="130">
        <v>0</v>
      </c>
      <c r="AD6" s="130">
        <v>0</v>
      </c>
      <c r="AE6" s="130">
        <v>0</v>
      </c>
      <c r="AF6" s="130">
        <v>0</v>
      </c>
      <c r="AG6" s="130">
        <v>0</v>
      </c>
      <c r="AH6" s="130">
        <v>0</v>
      </c>
      <c r="AI6" s="130">
        <v>0</v>
      </c>
      <c r="AJ6" s="130">
        <v>0</v>
      </c>
      <c r="AK6" s="130">
        <v>0</v>
      </c>
    </row>
    <row r="7" spans="1:37" customFormat="1" x14ac:dyDescent="0.15">
      <c r="A7" s="135" t="s">
        <v>198</v>
      </c>
      <c r="B7" s="130">
        <v>9.9999000009999891E-3</v>
      </c>
      <c r="C7" s="130">
        <v>0</v>
      </c>
      <c r="D7" s="130">
        <v>0</v>
      </c>
      <c r="E7" s="130">
        <v>0</v>
      </c>
      <c r="F7" s="130">
        <v>0</v>
      </c>
      <c r="G7" s="130">
        <v>0</v>
      </c>
      <c r="H7" s="130">
        <v>0</v>
      </c>
      <c r="I7" s="130">
        <v>0</v>
      </c>
      <c r="J7" s="130">
        <v>0</v>
      </c>
      <c r="K7" s="130">
        <v>0</v>
      </c>
      <c r="L7" s="130">
        <v>0</v>
      </c>
      <c r="M7" s="130">
        <v>0</v>
      </c>
      <c r="N7" s="130">
        <v>0</v>
      </c>
      <c r="O7" s="130">
        <v>0</v>
      </c>
      <c r="P7" s="130">
        <v>0</v>
      </c>
      <c r="Q7" s="130">
        <v>0</v>
      </c>
      <c r="R7" s="130">
        <v>0</v>
      </c>
      <c r="S7" s="130">
        <v>0</v>
      </c>
      <c r="T7" s="130">
        <v>0</v>
      </c>
      <c r="U7" s="130">
        <v>0</v>
      </c>
      <c r="V7" s="130">
        <v>0</v>
      </c>
      <c r="W7" s="130">
        <v>0</v>
      </c>
      <c r="X7" s="130">
        <v>0</v>
      </c>
      <c r="Y7" s="130">
        <v>0</v>
      </c>
      <c r="Z7" s="130">
        <v>0</v>
      </c>
      <c r="AA7" s="130">
        <v>0</v>
      </c>
      <c r="AB7" s="130">
        <v>0</v>
      </c>
      <c r="AC7" s="130">
        <v>0</v>
      </c>
      <c r="AD7" s="130">
        <v>0</v>
      </c>
      <c r="AE7" s="130">
        <v>0</v>
      </c>
      <c r="AF7" s="130">
        <v>0</v>
      </c>
      <c r="AG7" s="130">
        <v>0</v>
      </c>
      <c r="AH7" s="130">
        <v>0</v>
      </c>
      <c r="AI7" s="130">
        <v>0</v>
      </c>
      <c r="AJ7" s="130">
        <v>0</v>
      </c>
      <c r="AK7" s="130">
        <v>0</v>
      </c>
    </row>
    <row r="8" spans="1:37" customFormat="1" x14ac:dyDescent="0.15">
      <c r="A8" s="135" t="s">
        <v>199</v>
      </c>
      <c r="B8" s="130">
        <v>0</v>
      </c>
      <c r="C8" s="130">
        <v>0</v>
      </c>
      <c r="D8" s="130">
        <v>0</v>
      </c>
      <c r="E8" s="130">
        <v>0</v>
      </c>
      <c r="F8" s="130">
        <v>0</v>
      </c>
      <c r="G8" s="130">
        <v>0</v>
      </c>
      <c r="H8" s="130">
        <v>0</v>
      </c>
      <c r="I8" s="130">
        <v>0</v>
      </c>
      <c r="J8" s="130">
        <v>0</v>
      </c>
      <c r="K8" s="130">
        <v>0</v>
      </c>
      <c r="L8" s="130">
        <v>0</v>
      </c>
      <c r="M8" s="130">
        <v>0</v>
      </c>
      <c r="N8" s="130">
        <v>0</v>
      </c>
      <c r="O8" s="130">
        <v>0</v>
      </c>
      <c r="P8" s="130">
        <v>0</v>
      </c>
      <c r="Q8" s="130">
        <v>0</v>
      </c>
      <c r="R8" s="130">
        <v>0</v>
      </c>
      <c r="S8" s="130">
        <v>0</v>
      </c>
      <c r="T8" s="130">
        <v>0</v>
      </c>
      <c r="U8" s="130">
        <v>0</v>
      </c>
      <c r="V8" s="130">
        <v>0</v>
      </c>
      <c r="W8" s="130">
        <v>0</v>
      </c>
      <c r="X8" s="130">
        <v>0</v>
      </c>
      <c r="Y8" s="130">
        <v>0</v>
      </c>
      <c r="Z8" s="130">
        <v>0</v>
      </c>
      <c r="AA8" s="130">
        <v>0</v>
      </c>
      <c r="AB8" s="130">
        <v>0</v>
      </c>
      <c r="AC8" s="130">
        <v>0</v>
      </c>
      <c r="AD8" s="130">
        <v>0</v>
      </c>
      <c r="AE8" s="130">
        <v>0</v>
      </c>
      <c r="AF8" s="130">
        <v>0</v>
      </c>
      <c r="AG8" s="130">
        <v>0</v>
      </c>
      <c r="AH8" s="130">
        <v>0</v>
      </c>
      <c r="AI8" s="130">
        <v>0</v>
      </c>
      <c r="AJ8" s="130">
        <v>0</v>
      </c>
      <c r="AK8" s="130">
        <v>0</v>
      </c>
    </row>
    <row r="9" spans="1:37" customFormat="1" x14ac:dyDescent="0.15">
      <c r="A9" s="135" t="s">
        <v>200</v>
      </c>
      <c r="B9" s="130">
        <v>9.9999000009999891E-3</v>
      </c>
      <c r="C9" s="130">
        <v>0</v>
      </c>
      <c r="D9" s="130">
        <v>0</v>
      </c>
      <c r="E9" s="130">
        <v>0</v>
      </c>
      <c r="F9" s="130">
        <v>0</v>
      </c>
      <c r="G9" s="130">
        <v>0</v>
      </c>
      <c r="H9" s="130">
        <v>0</v>
      </c>
      <c r="I9" s="130">
        <v>0</v>
      </c>
      <c r="J9" s="130">
        <v>0</v>
      </c>
      <c r="K9" s="130">
        <v>0</v>
      </c>
      <c r="L9" s="130">
        <v>0</v>
      </c>
      <c r="M9" s="130">
        <v>0</v>
      </c>
      <c r="N9" s="130">
        <v>0</v>
      </c>
      <c r="O9" s="130">
        <v>0</v>
      </c>
      <c r="P9" s="130">
        <v>0</v>
      </c>
      <c r="Q9" s="130">
        <v>0</v>
      </c>
      <c r="R9" s="130">
        <v>0</v>
      </c>
      <c r="S9" s="130">
        <v>0</v>
      </c>
      <c r="T9" s="130">
        <v>0</v>
      </c>
      <c r="U9" s="130">
        <v>0</v>
      </c>
      <c r="V9" s="130">
        <v>0</v>
      </c>
      <c r="W9" s="130">
        <v>0</v>
      </c>
      <c r="X9" s="130">
        <v>0</v>
      </c>
      <c r="Y9" s="130">
        <v>0</v>
      </c>
      <c r="Z9" s="130">
        <v>0</v>
      </c>
      <c r="AA9" s="130">
        <v>0</v>
      </c>
      <c r="AB9" s="130">
        <v>0</v>
      </c>
      <c r="AC9" s="130">
        <v>0</v>
      </c>
      <c r="AD9" s="130">
        <v>0</v>
      </c>
      <c r="AE9" s="130">
        <v>0</v>
      </c>
      <c r="AF9" s="130">
        <v>0</v>
      </c>
      <c r="AG9" s="130">
        <v>0</v>
      </c>
      <c r="AH9" s="130">
        <v>0</v>
      </c>
      <c r="AI9" s="130">
        <v>0</v>
      </c>
      <c r="AJ9" s="130">
        <v>0</v>
      </c>
      <c r="AK9" s="130">
        <v>0</v>
      </c>
    </row>
    <row r="10" spans="1:37" customFormat="1" x14ac:dyDescent="0.15">
      <c r="A10" s="135" t="s">
        <v>201</v>
      </c>
      <c r="B10" s="130">
        <v>9.9999000009999891E-3</v>
      </c>
      <c r="C10" s="130">
        <v>0</v>
      </c>
      <c r="D10" s="130">
        <v>0</v>
      </c>
      <c r="E10" s="130">
        <v>0</v>
      </c>
      <c r="F10" s="130">
        <v>0</v>
      </c>
      <c r="G10" s="130">
        <v>0</v>
      </c>
      <c r="H10" s="130">
        <v>0</v>
      </c>
      <c r="I10" s="130">
        <v>0</v>
      </c>
      <c r="J10" s="130">
        <v>0</v>
      </c>
      <c r="K10" s="130">
        <v>0</v>
      </c>
      <c r="L10" s="130">
        <v>0</v>
      </c>
      <c r="M10" s="130">
        <v>0</v>
      </c>
      <c r="N10" s="130">
        <v>0</v>
      </c>
      <c r="O10" s="130">
        <v>0</v>
      </c>
      <c r="P10" s="130">
        <v>0</v>
      </c>
      <c r="Q10" s="130">
        <v>0</v>
      </c>
      <c r="R10" s="130">
        <v>0</v>
      </c>
      <c r="S10" s="130">
        <v>0</v>
      </c>
      <c r="T10" s="130">
        <v>0</v>
      </c>
      <c r="U10" s="130">
        <v>0</v>
      </c>
      <c r="V10" s="130">
        <v>0</v>
      </c>
      <c r="W10" s="130">
        <v>0</v>
      </c>
      <c r="X10" s="130">
        <v>0</v>
      </c>
      <c r="Y10" s="130">
        <v>0</v>
      </c>
      <c r="Z10" s="130">
        <v>0</v>
      </c>
      <c r="AA10" s="130">
        <v>0</v>
      </c>
      <c r="AB10" s="130">
        <v>0</v>
      </c>
      <c r="AC10" s="130">
        <v>0</v>
      </c>
      <c r="AD10" s="130">
        <v>0</v>
      </c>
      <c r="AE10" s="130">
        <v>0</v>
      </c>
      <c r="AF10" s="130">
        <v>0</v>
      </c>
      <c r="AG10" s="130">
        <v>0</v>
      </c>
      <c r="AH10" s="130">
        <v>0</v>
      </c>
      <c r="AI10" s="130">
        <v>0</v>
      </c>
      <c r="AJ10" s="130">
        <v>0</v>
      </c>
      <c r="AK10" s="130">
        <v>0</v>
      </c>
    </row>
    <row r="11" spans="1:37" customFormat="1" x14ac:dyDescent="0.15">
      <c r="A11" s="135" t="s">
        <v>202</v>
      </c>
      <c r="B11" s="130">
        <v>9.9999000009999891E-3</v>
      </c>
      <c r="C11" s="130">
        <v>0</v>
      </c>
      <c r="D11" s="130">
        <v>0</v>
      </c>
      <c r="E11" s="130">
        <v>0</v>
      </c>
      <c r="F11" s="130">
        <v>0</v>
      </c>
      <c r="G11" s="130">
        <v>0</v>
      </c>
      <c r="H11" s="130">
        <v>0</v>
      </c>
      <c r="I11" s="130">
        <v>0</v>
      </c>
      <c r="J11" s="130">
        <v>0</v>
      </c>
      <c r="K11" s="130">
        <v>0</v>
      </c>
      <c r="L11" s="130">
        <v>0</v>
      </c>
      <c r="M11" s="130">
        <v>0</v>
      </c>
      <c r="N11" s="130">
        <v>0</v>
      </c>
      <c r="O11" s="130">
        <v>0</v>
      </c>
      <c r="P11" s="130">
        <v>0</v>
      </c>
      <c r="Q11" s="130">
        <v>0</v>
      </c>
      <c r="R11" s="130">
        <v>0</v>
      </c>
      <c r="S11" s="130">
        <v>0</v>
      </c>
      <c r="T11" s="130">
        <v>0</v>
      </c>
      <c r="U11" s="130">
        <v>0</v>
      </c>
      <c r="V11" s="130">
        <v>0</v>
      </c>
      <c r="W11" s="130">
        <v>0</v>
      </c>
      <c r="X11" s="130">
        <v>0</v>
      </c>
      <c r="Y11" s="130">
        <v>0</v>
      </c>
      <c r="Z11" s="130">
        <v>0</v>
      </c>
      <c r="AA11" s="130">
        <v>0</v>
      </c>
      <c r="AB11" s="130">
        <v>0</v>
      </c>
      <c r="AC11" s="130">
        <v>0</v>
      </c>
      <c r="AD11" s="130">
        <v>0</v>
      </c>
      <c r="AE11" s="130">
        <v>0</v>
      </c>
      <c r="AF11" s="130">
        <v>0</v>
      </c>
      <c r="AG11" s="130">
        <v>0</v>
      </c>
      <c r="AH11" s="130">
        <v>0</v>
      </c>
      <c r="AI11" s="130">
        <v>0</v>
      </c>
      <c r="AJ11" s="130">
        <v>0</v>
      </c>
      <c r="AK11" s="130">
        <v>0</v>
      </c>
    </row>
    <row r="12" spans="1:37" customFormat="1" x14ac:dyDescent="0.15">
      <c r="A12" s="135" t="s">
        <v>203</v>
      </c>
      <c r="B12" s="130">
        <v>9.9999000009999891E-3</v>
      </c>
      <c r="C12" s="130">
        <v>0</v>
      </c>
      <c r="D12" s="130">
        <v>0</v>
      </c>
      <c r="E12" s="130">
        <v>0</v>
      </c>
      <c r="F12" s="130">
        <v>0</v>
      </c>
      <c r="G12" s="130">
        <v>0</v>
      </c>
      <c r="H12" s="130">
        <v>0</v>
      </c>
      <c r="I12" s="130">
        <v>0</v>
      </c>
      <c r="J12" s="130">
        <v>0</v>
      </c>
      <c r="K12" s="130">
        <v>0</v>
      </c>
      <c r="L12" s="130">
        <v>0</v>
      </c>
      <c r="M12" s="130">
        <v>0</v>
      </c>
      <c r="N12" s="130">
        <v>0</v>
      </c>
      <c r="O12" s="130">
        <v>0</v>
      </c>
      <c r="P12" s="130">
        <v>0</v>
      </c>
      <c r="Q12" s="130">
        <v>0</v>
      </c>
      <c r="R12" s="130">
        <v>0</v>
      </c>
      <c r="S12" s="130">
        <v>0</v>
      </c>
      <c r="T12" s="130">
        <v>0</v>
      </c>
      <c r="U12" s="130">
        <v>0</v>
      </c>
      <c r="V12" s="130">
        <v>0</v>
      </c>
      <c r="W12" s="130">
        <v>0</v>
      </c>
      <c r="X12" s="130">
        <v>0</v>
      </c>
      <c r="Y12" s="130">
        <v>0</v>
      </c>
      <c r="Z12" s="130">
        <v>0</v>
      </c>
      <c r="AA12" s="130">
        <v>0</v>
      </c>
      <c r="AB12" s="130">
        <v>0</v>
      </c>
      <c r="AC12" s="130">
        <v>0</v>
      </c>
      <c r="AD12" s="130">
        <v>0</v>
      </c>
      <c r="AE12" s="130">
        <v>0</v>
      </c>
      <c r="AF12" s="130">
        <v>0</v>
      </c>
      <c r="AG12" s="130">
        <v>0</v>
      </c>
      <c r="AH12" s="130">
        <v>0</v>
      </c>
      <c r="AI12" s="130">
        <v>0</v>
      </c>
      <c r="AJ12" s="130">
        <v>0</v>
      </c>
      <c r="AK12" s="130">
        <v>0</v>
      </c>
    </row>
    <row r="13" spans="1:37" customFormat="1" x14ac:dyDescent="0.15">
      <c r="A13" s="135" t="s">
        <v>204</v>
      </c>
      <c r="B13" s="130">
        <v>9.9999000009999908E-6</v>
      </c>
      <c r="C13" s="130">
        <v>0</v>
      </c>
      <c r="D13" s="130">
        <v>0</v>
      </c>
      <c r="E13" s="130">
        <v>0</v>
      </c>
      <c r="F13" s="130">
        <v>0</v>
      </c>
      <c r="G13" s="130">
        <v>0</v>
      </c>
      <c r="H13" s="130">
        <v>0</v>
      </c>
      <c r="I13" s="130">
        <v>0</v>
      </c>
      <c r="J13" s="130">
        <v>0</v>
      </c>
      <c r="K13" s="130">
        <v>0</v>
      </c>
      <c r="L13" s="130">
        <v>0</v>
      </c>
      <c r="M13" s="130">
        <v>0</v>
      </c>
      <c r="N13" s="130">
        <v>0</v>
      </c>
      <c r="O13" s="130">
        <v>0</v>
      </c>
      <c r="P13" s="130">
        <v>0</v>
      </c>
      <c r="Q13" s="130">
        <v>0</v>
      </c>
      <c r="R13" s="130">
        <v>0</v>
      </c>
      <c r="S13" s="130">
        <v>0</v>
      </c>
      <c r="T13" s="130">
        <v>0</v>
      </c>
      <c r="U13" s="130">
        <v>0</v>
      </c>
      <c r="V13" s="130">
        <v>0</v>
      </c>
      <c r="W13" s="130">
        <v>0</v>
      </c>
      <c r="X13" s="130">
        <v>0</v>
      </c>
      <c r="Y13" s="130">
        <v>0</v>
      </c>
      <c r="Z13" s="130">
        <v>0</v>
      </c>
      <c r="AA13" s="130">
        <v>0</v>
      </c>
      <c r="AB13" s="130">
        <v>0</v>
      </c>
      <c r="AC13" s="130">
        <v>0</v>
      </c>
      <c r="AD13" s="130">
        <v>0</v>
      </c>
      <c r="AE13" s="130">
        <v>0</v>
      </c>
      <c r="AF13" s="130">
        <v>0</v>
      </c>
      <c r="AG13" s="130">
        <v>0</v>
      </c>
      <c r="AH13" s="130">
        <v>0</v>
      </c>
      <c r="AI13" s="130">
        <v>0</v>
      </c>
      <c r="AJ13" s="130">
        <v>0</v>
      </c>
      <c r="AK13" s="130">
        <v>0</v>
      </c>
    </row>
    <row r="14" spans="1:37" customFormat="1" x14ac:dyDescent="0.15">
      <c r="A14" s="135" t="s">
        <v>205</v>
      </c>
      <c r="B14" s="130">
        <v>1.9999800001999977E-3</v>
      </c>
      <c r="C14" s="130">
        <v>1E-3</v>
      </c>
      <c r="D14" s="130">
        <v>0</v>
      </c>
      <c r="E14" s="130">
        <v>0</v>
      </c>
      <c r="F14" s="130">
        <v>0.01</v>
      </c>
      <c r="G14" s="130">
        <v>0</v>
      </c>
      <c r="H14" s="130">
        <v>0</v>
      </c>
      <c r="I14" s="130">
        <v>0</v>
      </c>
      <c r="J14" s="130">
        <v>0</v>
      </c>
      <c r="K14" s="130">
        <v>0</v>
      </c>
      <c r="L14" s="130">
        <v>0</v>
      </c>
      <c r="M14" s="130">
        <v>0</v>
      </c>
      <c r="N14" s="130">
        <v>0</v>
      </c>
      <c r="O14" s="130">
        <v>0</v>
      </c>
      <c r="P14" s="130">
        <v>0</v>
      </c>
      <c r="Q14" s="130">
        <v>0</v>
      </c>
      <c r="R14" s="130">
        <v>0</v>
      </c>
      <c r="S14" s="130">
        <v>0</v>
      </c>
      <c r="T14" s="130">
        <v>0</v>
      </c>
      <c r="U14" s="130">
        <v>0</v>
      </c>
      <c r="V14" s="130">
        <v>0</v>
      </c>
      <c r="W14" s="130">
        <v>0</v>
      </c>
      <c r="X14" s="130">
        <v>0</v>
      </c>
      <c r="Y14" s="130">
        <v>0</v>
      </c>
      <c r="Z14" s="130">
        <v>0</v>
      </c>
      <c r="AA14" s="130">
        <v>0</v>
      </c>
      <c r="AB14" s="130">
        <v>0</v>
      </c>
      <c r="AC14" s="130">
        <v>0</v>
      </c>
      <c r="AD14" s="130">
        <v>0</v>
      </c>
      <c r="AE14" s="130">
        <v>0</v>
      </c>
      <c r="AF14" s="130">
        <v>0</v>
      </c>
      <c r="AG14" s="130">
        <v>0</v>
      </c>
      <c r="AH14" s="130">
        <v>0</v>
      </c>
      <c r="AI14" s="130">
        <v>0</v>
      </c>
      <c r="AJ14" s="130">
        <v>0</v>
      </c>
      <c r="AK14" s="130">
        <v>0</v>
      </c>
    </row>
    <row r="15" spans="1:37" customFormat="1" x14ac:dyDescent="0.15">
      <c r="A15" s="135" t="s">
        <v>206</v>
      </c>
      <c r="B15" s="130">
        <v>1.9999800001999978E-2</v>
      </c>
      <c r="C15" s="130">
        <v>0.03</v>
      </c>
      <c r="D15" s="130">
        <v>0</v>
      </c>
      <c r="E15" s="130">
        <v>0</v>
      </c>
      <c r="F15" s="130">
        <v>0.03</v>
      </c>
      <c r="G15" s="130">
        <v>0</v>
      </c>
      <c r="H15" s="130">
        <v>0</v>
      </c>
      <c r="I15" s="130">
        <v>0</v>
      </c>
      <c r="J15" s="130">
        <v>0</v>
      </c>
      <c r="K15" s="130">
        <v>0</v>
      </c>
      <c r="L15" s="130">
        <v>0</v>
      </c>
      <c r="M15" s="130">
        <v>0</v>
      </c>
      <c r="N15" s="130">
        <v>0</v>
      </c>
      <c r="O15" s="130">
        <v>0</v>
      </c>
      <c r="P15" s="130">
        <v>0</v>
      </c>
      <c r="Q15" s="130">
        <v>0</v>
      </c>
      <c r="R15" s="130">
        <v>0</v>
      </c>
      <c r="S15" s="130">
        <v>0</v>
      </c>
      <c r="T15" s="130">
        <v>0</v>
      </c>
      <c r="U15" s="130">
        <v>0</v>
      </c>
      <c r="V15" s="130">
        <v>0</v>
      </c>
      <c r="W15" s="130">
        <v>0</v>
      </c>
      <c r="X15" s="130">
        <v>0</v>
      </c>
      <c r="Y15" s="130">
        <v>0</v>
      </c>
      <c r="Z15" s="130">
        <v>0</v>
      </c>
      <c r="AA15" s="130">
        <v>0</v>
      </c>
      <c r="AB15" s="130">
        <v>0</v>
      </c>
      <c r="AC15" s="130">
        <v>0</v>
      </c>
      <c r="AD15" s="130">
        <v>0</v>
      </c>
      <c r="AE15" s="130">
        <v>0</v>
      </c>
      <c r="AF15" s="130">
        <v>0</v>
      </c>
      <c r="AG15" s="130">
        <v>0</v>
      </c>
      <c r="AH15" s="130">
        <v>0</v>
      </c>
      <c r="AI15" s="130">
        <v>0</v>
      </c>
      <c r="AJ15" s="130">
        <v>0</v>
      </c>
      <c r="AK15" s="130">
        <v>0</v>
      </c>
    </row>
    <row r="16" spans="1:37" customFormat="1" x14ac:dyDescent="0.15">
      <c r="A16" s="135" t="s">
        <v>207</v>
      </c>
      <c r="B16" s="130">
        <v>3.9999600003999955E-3</v>
      </c>
      <c r="C16" s="130">
        <v>0</v>
      </c>
      <c r="D16" s="130">
        <v>0</v>
      </c>
      <c r="E16" s="130">
        <v>0</v>
      </c>
      <c r="F16" s="130">
        <v>5.0000000000000001E-3</v>
      </c>
      <c r="G16" s="130">
        <v>0</v>
      </c>
      <c r="H16" s="130">
        <v>0</v>
      </c>
      <c r="I16" s="130">
        <v>0</v>
      </c>
      <c r="J16" s="130">
        <v>0</v>
      </c>
      <c r="K16" s="130">
        <v>0</v>
      </c>
      <c r="L16" s="130">
        <v>0</v>
      </c>
      <c r="M16" s="130">
        <v>0</v>
      </c>
      <c r="N16" s="130">
        <v>0</v>
      </c>
      <c r="O16" s="130">
        <v>0</v>
      </c>
      <c r="P16" s="130">
        <v>0</v>
      </c>
      <c r="Q16" s="130">
        <v>0</v>
      </c>
      <c r="R16" s="130">
        <v>0</v>
      </c>
      <c r="S16" s="130">
        <v>0</v>
      </c>
      <c r="T16" s="130">
        <v>0</v>
      </c>
      <c r="U16" s="130">
        <v>0</v>
      </c>
      <c r="V16" s="130">
        <v>0</v>
      </c>
      <c r="W16" s="130">
        <v>0</v>
      </c>
      <c r="X16" s="130">
        <v>0</v>
      </c>
      <c r="Y16" s="130">
        <v>0</v>
      </c>
      <c r="Z16" s="130">
        <v>0</v>
      </c>
      <c r="AA16" s="130">
        <v>0</v>
      </c>
      <c r="AB16" s="130">
        <v>0</v>
      </c>
      <c r="AC16" s="130">
        <v>0</v>
      </c>
      <c r="AD16" s="130">
        <v>0</v>
      </c>
      <c r="AE16" s="130">
        <v>0</v>
      </c>
      <c r="AF16" s="130">
        <v>0</v>
      </c>
      <c r="AG16" s="130">
        <v>0</v>
      </c>
      <c r="AH16" s="130">
        <v>0</v>
      </c>
      <c r="AI16" s="130">
        <v>0</v>
      </c>
      <c r="AJ16" s="130">
        <v>0</v>
      </c>
      <c r="AK16" s="130">
        <v>0</v>
      </c>
    </row>
    <row r="17" spans="1:37" customFormat="1" x14ac:dyDescent="0.15">
      <c r="A17" s="135" t="s">
        <v>208</v>
      </c>
      <c r="B17" s="130">
        <v>0</v>
      </c>
      <c r="C17" s="130">
        <v>0</v>
      </c>
      <c r="D17" s="130">
        <v>0</v>
      </c>
      <c r="E17" s="130">
        <v>0</v>
      </c>
      <c r="F17" s="130">
        <v>1E-3</v>
      </c>
      <c r="G17" s="130">
        <v>0</v>
      </c>
      <c r="H17" s="130">
        <v>0</v>
      </c>
      <c r="I17" s="130">
        <v>0</v>
      </c>
      <c r="J17" s="130">
        <v>0</v>
      </c>
      <c r="K17" s="130">
        <v>0</v>
      </c>
      <c r="L17" s="130">
        <v>0</v>
      </c>
      <c r="M17" s="130">
        <v>0</v>
      </c>
      <c r="N17" s="130">
        <v>0</v>
      </c>
      <c r="O17" s="130">
        <v>0</v>
      </c>
      <c r="P17" s="130">
        <v>0</v>
      </c>
      <c r="Q17" s="130">
        <v>0</v>
      </c>
      <c r="R17" s="130">
        <v>0</v>
      </c>
      <c r="S17" s="130">
        <v>0</v>
      </c>
      <c r="T17" s="130">
        <v>0</v>
      </c>
      <c r="U17" s="130">
        <v>0</v>
      </c>
      <c r="V17" s="130">
        <v>0</v>
      </c>
      <c r="W17" s="130">
        <v>0</v>
      </c>
      <c r="X17" s="130">
        <v>0</v>
      </c>
      <c r="Y17" s="130">
        <v>0</v>
      </c>
      <c r="Z17" s="130">
        <v>0</v>
      </c>
      <c r="AA17" s="130">
        <v>0</v>
      </c>
      <c r="AB17" s="130">
        <v>0</v>
      </c>
      <c r="AC17" s="130">
        <v>0</v>
      </c>
      <c r="AD17" s="130">
        <v>0</v>
      </c>
      <c r="AE17" s="130">
        <v>0</v>
      </c>
      <c r="AF17" s="130">
        <v>0</v>
      </c>
      <c r="AG17" s="130">
        <v>0</v>
      </c>
      <c r="AH17" s="130">
        <v>0</v>
      </c>
      <c r="AI17" s="130">
        <v>0</v>
      </c>
      <c r="AJ17" s="130">
        <v>0</v>
      </c>
      <c r="AK17" s="130">
        <v>0</v>
      </c>
    </row>
    <row r="18" spans="1:37" customFormat="1" x14ac:dyDescent="0.15">
      <c r="A18" s="135" t="s">
        <v>209</v>
      </c>
      <c r="B18" s="130">
        <v>0</v>
      </c>
      <c r="C18" s="130">
        <v>0</v>
      </c>
      <c r="D18" s="130">
        <v>0</v>
      </c>
      <c r="E18" s="130">
        <v>0</v>
      </c>
      <c r="F18" s="130">
        <v>0</v>
      </c>
      <c r="G18" s="130">
        <v>0</v>
      </c>
      <c r="H18" s="130">
        <v>0</v>
      </c>
      <c r="I18" s="130">
        <v>0</v>
      </c>
      <c r="J18" s="130">
        <v>0</v>
      </c>
      <c r="K18" s="130">
        <v>0</v>
      </c>
      <c r="L18" s="130">
        <v>0</v>
      </c>
      <c r="M18" s="130">
        <v>0</v>
      </c>
      <c r="N18" s="130">
        <v>0</v>
      </c>
      <c r="O18" s="130">
        <v>0</v>
      </c>
      <c r="P18" s="130">
        <v>0</v>
      </c>
      <c r="Q18" s="130">
        <v>0</v>
      </c>
      <c r="R18" s="130">
        <v>0</v>
      </c>
      <c r="S18" s="130">
        <v>0</v>
      </c>
      <c r="T18" s="130">
        <v>0</v>
      </c>
      <c r="U18" s="130">
        <v>0</v>
      </c>
      <c r="V18" s="130">
        <v>0</v>
      </c>
      <c r="W18" s="130">
        <v>0</v>
      </c>
      <c r="X18" s="130">
        <v>0</v>
      </c>
      <c r="Y18" s="130">
        <v>0</v>
      </c>
      <c r="Z18" s="130">
        <v>0</v>
      </c>
      <c r="AA18" s="130">
        <v>0</v>
      </c>
      <c r="AB18" s="130">
        <v>0</v>
      </c>
      <c r="AC18" s="130">
        <v>0</v>
      </c>
      <c r="AD18" s="130">
        <v>0</v>
      </c>
      <c r="AE18" s="130">
        <v>0</v>
      </c>
      <c r="AF18" s="130">
        <v>0</v>
      </c>
      <c r="AG18" s="130">
        <v>0</v>
      </c>
      <c r="AH18" s="130">
        <v>0</v>
      </c>
      <c r="AI18" s="130">
        <v>0</v>
      </c>
      <c r="AJ18" s="130">
        <v>0</v>
      </c>
      <c r="AK18" s="130">
        <v>0</v>
      </c>
    </row>
    <row r="19" spans="1:37" customFormat="1" x14ac:dyDescent="0.15">
      <c r="A19" s="135" t="s">
        <v>210</v>
      </c>
      <c r="B19" s="130">
        <v>0</v>
      </c>
      <c r="C19" s="130">
        <v>7.8E-2</v>
      </c>
      <c r="D19" s="130">
        <v>0.08</v>
      </c>
      <c r="E19" s="130">
        <v>7.4999999999999997E-2</v>
      </c>
      <c r="F19" s="130">
        <v>5.3999999999999999E-2</v>
      </c>
      <c r="G19" s="130">
        <v>0.6</v>
      </c>
      <c r="H19" s="130">
        <v>0.85</v>
      </c>
      <c r="I19" s="130">
        <v>0</v>
      </c>
      <c r="J19" s="130">
        <v>0</v>
      </c>
      <c r="K19" s="130">
        <v>0</v>
      </c>
      <c r="L19" s="130">
        <v>0.06</v>
      </c>
      <c r="M19" s="130">
        <v>0.1</v>
      </c>
      <c r="N19" s="130">
        <v>0</v>
      </c>
      <c r="O19" s="130">
        <v>0</v>
      </c>
      <c r="P19" s="130">
        <v>0</v>
      </c>
      <c r="Q19" s="130">
        <v>0.01</v>
      </c>
      <c r="R19" s="130">
        <v>0.46000000000000008</v>
      </c>
      <c r="S19" s="130">
        <v>0</v>
      </c>
      <c r="T19" s="130">
        <v>0</v>
      </c>
      <c r="U19" s="130">
        <v>5.5E-2</v>
      </c>
      <c r="V19" s="130">
        <v>0</v>
      </c>
      <c r="W19" s="130">
        <v>0</v>
      </c>
      <c r="X19" s="130">
        <v>0.01</v>
      </c>
      <c r="Y19" s="130">
        <v>0</v>
      </c>
      <c r="Z19" s="130">
        <v>0</v>
      </c>
      <c r="AA19" s="130">
        <v>0</v>
      </c>
      <c r="AB19" s="130">
        <v>0</v>
      </c>
      <c r="AC19" s="130">
        <v>0</v>
      </c>
      <c r="AD19" s="130">
        <v>0</v>
      </c>
      <c r="AE19" s="130">
        <v>0</v>
      </c>
      <c r="AF19" s="130">
        <v>0</v>
      </c>
      <c r="AG19" s="130">
        <v>0</v>
      </c>
      <c r="AH19" s="130">
        <v>0</v>
      </c>
      <c r="AI19" s="130">
        <v>0</v>
      </c>
      <c r="AJ19" s="130">
        <v>0</v>
      </c>
      <c r="AK19" s="130">
        <v>0</v>
      </c>
    </row>
    <row r="20" spans="1:37" customFormat="1" x14ac:dyDescent="0.15">
      <c r="A20" s="135" t="s">
        <v>211</v>
      </c>
      <c r="B20" s="130">
        <v>2.899971000289997E-2</v>
      </c>
      <c r="C20" s="130">
        <v>0.04</v>
      </c>
      <c r="D20" s="130">
        <v>0.05</v>
      </c>
      <c r="E20" s="130">
        <v>7.4999999999999997E-2</v>
      </c>
      <c r="F20" s="130">
        <v>0.2</v>
      </c>
      <c r="G20" s="130">
        <v>0.1</v>
      </c>
      <c r="H20" s="130">
        <v>5.0000000000000001E-3</v>
      </c>
      <c r="I20" s="130">
        <v>0</v>
      </c>
      <c r="J20" s="130">
        <v>1.4999999999999999E-2</v>
      </c>
      <c r="K20" s="130">
        <v>0.01</v>
      </c>
      <c r="L20" s="130">
        <v>0.04</v>
      </c>
      <c r="M20" s="130">
        <v>0</v>
      </c>
      <c r="N20" s="130">
        <v>0.1</v>
      </c>
      <c r="O20" s="130">
        <v>2.2499999999999999E-2</v>
      </c>
      <c r="P20" s="130">
        <v>1.2500000000000002E-2</v>
      </c>
      <c r="Q20" s="130">
        <v>0.1</v>
      </c>
      <c r="R20" s="130">
        <v>4.3000000000000003E-2</v>
      </c>
      <c r="S20" s="130">
        <v>0.02</v>
      </c>
      <c r="T20" s="130">
        <v>0</v>
      </c>
      <c r="U20" s="130">
        <v>0.02</v>
      </c>
      <c r="V20" s="130">
        <v>0.1</v>
      </c>
      <c r="W20" s="130">
        <v>0.01</v>
      </c>
      <c r="X20" s="130">
        <v>0.02</v>
      </c>
      <c r="Y20" s="130">
        <v>0</v>
      </c>
      <c r="Z20" s="130">
        <v>0</v>
      </c>
      <c r="AA20" s="130">
        <v>0</v>
      </c>
      <c r="AB20" s="130">
        <v>0</v>
      </c>
      <c r="AC20" s="130">
        <v>0</v>
      </c>
      <c r="AD20" s="130">
        <v>0</v>
      </c>
      <c r="AE20" s="130">
        <v>0</v>
      </c>
      <c r="AF20" s="130">
        <v>0</v>
      </c>
      <c r="AG20" s="130">
        <v>0</v>
      </c>
      <c r="AH20" s="130">
        <v>0</v>
      </c>
      <c r="AI20" s="130">
        <v>0</v>
      </c>
      <c r="AJ20" s="130">
        <v>0</v>
      </c>
      <c r="AK20" s="130">
        <v>0</v>
      </c>
    </row>
    <row r="21" spans="1:37" customFormat="1" x14ac:dyDescent="0.15">
      <c r="A21" s="135" t="s">
        <v>212</v>
      </c>
      <c r="B21" s="130">
        <v>1.9999800001999978E-2</v>
      </c>
      <c r="C21" s="130">
        <v>0</v>
      </c>
      <c r="D21" s="130">
        <v>0.6</v>
      </c>
      <c r="E21" s="130">
        <v>7.0000000000000007E-2</v>
      </c>
      <c r="F21" s="130">
        <v>0.2</v>
      </c>
      <c r="G21" s="130">
        <v>0.14000000000000001</v>
      </c>
      <c r="H21" s="130">
        <v>4.4999999999999998E-2</v>
      </c>
      <c r="I21" s="130">
        <v>0</v>
      </c>
      <c r="J21" s="130">
        <v>1.4999999999999999E-2</v>
      </c>
      <c r="K21" s="130">
        <v>0.01</v>
      </c>
      <c r="L21" s="130">
        <v>0.04</v>
      </c>
      <c r="M21" s="130">
        <v>0.38</v>
      </c>
      <c r="N21" s="130">
        <v>0.1</v>
      </c>
      <c r="O21" s="130">
        <v>2.2499999999999999E-2</v>
      </c>
      <c r="P21" s="130">
        <v>0</v>
      </c>
      <c r="Q21" s="130">
        <v>0.12</v>
      </c>
      <c r="R21" s="130">
        <v>8.7000000000000008E-2</v>
      </c>
      <c r="S21" s="130">
        <v>0.02</v>
      </c>
      <c r="T21" s="130">
        <v>0</v>
      </c>
      <c r="U21" s="130">
        <v>0</v>
      </c>
      <c r="V21" s="130">
        <v>0</v>
      </c>
      <c r="W21" s="130">
        <v>0</v>
      </c>
      <c r="X21" s="130">
        <v>0</v>
      </c>
      <c r="Y21" s="130">
        <v>0</v>
      </c>
      <c r="Z21" s="130">
        <v>0</v>
      </c>
      <c r="AA21" s="130">
        <v>0</v>
      </c>
      <c r="AB21" s="130">
        <v>0</v>
      </c>
      <c r="AC21" s="130">
        <v>0</v>
      </c>
      <c r="AD21" s="130">
        <v>0</v>
      </c>
      <c r="AE21" s="130">
        <v>0</v>
      </c>
      <c r="AF21" s="130">
        <v>0</v>
      </c>
      <c r="AG21" s="130">
        <v>0</v>
      </c>
      <c r="AH21" s="130">
        <v>0</v>
      </c>
      <c r="AI21" s="130">
        <v>0</v>
      </c>
      <c r="AJ21" s="130">
        <v>0</v>
      </c>
      <c r="AK21" s="130">
        <v>0</v>
      </c>
    </row>
    <row r="22" spans="1:37" customFormat="1" x14ac:dyDescent="0.15">
      <c r="A22" s="135" t="s">
        <v>213</v>
      </c>
      <c r="B22" s="130">
        <v>4.9999500004999945E-3</v>
      </c>
      <c r="C22" s="130">
        <v>0</v>
      </c>
      <c r="D22" s="130">
        <v>0</v>
      </c>
      <c r="E22" s="130">
        <v>0</v>
      </c>
      <c r="F22" s="130">
        <v>0</v>
      </c>
      <c r="G22" s="130">
        <v>0.1</v>
      </c>
      <c r="H22" s="130">
        <v>0</v>
      </c>
      <c r="I22" s="130">
        <v>0</v>
      </c>
      <c r="J22" s="130">
        <v>0</v>
      </c>
      <c r="K22" s="130">
        <v>0</v>
      </c>
      <c r="L22" s="130">
        <v>0</v>
      </c>
      <c r="M22" s="130">
        <v>0</v>
      </c>
      <c r="N22" s="130">
        <v>0</v>
      </c>
      <c r="O22" s="130">
        <v>0</v>
      </c>
      <c r="P22" s="130">
        <v>0</v>
      </c>
      <c r="Q22" s="130">
        <v>0</v>
      </c>
      <c r="R22" s="130">
        <v>0</v>
      </c>
      <c r="S22" s="130">
        <v>0</v>
      </c>
      <c r="T22" s="130">
        <v>0</v>
      </c>
      <c r="U22" s="130">
        <v>0</v>
      </c>
      <c r="V22" s="130">
        <v>0</v>
      </c>
      <c r="W22" s="130">
        <v>0</v>
      </c>
      <c r="X22" s="130">
        <v>0</v>
      </c>
      <c r="Y22" s="130">
        <v>0</v>
      </c>
      <c r="Z22" s="130">
        <v>0</v>
      </c>
      <c r="AA22" s="130">
        <v>0</v>
      </c>
      <c r="AB22" s="130">
        <v>0</v>
      </c>
      <c r="AC22" s="130">
        <v>0</v>
      </c>
      <c r="AD22" s="130">
        <v>0</v>
      </c>
      <c r="AE22" s="130">
        <v>0</v>
      </c>
      <c r="AF22" s="130">
        <v>0</v>
      </c>
      <c r="AG22" s="130">
        <v>0</v>
      </c>
      <c r="AH22" s="130">
        <v>0</v>
      </c>
      <c r="AI22" s="130">
        <v>0</v>
      </c>
      <c r="AJ22" s="130">
        <v>0</v>
      </c>
      <c r="AK22" s="130">
        <v>0</v>
      </c>
    </row>
    <row r="23" spans="1:37" customFormat="1" x14ac:dyDescent="0.15">
      <c r="A23" s="135" t="s">
        <v>214</v>
      </c>
      <c r="B23" s="130">
        <v>0</v>
      </c>
      <c r="C23" s="130">
        <v>0</v>
      </c>
      <c r="D23" s="130">
        <v>0</v>
      </c>
      <c r="E23" s="130">
        <v>0</v>
      </c>
      <c r="F23" s="130">
        <v>0</v>
      </c>
      <c r="G23" s="130">
        <v>0</v>
      </c>
      <c r="H23" s="130">
        <v>0</v>
      </c>
      <c r="I23" s="130">
        <v>0</v>
      </c>
      <c r="J23" s="130">
        <v>0</v>
      </c>
      <c r="K23" s="130">
        <v>0</v>
      </c>
      <c r="L23" s="130">
        <v>0</v>
      </c>
      <c r="M23" s="130">
        <v>0</v>
      </c>
      <c r="N23" s="130">
        <v>0</v>
      </c>
      <c r="O23" s="130">
        <v>0</v>
      </c>
      <c r="P23" s="130">
        <v>5.0000000000000012E-4</v>
      </c>
      <c r="Q23" s="130">
        <v>0</v>
      </c>
      <c r="R23" s="130">
        <v>0</v>
      </c>
      <c r="S23" s="130">
        <v>0</v>
      </c>
      <c r="T23" s="130">
        <v>0</v>
      </c>
      <c r="U23" s="130">
        <v>1.4999999999999999E-2</v>
      </c>
      <c r="V23" s="130">
        <v>0</v>
      </c>
      <c r="W23" s="130">
        <v>0</v>
      </c>
      <c r="X23" s="130">
        <v>0</v>
      </c>
      <c r="Y23" s="130">
        <v>0</v>
      </c>
      <c r="Z23" s="130">
        <v>0</v>
      </c>
      <c r="AA23" s="130">
        <v>0</v>
      </c>
      <c r="AB23" s="130">
        <v>0</v>
      </c>
      <c r="AC23" s="130">
        <v>0</v>
      </c>
      <c r="AD23" s="130">
        <v>0</v>
      </c>
      <c r="AE23" s="130">
        <v>0</v>
      </c>
      <c r="AF23" s="130">
        <v>0</v>
      </c>
      <c r="AG23" s="130">
        <v>0</v>
      </c>
      <c r="AH23" s="130">
        <v>0</v>
      </c>
      <c r="AI23" s="130">
        <v>0</v>
      </c>
      <c r="AJ23" s="130">
        <v>0</v>
      </c>
      <c r="AK23" s="130">
        <v>0</v>
      </c>
    </row>
    <row r="24" spans="1:37" customFormat="1" x14ac:dyDescent="0.15">
      <c r="A24" s="135" t="s">
        <v>215</v>
      </c>
      <c r="B24" s="130">
        <v>9.9999000009999891E-3</v>
      </c>
      <c r="C24" s="130">
        <v>0.15</v>
      </c>
      <c r="D24" s="130">
        <v>0.22</v>
      </c>
      <c r="E24" s="130">
        <v>0</v>
      </c>
      <c r="F24" s="130">
        <v>0</v>
      </c>
      <c r="G24" s="130">
        <v>0.06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1.2500000000000002E-2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v>0</v>
      </c>
      <c r="AG24" s="130">
        <v>0</v>
      </c>
      <c r="AH24" s="130">
        <v>0</v>
      </c>
      <c r="AI24" s="130">
        <v>0</v>
      </c>
      <c r="AJ24" s="130">
        <v>0</v>
      </c>
      <c r="AK24" s="130">
        <v>0</v>
      </c>
    </row>
    <row r="25" spans="1:37" customFormat="1" x14ac:dyDescent="0.15">
      <c r="A25" s="135" t="s">
        <v>216</v>
      </c>
      <c r="B25" s="130">
        <v>0</v>
      </c>
      <c r="C25" s="130">
        <v>0</v>
      </c>
      <c r="D25" s="130">
        <v>0</v>
      </c>
      <c r="E25" s="130">
        <v>0</v>
      </c>
      <c r="F25" s="130">
        <v>0</v>
      </c>
      <c r="G25" s="130">
        <v>0</v>
      </c>
      <c r="H25" s="130">
        <v>0</v>
      </c>
      <c r="I25" s="130">
        <v>0</v>
      </c>
      <c r="J25" s="130">
        <v>0</v>
      </c>
      <c r="K25" s="130">
        <v>0</v>
      </c>
      <c r="L25" s="130">
        <v>0</v>
      </c>
      <c r="M25" s="130">
        <v>0</v>
      </c>
      <c r="N25" s="130">
        <v>0</v>
      </c>
      <c r="O25" s="130">
        <v>0</v>
      </c>
      <c r="P25" s="130">
        <v>0</v>
      </c>
      <c r="Q25" s="130">
        <v>0</v>
      </c>
      <c r="R25" s="130">
        <v>0</v>
      </c>
      <c r="S25" s="130">
        <v>0</v>
      </c>
      <c r="T25" s="130">
        <v>0</v>
      </c>
      <c r="U25" s="130">
        <v>0.01</v>
      </c>
      <c r="V25" s="130">
        <v>0.02</v>
      </c>
      <c r="W25" s="130">
        <v>0</v>
      </c>
      <c r="X25" s="130">
        <v>0.17</v>
      </c>
      <c r="Y25" s="130">
        <v>0</v>
      </c>
      <c r="Z25" s="130">
        <v>0</v>
      </c>
      <c r="AA25" s="130">
        <v>0</v>
      </c>
      <c r="AB25" s="130">
        <v>0</v>
      </c>
      <c r="AC25" s="130">
        <v>0</v>
      </c>
      <c r="AD25" s="130">
        <v>0</v>
      </c>
      <c r="AE25" s="130">
        <v>0</v>
      </c>
      <c r="AF25" s="130">
        <v>0</v>
      </c>
      <c r="AG25" s="130">
        <v>0</v>
      </c>
      <c r="AH25" s="130">
        <v>0</v>
      </c>
      <c r="AI25" s="130">
        <v>0</v>
      </c>
      <c r="AJ25" s="130">
        <v>0</v>
      </c>
      <c r="AK25" s="130">
        <v>0</v>
      </c>
    </row>
    <row r="26" spans="1:37" customFormat="1" x14ac:dyDescent="0.15">
      <c r="A26" s="135" t="s">
        <v>217</v>
      </c>
      <c r="B26" s="130">
        <v>0</v>
      </c>
      <c r="C26" s="130">
        <v>0</v>
      </c>
      <c r="D26" s="130">
        <v>0.05</v>
      </c>
      <c r="E26" s="130">
        <v>0</v>
      </c>
      <c r="F26" s="130">
        <v>0</v>
      </c>
      <c r="G26" s="130">
        <v>0</v>
      </c>
      <c r="H26" s="130">
        <v>0.1</v>
      </c>
      <c r="I26" s="130">
        <v>0</v>
      </c>
      <c r="J26" s="130">
        <v>0</v>
      </c>
      <c r="K26" s="130">
        <v>0</v>
      </c>
      <c r="L26" s="130">
        <v>0</v>
      </c>
      <c r="M26" s="130">
        <v>0</v>
      </c>
      <c r="N26" s="130">
        <v>0</v>
      </c>
      <c r="O26" s="130">
        <v>0</v>
      </c>
      <c r="P26" s="130">
        <v>0</v>
      </c>
      <c r="Q26" s="130">
        <v>0</v>
      </c>
      <c r="R26" s="130">
        <v>0</v>
      </c>
      <c r="S26" s="130">
        <v>0.21</v>
      </c>
      <c r="T26" s="130">
        <v>0</v>
      </c>
      <c r="U26" s="130">
        <v>0.2</v>
      </c>
      <c r="V26" s="130">
        <v>0.02</v>
      </c>
      <c r="W26" s="130">
        <v>0</v>
      </c>
      <c r="X26" s="130">
        <v>0.59</v>
      </c>
      <c r="Y26" s="130">
        <v>0</v>
      </c>
      <c r="Z26" s="130">
        <v>0</v>
      </c>
      <c r="AA26" s="130">
        <v>0</v>
      </c>
      <c r="AB26" s="130">
        <v>0</v>
      </c>
      <c r="AC26" s="130">
        <v>0</v>
      </c>
      <c r="AD26" s="130">
        <v>0</v>
      </c>
      <c r="AE26" s="130">
        <v>0</v>
      </c>
      <c r="AF26" s="130">
        <v>0</v>
      </c>
      <c r="AG26" s="130">
        <v>0</v>
      </c>
      <c r="AH26" s="130">
        <v>0</v>
      </c>
      <c r="AI26" s="130">
        <v>0</v>
      </c>
      <c r="AJ26" s="130">
        <v>0</v>
      </c>
      <c r="AK26" s="130">
        <v>0</v>
      </c>
    </row>
    <row r="27" spans="1:37" customFormat="1" x14ac:dyDescent="0.15">
      <c r="A27" s="135" t="s">
        <v>218</v>
      </c>
      <c r="B27" s="130">
        <v>0</v>
      </c>
      <c r="C27" s="130">
        <v>0.7</v>
      </c>
      <c r="D27" s="130">
        <v>0</v>
      </c>
      <c r="E27" s="130">
        <v>0.78</v>
      </c>
      <c r="F27" s="130">
        <v>0.5</v>
      </c>
      <c r="G27" s="130">
        <v>0</v>
      </c>
      <c r="H27" s="130">
        <v>0</v>
      </c>
      <c r="I27" s="130">
        <v>0.61</v>
      </c>
      <c r="J27" s="130">
        <v>0.71</v>
      </c>
      <c r="K27" s="130">
        <v>0.76</v>
      </c>
      <c r="L27" s="130">
        <v>0.76</v>
      </c>
      <c r="M27" s="130">
        <v>0.52</v>
      </c>
      <c r="N27" s="130">
        <v>0.8</v>
      </c>
      <c r="O27" s="130">
        <v>0.95</v>
      </c>
      <c r="P27" s="130">
        <v>0.96200000000000008</v>
      </c>
      <c r="Q27" s="130">
        <v>0.34</v>
      </c>
      <c r="R27" s="130">
        <v>0.30000000000000004</v>
      </c>
      <c r="S27" s="130">
        <v>0.4</v>
      </c>
      <c r="T27" s="130">
        <v>0.25</v>
      </c>
      <c r="U27" s="130">
        <v>0.25</v>
      </c>
      <c r="V27" s="130">
        <v>0.6</v>
      </c>
      <c r="W27" s="130">
        <v>0.9</v>
      </c>
      <c r="X27" s="130">
        <v>0.09</v>
      </c>
      <c r="Y27" s="130">
        <v>0</v>
      </c>
      <c r="Z27" s="130">
        <v>0</v>
      </c>
      <c r="AA27" s="130">
        <v>0</v>
      </c>
      <c r="AB27" s="130">
        <v>0</v>
      </c>
      <c r="AC27" s="130">
        <v>0</v>
      </c>
      <c r="AD27" s="130">
        <v>0</v>
      </c>
      <c r="AE27" s="130">
        <v>0</v>
      </c>
      <c r="AF27" s="130">
        <v>0.01</v>
      </c>
      <c r="AG27" s="130">
        <v>0</v>
      </c>
      <c r="AH27" s="130">
        <v>0</v>
      </c>
      <c r="AI27" s="130">
        <v>0</v>
      </c>
      <c r="AJ27" s="130">
        <v>0</v>
      </c>
      <c r="AK27" s="130">
        <v>0</v>
      </c>
    </row>
    <row r="28" spans="1:37" customFormat="1" x14ac:dyDescent="0.15">
      <c r="A28" s="135" t="s">
        <v>219</v>
      </c>
      <c r="B28" s="130">
        <v>0</v>
      </c>
      <c r="C28" s="130">
        <v>0</v>
      </c>
      <c r="D28" s="130">
        <v>0</v>
      </c>
      <c r="E28" s="130">
        <v>0</v>
      </c>
      <c r="F28" s="130">
        <v>0</v>
      </c>
      <c r="G28" s="130">
        <v>0</v>
      </c>
      <c r="H28" s="130">
        <v>0</v>
      </c>
      <c r="I28" s="130">
        <v>0</v>
      </c>
      <c r="J28" s="130">
        <v>0</v>
      </c>
      <c r="K28" s="130">
        <v>0</v>
      </c>
      <c r="L28" s="130">
        <v>0</v>
      </c>
      <c r="M28" s="130">
        <v>0</v>
      </c>
      <c r="N28" s="130">
        <v>0</v>
      </c>
      <c r="O28" s="130">
        <v>0</v>
      </c>
      <c r="P28" s="130">
        <v>0</v>
      </c>
      <c r="Q28" s="130">
        <v>0</v>
      </c>
      <c r="R28" s="130">
        <v>0</v>
      </c>
      <c r="S28" s="130">
        <v>0</v>
      </c>
      <c r="T28" s="130">
        <v>0</v>
      </c>
      <c r="U28" s="130">
        <v>0</v>
      </c>
      <c r="V28" s="130">
        <v>0</v>
      </c>
      <c r="W28" s="130">
        <v>0</v>
      </c>
      <c r="X28" s="130">
        <v>0</v>
      </c>
      <c r="Y28" s="130">
        <v>1E-3</v>
      </c>
      <c r="Z28" s="130">
        <v>0</v>
      </c>
      <c r="AA28" s="130">
        <v>0</v>
      </c>
      <c r="AB28" s="130">
        <v>0</v>
      </c>
      <c r="AC28" s="130">
        <v>0</v>
      </c>
      <c r="AD28" s="130">
        <v>0</v>
      </c>
      <c r="AE28" s="130">
        <v>0</v>
      </c>
      <c r="AF28" s="130">
        <v>0.02</v>
      </c>
      <c r="AG28" s="130">
        <v>0</v>
      </c>
      <c r="AH28" s="130">
        <v>0</v>
      </c>
      <c r="AI28" s="130">
        <v>0</v>
      </c>
      <c r="AJ28" s="130">
        <v>0</v>
      </c>
      <c r="AK28" s="130">
        <v>0</v>
      </c>
    </row>
    <row r="29" spans="1:37" customFormat="1" x14ac:dyDescent="0.15">
      <c r="A29" s="135" t="s">
        <v>220</v>
      </c>
      <c r="B29" s="130">
        <v>0</v>
      </c>
      <c r="C29" s="130">
        <v>0</v>
      </c>
      <c r="D29" s="130">
        <v>0</v>
      </c>
      <c r="E29" s="130">
        <v>0</v>
      </c>
      <c r="F29" s="130">
        <v>0</v>
      </c>
      <c r="G29" s="130">
        <v>0</v>
      </c>
      <c r="H29" s="130">
        <v>0</v>
      </c>
      <c r="I29" s="130">
        <v>0.2</v>
      </c>
      <c r="J29" s="130">
        <v>0.12</v>
      </c>
      <c r="K29" s="130">
        <v>0.11</v>
      </c>
      <c r="L29" s="130">
        <v>0</v>
      </c>
      <c r="M29" s="130">
        <v>0</v>
      </c>
      <c r="N29" s="130">
        <v>0</v>
      </c>
      <c r="O29" s="130">
        <v>0</v>
      </c>
      <c r="P29" s="130">
        <v>0</v>
      </c>
      <c r="Q29" s="130">
        <v>0.35</v>
      </c>
      <c r="R29" s="130">
        <v>0</v>
      </c>
      <c r="S29" s="130">
        <v>0.15</v>
      </c>
      <c r="T29" s="130">
        <v>0.35</v>
      </c>
      <c r="U29" s="130">
        <v>0.13500000000000001</v>
      </c>
      <c r="V29" s="130">
        <v>0.2</v>
      </c>
      <c r="W29" s="130">
        <v>0.08</v>
      </c>
      <c r="X29" s="130">
        <v>0</v>
      </c>
      <c r="Y29" s="130">
        <v>0</v>
      </c>
      <c r="Z29" s="130">
        <v>0</v>
      </c>
      <c r="AA29" s="130">
        <v>0</v>
      </c>
      <c r="AB29" s="130">
        <v>0</v>
      </c>
      <c r="AC29" s="130">
        <v>0</v>
      </c>
      <c r="AD29" s="130">
        <v>0</v>
      </c>
      <c r="AE29" s="130">
        <v>0</v>
      </c>
      <c r="AF29" s="130">
        <v>0.01</v>
      </c>
      <c r="AG29" s="130">
        <v>0</v>
      </c>
      <c r="AH29" s="130">
        <v>0</v>
      </c>
      <c r="AI29" s="130">
        <v>0</v>
      </c>
      <c r="AJ29" s="130">
        <v>0</v>
      </c>
      <c r="AK29" s="130">
        <v>0</v>
      </c>
    </row>
    <row r="30" spans="1:37" customFormat="1" x14ac:dyDescent="0.15">
      <c r="A30" s="135" t="s">
        <v>221</v>
      </c>
      <c r="B30" s="130">
        <v>0</v>
      </c>
      <c r="C30" s="130">
        <v>0</v>
      </c>
      <c r="D30" s="130">
        <v>0</v>
      </c>
      <c r="E30" s="130">
        <v>0</v>
      </c>
      <c r="F30" s="130">
        <v>0</v>
      </c>
      <c r="G30" s="130">
        <v>0</v>
      </c>
      <c r="H30" s="130">
        <v>0</v>
      </c>
      <c r="I30" s="130">
        <v>0</v>
      </c>
      <c r="J30" s="130">
        <v>0</v>
      </c>
      <c r="K30" s="130">
        <v>0</v>
      </c>
      <c r="L30" s="130">
        <v>0</v>
      </c>
      <c r="M30" s="130">
        <v>0</v>
      </c>
      <c r="N30" s="130">
        <v>0</v>
      </c>
      <c r="O30" s="130">
        <v>0</v>
      </c>
      <c r="P30" s="130">
        <v>0</v>
      </c>
      <c r="Q30" s="130">
        <v>0</v>
      </c>
      <c r="R30" s="130">
        <v>0</v>
      </c>
      <c r="S30" s="130">
        <v>0</v>
      </c>
      <c r="T30" s="130">
        <v>0</v>
      </c>
      <c r="U30" s="130">
        <v>0</v>
      </c>
      <c r="V30" s="130">
        <v>0</v>
      </c>
      <c r="W30" s="130">
        <v>0</v>
      </c>
      <c r="X30" s="130">
        <v>0</v>
      </c>
      <c r="Y30" s="130">
        <v>0.104</v>
      </c>
      <c r="Z30" s="130">
        <v>0</v>
      </c>
      <c r="AA30" s="130">
        <v>0</v>
      </c>
      <c r="AB30" s="130">
        <v>0.1</v>
      </c>
      <c r="AC30" s="130">
        <v>0</v>
      </c>
      <c r="AD30" s="130">
        <v>0</v>
      </c>
      <c r="AE30" s="130">
        <v>0.03</v>
      </c>
      <c r="AF30" s="130">
        <v>0</v>
      </c>
      <c r="AG30" s="130">
        <v>0</v>
      </c>
      <c r="AH30" s="130">
        <v>0</v>
      </c>
      <c r="AI30" s="130">
        <v>0</v>
      </c>
      <c r="AJ30" s="130">
        <v>0</v>
      </c>
      <c r="AK30" s="130">
        <v>0</v>
      </c>
    </row>
    <row r="31" spans="1:37" customFormat="1" x14ac:dyDescent="0.15">
      <c r="A31" s="135" t="s">
        <v>222</v>
      </c>
      <c r="B31" s="130">
        <v>0</v>
      </c>
      <c r="C31" s="130">
        <v>0</v>
      </c>
      <c r="D31" s="130">
        <v>0</v>
      </c>
      <c r="E31" s="130">
        <v>0</v>
      </c>
      <c r="F31" s="130">
        <v>0</v>
      </c>
      <c r="G31" s="130">
        <v>0</v>
      </c>
      <c r="H31" s="130">
        <v>0</v>
      </c>
      <c r="I31" s="130">
        <v>0</v>
      </c>
      <c r="J31" s="130">
        <v>0.01</v>
      </c>
      <c r="K31" s="130">
        <v>0</v>
      </c>
      <c r="L31" s="130">
        <v>1.4999999999999999E-2</v>
      </c>
      <c r="M31" s="130">
        <v>0</v>
      </c>
      <c r="N31" s="130">
        <v>0</v>
      </c>
      <c r="O31" s="130">
        <v>0</v>
      </c>
      <c r="P31" s="130">
        <v>0</v>
      </c>
      <c r="Q31" s="130">
        <v>0</v>
      </c>
      <c r="R31" s="130">
        <v>5.000000000000001E-3</v>
      </c>
      <c r="S31" s="130">
        <v>0</v>
      </c>
      <c r="T31" s="130">
        <v>0.05</v>
      </c>
      <c r="U31" s="130">
        <v>8.5000000000000006E-2</v>
      </c>
      <c r="V31" s="130">
        <v>0</v>
      </c>
      <c r="W31" s="130">
        <v>0</v>
      </c>
      <c r="X31" s="130">
        <v>0</v>
      </c>
      <c r="Y31" s="130">
        <v>0.03</v>
      </c>
      <c r="Z31" s="130">
        <v>0</v>
      </c>
      <c r="AA31" s="130">
        <v>0.1</v>
      </c>
      <c r="AB31" s="130">
        <v>0</v>
      </c>
      <c r="AC31" s="130">
        <v>0.2</v>
      </c>
      <c r="AD31" s="130">
        <v>0</v>
      </c>
      <c r="AE31" s="130">
        <v>0</v>
      </c>
      <c r="AF31" s="130">
        <v>0.5</v>
      </c>
      <c r="AG31" s="130">
        <v>0</v>
      </c>
      <c r="AH31" s="130">
        <v>0</v>
      </c>
      <c r="AI31" s="130">
        <v>0</v>
      </c>
      <c r="AJ31" s="130">
        <v>0</v>
      </c>
      <c r="AK31" s="130">
        <v>0</v>
      </c>
    </row>
    <row r="32" spans="1:37" customFormat="1" x14ac:dyDescent="0.15">
      <c r="A32" s="135" t="s">
        <v>223</v>
      </c>
      <c r="B32" s="130">
        <v>0</v>
      </c>
      <c r="C32" s="130">
        <v>0</v>
      </c>
      <c r="D32" s="130">
        <v>0</v>
      </c>
      <c r="E32" s="130">
        <v>0</v>
      </c>
      <c r="F32" s="130">
        <v>0</v>
      </c>
      <c r="G32" s="130">
        <v>0</v>
      </c>
      <c r="H32" s="130">
        <v>0</v>
      </c>
      <c r="I32" s="130">
        <v>0.19</v>
      </c>
      <c r="J32" s="130">
        <v>0.13</v>
      </c>
      <c r="K32" s="130">
        <v>0.11</v>
      </c>
      <c r="L32" s="130">
        <v>8.5000000000000006E-2</v>
      </c>
      <c r="M32" s="130">
        <v>0</v>
      </c>
      <c r="N32" s="130">
        <v>0</v>
      </c>
      <c r="O32" s="130">
        <v>5.0000000000000001E-3</v>
      </c>
      <c r="P32" s="130">
        <v>1.2500000000000002E-2</v>
      </c>
      <c r="Q32" s="130">
        <v>0.08</v>
      </c>
      <c r="R32" s="130">
        <v>0.10500000000000001</v>
      </c>
      <c r="S32" s="130">
        <v>0.2</v>
      </c>
      <c r="T32" s="130">
        <v>0.35</v>
      </c>
      <c r="U32" s="130">
        <v>0.23</v>
      </c>
      <c r="V32" s="130">
        <v>0</v>
      </c>
      <c r="W32" s="130">
        <v>0.01</v>
      </c>
      <c r="X32" s="130">
        <v>0.02</v>
      </c>
      <c r="Y32" s="130">
        <v>0</v>
      </c>
      <c r="Z32" s="130">
        <v>0</v>
      </c>
      <c r="AA32" s="130">
        <v>0</v>
      </c>
      <c r="AB32" s="130">
        <v>0</v>
      </c>
      <c r="AC32" s="130">
        <v>0</v>
      </c>
      <c r="AD32" s="130">
        <v>0</v>
      </c>
      <c r="AE32" s="130">
        <v>0</v>
      </c>
      <c r="AF32" s="130">
        <v>0</v>
      </c>
      <c r="AG32" s="130">
        <v>0</v>
      </c>
      <c r="AH32" s="130">
        <v>0</v>
      </c>
      <c r="AI32" s="130">
        <v>0</v>
      </c>
      <c r="AJ32" s="130">
        <v>0</v>
      </c>
      <c r="AK32" s="130">
        <v>0</v>
      </c>
    </row>
    <row r="33" spans="1:37" customFormat="1" x14ac:dyDescent="0.15">
      <c r="A33" s="135" t="s">
        <v>224</v>
      </c>
      <c r="B33" s="130">
        <v>0</v>
      </c>
      <c r="C33" s="130">
        <v>0</v>
      </c>
      <c r="D33" s="130">
        <v>0</v>
      </c>
      <c r="E33" s="130">
        <v>0</v>
      </c>
      <c r="F33" s="130">
        <v>0</v>
      </c>
      <c r="G33" s="130">
        <v>0</v>
      </c>
      <c r="H33" s="130">
        <v>0</v>
      </c>
      <c r="I33" s="130">
        <v>0</v>
      </c>
      <c r="J33" s="130">
        <v>0</v>
      </c>
      <c r="K33" s="130">
        <v>0</v>
      </c>
      <c r="L33" s="130">
        <v>0</v>
      </c>
      <c r="M33" s="130">
        <v>0</v>
      </c>
      <c r="N33" s="130">
        <v>0</v>
      </c>
      <c r="O33" s="130">
        <v>0</v>
      </c>
      <c r="P33" s="130">
        <v>0</v>
      </c>
      <c r="Q33" s="130">
        <v>0</v>
      </c>
      <c r="R33" s="130">
        <v>0</v>
      </c>
      <c r="S33" s="130">
        <v>0</v>
      </c>
      <c r="T33" s="130">
        <v>0</v>
      </c>
      <c r="U33" s="130">
        <v>0</v>
      </c>
      <c r="V33" s="130">
        <v>0</v>
      </c>
      <c r="W33" s="130">
        <v>0</v>
      </c>
      <c r="X33" s="130">
        <v>0</v>
      </c>
      <c r="Y33" s="130">
        <v>0.41499999999999998</v>
      </c>
      <c r="Z33" s="130">
        <v>0</v>
      </c>
      <c r="AA33" s="130">
        <v>0</v>
      </c>
      <c r="AB33" s="130">
        <v>0.27500000000000002</v>
      </c>
      <c r="AC33" s="130">
        <v>0</v>
      </c>
      <c r="AD33" s="130">
        <v>0.6</v>
      </c>
      <c r="AE33" s="130">
        <v>0.24</v>
      </c>
      <c r="AF33" s="130">
        <v>0.1</v>
      </c>
      <c r="AG33" s="130">
        <v>0</v>
      </c>
      <c r="AH33" s="130">
        <v>0</v>
      </c>
      <c r="AI33" s="130">
        <v>0</v>
      </c>
      <c r="AJ33" s="130">
        <v>0</v>
      </c>
      <c r="AK33" s="130">
        <v>0</v>
      </c>
    </row>
    <row r="34" spans="1:37" customFormat="1" x14ac:dyDescent="0.15">
      <c r="A34" s="135" t="s">
        <v>225</v>
      </c>
      <c r="B34" s="130">
        <v>0</v>
      </c>
      <c r="C34" s="130">
        <v>0</v>
      </c>
      <c r="D34" s="130">
        <v>0</v>
      </c>
      <c r="E34" s="130">
        <v>0</v>
      </c>
      <c r="F34" s="130">
        <v>0</v>
      </c>
      <c r="G34" s="130">
        <v>0</v>
      </c>
      <c r="H34" s="130">
        <v>0</v>
      </c>
      <c r="I34" s="130">
        <v>0</v>
      </c>
      <c r="J34" s="130">
        <v>0</v>
      </c>
      <c r="K34" s="130">
        <v>0</v>
      </c>
      <c r="L34" s="130">
        <v>0</v>
      </c>
      <c r="M34" s="130">
        <v>0</v>
      </c>
      <c r="N34" s="130">
        <v>0</v>
      </c>
      <c r="O34" s="130">
        <v>0</v>
      </c>
      <c r="P34" s="130">
        <v>0</v>
      </c>
      <c r="Q34" s="130">
        <v>0</v>
      </c>
      <c r="R34" s="130">
        <v>0</v>
      </c>
      <c r="S34" s="130">
        <v>0</v>
      </c>
      <c r="T34" s="130">
        <v>0</v>
      </c>
      <c r="U34" s="130">
        <v>0</v>
      </c>
      <c r="V34" s="130">
        <v>0</v>
      </c>
      <c r="W34" s="130">
        <v>0</v>
      </c>
      <c r="X34" s="130">
        <v>0</v>
      </c>
      <c r="Y34" s="130">
        <v>0.45</v>
      </c>
      <c r="Z34" s="130">
        <v>0</v>
      </c>
      <c r="AA34" s="130">
        <v>0.5</v>
      </c>
      <c r="AB34" s="130">
        <v>0.27500000000000002</v>
      </c>
      <c r="AC34" s="130">
        <v>0.6</v>
      </c>
      <c r="AD34" s="130">
        <v>0.25</v>
      </c>
      <c r="AE34" s="130">
        <v>0.66</v>
      </c>
      <c r="AF34" s="130">
        <v>0.21</v>
      </c>
      <c r="AG34" s="130">
        <v>0</v>
      </c>
      <c r="AH34" s="130">
        <v>0</v>
      </c>
      <c r="AI34" s="130">
        <v>0</v>
      </c>
      <c r="AJ34" s="130">
        <v>0</v>
      </c>
      <c r="AK34" s="130">
        <v>0</v>
      </c>
    </row>
    <row r="35" spans="1:37" customFormat="1" x14ac:dyDescent="0.15">
      <c r="A35" s="135" t="s">
        <v>226</v>
      </c>
      <c r="B35" s="130">
        <v>0</v>
      </c>
      <c r="C35" s="130">
        <v>0</v>
      </c>
      <c r="D35" s="130">
        <v>0</v>
      </c>
      <c r="E35" s="130">
        <v>0</v>
      </c>
      <c r="F35" s="130">
        <v>0</v>
      </c>
      <c r="G35" s="130">
        <v>0</v>
      </c>
      <c r="H35" s="130">
        <v>0</v>
      </c>
      <c r="I35" s="130">
        <v>0</v>
      </c>
      <c r="J35" s="130">
        <v>0</v>
      </c>
      <c r="K35" s="130">
        <v>0</v>
      </c>
      <c r="L35" s="130">
        <v>0</v>
      </c>
      <c r="M35" s="130">
        <v>0</v>
      </c>
      <c r="N35" s="130">
        <v>0</v>
      </c>
      <c r="O35" s="130">
        <v>0</v>
      </c>
      <c r="P35" s="130">
        <v>0</v>
      </c>
      <c r="Q35" s="130">
        <v>0</v>
      </c>
      <c r="R35" s="130">
        <v>0</v>
      </c>
      <c r="S35" s="130">
        <v>0</v>
      </c>
      <c r="T35" s="130">
        <v>0</v>
      </c>
      <c r="U35" s="130">
        <v>0</v>
      </c>
      <c r="V35" s="130">
        <v>0.06</v>
      </c>
      <c r="W35" s="130">
        <v>0</v>
      </c>
      <c r="X35" s="130">
        <v>0.1</v>
      </c>
      <c r="Y35" s="130">
        <v>0</v>
      </c>
      <c r="Z35" s="130">
        <v>0</v>
      </c>
      <c r="AA35" s="130">
        <v>0.1</v>
      </c>
      <c r="AB35" s="130">
        <v>0.25</v>
      </c>
      <c r="AC35" s="130">
        <v>0</v>
      </c>
      <c r="AD35" s="130">
        <v>0</v>
      </c>
      <c r="AE35" s="130">
        <v>0</v>
      </c>
      <c r="AF35" s="130">
        <v>0</v>
      </c>
      <c r="AG35" s="130">
        <v>0</v>
      </c>
      <c r="AH35" s="130">
        <v>0</v>
      </c>
      <c r="AI35" s="130">
        <v>0</v>
      </c>
      <c r="AJ35" s="130">
        <v>0</v>
      </c>
      <c r="AK35" s="130">
        <v>0</v>
      </c>
    </row>
    <row r="36" spans="1:37" customFormat="1" x14ac:dyDescent="0.15">
      <c r="A36" s="135" t="s">
        <v>227</v>
      </c>
      <c r="B36" s="130">
        <v>0</v>
      </c>
      <c r="C36" s="130">
        <v>0</v>
      </c>
      <c r="D36" s="130">
        <v>0</v>
      </c>
      <c r="E36" s="130">
        <v>0</v>
      </c>
      <c r="F36" s="130">
        <v>0</v>
      </c>
      <c r="G36" s="130">
        <v>0</v>
      </c>
      <c r="H36" s="130">
        <v>0</v>
      </c>
      <c r="I36" s="130">
        <v>0</v>
      </c>
      <c r="J36" s="130">
        <v>0</v>
      </c>
      <c r="K36" s="130">
        <v>0</v>
      </c>
      <c r="L36" s="130">
        <v>0</v>
      </c>
      <c r="M36" s="130">
        <v>0</v>
      </c>
      <c r="N36" s="130">
        <v>0</v>
      </c>
      <c r="O36" s="130">
        <v>0</v>
      </c>
      <c r="P36" s="130">
        <v>0</v>
      </c>
      <c r="Q36" s="130">
        <v>0</v>
      </c>
      <c r="R36" s="130">
        <v>0</v>
      </c>
      <c r="S36" s="130">
        <v>0</v>
      </c>
      <c r="T36" s="130">
        <v>0</v>
      </c>
      <c r="U36" s="130">
        <v>0</v>
      </c>
      <c r="V36" s="130">
        <v>0</v>
      </c>
      <c r="W36" s="130">
        <v>0</v>
      </c>
      <c r="X36" s="130">
        <v>0</v>
      </c>
      <c r="Y36" s="130">
        <v>0</v>
      </c>
      <c r="Z36" s="130">
        <v>1</v>
      </c>
      <c r="AA36" s="130">
        <v>0.3</v>
      </c>
      <c r="AB36" s="130">
        <v>0.1</v>
      </c>
      <c r="AC36" s="130">
        <v>0.2</v>
      </c>
      <c r="AD36" s="130">
        <v>0.15</v>
      </c>
      <c r="AE36" s="130">
        <v>7.0000000000000007E-2</v>
      </c>
      <c r="AF36" s="130">
        <v>0.15</v>
      </c>
      <c r="AG36" s="130">
        <v>0</v>
      </c>
      <c r="AH36" s="130">
        <v>0</v>
      </c>
      <c r="AI36" s="130">
        <v>0</v>
      </c>
      <c r="AJ36" s="130">
        <v>0</v>
      </c>
      <c r="AK36" s="130">
        <v>0</v>
      </c>
    </row>
    <row r="37" spans="1:37" customFormat="1" x14ac:dyDescent="0.15">
      <c r="A37" s="135" t="s">
        <v>228</v>
      </c>
      <c r="B37" s="130">
        <v>0</v>
      </c>
      <c r="C37" s="130">
        <v>0</v>
      </c>
      <c r="D37" s="130">
        <v>0</v>
      </c>
      <c r="E37" s="130">
        <v>0</v>
      </c>
      <c r="F37" s="130">
        <v>0</v>
      </c>
      <c r="G37" s="130">
        <v>0</v>
      </c>
      <c r="H37" s="130">
        <v>0</v>
      </c>
      <c r="I37" s="130">
        <v>0</v>
      </c>
      <c r="J37" s="130">
        <v>0</v>
      </c>
      <c r="K37" s="130">
        <v>0</v>
      </c>
      <c r="L37" s="130">
        <v>0</v>
      </c>
      <c r="M37" s="130">
        <v>0</v>
      </c>
      <c r="N37" s="130">
        <v>0</v>
      </c>
      <c r="O37" s="130">
        <v>0</v>
      </c>
      <c r="P37" s="130">
        <v>0</v>
      </c>
      <c r="Q37" s="130">
        <v>0</v>
      </c>
      <c r="R37" s="130">
        <v>0</v>
      </c>
      <c r="S37" s="130">
        <v>0</v>
      </c>
      <c r="T37" s="130">
        <v>0</v>
      </c>
      <c r="U37" s="130">
        <v>0</v>
      </c>
      <c r="V37" s="130">
        <v>0</v>
      </c>
      <c r="W37" s="130">
        <v>0</v>
      </c>
      <c r="X37" s="130">
        <v>0</v>
      </c>
      <c r="Y37" s="130">
        <v>0</v>
      </c>
      <c r="Z37" s="130">
        <v>0</v>
      </c>
      <c r="AA37" s="130">
        <v>0</v>
      </c>
      <c r="AB37" s="130">
        <v>0</v>
      </c>
      <c r="AC37" s="130">
        <v>0</v>
      </c>
      <c r="AD37" s="130">
        <v>0</v>
      </c>
      <c r="AE37" s="130">
        <v>0</v>
      </c>
      <c r="AF37" s="130">
        <v>0</v>
      </c>
      <c r="AG37" s="130">
        <v>0</v>
      </c>
      <c r="AH37" s="130">
        <v>0</v>
      </c>
      <c r="AI37" s="130">
        <v>0</v>
      </c>
      <c r="AJ37" s="130">
        <v>0</v>
      </c>
      <c r="AK37" s="130">
        <v>0</v>
      </c>
    </row>
    <row r="38" spans="1:37" customFormat="1" x14ac:dyDescent="0.15">
      <c r="A38" s="135" t="s">
        <v>232</v>
      </c>
      <c r="B38" s="130">
        <v>0</v>
      </c>
      <c r="C38" s="130">
        <v>0</v>
      </c>
      <c r="D38" s="130">
        <v>0</v>
      </c>
      <c r="E38" s="130">
        <v>0</v>
      </c>
      <c r="F38" s="130">
        <v>0</v>
      </c>
      <c r="G38" s="130">
        <v>0</v>
      </c>
      <c r="H38" s="130">
        <v>0</v>
      </c>
      <c r="I38" s="130">
        <v>0</v>
      </c>
      <c r="J38" s="130">
        <v>0</v>
      </c>
      <c r="K38" s="130">
        <v>0</v>
      </c>
      <c r="L38" s="130">
        <v>0</v>
      </c>
      <c r="M38" s="130">
        <v>0</v>
      </c>
      <c r="N38" s="130">
        <v>0</v>
      </c>
      <c r="O38" s="130">
        <v>0</v>
      </c>
      <c r="P38" s="130">
        <v>0</v>
      </c>
      <c r="Q38" s="130">
        <v>0</v>
      </c>
      <c r="R38" s="130">
        <v>0</v>
      </c>
      <c r="S38" s="130">
        <v>0</v>
      </c>
      <c r="T38" s="130">
        <v>0</v>
      </c>
      <c r="U38" s="130">
        <v>0</v>
      </c>
      <c r="V38" s="130">
        <v>0</v>
      </c>
      <c r="W38" s="130">
        <v>0</v>
      </c>
      <c r="X38" s="130">
        <v>0</v>
      </c>
      <c r="Y38" s="130">
        <v>0</v>
      </c>
      <c r="Z38" s="130">
        <v>0</v>
      </c>
      <c r="AA38" s="130">
        <v>0</v>
      </c>
      <c r="AB38" s="130">
        <v>0</v>
      </c>
      <c r="AC38" s="130">
        <v>0</v>
      </c>
      <c r="AD38" s="130">
        <v>0</v>
      </c>
      <c r="AE38" s="130">
        <v>0</v>
      </c>
      <c r="AF38" s="130">
        <v>0</v>
      </c>
      <c r="AG38" s="130">
        <v>0</v>
      </c>
      <c r="AH38" s="130">
        <v>0</v>
      </c>
      <c r="AI38" s="130">
        <v>0</v>
      </c>
      <c r="AJ38" s="130">
        <v>0</v>
      </c>
      <c r="AK38" s="130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2" customWidth="1"/>
    <col min="5" max="6" width="2.33203125" style="101" bestFit="1" customWidth="1"/>
    <col min="7" max="8" width="8.83203125" style="102"/>
  </cols>
  <sheetData>
    <row r="1" spans="1:8" ht="70" x14ac:dyDescent="0.15">
      <c r="A1" s="5" t="s">
        <v>20</v>
      </c>
      <c r="B1" s="1" t="s">
        <v>0</v>
      </c>
      <c r="C1" s="138" t="s">
        <v>227</v>
      </c>
      <c r="D1" s="138" t="s">
        <v>228</v>
      </c>
      <c r="E1" s="138" t="s">
        <v>233</v>
      </c>
      <c r="F1" s="138" t="s">
        <v>234</v>
      </c>
      <c r="G1"/>
      <c r="H1"/>
    </row>
    <row r="2" spans="1:8" x14ac:dyDescent="0.15">
      <c r="A2">
        <v>1</v>
      </c>
      <c r="B2" s="137" t="s">
        <v>193</v>
      </c>
      <c r="C2" s="102">
        <v>1</v>
      </c>
      <c r="D2" s="102">
        <v>0</v>
      </c>
      <c r="E2" s="101">
        <v>0</v>
      </c>
      <c r="F2" s="101">
        <v>1</v>
      </c>
      <c r="G2"/>
      <c r="H2"/>
    </row>
    <row r="3" spans="1:8" x14ac:dyDescent="0.15">
      <c r="A3">
        <v>2</v>
      </c>
      <c r="B3" s="137" t="s">
        <v>194</v>
      </c>
      <c r="C3" s="102">
        <v>1</v>
      </c>
      <c r="D3" s="102">
        <v>0</v>
      </c>
      <c r="E3" s="101">
        <v>0</v>
      </c>
      <c r="F3" s="101">
        <v>1</v>
      </c>
      <c r="G3"/>
      <c r="H3"/>
    </row>
    <row r="4" spans="1:8" x14ac:dyDescent="0.15">
      <c r="A4">
        <v>3</v>
      </c>
      <c r="B4" s="137" t="s">
        <v>195</v>
      </c>
      <c r="C4" s="102">
        <v>1</v>
      </c>
      <c r="D4" s="102">
        <v>0</v>
      </c>
      <c r="E4" s="101">
        <v>0</v>
      </c>
      <c r="F4" s="101">
        <v>1</v>
      </c>
      <c r="G4"/>
      <c r="H4"/>
    </row>
    <row r="5" spans="1:8" x14ac:dyDescent="0.15">
      <c r="A5">
        <v>4</v>
      </c>
      <c r="B5" s="137" t="s">
        <v>196</v>
      </c>
      <c r="C5" s="102">
        <v>1</v>
      </c>
      <c r="D5" s="102">
        <v>0</v>
      </c>
      <c r="E5" s="101">
        <v>0</v>
      </c>
      <c r="F5" s="101">
        <v>1</v>
      </c>
      <c r="G5"/>
      <c r="H5"/>
    </row>
    <row r="6" spans="1:8" x14ac:dyDescent="0.15">
      <c r="A6">
        <v>5</v>
      </c>
      <c r="B6" s="137" t="s">
        <v>197</v>
      </c>
      <c r="C6" s="102">
        <v>1</v>
      </c>
      <c r="D6" s="102">
        <v>0</v>
      </c>
      <c r="E6" s="101">
        <v>0</v>
      </c>
      <c r="F6" s="101">
        <v>1</v>
      </c>
      <c r="G6"/>
      <c r="H6"/>
    </row>
    <row r="7" spans="1:8" x14ac:dyDescent="0.15">
      <c r="A7">
        <v>6</v>
      </c>
      <c r="B7" s="137" t="s">
        <v>198</v>
      </c>
      <c r="C7" s="102">
        <v>1</v>
      </c>
      <c r="D7" s="102">
        <v>0</v>
      </c>
      <c r="E7" s="101">
        <v>0</v>
      </c>
      <c r="F7" s="101">
        <v>1</v>
      </c>
      <c r="G7"/>
      <c r="H7"/>
    </row>
    <row r="8" spans="1:8" x14ac:dyDescent="0.15">
      <c r="A8">
        <v>7</v>
      </c>
      <c r="B8" s="137" t="s">
        <v>199</v>
      </c>
      <c r="C8" s="102">
        <v>1</v>
      </c>
      <c r="D8" s="102">
        <v>0</v>
      </c>
      <c r="E8" s="101">
        <v>0</v>
      </c>
      <c r="F8" s="101">
        <v>1</v>
      </c>
      <c r="G8"/>
      <c r="H8"/>
    </row>
    <row r="9" spans="1:8" x14ac:dyDescent="0.15">
      <c r="A9">
        <v>8</v>
      </c>
      <c r="B9" s="137" t="s">
        <v>200</v>
      </c>
      <c r="C9" s="102">
        <v>1</v>
      </c>
      <c r="D9" s="102">
        <v>0</v>
      </c>
      <c r="E9" s="101">
        <v>0</v>
      </c>
      <c r="F9" s="101">
        <v>1</v>
      </c>
      <c r="G9"/>
      <c r="H9"/>
    </row>
    <row r="10" spans="1:8" x14ac:dyDescent="0.15">
      <c r="A10">
        <v>9</v>
      </c>
      <c r="B10" s="137" t="s">
        <v>201</v>
      </c>
      <c r="C10" s="102">
        <v>1</v>
      </c>
      <c r="D10" s="102">
        <v>0</v>
      </c>
      <c r="E10" s="101">
        <v>0</v>
      </c>
      <c r="F10" s="101">
        <v>1</v>
      </c>
      <c r="G10"/>
      <c r="H10"/>
    </row>
    <row r="11" spans="1:8" x14ac:dyDescent="0.15">
      <c r="A11">
        <v>10</v>
      </c>
      <c r="B11" s="137" t="s">
        <v>202</v>
      </c>
      <c r="C11" s="102">
        <v>1</v>
      </c>
      <c r="D11" s="102">
        <v>0</v>
      </c>
      <c r="E11" s="101">
        <v>0</v>
      </c>
      <c r="F11" s="101">
        <v>1</v>
      </c>
      <c r="G11"/>
      <c r="H11"/>
    </row>
    <row r="12" spans="1:8" x14ac:dyDescent="0.15">
      <c r="A12">
        <v>11</v>
      </c>
      <c r="B12" s="137" t="s">
        <v>203</v>
      </c>
      <c r="C12" s="102">
        <v>1</v>
      </c>
      <c r="D12" s="102">
        <v>0</v>
      </c>
      <c r="E12" s="101">
        <v>0</v>
      </c>
      <c r="F12" s="101">
        <v>1</v>
      </c>
      <c r="G12"/>
      <c r="H12"/>
    </row>
    <row r="13" spans="1:8" x14ac:dyDescent="0.15">
      <c r="A13">
        <v>12</v>
      </c>
      <c r="B13" s="137" t="s">
        <v>204</v>
      </c>
      <c r="C13" s="102">
        <v>1</v>
      </c>
      <c r="D13" s="102">
        <v>0</v>
      </c>
      <c r="E13" s="101">
        <v>0</v>
      </c>
      <c r="F13" s="101">
        <v>1</v>
      </c>
      <c r="G13"/>
      <c r="H13"/>
    </row>
    <row r="14" spans="1:8" x14ac:dyDescent="0.15">
      <c r="A14">
        <v>13</v>
      </c>
      <c r="B14" s="137" t="s">
        <v>205</v>
      </c>
      <c r="C14" s="102">
        <v>1</v>
      </c>
      <c r="D14" s="102">
        <v>0</v>
      </c>
      <c r="E14" s="101">
        <v>0</v>
      </c>
      <c r="F14" s="101">
        <v>1</v>
      </c>
      <c r="G14"/>
      <c r="H14"/>
    </row>
    <row r="15" spans="1:8" x14ac:dyDescent="0.15">
      <c r="A15">
        <v>14</v>
      </c>
      <c r="B15" s="137" t="s">
        <v>206</v>
      </c>
      <c r="C15" s="102">
        <v>1</v>
      </c>
      <c r="D15" s="102">
        <v>0</v>
      </c>
      <c r="E15" s="101">
        <v>0</v>
      </c>
      <c r="F15" s="101">
        <v>1</v>
      </c>
      <c r="G15"/>
      <c r="H15"/>
    </row>
    <row r="16" spans="1:8" x14ac:dyDescent="0.15">
      <c r="A16">
        <v>15</v>
      </c>
      <c r="B16" s="137" t="s">
        <v>207</v>
      </c>
      <c r="C16" s="102">
        <v>1</v>
      </c>
      <c r="D16" s="102">
        <v>0</v>
      </c>
      <c r="E16" s="101">
        <v>0</v>
      </c>
      <c r="F16" s="101">
        <v>1</v>
      </c>
      <c r="G16"/>
      <c r="H16"/>
    </row>
    <row r="17" spans="1:8" ht="15" customHeight="1" x14ac:dyDescent="0.15">
      <c r="A17">
        <v>16</v>
      </c>
      <c r="B17" s="137" t="s">
        <v>208</v>
      </c>
      <c r="C17" s="102">
        <v>1</v>
      </c>
      <c r="D17" s="102">
        <v>0</v>
      </c>
      <c r="E17" s="101">
        <v>0</v>
      </c>
      <c r="F17" s="101">
        <v>1</v>
      </c>
      <c r="G17"/>
      <c r="H17"/>
    </row>
    <row r="18" spans="1:8" ht="15" customHeight="1" x14ac:dyDescent="0.15">
      <c r="A18">
        <v>17</v>
      </c>
      <c r="B18" s="137" t="s">
        <v>209</v>
      </c>
      <c r="C18" s="102">
        <v>1</v>
      </c>
      <c r="D18" s="102">
        <v>0</v>
      </c>
      <c r="E18" s="101">
        <v>0</v>
      </c>
      <c r="F18" s="101">
        <v>1</v>
      </c>
      <c r="G18"/>
      <c r="H18"/>
    </row>
    <row r="19" spans="1:8" ht="15" customHeight="1" x14ac:dyDescent="0.15">
      <c r="A19">
        <v>18</v>
      </c>
      <c r="B19" s="137" t="s">
        <v>210</v>
      </c>
      <c r="C19" s="102">
        <v>1</v>
      </c>
      <c r="D19" s="102">
        <v>0</v>
      </c>
      <c r="E19" s="101">
        <v>0</v>
      </c>
      <c r="F19" s="101">
        <v>1</v>
      </c>
      <c r="G19"/>
      <c r="H19"/>
    </row>
    <row r="20" spans="1:8" ht="15" customHeight="1" x14ac:dyDescent="0.15">
      <c r="A20">
        <v>19</v>
      </c>
      <c r="B20" s="137" t="s">
        <v>211</v>
      </c>
      <c r="C20" s="102">
        <v>1</v>
      </c>
      <c r="D20" s="102">
        <v>0</v>
      </c>
      <c r="E20" s="101">
        <v>0</v>
      </c>
      <c r="F20" s="101">
        <v>1</v>
      </c>
      <c r="G20"/>
      <c r="H20"/>
    </row>
    <row r="21" spans="1:8" ht="15" customHeight="1" x14ac:dyDescent="0.15">
      <c r="A21">
        <v>20</v>
      </c>
      <c r="B21" s="137" t="s">
        <v>212</v>
      </c>
      <c r="C21" s="102">
        <v>1</v>
      </c>
      <c r="D21" s="102">
        <v>0</v>
      </c>
      <c r="E21" s="101">
        <v>0</v>
      </c>
      <c r="F21" s="101">
        <v>1</v>
      </c>
      <c r="G21"/>
      <c r="H21"/>
    </row>
    <row r="22" spans="1:8" ht="15" customHeight="1" x14ac:dyDescent="0.15">
      <c r="A22">
        <v>21</v>
      </c>
      <c r="B22" s="137" t="s">
        <v>213</v>
      </c>
      <c r="C22" s="102">
        <v>1</v>
      </c>
      <c r="D22" s="102">
        <v>0</v>
      </c>
      <c r="E22" s="101">
        <v>0</v>
      </c>
      <c r="F22" s="101">
        <v>1</v>
      </c>
      <c r="G22"/>
      <c r="H22"/>
    </row>
    <row r="23" spans="1:8" ht="15" customHeight="1" x14ac:dyDescent="0.15">
      <c r="A23">
        <v>22</v>
      </c>
      <c r="B23" s="137" t="s">
        <v>214</v>
      </c>
      <c r="C23" s="102">
        <v>1</v>
      </c>
      <c r="D23" s="102">
        <v>0</v>
      </c>
      <c r="E23" s="101">
        <v>0</v>
      </c>
      <c r="F23" s="101">
        <v>1</v>
      </c>
      <c r="G23"/>
      <c r="H23"/>
    </row>
    <row r="24" spans="1:8" ht="15" customHeight="1" x14ac:dyDescent="0.15">
      <c r="A24">
        <v>23</v>
      </c>
      <c r="B24" s="137" t="s">
        <v>215</v>
      </c>
      <c r="C24" s="102">
        <v>1</v>
      </c>
      <c r="D24" s="102">
        <v>0</v>
      </c>
      <c r="E24" s="101">
        <v>0</v>
      </c>
      <c r="F24" s="101">
        <v>1</v>
      </c>
      <c r="G24"/>
      <c r="H24"/>
    </row>
    <row r="25" spans="1:8" ht="15" customHeight="1" x14ac:dyDescent="0.15">
      <c r="A25">
        <v>24</v>
      </c>
      <c r="B25" s="137" t="s">
        <v>216</v>
      </c>
      <c r="C25" s="102">
        <v>1</v>
      </c>
      <c r="D25" s="102">
        <v>0</v>
      </c>
      <c r="E25" s="101">
        <v>0</v>
      </c>
      <c r="F25" s="101">
        <v>1</v>
      </c>
      <c r="G25"/>
      <c r="H25"/>
    </row>
    <row r="26" spans="1:8" ht="15" customHeight="1" x14ac:dyDescent="0.15">
      <c r="A26">
        <v>25</v>
      </c>
      <c r="B26" s="137" t="s">
        <v>217</v>
      </c>
      <c r="C26" s="102">
        <v>1</v>
      </c>
      <c r="D26" s="102">
        <v>0</v>
      </c>
      <c r="E26" s="101">
        <v>0</v>
      </c>
      <c r="F26" s="101">
        <v>1</v>
      </c>
      <c r="G26"/>
      <c r="H26"/>
    </row>
    <row r="27" spans="1:8" ht="15" customHeight="1" x14ac:dyDescent="0.15">
      <c r="A27">
        <v>26</v>
      </c>
      <c r="B27" s="137" t="s">
        <v>218</v>
      </c>
      <c r="C27" s="102">
        <v>1</v>
      </c>
      <c r="D27" s="102">
        <v>0</v>
      </c>
      <c r="E27" s="101">
        <v>0</v>
      </c>
      <c r="F27" s="101">
        <v>1</v>
      </c>
      <c r="G27"/>
      <c r="H27"/>
    </row>
    <row r="28" spans="1:8" ht="15" customHeight="1" x14ac:dyDescent="0.15">
      <c r="A28">
        <v>27</v>
      </c>
      <c r="B28" s="137" t="s">
        <v>219</v>
      </c>
      <c r="C28" s="102">
        <v>1</v>
      </c>
      <c r="D28" s="102">
        <v>0</v>
      </c>
      <c r="E28" s="101">
        <v>0</v>
      </c>
      <c r="F28" s="101">
        <v>1</v>
      </c>
      <c r="G28"/>
      <c r="H28"/>
    </row>
    <row r="29" spans="1:8" ht="15" customHeight="1" x14ac:dyDescent="0.15">
      <c r="A29">
        <v>28</v>
      </c>
      <c r="B29" s="137" t="s">
        <v>220</v>
      </c>
      <c r="C29" s="102">
        <v>1</v>
      </c>
      <c r="D29" s="102">
        <v>0</v>
      </c>
      <c r="E29" s="101">
        <v>0</v>
      </c>
      <c r="F29" s="101">
        <v>1</v>
      </c>
      <c r="G29"/>
      <c r="H29"/>
    </row>
    <row r="30" spans="1:8" ht="15" customHeight="1" x14ac:dyDescent="0.15">
      <c r="A30">
        <v>29</v>
      </c>
      <c r="B30" s="137" t="s">
        <v>221</v>
      </c>
      <c r="C30" s="102">
        <v>1</v>
      </c>
      <c r="D30" s="102">
        <v>0</v>
      </c>
      <c r="E30" s="101">
        <v>0</v>
      </c>
      <c r="F30" s="101">
        <v>1</v>
      </c>
      <c r="G30"/>
      <c r="H30"/>
    </row>
    <row r="31" spans="1:8" ht="15" customHeight="1" x14ac:dyDescent="0.15">
      <c r="A31">
        <v>30</v>
      </c>
      <c r="B31" s="137" t="s">
        <v>222</v>
      </c>
      <c r="C31" s="102">
        <v>1</v>
      </c>
      <c r="D31" s="102">
        <v>0</v>
      </c>
      <c r="E31" s="101">
        <v>0</v>
      </c>
      <c r="F31" s="101">
        <v>1</v>
      </c>
      <c r="G31"/>
      <c r="H31"/>
    </row>
    <row r="32" spans="1:8" ht="15" customHeight="1" x14ac:dyDescent="0.15">
      <c r="A32">
        <v>31</v>
      </c>
      <c r="B32" s="137" t="s">
        <v>223</v>
      </c>
      <c r="C32" s="102">
        <v>1</v>
      </c>
      <c r="D32" s="102">
        <v>0</v>
      </c>
      <c r="E32" s="101">
        <v>0</v>
      </c>
      <c r="F32" s="101">
        <v>1</v>
      </c>
    </row>
    <row r="33" spans="1:8" ht="15" customHeight="1" x14ac:dyDescent="0.15">
      <c r="A33">
        <v>32</v>
      </c>
      <c r="B33" s="137" t="s">
        <v>224</v>
      </c>
      <c r="C33" s="102">
        <v>1</v>
      </c>
      <c r="D33" s="102">
        <v>0</v>
      </c>
      <c r="E33" s="101">
        <v>0</v>
      </c>
      <c r="F33" s="101">
        <v>1</v>
      </c>
    </row>
    <row r="34" spans="1:8" ht="15" customHeight="1" x14ac:dyDescent="0.15">
      <c r="A34">
        <v>33</v>
      </c>
      <c r="B34" s="137" t="s">
        <v>225</v>
      </c>
      <c r="C34" s="102">
        <v>1</v>
      </c>
      <c r="D34" s="102">
        <v>0</v>
      </c>
      <c r="E34" s="101">
        <v>0</v>
      </c>
      <c r="F34" s="101">
        <v>1</v>
      </c>
    </row>
    <row r="35" spans="1:8" ht="15" customHeight="1" x14ac:dyDescent="0.15">
      <c r="A35">
        <v>34</v>
      </c>
      <c r="B35" s="137" t="s">
        <v>226</v>
      </c>
      <c r="C35" s="102">
        <v>1</v>
      </c>
      <c r="D35" s="102">
        <v>0</v>
      </c>
      <c r="E35" s="101">
        <v>0</v>
      </c>
      <c r="F35" s="101">
        <v>1</v>
      </c>
    </row>
    <row r="36" spans="1:8" ht="15" customHeight="1" x14ac:dyDescent="0.15">
      <c r="A36">
        <v>35</v>
      </c>
      <c r="B36" s="137" t="s">
        <v>227</v>
      </c>
      <c r="C36" s="102">
        <v>0</v>
      </c>
      <c r="D36" s="102">
        <v>1</v>
      </c>
      <c r="E36" s="102">
        <v>0</v>
      </c>
      <c r="F36" s="102">
        <v>1</v>
      </c>
      <c r="G36"/>
      <c r="H36"/>
    </row>
    <row r="37" spans="1:8" ht="15" customHeight="1" x14ac:dyDescent="0.15">
      <c r="A37">
        <v>36</v>
      </c>
      <c r="B37" s="137" t="s">
        <v>228</v>
      </c>
      <c r="C37" s="102">
        <v>0</v>
      </c>
      <c r="D37" s="102">
        <v>0</v>
      </c>
      <c r="E37" s="102">
        <v>1</v>
      </c>
      <c r="F37" s="102">
        <v>1</v>
      </c>
      <c r="G37"/>
      <c r="H37"/>
    </row>
    <row r="38" spans="1:8" ht="15" customHeight="1" x14ac:dyDescent="0.15">
      <c r="A38">
        <v>37</v>
      </c>
      <c r="B38" s="137" t="s">
        <v>229</v>
      </c>
      <c r="C38" s="102">
        <v>0</v>
      </c>
      <c r="D38" s="102">
        <v>1</v>
      </c>
      <c r="E38" s="102">
        <v>0</v>
      </c>
      <c r="F38" s="102">
        <v>1</v>
      </c>
      <c r="G38"/>
      <c r="H38"/>
    </row>
    <row r="39" spans="1:8" ht="15" customHeight="1" x14ac:dyDescent="0.15">
      <c r="A39">
        <v>38</v>
      </c>
      <c r="B39" s="137" t="s">
        <v>230</v>
      </c>
      <c r="C39" s="102">
        <v>0</v>
      </c>
      <c r="D39" s="102">
        <v>1</v>
      </c>
      <c r="E39" s="102">
        <v>0</v>
      </c>
      <c r="F39" s="102">
        <v>1</v>
      </c>
      <c r="G39"/>
      <c r="H39"/>
    </row>
    <row r="40" spans="1:8" ht="15" customHeight="1" x14ac:dyDescent="0.15">
      <c r="A40">
        <v>39</v>
      </c>
      <c r="B40" s="137" t="s">
        <v>231</v>
      </c>
      <c r="C40" s="102">
        <v>0</v>
      </c>
      <c r="D40" s="102">
        <v>1</v>
      </c>
      <c r="E40" s="102">
        <v>0</v>
      </c>
      <c r="F40" s="102">
        <v>1</v>
      </c>
      <c r="G40"/>
      <c r="H40"/>
    </row>
    <row r="41" spans="1:8" ht="15" customHeight="1" x14ac:dyDescent="0.15">
      <c r="C41"/>
      <c r="D41"/>
      <c r="E41" s="102"/>
      <c r="F41" s="102"/>
      <c r="G41"/>
      <c r="H41"/>
    </row>
    <row r="42" spans="1:8" ht="15" customHeight="1" x14ac:dyDescent="0.15">
      <c r="C42"/>
      <c r="D42"/>
      <c r="E42" s="102"/>
      <c r="F42" s="102"/>
      <c r="G42"/>
      <c r="H42"/>
    </row>
    <row r="43" spans="1:8" ht="15" customHeight="1" x14ac:dyDescent="0.15">
      <c r="C43"/>
      <c r="D43"/>
      <c r="E43" s="102"/>
      <c r="F43" s="102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2"/>
      <c r="F46" s="102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F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8.1640625" bestFit="1" customWidth="1"/>
    <col min="3" max="4" width="5.83203125" bestFit="1" customWidth="1"/>
    <col min="5" max="5" width="8.83203125" bestFit="1" customWidth="1"/>
    <col min="6" max="6" width="8.83203125" customWidth="1"/>
  </cols>
  <sheetData>
    <row r="1" spans="1:6" s="103" customFormat="1" ht="112" x14ac:dyDescent="0.15">
      <c r="A1" s="5" t="s">
        <v>21</v>
      </c>
      <c r="B1" s="3" t="s">
        <v>0</v>
      </c>
      <c r="C1" s="140" t="s">
        <v>229</v>
      </c>
      <c r="D1" s="140" t="s">
        <v>230</v>
      </c>
      <c r="E1" s="140" t="s">
        <v>231</v>
      </c>
      <c r="F1" s="140" t="s">
        <v>235</v>
      </c>
    </row>
    <row r="2" spans="1:6" ht="15" customHeight="1" x14ac:dyDescent="0.15">
      <c r="A2">
        <v>1</v>
      </c>
      <c r="B2" s="139" t="s">
        <v>193</v>
      </c>
      <c r="C2">
        <v>0</v>
      </c>
      <c r="D2">
        <v>0</v>
      </c>
      <c r="E2">
        <v>0</v>
      </c>
      <c r="F2">
        <v>0</v>
      </c>
    </row>
    <row r="3" spans="1:6" ht="15" customHeight="1" x14ac:dyDescent="0.15">
      <c r="A3">
        <v>2</v>
      </c>
      <c r="B3" s="139" t="s">
        <v>194</v>
      </c>
      <c r="C3">
        <v>0</v>
      </c>
      <c r="D3">
        <v>0</v>
      </c>
      <c r="E3">
        <v>0</v>
      </c>
      <c r="F3">
        <v>0</v>
      </c>
    </row>
    <row r="4" spans="1:6" ht="15" customHeight="1" x14ac:dyDescent="0.15">
      <c r="A4">
        <v>3</v>
      </c>
      <c r="B4" s="139" t="s">
        <v>195</v>
      </c>
      <c r="C4">
        <v>0</v>
      </c>
      <c r="D4">
        <v>0</v>
      </c>
      <c r="E4">
        <v>0</v>
      </c>
      <c r="F4">
        <v>0</v>
      </c>
    </row>
    <row r="5" spans="1:6" ht="15" customHeight="1" x14ac:dyDescent="0.15">
      <c r="A5">
        <v>4</v>
      </c>
      <c r="B5" s="139" t="s">
        <v>196</v>
      </c>
      <c r="C5">
        <v>0</v>
      </c>
      <c r="D5">
        <v>0</v>
      </c>
      <c r="E5">
        <v>0</v>
      </c>
      <c r="F5">
        <v>0</v>
      </c>
    </row>
    <row r="6" spans="1:6" ht="15" customHeight="1" x14ac:dyDescent="0.15">
      <c r="A6">
        <v>5</v>
      </c>
      <c r="B6" s="139" t="s">
        <v>197</v>
      </c>
      <c r="C6">
        <v>0</v>
      </c>
      <c r="D6">
        <v>0</v>
      </c>
      <c r="E6">
        <v>0</v>
      </c>
      <c r="F6">
        <v>0</v>
      </c>
    </row>
    <row r="7" spans="1:6" ht="15" customHeight="1" x14ac:dyDescent="0.15">
      <c r="A7">
        <v>6</v>
      </c>
      <c r="B7" s="139" t="s">
        <v>198</v>
      </c>
      <c r="C7">
        <v>0</v>
      </c>
      <c r="D7">
        <v>0</v>
      </c>
      <c r="E7">
        <v>0</v>
      </c>
      <c r="F7">
        <v>0</v>
      </c>
    </row>
    <row r="8" spans="1:6" ht="15" customHeight="1" x14ac:dyDescent="0.15">
      <c r="A8">
        <v>7</v>
      </c>
      <c r="B8" s="139" t="s">
        <v>199</v>
      </c>
      <c r="C8">
        <v>0</v>
      </c>
      <c r="D8">
        <v>0</v>
      </c>
      <c r="E8">
        <v>0</v>
      </c>
      <c r="F8">
        <v>0</v>
      </c>
    </row>
    <row r="9" spans="1:6" ht="15" customHeight="1" x14ac:dyDescent="0.15">
      <c r="A9">
        <v>8</v>
      </c>
      <c r="B9" s="139" t="s">
        <v>200</v>
      </c>
      <c r="C9">
        <v>0</v>
      </c>
      <c r="D9">
        <v>0</v>
      </c>
      <c r="E9">
        <v>0</v>
      </c>
      <c r="F9">
        <v>0</v>
      </c>
    </row>
    <row r="10" spans="1:6" ht="15" customHeight="1" x14ac:dyDescent="0.15">
      <c r="A10">
        <v>9</v>
      </c>
      <c r="B10" s="139" t="s">
        <v>201</v>
      </c>
      <c r="C10">
        <v>0</v>
      </c>
      <c r="D10">
        <v>0</v>
      </c>
      <c r="E10">
        <v>0</v>
      </c>
      <c r="F10">
        <v>0</v>
      </c>
    </row>
    <row r="11" spans="1:6" ht="15" customHeight="1" x14ac:dyDescent="0.15">
      <c r="A11">
        <v>10</v>
      </c>
      <c r="B11" s="139" t="s">
        <v>202</v>
      </c>
      <c r="C11">
        <v>0</v>
      </c>
      <c r="D11">
        <v>0</v>
      </c>
      <c r="E11">
        <v>0</v>
      </c>
      <c r="F11">
        <v>0</v>
      </c>
    </row>
    <row r="12" spans="1:6" ht="15" customHeight="1" x14ac:dyDescent="0.15">
      <c r="A12">
        <v>11</v>
      </c>
      <c r="B12" s="139" t="s">
        <v>203</v>
      </c>
      <c r="C12">
        <v>0</v>
      </c>
      <c r="D12">
        <v>0</v>
      </c>
      <c r="E12">
        <v>0</v>
      </c>
      <c r="F12">
        <v>0</v>
      </c>
    </row>
    <row r="13" spans="1:6" ht="15" customHeight="1" x14ac:dyDescent="0.15">
      <c r="A13">
        <v>12</v>
      </c>
      <c r="B13" s="139" t="s">
        <v>204</v>
      </c>
      <c r="C13">
        <v>0</v>
      </c>
      <c r="D13">
        <v>0</v>
      </c>
      <c r="E13">
        <v>0</v>
      </c>
      <c r="F13">
        <v>0</v>
      </c>
    </row>
    <row r="14" spans="1:6" ht="15" customHeight="1" x14ac:dyDescent="0.15">
      <c r="A14">
        <v>13</v>
      </c>
      <c r="B14" s="139" t="s">
        <v>205</v>
      </c>
      <c r="C14">
        <v>0</v>
      </c>
      <c r="D14">
        <v>0</v>
      </c>
      <c r="E14">
        <v>0</v>
      </c>
      <c r="F14">
        <v>0</v>
      </c>
    </row>
    <row r="15" spans="1:6" ht="15" customHeight="1" x14ac:dyDescent="0.15">
      <c r="A15">
        <v>14</v>
      </c>
      <c r="B15" s="139" t="s">
        <v>206</v>
      </c>
      <c r="C15">
        <v>0</v>
      </c>
      <c r="D15">
        <v>0</v>
      </c>
      <c r="E15">
        <v>0</v>
      </c>
      <c r="F15">
        <v>0</v>
      </c>
    </row>
    <row r="16" spans="1:6" ht="15" customHeight="1" x14ac:dyDescent="0.15">
      <c r="A16">
        <v>15</v>
      </c>
      <c r="B16" s="139" t="s">
        <v>207</v>
      </c>
      <c r="C16">
        <v>0</v>
      </c>
      <c r="D16">
        <v>0</v>
      </c>
      <c r="E16">
        <v>0</v>
      </c>
      <c r="F16">
        <v>0</v>
      </c>
    </row>
    <row r="17" spans="1:6" ht="15" customHeight="1" x14ac:dyDescent="0.15">
      <c r="A17">
        <v>16</v>
      </c>
      <c r="B17" s="139" t="s">
        <v>208</v>
      </c>
      <c r="C17">
        <v>0</v>
      </c>
      <c r="D17">
        <v>0</v>
      </c>
      <c r="E17">
        <v>0</v>
      </c>
      <c r="F17">
        <v>0</v>
      </c>
    </row>
    <row r="18" spans="1:6" ht="15" customHeight="1" x14ac:dyDescent="0.15">
      <c r="A18">
        <v>17</v>
      </c>
      <c r="B18" s="139" t="s">
        <v>209</v>
      </c>
      <c r="C18">
        <v>0</v>
      </c>
      <c r="D18">
        <v>0</v>
      </c>
      <c r="E18">
        <v>0</v>
      </c>
      <c r="F18">
        <v>0</v>
      </c>
    </row>
    <row r="19" spans="1:6" ht="15" customHeight="1" x14ac:dyDescent="0.15">
      <c r="A19">
        <v>18</v>
      </c>
      <c r="B19" s="139" t="s">
        <v>210</v>
      </c>
      <c r="C19">
        <v>0</v>
      </c>
      <c r="D19">
        <v>0</v>
      </c>
      <c r="E19">
        <v>0</v>
      </c>
      <c r="F19">
        <v>0</v>
      </c>
    </row>
    <row r="20" spans="1:6" ht="15" customHeight="1" x14ac:dyDescent="0.15">
      <c r="A20">
        <v>19</v>
      </c>
      <c r="B20" s="139" t="s">
        <v>211</v>
      </c>
      <c r="C20">
        <v>0</v>
      </c>
      <c r="D20">
        <v>0</v>
      </c>
      <c r="E20">
        <v>0</v>
      </c>
      <c r="F20">
        <v>0</v>
      </c>
    </row>
    <row r="21" spans="1:6" ht="15" customHeight="1" x14ac:dyDescent="0.15">
      <c r="A21">
        <v>20</v>
      </c>
      <c r="B21" s="139" t="s">
        <v>212</v>
      </c>
      <c r="C21">
        <v>0</v>
      </c>
      <c r="D21">
        <v>0</v>
      </c>
      <c r="E21">
        <v>0</v>
      </c>
      <c r="F21">
        <v>0</v>
      </c>
    </row>
    <row r="22" spans="1:6" ht="15" customHeight="1" x14ac:dyDescent="0.15">
      <c r="A22">
        <v>21</v>
      </c>
      <c r="B22" s="139" t="s">
        <v>213</v>
      </c>
      <c r="C22">
        <v>9.9999999999999995E-8</v>
      </c>
      <c r="D22">
        <v>0</v>
      </c>
      <c r="E22">
        <v>0</v>
      </c>
      <c r="F22">
        <v>9.9999999999999995E-8</v>
      </c>
    </row>
    <row r="23" spans="1:6" ht="15" customHeight="1" x14ac:dyDescent="0.15">
      <c r="A23">
        <v>22</v>
      </c>
      <c r="B23" s="139" t="s">
        <v>214</v>
      </c>
      <c r="C23">
        <v>0</v>
      </c>
      <c r="D23">
        <v>9.9999999999999995E-8</v>
      </c>
      <c r="E23">
        <v>0</v>
      </c>
      <c r="F23">
        <v>9.9999999999999995E-8</v>
      </c>
    </row>
    <row r="24" spans="1:6" ht="15" customHeight="1" x14ac:dyDescent="0.15">
      <c r="A24">
        <v>23</v>
      </c>
      <c r="B24" s="139" t="s">
        <v>215</v>
      </c>
      <c r="C24">
        <v>0</v>
      </c>
      <c r="D24">
        <v>0</v>
      </c>
      <c r="E24">
        <v>0</v>
      </c>
      <c r="F24">
        <v>0</v>
      </c>
    </row>
    <row r="25" spans="1:6" ht="15" customHeight="1" x14ac:dyDescent="0.15">
      <c r="A25">
        <v>24</v>
      </c>
      <c r="B25" s="139" t="s">
        <v>216</v>
      </c>
      <c r="C25">
        <v>0</v>
      </c>
      <c r="D25">
        <v>0</v>
      </c>
      <c r="E25">
        <v>0</v>
      </c>
      <c r="F25">
        <v>0</v>
      </c>
    </row>
    <row r="26" spans="1:6" ht="15" customHeight="1" x14ac:dyDescent="0.15">
      <c r="A26">
        <v>25</v>
      </c>
      <c r="B26" s="139" t="s">
        <v>217</v>
      </c>
      <c r="C26">
        <v>0</v>
      </c>
      <c r="D26">
        <v>0</v>
      </c>
      <c r="E26">
        <v>0</v>
      </c>
      <c r="F26">
        <v>0</v>
      </c>
    </row>
    <row r="27" spans="1:6" ht="15" customHeight="1" x14ac:dyDescent="0.15">
      <c r="A27">
        <v>26</v>
      </c>
      <c r="B27" s="139" t="s">
        <v>218</v>
      </c>
      <c r="C27">
        <v>0</v>
      </c>
      <c r="D27">
        <v>0</v>
      </c>
      <c r="E27">
        <v>7.1757000000000001E-2</v>
      </c>
      <c r="F27">
        <v>7.1757000000000001E-2</v>
      </c>
    </row>
    <row r="28" spans="1:6" ht="15" customHeight="1" x14ac:dyDescent="0.15">
      <c r="A28">
        <v>27</v>
      </c>
      <c r="B28" s="139" t="s">
        <v>219</v>
      </c>
      <c r="C28">
        <v>0</v>
      </c>
      <c r="D28">
        <v>0</v>
      </c>
      <c r="E28">
        <v>0</v>
      </c>
      <c r="F28">
        <v>0</v>
      </c>
    </row>
    <row r="29" spans="1:6" ht="15" customHeight="1" x14ac:dyDescent="0.15">
      <c r="A29">
        <v>28</v>
      </c>
      <c r="B29" s="139" t="s">
        <v>220</v>
      </c>
      <c r="C29">
        <v>0</v>
      </c>
      <c r="D29">
        <v>0</v>
      </c>
      <c r="E29">
        <v>0</v>
      </c>
      <c r="F29">
        <v>0</v>
      </c>
    </row>
    <row r="30" spans="1:6" ht="15" customHeight="1" x14ac:dyDescent="0.15">
      <c r="A30">
        <v>29</v>
      </c>
      <c r="B30" s="139" t="s">
        <v>221</v>
      </c>
      <c r="C30">
        <v>0</v>
      </c>
      <c r="D30">
        <v>0</v>
      </c>
      <c r="E30">
        <v>0</v>
      </c>
      <c r="F30">
        <v>0</v>
      </c>
    </row>
    <row r="31" spans="1:6" ht="15" customHeight="1" x14ac:dyDescent="0.15">
      <c r="A31">
        <v>30</v>
      </c>
      <c r="B31" s="139" t="s">
        <v>222</v>
      </c>
      <c r="C31">
        <v>0</v>
      </c>
      <c r="D31">
        <v>0</v>
      </c>
      <c r="E31">
        <v>0</v>
      </c>
      <c r="F31">
        <v>0</v>
      </c>
    </row>
    <row r="32" spans="1:6" ht="15" customHeight="1" x14ac:dyDescent="0.15">
      <c r="A32">
        <v>31</v>
      </c>
      <c r="B32" s="139" t="s">
        <v>223</v>
      </c>
      <c r="C32">
        <v>0</v>
      </c>
      <c r="D32">
        <v>0</v>
      </c>
      <c r="E32">
        <v>0</v>
      </c>
      <c r="F32">
        <v>0</v>
      </c>
    </row>
    <row r="33" spans="1:6" ht="15" customHeight="1" x14ac:dyDescent="0.15">
      <c r="A33">
        <v>32</v>
      </c>
      <c r="B33" s="139" t="s">
        <v>224</v>
      </c>
      <c r="C33">
        <v>0</v>
      </c>
      <c r="D33">
        <v>0</v>
      </c>
      <c r="E33">
        <v>0</v>
      </c>
      <c r="F33">
        <v>0</v>
      </c>
    </row>
    <row r="34" spans="1:6" ht="15" customHeight="1" x14ac:dyDescent="0.15">
      <c r="A34">
        <v>33</v>
      </c>
      <c r="B34" s="139" t="s">
        <v>225</v>
      </c>
      <c r="C34">
        <v>0</v>
      </c>
      <c r="D34">
        <v>0</v>
      </c>
      <c r="E34">
        <v>0</v>
      </c>
      <c r="F34">
        <v>0</v>
      </c>
    </row>
    <row r="35" spans="1:6" ht="15" customHeight="1" x14ac:dyDescent="0.15">
      <c r="A35">
        <v>34</v>
      </c>
      <c r="B35" s="139" t="s">
        <v>226</v>
      </c>
      <c r="C35">
        <v>0</v>
      </c>
      <c r="D35">
        <v>0</v>
      </c>
      <c r="E35">
        <v>0</v>
      </c>
      <c r="F35">
        <v>0</v>
      </c>
    </row>
    <row r="36" spans="1:6" ht="15" customHeight="1" x14ac:dyDescent="0.15">
      <c r="A36">
        <v>35</v>
      </c>
      <c r="B36" s="139" t="s">
        <v>227</v>
      </c>
      <c r="C36">
        <v>0</v>
      </c>
      <c r="D36">
        <v>0</v>
      </c>
      <c r="E36">
        <v>0</v>
      </c>
      <c r="F36">
        <v>0</v>
      </c>
    </row>
    <row r="37" spans="1:6" ht="15" customHeight="1" x14ac:dyDescent="0.15">
      <c r="A37">
        <v>36</v>
      </c>
      <c r="B37" s="139" t="s">
        <v>228</v>
      </c>
      <c r="C37">
        <v>0</v>
      </c>
      <c r="D37">
        <v>0</v>
      </c>
      <c r="E37">
        <v>0</v>
      </c>
      <c r="F37">
        <v>0</v>
      </c>
    </row>
    <row r="38" spans="1:6" ht="15" customHeight="1" x14ac:dyDescent="0.15"/>
    <row r="39" spans="1:6" ht="15" customHeight="1" x14ac:dyDescent="0.15"/>
    <row r="40" spans="1:6" ht="15" customHeight="1" x14ac:dyDescent="0.15"/>
    <row r="41" spans="1:6" ht="15" customHeight="1" x14ac:dyDescent="0.15"/>
    <row r="42" spans="1:6" ht="15" customHeight="1" x14ac:dyDescent="0.15"/>
    <row r="43" spans="1:6" ht="15" customHeight="1" x14ac:dyDescent="0.15"/>
    <row r="44" spans="1:6" ht="15" customHeight="1" x14ac:dyDescent="0.15"/>
    <row r="45" spans="1:6" ht="15" customHeight="1" x14ac:dyDescent="0.15"/>
    <row r="46" spans="1:6" ht="15" customHeight="1" x14ac:dyDescent="0.15"/>
    <row r="47" spans="1:6" ht="15" customHeight="1" x14ac:dyDescent="0.15"/>
    <row r="48" spans="1:6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F37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8.1640625" bestFit="1" customWidth="1"/>
    <col min="3" max="5" width="2.33203125" bestFit="1" customWidth="1"/>
    <col min="6" max="6" width="2.33203125" customWidth="1"/>
  </cols>
  <sheetData>
    <row r="1" spans="1:6" s="103" customFormat="1" ht="112" x14ac:dyDescent="0.15">
      <c r="A1" s="5" t="s">
        <v>22</v>
      </c>
      <c r="B1" s="3" t="s">
        <v>0</v>
      </c>
      <c r="C1" s="142" t="s">
        <v>229</v>
      </c>
      <c r="D1" s="142" t="s">
        <v>230</v>
      </c>
      <c r="E1" s="142" t="s">
        <v>231</v>
      </c>
      <c r="F1" s="142" t="s">
        <v>235</v>
      </c>
    </row>
    <row r="2" spans="1:6" x14ac:dyDescent="0.15">
      <c r="A2">
        <v>1</v>
      </c>
      <c r="B2" s="141" t="s">
        <v>193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41" t="s">
        <v>194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41" t="s">
        <v>195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41" t="s">
        <v>196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41" t="s">
        <v>197</v>
      </c>
      <c r="C6">
        <v>0</v>
      </c>
      <c r="D6">
        <v>0</v>
      </c>
      <c r="E6">
        <v>0</v>
      </c>
      <c r="F6">
        <v>0</v>
      </c>
    </row>
    <row r="7" spans="1:6" x14ac:dyDescent="0.15">
      <c r="A7">
        <v>6</v>
      </c>
      <c r="B7" s="141" t="s">
        <v>198</v>
      </c>
      <c r="C7">
        <v>0</v>
      </c>
      <c r="D7">
        <v>0</v>
      </c>
      <c r="E7">
        <v>0</v>
      </c>
      <c r="F7">
        <v>0</v>
      </c>
    </row>
    <row r="8" spans="1:6" x14ac:dyDescent="0.15">
      <c r="A8">
        <v>7</v>
      </c>
      <c r="B8" s="141" t="s">
        <v>199</v>
      </c>
      <c r="C8">
        <v>0</v>
      </c>
      <c r="D8">
        <v>0</v>
      </c>
      <c r="E8">
        <v>0</v>
      </c>
      <c r="F8">
        <v>0</v>
      </c>
    </row>
    <row r="9" spans="1:6" x14ac:dyDescent="0.15">
      <c r="A9">
        <v>8</v>
      </c>
      <c r="B9" s="141" t="s">
        <v>200</v>
      </c>
      <c r="C9">
        <v>0</v>
      </c>
      <c r="D9">
        <v>0</v>
      </c>
      <c r="E9">
        <v>0</v>
      </c>
      <c r="F9">
        <v>0</v>
      </c>
    </row>
    <row r="10" spans="1:6" x14ac:dyDescent="0.15">
      <c r="A10">
        <v>9</v>
      </c>
      <c r="B10" s="141" t="s">
        <v>201</v>
      </c>
      <c r="C10">
        <v>0</v>
      </c>
      <c r="D10">
        <v>0</v>
      </c>
      <c r="E10">
        <v>0</v>
      </c>
      <c r="F10">
        <v>0</v>
      </c>
    </row>
    <row r="11" spans="1:6" x14ac:dyDescent="0.15">
      <c r="A11">
        <v>10</v>
      </c>
      <c r="B11" s="141" t="s">
        <v>202</v>
      </c>
      <c r="C11">
        <v>0</v>
      </c>
      <c r="D11">
        <v>0</v>
      </c>
      <c r="E11">
        <v>0</v>
      </c>
      <c r="F11">
        <v>0</v>
      </c>
    </row>
    <row r="12" spans="1:6" x14ac:dyDescent="0.15">
      <c r="A12">
        <v>11</v>
      </c>
      <c r="B12" s="141" t="s">
        <v>203</v>
      </c>
      <c r="C12">
        <v>0</v>
      </c>
      <c r="D12">
        <v>0</v>
      </c>
      <c r="E12">
        <v>0</v>
      </c>
      <c r="F12">
        <v>0</v>
      </c>
    </row>
    <row r="13" spans="1:6" x14ac:dyDescent="0.15">
      <c r="A13">
        <v>12</v>
      </c>
      <c r="B13" s="141" t="s">
        <v>204</v>
      </c>
      <c r="C13">
        <v>0</v>
      </c>
      <c r="D13">
        <v>0</v>
      </c>
      <c r="E13">
        <v>0</v>
      </c>
      <c r="F13">
        <v>0</v>
      </c>
    </row>
    <row r="14" spans="1:6" x14ac:dyDescent="0.15">
      <c r="A14">
        <v>13</v>
      </c>
      <c r="B14" s="141" t="s">
        <v>205</v>
      </c>
      <c r="C14">
        <v>0</v>
      </c>
      <c r="D14">
        <v>0</v>
      </c>
      <c r="E14">
        <v>0</v>
      </c>
      <c r="F14">
        <v>0</v>
      </c>
    </row>
    <row r="15" spans="1:6" x14ac:dyDescent="0.15">
      <c r="A15">
        <v>14</v>
      </c>
      <c r="B15" s="141" t="s">
        <v>206</v>
      </c>
      <c r="C15">
        <v>0</v>
      </c>
      <c r="D15">
        <v>0</v>
      </c>
      <c r="E15">
        <v>0</v>
      </c>
      <c r="F15">
        <v>0</v>
      </c>
    </row>
    <row r="16" spans="1:6" x14ac:dyDescent="0.15">
      <c r="A16">
        <v>15</v>
      </c>
      <c r="B16" s="141" t="s">
        <v>207</v>
      </c>
      <c r="C16">
        <v>0</v>
      </c>
      <c r="D16">
        <v>0</v>
      </c>
      <c r="E16">
        <v>0</v>
      </c>
      <c r="F16">
        <v>0</v>
      </c>
    </row>
    <row r="17" spans="1:6" x14ac:dyDescent="0.15">
      <c r="A17">
        <v>16</v>
      </c>
      <c r="B17" s="141" t="s">
        <v>208</v>
      </c>
      <c r="C17">
        <v>0</v>
      </c>
      <c r="D17">
        <v>0</v>
      </c>
      <c r="E17">
        <v>0</v>
      </c>
      <c r="F17">
        <v>0</v>
      </c>
    </row>
    <row r="18" spans="1:6" x14ac:dyDescent="0.15">
      <c r="A18">
        <v>17</v>
      </c>
      <c r="B18" s="141" t="s">
        <v>209</v>
      </c>
      <c r="C18">
        <v>0</v>
      </c>
      <c r="D18">
        <v>0</v>
      </c>
      <c r="E18">
        <v>0</v>
      </c>
      <c r="F18">
        <v>0</v>
      </c>
    </row>
    <row r="19" spans="1:6" x14ac:dyDescent="0.15">
      <c r="A19">
        <v>18</v>
      </c>
      <c r="B19" s="141" t="s">
        <v>210</v>
      </c>
      <c r="C19">
        <v>0</v>
      </c>
      <c r="D19">
        <v>0</v>
      </c>
      <c r="E19">
        <v>0</v>
      </c>
      <c r="F19">
        <v>0</v>
      </c>
    </row>
    <row r="20" spans="1:6" x14ac:dyDescent="0.15">
      <c r="A20">
        <v>19</v>
      </c>
      <c r="B20" s="141" t="s">
        <v>211</v>
      </c>
      <c r="C20">
        <v>0</v>
      </c>
      <c r="D20">
        <v>0</v>
      </c>
      <c r="E20">
        <v>0</v>
      </c>
      <c r="F20">
        <v>0</v>
      </c>
    </row>
    <row r="21" spans="1:6" x14ac:dyDescent="0.15">
      <c r="A21">
        <v>20</v>
      </c>
      <c r="B21" s="141" t="s">
        <v>212</v>
      </c>
      <c r="C21">
        <v>0</v>
      </c>
      <c r="D21">
        <v>0</v>
      </c>
      <c r="E21">
        <v>0</v>
      </c>
      <c r="F21">
        <v>0</v>
      </c>
    </row>
    <row r="22" spans="1:6" x14ac:dyDescent="0.15">
      <c r="A22">
        <v>21</v>
      </c>
      <c r="B22" s="141" t="s">
        <v>213</v>
      </c>
      <c r="C22">
        <v>0</v>
      </c>
      <c r="D22">
        <v>0</v>
      </c>
      <c r="E22">
        <v>0</v>
      </c>
      <c r="F22">
        <v>0</v>
      </c>
    </row>
    <row r="23" spans="1:6" x14ac:dyDescent="0.15">
      <c r="A23">
        <v>22</v>
      </c>
      <c r="B23" s="141" t="s">
        <v>214</v>
      </c>
      <c r="C23">
        <v>0</v>
      </c>
      <c r="D23">
        <v>0</v>
      </c>
      <c r="E23">
        <v>0</v>
      </c>
      <c r="F23">
        <v>0</v>
      </c>
    </row>
    <row r="24" spans="1:6" x14ac:dyDescent="0.15">
      <c r="A24">
        <v>23</v>
      </c>
      <c r="B24" s="141" t="s">
        <v>215</v>
      </c>
      <c r="C24">
        <v>0</v>
      </c>
      <c r="D24">
        <v>0</v>
      </c>
      <c r="E24">
        <v>0</v>
      </c>
      <c r="F24">
        <v>0</v>
      </c>
    </row>
    <row r="25" spans="1:6" x14ac:dyDescent="0.15">
      <c r="A25">
        <v>24</v>
      </c>
      <c r="B25" s="141" t="s">
        <v>216</v>
      </c>
      <c r="C25">
        <v>0</v>
      </c>
      <c r="D25">
        <v>0</v>
      </c>
      <c r="E25">
        <v>0</v>
      </c>
      <c r="F25">
        <v>0</v>
      </c>
    </row>
    <row r="26" spans="1:6" x14ac:dyDescent="0.15">
      <c r="A26">
        <v>25</v>
      </c>
      <c r="B26" s="141" t="s">
        <v>217</v>
      </c>
      <c r="C26">
        <v>0</v>
      </c>
      <c r="D26">
        <v>0</v>
      </c>
      <c r="E26">
        <v>0</v>
      </c>
      <c r="F26">
        <v>0</v>
      </c>
    </row>
    <row r="27" spans="1:6" x14ac:dyDescent="0.15">
      <c r="A27">
        <v>26</v>
      </c>
      <c r="B27" s="141" t="s">
        <v>218</v>
      </c>
      <c r="C27">
        <v>0</v>
      </c>
      <c r="D27">
        <v>0</v>
      </c>
      <c r="E27">
        <v>0</v>
      </c>
      <c r="F27">
        <v>0</v>
      </c>
    </row>
    <row r="28" spans="1:6" x14ac:dyDescent="0.15">
      <c r="A28">
        <v>27</v>
      </c>
      <c r="B28" s="141" t="s">
        <v>219</v>
      </c>
      <c r="C28">
        <v>0</v>
      </c>
      <c r="D28">
        <v>0</v>
      </c>
      <c r="E28">
        <v>0</v>
      </c>
      <c r="F28">
        <v>0</v>
      </c>
    </row>
    <row r="29" spans="1:6" x14ac:dyDescent="0.15">
      <c r="A29">
        <v>28</v>
      </c>
      <c r="B29" s="141" t="s">
        <v>220</v>
      </c>
      <c r="C29">
        <v>0</v>
      </c>
      <c r="D29">
        <v>0</v>
      </c>
      <c r="E29">
        <v>0</v>
      </c>
      <c r="F29">
        <v>0</v>
      </c>
    </row>
    <row r="30" spans="1:6" x14ac:dyDescent="0.15">
      <c r="A30">
        <v>29</v>
      </c>
      <c r="B30" s="141" t="s">
        <v>221</v>
      </c>
      <c r="C30">
        <v>0</v>
      </c>
      <c r="D30">
        <v>0</v>
      </c>
      <c r="E30">
        <v>0</v>
      </c>
      <c r="F30">
        <v>0</v>
      </c>
    </row>
    <row r="31" spans="1:6" x14ac:dyDescent="0.15">
      <c r="A31">
        <v>30</v>
      </c>
      <c r="B31" s="141" t="s">
        <v>222</v>
      </c>
      <c r="C31">
        <v>0</v>
      </c>
      <c r="D31">
        <v>0</v>
      </c>
      <c r="E31">
        <v>0</v>
      </c>
      <c r="F31">
        <v>0</v>
      </c>
    </row>
    <row r="32" spans="1:6" x14ac:dyDescent="0.15">
      <c r="A32">
        <v>31</v>
      </c>
      <c r="B32" s="141" t="s">
        <v>223</v>
      </c>
      <c r="C32">
        <v>0</v>
      </c>
      <c r="D32">
        <v>0</v>
      </c>
      <c r="E32">
        <v>0</v>
      </c>
      <c r="F32">
        <v>0</v>
      </c>
    </row>
    <row r="33" spans="1:6" x14ac:dyDescent="0.15">
      <c r="A33">
        <v>32</v>
      </c>
      <c r="B33" s="141" t="s">
        <v>224</v>
      </c>
      <c r="C33">
        <v>0</v>
      </c>
      <c r="D33">
        <v>0</v>
      </c>
      <c r="E33">
        <v>0</v>
      </c>
      <c r="F33">
        <v>0</v>
      </c>
    </row>
    <row r="34" spans="1:6" x14ac:dyDescent="0.15">
      <c r="A34">
        <v>33</v>
      </c>
      <c r="B34" s="141" t="s">
        <v>225</v>
      </c>
      <c r="C34">
        <v>0</v>
      </c>
      <c r="D34">
        <v>0</v>
      </c>
      <c r="E34">
        <v>0</v>
      </c>
      <c r="F34">
        <v>0</v>
      </c>
    </row>
    <row r="35" spans="1:6" x14ac:dyDescent="0.15">
      <c r="A35">
        <v>34</v>
      </c>
      <c r="B35" s="141" t="s">
        <v>226</v>
      </c>
      <c r="C35">
        <v>0</v>
      </c>
      <c r="D35">
        <v>0</v>
      </c>
      <c r="E35">
        <v>0</v>
      </c>
      <c r="F35">
        <v>0</v>
      </c>
    </row>
    <row r="36" spans="1:6" x14ac:dyDescent="0.15">
      <c r="A36">
        <v>35</v>
      </c>
      <c r="B36" s="141" t="s">
        <v>227</v>
      </c>
      <c r="C36">
        <v>0</v>
      </c>
      <c r="D36">
        <v>0</v>
      </c>
      <c r="E36">
        <v>0</v>
      </c>
      <c r="F36">
        <v>0</v>
      </c>
    </row>
    <row r="37" spans="1:6" x14ac:dyDescent="0.15">
      <c r="A37">
        <v>36</v>
      </c>
      <c r="B37" s="141" t="s">
        <v>228</v>
      </c>
      <c r="C37">
        <v>0</v>
      </c>
      <c r="D37">
        <v>0</v>
      </c>
      <c r="E37">
        <v>0</v>
      </c>
      <c r="F37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8.1640625" bestFit="1" customWidth="1"/>
    <col min="6" max="6" width="4.83203125" bestFit="1" customWidth="1"/>
    <col min="7" max="9" width="3.83203125" bestFit="1" customWidth="1"/>
    <col min="10" max="11" width="4.83203125" style="102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4" customFormat="1" ht="14" thickBot="1" x14ac:dyDescent="0.2">
      <c r="D1" s="105" t="s">
        <v>8</v>
      </c>
      <c r="E1" s="105" t="s">
        <v>0</v>
      </c>
      <c r="F1" s="106" t="s">
        <v>99</v>
      </c>
      <c r="G1" s="107" t="s">
        <v>84</v>
      </c>
      <c r="H1" s="107" t="s">
        <v>85</v>
      </c>
      <c r="I1" s="107" t="s">
        <v>86</v>
      </c>
      <c r="J1" s="107" t="s">
        <v>87</v>
      </c>
      <c r="K1" s="107" t="s">
        <v>88</v>
      </c>
      <c r="L1" s="108" t="s">
        <v>89</v>
      </c>
      <c r="M1" s="108" t="s">
        <v>93</v>
      </c>
      <c r="N1" s="108" t="s">
        <v>92</v>
      </c>
      <c r="O1" s="108" t="s">
        <v>90</v>
      </c>
      <c r="P1" s="108" t="s">
        <v>91</v>
      </c>
      <c r="Q1" s="109" t="s">
        <v>94</v>
      </c>
      <c r="R1" s="109" t="s">
        <v>95</v>
      </c>
      <c r="S1" s="109" t="s">
        <v>96</v>
      </c>
      <c r="T1" s="109" t="s">
        <v>97</v>
      </c>
      <c r="U1" s="109" t="s">
        <v>98</v>
      </c>
      <c r="V1" s="107" t="s">
        <v>100</v>
      </c>
      <c r="W1" s="107" t="s">
        <v>101</v>
      </c>
      <c r="X1" s="107" t="s">
        <v>102</v>
      </c>
      <c r="Y1" s="107" t="s">
        <v>134</v>
      </c>
      <c r="Z1" s="108" t="s">
        <v>103</v>
      </c>
      <c r="AA1" s="108" t="s">
        <v>104</v>
      </c>
      <c r="AB1" s="108" t="s">
        <v>105</v>
      </c>
      <c r="AC1" s="110" t="s">
        <v>135</v>
      </c>
      <c r="AD1" s="109" t="s">
        <v>106</v>
      </c>
      <c r="AE1" s="109" t="s">
        <v>107</v>
      </c>
      <c r="AF1" s="109" t="s">
        <v>108</v>
      </c>
      <c r="AG1" s="109" t="s">
        <v>136</v>
      </c>
      <c r="AH1" s="107" t="s">
        <v>109</v>
      </c>
      <c r="AI1" s="107" t="s">
        <v>111</v>
      </c>
      <c r="AJ1" s="107" t="s">
        <v>110</v>
      </c>
      <c r="AK1" s="108" t="s">
        <v>115</v>
      </c>
      <c r="AL1" s="108" t="s">
        <v>116</v>
      </c>
      <c r="AM1" s="108" t="s">
        <v>117</v>
      </c>
      <c r="AN1" s="109" t="s">
        <v>112</v>
      </c>
      <c r="AO1" s="109" t="s">
        <v>113</v>
      </c>
      <c r="AP1" s="109" t="s">
        <v>114</v>
      </c>
    </row>
    <row r="2" spans="1:42" x14ac:dyDescent="0.15">
      <c r="A2" s="111" t="s">
        <v>74</v>
      </c>
      <c r="B2" s="112">
        <v>1</v>
      </c>
      <c r="D2">
        <v>1</v>
      </c>
      <c r="E2" s="143" t="s">
        <v>193</v>
      </c>
      <c r="F2">
        <v>0.98</v>
      </c>
      <c r="G2">
        <v>0.8</v>
      </c>
      <c r="H2">
        <v>0.8</v>
      </c>
      <c r="I2">
        <v>0.8</v>
      </c>
      <c r="J2" s="102">
        <v>0.25</v>
      </c>
      <c r="K2" s="102">
        <v>0.05</v>
      </c>
    </row>
    <row r="3" spans="1:42" x14ac:dyDescent="0.15">
      <c r="A3" s="111" t="s">
        <v>75</v>
      </c>
      <c r="B3" s="113">
        <v>1</v>
      </c>
      <c r="D3">
        <v>2</v>
      </c>
      <c r="E3" s="143" t="s">
        <v>194</v>
      </c>
      <c r="F3">
        <v>0.98</v>
      </c>
      <c r="G3">
        <v>0.8</v>
      </c>
      <c r="H3">
        <v>0.8</v>
      </c>
      <c r="I3">
        <v>0.8</v>
      </c>
      <c r="J3" s="102">
        <v>0.25</v>
      </c>
      <c r="K3" s="102">
        <v>0.05</v>
      </c>
    </row>
    <row r="4" spans="1:42" x14ac:dyDescent="0.15">
      <c r="A4" s="111" t="s">
        <v>76</v>
      </c>
      <c r="B4" s="113">
        <v>1</v>
      </c>
      <c r="D4">
        <v>3</v>
      </c>
      <c r="E4" s="143" t="s">
        <v>195</v>
      </c>
      <c r="F4">
        <v>0.98</v>
      </c>
      <c r="G4">
        <v>0.8</v>
      </c>
      <c r="H4">
        <v>0.8</v>
      </c>
      <c r="I4">
        <v>0.8</v>
      </c>
      <c r="J4" s="102">
        <v>0.25</v>
      </c>
      <c r="K4" s="102">
        <v>0.05</v>
      </c>
    </row>
    <row r="5" spans="1:42" x14ac:dyDescent="0.15">
      <c r="A5" s="111" t="s">
        <v>77</v>
      </c>
      <c r="B5" s="113">
        <v>1</v>
      </c>
      <c r="D5">
        <v>4</v>
      </c>
      <c r="E5" s="143" t="s">
        <v>196</v>
      </c>
      <c r="F5">
        <v>0.98</v>
      </c>
      <c r="G5">
        <v>0.8</v>
      </c>
      <c r="H5">
        <v>0.8</v>
      </c>
      <c r="I5">
        <v>0.8</v>
      </c>
      <c r="J5" s="102">
        <v>0.25</v>
      </c>
      <c r="K5" s="102">
        <v>0.05</v>
      </c>
    </row>
    <row r="6" spans="1:42" x14ac:dyDescent="0.15">
      <c r="A6" s="111" t="s">
        <v>78</v>
      </c>
      <c r="B6" s="113">
        <v>1</v>
      </c>
      <c r="D6">
        <v>5</v>
      </c>
      <c r="E6" s="143" t="s">
        <v>197</v>
      </c>
      <c r="F6">
        <v>0.98</v>
      </c>
      <c r="G6">
        <v>0.8</v>
      </c>
      <c r="H6">
        <v>0.8</v>
      </c>
      <c r="I6">
        <v>0.8</v>
      </c>
      <c r="J6" s="102">
        <v>0.25</v>
      </c>
      <c r="K6" s="102">
        <v>0.05</v>
      </c>
    </row>
    <row r="7" spans="1:42" x14ac:dyDescent="0.15">
      <c r="A7" s="111" t="s">
        <v>79</v>
      </c>
      <c r="B7" s="113">
        <v>1</v>
      </c>
      <c r="D7">
        <v>6</v>
      </c>
      <c r="E7" s="143" t="s">
        <v>198</v>
      </c>
      <c r="F7">
        <v>0.98</v>
      </c>
      <c r="G7">
        <v>0.8</v>
      </c>
      <c r="H7">
        <v>0.8</v>
      </c>
      <c r="I7">
        <v>0.8</v>
      </c>
      <c r="J7" s="102">
        <v>0.25</v>
      </c>
      <c r="K7" s="102">
        <v>0.05</v>
      </c>
    </row>
    <row r="8" spans="1:42" x14ac:dyDescent="0.15">
      <c r="A8" s="111" t="s">
        <v>80</v>
      </c>
      <c r="B8" s="113">
        <v>1</v>
      </c>
      <c r="D8">
        <v>7</v>
      </c>
      <c r="E8" s="143" t="s">
        <v>199</v>
      </c>
      <c r="F8">
        <v>0.98</v>
      </c>
      <c r="G8">
        <v>0.8</v>
      </c>
      <c r="H8">
        <v>0.8</v>
      </c>
      <c r="I8">
        <v>0.8</v>
      </c>
      <c r="J8" s="102">
        <v>0.25</v>
      </c>
      <c r="K8" s="102">
        <v>0.05</v>
      </c>
    </row>
    <row r="9" spans="1:42" x14ac:dyDescent="0.15">
      <c r="A9" s="111" t="s">
        <v>81</v>
      </c>
      <c r="B9" s="113">
        <v>0.1</v>
      </c>
      <c r="C9" s="56" t="s">
        <v>150</v>
      </c>
      <c r="D9">
        <v>8</v>
      </c>
      <c r="E9" s="143" t="s">
        <v>200</v>
      </c>
      <c r="F9">
        <v>0.98</v>
      </c>
      <c r="G9">
        <v>0.8</v>
      </c>
      <c r="H9">
        <v>0.8</v>
      </c>
      <c r="I9">
        <v>0.8</v>
      </c>
      <c r="J9" s="102">
        <v>0.25</v>
      </c>
      <c r="K9" s="102">
        <v>0.05</v>
      </c>
    </row>
    <row r="10" spans="1:42" ht="14" thickBot="1" x14ac:dyDescent="0.2">
      <c r="A10" s="111" t="s">
        <v>149</v>
      </c>
      <c r="B10" s="114">
        <f>1/3</f>
        <v>0.33333333333333331</v>
      </c>
      <c r="C10" s="56" t="s">
        <v>150</v>
      </c>
      <c r="D10">
        <v>9</v>
      </c>
      <c r="E10" s="143" t="s">
        <v>201</v>
      </c>
      <c r="F10">
        <v>0.98</v>
      </c>
      <c r="G10">
        <v>0.8</v>
      </c>
      <c r="H10">
        <v>0.8</v>
      </c>
      <c r="I10">
        <v>0.8</v>
      </c>
      <c r="J10" s="102">
        <v>0.25</v>
      </c>
      <c r="K10" s="102">
        <v>0.05</v>
      </c>
    </row>
    <row r="11" spans="1:42" x14ac:dyDescent="0.15">
      <c r="D11">
        <v>10</v>
      </c>
      <c r="E11" s="143" t="s">
        <v>202</v>
      </c>
      <c r="F11">
        <v>0.98</v>
      </c>
      <c r="G11">
        <v>0.8</v>
      </c>
      <c r="H11">
        <v>0.8</v>
      </c>
      <c r="I11">
        <v>0.8</v>
      </c>
      <c r="J11" s="102">
        <v>0.25</v>
      </c>
      <c r="K11" s="102">
        <v>0.05</v>
      </c>
    </row>
    <row r="12" spans="1:42" x14ac:dyDescent="0.15">
      <c r="D12">
        <v>11</v>
      </c>
      <c r="E12" s="143" t="s">
        <v>203</v>
      </c>
      <c r="F12">
        <v>0.98</v>
      </c>
      <c r="G12">
        <v>0.8</v>
      </c>
      <c r="H12">
        <v>0.8</v>
      </c>
      <c r="I12">
        <v>0.8</v>
      </c>
      <c r="J12" s="102">
        <v>0.25</v>
      </c>
      <c r="K12" s="102">
        <v>0.05</v>
      </c>
    </row>
    <row r="13" spans="1:42" x14ac:dyDescent="0.15">
      <c r="D13">
        <v>12</v>
      </c>
      <c r="E13" s="143" t="s">
        <v>204</v>
      </c>
      <c r="F13">
        <v>0.98</v>
      </c>
      <c r="G13">
        <v>0.8</v>
      </c>
      <c r="H13">
        <v>0.8</v>
      </c>
      <c r="I13">
        <v>0.8</v>
      </c>
      <c r="J13" s="102">
        <v>0.25</v>
      </c>
      <c r="K13" s="102">
        <v>0.05</v>
      </c>
    </row>
    <row r="14" spans="1:42" x14ac:dyDescent="0.15">
      <c r="D14">
        <v>13</v>
      </c>
      <c r="E14" s="143" t="s">
        <v>205</v>
      </c>
      <c r="F14">
        <v>0.98</v>
      </c>
      <c r="G14">
        <v>0.8</v>
      </c>
      <c r="H14">
        <v>0.8</v>
      </c>
      <c r="I14">
        <v>0.8</v>
      </c>
      <c r="J14" s="102">
        <v>0.25</v>
      </c>
      <c r="K14" s="102">
        <v>0.05</v>
      </c>
    </row>
    <row r="15" spans="1:42" x14ac:dyDescent="0.15">
      <c r="D15">
        <v>14</v>
      </c>
      <c r="E15" s="143" t="s">
        <v>206</v>
      </c>
      <c r="F15">
        <v>0.98</v>
      </c>
      <c r="G15">
        <v>0.8</v>
      </c>
      <c r="H15">
        <v>0.8</v>
      </c>
      <c r="I15">
        <v>0.8</v>
      </c>
      <c r="J15" s="102">
        <v>0.25</v>
      </c>
      <c r="K15" s="102">
        <v>0.05</v>
      </c>
    </row>
    <row r="16" spans="1:42" x14ac:dyDescent="0.15">
      <c r="D16">
        <v>15</v>
      </c>
      <c r="E16" s="143" t="s">
        <v>207</v>
      </c>
      <c r="F16">
        <v>0.98</v>
      </c>
      <c r="G16">
        <v>0.8</v>
      </c>
      <c r="H16">
        <v>0.8</v>
      </c>
      <c r="I16">
        <v>0.8</v>
      </c>
      <c r="J16" s="102">
        <v>0.25</v>
      </c>
      <c r="K16" s="102">
        <v>0.05</v>
      </c>
    </row>
    <row r="17" spans="4:33" ht="15" customHeight="1" x14ac:dyDescent="0.15">
      <c r="D17">
        <v>16</v>
      </c>
      <c r="E17" s="143" t="s">
        <v>208</v>
      </c>
      <c r="F17">
        <v>0.98</v>
      </c>
      <c r="G17">
        <v>0.8</v>
      </c>
      <c r="H17">
        <v>0.8</v>
      </c>
      <c r="I17">
        <v>0.8</v>
      </c>
      <c r="J17" s="102">
        <v>0.25</v>
      </c>
      <c r="K17" s="102">
        <v>0.05</v>
      </c>
    </row>
    <row r="18" spans="4:33" ht="15" customHeight="1" x14ac:dyDescent="0.15">
      <c r="D18">
        <v>17</v>
      </c>
      <c r="E18" s="143" t="s">
        <v>209</v>
      </c>
      <c r="F18">
        <v>0.98</v>
      </c>
      <c r="G18">
        <v>0.8</v>
      </c>
      <c r="H18">
        <v>0.8</v>
      </c>
      <c r="I18">
        <v>0.8</v>
      </c>
      <c r="J18" s="102">
        <v>0.25</v>
      </c>
      <c r="K18" s="102">
        <v>0.05</v>
      </c>
    </row>
    <row r="19" spans="4:33" ht="15" customHeight="1" x14ac:dyDescent="0.15">
      <c r="D19">
        <v>18</v>
      </c>
      <c r="E19" s="143" t="s">
        <v>210</v>
      </c>
      <c r="F19">
        <v>0.98</v>
      </c>
      <c r="G19">
        <v>0.8</v>
      </c>
      <c r="H19">
        <v>0.8</v>
      </c>
      <c r="I19">
        <v>0.8</v>
      </c>
      <c r="J19" s="102">
        <v>0.25</v>
      </c>
      <c r="K19" s="102">
        <v>0.05</v>
      </c>
    </row>
    <row r="20" spans="4:33" ht="15" customHeight="1" x14ac:dyDescent="0.15">
      <c r="D20">
        <v>19</v>
      </c>
      <c r="E20" s="143" t="s">
        <v>211</v>
      </c>
      <c r="F20">
        <v>0.98</v>
      </c>
      <c r="G20">
        <v>0.8</v>
      </c>
      <c r="H20">
        <v>0.8</v>
      </c>
      <c r="I20">
        <v>0.8</v>
      </c>
      <c r="J20" s="102">
        <v>0.25</v>
      </c>
      <c r="K20" s="102">
        <v>0.05</v>
      </c>
    </row>
    <row r="21" spans="4:33" ht="15" customHeight="1" x14ac:dyDescent="0.15">
      <c r="D21">
        <v>20</v>
      </c>
      <c r="E21" s="143" t="s">
        <v>212</v>
      </c>
      <c r="F21">
        <v>0.98</v>
      </c>
      <c r="G21">
        <v>0.8</v>
      </c>
      <c r="H21">
        <v>0.8</v>
      </c>
      <c r="I21">
        <v>0.8</v>
      </c>
      <c r="J21" s="102">
        <v>0.25</v>
      </c>
      <c r="K21" s="102">
        <v>0.05</v>
      </c>
    </row>
    <row r="22" spans="4:33" ht="15" customHeight="1" x14ac:dyDescent="0.15">
      <c r="D22">
        <v>21</v>
      </c>
      <c r="E22" s="143" t="s">
        <v>213</v>
      </c>
      <c r="F22">
        <v>0.98</v>
      </c>
      <c r="G22">
        <v>0.8</v>
      </c>
      <c r="H22">
        <v>0.8</v>
      </c>
      <c r="I22">
        <v>0.8</v>
      </c>
      <c r="J22" s="102">
        <v>0.25</v>
      </c>
      <c r="K22" s="102">
        <v>0.05</v>
      </c>
    </row>
    <row r="23" spans="4:33" ht="15" customHeight="1" x14ac:dyDescent="0.15">
      <c r="D23">
        <v>22</v>
      </c>
      <c r="E23" s="143" t="s">
        <v>214</v>
      </c>
      <c r="F23">
        <v>0.98</v>
      </c>
      <c r="G23">
        <v>0.8</v>
      </c>
      <c r="H23">
        <v>0.8</v>
      </c>
      <c r="I23">
        <v>0.8</v>
      </c>
      <c r="J23" s="102">
        <v>0.25</v>
      </c>
      <c r="K23" s="102">
        <v>0.05</v>
      </c>
    </row>
    <row r="24" spans="4:33" ht="15" customHeight="1" x14ac:dyDescent="0.15">
      <c r="D24">
        <v>23</v>
      </c>
      <c r="E24" s="143" t="s">
        <v>215</v>
      </c>
      <c r="F24">
        <v>0.98</v>
      </c>
      <c r="G24">
        <v>0.8</v>
      </c>
      <c r="H24">
        <v>0.8</v>
      </c>
      <c r="I24">
        <v>0.8</v>
      </c>
      <c r="J24" s="102">
        <v>0.25</v>
      </c>
      <c r="K24" s="102">
        <v>0.05</v>
      </c>
    </row>
    <row r="25" spans="4:33" ht="15" customHeight="1" x14ac:dyDescent="0.15">
      <c r="D25">
        <v>24</v>
      </c>
      <c r="E25" s="143" t="s">
        <v>216</v>
      </c>
      <c r="F25">
        <v>0.98</v>
      </c>
      <c r="G25">
        <v>0.8</v>
      </c>
      <c r="H25">
        <v>0.8</v>
      </c>
      <c r="I25">
        <v>0.8</v>
      </c>
      <c r="J25" s="102">
        <v>0.25</v>
      </c>
      <c r="K25" s="102">
        <v>0.05</v>
      </c>
    </row>
    <row r="26" spans="4:33" ht="15" customHeight="1" x14ac:dyDescent="0.15">
      <c r="D26">
        <v>25</v>
      </c>
      <c r="E26" s="143" t="s">
        <v>217</v>
      </c>
      <c r="F26">
        <v>0.98</v>
      </c>
      <c r="G26">
        <v>0.8</v>
      </c>
      <c r="H26">
        <v>0.8</v>
      </c>
      <c r="I26">
        <v>0.8</v>
      </c>
      <c r="J26" s="102">
        <v>0.25</v>
      </c>
      <c r="K26" s="102">
        <v>0.05</v>
      </c>
    </row>
    <row r="27" spans="4:33" ht="15" customHeight="1" x14ac:dyDescent="0.15">
      <c r="D27">
        <v>26</v>
      </c>
      <c r="E27" s="143" t="s">
        <v>218</v>
      </c>
      <c r="F27">
        <v>0.98</v>
      </c>
      <c r="G27">
        <v>0.8</v>
      </c>
      <c r="H27">
        <v>0.8</v>
      </c>
      <c r="I27">
        <v>0.8</v>
      </c>
      <c r="J27" s="102">
        <v>0.25</v>
      </c>
      <c r="K27" s="102">
        <v>0.05</v>
      </c>
    </row>
    <row r="28" spans="4:33" ht="15" customHeight="1" x14ac:dyDescent="0.15">
      <c r="D28">
        <v>27</v>
      </c>
      <c r="E28" s="143" t="s">
        <v>219</v>
      </c>
      <c r="F28">
        <v>0.98</v>
      </c>
      <c r="G28">
        <v>0.8</v>
      </c>
      <c r="H28">
        <v>0.8</v>
      </c>
      <c r="I28">
        <v>0.8</v>
      </c>
      <c r="J28" s="102">
        <v>0.25</v>
      </c>
      <c r="K28" s="102">
        <v>0.05</v>
      </c>
    </row>
    <row r="29" spans="4:33" ht="15" customHeight="1" x14ac:dyDescent="0.15">
      <c r="D29">
        <v>28</v>
      </c>
      <c r="E29" s="143" t="s">
        <v>220</v>
      </c>
      <c r="F29">
        <v>0.98</v>
      </c>
      <c r="G29">
        <v>0.8</v>
      </c>
      <c r="H29">
        <v>0.8</v>
      </c>
      <c r="I29">
        <v>0.8</v>
      </c>
      <c r="J29" s="102">
        <v>0.25</v>
      </c>
      <c r="K29" s="102">
        <v>0.05</v>
      </c>
      <c r="Y29"/>
      <c r="AC29"/>
      <c r="AG29"/>
    </row>
    <row r="30" spans="4:33" ht="15" customHeight="1" x14ac:dyDescent="0.15">
      <c r="D30">
        <v>29</v>
      </c>
      <c r="E30" s="143" t="s">
        <v>221</v>
      </c>
      <c r="F30">
        <v>0.98</v>
      </c>
      <c r="G30">
        <v>0.8</v>
      </c>
      <c r="H30">
        <v>0.8</v>
      </c>
      <c r="I30">
        <v>0.8</v>
      </c>
      <c r="J30" s="102">
        <v>0.25</v>
      </c>
      <c r="K30" s="102">
        <v>0.05</v>
      </c>
      <c r="Y30"/>
      <c r="AC30"/>
      <c r="AG30"/>
    </row>
    <row r="31" spans="4:33" ht="15" customHeight="1" x14ac:dyDescent="0.15">
      <c r="D31">
        <v>30</v>
      </c>
      <c r="E31" s="143" t="s">
        <v>222</v>
      </c>
      <c r="F31">
        <v>0.98</v>
      </c>
      <c r="G31">
        <v>0.8</v>
      </c>
      <c r="H31">
        <v>0.8</v>
      </c>
      <c r="I31">
        <v>0.8</v>
      </c>
      <c r="J31" s="102">
        <v>0.25</v>
      </c>
      <c r="K31" s="102">
        <v>0.05</v>
      </c>
      <c r="Y31"/>
      <c r="AC31"/>
      <c r="AG31"/>
    </row>
    <row r="32" spans="4:33" ht="15" customHeight="1" x14ac:dyDescent="0.15">
      <c r="D32">
        <v>31</v>
      </c>
      <c r="E32" s="143" t="s">
        <v>223</v>
      </c>
      <c r="F32">
        <v>0.98</v>
      </c>
      <c r="G32">
        <v>0.8</v>
      </c>
      <c r="H32">
        <v>0.8</v>
      </c>
      <c r="I32">
        <v>0.8</v>
      </c>
      <c r="J32" s="102">
        <v>0.25</v>
      </c>
      <c r="K32" s="102">
        <v>0.05</v>
      </c>
      <c r="Y32"/>
      <c r="AC32"/>
      <c r="AG32"/>
    </row>
    <row r="33" spans="4:33" ht="15" customHeight="1" x14ac:dyDescent="0.15">
      <c r="D33">
        <v>32</v>
      </c>
      <c r="E33" s="143" t="s">
        <v>224</v>
      </c>
      <c r="F33">
        <v>0.98</v>
      </c>
      <c r="G33">
        <v>0.8</v>
      </c>
      <c r="H33">
        <v>0.8</v>
      </c>
      <c r="I33">
        <v>0</v>
      </c>
      <c r="J33" s="102">
        <v>0</v>
      </c>
      <c r="K33" s="102">
        <v>0</v>
      </c>
      <c r="Y33"/>
      <c r="AC33"/>
      <c r="AG33"/>
    </row>
    <row r="34" spans="4:33" ht="15" customHeight="1" x14ac:dyDescent="0.15">
      <c r="D34">
        <v>33</v>
      </c>
      <c r="E34" s="143" t="s">
        <v>225</v>
      </c>
      <c r="F34">
        <v>0.98</v>
      </c>
      <c r="G34">
        <v>0.8</v>
      </c>
      <c r="H34">
        <v>0.8</v>
      </c>
      <c r="I34">
        <v>0</v>
      </c>
      <c r="J34" s="102">
        <v>0</v>
      </c>
      <c r="K34" s="102">
        <v>0</v>
      </c>
      <c r="Y34"/>
      <c r="AC34"/>
      <c r="AG34"/>
    </row>
    <row r="35" spans="4:33" ht="15" customHeight="1" x14ac:dyDescent="0.15">
      <c r="D35">
        <v>34</v>
      </c>
      <c r="E35" s="143" t="s">
        <v>226</v>
      </c>
      <c r="F35">
        <v>0.98</v>
      </c>
      <c r="G35">
        <v>0.8</v>
      </c>
      <c r="H35">
        <v>0.8</v>
      </c>
      <c r="I35">
        <v>0</v>
      </c>
      <c r="J35" s="102">
        <v>0</v>
      </c>
      <c r="K35" s="102">
        <v>0</v>
      </c>
      <c r="Y35"/>
      <c r="AC35"/>
      <c r="AG35"/>
    </row>
    <row r="36" spans="4:33" ht="15" customHeight="1" x14ac:dyDescent="0.15">
      <c r="D36">
        <v>35</v>
      </c>
      <c r="E36" s="143" t="s">
        <v>227</v>
      </c>
      <c r="F36">
        <v>0.98</v>
      </c>
      <c r="G36">
        <v>0.8</v>
      </c>
      <c r="H36">
        <v>0</v>
      </c>
      <c r="I36">
        <v>0</v>
      </c>
      <c r="J36" s="102">
        <v>0</v>
      </c>
      <c r="K36" s="102">
        <v>0</v>
      </c>
      <c r="Y36"/>
      <c r="AC36"/>
      <c r="AG36"/>
    </row>
    <row r="37" spans="4:33" ht="15" customHeight="1" x14ac:dyDescent="0.15">
      <c r="D37">
        <v>36</v>
      </c>
      <c r="E37" s="143" t="s">
        <v>228</v>
      </c>
      <c r="F37">
        <v>0.98</v>
      </c>
      <c r="G37">
        <v>0.8</v>
      </c>
      <c r="H37">
        <v>0</v>
      </c>
      <c r="I37">
        <v>0</v>
      </c>
      <c r="J37" s="102">
        <v>0</v>
      </c>
      <c r="K37" s="102">
        <v>0</v>
      </c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K38"/>
  <sheetViews>
    <sheetView workbookViewId="0">
      <selection activeCell="A3" sqref="A3"/>
    </sheetView>
  </sheetViews>
  <sheetFormatPr baseColWidth="10" defaultRowHeight="13" x14ac:dyDescent="0.15"/>
  <cols>
    <col min="1" max="1" width="21.6640625" style="100" bestFit="1" customWidth="1"/>
    <col min="2" max="32" width="3.83203125" style="100" customWidth="1"/>
    <col min="33" max="37" width="2.33203125" style="100" customWidth="1"/>
    <col min="38" max="16384" width="10.83203125" style="100"/>
  </cols>
  <sheetData>
    <row r="1" spans="1:37" x14ac:dyDescent="0.15">
      <c r="A1" s="58" t="s">
        <v>118</v>
      </c>
      <c r="B1" s="145" t="s">
        <v>193</v>
      </c>
      <c r="C1" s="145" t="s">
        <v>194</v>
      </c>
      <c r="D1" s="145" t="s">
        <v>195</v>
      </c>
      <c r="E1" s="145" t="s">
        <v>196</v>
      </c>
      <c r="F1" s="145" t="s">
        <v>197</v>
      </c>
      <c r="G1" s="145" t="s">
        <v>198</v>
      </c>
      <c r="H1" s="145" t="s">
        <v>199</v>
      </c>
      <c r="I1" s="145" t="s">
        <v>200</v>
      </c>
      <c r="J1" s="145" t="s">
        <v>201</v>
      </c>
      <c r="K1" s="145" t="s">
        <v>202</v>
      </c>
      <c r="L1" s="145" t="s">
        <v>203</v>
      </c>
      <c r="M1" s="145" t="s">
        <v>204</v>
      </c>
      <c r="N1" s="145" t="s">
        <v>205</v>
      </c>
      <c r="O1" s="145" t="s">
        <v>206</v>
      </c>
      <c r="P1" s="145" t="s">
        <v>207</v>
      </c>
      <c r="Q1" s="145" t="s">
        <v>208</v>
      </c>
      <c r="R1" s="145" t="s">
        <v>209</v>
      </c>
      <c r="S1" s="145" t="s">
        <v>210</v>
      </c>
      <c r="T1" s="145" t="s">
        <v>211</v>
      </c>
      <c r="U1" s="145" t="s">
        <v>212</v>
      </c>
      <c r="V1" s="145" t="s">
        <v>213</v>
      </c>
      <c r="W1" s="145" t="s">
        <v>214</v>
      </c>
      <c r="X1" s="145" t="s">
        <v>215</v>
      </c>
      <c r="Y1" s="145" t="s">
        <v>216</v>
      </c>
      <c r="Z1" s="145" t="s">
        <v>217</v>
      </c>
      <c r="AA1" s="145" t="s">
        <v>218</v>
      </c>
      <c r="AB1" s="145" t="s">
        <v>219</v>
      </c>
      <c r="AC1" s="145" t="s">
        <v>220</v>
      </c>
      <c r="AD1" s="145" t="s">
        <v>221</v>
      </c>
      <c r="AE1" s="145" t="s">
        <v>222</v>
      </c>
      <c r="AF1" s="145" t="s">
        <v>223</v>
      </c>
      <c r="AG1" s="145" t="s">
        <v>224</v>
      </c>
      <c r="AH1" s="145" t="s">
        <v>225</v>
      </c>
      <c r="AI1" s="145" t="s">
        <v>226</v>
      </c>
      <c r="AJ1" s="145" t="s">
        <v>227</v>
      </c>
      <c r="AK1" s="145" t="s">
        <v>228</v>
      </c>
    </row>
    <row r="2" spans="1:37" customFormat="1" x14ac:dyDescent="0.15">
      <c r="A2" s="144" t="s">
        <v>193</v>
      </c>
      <c r="B2" s="100">
        <v>0</v>
      </c>
      <c r="C2" s="100">
        <v>0</v>
      </c>
      <c r="D2" s="100">
        <v>0</v>
      </c>
      <c r="E2" s="100">
        <v>0</v>
      </c>
      <c r="F2" s="100">
        <v>0</v>
      </c>
      <c r="G2" s="100">
        <v>0</v>
      </c>
      <c r="H2" s="100">
        <v>0</v>
      </c>
      <c r="I2" s="100">
        <v>0</v>
      </c>
      <c r="J2" s="100">
        <v>0</v>
      </c>
      <c r="K2" s="100">
        <v>0</v>
      </c>
      <c r="L2" s="100">
        <v>0</v>
      </c>
      <c r="M2" s="100">
        <v>0</v>
      </c>
      <c r="N2" s="100">
        <v>0</v>
      </c>
      <c r="O2" s="100">
        <v>0</v>
      </c>
      <c r="P2" s="100">
        <v>0</v>
      </c>
      <c r="Q2" s="100">
        <v>0</v>
      </c>
      <c r="R2" s="100">
        <v>0</v>
      </c>
      <c r="S2" s="100">
        <v>0</v>
      </c>
      <c r="T2" s="100">
        <v>0</v>
      </c>
      <c r="U2" s="100">
        <v>0</v>
      </c>
      <c r="V2" s="100">
        <v>0</v>
      </c>
      <c r="W2" s="100">
        <v>0</v>
      </c>
      <c r="X2" s="100">
        <v>0</v>
      </c>
      <c r="Y2" s="100">
        <v>0</v>
      </c>
      <c r="Z2" s="100">
        <v>0</v>
      </c>
      <c r="AA2" s="100">
        <v>0</v>
      </c>
      <c r="AB2" s="100">
        <v>0</v>
      </c>
      <c r="AC2" s="100">
        <v>0</v>
      </c>
      <c r="AD2" s="100">
        <v>0</v>
      </c>
      <c r="AE2" s="100">
        <v>0</v>
      </c>
      <c r="AF2" s="100">
        <v>0</v>
      </c>
      <c r="AG2" s="100">
        <v>0</v>
      </c>
      <c r="AH2" s="100">
        <v>0</v>
      </c>
      <c r="AI2" s="100">
        <v>0</v>
      </c>
      <c r="AJ2" s="100">
        <v>0</v>
      </c>
      <c r="AK2" s="100">
        <v>0</v>
      </c>
    </row>
    <row r="3" spans="1:37" customFormat="1" x14ac:dyDescent="0.15">
      <c r="A3" s="144" t="s">
        <v>194</v>
      </c>
      <c r="B3" s="100">
        <v>0.8</v>
      </c>
      <c r="C3" s="100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0">
        <v>0</v>
      </c>
      <c r="L3" s="100">
        <v>0</v>
      </c>
      <c r="M3" s="100">
        <v>0</v>
      </c>
      <c r="N3" s="100">
        <v>0</v>
      </c>
      <c r="O3" s="100">
        <v>0</v>
      </c>
      <c r="P3" s="100">
        <v>0</v>
      </c>
      <c r="Q3" s="100">
        <v>0</v>
      </c>
      <c r="R3" s="100">
        <v>0</v>
      </c>
      <c r="S3" s="100">
        <v>0</v>
      </c>
      <c r="T3" s="100">
        <v>0</v>
      </c>
      <c r="U3" s="100">
        <v>0</v>
      </c>
      <c r="V3" s="100">
        <v>0</v>
      </c>
      <c r="W3" s="100">
        <v>0</v>
      </c>
      <c r="X3" s="100">
        <v>0</v>
      </c>
      <c r="Y3" s="100">
        <v>0</v>
      </c>
      <c r="Z3" s="100">
        <v>0</v>
      </c>
      <c r="AA3" s="100">
        <v>0</v>
      </c>
      <c r="AB3" s="100">
        <v>0</v>
      </c>
      <c r="AC3" s="100">
        <v>0</v>
      </c>
      <c r="AD3" s="100">
        <v>0</v>
      </c>
      <c r="AE3" s="100">
        <v>0</v>
      </c>
      <c r="AF3" s="100">
        <v>0</v>
      </c>
      <c r="AG3" s="100">
        <v>0</v>
      </c>
      <c r="AH3" s="100">
        <v>0</v>
      </c>
      <c r="AI3" s="100">
        <v>0</v>
      </c>
      <c r="AJ3" s="100">
        <v>0</v>
      </c>
      <c r="AK3" s="100">
        <v>0</v>
      </c>
    </row>
    <row r="4" spans="1:37" customFormat="1" x14ac:dyDescent="0.15">
      <c r="A4" s="144" t="s">
        <v>195</v>
      </c>
      <c r="B4" s="100">
        <v>0.8</v>
      </c>
      <c r="C4" s="100">
        <v>0</v>
      </c>
      <c r="D4" s="100">
        <v>0</v>
      </c>
      <c r="E4" s="100">
        <v>0</v>
      </c>
      <c r="F4" s="100">
        <v>0</v>
      </c>
      <c r="G4" s="100">
        <v>0</v>
      </c>
      <c r="H4" s="100">
        <v>0</v>
      </c>
      <c r="I4" s="100">
        <v>0</v>
      </c>
      <c r="J4" s="100">
        <v>0</v>
      </c>
      <c r="K4" s="100">
        <v>0</v>
      </c>
      <c r="L4" s="100">
        <v>0</v>
      </c>
      <c r="M4" s="100">
        <v>0</v>
      </c>
      <c r="N4" s="100">
        <v>0</v>
      </c>
      <c r="O4" s="100">
        <v>0</v>
      </c>
      <c r="P4" s="100">
        <v>0</v>
      </c>
      <c r="Q4" s="100">
        <v>0</v>
      </c>
      <c r="R4" s="100">
        <v>0</v>
      </c>
      <c r="S4" s="100">
        <v>0</v>
      </c>
      <c r="T4" s="100">
        <v>0</v>
      </c>
      <c r="U4" s="100">
        <v>0</v>
      </c>
      <c r="V4" s="100">
        <v>0</v>
      </c>
      <c r="W4" s="100">
        <v>0</v>
      </c>
      <c r="X4" s="100">
        <v>0</v>
      </c>
      <c r="Y4" s="100">
        <v>0</v>
      </c>
      <c r="Z4" s="100">
        <v>0</v>
      </c>
      <c r="AA4" s="100">
        <v>0</v>
      </c>
      <c r="AB4" s="100">
        <v>0</v>
      </c>
      <c r="AC4" s="100">
        <v>0</v>
      </c>
      <c r="AD4" s="100">
        <v>0</v>
      </c>
      <c r="AE4" s="100">
        <v>0</v>
      </c>
      <c r="AF4" s="100">
        <v>0</v>
      </c>
      <c r="AG4" s="100">
        <v>0</v>
      </c>
      <c r="AH4" s="100">
        <v>0</v>
      </c>
      <c r="AI4" s="100">
        <v>0</v>
      </c>
      <c r="AJ4" s="100">
        <v>0</v>
      </c>
      <c r="AK4" s="100">
        <v>0</v>
      </c>
    </row>
    <row r="5" spans="1:37" customFormat="1" x14ac:dyDescent="0.15">
      <c r="A5" s="144" t="s">
        <v>196</v>
      </c>
      <c r="B5" s="100">
        <v>0.8</v>
      </c>
      <c r="C5" s="100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0">
        <v>0</v>
      </c>
      <c r="L5" s="100">
        <v>0</v>
      </c>
      <c r="M5" s="100">
        <v>0</v>
      </c>
      <c r="N5" s="100">
        <v>0</v>
      </c>
      <c r="O5" s="100">
        <v>0</v>
      </c>
      <c r="P5" s="100">
        <v>0</v>
      </c>
      <c r="Q5" s="100">
        <v>0</v>
      </c>
      <c r="R5" s="100">
        <v>0</v>
      </c>
      <c r="S5" s="100">
        <v>0</v>
      </c>
      <c r="T5" s="100">
        <v>0</v>
      </c>
      <c r="U5" s="100">
        <v>0</v>
      </c>
      <c r="V5" s="100">
        <v>0</v>
      </c>
      <c r="W5" s="100">
        <v>0</v>
      </c>
      <c r="X5" s="100">
        <v>0</v>
      </c>
      <c r="Y5" s="100">
        <v>0</v>
      </c>
      <c r="Z5" s="100">
        <v>0</v>
      </c>
      <c r="AA5" s="100">
        <v>0</v>
      </c>
      <c r="AB5" s="100">
        <v>0</v>
      </c>
      <c r="AC5" s="100">
        <v>0</v>
      </c>
      <c r="AD5" s="100">
        <v>0</v>
      </c>
      <c r="AE5" s="100">
        <v>0</v>
      </c>
      <c r="AF5" s="100">
        <v>0</v>
      </c>
      <c r="AG5" s="100">
        <v>0</v>
      </c>
      <c r="AH5" s="100">
        <v>0</v>
      </c>
      <c r="AI5" s="100">
        <v>0</v>
      </c>
      <c r="AJ5" s="100">
        <v>0</v>
      </c>
      <c r="AK5" s="100">
        <v>0</v>
      </c>
    </row>
    <row r="6" spans="1:37" customFormat="1" x14ac:dyDescent="0.15">
      <c r="A6" s="144" t="s">
        <v>197</v>
      </c>
      <c r="B6" s="100">
        <v>0</v>
      </c>
      <c r="C6" s="100">
        <v>0.8</v>
      </c>
      <c r="D6" s="100">
        <v>0</v>
      </c>
      <c r="E6" s="100">
        <v>0</v>
      </c>
      <c r="F6" s="100">
        <v>0</v>
      </c>
      <c r="G6" s="100">
        <v>0</v>
      </c>
      <c r="H6" s="100">
        <v>0</v>
      </c>
      <c r="I6" s="100">
        <v>0</v>
      </c>
      <c r="J6" s="100">
        <v>0</v>
      </c>
      <c r="K6" s="100">
        <v>0</v>
      </c>
      <c r="L6" s="100">
        <v>0</v>
      </c>
      <c r="M6" s="100">
        <v>0</v>
      </c>
      <c r="N6" s="100">
        <v>0</v>
      </c>
      <c r="O6" s="100">
        <v>0</v>
      </c>
      <c r="P6" s="100">
        <v>0</v>
      </c>
      <c r="Q6" s="100">
        <v>0</v>
      </c>
      <c r="R6" s="100">
        <v>0</v>
      </c>
      <c r="S6" s="100">
        <v>0</v>
      </c>
      <c r="T6" s="100">
        <v>0</v>
      </c>
      <c r="U6" s="100">
        <v>0</v>
      </c>
      <c r="V6" s="100">
        <v>0</v>
      </c>
      <c r="W6" s="100">
        <v>0</v>
      </c>
      <c r="X6" s="100">
        <v>0</v>
      </c>
      <c r="Y6" s="100">
        <v>0</v>
      </c>
      <c r="Z6" s="100">
        <v>0</v>
      </c>
      <c r="AA6" s="100">
        <v>0</v>
      </c>
      <c r="AB6" s="100">
        <v>0</v>
      </c>
      <c r="AC6" s="100">
        <v>0</v>
      </c>
      <c r="AD6" s="100">
        <v>0</v>
      </c>
      <c r="AE6" s="100">
        <v>0</v>
      </c>
      <c r="AF6" s="100">
        <v>0</v>
      </c>
      <c r="AG6" s="100">
        <v>0</v>
      </c>
      <c r="AH6" s="100">
        <v>0</v>
      </c>
      <c r="AI6" s="100">
        <v>0</v>
      </c>
      <c r="AJ6" s="100">
        <v>0</v>
      </c>
      <c r="AK6" s="100">
        <v>0</v>
      </c>
    </row>
    <row r="7" spans="1:37" customFormat="1" x14ac:dyDescent="0.15">
      <c r="A7" s="144" t="s">
        <v>198</v>
      </c>
      <c r="B7" s="100">
        <v>0.8</v>
      </c>
      <c r="C7" s="100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0">
        <v>0</v>
      </c>
      <c r="L7" s="100">
        <v>0</v>
      </c>
      <c r="M7" s="100">
        <v>0</v>
      </c>
      <c r="N7" s="100">
        <v>0</v>
      </c>
      <c r="O7" s="100">
        <v>0</v>
      </c>
      <c r="P7" s="100">
        <v>0</v>
      </c>
      <c r="Q7" s="100">
        <v>0</v>
      </c>
      <c r="R7" s="100">
        <v>0</v>
      </c>
      <c r="S7" s="100">
        <v>0</v>
      </c>
      <c r="T7" s="100">
        <v>0</v>
      </c>
      <c r="U7" s="100">
        <v>0</v>
      </c>
      <c r="V7" s="100">
        <v>0</v>
      </c>
      <c r="W7" s="100">
        <v>0</v>
      </c>
      <c r="X7" s="100">
        <v>0</v>
      </c>
      <c r="Y7" s="100">
        <v>0</v>
      </c>
      <c r="Z7" s="100">
        <v>0</v>
      </c>
      <c r="AA7" s="100">
        <v>0</v>
      </c>
      <c r="AB7" s="100">
        <v>0</v>
      </c>
      <c r="AC7" s="100">
        <v>0</v>
      </c>
      <c r="AD7" s="100">
        <v>0</v>
      </c>
      <c r="AE7" s="100">
        <v>0</v>
      </c>
      <c r="AF7" s="100">
        <v>0</v>
      </c>
      <c r="AG7" s="100">
        <v>0</v>
      </c>
      <c r="AH7" s="100">
        <v>0</v>
      </c>
      <c r="AI7" s="100">
        <v>0</v>
      </c>
      <c r="AJ7" s="100">
        <v>0</v>
      </c>
      <c r="AK7" s="100">
        <v>0</v>
      </c>
    </row>
    <row r="8" spans="1:37" customFormat="1" x14ac:dyDescent="0.15">
      <c r="A8" s="144" t="s">
        <v>199</v>
      </c>
      <c r="B8" s="100">
        <v>0</v>
      </c>
      <c r="C8" s="100">
        <v>0</v>
      </c>
      <c r="D8" s="100">
        <v>0</v>
      </c>
      <c r="E8" s="100">
        <v>0</v>
      </c>
      <c r="F8" s="100">
        <v>0</v>
      </c>
      <c r="G8" s="100">
        <v>0</v>
      </c>
      <c r="H8" s="100">
        <v>0</v>
      </c>
      <c r="I8" s="100">
        <v>0</v>
      </c>
      <c r="J8" s="100">
        <v>0</v>
      </c>
      <c r="K8" s="100">
        <v>0</v>
      </c>
      <c r="L8" s="100">
        <v>0</v>
      </c>
      <c r="M8" s="100">
        <v>0</v>
      </c>
      <c r="N8" s="100">
        <v>0</v>
      </c>
      <c r="O8" s="100">
        <v>0</v>
      </c>
      <c r="P8" s="100">
        <v>0</v>
      </c>
      <c r="Q8" s="100">
        <v>0</v>
      </c>
      <c r="R8" s="100">
        <v>0</v>
      </c>
      <c r="S8" s="100">
        <v>0</v>
      </c>
      <c r="T8" s="100">
        <v>0</v>
      </c>
      <c r="U8" s="100">
        <v>0</v>
      </c>
      <c r="V8" s="100">
        <v>0</v>
      </c>
      <c r="W8" s="100">
        <v>0</v>
      </c>
      <c r="X8" s="100">
        <v>0</v>
      </c>
      <c r="Y8" s="100">
        <v>0</v>
      </c>
      <c r="Z8" s="100">
        <v>0</v>
      </c>
      <c r="AA8" s="100">
        <v>0</v>
      </c>
      <c r="AB8" s="100">
        <v>0</v>
      </c>
      <c r="AC8" s="100">
        <v>0</v>
      </c>
      <c r="AD8" s="100">
        <v>0</v>
      </c>
      <c r="AE8" s="100">
        <v>0</v>
      </c>
      <c r="AF8" s="100">
        <v>0</v>
      </c>
      <c r="AG8" s="100">
        <v>0</v>
      </c>
      <c r="AH8" s="100">
        <v>0</v>
      </c>
      <c r="AI8" s="100">
        <v>0</v>
      </c>
      <c r="AJ8" s="100">
        <v>0</v>
      </c>
      <c r="AK8" s="100">
        <v>0</v>
      </c>
    </row>
    <row r="9" spans="1:37" customFormat="1" x14ac:dyDescent="0.15">
      <c r="A9" s="144" t="s">
        <v>200</v>
      </c>
      <c r="B9" s="100">
        <v>0.8</v>
      </c>
      <c r="C9" s="100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0">
        <v>0</v>
      </c>
      <c r="L9" s="100">
        <v>0</v>
      </c>
      <c r="M9" s="100">
        <v>0</v>
      </c>
      <c r="N9" s="100">
        <v>0</v>
      </c>
      <c r="O9" s="100">
        <v>0</v>
      </c>
      <c r="P9" s="100">
        <v>0</v>
      </c>
      <c r="Q9" s="100">
        <v>0</v>
      </c>
      <c r="R9" s="100">
        <v>0</v>
      </c>
      <c r="S9" s="100">
        <v>0</v>
      </c>
      <c r="T9" s="100">
        <v>0</v>
      </c>
      <c r="U9" s="100">
        <v>0</v>
      </c>
      <c r="V9" s="100">
        <v>0</v>
      </c>
      <c r="W9" s="100">
        <v>0</v>
      </c>
      <c r="X9" s="100">
        <v>0</v>
      </c>
      <c r="Y9" s="100">
        <v>0</v>
      </c>
      <c r="Z9" s="100">
        <v>0</v>
      </c>
      <c r="AA9" s="100">
        <v>0</v>
      </c>
      <c r="AB9" s="100">
        <v>0</v>
      </c>
      <c r="AC9" s="100">
        <v>0</v>
      </c>
      <c r="AD9" s="100">
        <v>0</v>
      </c>
      <c r="AE9" s="100">
        <v>0</v>
      </c>
      <c r="AF9" s="100">
        <v>0</v>
      </c>
      <c r="AG9" s="100">
        <v>0</v>
      </c>
      <c r="AH9" s="100">
        <v>0</v>
      </c>
      <c r="AI9" s="100">
        <v>0</v>
      </c>
      <c r="AJ9" s="100">
        <v>0</v>
      </c>
      <c r="AK9" s="100">
        <v>0</v>
      </c>
    </row>
    <row r="10" spans="1:37" customFormat="1" x14ac:dyDescent="0.15">
      <c r="A10" s="144" t="s">
        <v>201</v>
      </c>
      <c r="B10" s="100">
        <v>0.8</v>
      </c>
      <c r="C10" s="100">
        <v>0</v>
      </c>
      <c r="D10" s="100">
        <v>0</v>
      </c>
      <c r="E10" s="100">
        <v>0</v>
      </c>
      <c r="F10" s="100">
        <v>0</v>
      </c>
      <c r="G10" s="100">
        <v>0</v>
      </c>
      <c r="H10" s="100">
        <v>0</v>
      </c>
      <c r="I10" s="100">
        <v>0</v>
      </c>
      <c r="J10" s="100">
        <v>0</v>
      </c>
      <c r="K10" s="100">
        <v>0</v>
      </c>
      <c r="L10" s="100">
        <v>0</v>
      </c>
      <c r="M10" s="100">
        <v>0</v>
      </c>
      <c r="N10" s="100">
        <v>0</v>
      </c>
      <c r="O10" s="100">
        <v>0</v>
      </c>
      <c r="P10" s="100">
        <v>0</v>
      </c>
      <c r="Q10" s="100">
        <v>0</v>
      </c>
      <c r="R10" s="100">
        <v>0</v>
      </c>
      <c r="S10" s="100">
        <v>0</v>
      </c>
      <c r="T10" s="100">
        <v>0</v>
      </c>
      <c r="U10" s="100">
        <v>0</v>
      </c>
      <c r="V10" s="100">
        <v>0</v>
      </c>
      <c r="W10" s="100">
        <v>0</v>
      </c>
      <c r="X10" s="100">
        <v>0</v>
      </c>
      <c r="Y10" s="100">
        <v>0</v>
      </c>
      <c r="Z10" s="100">
        <v>0</v>
      </c>
      <c r="AA10" s="100">
        <v>0</v>
      </c>
      <c r="AB10" s="100">
        <v>0</v>
      </c>
      <c r="AC10" s="100">
        <v>0</v>
      </c>
      <c r="AD10" s="100">
        <v>0</v>
      </c>
      <c r="AE10" s="100">
        <v>0</v>
      </c>
      <c r="AF10" s="100">
        <v>0</v>
      </c>
      <c r="AG10" s="100">
        <v>0</v>
      </c>
      <c r="AH10" s="100">
        <v>0</v>
      </c>
      <c r="AI10" s="100">
        <v>0</v>
      </c>
      <c r="AJ10" s="100">
        <v>0</v>
      </c>
      <c r="AK10" s="100">
        <v>0</v>
      </c>
    </row>
    <row r="11" spans="1:37" customFormat="1" x14ac:dyDescent="0.15">
      <c r="A11" s="144" t="s">
        <v>202</v>
      </c>
      <c r="B11" s="100">
        <v>0.8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  <c r="V11" s="100">
        <v>0</v>
      </c>
      <c r="W11" s="100">
        <v>0</v>
      </c>
      <c r="X11" s="100">
        <v>0</v>
      </c>
      <c r="Y11" s="100">
        <v>0</v>
      </c>
      <c r="Z11" s="100">
        <v>0</v>
      </c>
      <c r="AA11" s="100">
        <v>0</v>
      </c>
      <c r="AB11" s="100">
        <v>0</v>
      </c>
      <c r="AC11" s="100">
        <v>0</v>
      </c>
      <c r="AD11" s="100">
        <v>0</v>
      </c>
      <c r="AE11" s="100">
        <v>0</v>
      </c>
      <c r="AF11" s="100">
        <v>0</v>
      </c>
      <c r="AG11" s="100">
        <v>0</v>
      </c>
      <c r="AH11" s="100">
        <v>0</v>
      </c>
      <c r="AI11" s="100">
        <v>0</v>
      </c>
      <c r="AJ11" s="100">
        <v>0</v>
      </c>
      <c r="AK11" s="100">
        <v>0</v>
      </c>
    </row>
    <row r="12" spans="1:37" customFormat="1" x14ac:dyDescent="0.15">
      <c r="A12" s="144" t="s">
        <v>203</v>
      </c>
      <c r="B12" s="100">
        <v>0.8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  <c r="U12" s="100">
        <v>0</v>
      </c>
      <c r="V12" s="100">
        <v>0</v>
      </c>
      <c r="W12" s="100">
        <v>0</v>
      </c>
      <c r="X12" s="100">
        <v>0</v>
      </c>
      <c r="Y12" s="100">
        <v>0</v>
      </c>
      <c r="Z12" s="100">
        <v>0</v>
      </c>
      <c r="AA12" s="100">
        <v>0</v>
      </c>
      <c r="AB12" s="100">
        <v>0</v>
      </c>
      <c r="AC12" s="100">
        <v>0</v>
      </c>
      <c r="AD12" s="100">
        <v>0</v>
      </c>
      <c r="AE12" s="100">
        <v>0</v>
      </c>
      <c r="AF12" s="100">
        <v>0</v>
      </c>
      <c r="AG12" s="100">
        <v>0</v>
      </c>
      <c r="AH12" s="100">
        <v>0</v>
      </c>
      <c r="AI12" s="100">
        <v>0</v>
      </c>
      <c r="AJ12" s="100">
        <v>0</v>
      </c>
      <c r="AK12" s="100">
        <v>0</v>
      </c>
    </row>
    <row r="13" spans="1:37" customFormat="1" x14ac:dyDescent="0.15">
      <c r="A13" s="144" t="s">
        <v>204</v>
      </c>
      <c r="B13" s="100">
        <v>0.8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  <c r="V13" s="100">
        <v>0</v>
      </c>
      <c r="W13" s="100">
        <v>0</v>
      </c>
      <c r="X13" s="100">
        <v>0</v>
      </c>
      <c r="Y13" s="100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>
        <v>0</v>
      </c>
      <c r="AH13" s="100">
        <v>0</v>
      </c>
      <c r="AI13" s="100">
        <v>0</v>
      </c>
      <c r="AJ13" s="100">
        <v>0</v>
      </c>
      <c r="AK13" s="100">
        <v>0</v>
      </c>
    </row>
    <row r="14" spans="1:37" customFormat="1" x14ac:dyDescent="0.15">
      <c r="A14" s="144" t="s">
        <v>205</v>
      </c>
      <c r="B14" s="100">
        <v>0.8</v>
      </c>
      <c r="C14" s="100">
        <v>0.8</v>
      </c>
      <c r="D14" s="100">
        <v>0</v>
      </c>
      <c r="E14" s="100">
        <v>0</v>
      </c>
      <c r="F14" s="100">
        <v>0.8</v>
      </c>
      <c r="G14" s="100">
        <v>0</v>
      </c>
      <c r="H14" s="100">
        <v>0</v>
      </c>
      <c r="I14" s="100">
        <v>0</v>
      </c>
      <c r="J14" s="100">
        <v>0</v>
      </c>
      <c r="K14" s="100">
        <v>0</v>
      </c>
      <c r="L14" s="100">
        <v>0</v>
      </c>
      <c r="M14" s="100">
        <v>0</v>
      </c>
      <c r="N14" s="100">
        <v>0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0</v>
      </c>
      <c r="V14" s="100">
        <v>0</v>
      </c>
      <c r="W14" s="100">
        <v>0</v>
      </c>
      <c r="X14" s="100">
        <v>0</v>
      </c>
      <c r="Y14" s="100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>
        <v>0</v>
      </c>
      <c r="AH14" s="100">
        <v>0</v>
      </c>
      <c r="AI14" s="100">
        <v>0</v>
      </c>
      <c r="AJ14" s="100">
        <v>0</v>
      </c>
      <c r="AK14" s="100">
        <v>0</v>
      </c>
    </row>
    <row r="15" spans="1:37" customFormat="1" x14ac:dyDescent="0.15">
      <c r="A15" s="144" t="s">
        <v>206</v>
      </c>
      <c r="B15" s="100">
        <v>0.8</v>
      </c>
      <c r="C15" s="100">
        <v>0.8</v>
      </c>
      <c r="D15" s="100">
        <v>0</v>
      </c>
      <c r="E15" s="100">
        <v>0</v>
      </c>
      <c r="F15" s="100">
        <v>0.8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0</v>
      </c>
      <c r="Q15" s="100">
        <v>0</v>
      </c>
      <c r="R15" s="100">
        <v>0</v>
      </c>
      <c r="S15" s="100">
        <v>0</v>
      </c>
      <c r="T15" s="100">
        <v>0</v>
      </c>
      <c r="U15" s="100">
        <v>0</v>
      </c>
      <c r="V15" s="100">
        <v>0</v>
      </c>
      <c r="W15" s="100">
        <v>0</v>
      </c>
      <c r="X15" s="100">
        <v>0</v>
      </c>
      <c r="Y15" s="100">
        <v>0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>
        <v>0</v>
      </c>
      <c r="AH15" s="100">
        <v>0</v>
      </c>
      <c r="AI15" s="100">
        <v>0</v>
      </c>
      <c r="AJ15" s="100">
        <v>0</v>
      </c>
      <c r="AK15" s="100">
        <v>0</v>
      </c>
    </row>
    <row r="16" spans="1:37" customFormat="1" x14ac:dyDescent="0.15">
      <c r="A16" s="144" t="s">
        <v>207</v>
      </c>
      <c r="B16" s="100">
        <v>0.8</v>
      </c>
      <c r="C16" s="100">
        <v>0</v>
      </c>
      <c r="D16" s="100">
        <v>0</v>
      </c>
      <c r="E16" s="100">
        <v>0</v>
      </c>
      <c r="F16" s="100">
        <v>0.8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0</v>
      </c>
      <c r="R16" s="100">
        <v>0</v>
      </c>
      <c r="S16" s="100">
        <v>0</v>
      </c>
      <c r="T16" s="100">
        <v>0</v>
      </c>
      <c r="U16" s="100">
        <v>0</v>
      </c>
      <c r="V16" s="100">
        <v>0</v>
      </c>
      <c r="W16" s="100">
        <v>0</v>
      </c>
      <c r="X16" s="100">
        <v>0</v>
      </c>
      <c r="Y16" s="100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>
        <v>0</v>
      </c>
      <c r="AJ16" s="100">
        <v>0</v>
      </c>
      <c r="AK16" s="100">
        <v>0</v>
      </c>
    </row>
    <row r="17" spans="1:37" customFormat="1" x14ac:dyDescent="0.15">
      <c r="A17" s="144" t="s">
        <v>208</v>
      </c>
      <c r="B17" s="100">
        <v>0</v>
      </c>
      <c r="C17" s="100">
        <v>0</v>
      </c>
      <c r="D17" s="100">
        <v>0</v>
      </c>
      <c r="E17" s="100">
        <v>0</v>
      </c>
      <c r="F17" s="100">
        <v>0.8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0</v>
      </c>
      <c r="O17" s="100">
        <v>0</v>
      </c>
      <c r="P17" s="100">
        <v>0</v>
      </c>
      <c r="Q17" s="100">
        <v>0</v>
      </c>
      <c r="R17" s="100">
        <v>0</v>
      </c>
      <c r="S17" s="100">
        <v>0</v>
      </c>
      <c r="T17" s="100">
        <v>0</v>
      </c>
      <c r="U17" s="100">
        <v>0</v>
      </c>
      <c r="V17" s="100">
        <v>0</v>
      </c>
      <c r="W17" s="100">
        <v>0</v>
      </c>
      <c r="X17" s="100">
        <v>0</v>
      </c>
      <c r="Y17" s="100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>
        <v>0</v>
      </c>
      <c r="AJ17" s="100">
        <v>0</v>
      </c>
      <c r="AK17" s="100">
        <v>0</v>
      </c>
    </row>
    <row r="18" spans="1:37" customFormat="1" x14ac:dyDescent="0.15">
      <c r="A18" s="144" t="s">
        <v>209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0</v>
      </c>
      <c r="R18" s="100">
        <v>0</v>
      </c>
      <c r="S18" s="100">
        <v>0</v>
      </c>
      <c r="T18" s="100">
        <v>0</v>
      </c>
      <c r="U18" s="100">
        <v>0</v>
      </c>
      <c r="V18" s="100">
        <v>0</v>
      </c>
      <c r="W18" s="100">
        <v>0</v>
      </c>
      <c r="X18" s="100">
        <v>0</v>
      </c>
      <c r="Y18" s="100">
        <v>0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>
        <v>0</v>
      </c>
      <c r="AH18" s="100">
        <v>0</v>
      </c>
      <c r="AI18" s="100">
        <v>0</v>
      </c>
      <c r="AJ18" s="100">
        <v>0</v>
      </c>
      <c r="AK18" s="100">
        <v>0</v>
      </c>
    </row>
    <row r="19" spans="1:37" customFormat="1" x14ac:dyDescent="0.15">
      <c r="A19" s="144" t="s">
        <v>210</v>
      </c>
      <c r="B19" s="100">
        <v>0</v>
      </c>
      <c r="C19" s="100">
        <v>0.8</v>
      </c>
      <c r="D19" s="100">
        <v>0.8</v>
      </c>
      <c r="E19" s="100">
        <v>0.8</v>
      </c>
      <c r="F19" s="100">
        <v>0.8</v>
      </c>
      <c r="G19" s="100">
        <v>0.8</v>
      </c>
      <c r="H19" s="100">
        <v>0.8</v>
      </c>
      <c r="I19" s="100">
        <v>0</v>
      </c>
      <c r="J19" s="100">
        <v>0</v>
      </c>
      <c r="K19" s="100">
        <v>0</v>
      </c>
      <c r="L19" s="100">
        <v>0.8</v>
      </c>
      <c r="M19" s="100">
        <v>0.8</v>
      </c>
      <c r="N19" s="100">
        <v>0</v>
      </c>
      <c r="O19" s="100">
        <v>0</v>
      </c>
      <c r="P19" s="100">
        <v>0</v>
      </c>
      <c r="Q19" s="100">
        <v>0.8</v>
      </c>
      <c r="R19" s="100">
        <v>0.8</v>
      </c>
      <c r="S19" s="100">
        <v>0</v>
      </c>
      <c r="T19" s="100">
        <v>0</v>
      </c>
      <c r="U19" s="100">
        <v>0.8</v>
      </c>
      <c r="V19" s="100">
        <v>0</v>
      </c>
      <c r="W19" s="100">
        <v>0</v>
      </c>
      <c r="X19" s="100">
        <v>0.8</v>
      </c>
      <c r="Y19" s="100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>
        <v>0</v>
      </c>
      <c r="AH19" s="100">
        <v>0</v>
      </c>
      <c r="AI19" s="100">
        <v>0</v>
      </c>
      <c r="AJ19" s="100">
        <v>0</v>
      </c>
      <c r="AK19" s="100">
        <v>0</v>
      </c>
    </row>
    <row r="20" spans="1:37" customFormat="1" x14ac:dyDescent="0.15">
      <c r="A20" s="144" t="s">
        <v>211</v>
      </c>
      <c r="B20" s="100">
        <v>0.8</v>
      </c>
      <c r="C20" s="100">
        <v>0.8</v>
      </c>
      <c r="D20" s="100">
        <v>0.8</v>
      </c>
      <c r="E20" s="100">
        <v>0.8</v>
      </c>
      <c r="F20" s="100">
        <v>0.8</v>
      </c>
      <c r="G20" s="100">
        <v>0.8</v>
      </c>
      <c r="H20" s="100">
        <v>0.8</v>
      </c>
      <c r="I20" s="100">
        <v>0</v>
      </c>
      <c r="J20" s="100">
        <v>0.8</v>
      </c>
      <c r="K20" s="100">
        <v>0.8</v>
      </c>
      <c r="L20" s="100">
        <v>0.8</v>
      </c>
      <c r="M20" s="100">
        <v>0</v>
      </c>
      <c r="N20" s="100">
        <v>0.8</v>
      </c>
      <c r="O20" s="100">
        <v>0.8</v>
      </c>
      <c r="P20" s="100">
        <v>0.8</v>
      </c>
      <c r="Q20" s="100">
        <v>0.8</v>
      </c>
      <c r="R20" s="100">
        <v>0.8</v>
      </c>
      <c r="S20" s="100">
        <v>0.8</v>
      </c>
      <c r="T20" s="100">
        <v>0</v>
      </c>
      <c r="U20" s="100">
        <v>0.8</v>
      </c>
      <c r="V20" s="100">
        <v>0.8</v>
      </c>
      <c r="W20" s="100">
        <v>0.8</v>
      </c>
      <c r="X20" s="100">
        <v>0.8</v>
      </c>
      <c r="Y20" s="100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>
        <v>0</v>
      </c>
      <c r="AH20" s="100">
        <v>0</v>
      </c>
      <c r="AI20" s="100">
        <v>0</v>
      </c>
      <c r="AJ20" s="100">
        <v>0</v>
      </c>
      <c r="AK20" s="100">
        <v>0</v>
      </c>
    </row>
    <row r="21" spans="1:37" customFormat="1" x14ac:dyDescent="0.15">
      <c r="A21" s="144" t="s">
        <v>212</v>
      </c>
      <c r="B21" s="100">
        <v>0.8</v>
      </c>
      <c r="C21" s="100">
        <v>0</v>
      </c>
      <c r="D21" s="100">
        <v>0.8</v>
      </c>
      <c r="E21" s="100">
        <v>0.8</v>
      </c>
      <c r="F21" s="100">
        <v>0.8</v>
      </c>
      <c r="G21" s="100">
        <v>0.8</v>
      </c>
      <c r="H21" s="100">
        <v>0.8</v>
      </c>
      <c r="I21" s="100">
        <v>0</v>
      </c>
      <c r="J21" s="100">
        <v>0.8</v>
      </c>
      <c r="K21" s="100">
        <v>0.8</v>
      </c>
      <c r="L21" s="100">
        <v>0.8</v>
      </c>
      <c r="M21" s="100">
        <v>0.8</v>
      </c>
      <c r="N21" s="100">
        <v>0.8</v>
      </c>
      <c r="O21" s="100">
        <v>0.8</v>
      </c>
      <c r="P21" s="100">
        <v>0</v>
      </c>
      <c r="Q21" s="100">
        <v>0.8</v>
      </c>
      <c r="R21" s="100">
        <v>0.8</v>
      </c>
      <c r="S21" s="100">
        <v>0.8</v>
      </c>
      <c r="T21" s="100">
        <v>0</v>
      </c>
      <c r="U21" s="100">
        <v>0</v>
      </c>
      <c r="V21" s="100">
        <v>0</v>
      </c>
      <c r="W21" s="100">
        <v>0</v>
      </c>
      <c r="X21" s="100">
        <v>0</v>
      </c>
      <c r="Y21" s="100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>
        <v>0</v>
      </c>
      <c r="AH21" s="100">
        <v>0</v>
      </c>
      <c r="AI21" s="100">
        <v>0</v>
      </c>
      <c r="AJ21" s="100">
        <v>0</v>
      </c>
      <c r="AK21" s="100">
        <v>0</v>
      </c>
    </row>
    <row r="22" spans="1:37" customFormat="1" x14ac:dyDescent="0.15">
      <c r="A22" s="144" t="s">
        <v>213</v>
      </c>
      <c r="B22" s="100">
        <v>0.8</v>
      </c>
      <c r="C22" s="100">
        <v>0</v>
      </c>
      <c r="D22" s="100">
        <v>0</v>
      </c>
      <c r="E22" s="100">
        <v>0</v>
      </c>
      <c r="F22" s="100">
        <v>0</v>
      </c>
      <c r="G22" s="100">
        <v>0.8</v>
      </c>
      <c r="H22" s="100">
        <v>0</v>
      </c>
      <c r="I22" s="100">
        <v>0</v>
      </c>
      <c r="J22" s="100">
        <v>0</v>
      </c>
      <c r="K22" s="100">
        <v>0</v>
      </c>
      <c r="L22" s="100">
        <v>0</v>
      </c>
      <c r="M22" s="100">
        <v>0</v>
      </c>
      <c r="N22" s="100">
        <v>0</v>
      </c>
      <c r="O22" s="100">
        <v>0</v>
      </c>
      <c r="P22" s="100">
        <v>0</v>
      </c>
      <c r="Q22" s="100">
        <v>0</v>
      </c>
      <c r="R22" s="100">
        <v>0</v>
      </c>
      <c r="S22" s="100">
        <v>0</v>
      </c>
      <c r="T22" s="100">
        <v>0</v>
      </c>
      <c r="U22" s="100">
        <v>0</v>
      </c>
      <c r="V22" s="100">
        <v>0</v>
      </c>
      <c r="W22" s="100">
        <v>0</v>
      </c>
      <c r="X22" s="100">
        <v>0</v>
      </c>
      <c r="Y22" s="100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>
        <v>0</v>
      </c>
      <c r="AH22" s="100">
        <v>0</v>
      </c>
      <c r="AI22" s="100">
        <v>0</v>
      </c>
      <c r="AJ22" s="100">
        <v>0</v>
      </c>
      <c r="AK22" s="100">
        <v>0</v>
      </c>
    </row>
    <row r="23" spans="1:37" customFormat="1" x14ac:dyDescent="0.15">
      <c r="A23" s="144" t="s">
        <v>214</v>
      </c>
      <c r="B23" s="100">
        <v>0</v>
      </c>
      <c r="C23" s="100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0">
        <v>0</v>
      </c>
      <c r="L23" s="100">
        <v>0</v>
      </c>
      <c r="M23" s="100">
        <v>0</v>
      </c>
      <c r="N23" s="100">
        <v>0</v>
      </c>
      <c r="O23" s="100">
        <v>0</v>
      </c>
      <c r="P23" s="100">
        <v>0.8</v>
      </c>
      <c r="Q23" s="100">
        <v>0</v>
      </c>
      <c r="R23" s="100">
        <v>0</v>
      </c>
      <c r="S23" s="100">
        <v>0</v>
      </c>
      <c r="T23" s="100">
        <v>0</v>
      </c>
      <c r="U23" s="100">
        <v>0.8</v>
      </c>
      <c r="V23" s="100">
        <v>0</v>
      </c>
      <c r="W23" s="100">
        <v>0</v>
      </c>
      <c r="X23" s="100">
        <v>0</v>
      </c>
      <c r="Y23" s="100">
        <v>0</v>
      </c>
      <c r="Z23" s="100">
        <v>0</v>
      </c>
      <c r="AA23" s="100">
        <v>0</v>
      </c>
      <c r="AB23" s="100">
        <v>0</v>
      </c>
      <c r="AC23" s="100">
        <v>0</v>
      </c>
      <c r="AD23" s="100">
        <v>0</v>
      </c>
      <c r="AE23" s="100">
        <v>0</v>
      </c>
      <c r="AF23" s="100">
        <v>0</v>
      </c>
      <c r="AG23" s="100">
        <v>0</v>
      </c>
      <c r="AH23" s="100">
        <v>0</v>
      </c>
      <c r="AI23" s="100">
        <v>0</v>
      </c>
      <c r="AJ23" s="100">
        <v>0</v>
      </c>
      <c r="AK23" s="100">
        <v>0</v>
      </c>
    </row>
    <row r="24" spans="1:37" customFormat="1" x14ac:dyDescent="0.15">
      <c r="A24" s="144" t="s">
        <v>215</v>
      </c>
      <c r="B24" s="100">
        <v>0.8</v>
      </c>
      <c r="C24" s="100">
        <v>0.8</v>
      </c>
      <c r="D24" s="100">
        <v>0.8</v>
      </c>
      <c r="E24" s="100">
        <v>0</v>
      </c>
      <c r="F24" s="100">
        <v>0</v>
      </c>
      <c r="G24" s="100">
        <v>0.8</v>
      </c>
      <c r="H24" s="100">
        <v>0</v>
      </c>
      <c r="I24" s="100">
        <v>0</v>
      </c>
      <c r="J24" s="100">
        <v>0</v>
      </c>
      <c r="K24" s="100">
        <v>0</v>
      </c>
      <c r="L24" s="100">
        <v>0</v>
      </c>
      <c r="M24" s="100">
        <v>0</v>
      </c>
      <c r="N24" s="100">
        <v>0</v>
      </c>
      <c r="O24" s="100">
        <v>0</v>
      </c>
      <c r="P24" s="100">
        <v>0.8</v>
      </c>
      <c r="Q24" s="100">
        <v>0</v>
      </c>
      <c r="R24" s="100">
        <v>0</v>
      </c>
      <c r="S24" s="100">
        <v>0</v>
      </c>
      <c r="T24" s="100">
        <v>0</v>
      </c>
      <c r="U24" s="100">
        <v>0</v>
      </c>
      <c r="V24" s="100">
        <v>0</v>
      </c>
      <c r="W24" s="100">
        <v>0</v>
      </c>
      <c r="X24" s="100">
        <v>0</v>
      </c>
      <c r="Y24" s="100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>
        <v>0</v>
      </c>
      <c r="AH24" s="100">
        <v>0</v>
      </c>
      <c r="AI24" s="100">
        <v>0</v>
      </c>
      <c r="AJ24" s="100">
        <v>0</v>
      </c>
      <c r="AK24" s="100">
        <v>0</v>
      </c>
    </row>
    <row r="25" spans="1:37" customFormat="1" x14ac:dyDescent="0.15">
      <c r="A25" s="144" t="s">
        <v>216</v>
      </c>
      <c r="B25" s="100">
        <v>0</v>
      </c>
      <c r="C25" s="100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0">
        <v>0</v>
      </c>
      <c r="L25" s="100">
        <v>0</v>
      </c>
      <c r="M25" s="100">
        <v>0</v>
      </c>
      <c r="N25" s="100">
        <v>0</v>
      </c>
      <c r="O25" s="100">
        <v>0</v>
      </c>
      <c r="P25" s="100">
        <v>0</v>
      </c>
      <c r="Q25" s="100">
        <v>0</v>
      </c>
      <c r="R25" s="100">
        <v>0</v>
      </c>
      <c r="S25" s="100">
        <v>0</v>
      </c>
      <c r="T25" s="100">
        <v>0</v>
      </c>
      <c r="U25" s="100">
        <v>0.8</v>
      </c>
      <c r="V25" s="100">
        <v>0.8</v>
      </c>
      <c r="W25" s="100">
        <v>0</v>
      </c>
      <c r="X25" s="100">
        <v>0.8</v>
      </c>
      <c r="Y25" s="100">
        <v>0</v>
      </c>
      <c r="Z25" s="100">
        <v>0</v>
      </c>
      <c r="AA25" s="100">
        <v>0</v>
      </c>
      <c r="AB25" s="100">
        <v>0</v>
      </c>
      <c r="AC25" s="100">
        <v>0</v>
      </c>
      <c r="AD25" s="100">
        <v>0</v>
      </c>
      <c r="AE25" s="100">
        <v>0</v>
      </c>
      <c r="AF25" s="100">
        <v>0</v>
      </c>
      <c r="AG25" s="100">
        <v>0</v>
      </c>
      <c r="AH25" s="100">
        <v>0</v>
      </c>
      <c r="AI25" s="100">
        <v>0</v>
      </c>
      <c r="AJ25" s="100">
        <v>0</v>
      </c>
      <c r="AK25" s="100">
        <v>0</v>
      </c>
    </row>
    <row r="26" spans="1:37" customFormat="1" x14ac:dyDescent="0.15">
      <c r="A26" s="144" t="s">
        <v>217</v>
      </c>
      <c r="B26" s="100">
        <v>0</v>
      </c>
      <c r="C26" s="100">
        <v>0</v>
      </c>
      <c r="D26" s="100">
        <v>0.8</v>
      </c>
      <c r="E26" s="100">
        <v>0</v>
      </c>
      <c r="F26" s="100">
        <v>0</v>
      </c>
      <c r="G26" s="100">
        <v>0</v>
      </c>
      <c r="H26" s="100">
        <v>0.8</v>
      </c>
      <c r="I26" s="100">
        <v>0</v>
      </c>
      <c r="J26" s="100">
        <v>0</v>
      </c>
      <c r="K26" s="100">
        <v>0</v>
      </c>
      <c r="L26" s="100">
        <v>0</v>
      </c>
      <c r="M26" s="100">
        <v>0</v>
      </c>
      <c r="N26" s="100">
        <v>0</v>
      </c>
      <c r="O26" s="100">
        <v>0</v>
      </c>
      <c r="P26" s="100">
        <v>0</v>
      </c>
      <c r="Q26" s="100">
        <v>0</v>
      </c>
      <c r="R26" s="100">
        <v>0</v>
      </c>
      <c r="S26" s="100">
        <v>0.8</v>
      </c>
      <c r="T26" s="100">
        <v>0</v>
      </c>
      <c r="U26" s="100">
        <v>0.8</v>
      </c>
      <c r="V26" s="100">
        <v>0.8</v>
      </c>
      <c r="W26" s="100">
        <v>0</v>
      </c>
      <c r="X26" s="100">
        <v>0.8</v>
      </c>
      <c r="Y26" s="100">
        <v>0</v>
      </c>
      <c r="Z26" s="100">
        <v>0</v>
      </c>
      <c r="AA26" s="100">
        <v>0</v>
      </c>
      <c r="AB26" s="100">
        <v>0</v>
      </c>
      <c r="AC26" s="100">
        <v>0</v>
      </c>
      <c r="AD26" s="100">
        <v>0</v>
      </c>
      <c r="AE26" s="100">
        <v>0</v>
      </c>
      <c r="AF26" s="100">
        <v>0</v>
      </c>
      <c r="AG26" s="100">
        <v>0</v>
      </c>
      <c r="AH26" s="100">
        <v>0</v>
      </c>
      <c r="AI26" s="100">
        <v>0</v>
      </c>
      <c r="AJ26" s="100">
        <v>0</v>
      </c>
      <c r="AK26" s="100">
        <v>0</v>
      </c>
    </row>
    <row r="27" spans="1:37" customFormat="1" x14ac:dyDescent="0.15">
      <c r="A27" s="144" t="s">
        <v>218</v>
      </c>
      <c r="B27" s="100">
        <v>0</v>
      </c>
      <c r="C27" s="100">
        <v>0.8</v>
      </c>
      <c r="D27" s="100">
        <v>0</v>
      </c>
      <c r="E27" s="100">
        <v>0.8</v>
      </c>
      <c r="F27" s="100">
        <v>0.8</v>
      </c>
      <c r="G27" s="100">
        <v>0</v>
      </c>
      <c r="H27" s="100">
        <v>0</v>
      </c>
      <c r="I27" s="100">
        <v>0.8</v>
      </c>
      <c r="J27" s="100">
        <v>0.8</v>
      </c>
      <c r="K27" s="100">
        <v>0.8</v>
      </c>
      <c r="L27" s="100">
        <v>0.8</v>
      </c>
      <c r="M27" s="100">
        <v>0.8</v>
      </c>
      <c r="N27" s="100">
        <v>0.8</v>
      </c>
      <c r="O27" s="100">
        <v>0.8</v>
      </c>
      <c r="P27" s="100">
        <v>0.8</v>
      </c>
      <c r="Q27" s="100">
        <v>0.8</v>
      </c>
      <c r="R27" s="100">
        <v>0.8</v>
      </c>
      <c r="S27" s="100">
        <v>0.8</v>
      </c>
      <c r="T27" s="100">
        <v>0.8</v>
      </c>
      <c r="U27" s="100">
        <v>0.8</v>
      </c>
      <c r="V27" s="100">
        <v>0.8</v>
      </c>
      <c r="W27" s="100">
        <v>0.8</v>
      </c>
      <c r="X27" s="100">
        <v>0.8</v>
      </c>
      <c r="Y27" s="100">
        <v>0</v>
      </c>
      <c r="Z27" s="100">
        <v>0</v>
      </c>
      <c r="AA27" s="100">
        <v>0</v>
      </c>
      <c r="AB27" s="100">
        <v>0</v>
      </c>
      <c r="AC27" s="100">
        <v>0</v>
      </c>
      <c r="AD27" s="100">
        <v>0</v>
      </c>
      <c r="AE27" s="100">
        <v>0</v>
      </c>
      <c r="AF27" s="100">
        <v>0.8</v>
      </c>
      <c r="AG27" s="100">
        <v>0</v>
      </c>
      <c r="AH27" s="100">
        <v>0</v>
      </c>
      <c r="AI27" s="100">
        <v>0</v>
      </c>
      <c r="AJ27" s="100">
        <v>0</v>
      </c>
      <c r="AK27" s="100">
        <v>0</v>
      </c>
    </row>
    <row r="28" spans="1:37" customFormat="1" x14ac:dyDescent="0.15">
      <c r="A28" s="144" t="s">
        <v>219</v>
      </c>
      <c r="B28" s="100">
        <v>0</v>
      </c>
      <c r="C28" s="100">
        <v>0</v>
      </c>
      <c r="D28" s="100">
        <v>0</v>
      </c>
      <c r="E28" s="100">
        <v>0</v>
      </c>
      <c r="F28" s="100">
        <v>0</v>
      </c>
      <c r="G28" s="100">
        <v>0</v>
      </c>
      <c r="H28" s="100">
        <v>0</v>
      </c>
      <c r="I28" s="100">
        <v>0</v>
      </c>
      <c r="J28" s="100">
        <v>0</v>
      </c>
      <c r="K28" s="100">
        <v>0</v>
      </c>
      <c r="L28" s="100">
        <v>0</v>
      </c>
      <c r="M28" s="100">
        <v>0</v>
      </c>
      <c r="N28" s="100">
        <v>0</v>
      </c>
      <c r="O28" s="100">
        <v>0</v>
      </c>
      <c r="P28" s="100">
        <v>0</v>
      </c>
      <c r="Q28" s="100">
        <v>0</v>
      </c>
      <c r="R28" s="100">
        <v>0</v>
      </c>
      <c r="S28" s="100">
        <v>0</v>
      </c>
      <c r="T28" s="100">
        <v>0</v>
      </c>
      <c r="U28" s="100">
        <v>0</v>
      </c>
      <c r="V28" s="100">
        <v>0</v>
      </c>
      <c r="W28" s="100">
        <v>0</v>
      </c>
      <c r="X28" s="100">
        <v>0</v>
      </c>
      <c r="Y28" s="100">
        <v>0.8</v>
      </c>
      <c r="Z28" s="100">
        <v>0</v>
      </c>
      <c r="AA28" s="100">
        <v>0</v>
      </c>
      <c r="AB28" s="100">
        <v>0</v>
      </c>
      <c r="AC28" s="100">
        <v>0</v>
      </c>
      <c r="AD28" s="100">
        <v>0</v>
      </c>
      <c r="AE28" s="100">
        <v>0</v>
      </c>
      <c r="AF28" s="100">
        <v>0.8</v>
      </c>
      <c r="AG28" s="100">
        <v>0</v>
      </c>
      <c r="AH28" s="100">
        <v>0</v>
      </c>
      <c r="AI28" s="100">
        <v>0</v>
      </c>
      <c r="AJ28" s="100">
        <v>0</v>
      </c>
      <c r="AK28" s="100">
        <v>0</v>
      </c>
    </row>
    <row r="29" spans="1:37" customFormat="1" x14ac:dyDescent="0.15">
      <c r="A29" s="144" t="s">
        <v>220</v>
      </c>
      <c r="B29" s="100">
        <v>0</v>
      </c>
      <c r="C29" s="100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0.8</v>
      </c>
      <c r="J29" s="100">
        <v>0.8</v>
      </c>
      <c r="K29" s="100">
        <v>0.8</v>
      </c>
      <c r="L29" s="100">
        <v>0</v>
      </c>
      <c r="M29" s="100">
        <v>0</v>
      </c>
      <c r="N29" s="100">
        <v>0</v>
      </c>
      <c r="O29" s="100">
        <v>0</v>
      </c>
      <c r="P29" s="100">
        <v>0</v>
      </c>
      <c r="Q29" s="100">
        <v>0.8</v>
      </c>
      <c r="R29" s="100">
        <v>0</v>
      </c>
      <c r="S29" s="100">
        <v>0.8</v>
      </c>
      <c r="T29" s="100">
        <v>0.8</v>
      </c>
      <c r="U29" s="100">
        <v>0.8</v>
      </c>
      <c r="V29" s="100">
        <v>0.8</v>
      </c>
      <c r="W29" s="100">
        <v>0.8</v>
      </c>
      <c r="X29" s="100">
        <v>0</v>
      </c>
      <c r="Y29" s="100">
        <v>0</v>
      </c>
      <c r="Z29" s="100">
        <v>0</v>
      </c>
      <c r="AA29" s="100">
        <v>0</v>
      </c>
      <c r="AB29" s="100">
        <v>0</v>
      </c>
      <c r="AC29" s="100">
        <v>0</v>
      </c>
      <c r="AD29" s="100">
        <v>0</v>
      </c>
      <c r="AE29" s="100">
        <v>0</v>
      </c>
      <c r="AF29" s="100">
        <v>0.8</v>
      </c>
      <c r="AG29" s="100">
        <v>0</v>
      </c>
      <c r="AH29" s="100">
        <v>0</v>
      </c>
      <c r="AI29" s="100">
        <v>0</v>
      </c>
      <c r="AJ29" s="100">
        <v>0</v>
      </c>
      <c r="AK29" s="100">
        <v>0</v>
      </c>
    </row>
    <row r="30" spans="1:37" customFormat="1" x14ac:dyDescent="0.15">
      <c r="A30" s="144" t="s">
        <v>221</v>
      </c>
      <c r="B30" s="100">
        <v>0</v>
      </c>
      <c r="C30" s="100">
        <v>0</v>
      </c>
      <c r="D30" s="100">
        <v>0</v>
      </c>
      <c r="E30" s="100">
        <v>0</v>
      </c>
      <c r="F30" s="100">
        <v>0</v>
      </c>
      <c r="G30" s="100">
        <v>0</v>
      </c>
      <c r="H30" s="100">
        <v>0</v>
      </c>
      <c r="I30" s="100">
        <v>0</v>
      </c>
      <c r="J30" s="100">
        <v>0</v>
      </c>
      <c r="K30" s="100">
        <v>0</v>
      </c>
      <c r="L30" s="100">
        <v>0</v>
      </c>
      <c r="M30" s="100">
        <v>0</v>
      </c>
      <c r="N30" s="100">
        <v>0</v>
      </c>
      <c r="O30" s="100">
        <v>0</v>
      </c>
      <c r="P30" s="100">
        <v>0</v>
      </c>
      <c r="Q30" s="100">
        <v>0</v>
      </c>
      <c r="R30" s="100">
        <v>0</v>
      </c>
      <c r="S30" s="100">
        <v>0</v>
      </c>
      <c r="T30" s="100">
        <v>0</v>
      </c>
      <c r="U30" s="100">
        <v>0</v>
      </c>
      <c r="V30" s="100">
        <v>0</v>
      </c>
      <c r="W30" s="100">
        <v>0</v>
      </c>
      <c r="X30" s="100">
        <v>0</v>
      </c>
      <c r="Y30" s="100">
        <v>0.8</v>
      </c>
      <c r="Z30" s="100">
        <v>0</v>
      </c>
      <c r="AA30" s="100">
        <v>0</v>
      </c>
      <c r="AB30" s="100">
        <v>0.8</v>
      </c>
      <c r="AC30" s="100">
        <v>0</v>
      </c>
      <c r="AD30" s="100">
        <v>0</v>
      </c>
      <c r="AE30" s="100">
        <v>0.8</v>
      </c>
      <c r="AF30" s="100">
        <v>0</v>
      </c>
      <c r="AG30" s="100">
        <v>0</v>
      </c>
      <c r="AH30" s="100">
        <v>0</v>
      </c>
      <c r="AI30" s="100">
        <v>0</v>
      </c>
      <c r="AJ30" s="100">
        <v>0</v>
      </c>
      <c r="AK30" s="100">
        <v>0</v>
      </c>
    </row>
    <row r="31" spans="1:37" customFormat="1" x14ac:dyDescent="0.15">
      <c r="A31" s="144" t="s">
        <v>222</v>
      </c>
      <c r="B31" s="100">
        <v>0</v>
      </c>
      <c r="C31" s="100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0.8</v>
      </c>
      <c r="K31" s="100">
        <v>0</v>
      </c>
      <c r="L31" s="100">
        <v>0.8</v>
      </c>
      <c r="M31" s="100">
        <v>0</v>
      </c>
      <c r="N31" s="100">
        <v>0</v>
      </c>
      <c r="O31" s="100">
        <v>0</v>
      </c>
      <c r="P31" s="100">
        <v>0</v>
      </c>
      <c r="Q31" s="100">
        <v>0</v>
      </c>
      <c r="R31" s="100">
        <v>0.8</v>
      </c>
      <c r="S31" s="100">
        <v>0</v>
      </c>
      <c r="T31" s="100">
        <v>0.8</v>
      </c>
      <c r="U31" s="100">
        <v>0.8</v>
      </c>
      <c r="V31" s="100">
        <v>0</v>
      </c>
      <c r="W31" s="100">
        <v>0</v>
      </c>
      <c r="X31" s="100">
        <v>0</v>
      </c>
      <c r="Y31" s="100">
        <v>0.8</v>
      </c>
      <c r="Z31" s="100">
        <v>0</v>
      </c>
      <c r="AA31" s="100">
        <v>0.8</v>
      </c>
      <c r="AB31" s="100">
        <v>0</v>
      </c>
      <c r="AC31" s="100">
        <v>0.8</v>
      </c>
      <c r="AD31" s="100">
        <v>0</v>
      </c>
      <c r="AE31" s="100">
        <v>0</v>
      </c>
      <c r="AF31" s="100">
        <v>0.8</v>
      </c>
      <c r="AG31" s="100">
        <v>0</v>
      </c>
      <c r="AH31" s="100">
        <v>0</v>
      </c>
      <c r="AI31" s="100">
        <v>0</v>
      </c>
      <c r="AJ31" s="100">
        <v>0</v>
      </c>
      <c r="AK31" s="100">
        <v>0</v>
      </c>
    </row>
    <row r="32" spans="1:37" customFormat="1" x14ac:dyDescent="0.15">
      <c r="A32" s="144" t="s">
        <v>223</v>
      </c>
      <c r="B32" s="100">
        <v>0</v>
      </c>
      <c r="C32" s="100">
        <v>0</v>
      </c>
      <c r="D32" s="100">
        <v>0</v>
      </c>
      <c r="E32" s="100">
        <v>0</v>
      </c>
      <c r="F32" s="100">
        <v>0</v>
      </c>
      <c r="G32" s="100">
        <v>0</v>
      </c>
      <c r="H32" s="100">
        <v>0</v>
      </c>
      <c r="I32" s="100">
        <v>0.8</v>
      </c>
      <c r="J32" s="100">
        <v>0.8</v>
      </c>
      <c r="K32" s="100">
        <v>0.8</v>
      </c>
      <c r="L32" s="100">
        <v>0.8</v>
      </c>
      <c r="M32" s="100">
        <v>0</v>
      </c>
      <c r="N32" s="100">
        <v>0</v>
      </c>
      <c r="O32" s="100">
        <v>0.8</v>
      </c>
      <c r="P32" s="100">
        <v>0.8</v>
      </c>
      <c r="Q32" s="100">
        <v>0.8</v>
      </c>
      <c r="R32" s="100">
        <v>0.8</v>
      </c>
      <c r="S32" s="100">
        <v>0.8</v>
      </c>
      <c r="T32" s="100">
        <v>0.8</v>
      </c>
      <c r="U32" s="100">
        <v>0.8</v>
      </c>
      <c r="V32" s="100">
        <v>0</v>
      </c>
      <c r="W32" s="100">
        <v>0.8</v>
      </c>
      <c r="X32" s="100">
        <v>0.8</v>
      </c>
      <c r="Y32" s="100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>
        <v>0</v>
      </c>
      <c r="AH32" s="100">
        <v>0</v>
      </c>
      <c r="AI32" s="100">
        <v>0</v>
      </c>
      <c r="AJ32" s="100">
        <v>0</v>
      </c>
      <c r="AK32" s="100">
        <v>0</v>
      </c>
    </row>
    <row r="33" spans="1:37" x14ac:dyDescent="0.15">
      <c r="A33" s="144" t="s">
        <v>224</v>
      </c>
      <c r="B33" s="100">
        <v>0</v>
      </c>
      <c r="C33" s="100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0">
        <v>0</v>
      </c>
      <c r="L33" s="100">
        <v>0</v>
      </c>
      <c r="M33" s="100">
        <v>0</v>
      </c>
      <c r="N33" s="100">
        <v>0</v>
      </c>
      <c r="O33" s="100">
        <v>0</v>
      </c>
      <c r="P33" s="100">
        <v>0</v>
      </c>
      <c r="Q33" s="100">
        <v>0</v>
      </c>
      <c r="R33" s="100">
        <v>0</v>
      </c>
      <c r="S33" s="100">
        <v>0</v>
      </c>
      <c r="T33" s="100">
        <v>0</v>
      </c>
      <c r="U33" s="100">
        <v>0</v>
      </c>
      <c r="V33" s="100">
        <v>0</v>
      </c>
      <c r="W33" s="100">
        <v>0</v>
      </c>
      <c r="X33" s="100">
        <v>0</v>
      </c>
      <c r="Y33" s="100">
        <v>0.8</v>
      </c>
      <c r="Z33" s="100">
        <v>0</v>
      </c>
      <c r="AA33" s="100">
        <v>0</v>
      </c>
      <c r="AB33" s="100">
        <v>0.8</v>
      </c>
      <c r="AC33" s="100">
        <v>0</v>
      </c>
      <c r="AD33" s="100">
        <v>0.8</v>
      </c>
      <c r="AE33" s="100">
        <v>0.8</v>
      </c>
      <c r="AF33" s="100">
        <v>0.8</v>
      </c>
      <c r="AG33" s="100">
        <v>0</v>
      </c>
      <c r="AH33" s="100">
        <v>0</v>
      </c>
      <c r="AI33" s="100">
        <v>0</v>
      </c>
      <c r="AJ33" s="100">
        <v>0</v>
      </c>
      <c r="AK33" s="100">
        <v>0</v>
      </c>
    </row>
    <row r="34" spans="1:37" x14ac:dyDescent="0.15">
      <c r="A34" s="144" t="s">
        <v>225</v>
      </c>
      <c r="B34" s="100">
        <v>0</v>
      </c>
      <c r="C34" s="100">
        <v>0</v>
      </c>
      <c r="D34" s="100">
        <v>0</v>
      </c>
      <c r="E34" s="100">
        <v>0</v>
      </c>
      <c r="F34" s="100">
        <v>0</v>
      </c>
      <c r="G34" s="100">
        <v>0</v>
      </c>
      <c r="H34" s="100">
        <v>0</v>
      </c>
      <c r="I34" s="100">
        <v>0</v>
      </c>
      <c r="J34" s="100">
        <v>0</v>
      </c>
      <c r="K34" s="100">
        <v>0</v>
      </c>
      <c r="L34" s="100">
        <v>0</v>
      </c>
      <c r="M34" s="100">
        <v>0</v>
      </c>
      <c r="N34" s="100">
        <v>0</v>
      </c>
      <c r="O34" s="100">
        <v>0</v>
      </c>
      <c r="P34" s="100">
        <v>0</v>
      </c>
      <c r="Q34" s="100">
        <v>0</v>
      </c>
      <c r="R34" s="100">
        <v>0</v>
      </c>
      <c r="S34" s="100">
        <v>0</v>
      </c>
      <c r="T34" s="100">
        <v>0</v>
      </c>
      <c r="U34" s="100">
        <v>0</v>
      </c>
      <c r="V34" s="100">
        <v>0</v>
      </c>
      <c r="W34" s="100">
        <v>0</v>
      </c>
      <c r="X34" s="100">
        <v>0</v>
      </c>
      <c r="Y34" s="100">
        <v>0.8</v>
      </c>
      <c r="Z34" s="100">
        <v>0</v>
      </c>
      <c r="AA34" s="100">
        <v>0.8</v>
      </c>
      <c r="AB34" s="100">
        <v>0.8</v>
      </c>
      <c r="AC34" s="100">
        <v>0.8</v>
      </c>
      <c r="AD34" s="100">
        <v>0.8</v>
      </c>
      <c r="AE34" s="100">
        <v>0.8</v>
      </c>
      <c r="AF34" s="100">
        <v>0.8</v>
      </c>
      <c r="AG34" s="100">
        <v>0</v>
      </c>
      <c r="AH34" s="100">
        <v>0</v>
      </c>
      <c r="AI34" s="100">
        <v>0</v>
      </c>
      <c r="AJ34" s="100">
        <v>0</v>
      </c>
      <c r="AK34" s="100">
        <v>0</v>
      </c>
    </row>
    <row r="35" spans="1:37" x14ac:dyDescent="0.15">
      <c r="A35" s="144" t="s">
        <v>226</v>
      </c>
      <c r="B35" s="100">
        <v>0</v>
      </c>
      <c r="C35" s="100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0">
        <v>0</v>
      </c>
      <c r="L35" s="100">
        <v>0</v>
      </c>
      <c r="M35" s="100">
        <v>0</v>
      </c>
      <c r="N35" s="100">
        <v>0</v>
      </c>
      <c r="O35" s="100">
        <v>0</v>
      </c>
      <c r="P35" s="100">
        <v>0</v>
      </c>
      <c r="Q35" s="100">
        <v>0</v>
      </c>
      <c r="R35" s="100">
        <v>0</v>
      </c>
      <c r="S35" s="100">
        <v>0</v>
      </c>
      <c r="T35" s="100">
        <v>0</v>
      </c>
      <c r="U35" s="100">
        <v>0</v>
      </c>
      <c r="V35" s="100">
        <v>0.8</v>
      </c>
      <c r="W35" s="100">
        <v>0</v>
      </c>
      <c r="X35" s="100">
        <v>0.8</v>
      </c>
      <c r="Y35" s="100">
        <v>0</v>
      </c>
      <c r="Z35" s="100">
        <v>0</v>
      </c>
      <c r="AA35" s="100">
        <v>0.8</v>
      </c>
      <c r="AB35" s="100">
        <v>0.8</v>
      </c>
      <c r="AC35" s="100">
        <v>0</v>
      </c>
      <c r="AD35" s="100">
        <v>0</v>
      </c>
      <c r="AE35" s="100">
        <v>0</v>
      </c>
      <c r="AF35" s="100">
        <v>0</v>
      </c>
      <c r="AG35" s="100">
        <v>0</v>
      </c>
      <c r="AH35" s="100">
        <v>0</v>
      </c>
      <c r="AI35" s="100">
        <v>0</v>
      </c>
      <c r="AJ35" s="100">
        <v>0</v>
      </c>
      <c r="AK35" s="100">
        <v>0</v>
      </c>
    </row>
    <row r="36" spans="1:37" x14ac:dyDescent="0.15">
      <c r="A36" s="144" t="s">
        <v>227</v>
      </c>
      <c r="B36" s="100">
        <v>0</v>
      </c>
      <c r="C36" s="100">
        <v>0</v>
      </c>
      <c r="D36" s="100">
        <v>0</v>
      </c>
      <c r="E36" s="100">
        <v>0</v>
      </c>
      <c r="F36" s="100">
        <v>0</v>
      </c>
      <c r="G36" s="100">
        <v>0</v>
      </c>
      <c r="H36" s="100">
        <v>0</v>
      </c>
      <c r="I36" s="100">
        <v>0</v>
      </c>
      <c r="J36" s="100">
        <v>0</v>
      </c>
      <c r="K36" s="100">
        <v>0</v>
      </c>
      <c r="L36" s="100">
        <v>0</v>
      </c>
      <c r="M36" s="100">
        <v>0</v>
      </c>
      <c r="N36" s="100">
        <v>0</v>
      </c>
      <c r="O36" s="100">
        <v>0</v>
      </c>
      <c r="P36" s="100">
        <v>0</v>
      </c>
      <c r="Q36" s="100">
        <v>0</v>
      </c>
      <c r="R36" s="100">
        <v>0</v>
      </c>
      <c r="S36" s="100">
        <v>0</v>
      </c>
      <c r="T36" s="100">
        <v>0</v>
      </c>
      <c r="U36" s="100">
        <v>0</v>
      </c>
      <c r="V36" s="100">
        <v>0</v>
      </c>
      <c r="W36" s="100">
        <v>0</v>
      </c>
      <c r="X36" s="100">
        <v>0</v>
      </c>
      <c r="Y36" s="100">
        <v>0</v>
      </c>
      <c r="Z36" s="100">
        <v>0.8</v>
      </c>
      <c r="AA36" s="100">
        <v>0.8</v>
      </c>
      <c r="AB36" s="100">
        <v>0.8</v>
      </c>
      <c r="AC36" s="100">
        <v>0.8</v>
      </c>
      <c r="AD36" s="100">
        <v>0.8</v>
      </c>
      <c r="AE36" s="100">
        <v>0.8</v>
      </c>
      <c r="AF36" s="100">
        <v>0.8</v>
      </c>
      <c r="AG36" s="100">
        <v>0</v>
      </c>
      <c r="AH36" s="100">
        <v>0</v>
      </c>
      <c r="AI36" s="100">
        <v>0</v>
      </c>
      <c r="AJ36" s="100">
        <v>0</v>
      </c>
      <c r="AK36" s="100">
        <v>0</v>
      </c>
    </row>
    <row r="37" spans="1:37" x14ac:dyDescent="0.15">
      <c r="A37" s="144" t="s">
        <v>228</v>
      </c>
      <c r="B37" s="100">
        <v>0</v>
      </c>
      <c r="C37" s="100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0">
        <v>0</v>
      </c>
      <c r="L37" s="100">
        <v>0</v>
      </c>
      <c r="M37" s="100">
        <v>0</v>
      </c>
      <c r="N37" s="100">
        <v>0</v>
      </c>
      <c r="O37" s="100">
        <v>0</v>
      </c>
      <c r="P37" s="100">
        <v>0</v>
      </c>
      <c r="Q37" s="100">
        <v>0</v>
      </c>
      <c r="R37" s="100">
        <v>0</v>
      </c>
      <c r="S37" s="100">
        <v>0</v>
      </c>
      <c r="T37" s="100">
        <v>0</v>
      </c>
      <c r="U37" s="100">
        <v>0</v>
      </c>
      <c r="V37" s="100">
        <v>0</v>
      </c>
      <c r="W37" s="100">
        <v>0</v>
      </c>
      <c r="X37" s="100">
        <v>0</v>
      </c>
      <c r="Y37" s="100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>
        <v>0</v>
      </c>
      <c r="AH37" s="100">
        <v>0</v>
      </c>
      <c r="AI37" s="100">
        <v>0</v>
      </c>
      <c r="AJ37" s="100">
        <v>0</v>
      </c>
      <c r="AK37" s="100">
        <v>0</v>
      </c>
    </row>
    <row r="38" spans="1:37" x14ac:dyDescent="0.15">
      <c r="A38" s="144" t="s">
        <v>232</v>
      </c>
      <c r="B38" s="100">
        <v>0</v>
      </c>
      <c r="C38" s="100">
        <v>0</v>
      </c>
      <c r="D38" s="100">
        <v>0</v>
      </c>
      <c r="E38" s="100">
        <v>0</v>
      </c>
      <c r="F38" s="100">
        <v>0</v>
      </c>
      <c r="G38" s="100">
        <v>0</v>
      </c>
      <c r="H38" s="100">
        <v>0</v>
      </c>
      <c r="I38" s="100">
        <v>0</v>
      </c>
      <c r="J38" s="100">
        <v>0</v>
      </c>
      <c r="K38" s="100">
        <v>0</v>
      </c>
      <c r="L38" s="100">
        <v>0</v>
      </c>
      <c r="M38" s="100">
        <v>0</v>
      </c>
      <c r="N38" s="100">
        <v>0</v>
      </c>
      <c r="O38" s="100">
        <v>0</v>
      </c>
      <c r="P38" s="100">
        <v>0</v>
      </c>
      <c r="Q38" s="100">
        <v>0</v>
      </c>
      <c r="R38" s="100">
        <v>0</v>
      </c>
      <c r="S38" s="100">
        <v>0</v>
      </c>
      <c r="T38" s="100">
        <v>0</v>
      </c>
      <c r="U38" s="100">
        <v>0</v>
      </c>
      <c r="V38" s="100">
        <v>0</v>
      </c>
      <c r="W38" s="100">
        <v>0</v>
      </c>
      <c r="X38" s="100">
        <v>0</v>
      </c>
      <c r="Y38" s="100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>
        <v>0</v>
      </c>
      <c r="AH38" s="100">
        <v>0</v>
      </c>
      <c r="AI38" s="100">
        <v>0</v>
      </c>
      <c r="AJ38" s="100">
        <v>0</v>
      </c>
      <c r="AK38" s="10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K38"/>
  <sheetViews>
    <sheetView workbookViewId="0">
      <selection activeCell="A3" sqref="A3"/>
    </sheetView>
  </sheetViews>
  <sheetFormatPr baseColWidth="10" defaultRowHeight="13" x14ac:dyDescent="0.15"/>
  <cols>
    <col min="1" max="1" width="21.6640625" style="100" bestFit="1" customWidth="1"/>
    <col min="2" max="37" width="2.33203125" style="100" customWidth="1"/>
    <col min="38" max="16384" width="10.83203125" style="100"/>
  </cols>
  <sheetData>
    <row r="1" spans="1:37" x14ac:dyDescent="0.15">
      <c r="A1" s="58" t="s">
        <v>139</v>
      </c>
      <c r="B1" s="147" t="s">
        <v>193</v>
      </c>
      <c r="C1" s="147" t="s">
        <v>194</v>
      </c>
      <c r="D1" s="147" t="s">
        <v>195</v>
      </c>
      <c r="E1" s="147" t="s">
        <v>196</v>
      </c>
      <c r="F1" s="147" t="s">
        <v>197</v>
      </c>
      <c r="G1" s="147" t="s">
        <v>198</v>
      </c>
      <c r="H1" s="147" t="s">
        <v>199</v>
      </c>
      <c r="I1" s="147" t="s">
        <v>200</v>
      </c>
      <c r="J1" s="147" t="s">
        <v>201</v>
      </c>
      <c r="K1" s="147" t="s">
        <v>202</v>
      </c>
      <c r="L1" s="147" t="s">
        <v>203</v>
      </c>
      <c r="M1" s="147" t="s">
        <v>204</v>
      </c>
      <c r="N1" s="147" t="s">
        <v>205</v>
      </c>
      <c r="O1" s="147" t="s">
        <v>206</v>
      </c>
      <c r="P1" s="147" t="s">
        <v>207</v>
      </c>
      <c r="Q1" s="147" t="s">
        <v>208</v>
      </c>
      <c r="R1" s="147" t="s">
        <v>209</v>
      </c>
      <c r="S1" s="147" t="s">
        <v>210</v>
      </c>
      <c r="T1" s="147" t="s">
        <v>211</v>
      </c>
      <c r="U1" s="147" t="s">
        <v>212</v>
      </c>
      <c r="V1" s="147" t="s">
        <v>213</v>
      </c>
      <c r="W1" s="147" t="s">
        <v>214</v>
      </c>
      <c r="X1" s="147" t="s">
        <v>215</v>
      </c>
      <c r="Y1" s="147" t="s">
        <v>216</v>
      </c>
      <c r="Z1" s="147" t="s">
        <v>217</v>
      </c>
      <c r="AA1" s="147" t="s">
        <v>218</v>
      </c>
      <c r="AB1" s="147" t="s">
        <v>219</v>
      </c>
      <c r="AC1" s="147" t="s">
        <v>220</v>
      </c>
      <c r="AD1" s="147" t="s">
        <v>221</v>
      </c>
      <c r="AE1" s="147" t="s">
        <v>222</v>
      </c>
      <c r="AF1" s="147" t="s">
        <v>223</v>
      </c>
      <c r="AG1" s="147" t="s">
        <v>224</v>
      </c>
      <c r="AH1" s="147" t="s">
        <v>225</v>
      </c>
      <c r="AI1" s="147" t="s">
        <v>226</v>
      </c>
      <c r="AJ1" s="147" t="s">
        <v>227</v>
      </c>
      <c r="AK1" s="147" t="s">
        <v>228</v>
      </c>
    </row>
    <row r="2" spans="1:37" customFormat="1" x14ac:dyDescent="0.15">
      <c r="A2" s="146" t="s">
        <v>193</v>
      </c>
      <c r="B2" s="100">
        <v>0</v>
      </c>
      <c r="C2" s="100">
        <v>0</v>
      </c>
      <c r="D2" s="100">
        <v>0</v>
      </c>
      <c r="E2" s="100">
        <v>0</v>
      </c>
      <c r="F2" s="100">
        <v>0</v>
      </c>
      <c r="G2" s="100">
        <v>0</v>
      </c>
      <c r="H2" s="100">
        <v>0</v>
      </c>
      <c r="I2" s="100">
        <v>0</v>
      </c>
      <c r="J2" s="100">
        <v>0</v>
      </c>
      <c r="K2" s="100">
        <v>0</v>
      </c>
      <c r="L2" s="100">
        <v>0</v>
      </c>
      <c r="M2" s="100">
        <v>0</v>
      </c>
      <c r="N2" s="100">
        <v>0</v>
      </c>
      <c r="O2" s="100">
        <v>0</v>
      </c>
      <c r="P2" s="100">
        <v>0</v>
      </c>
      <c r="Q2" s="100">
        <v>0</v>
      </c>
      <c r="R2" s="100">
        <v>0</v>
      </c>
      <c r="S2" s="100">
        <v>0</v>
      </c>
      <c r="T2" s="100">
        <v>0</v>
      </c>
      <c r="U2" s="100">
        <v>0</v>
      </c>
      <c r="V2" s="100">
        <v>0</v>
      </c>
      <c r="W2" s="100">
        <v>0</v>
      </c>
      <c r="X2" s="100">
        <v>0</v>
      </c>
      <c r="Y2" s="100">
        <v>0</v>
      </c>
      <c r="Z2" s="100">
        <v>0</v>
      </c>
      <c r="AA2" s="100">
        <v>0</v>
      </c>
      <c r="AB2" s="100">
        <v>0</v>
      </c>
      <c r="AC2" s="100">
        <v>0</v>
      </c>
      <c r="AD2" s="100">
        <v>0</v>
      </c>
      <c r="AE2" s="100">
        <v>0</v>
      </c>
      <c r="AF2" s="100">
        <v>0</v>
      </c>
      <c r="AG2" s="100">
        <v>0</v>
      </c>
      <c r="AH2" s="100">
        <v>0</v>
      </c>
      <c r="AI2" s="100">
        <v>0</v>
      </c>
      <c r="AJ2" s="100">
        <v>0</v>
      </c>
      <c r="AK2" s="100">
        <v>0</v>
      </c>
    </row>
    <row r="3" spans="1:37" customFormat="1" x14ac:dyDescent="0.15">
      <c r="A3" s="146" t="s">
        <v>194</v>
      </c>
      <c r="B3" s="100">
        <v>1</v>
      </c>
      <c r="C3" s="100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0">
        <v>0</v>
      </c>
      <c r="L3" s="100">
        <v>0</v>
      </c>
      <c r="M3" s="100">
        <v>0</v>
      </c>
      <c r="N3" s="100">
        <v>0</v>
      </c>
      <c r="O3" s="100">
        <v>0</v>
      </c>
      <c r="P3" s="100">
        <v>0</v>
      </c>
      <c r="Q3" s="100">
        <v>0</v>
      </c>
      <c r="R3" s="100">
        <v>0</v>
      </c>
      <c r="S3" s="100">
        <v>0</v>
      </c>
      <c r="T3" s="100">
        <v>0</v>
      </c>
      <c r="U3" s="100">
        <v>0</v>
      </c>
      <c r="V3" s="100">
        <v>0</v>
      </c>
      <c r="W3" s="100">
        <v>0</v>
      </c>
      <c r="X3" s="100">
        <v>0</v>
      </c>
      <c r="Y3" s="100">
        <v>0</v>
      </c>
      <c r="Z3" s="100">
        <v>0</v>
      </c>
      <c r="AA3" s="100">
        <v>0</v>
      </c>
      <c r="AB3" s="100">
        <v>0</v>
      </c>
      <c r="AC3" s="100">
        <v>0</v>
      </c>
      <c r="AD3" s="100">
        <v>0</v>
      </c>
      <c r="AE3" s="100">
        <v>0</v>
      </c>
      <c r="AF3" s="100">
        <v>0</v>
      </c>
      <c r="AG3" s="100">
        <v>0</v>
      </c>
      <c r="AH3" s="100">
        <v>0</v>
      </c>
      <c r="AI3" s="100">
        <v>0</v>
      </c>
      <c r="AJ3" s="100">
        <v>0</v>
      </c>
      <c r="AK3" s="100">
        <v>0</v>
      </c>
    </row>
    <row r="4" spans="1:37" customFormat="1" x14ac:dyDescent="0.15">
      <c r="A4" s="146" t="s">
        <v>195</v>
      </c>
      <c r="B4" s="100">
        <v>1</v>
      </c>
      <c r="C4" s="100">
        <v>0</v>
      </c>
      <c r="D4" s="100">
        <v>0</v>
      </c>
      <c r="E4" s="100">
        <v>0</v>
      </c>
      <c r="F4" s="100">
        <v>0</v>
      </c>
      <c r="G4" s="100">
        <v>0</v>
      </c>
      <c r="H4" s="100">
        <v>0</v>
      </c>
      <c r="I4" s="100">
        <v>0</v>
      </c>
      <c r="J4" s="100">
        <v>0</v>
      </c>
      <c r="K4" s="100">
        <v>0</v>
      </c>
      <c r="L4" s="100">
        <v>0</v>
      </c>
      <c r="M4" s="100">
        <v>0</v>
      </c>
      <c r="N4" s="100">
        <v>0</v>
      </c>
      <c r="O4" s="100">
        <v>0</v>
      </c>
      <c r="P4" s="100">
        <v>0</v>
      </c>
      <c r="Q4" s="100">
        <v>0</v>
      </c>
      <c r="R4" s="100">
        <v>0</v>
      </c>
      <c r="S4" s="100">
        <v>0</v>
      </c>
      <c r="T4" s="100">
        <v>0</v>
      </c>
      <c r="U4" s="100">
        <v>0</v>
      </c>
      <c r="V4" s="100">
        <v>0</v>
      </c>
      <c r="W4" s="100">
        <v>0</v>
      </c>
      <c r="X4" s="100">
        <v>0</v>
      </c>
      <c r="Y4" s="100">
        <v>0</v>
      </c>
      <c r="Z4" s="100">
        <v>0</v>
      </c>
      <c r="AA4" s="100">
        <v>0</v>
      </c>
      <c r="AB4" s="100">
        <v>0</v>
      </c>
      <c r="AC4" s="100">
        <v>0</v>
      </c>
      <c r="AD4" s="100">
        <v>0</v>
      </c>
      <c r="AE4" s="100">
        <v>0</v>
      </c>
      <c r="AF4" s="100">
        <v>0</v>
      </c>
      <c r="AG4" s="100">
        <v>0</v>
      </c>
      <c r="AH4" s="100">
        <v>0</v>
      </c>
      <c r="AI4" s="100">
        <v>0</v>
      </c>
      <c r="AJ4" s="100">
        <v>0</v>
      </c>
      <c r="AK4" s="100">
        <v>0</v>
      </c>
    </row>
    <row r="5" spans="1:37" customFormat="1" x14ac:dyDescent="0.15">
      <c r="A5" s="146" t="s">
        <v>196</v>
      </c>
      <c r="B5" s="100">
        <v>1</v>
      </c>
      <c r="C5" s="100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0">
        <v>0</v>
      </c>
      <c r="L5" s="100">
        <v>0</v>
      </c>
      <c r="M5" s="100">
        <v>0</v>
      </c>
      <c r="N5" s="100">
        <v>0</v>
      </c>
      <c r="O5" s="100">
        <v>0</v>
      </c>
      <c r="P5" s="100">
        <v>0</v>
      </c>
      <c r="Q5" s="100">
        <v>0</v>
      </c>
      <c r="R5" s="100">
        <v>0</v>
      </c>
      <c r="S5" s="100">
        <v>0</v>
      </c>
      <c r="T5" s="100">
        <v>0</v>
      </c>
      <c r="U5" s="100">
        <v>0</v>
      </c>
      <c r="V5" s="100">
        <v>0</v>
      </c>
      <c r="W5" s="100">
        <v>0</v>
      </c>
      <c r="X5" s="100">
        <v>0</v>
      </c>
      <c r="Y5" s="100">
        <v>0</v>
      </c>
      <c r="Z5" s="100">
        <v>0</v>
      </c>
      <c r="AA5" s="100">
        <v>0</v>
      </c>
      <c r="AB5" s="100">
        <v>0</v>
      </c>
      <c r="AC5" s="100">
        <v>0</v>
      </c>
      <c r="AD5" s="100">
        <v>0</v>
      </c>
      <c r="AE5" s="100">
        <v>0</v>
      </c>
      <c r="AF5" s="100">
        <v>0</v>
      </c>
      <c r="AG5" s="100">
        <v>0</v>
      </c>
      <c r="AH5" s="100">
        <v>0</v>
      </c>
      <c r="AI5" s="100">
        <v>0</v>
      </c>
      <c r="AJ5" s="100">
        <v>0</v>
      </c>
      <c r="AK5" s="100">
        <v>0</v>
      </c>
    </row>
    <row r="6" spans="1:37" customFormat="1" x14ac:dyDescent="0.15">
      <c r="A6" s="146" t="s">
        <v>197</v>
      </c>
      <c r="B6" s="100">
        <v>0</v>
      </c>
      <c r="C6" s="100">
        <v>1</v>
      </c>
      <c r="D6" s="100">
        <v>0</v>
      </c>
      <c r="E6" s="100">
        <v>0</v>
      </c>
      <c r="F6" s="100">
        <v>0</v>
      </c>
      <c r="G6" s="100">
        <v>0</v>
      </c>
      <c r="H6" s="100">
        <v>0</v>
      </c>
      <c r="I6" s="100">
        <v>0</v>
      </c>
      <c r="J6" s="100">
        <v>0</v>
      </c>
      <c r="K6" s="100">
        <v>0</v>
      </c>
      <c r="L6" s="100">
        <v>0</v>
      </c>
      <c r="M6" s="100">
        <v>0</v>
      </c>
      <c r="N6" s="100">
        <v>0</v>
      </c>
      <c r="O6" s="100">
        <v>0</v>
      </c>
      <c r="P6" s="100">
        <v>0</v>
      </c>
      <c r="Q6" s="100">
        <v>0</v>
      </c>
      <c r="R6" s="100">
        <v>0</v>
      </c>
      <c r="S6" s="100">
        <v>0</v>
      </c>
      <c r="T6" s="100">
        <v>0</v>
      </c>
      <c r="U6" s="100">
        <v>0</v>
      </c>
      <c r="V6" s="100">
        <v>0</v>
      </c>
      <c r="W6" s="100">
        <v>0</v>
      </c>
      <c r="X6" s="100">
        <v>0</v>
      </c>
      <c r="Y6" s="100">
        <v>0</v>
      </c>
      <c r="Z6" s="100">
        <v>0</v>
      </c>
      <c r="AA6" s="100">
        <v>0</v>
      </c>
      <c r="AB6" s="100">
        <v>0</v>
      </c>
      <c r="AC6" s="100">
        <v>0</v>
      </c>
      <c r="AD6" s="100">
        <v>0</v>
      </c>
      <c r="AE6" s="100">
        <v>0</v>
      </c>
      <c r="AF6" s="100">
        <v>0</v>
      </c>
      <c r="AG6" s="100">
        <v>0</v>
      </c>
      <c r="AH6" s="100">
        <v>0</v>
      </c>
      <c r="AI6" s="100">
        <v>0</v>
      </c>
      <c r="AJ6" s="100">
        <v>0</v>
      </c>
      <c r="AK6" s="100">
        <v>0</v>
      </c>
    </row>
    <row r="7" spans="1:37" customFormat="1" x14ac:dyDescent="0.15">
      <c r="A7" s="146" t="s">
        <v>198</v>
      </c>
      <c r="B7" s="100">
        <v>1</v>
      </c>
      <c r="C7" s="100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0">
        <v>0</v>
      </c>
      <c r="L7" s="100">
        <v>0</v>
      </c>
      <c r="M7" s="100">
        <v>0</v>
      </c>
      <c r="N7" s="100">
        <v>0</v>
      </c>
      <c r="O7" s="100">
        <v>0</v>
      </c>
      <c r="P7" s="100">
        <v>0</v>
      </c>
      <c r="Q7" s="100">
        <v>0</v>
      </c>
      <c r="R7" s="100">
        <v>0</v>
      </c>
      <c r="S7" s="100">
        <v>0</v>
      </c>
      <c r="T7" s="100">
        <v>0</v>
      </c>
      <c r="U7" s="100">
        <v>0</v>
      </c>
      <c r="V7" s="100">
        <v>0</v>
      </c>
      <c r="W7" s="100">
        <v>0</v>
      </c>
      <c r="X7" s="100">
        <v>0</v>
      </c>
      <c r="Y7" s="100">
        <v>0</v>
      </c>
      <c r="Z7" s="100">
        <v>0</v>
      </c>
      <c r="AA7" s="100">
        <v>0</v>
      </c>
      <c r="AB7" s="100">
        <v>0</v>
      </c>
      <c r="AC7" s="100">
        <v>0</v>
      </c>
      <c r="AD7" s="100">
        <v>0</v>
      </c>
      <c r="AE7" s="100">
        <v>0</v>
      </c>
      <c r="AF7" s="100">
        <v>0</v>
      </c>
      <c r="AG7" s="100">
        <v>0</v>
      </c>
      <c r="AH7" s="100">
        <v>0</v>
      </c>
      <c r="AI7" s="100">
        <v>0</v>
      </c>
      <c r="AJ7" s="100">
        <v>0</v>
      </c>
      <c r="AK7" s="100">
        <v>0</v>
      </c>
    </row>
    <row r="8" spans="1:37" customFormat="1" x14ac:dyDescent="0.15">
      <c r="A8" s="146" t="s">
        <v>199</v>
      </c>
      <c r="B8" s="100">
        <v>0</v>
      </c>
      <c r="C8" s="100">
        <v>0</v>
      </c>
      <c r="D8" s="100">
        <v>0</v>
      </c>
      <c r="E8" s="100">
        <v>0</v>
      </c>
      <c r="F8" s="100">
        <v>0</v>
      </c>
      <c r="G8" s="100">
        <v>0</v>
      </c>
      <c r="H8" s="100">
        <v>0</v>
      </c>
      <c r="I8" s="100">
        <v>0</v>
      </c>
      <c r="J8" s="100">
        <v>0</v>
      </c>
      <c r="K8" s="100">
        <v>0</v>
      </c>
      <c r="L8" s="100">
        <v>0</v>
      </c>
      <c r="M8" s="100">
        <v>0</v>
      </c>
      <c r="N8" s="100">
        <v>0</v>
      </c>
      <c r="O8" s="100">
        <v>0</v>
      </c>
      <c r="P8" s="100">
        <v>0</v>
      </c>
      <c r="Q8" s="100">
        <v>0</v>
      </c>
      <c r="R8" s="100">
        <v>0</v>
      </c>
      <c r="S8" s="100">
        <v>0</v>
      </c>
      <c r="T8" s="100">
        <v>0</v>
      </c>
      <c r="U8" s="100">
        <v>0</v>
      </c>
      <c r="V8" s="100">
        <v>0</v>
      </c>
      <c r="W8" s="100">
        <v>0</v>
      </c>
      <c r="X8" s="100">
        <v>0</v>
      </c>
      <c r="Y8" s="100">
        <v>0</v>
      </c>
      <c r="Z8" s="100">
        <v>0</v>
      </c>
      <c r="AA8" s="100">
        <v>0</v>
      </c>
      <c r="AB8" s="100">
        <v>0</v>
      </c>
      <c r="AC8" s="100">
        <v>0</v>
      </c>
      <c r="AD8" s="100">
        <v>0</v>
      </c>
      <c r="AE8" s="100">
        <v>0</v>
      </c>
      <c r="AF8" s="100">
        <v>0</v>
      </c>
      <c r="AG8" s="100">
        <v>0</v>
      </c>
      <c r="AH8" s="100">
        <v>0</v>
      </c>
      <c r="AI8" s="100">
        <v>0</v>
      </c>
      <c r="AJ8" s="100">
        <v>0</v>
      </c>
      <c r="AK8" s="100">
        <v>0</v>
      </c>
    </row>
    <row r="9" spans="1:37" customFormat="1" x14ac:dyDescent="0.15">
      <c r="A9" s="146" t="s">
        <v>200</v>
      </c>
      <c r="B9" s="100">
        <v>1</v>
      </c>
      <c r="C9" s="100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0">
        <v>0</v>
      </c>
      <c r="L9" s="100">
        <v>0</v>
      </c>
      <c r="M9" s="100">
        <v>0</v>
      </c>
      <c r="N9" s="100">
        <v>0</v>
      </c>
      <c r="O9" s="100">
        <v>0</v>
      </c>
      <c r="P9" s="100">
        <v>0</v>
      </c>
      <c r="Q9" s="100">
        <v>0</v>
      </c>
      <c r="R9" s="100">
        <v>0</v>
      </c>
      <c r="S9" s="100">
        <v>0</v>
      </c>
      <c r="T9" s="100">
        <v>0</v>
      </c>
      <c r="U9" s="100">
        <v>0</v>
      </c>
      <c r="V9" s="100">
        <v>0</v>
      </c>
      <c r="W9" s="100">
        <v>0</v>
      </c>
      <c r="X9" s="100">
        <v>0</v>
      </c>
      <c r="Y9" s="100">
        <v>0</v>
      </c>
      <c r="Z9" s="100">
        <v>0</v>
      </c>
      <c r="AA9" s="100">
        <v>0</v>
      </c>
      <c r="AB9" s="100">
        <v>0</v>
      </c>
      <c r="AC9" s="100">
        <v>0</v>
      </c>
      <c r="AD9" s="100">
        <v>0</v>
      </c>
      <c r="AE9" s="100">
        <v>0</v>
      </c>
      <c r="AF9" s="100">
        <v>0</v>
      </c>
      <c r="AG9" s="100">
        <v>0</v>
      </c>
      <c r="AH9" s="100">
        <v>0</v>
      </c>
      <c r="AI9" s="100">
        <v>0</v>
      </c>
      <c r="AJ9" s="100">
        <v>0</v>
      </c>
      <c r="AK9" s="100">
        <v>0</v>
      </c>
    </row>
    <row r="10" spans="1:37" customFormat="1" x14ac:dyDescent="0.15">
      <c r="A10" s="146" t="s">
        <v>201</v>
      </c>
      <c r="B10" s="100">
        <v>1</v>
      </c>
      <c r="C10" s="100">
        <v>0</v>
      </c>
      <c r="D10" s="100">
        <v>0</v>
      </c>
      <c r="E10" s="100">
        <v>0</v>
      </c>
      <c r="F10" s="100">
        <v>0</v>
      </c>
      <c r="G10" s="100">
        <v>0</v>
      </c>
      <c r="H10" s="100">
        <v>0</v>
      </c>
      <c r="I10" s="100">
        <v>0</v>
      </c>
      <c r="J10" s="100">
        <v>0</v>
      </c>
      <c r="K10" s="100">
        <v>0</v>
      </c>
      <c r="L10" s="100">
        <v>0</v>
      </c>
      <c r="M10" s="100">
        <v>0</v>
      </c>
      <c r="N10" s="100">
        <v>0</v>
      </c>
      <c r="O10" s="100">
        <v>0</v>
      </c>
      <c r="P10" s="100">
        <v>0</v>
      </c>
      <c r="Q10" s="100">
        <v>0</v>
      </c>
      <c r="R10" s="100">
        <v>0</v>
      </c>
      <c r="S10" s="100">
        <v>0</v>
      </c>
      <c r="T10" s="100">
        <v>0</v>
      </c>
      <c r="U10" s="100">
        <v>0</v>
      </c>
      <c r="V10" s="100">
        <v>0</v>
      </c>
      <c r="W10" s="100">
        <v>0</v>
      </c>
      <c r="X10" s="100">
        <v>0</v>
      </c>
      <c r="Y10" s="100">
        <v>0</v>
      </c>
      <c r="Z10" s="100">
        <v>0</v>
      </c>
      <c r="AA10" s="100">
        <v>0</v>
      </c>
      <c r="AB10" s="100">
        <v>0</v>
      </c>
      <c r="AC10" s="100">
        <v>0</v>
      </c>
      <c r="AD10" s="100">
        <v>0</v>
      </c>
      <c r="AE10" s="100">
        <v>0</v>
      </c>
      <c r="AF10" s="100">
        <v>0</v>
      </c>
      <c r="AG10" s="100">
        <v>0</v>
      </c>
      <c r="AH10" s="100">
        <v>0</v>
      </c>
      <c r="AI10" s="100">
        <v>0</v>
      </c>
      <c r="AJ10" s="100">
        <v>0</v>
      </c>
      <c r="AK10" s="100">
        <v>0</v>
      </c>
    </row>
    <row r="11" spans="1:37" customFormat="1" x14ac:dyDescent="0.15">
      <c r="A11" s="146" t="s">
        <v>202</v>
      </c>
      <c r="B11" s="100">
        <v>1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  <c r="V11" s="100">
        <v>0</v>
      </c>
      <c r="W11" s="100">
        <v>0</v>
      </c>
      <c r="X11" s="100">
        <v>0</v>
      </c>
      <c r="Y11" s="100">
        <v>0</v>
      </c>
      <c r="Z11" s="100">
        <v>0</v>
      </c>
      <c r="AA11" s="100">
        <v>0</v>
      </c>
      <c r="AB11" s="100">
        <v>0</v>
      </c>
      <c r="AC11" s="100">
        <v>0</v>
      </c>
      <c r="AD11" s="100">
        <v>0</v>
      </c>
      <c r="AE11" s="100">
        <v>0</v>
      </c>
      <c r="AF11" s="100">
        <v>0</v>
      </c>
      <c r="AG11" s="100">
        <v>0</v>
      </c>
      <c r="AH11" s="100">
        <v>0</v>
      </c>
      <c r="AI11" s="100">
        <v>0</v>
      </c>
      <c r="AJ11" s="100">
        <v>0</v>
      </c>
      <c r="AK11" s="100">
        <v>0</v>
      </c>
    </row>
    <row r="12" spans="1:37" customFormat="1" x14ac:dyDescent="0.15">
      <c r="A12" s="146" t="s">
        <v>203</v>
      </c>
      <c r="B12" s="100">
        <v>1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  <c r="U12" s="100">
        <v>0</v>
      </c>
      <c r="V12" s="100">
        <v>0</v>
      </c>
      <c r="W12" s="100">
        <v>0</v>
      </c>
      <c r="X12" s="100">
        <v>0</v>
      </c>
      <c r="Y12" s="100">
        <v>0</v>
      </c>
      <c r="Z12" s="100">
        <v>0</v>
      </c>
      <c r="AA12" s="100">
        <v>0</v>
      </c>
      <c r="AB12" s="100">
        <v>0</v>
      </c>
      <c r="AC12" s="100">
        <v>0</v>
      </c>
      <c r="AD12" s="100">
        <v>0</v>
      </c>
      <c r="AE12" s="100">
        <v>0</v>
      </c>
      <c r="AF12" s="100">
        <v>0</v>
      </c>
      <c r="AG12" s="100">
        <v>0</v>
      </c>
      <c r="AH12" s="100">
        <v>0</v>
      </c>
      <c r="AI12" s="100">
        <v>0</v>
      </c>
      <c r="AJ12" s="100">
        <v>0</v>
      </c>
      <c r="AK12" s="100">
        <v>0</v>
      </c>
    </row>
    <row r="13" spans="1:37" customFormat="1" x14ac:dyDescent="0.15">
      <c r="A13" s="146" t="s">
        <v>204</v>
      </c>
      <c r="B13" s="100">
        <v>1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  <c r="V13" s="100">
        <v>0</v>
      </c>
      <c r="W13" s="100">
        <v>0</v>
      </c>
      <c r="X13" s="100">
        <v>0</v>
      </c>
      <c r="Y13" s="100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>
        <v>0</v>
      </c>
      <c r="AH13" s="100">
        <v>0</v>
      </c>
      <c r="AI13" s="100">
        <v>0</v>
      </c>
      <c r="AJ13" s="100">
        <v>0</v>
      </c>
      <c r="AK13" s="100">
        <v>0</v>
      </c>
    </row>
    <row r="14" spans="1:37" customFormat="1" x14ac:dyDescent="0.15">
      <c r="A14" s="146" t="s">
        <v>205</v>
      </c>
      <c r="B14" s="100">
        <v>1</v>
      </c>
      <c r="C14" s="100">
        <v>1</v>
      </c>
      <c r="D14" s="100">
        <v>0</v>
      </c>
      <c r="E14" s="100">
        <v>0</v>
      </c>
      <c r="F14" s="100">
        <v>1</v>
      </c>
      <c r="G14" s="100">
        <v>0</v>
      </c>
      <c r="H14" s="100">
        <v>0</v>
      </c>
      <c r="I14" s="100">
        <v>0</v>
      </c>
      <c r="J14" s="100">
        <v>0</v>
      </c>
      <c r="K14" s="100">
        <v>0</v>
      </c>
      <c r="L14" s="100">
        <v>0</v>
      </c>
      <c r="M14" s="100">
        <v>0</v>
      </c>
      <c r="N14" s="100">
        <v>0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0</v>
      </c>
      <c r="V14" s="100">
        <v>0</v>
      </c>
      <c r="W14" s="100">
        <v>0</v>
      </c>
      <c r="X14" s="100">
        <v>0</v>
      </c>
      <c r="Y14" s="100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>
        <v>0</v>
      </c>
      <c r="AH14" s="100">
        <v>0</v>
      </c>
      <c r="AI14" s="100">
        <v>0</v>
      </c>
      <c r="AJ14" s="100">
        <v>0</v>
      </c>
      <c r="AK14" s="100">
        <v>0</v>
      </c>
    </row>
    <row r="15" spans="1:37" customFormat="1" x14ac:dyDescent="0.15">
      <c r="A15" s="146" t="s">
        <v>206</v>
      </c>
      <c r="B15" s="100">
        <v>1</v>
      </c>
      <c r="C15" s="100">
        <v>1</v>
      </c>
      <c r="D15" s="100">
        <v>0</v>
      </c>
      <c r="E15" s="100">
        <v>0</v>
      </c>
      <c r="F15" s="100">
        <v>1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0</v>
      </c>
      <c r="Q15" s="100">
        <v>0</v>
      </c>
      <c r="R15" s="100">
        <v>0</v>
      </c>
      <c r="S15" s="100">
        <v>0</v>
      </c>
      <c r="T15" s="100">
        <v>0</v>
      </c>
      <c r="U15" s="100">
        <v>0</v>
      </c>
      <c r="V15" s="100">
        <v>0</v>
      </c>
      <c r="W15" s="100">
        <v>0</v>
      </c>
      <c r="X15" s="100">
        <v>0</v>
      </c>
      <c r="Y15" s="100">
        <v>0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>
        <v>0</v>
      </c>
      <c r="AH15" s="100">
        <v>0</v>
      </c>
      <c r="AI15" s="100">
        <v>0</v>
      </c>
      <c r="AJ15" s="100">
        <v>0</v>
      </c>
      <c r="AK15" s="100">
        <v>0</v>
      </c>
    </row>
    <row r="16" spans="1:37" customFormat="1" x14ac:dyDescent="0.15">
      <c r="A16" s="146" t="s">
        <v>207</v>
      </c>
      <c r="B16" s="100">
        <v>1</v>
      </c>
      <c r="C16" s="100">
        <v>0</v>
      </c>
      <c r="D16" s="100">
        <v>0</v>
      </c>
      <c r="E16" s="100">
        <v>0</v>
      </c>
      <c r="F16" s="100">
        <v>1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0</v>
      </c>
      <c r="R16" s="100">
        <v>0</v>
      </c>
      <c r="S16" s="100">
        <v>0</v>
      </c>
      <c r="T16" s="100">
        <v>0</v>
      </c>
      <c r="U16" s="100">
        <v>0</v>
      </c>
      <c r="V16" s="100">
        <v>0</v>
      </c>
      <c r="W16" s="100">
        <v>0</v>
      </c>
      <c r="X16" s="100">
        <v>0</v>
      </c>
      <c r="Y16" s="100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>
        <v>0</v>
      </c>
      <c r="AJ16" s="100">
        <v>0</v>
      </c>
      <c r="AK16" s="100">
        <v>0</v>
      </c>
    </row>
    <row r="17" spans="1:37" customFormat="1" x14ac:dyDescent="0.15">
      <c r="A17" s="146" t="s">
        <v>208</v>
      </c>
      <c r="B17" s="100">
        <v>0</v>
      </c>
      <c r="C17" s="100">
        <v>0</v>
      </c>
      <c r="D17" s="100">
        <v>0</v>
      </c>
      <c r="E17" s="100">
        <v>0</v>
      </c>
      <c r="F17" s="100">
        <v>1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0</v>
      </c>
      <c r="O17" s="100">
        <v>0</v>
      </c>
      <c r="P17" s="100">
        <v>0</v>
      </c>
      <c r="Q17" s="100">
        <v>0</v>
      </c>
      <c r="R17" s="100">
        <v>0</v>
      </c>
      <c r="S17" s="100">
        <v>0</v>
      </c>
      <c r="T17" s="100">
        <v>0</v>
      </c>
      <c r="U17" s="100">
        <v>0</v>
      </c>
      <c r="V17" s="100">
        <v>0</v>
      </c>
      <c r="W17" s="100">
        <v>0</v>
      </c>
      <c r="X17" s="100">
        <v>0</v>
      </c>
      <c r="Y17" s="100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>
        <v>0</v>
      </c>
      <c r="AJ17" s="100">
        <v>0</v>
      </c>
      <c r="AK17" s="100">
        <v>0</v>
      </c>
    </row>
    <row r="18" spans="1:37" customFormat="1" x14ac:dyDescent="0.15">
      <c r="A18" s="146" t="s">
        <v>209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0</v>
      </c>
      <c r="R18" s="100">
        <v>0</v>
      </c>
      <c r="S18" s="100">
        <v>0</v>
      </c>
      <c r="T18" s="100">
        <v>0</v>
      </c>
      <c r="U18" s="100">
        <v>0</v>
      </c>
      <c r="V18" s="100">
        <v>0</v>
      </c>
      <c r="W18" s="100">
        <v>0</v>
      </c>
      <c r="X18" s="100">
        <v>0</v>
      </c>
      <c r="Y18" s="100">
        <v>0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>
        <v>0</v>
      </c>
      <c r="AH18" s="100">
        <v>0</v>
      </c>
      <c r="AI18" s="100">
        <v>0</v>
      </c>
      <c r="AJ18" s="100">
        <v>0</v>
      </c>
      <c r="AK18" s="100">
        <v>0</v>
      </c>
    </row>
    <row r="19" spans="1:37" customFormat="1" x14ac:dyDescent="0.15">
      <c r="A19" s="146" t="s">
        <v>210</v>
      </c>
      <c r="B19" s="100">
        <v>0</v>
      </c>
      <c r="C19" s="100">
        <v>1</v>
      </c>
      <c r="D19" s="100">
        <v>1</v>
      </c>
      <c r="E19" s="100">
        <v>1</v>
      </c>
      <c r="F19" s="100">
        <v>1</v>
      </c>
      <c r="G19" s="100">
        <v>1</v>
      </c>
      <c r="H19" s="100">
        <v>1</v>
      </c>
      <c r="I19" s="100">
        <v>0</v>
      </c>
      <c r="J19" s="100">
        <v>0</v>
      </c>
      <c r="K19" s="100">
        <v>0</v>
      </c>
      <c r="L19" s="100">
        <v>1</v>
      </c>
      <c r="M19" s="100">
        <v>1</v>
      </c>
      <c r="N19" s="100">
        <v>0</v>
      </c>
      <c r="O19" s="100">
        <v>0</v>
      </c>
      <c r="P19" s="100">
        <v>0</v>
      </c>
      <c r="Q19" s="100">
        <v>1</v>
      </c>
      <c r="R19" s="100">
        <v>1</v>
      </c>
      <c r="S19" s="100">
        <v>0</v>
      </c>
      <c r="T19" s="100">
        <v>0</v>
      </c>
      <c r="U19" s="100">
        <v>1</v>
      </c>
      <c r="V19" s="100">
        <v>0</v>
      </c>
      <c r="W19" s="100">
        <v>0</v>
      </c>
      <c r="X19" s="100">
        <v>1</v>
      </c>
      <c r="Y19" s="100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>
        <v>0</v>
      </c>
      <c r="AH19" s="100">
        <v>0</v>
      </c>
      <c r="AI19" s="100">
        <v>0</v>
      </c>
      <c r="AJ19" s="100">
        <v>0</v>
      </c>
      <c r="AK19" s="100">
        <v>0</v>
      </c>
    </row>
    <row r="20" spans="1:37" customFormat="1" x14ac:dyDescent="0.15">
      <c r="A20" s="146" t="s">
        <v>211</v>
      </c>
      <c r="B20" s="100">
        <v>1</v>
      </c>
      <c r="C20" s="100">
        <v>1</v>
      </c>
      <c r="D20" s="100">
        <v>1</v>
      </c>
      <c r="E20" s="100">
        <v>1</v>
      </c>
      <c r="F20" s="100">
        <v>1</v>
      </c>
      <c r="G20" s="100">
        <v>1</v>
      </c>
      <c r="H20" s="100">
        <v>1</v>
      </c>
      <c r="I20" s="100">
        <v>0</v>
      </c>
      <c r="J20" s="100">
        <v>1</v>
      </c>
      <c r="K20" s="100">
        <v>1</v>
      </c>
      <c r="L20" s="100">
        <v>1</v>
      </c>
      <c r="M20" s="100">
        <v>0</v>
      </c>
      <c r="N20" s="100">
        <v>1</v>
      </c>
      <c r="O20" s="100">
        <v>1</v>
      </c>
      <c r="P20" s="100">
        <v>1</v>
      </c>
      <c r="Q20" s="100">
        <v>1</v>
      </c>
      <c r="R20" s="100">
        <v>1</v>
      </c>
      <c r="S20" s="100">
        <v>1</v>
      </c>
      <c r="T20" s="100">
        <v>0</v>
      </c>
      <c r="U20" s="100">
        <v>1</v>
      </c>
      <c r="V20" s="100">
        <v>1</v>
      </c>
      <c r="W20" s="100">
        <v>1</v>
      </c>
      <c r="X20" s="100">
        <v>1</v>
      </c>
      <c r="Y20" s="100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>
        <v>0</v>
      </c>
      <c r="AH20" s="100">
        <v>0</v>
      </c>
      <c r="AI20" s="100">
        <v>0</v>
      </c>
      <c r="AJ20" s="100">
        <v>0</v>
      </c>
      <c r="AK20" s="100">
        <v>0</v>
      </c>
    </row>
    <row r="21" spans="1:37" customFormat="1" x14ac:dyDescent="0.15">
      <c r="A21" s="146" t="s">
        <v>212</v>
      </c>
      <c r="B21" s="100">
        <v>1</v>
      </c>
      <c r="C21" s="100">
        <v>0</v>
      </c>
      <c r="D21" s="100">
        <v>1</v>
      </c>
      <c r="E21" s="100">
        <v>1</v>
      </c>
      <c r="F21" s="100">
        <v>1</v>
      </c>
      <c r="G21" s="100">
        <v>1</v>
      </c>
      <c r="H21" s="100">
        <v>1</v>
      </c>
      <c r="I21" s="100">
        <v>0</v>
      </c>
      <c r="J21" s="100">
        <v>1</v>
      </c>
      <c r="K21" s="100">
        <v>1</v>
      </c>
      <c r="L21" s="100">
        <v>1</v>
      </c>
      <c r="M21" s="100">
        <v>1</v>
      </c>
      <c r="N21" s="100">
        <v>1</v>
      </c>
      <c r="O21" s="100">
        <v>1</v>
      </c>
      <c r="P21" s="100">
        <v>0</v>
      </c>
      <c r="Q21" s="100">
        <v>1</v>
      </c>
      <c r="R21" s="100">
        <v>1</v>
      </c>
      <c r="S21" s="100">
        <v>1</v>
      </c>
      <c r="T21" s="100">
        <v>0</v>
      </c>
      <c r="U21" s="100">
        <v>0</v>
      </c>
      <c r="V21" s="100">
        <v>0</v>
      </c>
      <c r="W21" s="100">
        <v>0</v>
      </c>
      <c r="X21" s="100">
        <v>0</v>
      </c>
      <c r="Y21" s="100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>
        <v>0</v>
      </c>
      <c r="AH21" s="100">
        <v>0</v>
      </c>
      <c r="AI21" s="100">
        <v>0</v>
      </c>
      <c r="AJ21" s="100">
        <v>0</v>
      </c>
      <c r="AK21" s="100">
        <v>0</v>
      </c>
    </row>
    <row r="22" spans="1:37" customFormat="1" x14ac:dyDescent="0.15">
      <c r="A22" s="146" t="s">
        <v>213</v>
      </c>
      <c r="B22" s="100">
        <v>1</v>
      </c>
      <c r="C22" s="100">
        <v>0</v>
      </c>
      <c r="D22" s="100">
        <v>0</v>
      </c>
      <c r="E22" s="100">
        <v>0</v>
      </c>
      <c r="F22" s="100">
        <v>0</v>
      </c>
      <c r="G22" s="100">
        <v>1</v>
      </c>
      <c r="H22" s="100">
        <v>0</v>
      </c>
      <c r="I22" s="100">
        <v>0</v>
      </c>
      <c r="J22" s="100">
        <v>0</v>
      </c>
      <c r="K22" s="100">
        <v>0</v>
      </c>
      <c r="L22" s="100">
        <v>0</v>
      </c>
      <c r="M22" s="100">
        <v>0</v>
      </c>
      <c r="N22" s="100">
        <v>0</v>
      </c>
      <c r="O22" s="100">
        <v>0</v>
      </c>
      <c r="P22" s="100">
        <v>0</v>
      </c>
      <c r="Q22" s="100">
        <v>0</v>
      </c>
      <c r="R22" s="100">
        <v>0</v>
      </c>
      <c r="S22" s="100">
        <v>0</v>
      </c>
      <c r="T22" s="100">
        <v>0</v>
      </c>
      <c r="U22" s="100">
        <v>0</v>
      </c>
      <c r="V22" s="100">
        <v>0</v>
      </c>
      <c r="W22" s="100">
        <v>0</v>
      </c>
      <c r="X22" s="100">
        <v>0</v>
      </c>
      <c r="Y22" s="100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>
        <v>0</v>
      </c>
      <c r="AH22" s="100">
        <v>0</v>
      </c>
      <c r="AI22" s="100">
        <v>0</v>
      </c>
      <c r="AJ22" s="100">
        <v>0</v>
      </c>
      <c r="AK22" s="100">
        <v>0</v>
      </c>
    </row>
    <row r="23" spans="1:37" customFormat="1" x14ac:dyDescent="0.15">
      <c r="A23" s="146" t="s">
        <v>214</v>
      </c>
      <c r="B23" s="100">
        <v>0</v>
      </c>
      <c r="C23" s="100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0">
        <v>0</v>
      </c>
      <c r="L23" s="100">
        <v>0</v>
      </c>
      <c r="M23" s="100">
        <v>0</v>
      </c>
      <c r="N23" s="100">
        <v>0</v>
      </c>
      <c r="O23" s="100">
        <v>0</v>
      </c>
      <c r="P23" s="100">
        <v>1</v>
      </c>
      <c r="Q23" s="100">
        <v>0</v>
      </c>
      <c r="R23" s="100">
        <v>0</v>
      </c>
      <c r="S23" s="100">
        <v>0</v>
      </c>
      <c r="T23" s="100">
        <v>0</v>
      </c>
      <c r="U23" s="100">
        <v>1</v>
      </c>
      <c r="V23" s="100">
        <v>0</v>
      </c>
      <c r="W23" s="100">
        <v>0</v>
      </c>
      <c r="X23" s="100">
        <v>0</v>
      </c>
      <c r="Y23" s="100">
        <v>0</v>
      </c>
      <c r="Z23" s="100">
        <v>0</v>
      </c>
      <c r="AA23" s="100">
        <v>0</v>
      </c>
      <c r="AB23" s="100">
        <v>0</v>
      </c>
      <c r="AC23" s="100">
        <v>0</v>
      </c>
      <c r="AD23" s="100">
        <v>0</v>
      </c>
      <c r="AE23" s="100">
        <v>0</v>
      </c>
      <c r="AF23" s="100">
        <v>0</v>
      </c>
      <c r="AG23" s="100">
        <v>0</v>
      </c>
      <c r="AH23" s="100">
        <v>0</v>
      </c>
      <c r="AI23" s="100">
        <v>0</v>
      </c>
      <c r="AJ23" s="100">
        <v>0</v>
      </c>
      <c r="AK23" s="100">
        <v>0</v>
      </c>
    </row>
    <row r="24" spans="1:37" customFormat="1" x14ac:dyDescent="0.15">
      <c r="A24" s="146" t="s">
        <v>215</v>
      </c>
      <c r="B24" s="100">
        <v>1</v>
      </c>
      <c r="C24" s="100">
        <v>1</v>
      </c>
      <c r="D24" s="100">
        <v>1</v>
      </c>
      <c r="E24" s="100">
        <v>0</v>
      </c>
      <c r="F24" s="100">
        <v>0</v>
      </c>
      <c r="G24" s="100">
        <v>1</v>
      </c>
      <c r="H24" s="100">
        <v>0</v>
      </c>
      <c r="I24" s="100">
        <v>0</v>
      </c>
      <c r="J24" s="100">
        <v>0</v>
      </c>
      <c r="K24" s="100">
        <v>0</v>
      </c>
      <c r="L24" s="100">
        <v>0</v>
      </c>
      <c r="M24" s="100">
        <v>0</v>
      </c>
      <c r="N24" s="100">
        <v>0</v>
      </c>
      <c r="O24" s="100">
        <v>0</v>
      </c>
      <c r="P24" s="100">
        <v>1</v>
      </c>
      <c r="Q24" s="100">
        <v>0</v>
      </c>
      <c r="R24" s="100">
        <v>0</v>
      </c>
      <c r="S24" s="100">
        <v>0</v>
      </c>
      <c r="T24" s="100">
        <v>0</v>
      </c>
      <c r="U24" s="100">
        <v>0</v>
      </c>
      <c r="V24" s="100">
        <v>0</v>
      </c>
      <c r="W24" s="100">
        <v>0</v>
      </c>
      <c r="X24" s="100">
        <v>0</v>
      </c>
      <c r="Y24" s="100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>
        <v>0</v>
      </c>
      <c r="AH24" s="100">
        <v>0</v>
      </c>
      <c r="AI24" s="100">
        <v>0</v>
      </c>
      <c r="AJ24" s="100">
        <v>0</v>
      </c>
      <c r="AK24" s="100">
        <v>0</v>
      </c>
    </row>
    <row r="25" spans="1:37" customFormat="1" x14ac:dyDescent="0.15">
      <c r="A25" s="146" t="s">
        <v>216</v>
      </c>
      <c r="B25" s="100">
        <v>0</v>
      </c>
      <c r="C25" s="100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0">
        <v>0</v>
      </c>
      <c r="L25" s="100">
        <v>0</v>
      </c>
      <c r="M25" s="100">
        <v>0</v>
      </c>
      <c r="N25" s="100">
        <v>0</v>
      </c>
      <c r="O25" s="100">
        <v>0</v>
      </c>
      <c r="P25" s="100">
        <v>0</v>
      </c>
      <c r="Q25" s="100">
        <v>0</v>
      </c>
      <c r="R25" s="100">
        <v>0</v>
      </c>
      <c r="S25" s="100">
        <v>0</v>
      </c>
      <c r="T25" s="100">
        <v>0</v>
      </c>
      <c r="U25" s="100">
        <v>1</v>
      </c>
      <c r="V25" s="100">
        <v>1</v>
      </c>
      <c r="W25" s="100">
        <v>0</v>
      </c>
      <c r="X25" s="100">
        <v>1</v>
      </c>
      <c r="Y25" s="100">
        <v>0</v>
      </c>
      <c r="Z25" s="100">
        <v>0</v>
      </c>
      <c r="AA25" s="100">
        <v>0</v>
      </c>
      <c r="AB25" s="100">
        <v>0</v>
      </c>
      <c r="AC25" s="100">
        <v>0</v>
      </c>
      <c r="AD25" s="100">
        <v>0</v>
      </c>
      <c r="AE25" s="100">
        <v>0</v>
      </c>
      <c r="AF25" s="100">
        <v>0</v>
      </c>
      <c r="AG25" s="100">
        <v>0</v>
      </c>
      <c r="AH25" s="100">
        <v>0</v>
      </c>
      <c r="AI25" s="100">
        <v>0</v>
      </c>
      <c r="AJ25" s="100">
        <v>0</v>
      </c>
      <c r="AK25" s="100">
        <v>0</v>
      </c>
    </row>
    <row r="26" spans="1:37" customFormat="1" x14ac:dyDescent="0.15">
      <c r="A26" s="146" t="s">
        <v>217</v>
      </c>
      <c r="B26" s="100">
        <v>0</v>
      </c>
      <c r="C26" s="100">
        <v>0</v>
      </c>
      <c r="D26" s="100">
        <v>1</v>
      </c>
      <c r="E26" s="100">
        <v>0</v>
      </c>
      <c r="F26" s="100">
        <v>0</v>
      </c>
      <c r="G26" s="100">
        <v>0</v>
      </c>
      <c r="H26" s="100">
        <v>1</v>
      </c>
      <c r="I26" s="100">
        <v>0</v>
      </c>
      <c r="J26" s="100">
        <v>0</v>
      </c>
      <c r="K26" s="100">
        <v>0</v>
      </c>
      <c r="L26" s="100">
        <v>0</v>
      </c>
      <c r="M26" s="100">
        <v>0</v>
      </c>
      <c r="N26" s="100">
        <v>0</v>
      </c>
      <c r="O26" s="100">
        <v>0</v>
      </c>
      <c r="P26" s="100">
        <v>0</v>
      </c>
      <c r="Q26" s="100">
        <v>0</v>
      </c>
      <c r="R26" s="100">
        <v>0</v>
      </c>
      <c r="S26" s="100">
        <v>1</v>
      </c>
      <c r="T26" s="100">
        <v>0</v>
      </c>
      <c r="U26" s="100">
        <v>1</v>
      </c>
      <c r="V26" s="100">
        <v>1</v>
      </c>
      <c r="W26" s="100">
        <v>0</v>
      </c>
      <c r="X26" s="100">
        <v>1</v>
      </c>
      <c r="Y26" s="100">
        <v>0</v>
      </c>
      <c r="Z26" s="100">
        <v>0</v>
      </c>
      <c r="AA26" s="100">
        <v>0</v>
      </c>
      <c r="AB26" s="100">
        <v>0</v>
      </c>
      <c r="AC26" s="100">
        <v>0</v>
      </c>
      <c r="AD26" s="100">
        <v>0</v>
      </c>
      <c r="AE26" s="100">
        <v>0</v>
      </c>
      <c r="AF26" s="100">
        <v>0</v>
      </c>
      <c r="AG26" s="100">
        <v>0</v>
      </c>
      <c r="AH26" s="100">
        <v>0</v>
      </c>
      <c r="AI26" s="100">
        <v>0</v>
      </c>
      <c r="AJ26" s="100">
        <v>0</v>
      </c>
      <c r="AK26" s="100">
        <v>0</v>
      </c>
    </row>
    <row r="27" spans="1:37" customFormat="1" x14ac:dyDescent="0.15">
      <c r="A27" s="146" t="s">
        <v>218</v>
      </c>
      <c r="B27" s="100">
        <v>0</v>
      </c>
      <c r="C27" s="100">
        <v>1</v>
      </c>
      <c r="D27" s="100">
        <v>0</v>
      </c>
      <c r="E27" s="100">
        <v>1</v>
      </c>
      <c r="F27" s="100">
        <v>1</v>
      </c>
      <c r="G27" s="100">
        <v>0</v>
      </c>
      <c r="H27" s="100">
        <v>0</v>
      </c>
      <c r="I27" s="100">
        <v>1</v>
      </c>
      <c r="J27" s="100">
        <v>1</v>
      </c>
      <c r="K27" s="100">
        <v>1</v>
      </c>
      <c r="L27" s="100">
        <v>1</v>
      </c>
      <c r="M27" s="100">
        <v>1</v>
      </c>
      <c r="N27" s="100">
        <v>1</v>
      </c>
      <c r="O27" s="100">
        <v>1</v>
      </c>
      <c r="P27" s="100">
        <v>1</v>
      </c>
      <c r="Q27" s="100">
        <v>1</v>
      </c>
      <c r="R27" s="100">
        <v>1</v>
      </c>
      <c r="S27" s="100">
        <v>1</v>
      </c>
      <c r="T27" s="100">
        <v>1</v>
      </c>
      <c r="U27" s="100">
        <v>1</v>
      </c>
      <c r="V27" s="100">
        <v>1</v>
      </c>
      <c r="W27" s="100">
        <v>1</v>
      </c>
      <c r="X27" s="100">
        <v>1</v>
      </c>
      <c r="Y27" s="100">
        <v>0</v>
      </c>
      <c r="Z27" s="100">
        <v>0</v>
      </c>
      <c r="AA27" s="100">
        <v>0</v>
      </c>
      <c r="AB27" s="100">
        <v>0</v>
      </c>
      <c r="AC27" s="100">
        <v>0</v>
      </c>
      <c r="AD27" s="100">
        <v>0</v>
      </c>
      <c r="AE27" s="100">
        <v>0</v>
      </c>
      <c r="AF27" s="100">
        <v>1</v>
      </c>
      <c r="AG27" s="100">
        <v>0</v>
      </c>
      <c r="AH27" s="100">
        <v>0</v>
      </c>
      <c r="AI27" s="100">
        <v>0</v>
      </c>
      <c r="AJ27" s="100">
        <v>0</v>
      </c>
      <c r="AK27" s="100">
        <v>0</v>
      </c>
    </row>
    <row r="28" spans="1:37" customFormat="1" x14ac:dyDescent="0.15">
      <c r="A28" s="146" t="s">
        <v>219</v>
      </c>
      <c r="B28" s="100">
        <v>0</v>
      </c>
      <c r="C28" s="100">
        <v>0</v>
      </c>
      <c r="D28" s="100">
        <v>0</v>
      </c>
      <c r="E28" s="100">
        <v>0</v>
      </c>
      <c r="F28" s="100">
        <v>0</v>
      </c>
      <c r="G28" s="100">
        <v>0</v>
      </c>
      <c r="H28" s="100">
        <v>0</v>
      </c>
      <c r="I28" s="100">
        <v>0</v>
      </c>
      <c r="J28" s="100">
        <v>0</v>
      </c>
      <c r="K28" s="100">
        <v>0</v>
      </c>
      <c r="L28" s="100">
        <v>0</v>
      </c>
      <c r="M28" s="100">
        <v>0</v>
      </c>
      <c r="N28" s="100">
        <v>0</v>
      </c>
      <c r="O28" s="100">
        <v>0</v>
      </c>
      <c r="P28" s="100">
        <v>0</v>
      </c>
      <c r="Q28" s="100">
        <v>0</v>
      </c>
      <c r="R28" s="100">
        <v>0</v>
      </c>
      <c r="S28" s="100">
        <v>0</v>
      </c>
      <c r="T28" s="100">
        <v>0</v>
      </c>
      <c r="U28" s="100">
        <v>0</v>
      </c>
      <c r="V28" s="100">
        <v>0</v>
      </c>
      <c r="W28" s="100">
        <v>0</v>
      </c>
      <c r="X28" s="100">
        <v>0</v>
      </c>
      <c r="Y28" s="100">
        <v>1</v>
      </c>
      <c r="Z28" s="100">
        <v>0</v>
      </c>
      <c r="AA28" s="100">
        <v>0</v>
      </c>
      <c r="AB28" s="100">
        <v>0</v>
      </c>
      <c r="AC28" s="100">
        <v>0</v>
      </c>
      <c r="AD28" s="100">
        <v>0</v>
      </c>
      <c r="AE28" s="100">
        <v>0</v>
      </c>
      <c r="AF28" s="100">
        <v>1</v>
      </c>
      <c r="AG28" s="100">
        <v>0</v>
      </c>
      <c r="AH28" s="100">
        <v>0</v>
      </c>
      <c r="AI28" s="100">
        <v>0</v>
      </c>
      <c r="AJ28" s="100">
        <v>0</v>
      </c>
      <c r="AK28" s="100">
        <v>0</v>
      </c>
    </row>
    <row r="29" spans="1:37" customFormat="1" x14ac:dyDescent="0.15">
      <c r="A29" s="146" t="s">
        <v>220</v>
      </c>
      <c r="B29" s="100">
        <v>0</v>
      </c>
      <c r="C29" s="100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1</v>
      </c>
      <c r="J29" s="100">
        <v>1</v>
      </c>
      <c r="K29" s="100">
        <v>1</v>
      </c>
      <c r="L29" s="100">
        <v>0</v>
      </c>
      <c r="M29" s="100">
        <v>0</v>
      </c>
      <c r="N29" s="100">
        <v>0</v>
      </c>
      <c r="O29" s="100">
        <v>0</v>
      </c>
      <c r="P29" s="100">
        <v>0</v>
      </c>
      <c r="Q29" s="100">
        <v>1</v>
      </c>
      <c r="R29" s="100">
        <v>0</v>
      </c>
      <c r="S29" s="100">
        <v>1</v>
      </c>
      <c r="T29" s="100">
        <v>1</v>
      </c>
      <c r="U29" s="100">
        <v>1</v>
      </c>
      <c r="V29" s="100">
        <v>1</v>
      </c>
      <c r="W29" s="100">
        <v>1</v>
      </c>
      <c r="X29" s="100">
        <v>0</v>
      </c>
      <c r="Y29" s="100">
        <v>0</v>
      </c>
      <c r="Z29" s="100">
        <v>0</v>
      </c>
      <c r="AA29" s="100">
        <v>0</v>
      </c>
      <c r="AB29" s="100">
        <v>0</v>
      </c>
      <c r="AC29" s="100">
        <v>0</v>
      </c>
      <c r="AD29" s="100">
        <v>0</v>
      </c>
      <c r="AE29" s="100">
        <v>0</v>
      </c>
      <c r="AF29" s="100">
        <v>1</v>
      </c>
      <c r="AG29" s="100">
        <v>0</v>
      </c>
      <c r="AH29" s="100">
        <v>0</v>
      </c>
      <c r="AI29" s="100">
        <v>0</v>
      </c>
      <c r="AJ29" s="100">
        <v>0</v>
      </c>
      <c r="AK29" s="100">
        <v>0</v>
      </c>
    </row>
    <row r="30" spans="1:37" customFormat="1" x14ac:dyDescent="0.15">
      <c r="A30" s="146" t="s">
        <v>221</v>
      </c>
      <c r="B30" s="100">
        <v>0</v>
      </c>
      <c r="C30" s="100">
        <v>0</v>
      </c>
      <c r="D30" s="100">
        <v>0</v>
      </c>
      <c r="E30" s="100">
        <v>0</v>
      </c>
      <c r="F30" s="100">
        <v>0</v>
      </c>
      <c r="G30" s="100">
        <v>0</v>
      </c>
      <c r="H30" s="100">
        <v>0</v>
      </c>
      <c r="I30" s="100">
        <v>0</v>
      </c>
      <c r="J30" s="100">
        <v>0</v>
      </c>
      <c r="K30" s="100">
        <v>0</v>
      </c>
      <c r="L30" s="100">
        <v>0</v>
      </c>
      <c r="M30" s="100">
        <v>0</v>
      </c>
      <c r="N30" s="100">
        <v>0</v>
      </c>
      <c r="O30" s="100">
        <v>0</v>
      </c>
      <c r="P30" s="100">
        <v>0</v>
      </c>
      <c r="Q30" s="100">
        <v>0</v>
      </c>
      <c r="R30" s="100">
        <v>0</v>
      </c>
      <c r="S30" s="100">
        <v>0</v>
      </c>
      <c r="T30" s="100">
        <v>0</v>
      </c>
      <c r="U30" s="100">
        <v>0</v>
      </c>
      <c r="V30" s="100">
        <v>0</v>
      </c>
      <c r="W30" s="100">
        <v>0</v>
      </c>
      <c r="X30" s="100">
        <v>0</v>
      </c>
      <c r="Y30" s="100">
        <v>1</v>
      </c>
      <c r="Z30" s="100">
        <v>0</v>
      </c>
      <c r="AA30" s="100">
        <v>0</v>
      </c>
      <c r="AB30" s="100">
        <v>1</v>
      </c>
      <c r="AC30" s="100">
        <v>0</v>
      </c>
      <c r="AD30" s="100">
        <v>0</v>
      </c>
      <c r="AE30" s="100">
        <v>1</v>
      </c>
      <c r="AF30" s="100">
        <v>0</v>
      </c>
      <c r="AG30" s="100">
        <v>0</v>
      </c>
      <c r="AH30" s="100">
        <v>0</v>
      </c>
      <c r="AI30" s="100">
        <v>0</v>
      </c>
      <c r="AJ30" s="100">
        <v>0</v>
      </c>
      <c r="AK30" s="100">
        <v>0</v>
      </c>
    </row>
    <row r="31" spans="1:37" customFormat="1" x14ac:dyDescent="0.15">
      <c r="A31" s="146" t="s">
        <v>222</v>
      </c>
      <c r="B31" s="100">
        <v>0</v>
      </c>
      <c r="C31" s="100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1</v>
      </c>
      <c r="K31" s="100">
        <v>0</v>
      </c>
      <c r="L31" s="100">
        <v>1</v>
      </c>
      <c r="M31" s="100">
        <v>0</v>
      </c>
      <c r="N31" s="100">
        <v>0</v>
      </c>
      <c r="O31" s="100">
        <v>0</v>
      </c>
      <c r="P31" s="100">
        <v>0</v>
      </c>
      <c r="Q31" s="100">
        <v>0</v>
      </c>
      <c r="R31" s="100">
        <v>1</v>
      </c>
      <c r="S31" s="100">
        <v>0</v>
      </c>
      <c r="T31" s="100">
        <v>1</v>
      </c>
      <c r="U31" s="100">
        <v>1</v>
      </c>
      <c r="V31" s="100">
        <v>0</v>
      </c>
      <c r="W31" s="100">
        <v>0</v>
      </c>
      <c r="X31" s="100">
        <v>0</v>
      </c>
      <c r="Y31" s="100">
        <v>1</v>
      </c>
      <c r="Z31" s="100">
        <v>0</v>
      </c>
      <c r="AA31" s="100">
        <v>1</v>
      </c>
      <c r="AB31" s="100">
        <v>0</v>
      </c>
      <c r="AC31" s="100">
        <v>1</v>
      </c>
      <c r="AD31" s="100">
        <v>0</v>
      </c>
      <c r="AE31" s="100">
        <v>0</v>
      </c>
      <c r="AF31" s="100">
        <v>1</v>
      </c>
      <c r="AG31" s="100">
        <v>0</v>
      </c>
      <c r="AH31" s="100">
        <v>0</v>
      </c>
      <c r="AI31" s="100">
        <v>0</v>
      </c>
      <c r="AJ31" s="100">
        <v>0</v>
      </c>
      <c r="AK31" s="100">
        <v>0</v>
      </c>
    </row>
    <row r="32" spans="1:37" x14ac:dyDescent="0.15">
      <c r="A32" s="146" t="s">
        <v>223</v>
      </c>
      <c r="B32" s="100">
        <v>0</v>
      </c>
      <c r="C32" s="100">
        <v>0</v>
      </c>
      <c r="D32" s="100">
        <v>0</v>
      </c>
      <c r="E32" s="100">
        <v>0</v>
      </c>
      <c r="F32" s="100">
        <v>0</v>
      </c>
      <c r="G32" s="100">
        <v>0</v>
      </c>
      <c r="H32" s="100">
        <v>0</v>
      </c>
      <c r="I32" s="100">
        <v>1</v>
      </c>
      <c r="J32" s="100">
        <v>1</v>
      </c>
      <c r="K32" s="100">
        <v>1</v>
      </c>
      <c r="L32" s="100">
        <v>1</v>
      </c>
      <c r="M32" s="100">
        <v>0</v>
      </c>
      <c r="N32" s="100">
        <v>0</v>
      </c>
      <c r="O32" s="100">
        <v>1</v>
      </c>
      <c r="P32" s="100">
        <v>1</v>
      </c>
      <c r="Q32" s="100">
        <v>1</v>
      </c>
      <c r="R32" s="100">
        <v>1</v>
      </c>
      <c r="S32" s="100">
        <v>1</v>
      </c>
      <c r="T32" s="100">
        <v>1</v>
      </c>
      <c r="U32" s="100">
        <v>1</v>
      </c>
      <c r="V32" s="100">
        <v>0</v>
      </c>
      <c r="W32" s="100">
        <v>1</v>
      </c>
      <c r="X32" s="100">
        <v>1</v>
      </c>
      <c r="Y32" s="100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>
        <v>0</v>
      </c>
      <c r="AH32" s="100">
        <v>0</v>
      </c>
      <c r="AI32" s="100">
        <v>0</v>
      </c>
      <c r="AJ32" s="100">
        <v>0</v>
      </c>
      <c r="AK32" s="100">
        <v>0</v>
      </c>
    </row>
    <row r="33" spans="1:37" x14ac:dyDescent="0.15">
      <c r="A33" s="146" t="s">
        <v>224</v>
      </c>
      <c r="B33" s="100">
        <v>0</v>
      </c>
      <c r="C33" s="100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0">
        <v>0</v>
      </c>
      <c r="L33" s="100">
        <v>0</v>
      </c>
      <c r="M33" s="100">
        <v>0</v>
      </c>
      <c r="N33" s="100">
        <v>0</v>
      </c>
      <c r="O33" s="100">
        <v>0</v>
      </c>
      <c r="P33" s="100">
        <v>0</v>
      </c>
      <c r="Q33" s="100">
        <v>0</v>
      </c>
      <c r="R33" s="100">
        <v>0</v>
      </c>
      <c r="S33" s="100">
        <v>0</v>
      </c>
      <c r="T33" s="100">
        <v>0</v>
      </c>
      <c r="U33" s="100">
        <v>0</v>
      </c>
      <c r="V33" s="100">
        <v>0</v>
      </c>
      <c r="W33" s="100">
        <v>0</v>
      </c>
      <c r="X33" s="100">
        <v>0</v>
      </c>
      <c r="Y33" s="100">
        <v>1</v>
      </c>
      <c r="Z33" s="100">
        <v>0</v>
      </c>
      <c r="AA33" s="100">
        <v>0</v>
      </c>
      <c r="AB33" s="100">
        <v>1</v>
      </c>
      <c r="AC33" s="100">
        <v>0</v>
      </c>
      <c r="AD33" s="100">
        <v>1</v>
      </c>
      <c r="AE33" s="100">
        <v>1</v>
      </c>
      <c r="AF33" s="100">
        <v>1</v>
      </c>
      <c r="AG33" s="100">
        <v>0</v>
      </c>
      <c r="AH33" s="100">
        <v>0</v>
      </c>
      <c r="AI33" s="100">
        <v>0</v>
      </c>
      <c r="AJ33" s="100">
        <v>0</v>
      </c>
      <c r="AK33" s="100">
        <v>0</v>
      </c>
    </row>
    <row r="34" spans="1:37" x14ac:dyDescent="0.15">
      <c r="A34" s="146" t="s">
        <v>225</v>
      </c>
      <c r="B34" s="100">
        <v>0</v>
      </c>
      <c r="C34" s="100">
        <v>0</v>
      </c>
      <c r="D34" s="100">
        <v>0</v>
      </c>
      <c r="E34" s="100">
        <v>0</v>
      </c>
      <c r="F34" s="100">
        <v>0</v>
      </c>
      <c r="G34" s="100">
        <v>0</v>
      </c>
      <c r="H34" s="100">
        <v>0</v>
      </c>
      <c r="I34" s="100">
        <v>0</v>
      </c>
      <c r="J34" s="100">
        <v>0</v>
      </c>
      <c r="K34" s="100">
        <v>0</v>
      </c>
      <c r="L34" s="100">
        <v>0</v>
      </c>
      <c r="M34" s="100">
        <v>0</v>
      </c>
      <c r="N34" s="100">
        <v>0</v>
      </c>
      <c r="O34" s="100">
        <v>0</v>
      </c>
      <c r="P34" s="100">
        <v>0</v>
      </c>
      <c r="Q34" s="100">
        <v>0</v>
      </c>
      <c r="R34" s="100">
        <v>0</v>
      </c>
      <c r="S34" s="100">
        <v>0</v>
      </c>
      <c r="T34" s="100">
        <v>0</v>
      </c>
      <c r="U34" s="100">
        <v>0</v>
      </c>
      <c r="V34" s="100">
        <v>0</v>
      </c>
      <c r="W34" s="100">
        <v>0</v>
      </c>
      <c r="X34" s="100">
        <v>0</v>
      </c>
      <c r="Y34" s="100">
        <v>1</v>
      </c>
      <c r="Z34" s="100">
        <v>0</v>
      </c>
      <c r="AA34" s="100">
        <v>1</v>
      </c>
      <c r="AB34" s="100">
        <v>1</v>
      </c>
      <c r="AC34" s="100">
        <v>1</v>
      </c>
      <c r="AD34" s="100">
        <v>1</v>
      </c>
      <c r="AE34" s="100">
        <v>1</v>
      </c>
      <c r="AF34" s="100">
        <v>1</v>
      </c>
      <c r="AG34" s="100">
        <v>0</v>
      </c>
      <c r="AH34" s="100">
        <v>0</v>
      </c>
      <c r="AI34" s="100">
        <v>0</v>
      </c>
      <c r="AJ34" s="100">
        <v>0</v>
      </c>
      <c r="AK34" s="100">
        <v>0</v>
      </c>
    </row>
    <row r="35" spans="1:37" x14ac:dyDescent="0.15">
      <c r="A35" s="146" t="s">
        <v>226</v>
      </c>
      <c r="B35" s="100">
        <v>0</v>
      </c>
      <c r="C35" s="100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0">
        <v>0</v>
      </c>
      <c r="L35" s="100">
        <v>0</v>
      </c>
      <c r="M35" s="100">
        <v>0</v>
      </c>
      <c r="N35" s="100">
        <v>0</v>
      </c>
      <c r="O35" s="100">
        <v>0</v>
      </c>
      <c r="P35" s="100">
        <v>0</v>
      </c>
      <c r="Q35" s="100">
        <v>0</v>
      </c>
      <c r="R35" s="100">
        <v>0</v>
      </c>
      <c r="S35" s="100">
        <v>0</v>
      </c>
      <c r="T35" s="100">
        <v>0</v>
      </c>
      <c r="U35" s="100">
        <v>0</v>
      </c>
      <c r="V35" s="100">
        <v>1</v>
      </c>
      <c r="W35" s="100">
        <v>0</v>
      </c>
      <c r="X35" s="100">
        <v>1</v>
      </c>
      <c r="Y35" s="100">
        <v>0</v>
      </c>
      <c r="Z35" s="100">
        <v>0</v>
      </c>
      <c r="AA35" s="100">
        <v>1</v>
      </c>
      <c r="AB35" s="100">
        <v>1</v>
      </c>
      <c r="AC35" s="100">
        <v>0</v>
      </c>
      <c r="AD35" s="100">
        <v>0</v>
      </c>
      <c r="AE35" s="100">
        <v>0</v>
      </c>
      <c r="AF35" s="100">
        <v>0</v>
      </c>
      <c r="AG35" s="100">
        <v>0</v>
      </c>
      <c r="AH35" s="100">
        <v>0</v>
      </c>
      <c r="AI35" s="100">
        <v>0</v>
      </c>
      <c r="AJ35" s="100">
        <v>0</v>
      </c>
      <c r="AK35" s="100">
        <v>0</v>
      </c>
    </row>
    <row r="36" spans="1:37" x14ac:dyDescent="0.15">
      <c r="A36" s="146" t="s">
        <v>227</v>
      </c>
      <c r="B36" s="100">
        <v>0</v>
      </c>
      <c r="C36" s="100">
        <v>0</v>
      </c>
      <c r="D36" s="100">
        <v>0</v>
      </c>
      <c r="E36" s="100">
        <v>0</v>
      </c>
      <c r="F36" s="100">
        <v>0</v>
      </c>
      <c r="G36" s="100">
        <v>0</v>
      </c>
      <c r="H36" s="100">
        <v>0</v>
      </c>
      <c r="I36" s="100">
        <v>0</v>
      </c>
      <c r="J36" s="100">
        <v>0</v>
      </c>
      <c r="K36" s="100">
        <v>0</v>
      </c>
      <c r="L36" s="100">
        <v>0</v>
      </c>
      <c r="M36" s="100">
        <v>0</v>
      </c>
      <c r="N36" s="100">
        <v>0</v>
      </c>
      <c r="O36" s="100">
        <v>0</v>
      </c>
      <c r="P36" s="100">
        <v>0</v>
      </c>
      <c r="Q36" s="100">
        <v>0</v>
      </c>
      <c r="R36" s="100">
        <v>0</v>
      </c>
      <c r="S36" s="100">
        <v>0</v>
      </c>
      <c r="T36" s="100">
        <v>0</v>
      </c>
      <c r="U36" s="100">
        <v>0</v>
      </c>
      <c r="V36" s="100">
        <v>0</v>
      </c>
      <c r="W36" s="100">
        <v>0</v>
      </c>
      <c r="X36" s="100">
        <v>0</v>
      </c>
      <c r="Y36" s="100">
        <v>0</v>
      </c>
      <c r="Z36" s="100">
        <v>1</v>
      </c>
      <c r="AA36" s="100">
        <v>1</v>
      </c>
      <c r="AB36" s="100">
        <v>1</v>
      </c>
      <c r="AC36" s="100">
        <v>1</v>
      </c>
      <c r="AD36" s="100">
        <v>1</v>
      </c>
      <c r="AE36" s="100">
        <v>1</v>
      </c>
      <c r="AF36" s="100">
        <v>1</v>
      </c>
      <c r="AG36" s="100">
        <v>0</v>
      </c>
      <c r="AH36" s="100">
        <v>0</v>
      </c>
      <c r="AI36" s="100">
        <v>0</v>
      </c>
      <c r="AJ36" s="100">
        <v>0</v>
      </c>
      <c r="AK36" s="100">
        <v>0</v>
      </c>
    </row>
    <row r="37" spans="1:37" x14ac:dyDescent="0.15">
      <c r="A37" s="146" t="s">
        <v>228</v>
      </c>
      <c r="B37" s="100">
        <v>0</v>
      </c>
      <c r="C37" s="100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0">
        <v>0</v>
      </c>
      <c r="L37" s="100">
        <v>0</v>
      </c>
      <c r="M37" s="100">
        <v>0</v>
      </c>
      <c r="N37" s="100">
        <v>0</v>
      </c>
      <c r="O37" s="100">
        <v>0</v>
      </c>
      <c r="P37" s="100">
        <v>0</v>
      </c>
      <c r="Q37" s="100">
        <v>0</v>
      </c>
      <c r="R37" s="100">
        <v>0</v>
      </c>
      <c r="S37" s="100">
        <v>0</v>
      </c>
      <c r="T37" s="100">
        <v>0</v>
      </c>
      <c r="U37" s="100">
        <v>0</v>
      </c>
      <c r="V37" s="100">
        <v>0</v>
      </c>
      <c r="W37" s="100">
        <v>0</v>
      </c>
      <c r="X37" s="100">
        <v>0</v>
      </c>
      <c r="Y37" s="100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>
        <v>0</v>
      </c>
      <c r="AH37" s="100">
        <v>0</v>
      </c>
      <c r="AI37" s="100">
        <v>0</v>
      </c>
      <c r="AJ37" s="100">
        <v>0</v>
      </c>
      <c r="AK37" s="100">
        <v>0</v>
      </c>
    </row>
    <row r="38" spans="1:37" x14ac:dyDescent="0.15">
      <c r="A38" s="146" t="s">
        <v>232</v>
      </c>
      <c r="B38" s="100">
        <v>0</v>
      </c>
      <c r="C38" s="100">
        <v>0</v>
      </c>
      <c r="D38" s="100">
        <v>0</v>
      </c>
      <c r="E38" s="100">
        <v>0</v>
      </c>
      <c r="F38" s="100">
        <v>0</v>
      </c>
      <c r="G38" s="100">
        <v>0</v>
      </c>
      <c r="H38" s="100">
        <v>0</v>
      </c>
      <c r="I38" s="100">
        <v>0</v>
      </c>
      <c r="J38" s="100">
        <v>0</v>
      </c>
      <c r="K38" s="100">
        <v>0</v>
      </c>
      <c r="L38" s="100">
        <v>0</v>
      </c>
      <c r="M38" s="100">
        <v>0</v>
      </c>
      <c r="N38" s="100">
        <v>0</v>
      </c>
      <c r="O38" s="100">
        <v>0</v>
      </c>
      <c r="P38" s="100">
        <v>0</v>
      </c>
      <c r="Q38" s="100">
        <v>0</v>
      </c>
      <c r="R38" s="100">
        <v>0</v>
      </c>
      <c r="S38" s="100">
        <v>0</v>
      </c>
      <c r="T38" s="100">
        <v>0</v>
      </c>
      <c r="U38" s="100">
        <v>0</v>
      </c>
      <c r="V38" s="100">
        <v>0</v>
      </c>
      <c r="W38" s="100">
        <v>0</v>
      </c>
      <c r="X38" s="100">
        <v>0</v>
      </c>
      <c r="Y38" s="100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>
        <v>0</v>
      </c>
      <c r="AH38" s="100">
        <v>0</v>
      </c>
      <c r="AI38" s="100">
        <v>0</v>
      </c>
      <c r="AJ38" s="100">
        <v>0</v>
      </c>
      <c r="AK38" s="10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E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8.1640625" bestFit="1" customWidth="1"/>
    <col min="3" max="4" width="3.83203125" bestFit="1" customWidth="1"/>
    <col min="5" max="5" width="3.83203125" customWidth="1"/>
  </cols>
  <sheetData>
    <row r="1" spans="1:5" ht="112" x14ac:dyDescent="0.15">
      <c r="A1" s="5" t="s">
        <v>83</v>
      </c>
      <c r="B1" s="3" t="s">
        <v>0</v>
      </c>
      <c r="C1" s="149" t="s">
        <v>229</v>
      </c>
      <c r="D1" s="149" t="s">
        <v>230</v>
      </c>
      <c r="E1" s="149" t="s">
        <v>231</v>
      </c>
    </row>
    <row r="2" spans="1:5" x14ac:dyDescent="0.15">
      <c r="A2">
        <v>1</v>
      </c>
      <c r="B2" s="148" t="s">
        <v>193</v>
      </c>
      <c r="C2">
        <v>0</v>
      </c>
      <c r="D2">
        <v>0</v>
      </c>
      <c r="E2">
        <v>0</v>
      </c>
    </row>
    <row r="3" spans="1:5" x14ac:dyDescent="0.15">
      <c r="A3">
        <v>2</v>
      </c>
      <c r="B3" s="148" t="s">
        <v>194</v>
      </c>
      <c r="C3">
        <v>0</v>
      </c>
      <c r="D3">
        <v>0</v>
      </c>
      <c r="E3">
        <v>0</v>
      </c>
    </row>
    <row r="4" spans="1:5" x14ac:dyDescent="0.15">
      <c r="A4">
        <v>3</v>
      </c>
      <c r="B4" s="148" t="s">
        <v>195</v>
      </c>
      <c r="C4">
        <v>0</v>
      </c>
      <c r="D4">
        <v>0</v>
      </c>
      <c r="E4">
        <v>0</v>
      </c>
    </row>
    <row r="5" spans="1:5" x14ac:dyDescent="0.15">
      <c r="A5">
        <v>4</v>
      </c>
      <c r="B5" s="148" t="s">
        <v>196</v>
      </c>
      <c r="C5">
        <v>0</v>
      </c>
      <c r="D5">
        <v>0</v>
      </c>
      <c r="E5">
        <v>0</v>
      </c>
    </row>
    <row r="6" spans="1:5" x14ac:dyDescent="0.15">
      <c r="A6">
        <v>5</v>
      </c>
      <c r="B6" s="148" t="s">
        <v>197</v>
      </c>
      <c r="C6">
        <v>0</v>
      </c>
      <c r="D6">
        <v>0</v>
      </c>
      <c r="E6">
        <v>0</v>
      </c>
    </row>
    <row r="7" spans="1:5" x14ac:dyDescent="0.15">
      <c r="A7">
        <v>6</v>
      </c>
      <c r="B7" s="148" t="s">
        <v>198</v>
      </c>
      <c r="C7">
        <v>0</v>
      </c>
      <c r="D7">
        <v>0</v>
      </c>
      <c r="E7">
        <v>0</v>
      </c>
    </row>
    <row r="8" spans="1:5" x14ac:dyDescent="0.15">
      <c r="A8">
        <v>7</v>
      </c>
      <c r="B8" s="148" t="s">
        <v>199</v>
      </c>
      <c r="C8">
        <v>0</v>
      </c>
      <c r="D8">
        <v>0</v>
      </c>
      <c r="E8">
        <v>0</v>
      </c>
    </row>
    <row r="9" spans="1:5" x14ac:dyDescent="0.15">
      <c r="A9">
        <v>8</v>
      </c>
      <c r="B9" s="148" t="s">
        <v>200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48" t="s">
        <v>201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148" t="s">
        <v>202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48" t="s">
        <v>203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48" t="s">
        <v>204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48" t="s">
        <v>205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48" t="s">
        <v>206</v>
      </c>
      <c r="C15">
        <v>0</v>
      </c>
      <c r="D15">
        <v>0</v>
      </c>
      <c r="E15">
        <v>0</v>
      </c>
    </row>
    <row r="16" spans="1:5" x14ac:dyDescent="0.15">
      <c r="A16">
        <v>15</v>
      </c>
      <c r="B16" s="148" t="s">
        <v>207</v>
      </c>
      <c r="C16">
        <v>0</v>
      </c>
      <c r="D16">
        <v>0</v>
      </c>
      <c r="E16">
        <v>0</v>
      </c>
    </row>
    <row r="17" spans="1:5" x14ac:dyDescent="0.15">
      <c r="A17">
        <v>16</v>
      </c>
      <c r="B17" s="148" t="s">
        <v>208</v>
      </c>
      <c r="C17">
        <v>0</v>
      </c>
      <c r="D17">
        <v>0</v>
      </c>
      <c r="E17">
        <v>0</v>
      </c>
    </row>
    <row r="18" spans="1:5" x14ac:dyDescent="0.15">
      <c r="A18">
        <v>17</v>
      </c>
      <c r="B18" s="148" t="s">
        <v>209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48" t="s">
        <v>210</v>
      </c>
      <c r="C19">
        <v>0</v>
      </c>
      <c r="D19">
        <v>0</v>
      </c>
      <c r="E19">
        <v>0</v>
      </c>
    </row>
    <row r="20" spans="1:5" x14ac:dyDescent="0.15">
      <c r="A20">
        <v>19</v>
      </c>
      <c r="B20" s="148" t="s">
        <v>211</v>
      </c>
      <c r="C20">
        <v>0</v>
      </c>
      <c r="D20">
        <v>0</v>
      </c>
      <c r="E20">
        <v>0</v>
      </c>
    </row>
    <row r="21" spans="1:5" x14ac:dyDescent="0.15">
      <c r="A21">
        <v>20</v>
      </c>
      <c r="B21" s="148" t="s">
        <v>212</v>
      </c>
      <c r="C21">
        <v>0</v>
      </c>
      <c r="D21">
        <v>0</v>
      </c>
      <c r="E21">
        <v>0</v>
      </c>
    </row>
    <row r="22" spans="1:5" x14ac:dyDescent="0.15">
      <c r="A22">
        <v>21</v>
      </c>
      <c r="B22" s="148" t="s">
        <v>213</v>
      </c>
      <c r="C22">
        <v>0.8</v>
      </c>
      <c r="D22">
        <v>0</v>
      </c>
      <c r="E22">
        <v>0</v>
      </c>
    </row>
    <row r="23" spans="1:5" x14ac:dyDescent="0.15">
      <c r="A23">
        <v>22</v>
      </c>
      <c r="B23" s="148" t="s">
        <v>214</v>
      </c>
      <c r="C23">
        <v>0</v>
      </c>
      <c r="D23">
        <v>0.8</v>
      </c>
      <c r="E23">
        <v>0</v>
      </c>
    </row>
    <row r="24" spans="1:5" x14ac:dyDescent="0.15">
      <c r="A24">
        <v>23</v>
      </c>
      <c r="B24" s="148" t="s">
        <v>215</v>
      </c>
      <c r="C24">
        <v>0</v>
      </c>
      <c r="D24">
        <v>0</v>
      </c>
      <c r="E24">
        <v>0</v>
      </c>
    </row>
    <row r="25" spans="1:5" x14ac:dyDescent="0.15">
      <c r="A25">
        <v>24</v>
      </c>
      <c r="B25" s="148" t="s">
        <v>216</v>
      </c>
      <c r="C25">
        <v>0</v>
      </c>
      <c r="D25">
        <v>0</v>
      </c>
      <c r="E25">
        <v>0</v>
      </c>
    </row>
    <row r="26" spans="1:5" x14ac:dyDescent="0.15">
      <c r="A26">
        <v>25</v>
      </c>
      <c r="B26" s="148" t="s">
        <v>217</v>
      </c>
      <c r="C26">
        <v>0</v>
      </c>
      <c r="D26">
        <v>0</v>
      </c>
      <c r="E26">
        <v>0</v>
      </c>
    </row>
    <row r="27" spans="1:5" x14ac:dyDescent="0.15">
      <c r="A27">
        <v>26</v>
      </c>
      <c r="B27" s="148" t="s">
        <v>218</v>
      </c>
      <c r="C27">
        <v>0</v>
      </c>
      <c r="D27">
        <v>0</v>
      </c>
      <c r="E27">
        <v>0.8</v>
      </c>
    </row>
    <row r="28" spans="1:5" x14ac:dyDescent="0.15">
      <c r="A28">
        <v>27</v>
      </c>
      <c r="B28" s="148" t="s">
        <v>219</v>
      </c>
      <c r="C28">
        <v>0</v>
      </c>
      <c r="D28">
        <v>0</v>
      </c>
      <c r="E28">
        <v>0</v>
      </c>
    </row>
    <row r="29" spans="1:5" x14ac:dyDescent="0.15">
      <c r="A29">
        <v>28</v>
      </c>
      <c r="B29" s="148" t="s">
        <v>220</v>
      </c>
      <c r="C29">
        <v>0</v>
      </c>
      <c r="D29">
        <v>0</v>
      </c>
      <c r="E29">
        <v>0</v>
      </c>
    </row>
    <row r="30" spans="1:5" x14ac:dyDescent="0.15">
      <c r="A30">
        <v>29</v>
      </c>
      <c r="B30" s="148" t="s">
        <v>221</v>
      </c>
      <c r="C30">
        <v>0</v>
      </c>
      <c r="D30">
        <v>0</v>
      </c>
      <c r="E30">
        <v>0</v>
      </c>
    </row>
    <row r="31" spans="1:5" x14ac:dyDescent="0.15">
      <c r="A31">
        <v>30</v>
      </c>
      <c r="B31" s="148" t="s">
        <v>222</v>
      </c>
      <c r="C31">
        <v>0</v>
      </c>
      <c r="D31">
        <v>0</v>
      </c>
      <c r="E31">
        <v>0</v>
      </c>
    </row>
    <row r="32" spans="1:5" x14ac:dyDescent="0.15">
      <c r="A32">
        <v>31</v>
      </c>
      <c r="B32" s="148" t="s">
        <v>223</v>
      </c>
      <c r="C32">
        <v>0</v>
      </c>
      <c r="D32">
        <v>0</v>
      </c>
      <c r="E32">
        <v>0</v>
      </c>
    </row>
    <row r="33" spans="1:5" x14ac:dyDescent="0.15">
      <c r="A33">
        <v>32</v>
      </c>
      <c r="B33" s="148" t="s">
        <v>224</v>
      </c>
      <c r="C33">
        <v>0</v>
      </c>
      <c r="D33">
        <v>0</v>
      </c>
      <c r="E33">
        <v>0</v>
      </c>
    </row>
    <row r="34" spans="1:5" x14ac:dyDescent="0.15">
      <c r="A34">
        <v>33</v>
      </c>
      <c r="B34" s="148" t="s">
        <v>225</v>
      </c>
      <c r="C34">
        <v>0</v>
      </c>
      <c r="D34">
        <v>0</v>
      </c>
      <c r="E34">
        <v>0</v>
      </c>
    </row>
    <row r="35" spans="1:5" x14ac:dyDescent="0.15">
      <c r="A35">
        <v>34</v>
      </c>
      <c r="B35" s="148" t="s">
        <v>226</v>
      </c>
      <c r="C35">
        <v>0</v>
      </c>
      <c r="D35">
        <v>0</v>
      </c>
      <c r="E35">
        <v>0</v>
      </c>
    </row>
    <row r="36" spans="1:5" x14ac:dyDescent="0.15">
      <c r="A36">
        <v>35</v>
      </c>
      <c r="B36" s="148" t="s">
        <v>227</v>
      </c>
      <c r="C36">
        <v>0</v>
      </c>
      <c r="D36">
        <v>0</v>
      </c>
      <c r="E36">
        <v>0</v>
      </c>
    </row>
    <row r="37" spans="1:5" x14ac:dyDescent="0.15">
      <c r="A37">
        <v>36</v>
      </c>
      <c r="B37" s="148" t="s">
        <v>228</v>
      </c>
      <c r="C37">
        <v>0</v>
      </c>
      <c r="D37">
        <v>0</v>
      </c>
      <c r="E37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E37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8.1640625" bestFit="1" customWidth="1"/>
    <col min="3" max="4" width="3.83203125" bestFit="1" customWidth="1"/>
    <col min="5" max="5" width="3.83203125" customWidth="1"/>
  </cols>
  <sheetData>
    <row r="1" spans="1:5" ht="112" x14ac:dyDescent="0.15">
      <c r="A1" s="5" t="s">
        <v>82</v>
      </c>
      <c r="B1" s="3" t="s">
        <v>0</v>
      </c>
      <c r="C1" s="151" t="s">
        <v>229</v>
      </c>
      <c r="D1" s="151" t="s">
        <v>230</v>
      </c>
      <c r="E1" s="151" t="s">
        <v>231</v>
      </c>
    </row>
    <row r="2" spans="1:5" x14ac:dyDescent="0.15">
      <c r="A2">
        <v>1</v>
      </c>
      <c r="B2" s="150" t="s">
        <v>193</v>
      </c>
      <c r="C2">
        <v>0</v>
      </c>
      <c r="D2">
        <v>0</v>
      </c>
      <c r="E2">
        <v>0</v>
      </c>
    </row>
    <row r="3" spans="1:5" x14ac:dyDescent="0.15">
      <c r="A3">
        <v>2</v>
      </c>
      <c r="B3" s="150" t="s">
        <v>194</v>
      </c>
      <c r="C3">
        <v>0</v>
      </c>
      <c r="D3">
        <v>0</v>
      </c>
      <c r="E3">
        <v>0</v>
      </c>
    </row>
    <row r="4" spans="1:5" x14ac:dyDescent="0.15">
      <c r="A4">
        <v>3</v>
      </c>
      <c r="B4" s="150" t="s">
        <v>195</v>
      </c>
      <c r="C4">
        <v>0</v>
      </c>
      <c r="D4">
        <v>0</v>
      </c>
      <c r="E4">
        <v>0</v>
      </c>
    </row>
    <row r="5" spans="1:5" x14ac:dyDescent="0.15">
      <c r="A5">
        <v>4</v>
      </c>
      <c r="B5" s="150" t="s">
        <v>196</v>
      </c>
      <c r="C5">
        <v>0</v>
      </c>
      <c r="D5">
        <v>0</v>
      </c>
      <c r="E5">
        <v>0</v>
      </c>
    </row>
    <row r="6" spans="1:5" x14ac:dyDescent="0.15">
      <c r="A6">
        <v>5</v>
      </c>
      <c r="B6" s="150" t="s">
        <v>197</v>
      </c>
      <c r="C6">
        <v>0</v>
      </c>
      <c r="D6">
        <v>0</v>
      </c>
      <c r="E6">
        <v>0</v>
      </c>
    </row>
    <row r="7" spans="1:5" x14ac:dyDescent="0.15">
      <c r="A7">
        <v>6</v>
      </c>
      <c r="B7" s="150" t="s">
        <v>198</v>
      </c>
      <c r="C7">
        <v>0</v>
      </c>
      <c r="D7">
        <v>0</v>
      </c>
      <c r="E7">
        <v>0</v>
      </c>
    </row>
    <row r="8" spans="1:5" x14ac:dyDescent="0.15">
      <c r="A8">
        <v>7</v>
      </c>
      <c r="B8" s="150" t="s">
        <v>199</v>
      </c>
      <c r="C8">
        <v>0</v>
      </c>
      <c r="D8">
        <v>0</v>
      </c>
      <c r="E8">
        <v>0</v>
      </c>
    </row>
    <row r="9" spans="1:5" x14ac:dyDescent="0.15">
      <c r="A9">
        <v>8</v>
      </c>
      <c r="B9" s="150" t="s">
        <v>200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50" t="s">
        <v>201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150" t="s">
        <v>202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50" t="s">
        <v>203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50" t="s">
        <v>204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50" t="s">
        <v>205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50" t="s">
        <v>206</v>
      </c>
      <c r="C15">
        <v>0</v>
      </c>
      <c r="D15">
        <v>0</v>
      </c>
      <c r="E15">
        <v>0</v>
      </c>
    </row>
    <row r="16" spans="1:5" x14ac:dyDescent="0.15">
      <c r="A16">
        <v>15</v>
      </c>
      <c r="B16" s="150" t="s">
        <v>207</v>
      </c>
      <c r="C16">
        <v>0</v>
      </c>
      <c r="D16">
        <v>0</v>
      </c>
      <c r="E16">
        <v>0</v>
      </c>
    </row>
    <row r="17" spans="1:5" x14ac:dyDescent="0.15">
      <c r="A17">
        <v>16</v>
      </c>
      <c r="B17" s="150" t="s">
        <v>208</v>
      </c>
      <c r="C17">
        <v>0</v>
      </c>
      <c r="D17">
        <v>0</v>
      </c>
      <c r="E17">
        <v>0</v>
      </c>
    </row>
    <row r="18" spans="1:5" x14ac:dyDescent="0.15">
      <c r="A18">
        <v>17</v>
      </c>
      <c r="B18" s="150" t="s">
        <v>209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50" t="s">
        <v>210</v>
      </c>
      <c r="C19">
        <v>0</v>
      </c>
      <c r="D19">
        <v>0</v>
      </c>
      <c r="E19">
        <v>0</v>
      </c>
    </row>
    <row r="20" spans="1:5" x14ac:dyDescent="0.15">
      <c r="A20">
        <v>19</v>
      </c>
      <c r="B20" s="150" t="s">
        <v>211</v>
      </c>
      <c r="C20">
        <v>0</v>
      </c>
      <c r="D20">
        <v>0</v>
      </c>
      <c r="E20">
        <v>0</v>
      </c>
    </row>
    <row r="21" spans="1:5" x14ac:dyDescent="0.15">
      <c r="A21">
        <v>20</v>
      </c>
      <c r="B21" s="150" t="s">
        <v>212</v>
      </c>
      <c r="C21">
        <v>0</v>
      </c>
      <c r="D21">
        <v>0</v>
      </c>
      <c r="E21">
        <v>0</v>
      </c>
    </row>
    <row r="22" spans="1:5" x14ac:dyDescent="0.15">
      <c r="A22">
        <v>21</v>
      </c>
      <c r="B22" s="150" t="s">
        <v>213</v>
      </c>
      <c r="C22">
        <v>0.8</v>
      </c>
      <c r="D22">
        <v>0</v>
      </c>
      <c r="E22">
        <v>0</v>
      </c>
    </row>
    <row r="23" spans="1:5" x14ac:dyDescent="0.15">
      <c r="A23">
        <v>22</v>
      </c>
      <c r="B23" s="150" t="s">
        <v>214</v>
      </c>
      <c r="C23">
        <v>0</v>
      </c>
      <c r="D23">
        <v>0.8</v>
      </c>
      <c r="E23">
        <v>0</v>
      </c>
    </row>
    <row r="24" spans="1:5" x14ac:dyDescent="0.15">
      <c r="A24">
        <v>23</v>
      </c>
      <c r="B24" s="150" t="s">
        <v>215</v>
      </c>
      <c r="C24">
        <v>0</v>
      </c>
      <c r="D24">
        <v>0</v>
      </c>
      <c r="E24">
        <v>0</v>
      </c>
    </row>
    <row r="25" spans="1:5" x14ac:dyDescent="0.15">
      <c r="A25">
        <v>24</v>
      </c>
      <c r="B25" s="150" t="s">
        <v>216</v>
      </c>
      <c r="C25">
        <v>0</v>
      </c>
      <c r="D25">
        <v>0</v>
      </c>
      <c r="E25">
        <v>0</v>
      </c>
    </row>
    <row r="26" spans="1:5" x14ac:dyDescent="0.15">
      <c r="A26">
        <v>25</v>
      </c>
      <c r="B26" s="150" t="s">
        <v>217</v>
      </c>
      <c r="C26">
        <v>0</v>
      </c>
      <c r="D26">
        <v>0</v>
      </c>
      <c r="E26">
        <v>0</v>
      </c>
    </row>
    <row r="27" spans="1:5" x14ac:dyDescent="0.15">
      <c r="A27">
        <v>26</v>
      </c>
      <c r="B27" s="150" t="s">
        <v>218</v>
      </c>
      <c r="C27">
        <v>0</v>
      </c>
      <c r="D27">
        <v>0</v>
      </c>
      <c r="E27">
        <v>0.8</v>
      </c>
    </row>
    <row r="28" spans="1:5" x14ac:dyDescent="0.15">
      <c r="A28">
        <v>27</v>
      </c>
      <c r="B28" s="150" t="s">
        <v>219</v>
      </c>
      <c r="C28">
        <v>0</v>
      </c>
      <c r="D28">
        <v>0</v>
      </c>
      <c r="E28">
        <v>0</v>
      </c>
    </row>
    <row r="29" spans="1:5" x14ac:dyDescent="0.15">
      <c r="A29">
        <v>28</v>
      </c>
      <c r="B29" s="150" t="s">
        <v>220</v>
      </c>
      <c r="C29">
        <v>0</v>
      </c>
      <c r="D29">
        <v>0</v>
      </c>
      <c r="E29">
        <v>0</v>
      </c>
    </row>
    <row r="30" spans="1:5" x14ac:dyDescent="0.15">
      <c r="A30">
        <v>29</v>
      </c>
      <c r="B30" s="150" t="s">
        <v>221</v>
      </c>
      <c r="C30">
        <v>0</v>
      </c>
      <c r="D30">
        <v>0</v>
      </c>
      <c r="E30">
        <v>0</v>
      </c>
    </row>
    <row r="31" spans="1:5" x14ac:dyDescent="0.15">
      <c r="A31">
        <v>30</v>
      </c>
      <c r="B31" s="150" t="s">
        <v>222</v>
      </c>
      <c r="C31">
        <v>0</v>
      </c>
      <c r="D31">
        <v>0</v>
      </c>
      <c r="E31">
        <v>0</v>
      </c>
    </row>
    <row r="32" spans="1:5" x14ac:dyDescent="0.15">
      <c r="A32">
        <v>31</v>
      </c>
      <c r="B32" s="150" t="s">
        <v>223</v>
      </c>
      <c r="C32">
        <v>0</v>
      </c>
      <c r="D32">
        <v>0</v>
      </c>
      <c r="E32">
        <v>0</v>
      </c>
    </row>
    <row r="33" spans="1:5" x14ac:dyDescent="0.15">
      <c r="A33">
        <v>32</v>
      </c>
      <c r="B33" s="150" t="s">
        <v>224</v>
      </c>
      <c r="C33">
        <v>0</v>
      </c>
      <c r="D33">
        <v>0</v>
      </c>
      <c r="E33">
        <v>0</v>
      </c>
    </row>
    <row r="34" spans="1:5" x14ac:dyDescent="0.15">
      <c r="A34">
        <v>33</v>
      </c>
      <c r="B34" s="150" t="s">
        <v>225</v>
      </c>
      <c r="C34">
        <v>0</v>
      </c>
      <c r="D34">
        <v>0</v>
      </c>
      <c r="E34">
        <v>0</v>
      </c>
    </row>
    <row r="35" spans="1:5" x14ac:dyDescent="0.15">
      <c r="A35">
        <v>34</v>
      </c>
      <c r="B35" s="150" t="s">
        <v>226</v>
      </c>
      <c r="C35">
        <v>0</v>
      </c>
      <c r="D35">
        <v>0</v>
      </c>
      <c r="E35">
        <v>0</v>
      </c>
    </row>
    <row r="36" spans="1:5" x14ac:dyDescent="0.15">
      <c r="A36">
        <v>35</v>
      </c>
      <c r="B36" s="150" t="s">
        <v>227</v>
      </c>
      <c r="C36">
        <v>0</v>
      </c>
      <c r="D36">
        <v>0</v>
      </c>
      <c r="E36">
        <v>0</v>
      </c>
    </row>
    <row r="37" spans="1:5" x14ac:dyDescent="0.15">
      <c r="A37">
        <v>36</v>
      </c>
      <c r="B37" s="150" t="s">
        <v>228</v>
      </c>
      <c r="C37">
        <v>0</v>
      </c>
      <c r="D37">
        <v>0</v>
      </c>
      <c r="E3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34" activePane="bottomRight" state="frozen"/>
      <selection pane="topRight" activeCell="C1" sqref="C1"/>
      <selection pane="bottomLeft" activeCell="A3" sqref="A3"/>
      <selection pane="bottomRight" activeCell="K7" sqref="K7"/>
    </sheetView>
  </sheetViews>
  <sheetFormatPr baseColWidth="10" defaultColWidth="8.83203125" defaultRowHeight="15" customHeight="1" x14ac:dyDescent="0.15"/>
  <cols>
    <col min="1" max="1" width="8.83203125" style="74"/>
    <col min="2" max="2" width="41.83203125" style="74" bestFit="1" customWidth="1"/>
    <col min="3" max="3" width="9.33203125" style="74" bestFit="1" customWidth="1"/>
    <col min="4" max="4" width="13" style="74" bestFit="1" customWidth="1"/>
    <col min="5" max="6" width="9.33203125" style="74" bestFit="1" customWidth="1"/>
    <col min="7" max="7" width="9.33203125" style="90" bestFit="1" customWidth="1"/>
    <col min="8" max="8" width="9.33203125" style="74" bestFit="1" customWidth="1"/>
    <col min="9" max="9" width="11" style="74" customWidth="1"/>
    <col min="10" max="10" width="8.83203125" style="74"/>
    <col min="15" max="16384" width="8.83203125" style="7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0" t="s">
        <v>14</v>
      </c>
      <c r="H1" s="1" t="s">
        <v>26</v>
      </c>
      <c r="I1" s="1" t="s">
        <v>24</v>
      </c>
    </row>
    <row r="2" spans="1:10" ht="15" customHeight="1" x14ac:dyDescent="0.15">
      <c r="A2" s="193">
        <v>1</v>
      </c>
      <c r="B2" s="193" t="s">
        <v>193</v>
      </c>
      <c r="C2" s="8">
        <v>4.7233791351318359</v>
      </c>
      <c r="D2" s="9">
        <v>7.5240000151097775E-3</v>
      </c>
      <c r="E2" s="9">
        <v>1.9999999552965164E-2</v>
      </c>
      <c r="F2" s="9">
        <v>1.0752688646316528</v>
      </c>
      <c r="G2" s="7">
        <v>0</v>
      </c>
      <c r="H2" s="9">
        <v>1.8599998205900192E-2</v>
      </c>
      <c r="I2">
        <v>0</v>
      </c>
      <c r="J2"/>
    </row>
    <row r="3" spans="1:10" ht="15" customHeight="1" x14ac:dyDescent="0.15">
      <c r="A3" s="194">
        <v>2</v>
      </c>
      <c r="B3" s="194" t="s">
        <v>194</v>
      </c>
      <c r="C3" s="8">
        <v>3.4054028987884521</v>
      </c>
      <c r="D3" s="9">
        <v>8.3520002663135529E-3</v>
      </c>
      <c r="E3" s="9">
        <v>0.27000001072883606</v>
      </c>
      <c r="F3" s="9">
        <v>15.168539047241211</v>
      </c>
      <c r="G3" s="9">
        <v>0.10762879252433777</v>
      </c>
      <c r="H3" s="9">
        <v>1.7800001427531242E-2</v>
      </c>
      <c r="I3">
        <v>0</v>
      </c>
      <c r="J3"/>
    </row>
    <row r="4" spans="1:10" ht="15" customHeight="1" x14ac:dyDescent="0.15">
      <c r="A4" s="195">
        <v>3</v>
      </c>
      <c r="B4" s="195" t="s">
        <v>195</v>
      </c>
      <c r="C4" s="8">
        <v>4.1579117774963379</v>
      </c>
      <c r="D4" s="9">
        <v>8.121199905872345E-2</v>
      </c>
      <c r="E4" s="9">
        <v>7.9999998211860657E-2</v>
      </c>
      <c r="F4" s="9">
        <v>4.5977010726928711</v>
      </c>
      <c r="G4" s="9">
        <v>0.57903426885604858</v>
      </c>
      <c r="H4" s="9">
        <v>1.7400000244379044E-2</v>
      </c>
      <c r="I4">
        <v>0</v>
      </c>
      <c r="J4"/>
    </row>
    <row r="5" spans="1:10" ht="15" customHeight="1" x14ac:dyDescent="0.15">
      <c r="A5" s="196">
        <v>4</v>
      </c>
      <c r="B5" s="196" t="s">
        <v>196</v>
      </c>
      <c r="C5" s="8">
        <v>3.360987663269043</v>
      </c>
      <c r="D5" s="9">
        <v>1.0977740287780762</v>
      </c>
      <c r="E5" s="9">
        <v>0.10000000149011612</v>
      </c>
      <c r="F5" s="9">
        <v>5.9523811340332031</v>
      </c>
      <c r="G5" s="9">
        <v>2.6899324730038643E-2</v>
      </c>
      <c r="H5" s="9">
        <v>1.679999940097332E-2</v>
      </c>
      <c r="I5">
        <v>0</v>
      </c>
      <c r="J5"/>
    </row>
    <row r="6" spans="1:10" ht="15" customHeight="1" x14ac:dyDescent="0.15">
      <c r="A6" s="197">
        <v>5</v>
      </c>
      <c r="B6" s="197" t="s">
        <v>197</v>
      </c>
      <c r="C6" s="8">
        <v>3.6920483112335205</v>
      </c>
      <c r="D6" s="9">
        <v>1.0323179885745049E-3</v>
      </c>
      <c r="E6" s="9">
        <v>0.17000000178813934</v>
      </c>
      <c r="F6" s="9">
        <v>9.6590909957885742</v>
      </c>
      <c r="G6" s="9">
        <v>0.72189140319824219</v>
      </c>
      <c r="H6" s="9">
        <v>1.7599999904632568E-2</v>
      </c>
      <c r="I6">
        <v>0</v>
      </c>
      <c r="J6"/>
    </row>
    <row r="7" spans="1:10" ht="15" customHeight="1" x14ac:dyDescent="0.15">
      <c r="A7" s="198">
        <v>6</v>
      </c>
      <c r="B7" s="198" t="s">
        <v>198</v>
      </c>
      <c r="C7" s="8">
        <v>4.2291488647460938</v>
      </c>
      <c r="D7" s="9">
        <v>1.0352570097893476E-3</v>
      </c>
      <c r="E7" s="9">
        <v>0.20999999344348907</v>
      </c>
      <c r="F7" s="9">
        <v>12.068964958190918</v>
      </c>
      <c r="G7" s="9">
        <v>0.37212944030761719</v>
      </c>
      <c r="H7" s="9">
        <v>1.7400000244379044E-2</v>
      </c>
      <c r="I7">
        <v>0</v>
      </c>
      <c r="J7"/>
    </row>
    <row r="8" spans="1:10" ht="15" customHeight="1" x14ac:dyDescent="0.15">
      <c r="A8" s="199">
        <v>7</v>
      </c>
      <c r="B8" s="199" t="s">
        <v>199</v>
      </c>
      <c r="C8" s="8">
        <v>4.1154184341430664</v>
      </c>
      <c r="D8" s="9">
        <v>2.8399389237165451E-2</v>
      </c>
      <c r="E8" s="9">
        <v>0.28999999165534973</v>
      </c>
      <c r="F8" s="9">
        <v>16.666666030883789</v>
      </c>
      <c r="G8" s="7">
        <v>0</v>
      </c>
      <c r="H8" s="9">
        <v>1.7400000244379044E-2</v>
      </c>
      <c r="I8">
        <v>0</v>
      </c>
      <c r="J8"/>
    </row>
    <row r="9" spans="1:10" ht="15" customHeight="1" x14ac:dyDescent="0.15">
      <c r="A9" s="200">
        <v>8</v>
      </c>
      <c r="B9" s="200" t="s">
        <v>200</v>
      </c>
      <c r="C9" s="8">
        <v>3.2104473114013672</v>
      </c>
      <c r="D9" s="9">
        <v>7.1768998168408871E-3</v>
      </c>
      <c r="E9" s="9">
        <v>3.9999999105930328E-2</v>
      </c>
      <c r="F9" s="9">
        <v>2.5316455364227295</v>
      </c>
      <c r="G9" s="9">
        <v>0.28181532025337219</v>
      </c>
      <c r="H9" s="9">
        <v>1.5799999237060547E-2</v>
      </c>
      <c r="I9">
        <v>0</v>
      </c>
      <c r="J9"/>
    </row>
    <row r="10" spans="1:10" ht="15" customHeight="1" x14ac:dyDescent="0.15">
      <c r="A10" s="201">
        <v>9</v>
      </c>
      <c r="B10" s="201" t="s">
        <v>201</v>
      </c>
      <c r="C10" s="8">
        <v>3.2098488807678223</v>
      </c>
      <c r="D10" s="9">
        <v>4.2804300785064697E-2</v>
      </c>
      <c r="E10" s="9">
        <v>3.1500000506639481E-2</v>
      </c>
      <c r="F10" s="9">
        <v>2.5499999523162842</v>
      </c>
      <c r="G10" s="9">
        <v>6.0001693665981293E-2</v>
      </c>
      <c r="H10" s="9">
        <v>1.2352941557765007E-2</v>
      </c>
      <c r="I10">
        <v>0</v>
      </c>
      <c r="J10"/>
    </row>
    <row r="11" spans="1:10" ht="15" customHeight="1" x14ac:dyDescent="0.15">
      <c r="A11" s="202">
        <v>10</v>
      </c>
      <c r="B11" s="202" t="s">
        <v>202</v>
      </c>
      <c r="C11" s="8">
        <v>3.1884748935699463</v>
      </c>
      <c r="D11" s="9">
        <v>4.7275200486183167E-2</v>
      </c>
      <c r="E11" s="9">
        <v>9.4999998807907104E-2</v>
      </c>
      <c r="F11" s="9">
        <v>5.654761791229248</v>
      </c>
      <c r="G11" s="9">
        <v>1.8013766035437584E-2</v>
      </c>
      <c r="H11" s="9">
        <v>1.679999940097332E-2</v>
      </c>
      <c r="I11">
        <v>0</v>
      </c>
      <c r="J11"/>
    </row>
    <row r="12" spans="1:10" ht="15" customHeight="1" x14ac:dyDescent="0.15">
      <c r="A12" s="203">
        <v>11</v>
      </c>
      <c r="B12" s="203" t="s">
        <v>203</v>
      </c>
      <c r="C12" s="8">
        <v>3.3041951656341553</v>
      </c>
      <c r="D12" s="9">
        <v>8.1189356744289398E-2</v>
      </c>
      <c r="E12" s="9">
        <v>3.9999999105930328E-2</v>
      </c>
      <c r="F12" s="9">
        <v>2.3809523582458496</v>
      </c>
      <c r="G12" s="9">
        <v>2.491164393723011E-2</v>
      </c>
      <c r="H12" s="9">
        <v>1.679999940097332E-2</v>
      </c>
      <c r="I12">
        <v>0</v>
      </c>
      <c r="J12"/>
    </row>
    <row r="13" spans="1:10" ht="15" customHeight="1" x14ac:dyDescent="0.15">
      <c r="A13" s="204">
        <v>12</v>
      </c>
      <c r="B13" s="204" t="s">
        <v>204</v>
      </c>
      <c r="C13" s="8">
        <v>3.6700520515441895</v>
      </c>
      <c r="D13" s="9">
        <v>1.1594899842748418E-4</v>
      </c>
      <c r="E13" s="9">
        <v>0.19449999928474426</v>
      </c>
      <c r="F13" s="9">
        <v>13.892857551574707</v>
      </c>
      <c r="G13" s="9">
        <v>3.5873590968549252E-3</v>
      </c>
      <c r="H13" s="9">
        <v>1.39999995008111E-2</v>
      </c>
      <c r="I13">
        <v>0</v>
      </c>
      <c r="J13"/>
    </row>
    <row r="14" spans="1:10" ht="15" customHeight="1" x14ac:dyDescent="0.15">
      <c r="A14" s="205">
        <v>13</v>
      </c>
      <c r="B14" s="205" t="s">
        <v>205</v>
      </c>
      <c r="C14" s="8">
        <v>3.3416476249694824</v>
      </c>
      <c r="D14" s="9">
        <v>1.1610690271481872E-3</v>
      </c>
      <c r="E14" s="9">
        <v>0.2199999988079071</v>
      </c>
      <c r="F14" s="9">
        <v>15.277700424194336</v>
      </c>
      <c r="G14" s="9">
        <v>0.94967597723007202</v>
      </c>
      <c r="H14" s="9">
        <v>1.4400072395801544E-2</v>
      </c>
      <c r="I14">
        <v>0</v>
      </c>
      <c r="J14"/>
    </row>
    <row r="15" spans="1:10" ht="15" customHeight="1" x14ac:dyDescent="0.15">
      <c r="A15" s="206">
        <v>14</v>
      </c>
      <c r="B15" s="206" t="s">
        <v>206</v>
      </c>
      <c r="C15" s="8">
        <v>3.1589813232421875</v>
      </c>
      <c r="D15" s="9">
        <v>2.1420000120997429E-2</v>
      </c>
      <c r="E15" s="9">
        <v>0.2199999988079071</v>
      </c>
      <c r="F15" s="9">
        <v>15.277799606323242</v>
      </c>
      <c r="G15" s="9">
        <v>0.90433144569396973</v>
      </c>
      <c r="H15" s="9">
        <v>1.4399979263544083E-2</v>
      </c>
      <c r="I15">
        <v>0</v>
      </c>
      <c r="J15"/>
    </row>
    <row r="16" spans="1:10" ht="15" customHeight="1" x14ac:dyDescent="0.15">
      <c r="A16" s="207">
        <v>15</v>
      </c>
      <c r="B16" s="207" t="s">
        <v>207</v>
      </c>
      <c r="C16" s="8">
        <v>3.1351165771484375</v>
      </c>
      <c r="D16" s="9">
        <v>5.8300001546740532E-3</v>
      </c>
      <c r="E16" s="9">
        <v>0.11999999731779099</v>
      </c>
      <c r="F16" s="9">
        <v>36.619720458984375</v>
      </c>
      <c r="G16" s="9">
        <v>0.11752034723758698</v>
      </c>
      <c r="H16" s="9">
        <v>3.2769227400422096E-3</v>
      </c>
      <c r="I16">
        <v>0</v>
      </c>
      <c r="J16"/>
    </row>
    <row r="17" spans="1:10" ht="15" customHeight="1" x14ac:dyDescent="0.15">
      <c r="A17" s="208">
        <v>16</v>
      </c>
      <c r="B17" s="208" t="s">
        <v>208</v>
      </c>
      <c r="C17" s="8">
        <v>3.4494764804840088</v>
      </c>
      <c r="D17" s="9">
        <v>1.1450499732745811E-4</v>
      </c>
      <c r="E17" s="9">
        <v>0.10999999940395355</v>
      </c>
      <c r="F17" s="9">
        <v>7.6388888359069824</v>
      </c>
      <c r="G17" s="9">
        <v>0.7916489839553833</v>
      </c>
      <c r="H17" s="9">
        <v>1.4399999752640724E-2</v>
      </c>
      <c r="I17">
        <v>0</v>
      </c>
      <c r="J17"/>
    </row>
    <row r="18" spans="1:10" ht="15" customHeight="1" x14ac:dyDescent="0.15">
      <c r="A18" s="209">
        <v>17</v>
      </c>
      <c r="B18" s="209" t="s">
        <v>209</v>
      </c>
      <c r="C18" s="8">
        <v>3.8269531726837158</v>
      </c>
      <c r="D18" s="9">
        <v>4.0000001899898052E-3</v>
      </c>
      <c r="E18" s="9">
        <v>8.7999999523162842E-2</v>
      </c>
      <c r="F18" s="9">
        <v>4.8888888359069824</v>
      </c>
      <c r="G18" s="7">
        <v>0</v>
      </c>
      <c r="H18" s="9">
        <v>1.7999999225139618E-2</v>
      </c>
      <c r="I18">
        <v>0</v>
      </c>
      <c r="J18"/>
    </row>
    <row r="19" spans="1:10" ht="15" customHeight="1" x14ac:dyDescent="0.15">
      <c r="A19" s="210">
        <v>18</v>
      </c>
      <c r="B19" s="210" t="s">
        <v>210</v>
      </c>
      <c r="C19" s="8">
        <v>3.2359673976898193</v>
      </c>
      <c r="D19" s="9">
        <v>2.4900000095367432</v>
      </c>
      <c r="E19" s="9">
        <v>3.1500000953674316</v>
      </c>
      <c r="F19" s="9">
        <v>30.288461685180664</v>
      </c>
      <c r="G19" s="9">
        <v>0.29211381077766418</v>
      </c>
      <c r="H19" s="9">
        <v>0.10400000214576721</v>
      </c>
      <c r="I19">
        <v>0</v>
      </c>
      <c r="J19"/>
    </row>
    <row r="20" spans="1:10" ht="15" customHeight="1" x14ac:dyDescent="0.15">
      <c r="A20" s="211">
        <v>19</v>
      </c>
      <c r="B20" s="211" t="s">
        <v>211</v>
      </c>
      <c r="C20" s="8">
        <v>3.2953817844390869</v>
      </c>
      <c r="D20" s="9">
        <v>3.2699999809265137</v>
      </c>
      <c r="E20" s="9">
        <v>1.1000000238418579</v>
      </c>
      <c r="F20" s="9">
        <v>10.579999923706055</v>
      </c>
      <c r="G20" s="9">
        <v>0.75156843662261963</v>
      </c>
      <c r="H20" s="9">
        <v>0.1039697602391243</v>
      </c>
      <c r="I20">
        <v>0</v>
      </c>
      <c r="J20"/>
    </row>
    <row r="21" spans="1:10" ht="15" customHeight="1" x14ac:dyDescent="0.15">
      <c r="A21" s="212">
        <v>20</v>
      </c>
      <c r="B21" s="212" t="s">
        <v>212</v>
      </c>
      <c r="C21" s="8">
        <v>3.2970931529998779</v>
      </c>
      <c r="D21" s="9">
        <v>5.25</v>
      </c>
      <c r="E21" s="9">
        <v>0.46000000834465027</v>
      </c>
      <c r="F21" s="9">
        <v>4.4230771064758301</v>
      </c>
      <c r="G21" s="9">
        <v>0.9269595742225647</v>
      </c>
      <c r="H21" s="9">
        <v>0.10399999469518661</v>
      </c>
      <c r="I21">
        <v>0</v>
      </c>
      <c r="J21"/>
    </row>
    <row r="22" spans="1:10" ht="15" customHeight="1" x14ac:dyDescent="0.15">
      <c r="A22" s="213">
        <v>21</v>
      </c>
      <c r="B22" s="213" t="s">
        <v>213</v>
      </c>
      <c r="C22" s="8">
        <v>3.1752581596374512</v>
      </c>
      <c r="D22" s="9">
        <v>0.1379999965429306</v>
      </c>
      <c r="E22" s="9">
        <v>0.28999999165534973</v>
      </c>
      <c r="F22" s="9">
        <v>2.7880001068115234</v>
      </c>
      <c r="G22" s="9">
        <v>3.2233864068984985E-2</v>
      </c>
      <c r="H22" s="9">
        <v>0.10401721298694611</v>
      </c>
      <c r="I22">
        <v>1.0000000116860974E-7</v>
      </c>
      <c r="J22"/>
    </row>
    <row r="23" spans="1:10" ht="15" customHeight="1" x14ac:dyDescent="0.15">
      <c r="A23" s="214">
        <v>22</v>
      </c>
      <c r="B23" s="214" t="s">
        <v>214</v>
      </c>
      <c r="C23" s="8">
        <v>3.1277346611022949</v>
      </c>
      <c r="D23" s="9">
        <v>0.89999997615814209</v>
      </c>
      <c r="E23" s="9">
        <v>0.47999998927116394</v>
      </c>
      <c r="F23" s="9">
        <v>4.615384578704834</v>
      </c>
      <c r="G23" s="9">
        <v>0.80653738975524902</v>
      </c>
      <c r="H23" s="9">
        <v>0.10400000214576721</v>
      </c>
      <c r="I23">
        <v>1.0000000116860974E-7</v>
      </c>
      <c r="J23"/>
    </row>
    <row r="24" spans="1:10" ht="15" customHeight="1" x14ac:dyDescent="0.15">
      <c r="A24" s="215">
        <v>23</v>
      </c>
      <c r="B24" s="215" t="s">
        <v>215</v>
      </c>
      <c r="C24" s="8">
        <v>2.9818592071533203</v>
      </c>
      <c r="D24" s="9">
        <v>1.2000000476837158</v>
      </c>
      <c r="E24" s="9">
        <v>0.46000000834465027</v>
      </c>
      <c r="F24" s="9">
        <v>4.4230771064758301</v>
      </c>
      <c r="G24" s="9">
        <v>0.18957942724227905</v>
      </c>
      <c r="H24" s="9">
        <v>0.10399999469518661</v>
      </c>
      <c r="I24">
        <v>0</v>
      </c>
      <c r="J24"/>
    </row>
    <row r="25" spans="1:10" ht="15" customHeight="1" x14ac:dyDescent="0.15">
      <c r="A25" s="216">
        <v>24</v>
      </c>
      <c r="B25" s="216" t="s">
        <v>216</v>
      </c>
      <c r="C25" s="8">
        <v>2.1359999179840088</v>
      </c>
      <c r="D25" s="9">
        <v>320</v>
      </c>
      <c r="E25" s="9">
        <v>3</v>
      </c>
      <c r="F25" s="9">
        <v>12.244999885559082</v>
      </c>
      <c r="G25" s="9">
        <v>1.1898063821718097E-3</v>
      </c>
      <c r="H25" s="9">
        <v>0.24499796330928802</v>
      </c>
      <c r="I25">
        <v>0</v>
      </c>
      <c r="J25"/>
    </row>
    <row r="26" spans="1:10" ht="15" customHeight="1" x14ac:dyDescent="0.15">
      <c r="A26" s="217">
        <v>25</v>
      </c>
      <c r="B26" s="217" t="s">
        <v>217</v>
      </c>
      <c r="C26" s="8">
        <v>2</v>
      </c>
      <c r="D26" s="9">
        <v>85.537498474121094</v>
      </c>
      <c r="E26" s="9">
        <v>0.5</v>
      </c>
      <c r="F26" s="9">
        <v>2.190000057220459</v>
      </c>
      <c r="G26" s="9">
        <v>0.55384600162506104</v>
      </c>
      <c r="H26" s="9">
        <v>0.22831049561500549</v>
      </c>
      <c r="I26">
        <v>0</v>
      </c>
      <c r="J26"/>
    </row>
    <row r="27" spans="1:10" ht="15" customHeight="1" x14ac:dyDescent="0.15">
      <c r="A27" s="218">
        <v>26</v>
      </c>
      <c r="B27" s="218" t="s">
        <v>218</v>
      </c>
      <c r="C27" s="8">
        <v>2.1030001640319824</v>
      </c>
      <c r="D27" s="9">
        <v>81.260002136230469</v>
      </c>
      <c r="E27" s="9">
        <v>0.80000001192092896</v>
      </c>
      <c r="F27" s="9">
        <v>3.5699999332427979</v>
      </c>
      <c r="G27" s="9">
        <v>0.89884477853775024</v>
      </c>
      <c r="H27" s="9">
        <v>0.22408963739871979</v>
      </c>
      <c r="I27">
        <v>7.1757003664970398E-2</v>
      </c>
      <c r="J27"/>
    </row>
    <row r="28" spans="1:10" ht="15" customHeight="1" x14ac:dyDescent="0.15">
      <c r="A28" s="219">
        <v>27</v>
      </c>
      <c r="B28" s="219" t="s">
        <v>219</v>
      </c>
      <c r="C28" s="8">
        <v>2.0999999046325684</v>
      </c>
      <c r="D28" s="9">
        <v>28.930694580078125</v>
      </c>
      <c r="E28" s="9">
        <v>0.80000001192092896</v>
      </c>
      <c r="F28" s="9">
        <v>6.5127253532409668</v>
      </c>
      <c r="G28" s="9">
        <v>0.43934300541877747</v>
      </c>
      <c r="H28" s="9">
        <v>0.12283644080162048</v>
      </c>
      <c r="I28">
        <v>0</v>
      </c>
      <c r="J28"/>
    </row>
    <row r="29" spans="1:10" ht="15" customHeight="1" x14ac:dyDescent="0.15">
      <c r="A29" s="220">
        <v>28</v>
      </c>
      <c r="B29" s="220" t="s">
        <v>220</v>
      </c>
      <c r="C29" s="8">
        <v>2.2060000896453857</v>
      </c>
      <c r="D29" s="9">
        <v>148</v>
      </c>
      <c r="E29" s="9">
        <v>1.5</v>
      </c>
      <c r="F29" s="9">
        <v>6.6964001655578613</v>
      </c>
      <c r="G29" s="9">
        <v>0.13575272262096405</v>
      </c>
      <c r="H29" s="9">
        <v>0.22400094568729401</v>
      </c>
      <c r="I29">
        <v>0</v>
      </c>
      <c r="J29"/>
    </row>
    <row r="30" spans="1:10" ht="15" customHeight="1" x14ac:dyDescent="0.15">
      <c r="A30" s="221">
        <v>29</v>
      </c>
      <c r="B30" s="221" t="s">
        <v>221</v>
      </c>
      <c r="C30" s="8">
        <v>2</v>
      </c>
      <c r="D30" s="9">
        <v>25</v>
      </c>
      <c r="E30" s="9">
        <v>55</v>
      </c>
      <c r="F30" s="9">
        <v>275</v>
      </c>
      <c r="G30" s="9">
        <v>0.36576196551322937</v>
      </c>
      <c r="H30" s="9">
        <v>0.20000000298023224</v>
      </c>
      <c r="I30">
        <v>0</v>
      </c>
      <c r="J30"/>
    </row>
    <row r="31" spans="1:10" ht="15" customHeight="1" x14ac:dyDescent="0.15">
      <c r="A31" s="222">
        <v>30</v>
      </c>
      <c r="B31" s="222" t="s">
        <v>222</v>
      </c>
      <c r="C31" s="8">
        <v>2.0300002098083496</v>
      </c>
      <c r="D31" s="9">
        <v>130</v>
      </c>
      <c r="E31" s="9">
        <v>4.809999942779541</v>
      </c>
      <c r="F31" s="9">
        <v>19.632650375366211</v>
      </c>
      <c r="G31" s="9">
        <v>0.80718529224395752</v>
      </c>
      <c r="H31" s="9">
        <v>0.24500003457069397</v>
      </c>
      <c r="I31">
        <v>0</v>
      </c>
      <c r="J31"/>
    </row>
    <row r="32" spans="1:10" ht="15" customHeight="1" x14ac:dyDescent="0.15">
      <c r="A32" s="223">
        <v>31</v>
      </c>
      <c r="B32" s="223" t="s">
        <v>223</v>
      </c>
      <c r="C32" s="8">
        <v>2.5600900650024414</v>
      </c>
      <c r="D32" s="9">
        <v>35</v>
      </c>
      <c r="E32" s="9">
        <v>2.5</v>
      </c>
      <c r="F32" s="9">
        <v>8.9285697937011719</v>
      </c>
      <c r="G32" s="9">
        <v>0.37429633736610413</v>
      </c>
      <c r="H32" s="9">
        <v>0.28000006079673767</v>
      </c>
      <c r="I32">
        <v>0</v>
      </c>
      <c r="J32"/>
    </row>
    <row r="33" spans="1:10" ht="15" customHeight="1" x14ac:dyDescent="0.15">
      <c r="A33" s="224">
        <v>32</v>
      </c>
      <c r="B33" s="224" t="s">
        <v>224</v>
      </c>
      <c r="C33" s="8">
        <v>1</v>
      </c>
      <c r="D33" s="9">
        <v>171.91305541992188</v>
      </c>
      <c r="E33" s="9">
        <v>75</v>
      </c>
      <c r="F33" s="10"/>
      <c r="G33" s="9">
        <v>0.5</v>
      </c>
      <c r="H33" s="10"/>
      <c r="I33">
        <v>0</v>
      </c>
      <c r="J33"/>
    </row>
    <row r="34" spans="1:10" ht="15" customHeight="1" x14ac:dyDescent="0.15">
      <c r="A34" s="225">
        <v>33</v>
      </c>
      <c r="B34" s="225" t="s">
        <v>225</v>
      </c>
      <c r="C34" s="8">
        <v>1</v>
      </c>
      <c r="D34" s="9">
        <v>160.63041687011719</v>
      </c>
      <c r="E34" s="9">
        <v>75</v>
      </c>
      <c r="F34" s="10"/>
      <c r="G34" s="9">
        <v>0.5</v>
      </c>
      <c r="H34" s="10"/>
      <c r="I34">
        <v>0</v>
      </c>
      <c r="J34"/>
    </row>
    <row r="35" spans="1:10" ht="15" customHeight="1" x14ac:dyDescent="0.15">
      <c r="A35" s="226">
        <v>34</v>
      </c>
      <c r="B35" s="226" t="s">
        <v>226</v>
      </c>
      <c r="C35" s="8">
        <v>1</v>
      </c>
      <c r="D35" s="9">
        <v>3.0667235851287842</v>
      </c>
      <c r="E35" s="9">
        <v>50</v>
      </c>
      <c r="F35" s="10"/>
      <c r="G35" s="9">
        <v>0.5</v>
      </c>
      <c r="H35" s="10"/>
      <c r="I35">
        <v>0</v>
      </c>
      <c r="J35"/>
    </row>
    <row r="36" spans="1:10" ht="15" customHeight="1" x14ac:dyDescent="0.15">
      <c r="A36" s="227">
        <v>35</v>
      </c>
      <c r="B36" s="227" t="s">
        <v>227</v>
      </c>
      <c r="C36" s="8">
        <v>1</v>
      </c>
      <c r="D36" s="9">
        <v>5.7699999809265137</v>
      </c>
      <c r="E36" s="10"/>
      <c r="F36" s="10"/>
      <c r="G36" s="7">
        <v>9.7749173641204834E-2</v>
      </c>
      <c r="H36" s="10"/>
      <c r="I36">
        <v>0</v>
      </c>
      <c r="J36"/>
    </row>
    <row r="37" spans="1:10" ht="15" customHeight="1" x14ac:dyDescent="0.15">
      <c r="A37" s="228">
        <v>36</v>
      </c>
      <c r="B37" s="228" t="s">
        <v>228</v>
      </c>
      <c r="C37" s="8">
        <v>1</v>
      </c>
      <c r="D37" s="9">
        <v>5</v>
      </c>
      <c r="E37" s="10"/>
      <c r="F37" s="10"/>
      <c r="G37" s="7">
        <v>0</v>
      </c>
      <c r="H37" s="10"/>
      <c r="I37">
        <v>0</v>
      </c>
      <c r="J37"/>
    </row>
    <row r="38" spans="1:10" ht="15" customHeight="1" x14ac:dyDescent="0.15">
      <c r="A38" s="229">
        <v>37</v>
      </c>
      <c r="B38" s="229" t="s">
        <v>229</v>
      </c>
      <c r="C38" s="8">
        <v>4.175257682800293</v>
      </c>
      <c r="D38" s="10"/>
      <c r="E38" s="10"/>
      <c r="F38" s="10"/>
      <c r="G38" s="10"/>
      <c r="H38" s="10"/>
      <c r="I38">
        <v>1.0000000116860974E-7</v>
      </c>
      <c r="J38"/>
    </row>
    <row r="39" spans="1:10" ht="15" customHeight="1" x14ac:dyDescent="0.15">
      <c r="A39" s="230">
        <v>38</v>
      </c>
      <c r="B39" s="230" t="s">
        <v>230</v>
      </c>
      <c r="C39" s="8">
        <v>4.1277346611022949</v>
      </c>
      <c r="D39" s="10"/>
      <c r="E39" s="10"/>
      <c r="F39" s="10"/>
      <c r="G39" s="10"/>
      <c r="H39" s="10"/>
      <c r="I39">
        <v>1.0000000116860974E-7</v>
      </c>
      <c r="J39"/>
    </row>
    <row r="40" spans="1:10" ht="15" customHeight="1" x14ac:dyDescent="0.15">
      <c r="A40" s="231">
        <v>39</v>
      </c>
      <c r="B40" s="231" t="s">
        <v>231</v>
      </c>
      <c r="C40" s="8">
        <v>3.1030001640319824</v>
      </c>
      <c r="D40" s="10"/>
      <c r="E40" s="10"/>
      <c r="F40" s="10"/>
      <c r="G40" s="10"/>
      <c r="H40" s="10"/>
      <c r="I40">
        <v>7.1757003664970398E-2</v>
      </c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4" bestFit="1" customWidth="1"/>
    <col min="2" max="4" width="9.5" style="74" bestFit="1" customWidth="1"/>
    <col min="5" max="7" width="9" style="74" bestFit="1" customWidth="1"/>
    <col min="8" max="16" width="12.6640625" style="74" bestFit="1" customWidth="1"/>
    <col min="17" max="17" width="12.33203125" style="74" bestFit="1" customWidth="1"/>
    <col min="18" max="18" width="8.83203125" style="74"/>
    <col min="19" max="21" width="9.33203125" style="74" bestFit="1" customWidth="1"/>
    <col min="22" max="23" width="8.83203125" style="74"/>
    <col min="24" max="24" width="9.33203125" style="74" bestFit="1" customWidth="1"/>
    <col min="25" max="27" width="8.83203125" style="74"/>
    <col min="28" max="58" width="9" style="74" bestFit="1" customWidth="1"/>
    <col min="59" max="59" width="12.33203125" style="74" bestFit="1" customWidth="1"/>
    <col min="60" max="60" width="9" style="74" bestFit="1" customWidth="1"/>
    <col min="61" max="61" width="11.33203125" style="74" bestFit="1" customWidth="1"/>
    <col min="62" max="77" width="9" style="74" bestFit="1" customWidth="1"/>
    <col min="78" max="78" width="12.33203125" style="74" bestFit="1" customWidth="1"/>
    <col min="79" max="79" width="9" style="74" bestFit="1" customWidth="1"/>
    <col min="80" max="80" width="12.33203125" style="74" bestFit="1" customWidth="1"/>
    <col min="81" max="107" width="9" style="74" bestFit="1" customWidth="1"/>
    <col min="108" max="108" width="11.33203125" style="74" bestFit="1" customWidth="1"/>
    <col min="109" max="124" width="9" style="74" bestFit="1" customWidth="1"/>
    <col min="125" max="125" width="10.33203125" style="74" bestFit="1" customWidth="1"/>
    <col min="126" max="129" width="9.33203125" style="74" bestFit="1" customWidth="1"/>
    <col min="130" max="130" width="9" style="74" bestFit="1" customWidth="1"/>
    <col min="131" max="134" width="9.33203125" style="74" bestFit="1" customWidth="1"/>
    <col min="135" max="165" width="9" style="74" bestFit="1" customWidth="1"/>
    <col min="166" max="166" width="12.33203125" style="74" bestFit="1" customWidth="1"/>
    <col min="167" max="170" width="9" style="74" bestFit="1" customWidth="1"/>
    <col min="171" max="176" width="8.83203125" style="74"/>
    <col min="177" max="177" width="13.83203125" style="74" bestFit="1" customWidth="1"/>
    <col min="178" max="16384" width="8.83203125" style="7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236</v>
      </c>
      <c r="E1" t="s">
        <v>237</v>
      </c>
      <c r="F1" t="s">
        <v>238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 t="s">
        <v>209</v>
      </c>
      <c r="X1" t="s">
        <v>210</v>
      </c>
      <c r="Y1" t="s">
        <v>211</v>
      </c>
      <c r="Z1" t="s">
        <v>212</v>
      </c>
      <c r="AA1" t="s">
        <v>213</v>
      </c>
      <c r="AB1" t="s">
        <v>214</v>
      </c>
      <c r="AC1" t="s">
        <v>215</v>
      </c>
      <c r="AD1" t="s">
        <v>216</v>
      </c>
      <c r="AE1" t="s">
        <v>217</v>
      </c>
      <c r="AF1" t="s">
        <v>218</v>
      </c>
      <c r="AG1" t="s">
        <v>219</v>
      </c>
      <c r="AH1" t="s">
        <v>220</v>
      </c>
      <c r="AI1" t="s">
        <v>221</v>
      </c>
      <c r="AJ1" t="s">
        <v>222</v>
      </c>
      <c r="AK1" t="s">
        <v>223</v>
      </c>
      <c r="AL1" t="s">
        <v>224</v>
      </c>
      <c r="AM1" t="s">
        <v>225</v>
      </c>
      <c r="AN1" t="s">
        <v>226</v>
      </c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1.9999999552965164E-2</v>
      </c>
      <c r="C2">
        <v>1.9999999552965164E-2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0.27000001072883606</v>
      </c>
      <c r="C3">
        <v>0.24094024300575256</v>
      </c>
      <c r="D3"/>
      <c r="E3"/>
      <c r="F3"/>
      <c r="G3" s="166">
        <v>2.9059775173664093E-2</v>
      </c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7.9999998211860657E-2</v>
      </c>
      <c r="C4">
        <v>3.3677257597446442E-2</v>
      </c>
      <c r="D4"/>
      <c r="E4"/>
      <c r="F4"/>
      <c r="G4" s="167">
        <v>4.6322740614414215E-2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0.10000000149011612</v>
      </c>
      <c r="C5">
        <v>9.7310066223144531E-2</v>
      </c>
      <c r="D5"/>
      <c r="E5"/>
      <c r="F5"/>
      <c r="G5" s="20">
        <v>2.6899324730038643E-3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0.17000000178813934</v>
      </c>
      <c r="C6">
        <v>4.7278460115194321E-2</v>
      </c>
      <c r="D6"/>
      <c r="E6"/>
      <c r="F6"/>
      <c r="G6"/>
      <c r="H6" s="164">
        <v>0.12272153794765472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0.20999999344348907</v>
      </c>
      <c r="C7">
        <v>0.13185282051563263</v>
      </c>
      <c r="D7"/>
      <c r="E7"/>
      <c r="F7"/>
      <c r="G7" s="161">
        <v>7.8147180378437042E-2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0.28999999165534973</v>
      </c>
      <c r="C8">
        <v>0.28999999165534973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3.9999999105930328E-2</v>
      </c>
      <c r="C9">
        <v>2.8727386146783829E-2</v>
      </c>
      <c r="D9"/>
      <c r="E9"/>
      <c r="F9"/>
      <c r="G9" s="162">
        <v>1.12726129591465E-2</v>
      </c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3.1500000506639481E-2</v>
      </c>
      <c r="C10">
        <v>2.960994653403759E-2</v>
      </c>
      <c r="D10"/>
      <c r="E10"/>
      <c r="F10"/>
      <c r="G10" s="132">
        <v>1.8900533905252814E-3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9.4999998807907104E-2</v>
      </c>
      <c r="C11">
        <v>9.3288689851760864E-2</v>
      </c>
      <c r="D11"/>
      <c r="E11"/>
      <c r="F11"/>
      <c r="G11" s="17">
        <v>1.7113076755777001E-3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3.9999999105930328E-2</v>
      </c>
      <c r="C12">
        <v>3.9003532379865646E-2</v>
      </c>
      <c r="D12"/>
      <c r="E12"/>
      <c r="F12"/>
      <c r="G12" s="22">
        <v>9.9646579474210739E-4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0.19449999928474426</v>
      </c>
      <c r="C13">
        <v>0.19380225241184235</v>
      </c>
      <c r="D13"/>
      <c r="E13"/>
      <c r="F13"/>
      <c r="G13" s="12">
        <v>6.9774134317412972E-4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0.2199999988079071</v>
      </c>
      <c r="C14">
        <v>1.1071285232901573E-2</v>
      </c>
      <c r="D14"/>
      <c r="E14"/>
      <c r="F14"/>
      <c r="G14" s="60">
        <v>1.3935851864516735E-2</v>
      </c>
      <c r="H14" s="165">
        <v>0.1091129332780838</v>
      </c>
      <c r="I14"/>
      <c r="J14"/>
      <c r="K14" s="163">
        <v>8.5879936814308167E-2</v>
      </c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0.2199999988079071</v>
      </c>
      <c r="C15">
        <v>2.1047081798315048E-2</v>
      </c>
      <c r="D15"/>
      <c r="E15"/>
      <c r="F15"/>
      <c r="G15" s="23">
        <v>7.5539136305451393E-3</v>
      </c>
      <c r="H15" s="168">
        <v>0.17743366956710815</v>
      </c>
      <c r="I15"/>
      <c r="J15"/>
      <c r="K15" s="60">
        <v>1.396533939987421E-2</v>
      </c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0.11999999731779099</v>
      </c>
      <c r="C16">
        <v>0.10589755326509476</v>
      </c>
      <c r="D16"/>
      <c r="E16"/>
      <c r="F16"/>
      <c r="G16" s="24">
        <v>5.5507668294012547E-3</v>
      </c>
      <c r="H16"/>
      <c r="I16"/>
      <c r="J16"/>
      <c r="K16" s="64">
        <v>8.5516748949885368E-3</v>
      </c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0.10999999940395355</v>
      </c>
      <c r="C17">
        <v>2.2918611764907837E-2</v>
      </c>
      <c r="D17"/>
      <c r="E17"/>
      <c r="F17"/>
      <c r="G17"/>
      <c r="H17"/>
      <c r="I17"/>
      <c r="J17"/>
      <c r="K17" s="160">
        <v>8.7081387639045715E-2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8.7999999523162842E-2</v>
      </c>
      <c r="C18">
        <v>8.7999999523162842E-2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3.1500000953674316</v>
      </c>
      <c r="C19">
        <v>2.2298414707183838</v>
      </c>
      <c r="D19"/>
      <c r="E19"/>
      <c r="F19"/>
      <c r="G19"/>
      <c r="H19" s="13">
        <v>3.9685284718871117E-3</v>
      </c>
      <c r="I19" s="12">
        <v>1.1996417306363583E-2</v>
      </c>
      <c r="J19" s="60">
        <v>0.19681836664676666</v>
      </c>
      <c r="K19" s="11">
        <v>2.1624405053444207E-4</v>
      </c>
      <c r="L19" s="11">
        <v>3.0107181519269943E-3</v>
      </c>
      <c r="M19" s="62">
        <v>0.16157618165016174</v>
      </c>
      <c r="N19"/>
      <c r="O19"/>
      <c r="P19"/>
      <c r="Q19" s="13">
        <v>4.6580233611166477E-3</v>
      </c>
      <c r="R19" s="11">
        <v>6.4693289459683001E-5</v>
      </c>
      <c r="S19"/>
      <c r="T19"/>
      <c r="U19"/>
      <c r="V19" s="11">
        <v>3.5128148283547489E-6</v>
      </c>
      <c r="W19" s="13">
        <v>3.6126731429249048E-3</v>
      </c>
      <c r="X19"/>
      <c r="Y19"/>
      <c r="Z19" s="172">
        <v>0.51291704177856445</v>
      </c>
      <c r="AA19"/>
      <c r="AB19"/>
      <c r="AC19" s="19">
        <v>2.1316034719347954E-2</v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1.1000000238418579</v>
      </c>
      <c r="C20">
        <v>0.27327471971511841</v>
      </c>
      <c r="D20"/>
      <c r="E20"/>
      <c r="F20"/>
      <c r="G20" s="11">
        <v>7.1748319896869361E-5</v>
      </c>
      <c r="H20" s="13">
        <v>1.5496958512812853E-3</v>
      </c>
      <c r="I20" s="19">
        <v>5.7093040086328983E-3</v>
      </c>
      <c r="J20" s="171">
        <v>0.14987087249755859</v>
      </c>
      <c r="K20" s="11">
        <v>6.0986261814832687E-4</v>
      </c>
      <c r="L20" s="11">
        <v>3.8209420745261014E-4</v>
      </c>
      <c r="M20" s="11">
        <v>7.2373566217720509E-4</v>
      </c>
      <c r="N20"/>
      <c r="O20" s="11">
        <v>5.0069252029061317E-4</v>
      </c>
      <c r="P20" s="11">
        <v>8.1752293044701219E-4</v>
      </c>
      <c r="Q20" s="13">
        <v>2.3646238259971142E-3</v>
      </c>
      <c r="R20"/>
      <c r="S20" s="11">
        <v>5.4246070794761181E-4</v>
      </c>
      <c r="T20" s="13">
        <v>2.2517235483974218E-3</v>
      </c>
      <c r="U20" s="11">
        <v>8.1610464258119464E-4</v>
      </c>
      <c r="V20" s="11">
        <v>2.674895767995622E-5</v>
      </c>
      <c r="W20" s="11">
        <v>2.571525692474097E-4</v>
      </c>
      <c r="X20" s="173">
        <v>0.46127381920814514</v>
      </c>
      <c r="Y20"/>
      <c r="Z20" s="128">
        <v>0.1420254111289978</v>
      </c>
      <c r="AA20" s="14">
        <v>1.1765871196985245E-2</v>
      </c>
      <c r="AB20" s="16">
        <v>1.270289346575737E-2</v>
      </c>
      <c r="AC20" s="131">
        <v>3.2462950795888901E-2</v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0.46000000834465027</v>
      </c>
      <c r="C21">
        <v>3.3598598092794418E-2</v>
      </c>
      <c r="D21"/>
      <c r="E21"/>
      <c r="F21"/>
      <c r="G21" s="11">
        <v>3.0819966923445463E-5</v>
      </c>
      <c r="H21"/>
      <c r="I21" s="61">
        <v>4.2672973126173019E-2</v>
      </c>
      <c r="J21" s="170">
        <v>8.7124928832054138E-2</v>
      </c>
      <c r="K21" s="11">
        <v>3.7985728704370558E-4</v>
      </c>
      <c r="L21" s="11">
        <v>3.3318615169264376E-4</v>
      </c>
      <c r="M21" s="18">
        <v>4.0570558048784733E-3</v>
      </c>
      <c r="N21"/>
      <c r="O21" s="11">
        <v>3.1185991247184575E-4</v>
      </c>
      <c r="P21" s="13">
        <v>5.0919997738674283E-4</v>
      </c>
      <c r="Q21" s="12">
        <v>1.4728227397426963E-3</v>
      </c>
      <c r="R21" s="11">
        <v>1.1659578740363941E-4</v>
      </c>
      <c r="S21" s="11">
        <v>3.3787550637498498E-4</v>
      </c>
      <c r="T21" s="12">
        <v>1.4025020645931363E-3</v>
      </c>
      <c r="U21"/>
      <c r="V21" s="11">
        <v>1.9992934539914131E-5</v>
      </c>
      <c r="W21" s="11">
        <v>3.2406349782831967E-4</v>
      </c>
      <c r="X21" s="174">
        <v>0.28730767965316772</v>
      </c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0.28999999165534973</v>
      </c>
      <c r="C22">
        <v>0.28065216541290283</v>
      </c>
      <c r="D22" s="11">
        <v>7.24637686744245E-7</v>
      </c>
      <c r="E22"/>
      <c r="F22"/>
      <c r="G22" s="13">
        <v>2.9312469996511936E-4</v>
      </c>
      <c r="H22"/>
      <c r="I22"/>
      <c r="J22"/>
      <c r="K22"/>
      <c r="L22" s="21">
        <v>9.0539716184139252E-3</v>
      </c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0.47999998927116394</v>
      </c>
      <c r="C23">
        <v>9.2862047255039215E-2</v>
      </c>
      <c r="D23"/>
      <c r="E23" s="11">
        <v>1.1111111319905831E-7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 s="11">
        <v>1.186072186101228E-4</v>
      </c>
      <c r="V23"/>
      <c r="W23"/>
      <c r="X23"/>
      <c r="Y23"/>
      <c r="Z23" s="168">
        <v>0.38701924681663513</v>
      </c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0.46000000834465027</v>
      </c>
      <c r="C24">
        <v>0.37279346585273743</v>
      </c>
      <c r="D24"/>
      <c r="E24"/>
      <c r="F24"/>
      <c r="G24" s="11">
        <v>6.7418674007058144E-5</v>
      </c>
      <c r="H24" s="23">
        <v>1.5835955739021301E-2</v>
      </c>
      <c r="I24" s="169">
        <v>6.8454556167125702E-2</v>
      </c>
      <c r="J24"/>
      <c r="K24"/>
      <c r="L24" s="13">
        <v>6.2472396530210972E-4</v>
      </c>
      <c r="M24"/>
      <c r="N24"/>
      <c r="O24"/>
      <c r="P24"/>
      <c r="Q24"/>
      <c r="R24"/>
      <c r="S24"/>
      <c r="T24"/>
      <c r="U24" s="12">
        <v>2.2238851524889469E-3</v>
      </c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>
        <v>3</v>
      </c>
      <c r="C25">
        <v>2.9964306354522705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 s="11">
        <v>7.2566105518490076E-4</v>
      </c>
      <c r="AA25" s="11">
        <v>2.4046499675023369E-5</v>
      </c>
      <c r="AB25"/>
      <c r="AC25" s="11">
        <v>2.8197118081152439E-3</v>
      </c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>
        <v>0.5</v>
      </c>
      <c r="C26">
        <v>0.22307699918746948</v>
      </c>
      <c r="D26"/>
      <c r="E26"/>
      <c r="F26"/>
      <c r="G26"/>
      <c r="H26"/>
      <c r="I26" s="11">
        <v>2.182601165259257E-4</v>
      </c>
      <c r="J26"/>
      <c r="K26"/>
      <c r="L26"/>
      <c r="M26" s="13">
        <v>5.5335159413516521E-4</v>
      </c>
      <c r="N26"/>
      <c r="O26"/>
      <c r="P26"/>
      <c r="Q26"/>
      <c r="R26"/>
      <c r="S26"/>
      <c r="T26"/>
      <c r="U26"/>
      <c r="V26"/>
      <c r="W26"/>
      <c r="X26" s="182">
        <v>0.18515662848949432</v>
      </c>
      <c r="Y26"/>
      <c r="Z26" s="166">
        <v>5.4294675588607788E-2</v>
      </c>
      <c r="AA26" s="11">
        <v>8.9959139586426318E-5</v>
      </c>
      <c r="AB26"/>
      <c r="AC26" s="176">
        <v>3.6610126495361328E-2</v>
      </c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218</v>
      </c>
      <c r="B27">
        <v>0.80000001192092896</v>
      </c>
      <c r="C27">
        <v>8.0924175679683685E-2</v>
      </c>
      <c r="D27"/>
      <c r="E27"/>
      <c r="F27" s="13">
        <v>8.8305439567193389E-4</v>
      </c>
      <c r="G27"/>
      <c r="H27" s="13">
        <v>1.0913284495472908E-3</v>
      </c>
      <c r="I27"/>
      <c r="J27" s="67">
        <v>6.272222101688385E-2</v>
      </c>
      <c r="K27" s="11">
        <v>6.135401054052636E-5</v>
      </c>
      <c r="L27"/>
      <c r="M27"/>
      <c r="N27" s="11">
        <v>1.3639322423841804E-4</v>
      </c>
      <c r="O27" s="13">
        <v>9.5369416521862149E-4</v>
      </c>
      <c r="P27" s="12">
        <v>2.5002558249980211E-3</v>
      </c>
      <c r="Q27" s="13">
        <v>1.807950553484261E-3</v>
      </c>
      <c r="R27" s="11">
        <v>1.0308252967661247E-5</v>
      </c>
      <c r="S27" s="11">
        <v>1.7463415861129761E-4</v>
      </c>
      <c r="T27" s="12">
        <v>3.8258419372141361E-3</v>
      </c>
      <c r="U27" s="12">
        <v>2.52744578756392E-3</v>
      </c>
      <c r="V27" s="11">
        <v>3.6597948565031402E-6</v>
      </c>
      <c r="W27" s="11">
        <v>7.2196249675471336E-5</v>
      </c>
      <c r="X27" s="184">
        <v>0.37124422192573547</v>
      </c>
      <c r="Y27" s="180">
        <v>0.10643797367811203</v>
      </c>
      <c r="Z27" s="178">
        <v>7.1440912783145905E-2</v>
      </c>
      <c r="AA27" s="12">
        <v>2.8408367652446032E-3</v>
      </c>
      <c r="AB27" s="177">
        <v>4.600616917014122E-2</v>
      </c>
      <c r="AC27" s="18">
        <v>5.8785667642951012E-3</v>
      </c>
      <c r="AD27"/>
      <c r="AE27"/>
      <c r="AF27"/>
      <c r="AG27"/>
      <c r="AH27"/>
      <c r="AI27"/>
      <c r="AJ27"/>
      <c r="AK27" s="175">
        <v>3.8456793874502182E-2</v>
      </c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219</v>
      </c>
      <c r="B28">
        <v>0.80000001192092896</v>
      </c>
      <c r="C28">
        <v>0.44852560758590698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 s="69">
        <v>0.13544093072414398</v>
      </c>
      <c r="AE28"/>
      <c r="AF28"/>
      <c r="AG28"/>
      <c r="AH28"/>
      <c r="AI28"/>
      <c r="AJ28"/>
      <c r="AK28" s="179">
        <v>0.21603347361087799</v>
      </c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220</v>
      </c>
      <c r="B29">
        <v>1.5</v>
      </c>
      <c r="C29">
        <v>1.2963708639144897</v>
      </c>
      <c r="D29"/>
      <c r="E29"/>
      <c r="F29"/>
      <c r="G29"/>
      <c r="H29"/>
      <c r="I29"/>
      <c r="J29"/>
      <c r="K29"/>
      <c r="L29"/>
      <c r="M29"/>
      <c r="N29" s="11">
        <v>2.4553197363275103E-5</v>
      </c>
      <c r="O29" s="11">
        <v>8.8500783022027463E-5</v>
      </c>
      <c r="P29" s="11">
        <v>1.9869121024385095E-4</v>
      </c>
      <c r="Q29"/>
      <c r="R29"/>
      <c r="S29"/>
      <c r="T29"/>
      <c r="U29"/>
      <c r="V29" s="11">
        <v>2.0685258732555667E-6</v>
      </c>
      <c r="W29"/>
      <c r="X29" s="62">
        <v>7.6437443494796753E-2</v>
      </c>
      <c r="Y29" s="59">
        <v>8.1816278398036957E-2</v>
      </c>
      <c r="Z29" s="15">
        <v>2.1181458607316017E-2</v>
      </c>
      <c r="AA29" s="11">
        <v>5.1992433145642281E-4</v>
      </c>
      <c r="AB29" s="13">
        <v>2.245322335511446E-3</v>
      </c>
      <c r="AC29"/>
      <c r="AD29"/>
      <c r="AE29"/>
      <c r="AF29"/>
      <c r="AG29"/>
      <c r="AH29"/>
      <c r="AI29"/>
      <c r="AJ29"/>
      <c r="AK29" s="15">
        <v>2.1114859730005264E-2</v>
      </c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221</v>
      </c>
      <c r="B30">
        <v>55</v>
      </c>
      <c r="C30">
        <v>34.883090972900391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 s="99">
        <v>16.300544738769531</v>
      </c>
      <c r="AE30"/>
      <c r="AF30"/>
      <c r="AG30" s="15">
        <v>0.75367063283920288</v>
      </c>
      <c r="AH30"/>
      <c r="AI30"/>
      <c r="AJ30" s="59">
        <v>3.0626935958862305</v>
      </c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222</v>
      </c>
      <c r="B31">
        <v>4.809999942779541</v>
      </c>
      <c r="C31">
        <v>0.92743873596191406</v>
      </c>
      <c r="D31"/>
      <c r="E31"/>
      <c r="F31"/>
      <c r="G31"/>
      <c r="H31"/>
      <c r="I31"/>
      <c r="J31"/>
      <c r="K31"/>
      <c r="L31"/>
      <c r="M31"/>
      <c r="N31"/>
      <c r="O31" s="11">
        <v>8.396228622586932E-6</v>
      </c>
      <c r="P31"/>
      <c r="Q31" s="11">
        <v>2.2304766389424913E-5</v>
      </c>
      <c r="R31"/>
      <c r="S31"/>
      <c r="T31"/>
      <c r="U31"/>
      <c r="V31"/>
      <c r="W31" s="11">
        <v>7.5213677064311923E-7</v>
      </c>
      <c r="X31"/>
      <c r="Y31" s="13">
        <v>1.3306384906172752E-2</v>
      </c>
      <c r="Z31" s="12">
        <v>1.5183062292635441E-2</v>
      </c>
      <c r="AA31"/>
      <c r="AB31"/>
      <c r="AC31"/>
      <c r="AD31" s="183">
        <v>0.90424609184265137</v>
      </c>
      <c r="AE31"/>
      <c r="AF31" s="24">
        <v>0.22315247356891632</v>
      </c>
      <c r="AG31"/>
      <c r="AH31" s="187">
        <v>1.5247188806533813</v>
      </c>
      <c r="AI31"/>
      <c r="AJ31"/>
      <c r="AK31" s="186">
        <v>1.2019228935241699</v>
      </c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223</v>
      </c>
      <c r="B32">
        <v>2.5</v>
      </c>
      <c r="C32">
        <v>1.5642591714859009</v>
      </c>
      <c r="D32"/>
      <c r="E32"/>
      <c r="F32"/>
      <c r="G32"/>
      <c r="H32"/>
      <c r="I32"/>
      <c r="J32"/>
      <c r="K32"/>
      <c r="L32"/>
      <c r="M32"/>
      <c r="N32" s="11">
        <v>9.863369632512331E-5</v>
      </c>
      <c r="O32" s="11">
        <v>4.054179007653147E-4</v>
      </c>
      <c r="P32" s="11">
        <v>8.4017997141927481E-4</v>
      </c>
      <c r="Q32" s="11">
        <v>4.6946224756538868E-4</v>
      </c>
      <c r="R32"/>
      <c r="S32"/>
      <c r="T32" s="11">
        <v>4.6750064939260483E-5</v>
      </c>
      <c r="U32" s="11">
        <v>7.6247495599091053E-5</v>
      </c>
      <c r="V32" s="11">
        <v>1.9992935449408833E-6</v>
      </c>
      <c r="W32" s="11">
        <v>5.8666668337536976E-5</v>
      </c>
      <c r="X32" s="98">
        <v>0.43096151947975159</v>
      </c>
      <c r="Y32" s="181">
        <v>0.34596598148345947</v>
      </c>
      <c r="Z32" s="132">
        <v>0.15259616076946259</v>
      </c>
      <c r="AA32"/>
      <c r="AB32" s="11">
        <v>1.1868132278323174E-3</v>
      </c>
      <c r="AC32" s="13">
        <v>3.0329672154039145E-3</v>
      </c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224</v>
      </c>
      <c r="B33">
        <v>75</v>
      </c>
      <c r="C33">
        <v>37.5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 s="188">
        <v>9.4590606689453125</v>
      </c>
      <c r="AE33"/>
      <c r="AF33"/>
      <c r="AG33" s="12">
        <v>0.30140155553817749</v>
      </c>
      <c r="AH33"/>
      <c r="AI33" s="191">
        <v>23.994688034057617</v>
      </c>
      <c r="AJ33" s="24">
        <v>3.563072681427002</v>
      </c>
      <c r="AK33" s="13">
        <v>0.18177789449691772</v>
      </c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225</v>
      </c>
      <c r="B34">
        <v>75</v>
      </c>
      <c r="C34">
        <v>37.5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 s="190">
        <v>10.977248191833496</v>
      </c>
      <c r="AE34"/>
      <c r="AF34" s="16">
        <v>0.90299898386001587</v>
      </c>
      <c r="AG34" s="12">
        <v>0.32257190346717834</v>
      </c>
      <c r="AH34" s="175">
        <v>3.7019164562225342</v>
      </c>
      <c r="AI34" s="189">
        <v>10.700028419494629</v>
      </c>
      <c r="AJ34" s="181">
        <v>10.486690521240234</v>
      </c>
      <c r="AK34" s="19">
        <v>0.40854644775390625</v>
      </c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226</v>
      </c>
      <c r="B35">
        <v>50</v>
      </c>
      <c r="C35">
        <v>25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 s="11">
        <v>7.5274603441357613E-3</v>
      </c>
      <c r="AB35"/>
      <c r="AC35" s="12">
        <v>0.17307372391223907</v>
      </c>
      <c r="AD35"/>
      <c r="AE35"/>
      <c r="AF35" s="183">
        <v>9.4595489501953125</v>
      </c>
      <c r="AG35" s="185">
        <v>15.359850883483887</v>
      </c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227</v>
      </c>
      <c r="B36"/>
      <c r="C36">
        <v>9.7749173641204834E-2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 s="9">
        <v>187.32713317871094</v>
      </c>
      <c r="AF36" s="9">
        <v>87.029464721679688</v>
      </c>
      <c r="AG36" s="9">
        <v>18.841766357421875</v>
      </c>
      <c r="AH36" s="9">
        <v>198.21345520019531</v>
      </c>
      <c r="AI36" s="9">
        <v>1031.25</v>
      </c>
      <c r="AJ36" s="9">
        <v>178.65711975097656</v>
      </c>
      <c r="AK36" s="9">
        <v>46.874992370605469</v>
      </c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228</v>
      </c>
      <c r="B37"/>
      <c r="C37">
        <v>0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9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7" t="s">
        <v>166</v>
      </c>
    </row>
    <row r="2" spans="1:12" x14ac:dyDescent="0.15">
      <c r="A2" s="1" t="s">
        <v>37</v>
      </c>
      <c r="B2" s="34">
        <v>3</v>
      </c>
      <c r="C2" s="32"/>
      <c r="D2" t="s">
        <v>38</v>
      </c>
      <c r="E2">
        <v>1</v>
      </c>
      <c r="F2">
        <v>1</v>
      </c>
      <c r="G2">
        <v>1</v>
      </c>
      <c r="H2" t="s">
        <v>38</v>
      </c>
      <c r="J2" s="50"/>
      <c r="K2" s="51"/>
      <c r="L2" s="57" t="s">
        <v>167</v>
      </c>
    </row>
    <row r="3" spans="1:12" ht="14" thickBot="1" x14ac:dyDescent="0.2">
      <c r="A3" s="1" t="s">
        <v>39</v>
      </c>
      <c r="B3" s="35">
        <v>0</v>
      </c>
      <c r="C3" s="32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2"/>
      <c r="K3" s="53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2"/>
      <c r="K4" s="53"/>
    </row>
    <row r="5" spans="1:12" x14ac:dyDescent="0.15">
      <c r="D5" s="152" t="s">
        <v>193</v>
      </c>
      <c r="E5">
        <v>4</v>
      </c>
      <c r="F5">
        <v>3.13</v>
      </c>
      <c r="G5">
        <v>4</v>
      </c>
      <c r="H5" s="153" t="s">
        <v>193</v>
      </c>
      <c r="J5" s="52"/>
      <c r="K5" s="53"/>
    </row>
    <row r="6" spans="1:12" ht="14" thickBot="1" x14ac:dyDescent="0.2">
      <c r="A6" s="36" t="s">
        <v>121</v>
      </c>
      <c r="D6" s="152" t="s">
        <v>194</v>
      </c>
      <c r="E6">
        <v>5</v>
      </c>
      <c r="F6">
        <v>3.13</v>
      </c>
      <c r="G6">
        <v>5</v>
      </c>
      <c r="H6" s="153" t="s">
        <v>194</v>
      </c>
      <c r="J6" s="52"/>
      <c r="K6" s="53"/>
    </row>
    <row r="7" spans="1:12" x14ac:dyDescent="0.15">
      <c r="A7" s="31" t="s">
        <v>126</v>
      </c>
      <c r="B7" s="38">
        <v>1</v>
      </c>
      <c r="C7" s="33"/>
      <c r="D7" s="152" t="s">
        <v>195</v>
      </c>
      <c r="E7">
        <v>6</v>
      </c>
      <c r="F7">
        <v>3.13</v>
      </c>
      <c r="G7">
        <v>6</v>
      </c>
      <c r="H7" s="153" t="s">
        <v>195</v>
      </c>
      <c r="J7" s="52"/>
      <c r="K7" s="53"/>
    </row>
    <row r="8" spans="1:12" x14ac:dyDescent="0.15">
      <c r="A8" s="31" t="s">
        <v>38</v>
      </c>
      <c r="B8" s="39">
        <v>1</v>
      </c>
      <c r="C8" s="33"/>
      <c r="D8" s="152" t="s">
        <v>196</v>
      </c>
      <c r="E8">
        <v>7</v>
      </c>
      <c r="F8">
        <v>3.13</v>
      </c>
      <c r="G8">
        <v>7</v>
      </c>
      <c r="H8" s="153" t="s">
        <v>196</v>
      </c>
      <c r="J8" s="52"/>
      <c r="K8" s="53"/>
    </row>
    <row r="9" spans="1:12" x14ac:dyDescent="0.15">
      <c r="A9" s="31" t="s">
        <v>40</v>
      </c>
      <c r="B9" s="39">
        <v>1.1000000000000001</v>
      </c>
      <c r="C9" s="33"/>
      <c r="D9" s="152" t="s">
        <v>197</v>
      </c>
      <c r="E9">
        <v>8</v>
      </c>
      <c r="F9">
        <v>3.13</v>
      </c>
      <c r="G9">
        <v>8</v>
      </c>
      <c r="H9" s="153" t="s">
        <v>197</v>
      </c>
      <c r="J9" s="52"/>
      <c r="K9" s="53"/>
    </row>
    <row r="10" spans="1:12" x14ac:dyDescent="0.15">
      <c r="A10" s="31" t="s">
        <v>41</v>
      </c>
      <c r="B10" s="39">
        <v>1.2</v>
      </c>
      <c r="C10" s="33"/>
      <c r="D10" s="152" t="s">
        <v>198</v>
      </c>
      <c r="E10">
        <v>9</v>
      </c>
      <c r="F10">
        <v>3.13</v>
      </c>
      <c r="G10">
        <v>9</v>
      </c>
      <c r="H10" s="153" t="s">
        <v>198</v>
      </c>
      <c r="J10" s="52"/>
      <c r="K10" s="53"/>
    </row>
    <row r="11" spans="1:12" ht="12" customHeight="1" x14ac:dyDescent="0.15">
      <c r="A11" s="37" t="s">
        <v>127</v>
      </c>
      <c r="B11" s="39">
        <v>2</v>
      </c>
      <c r="C11" s="33"/>
      <c r="D11" s="152" t="s">
        <v>199</v>
      </c>
      <c r="E11">
        <v>10</v>
      </c>
      <c r="F11">
        <v>3.13</v>
      </c>
      <c r="G11">
        <v>10</v>
      </c>
      <c r="H11" s="153" t="s">
        <v>199</v>
      </c>
      <c r="J11" s="52"/>
      <c r="K11" s="53"/>
    </row>
    <row r="12" spans="1:12" x14ac:dyDescent="0.15">
      <c r="A12" s="31" t="s">
        <v>42</v>
      </c>
      <c r="B12" s="39">
        <v>2.1</v>
      </c>
      <c r="C12" s="33"/>
      <c r="D12" s="152" t="s">
        <v>200</v>
      </c>
      <c r="E12">
        <v>11</v>
      </c>
      <c r="F12">
        <v>3.13</v>
      </c>
      <c r="G12">
        <v>11</v>
      </c>
      <c r="H12" s="153" t="s">
        <v>200</v>
      </c>
      <c r="J12" s="52"/>
      <c r="K12" s="53"/>
    </row>
    <row r="13" spans="1:12" x14ac:dyDescent="0.15">
      <c r="A13" s="31" t="s">
        <v>43</v>
      </c>
      <c r="B13" s="39">
        <v>2.2000000000000002</v>
      </c>
      <c r="C13" s="33"/>
      <c r="D13" s="152" t="s">
        <v>201</v>
      </c>
      <c r="E13">
        <v>12</v>
      </c>
      <c r="F13">
        <v>3.13</v>
      </c>
      <c r="G13">
        <v>12</v>
      </c>
      <c r="H13" s="153" t="s">
        <v>201</v>
      </c>
      <c r="J13" s="52"/>
      <c r="K13" s="53"/>
    </row>
    <row r="14" spans="1:12" x14ac:dyDescent="0.15">
      <c r="A14" s="31" t="s">
        <v>67</v>
      </c>
      <c r="B14" s="39">
        <v>2.2999999999999998</v>
      </c>
      <c r="C14" s="33"/>
      <c r="D14" s="152" t="s">
        <v>202</v>
      </c>
      <c r="E14">
        <v>13</v>
      </c>
      <c r="F14">
        <v>3.13</v>
      </c>
      <c r="G14">
        <v>13</v>
      </c>
      <c r="H14" s="153" t="s">
        <v>202</v>
      </c>
      <c r="J14" s="52"/>
      <c r="K14" s="53"/>
    </row>
    <row r="15" spans="1:12" x14ac:dyDescent="0.15">
      <c r="A15" s="37" t="s">
        <v>128</v>
      </c>
      <c r="B15" s="39">
        <v>3</v>
      </c>
      <c r="C15" s="33"/>
      <c r="D15" s="152" t="s">
        <v>203</v>
      </c>
      <c r="E15">
        <v>14</v>
      </c>
      <c r="F15">
        <v>3.13</v>
      </c>
      <c r="G15">
        <v>14</v>
      </c>
      <c r="H15" s="153" t="s">
        <v>203</v>
      </c>
      <c r="J15" s="52"/>
      <c r="K15" s="53"/>
    </row>
    <row r="16" spans="1:12" x14ac:dyDescent="0.15">
      <c r="A16" s="31" t="s">
        <v>62</v>
      </c>
      <c r="B16" s="39">
        <v>3.11</v>
      </c>
      <c r="C16" s="33"/>
      <c r="D16" s="152" t="s">
        <v>204</v>
      </c>
      <c r="E16">
        <v>15</v>
      </c>
      <c r="F16">
        <v>3.13</v>
      </c>
      <c r="G16">
        <v>15</v>
      </c>
      <c r="H16" s="153" t="s">
        <v>204</v>
      </c>
      <c r="J16" s="52"/>
      <c r="K16" s="53"/>
    </row>
    <row r="17" spans="1:12" x14ac:dyDescent="0.15">
      <c r="A17" s="31" t="s">
        <v>61</v>
      </c>
      <c r="B17" s="39">
        <v>3.12</v>
      </c>
      <c r="C17" s="33"/>
      <c r="D17" s="152" t="s">
        <v>205</v>
      </c>
      <c r="E17">
        <v>16</v>
      </c>
      <c r="F17">
        <v>3.13</v>
      </c>
      <c r="G17">
        <v>16</v>
      </c>
      <c r="H17" s="153" t="s">
        <v>205</v>
      </c>
      <c r="J17" s="52"/>
      <c r="K17" s="53"/>
    </row>
    <row r="18" spans="1:12" x14ac:dyDescent="0.15">
      <c r="A18" s="31" t="s">
        <v>68</v>
      </c>
      <c r="B18" s="39">
        <v>3.13</v>
      </c>
      <c r="C18" s="33"/>
      <c r="D18" s="152" t="s">
        <v>206</v>
      </c>
      <c r="E18">
        <v>17</v>
      </c>
      <c r="F18">
        <v>3.13</v>
      </c>
      <c r="G18">
        <v>17</v>
      </c>
      <c r="H18" s="153" t="s">
        <v>206</v>
      </c>
      <c r="J18" s="52"/>
      <c r="K18" s="53"/>
    </row>
    <row r="19" spans="1:12" x14ac:dyDescent="0.15">
      <c r="A19" s="31" t="s">
        <v>66</v>
      </c>
      <c r="B19" s="39">
        <v>3.21</v>
      </c>
      <c r="C19" s="33"/>
      <c r="D19" s="152" t="s">
        <v>207</v>
      </c>
      <c r="E19">
        <v>18</v>
      </c>
      <c r="F19">
        <v>3.13</v>
      </c>
      <c r="G19">
        <v>18</v>
      </c>
      <c r="H19" s="153" t="s">
        <v>207</v>
      </c>
      <c r="J19" s="52"/>
      <c r="K19" s="53"/>
    </row>
    <row r="20" spans="1:12" x14ac:dyDescent="0.15">
      <c r="A20" s="31" t="s">
        <v>63</v>
      </c>
      <c r="B20" s="39">
        <v>3.22</v>
      </c>
      <c r="C20" s="33"/>
      <c r="D20" s="152" t="s">
        <v>208</v>
      </c>
      <c r="E20">
        <v>19</v>
      </c>
      <c r="F20">
        <v>3.13</v>
      </c>
      <c r="G20">
        <v>19</v>
      </c>
      <c r="H20" s="153" t="s">
        <v>208</v>
      </c>
      <c r="J20" s="52"/>
      <c r="K20" s="53"/>
    </row>
    <row r="21" spans="1:12" ht="14" thickBot="1" x14ac:dyDescent="0.2">
      <c r="A21" s="31" t="s">
        <v>69</v>
      </c>
      <c r="B21" s="39">
        <v>3.23</v>
      </c>
      <c r="C21" s="33"/>
      <c r="D21" s="152" t="s">
        <v>209</v>
      </c>
      <c r="E21">
        <v>20</v>
      </c>
      <c r="F21">
        <v>3.13</v>
      </c>
      <c r="G21">
        <v>20</v>
      </c>
      <c r="H21" s="153" t="s">
        <v>209</v>
      </c>
      <c r="J21" s="54"/>
      <c r="K21" s="55"/>
      <c r="L21" s="57" t="s">
        <v>152</v>
      </c>
    </row>
    <row r="22" spans="1:12" x14ac:dyDescent="0.15">
      <c r="A22" s="31" t="s">
        <v>64</v>
      </c>
      <c r="B22" s="39">
        <v>8</v>
      </c>
      <c r="C22" s="33"/>
      <c r="D22" s="152" t="s">
        <v>210</v>
      </c>
      <c r="E22">
        <v>21</v>
      </c>
      <c r="F22">
        <v>3.12</v>
      </c>
      <c r="G22">
        <v>21</v>
      </c>
      <c r="H22" s="153" t="s">
        <v>210</v>
      </c>
    </row>
    <row r="23" spans="1:12" x14ac:dyDescent="0.15">
      <c r="A23" s="31" t="s">
        <v>129</v>
      </c>
      <c r="B23" s="39">
        <v>4</v>
      </c>
      <c r="C23" s="33"/>
      <c r="D23" s="152" t="s">
        <v>211</v>
      </c>
      <c r="E23">
        <v>22</v>
      </c>
      <c r="F23">
        <v>3.12</v>
      </c>
      <c r="G23">
        <v>22</v>
      </c>
      <c r="H23" s="153" t="s">
        <v>211</v>
      </c>
    </row>
    <row r="24" spans="1:12" x14ac:dyDescent="0.15">
      <c r="A24" s="31" t="s">
        <v>122</v>
      </c>
      <c r="B24" s="39">
        <v>4.0999999999999996</v>
      </c>
      <c r="C24" s="33"/>
      <c r="D24" s="152" t="s">
        <v>212</v>
      </c>
      <c r="E24">
        <v>23</v>
      </c>
      <c r="F24">
        <v>3</v>
      </c>
      <c r="G24">
        <v>23</v>
      </c>
      <c r="H24" s="153" t="s">
        <v>212</v>
      </c>
    </row>
    <row r="25" spans="1:12" x14ac:dyDescent="0.15">
      <c r="A25" s="31" t="s">
        <v>70</v>
      </c>
      <c r="B25" s="39">
        <v>4.2</v>
      </c>
      <c r="C25" s="33"/>
      <c r="D25" s="152" t="s">
        <v>213</v>
      </c>
      <c r="E25">
        <v>24</v>
      </c>
      <c r="F25">
        <v>3.22</v>
      </c>
      <c r="G25">
        <v>24</v>
      </c>
      <c r="H25" s="153" t="s">
        <v>213</v>
      </c>
    </row>
    <row r="26" spans="1:12" x14ac:dyDescent="0.15">
      <c r="A26" s="31" t="s">
        <v>123</v>
      </c>
      <c r="B26" s="39">
        <v>4.3</v>
      </c>
      <c r="C26" s="33"/>
      <c r="D26" s="152" t="s">
        <v>214</v>
      </c>
      <c r="E26">
        <v>25</v>
      </c>
      <c r="F26">
        <v>3.22</v>
      </c>
      <c r="G26">
        <v>25</v>
      </c>
      <c r="H26" s="153" t="s">
        <v>214</v>
      </c>
    </row>
    <row r="27" spans="1:12" x14ac:dyDescent="0.15">
      <c r="A27" s="31" t="s">
        <v>125</v>
      </c>
      <c r="B27" s="39">
        <v>6.1</v>
      </c>
      <c r="D27" s="152" t="s">
        <v>215</v>
      </c>
      <c r="E27">
        <v>26</v>
      </c>
      <c r="F27">
        <v>3.22</v>
      </c>
      <c r="G27">
        <v>26</v>
      </c>
      <c r="H27" s="153" t="s">
        <v>215</v>
      </c>
    </row>
    <row r="28" spans="1:12" x14ac:dyDescent="0.15">
      <c r="A28" s="31" t="s">
        <v>124</v>
      </c>
      <c r="B28" s="39">
        <v>6.2</v>
      </c>
      <c r="D28" s="152" t="s">
        <v>216</v>
      </c>
      <c r="E28">
        <v>27</v>
      </c>
      <c r="F28">
        <v>3.11</v>
      </c>
      <c r="G28">
        <v>27</v>
      </c>
      <c r="H28" s="153" t="s">
        <v>216</v>
      </c>
    </row>
    <row r="29" spans="1:12" x14ac:dyDescent="0.15">
      <c r="A29" s="31" t="s">
        <v>44</v>
      </c>
      <c r="B29" s="39">
        <v>5</v>
      </c>
      <c r="D29" s="152" t="s">
        <v>217</v>
      </c>
      <c r="E29">
        <v>28</v>
      </c>
      <c r="F29">
        <v>3.21</v>
      </c>
      <c r="G29">
        <v>28</v>
      </c>
      <c r="H29" s="153" t="s">
        <v>217</v>
      </c>
    </row>
    <row r="30" spans="1:12" x14ac:dyDescent="0.15">
      <c r="A30" s="31" t="s">
        <v>73</v>
      </c>
      <c r="B30" s="39">
        <v>7</v>
      </c>
      <c r="D30" s="152" t="s">
        <v>218</v>
      </c>
      <c r="E30">
        <v>29</v>
      </c>
      <c r="F30">
        <v>3.12</v>
      </c>
      <c r="G30">
        <v>29</v>
      </c>
      <c r="H30" s="153" t="s">
        <v>218</v>
      </c>
    </row>
    <row r="31" spans="1:12" x14ac:dyDescent="0.15">
      <c r="A31" s="31" t="s">
        <v>169</v>
      </c>
      <c r="B31" s="39">
        <v>3.14</v>
      </c>
      <c r="D31" s="152" t="s">
        <v>219</v>
      </c>
      <c r="E31">
        <v>30</v>
      </c>
      <c r="F31">
        <v>3.12</v>
      </c>
      <c r="G31">
        <v>30</v>
      </c>
      <c r="H31" s="153" t="s">
        <v>219</v>
      </c>
    </row>
    <row r="32" spans="1:12" ht="12" customHeight="1" thickBot="1" x14ac:dyDescent="0.2">
      <c r="A32" s="37" t="s">
        <v>170</v>
      </c>
      <c r="B32" s="40">
        <v>9</v>
      </c>
      <c r="D32" s="152" t="s">
        <v>220</v>
      </c>
      <c r="E32">
        <v>31</v>
      </c>
      <c r="F32">
        <v>3.12</v>
      </c>
      <c r="G32">
        <v>31</v>
      </c>
      <c r="H32" s="153" t="s">
        <v>220</v>
      </c>
    </row>
    <row r="33" spans="4:8" customFormat="1" ht="12" customHeight="1" x14ac:dyDescent="0.15">
      <c r="D33" s="152" t="s">
        <v>221</v>
      </c>
      <c r="E33">
        <v>32</v>
      </c>
      <c r="F33">
        <v>3.14</v>
      </c>
      <c r="G33">
        <v>32</v>
      </c>
      <c r="H33" s="153" t="s">
        <v>221</v>
      </c>
    </row>
    <row r="34" spans="4:8" customFormat="1" ht="12" customHeight="1" x14ac:dyDescent="0.15">
      <c r="D34" s="152" t="s">
        <v>222</v>
      </c>
      <c r="E34">
        <v>33</v>
      </c>
      <c r="F34">
        <v>3.11</v>
      </c>
      <c r="G34">
        <v>33</v>
      </c>
      <c r="H34" s="153" t="s">
        <v>222</v>
      </c>
    </row>
    <row r="35" spans="4:8" customFormat="1" x14ac:dyDescent="0.15">
      <c r="D35" s="152" t="s">
        <v>223</v>
      </c>
      <c r="E35">
        <v>34</v>
      </c>
      <c r="F35">
        <v>3.11</v>
      </c>
      <c r="G35">
        <v>34</v>
      </c>
      <c r="H35" s="153" t="s">
        <v>223</v>
      </c>
    </row>
    <row r="36" spans="4:8" customFormat="1" x14ac:dyDescent="0.15">
      <c r="D36" s="152" t="s">
        <v>224</v>
      </c>
      <c r="E36">
        <v>35</v>
      </c>
      <c r="F36">
        <v>2.2000000000000002</v>
      </c>
      <c r="G36">
        <v>35</v>
      </c>
      <c r="H36" s="153" t="s">
        <v>224</v>
      </c>
    </row>
    <row r="37" spans="4:8" customFormat="1" ht="12" customHeight="1" x14ac:dyDescent="0.15">
      <c r="D37" s="152" t="s">
        <v>225</v>
      </c>
      <c r="E37">
        <v>36</v>
      </c>
      <c r="F37">
        <v>2.1</v>
      </c>
      <c r="G37">
        <v>36</v>
      </c>
      <c r="H37" s="153" t="s">
        <v>225</v>
      </c>
    </row>
    <row r="38" spans="4:8" customFormat="1" x14ac:dyDescent="0.15">
      <c r="D38" s="152" t="s">
        <v>226</v>
      </c>
      <c r="E38">
        <v>37</v>
      </c>
      <c r="F38">
        <v>2</v>
      </c>
      <c r="G38">
        <v>37</v>
      </c>
      <c r="H38" s="153" t="s">
        <v>226</v>
      </c>
    </row>
    <row r="39" spans="4:8" customFormat="1" x14ac:dyDescent="0.15">
      <c r="D39" s="152" t="s">
        <v>227</v>
      </c>
      <c r="E39">
        <v>38</v>
      </c>
      <c r="F39">
        <v>4.0999999999999996</v>
      </c>
      <c r="G39">
        <v>38</v>
      </c>
      <c r="H39" s="153" t="s">
        <v>227</v>
      </c>
    </row>
    <row r="40" spans="4:8" customFormat="1" x14ac:dyDescent="0.15">
      <c r="D40" s="152" t="s">
        <v>228</v>
      </c>
      <c r="E40">
        <v>39</v>
      </c>
      <c r="F40">
        <v>4.3</v>
      </c>
      <c r="G40">
        <v>39</v>
      </c>
      <c r="H40" s="153" t="s">
        <v>228</v>
      </c>
    </row>
    <row r="41" spans="4:8" customFormat="1" x14ac:dyDescent="0.15">
      <c r="D41" s="152" t="s">
        <v>229</v>
      </c>
      <c r="E41">
        <v>40</v>
      </c>
      <c r="F41">
        <v>5</v>
      </c>
      <c r="G41">
        <v>40</v>
      </c>
      <c r="H41" s="153" t="s">
        <v>229</v>
      </c>
    </row>
    <row r="42" spans="4:8" customFormat="1" x14ac:dyDescent="0.15">
      <c r="D42" s="152" t="s">
        <v>230</v>
      </c>
      <c r="E42">
        <v>41</v>
      </c>
      <c r="F42">
        <v>5</v>
      </c>
      <c r="G42">
        <v>41</v>
      </c>
      <c r="H42" s="153" t="s">
        <v>230</v>
      </c>
    </row>
    <row r="43" spans="4:8" customFormat="1" x14ac:dyDescent="0.15">
      <c r="D43" s="152" t="s">
        <v>231</v>
      </c>
      <c r="E43">
        <v>42</v>
      </c>
      <c r="F43">
        <v>5</v>
      </c>
      <c r="G43">
        <v>42</v>
      </c>
      <c r="H43" s="153" t="s">
        <v>231</v>
      </c>
    </row>
    <row r="44" spans="4:8" customFormat="1" x14ac:dyDescent="0.15">
      <c r="D44" s="152" t="s">
        <v>138</v>
      </c>
      <c r="E44">
        <v>43</v>
      </c>
      <c r="F44">
        <v>6.1</v>
      </c>
      <c r="G44">
        <v>43</v>
      </c>
      <c r="H44" s="153" t="s">
        <v>138</v>
      </c>
    </row>
    <row r="45" spans="4:8" customFormat="1" x14ac:dyDescent="0.15">
      <c r="D45" s="152" t="s">
        <v>45</v>
      </c>
      <c r="E45">
        <v>44</v>
      </c>
      <c r="F45">
        <v>6.2</v>
      </c>
      <c r="G45">
        <v>44</v>
      </c>
      <c r="H45" s="153" t="s">
        <v>45</v>
      </c>
    </row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8.1640625" style="75" bestFit="1" customWidth="1"/>
    <col min="2" max="2" width="12.83203125" style="74" customWidth="1"/>
    <col min="3" max="3" width="18.1640625" style="74" customWidth="1"/>
    <col min="4" max="4" width="11.83203125" style="74" customWidth="1"/>
    <col min="5" max="5" width="12.83203125" style="74" customWidth="1"/>
    <col min="6" max="6" width="21.6640625" style="74" bestFit="1" customWidth="1"/>
    <col min="7" max="9" width="2.33203125" style="74" customWidth="1"/>
    <col min="10" max="10" width="2.33203125" style="74" bestFit="1" customWidth="1"/>
    <col min="11" max="15" width="2.33203125" style="74" customWidth="1"/>
    <col min="16" max="16" width="2.33203125" style="65" customWidth="1"/>
    <col min="17" max="17" width="2.33203125" style="74" customWidth="1"/>
    <col min="18" max="18" width="2.33203125" style="66" customWidth="1"/>
    <col min="19" max="16384" width="11.5" style="74"/>
  </cols>
  <sheetData>
    <row r="1" spans="1:23" ht="15" customHeight="1" thickBot="1" x14ac:dyDescent="0.2">
      <c r="F1" s="1"/>
      <c r="G1" s="63" t="s">
        <v>46</v>
      </c>
      <c r="H1" s="63" t="s">
        <v>47</v>
      </c>
      <c r="I1" s="63" t="s">
        <v>120</v>
      </c>
      <c r="J1" s="63" t="s">
        <v>132</v>
      </c>
      <c r="K1" s="76" t="s">
        <v>48</v>
      </c>
      <c r="L1" s="66"/>
      <c r="M1" s="76" t="s">
        <v>119</v>
      </c>
      <c r="N1" s="66"/>
      <c r="O1" s="76" t="s">
        <v>49</v>
      </c>
      <c r="P1" s="68"/>
      <c r="Q1" s="76" t="s">
        <v>50</v>
      </c>
      <c r="R1" s="63" t="s">
        <v>154</v>
      </c>
    </row>
    <row r="2" spans="1:23" ht="15" customHeight="1" x14ac:dyDescent="0.15">
      <c r="A2" s="76" t="s">
        <v>51</v>
      </c>
      <c r="B2" s="77">
        <v>0.5</v>
      </c>
      <c r="C2" s="75" t="s">
        <v>52</v>
      </c>
      <c r="D2" s="78"/>
      <c r="F2" s="1"/>
      <c r="G2" s="79"/>
      <c r="H2" s="79"/>
      <c r="I2" s="79" t="s">
        <v>133</v>
      </c>
      <c r="J2" s="79" t="s">
        <v>133</v>
      </c>
      <c r="K2" s="79" t="s">
        <v>52</v>
      </c>
      <c r="L2" s="79" t="s">
        <v>53</v>
      </c>
      <c r="M2" s="79" t="s">
        <v>52</v>
      </c>
      <c r="N2" s="79" t="s">
        <v>53</v>
      </c>
      <c r="O2" s="79" t="s">
        <v>52</v>
      </c>
      <c r="P2" s="80" t="s">
        <v>53</v>
      </c>
      <c r="Q2" s="79"/>
      <c r="R2" s="81" t="s">
        <v>155</v>
      </c>
    </row>
    <row r="3" spans="1:23" ht="15" customHeight="1" thickBot="1" x14ac:dyDescent="0.2">
      <c r="A3" s="76" t="s">
        <v>54</v>
      </c>
      <c r="B3" s="82">
        <v>0.5</v>
      </c>
      <c r="C3" s="75" t="s">
        <v>53</v>
      </c>
      <c r="D3" s="7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7">
        <v>0</v>
      </c>
      <c r="R3" s="33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7">
        <v>0</v>
      </c>
      <c r="R4" s="101">
        <v>0</v>
      </c>
    </row>
    <row r="5" spans="1:23" ht="15" customHeight="1" x14ac:dyDescent="0.15">
      <c r="A5" s="76" t="s">
        <v>55</v>
      </c>
      <c r="B5" s="83">
        <v>0.5</v>
      </c>
      <c r="C5" s="75" t="s">
        <v>52</v>
      </c>
      <c r="D5" s="7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7">
        <v>0</v>
      </c>
      <c r="R5" s="101">
        <v>0</v>
      </c>
    </row>
    <row r="6" spans="1:23" ht="15" customHeight="1" thickBot="1" x14ac:dyDescent="0.2">
      <c r="A6" s="76"/>
      <c r="B6" s="84">
        <v>0.5</v>
      </c>
      <c r="C6" s="75" t="s">
        <v>53</v>
      </c>
      <c r="D6" s="78"/>
      <c r="F6" s="154" t="s">
        <v>193</v>
      </c>
      <c r="G6" s="74">
        <v>0</v>
      </c>
      <c r="H6" s="74">
        <v>0</v>
      </c>
      <c r="I6" s="74">
        <v>0</v>
      </c>
      <c r="J6" s="74">
        <v>0</v>
      </c>
      <c r="K6" s="74">
        <v>1</v>
      </c>
      <c r="L6" s="74">
        <v>0</v>
      </c>
      <c r="M6" s="74">
        <v>1</v>
      </c>
      <c r="N6" s="74">
        <v>0</v>
      </c>
      <c r="O6" s="74">
        <v>1</v>
      </c>
      <c r="P6" s="65">
        <v>0</v>
      </c>
      <c r="Q6" s="74">
        <v>0</v>
      </c>
      <c r="R6" s="66">
        <v>1</v>
      </c>
      <c r="S6"/>
      <c r="T6"/>
    </row>
    <row r="7" spans="1:23" ht="15" customHeight="1" thickBot="1" x14ac:dyDescent="0.2">
      <c r="F7" s="154" t="s">
        <v>194</v>
      </c>
      <c r="G7" s="74">
        <v>0</v>
      </c>
      <c r="H7" s="74">
        <v>0</v>
      </c>
      <c r="I7" s="74">
        <v>0</v>
      </c>
      <c r="J7" s="74">
        <v>0</v>
      </c>
      <c r="K7" s="74">
        <v>1</v>
      </c>
      <c r="L7" s="74">
        <v>0</v>
      </c>
      <c r="M7" s="74">
        <v>1</v>
      </c>
      <c r="N7" s="74">
        <v>0</v>
      </c>
      <c r="O7" s="74">
        <v>1</v>
      </c>
      <c r="P7" s="65">
        <v>0</v>
      </c>
      <c r="Q7" s="74">
        <v>0</v>
      </c>
      <c r="R7" s="66">
        <v>1</v>
      </c>
      <c r="S7"/>
      <c r="T7"/>
    </row>
    <row r="8" spans="1:23" ht="15" customHeight="1" x14ac:dyDescent="0.15">
      <c r="A8" s="76" t="s">
        <v>56</v>
      </c>
      <c r="B8" s="83">
        <v>0.51380527225407313</v>
      </c>
      <c r="C8" s="155" t="s">
        <v>224</v>
      </c>
      <c r="D8" s="78" t="s">
        <v>160</v>
      </c>
      <c r="F8" s="154" t="s">
        <v>195</v>
      </c>
      <c r="G8" s="74">
        <v>0</v>
      </c>
      <c r="H8" s="74">
        <v>0</v>
      </c>
      <c r="I8" s="74">
        <v>0</v>
      </c>
      <c r="J8" s="74">
        <v>0</v>
      </c>
      <c r="K8" s="74">
        <v>1</v>
      </c>
      <c r="L8" s="74">
        <v>0</v>
      </c>
      <c r="M8" s="74">
        <v>1</v>
      </c>
      <c r="N8" s="74">
        <v>0</v>
      </c>
      <c r="O8" s="74">
        <v>1</v>
      </c>
      <c r="P8" s="65">
        <v>0</v>
      </c>
      <c r="Q8" s="74">
        <v>0</v>
      </c>
      <c r="R8" s="66">
        <v>1</v>
      </c>
      <c r="S8"/>
      <c r="T8"/>
      <c r="W8"/>
    </row>
    <row r="9" spans="1:23" ht="15" customHeight="1" x14ac:dyDescent="0.15">
      <c r="A9" s="115" t="s">
        <v>168</v>
      </c>
      <c r="B9" s="85">
        <v>0.48008427945725402</v>
      </c>
      <c r="C9" s="155" t="s">
        <v>225</v>
      </c>
      <c r="D9" s="78" t="s">
        <v>160</v>
      </c>
      <c r="F9" s="154" t="s">
        <v>196</v>
      </c>
      <c r="G9" s="74">
        <v>0</v>
      </c>
      <c r="H9" s="74">
        <v>0</v>
      </c>
      <c r="I9" s="74">
        <v>0</v>
      </c>
      <c r="J9" s="74">
        <v>0</v>
      </c>
      <c r="K9" s="74">
        <v>1</v>
      </c>
      <c r="L9" s="74">
        <v>0</v>
      </c>
      <c r="M9" s="74">
        <v>1</v>
      </c>
      <c r="N9" s="74">
        <v>0</v>
      </c>
      <c r="O9" s="74">
        <v>1</v>
      </c>
      <c r="P9" s="65">
        <v>0</v>
      </c>
      <c r="Q9" s="74">
        <v>0</v>
      </c>
      <c r="R9" s="66">
        <v>1</v>
      </c>
      <c r="S9"/>
      <c r="T9"/>
      <c r="W9"/>
    </row>
    <row r="10" spans="1:23" ht="15" customHeight="1" x14ac:dyDescent="0.15">
      <c r="B10" s="85">
        <v>6.110448288672971E-3</v>
      </c>
      <c r="C10" s="155" t="s">
        <v>226</v>
      </c>
      <c r="D10" s="78" t="s">
        <v>160</v>
      </c>
      <c r="F10" s="154" t="s">
        <v>197</v>
      </c>
      <c r="G10" s="74">
        <v>0</v>
      </c>
      <c r="H10" s="74">
        <v>0</v>
      </c>
      <c r="I10" s="74">
        <v>0</v>
      </c>
      <c r="J10" s="74">
        <v>0</v>
      </c>
      <c r="K10" s="74">
        <v>1</v>
      </c>
      <c r="L10" s="74">
        <v>0</v>
      </c>
      <c r="M10" s="74">
        <v>1</v>
      </c>
      <c r="N10" s="74">
        <v>0</v>
      </c>
      <c r="O10" s="74">
        <v>1</v>
      </c>
      <c r="P10" s="65">
        <v>0</v>
      </c>
      <c r="Q10" s="74">
        <v>0</v>
      </c>
      <c r="R10" s="66">
        <v>1</v>
      </c>
      <c r="S10"/>
      <c r="T10"/>
      <c r="W10"/>
    </row>
    <row r="11" spans="1:23" ht="15" customHeight="1" x14ac:dyDescent="0.15">
      <c r="A11" s="76"/>
      <c r="B11" s="85"/>
      <c r="C11" s="88"/>
      <c r="D11" s="78" t="s">
        <v>160</v>
      </c>
      <c r="F11" s="154" t="s">
        <v>198</v>
      </c>
      <c r="G11" s="74">
        <v>0</v>
      </c>
      <c r="H11" s="74">
        <v>0</v>
      </c>
      <c r="I11" s="74">
        <v>0</v>
      </c>
      <c r="J11" s="74">
        <v>0</v>
      </c>
      <c r="K11" s="74">
        <v>1</v>
      </c>
      <c r="L11" s="74">
        <v>0</v>
      </c>
      <c r="M11" s="74">
        <v>1</v>
      </c>
      <c r="N11" s="74">
        <v>0</v>
      </c>
      <c r="O11" s="74">
        <v>1</v>
      </c>
      <c r="P11" s="65">
        <v>0</v>
      </c>
      <c r="Q11" s="74">
        <v>0</v>
      </c>
      <c r="R11" s="66">
        <v>1</v>
      </c>
      <c r="S11"/>
      <c r="T11"/>
      <c r="W11"/>
    </row>
    <row r="12" spans="1:23" ht="15" customHeight="1" x14ac:dyDescent="0.15">
      <c r="B12" s="85"/>
      <c r="C12" s="89"/>
      <c r="D12" s="78" t="s">
        <v>160</v>
      </c>
      <c r="F12" s="154" t="s">
        <v>199</v>
      </c>
      <c r="G12" s="74">
        <v>0</v>
      </c>
      <c r="H12" s="74">
        <v>0</v>
      </c>
      <c r="I12" s="74">
        <v>0</v>
      </c>
      <c r="J12" s="74">
        <v>0</v>
      </c>
      <c r="K12" s="74">
        <v>1</v>
      </c>
      <c r="L12" s="74">
        <v>0</v>
      </c>
      <c r="M12" s="74">
        <v>1</v>
      </c>
      <c r="N12" s="74">
        <v>0</v>
      </c>
      <c r="O12" s="74">
        <v>1</v>
      </c>
      <c r="P12" s="65">
        <v>0</v>
      </c>
      <c r="Q12" s="74">
        <v>0</v>
      </c>
      <c r="R12" s="66">
        <v>1</v>
      </c>
      <c r="S12"/>
      <c r="T12"/>
      <c r="W12"/>
    </row>
    <row r="13" spans="1:23" ht="15" customHeight="1" x14ac:dyDescent="0.15">
      <c r="B13" s="85"/>
      <c r="C13" s="89"/>
      <c r="D13" s="78" t="s">
        <v>160</v>
      </c>
      <c r="F13" s="154" t="s">
        <v>200</v>
      </c>
      <c r="G13" s="74">
        <v>0</v>
      </c>
      <c r="H13" s="74">
        <v>0</v>
      </c>
      <c r="I13" s="74">
        <v>0</v>
      </c>
      <c r="J13" s="74">
        <v>0</v>
      </c>
      <c r="K13" s="74">
        <v>1</v>
      </c>
      <c r="L13" s="74">
        <v>0</v>
      </c>
      <c r="M13" s="74">
        <v>1</v>
      </c>
      <c r="N13" s="74">
        <v>0</v>
      </c>
      <c r="O13" s="74">
        <v>1</v>
      </c>
      <c r="P13" s="65">
        <v>0</v>
      </c>
      <c r="Q13" s="74">
        <v>0</v>
      </c>
      <c r="R13" s="66">
        <v>1</v>
      </c>
      <c r="S13"/>
      <c r="T13"/>
      <c r="W13"/>
    </row>
    <row r="14" spans="1:23" ht="15" customHeight="1" x14ac:dyDescent="0.15">
      <c r="B14" s="85"/>
      <c r="C14" s="73"/>
      <c r="D14" s="78" t="s">
        <v>160</v>
      </c>
      <c r="F14" s="154" t="s">
        <v>201</v>
      </c>
      <c r="G14" s="74">
        <v>0</v>
      </c>
      <c r="H14" s="74">
        <v>0</v>
      </c>
      <c r="I14" s="74">
        <v>0</v>
      </c>
      <c r="J14" s="74">
        <v>0</v>
      </c>
      <c r="K14" s="74">
        <v>1</v>
      </c>
      <c r="L14" s="74">
        <v>0</v>
      </c>
      <c r="M14" s="74">
        <v>1</v>
      </c>
      <c r="N14" s="74">
        <v>0</v>
      </c>
      <c r="O14" s="74">
        <v>1</v>
      </c>
      <c r="P14" s="65">
        <v>0</v>
      </c>
      <c r="Q14" s="74">
        <v>0</v>
      </c>
      <c r="R14" s="66">
        <v>1</v>
      </c>
      <c r="S14"/>
      <c r="T14"/>
      <c r="W14"/>
    </row>
    <row r="15" spans="1:23" ht="15" customHeight="1" x14ac:dyDescent="0.15">
      <c r="B15" s="85"/>
      <c r="C15" s="73"/>
      <c r="D15" s="78" t="s">
        <v>160</v>
      </c>
      <c r="F15" s="154" t="s">
        <v>202</v>
      </c>
      <c r="G15" s="74">
        <v>0</v>
      </c>
      <c r="H15" s="74">
        <v>0</v>
      </c>
      <c r="I15" s="74">
        <v>0</v>
      </c>
      <c r="J15" s="74">
        <v>0</v>
      </c>
      <c r="K15" s="74">
        <v>1</v>
      </c>
      <c r="L15" s="74">
        <v>0</v>
      </c>
      <c r="M15" s="74">
        <v>1</v>
      </c>
      <c r="N15" s="74">
        <v>0</v>
      </c>
      <c r="O15" s="74">
        <v>1</v>
      </c>
      <c r="P15" s="65">
        <v>0</v>
      </c>
      <c r="Q15" s="74">
        <v>0</v>
      </c>
      <c r="R15" s="66">
        <v>1</v>
      </c>
      <c r="S15"/>
      <c r="T15"/>
      <c r="W15"/>
    </row>
    <row r="16" spans="1:23" ht="15" customHeight="1" x14ac:dyDescent="0.15">
      <c r="B16" s="85"/>
      <c r="C16" s="73"/>
      <c r="D16" s="78" t="s">
        <v>160</v>
      </c>
      <c r="F16" s="154" t="s">
        <v>203</v>
      </c>
      <c r="G16" s="74">
        <v>0</v>
      </c>
      <c r="H16" s="74">
        <v>0</v>
      </c>
      <c r="I16" s="74">
        <v>0</v>
      </c>
      <c r="J16" s="74">
        <v>0</v>
      </c>
      <c r="K16" s="74">
        <v>1</v>
      </c>
      <c r="L16" s="74">
        <v>0</v>
      </c>
      <c r="M16" s="74">
        <v>1</v>
      </c>
      <c r="N16" s="74">
        <v>0</v>
      </c>
      <c r="O16" s="74">
        <v>1</v>
      </c>
      <c r="P16" s="65">
        <v>0</v>
      </c>
      <c r="Q16" s="74">
        <v>0</v>
      </c>
      <c r="R16" s="66">
        <v>1</v>
      </c>
      <c r="S16"/>
      <c r="T16"/>
    </row>
    <row r="17" spans="1:20" ht="15" customHeight="1" thickBot="1" x14ac:dyDescent="0.2">
      <c r="B17" s="84"/>
      <c r="C17" s="73"/>
      <c r="D17" s="78" t="s">
        <v>160</v>
      </c>
      <c r="F17" s="154" t="s">
        <v>204</v>
      </c>
      <c r="G17" s="74">
        <v>0</v>
      </c>
      <c r="H17" s="74">
        <v>0</v>
      </c>
      <c r="I17" s="74">
        <v>0</v>
      </c>
      <c r="J17" s="74">
        <v>0</v>
      </c>
      <c r="K17" s="74">
        <v>1</v>
      </c>
      <c r="L17" s="74">
        <v>0</v>
      </c>
      <c r="M17" s="74">
        <v>1</v>
      </c>
      <c r="N17" s="74">
        <v>0</v>
      </c>
      <c r="O17" s="74">
        <v>1</v>
      </c>
      <c r="P17" s="65">
        <v>0</v>
      </c>
      <c r="Q17" s="74">
        <v>0</v>
      </c>
      <c r="R17" s="66">
        <v>1</v>
      </c>
      <c r="S17"/>
      <c r="T17"/>
    </row>
    <row r="18" spans="1:20" ht="15" customHeight="1" thickBot="1" x14ac:dyDescent="0.2">
      <c r="B18" s="86"/>
      <c r="F18" s="154" t="s">
        <v>205</v>
      </c>
      <c r="G18" s="74">
        <v>0</v>
      </c>
      <c r="H18" s="74">
        <v>0</v>
      </c>
      <c r="I18" s="74">
        <v>0</v>
      </c>
      <c r="J18" s="74">
        <v>0</v>
      </c>
      <c r="K18" s="74">
        <v>1</v>
      </c>
      <c r="L18" s="74">
        <v>0</v>
      </c>
      <c r="M18" s="74">
        <v>1</v>
      </c>
      <c r="N18" s="74">
        <v>0</v>
      </c>
      <c r="O18" s="74">
        <v>1</v>
      </c>
      <c r="P18" s="65">
        <v>0</v>
      </c>
      <c r="Q18" s="74">
        <v>0</v>
      </c>
      <c r="R18" s="66">
        <v>1</v>
      </c>
      <c r="S18"/>
      <c r="T18"/>
    </row>
    <row r="19" spans="1:20" ht="15" customHeight="1" x14ac:dyDescent="0.15">
      <c r="A19" s="76" t="s">
        <v>57</v>
      </c>
      <c r="B19" s="83">
        <v>0.51380527225407313</v>
      </c>
      <c r="C19" s="156" t="s">
        <v>224</v>
      </c>
      <c r="D19" s="78" t="s">
        <v>160</v>
      </c>
      <c r="F19" s="154" t="s">
        <v>206</v>
      </c>
      <c r="G19" s="74">
        <v>0</v>
      </c>
      <c r="H19" s="74">
        <v>0</v>
      </c>
      <c r="I19" s="74">
        <v>0</v>
      </c>
      <c r="J19" s="74">
        <v>0</v>
      </c>
      <c r="K19" s="74">
        <v>1</v>
      </c>
      <c r="L19" s="74">
        <v>0</v>
      </c>
      <c r="M19" s="74">
        <v>1</v>
      </c>
      <c r="N19" s="74">
        <v>0</v>
      </c>
      <c r="O19" s="74">
        <v>1</v>
      </c>
      <c r="P19" s="65">
        <v>0</v>
      </c>
      <c r="Q19" s="74">
        <v>0</v>
      </c>
      <c r="R19" s="66">
        <v>1</v>
      </c>
      <c r="S19"/>
      <c r="T19"/>
    </row>
    <row r="20" spans="1:20" ht="15" customHeight="1" x14ac:dyDescent="0.15">
      <c r="A20" s="115" t="s">
        <v>168</v>
      </c>
      <c r="B20" s="85">
        <v>0.48008427945725402</v>
      </c>
      <c r="C20" s="156" t="s">
        <v>225</v>
      </c>
      <c r="D20" s="78" t="s">
        <v>160</v>
      </c>
      <c r="F20" s="154" t="s">
        <v>207</v>
      </c>
      <c r="G20" s="74">
        <v>0</v>
      </c>
      <c r="H20" s="74">
        <v>0</v>
      </c>
      <c r="I20" s="74">
        <v>0</v>
      </c>
      <c r="J20" s="74">
        <v>0</v>
      </c>
      <c r="K20" s="74">
        <v>1</v>
      </c>
      <c r="L20" s="74">
        <v>0</v>
      </c>
      <c r="M20" s="74">
        <v>1</v>
      </c>
      <c r="N20" s="74">
        <v>0</v>
      </c>
      <c r="O20" s="74">
        <v>1</v>
      </c>
      <c r="P20" s="65">
        <v>0</v>
      </c>
      <c r="Q20" s="74">
        <v>0</v>
      </c>
      <c r="R20" s="66">
        <v>1</v>
      </c>
      <c r="S20"/>
      <c r="T20"/>
    </row>
    <row r="21" spans="1:20" ht="15" customHeight="1" x14ac:dyDescent="0.15">
      <c r="B21" s="85">
        <v>6.110448288672971E-3</v>
      </c>
      <c r="C21" s="156" t="s">
        <v>226</v>
      </c>
      <c r="D21" s="78" t="s">
        <v>160</v>
      </c>
      <c r="F21" s="154" t="s">
        <v>208</v>
      </c>
      <c r="G21" s="74">
        <v>0</v>
      </c>
      <c r="H21" s="74">
        <v>0</v>
      </c>
      <c r="I21" s="74">
        <v>0</v>
      </c>
      <c r="J21" s="74">
        <v>0</v>
      </c>
      <c r="K21" s="74">
        <v>1</v>
      </c>
      <c r="L21" s="74">
        <v>0</v>
      </c>
      <c r="M21" s="74">
        <v>1</v>
      </c>
      <c r="N21" s="74">
        <v>0</v>
      </c>
      <c r="O21" s="74">
        <v>1</v>
      </c>
      <c r="P21" s="65">
        <v>0</v>
      </c>
      <c r="Q21" s="74">
        <v>0</v>
      </c>
      <c r="R21" s="66">
        <v>1</v>
      </c>
      <c r="S21"/>
      <c r="T21"/>
    </row>
    <row r="22" spans="1:20" ht="15" customHeight="1" x14ac:dyDescent="0.15">
      <c r="A22" s="74"/>
      <c r="B22" s="85"/>
      <c r="C22" s="88"/>
      <c r="D22" s="78" t="s">
        <v>160</v>
      </c>
      <c r="F22" s="154" t="s">
        <v>209</v>
      </c>
      <c r="G22" s="74">
        <v>0</v>
      </c>
      <c r="H22" s="74">
        <v>0</v>
      </c>
      <c r="I22" s="74">
        <v>0</v>
      </c>
      <c r="J22" s="74">
        <v>0</v>
      </c>
      <c r="K22" s="74">
        <v>1</v>
      </c>
      <c r="L22" s="74">
        <v>0</v>
      </c>
      <c r="M22" s="74">
        <v>1</v>
      </c>
      <c r="N22" s="74">
        <v>0</v>
      </c>
      <c r="O22" s="74">
        <v>1</v>
      </c>
      <c r="P22" s="65">
        <v>0</v>
      </c>
      <c r="Q22" s="74">
        <v>0</v>
      </c>
      <c r="R22" s="66">
        <v>1</v>
      </c>
      <c r="S22"/>
      <c r="T22"/>
    </row>
    <row r="23" spans="1:20" ht="15" customHeight="1" x14ac:dyDescent="0.15">
      <c r="A23" s="74"/>
      <c r="B23" s="85"/>
      <c r="C23" s="89"/>
      <c r="D23" s="78" t="s">
        <v>160</v>
      </c>
      <c r="F23" s="154" t="s">
        <v>210</v>
      </c>
      <c r="G23" s="74">
        <v>0</v>
      </c>
      <c r="H23" s="74">
        <v>0</v>
      </c>
      <c r="I23" s="74">
        <v>0</v>
      </c>
      <c r="J23" s="74">
        <v>0</v>
      </c>
      <c r="K23" s="74">
        <v>1</v>
      </c>
      <c r="L23" s="74">
        <v>0</v>
      </c>
      <c r="M23" s="74">
        <v>1</v>
      </c>
      <c r="N23" s="74">
        <v>0</v>
      </c>
      <c r="O23" s="74">
        <v>1</v>
      </c>
      <c r="P23" s="65">
        <v>0</v>
      </c>
      <c r="Q23" s="74">
        <v>0</v>
      </c>
      <c r="R23" s="66">
        <v>1</v>
      </c>
      <c r="S23"/>
      <c r="T23"/>
    </row>
    <row r="24" spans="1:20" ht="15" customHeight="1" x14ac:dyDescent="0.15">
      <c r="A24" s="74"/>
      <c r="B24" s="85"/>
      <c r="C24" s="89"/>
      <c r="D24" s="78" t="s">
        <v>160</v>
      </c>
      <c r="F24" s="154" t="s">
        <v>211</v>
      </c>
      <c r="G24" s="74">
        <v>0</v>
      </c>
      <c r="H24" s="74">
        <v>0</v>
      </c>
      <c r="I24" s="74">
        <v>0</v>
      </c>
      <c r="J24" s="74">
        <v>0</v>
      </c>
      <c r="K24" s="74">
        <v>1</v>
      </c>
      <c r="L24" s="74">
        <v>0</v>
      </c>
      <c r="M24" s="74">
        <v>1</v>
      </c>
      <c r="N24" s="74">
        <v>0</v>
      </c>
      <c r="O24" s="74">
        <v>1</v>
      </c>
      <c r="P24" s="65">
        <v>0</v>
      </c>
      <c r="Q24" s="74">
        <v>0</v>
      </c>
      <c r="R24" s="66">
        <v>1</v>
      </c>
      <c r="S24"/>
      <c r="T24"/>
    </row>
    <row r="25" spans="1:20" ht="15" customHeight="1" x14ac:dyDescent="0.15">
      <c r="A25" s="74"/>
      <c r="B25" s="85"/>
      <c r="C25" s="73"/>
      <c r="D25" s="78" t="s">
        <v>160</v>
      </c>
      <c r="F25" s="154" t="s">
        <v>212</v>
      </c>
      <c r="G25" s="74">
        <v>0</v>
      </c>
      <c r="H25" s="74">
        <v>0</v>
      </c>
      <c r="I25" s="74">
        <v>0</v>
      </c>
      <c r="J25" s="74">
        <v>0</v>
      </c>
      <c r="K25" s="74">
        <v>1</v>
      </c>
      <c r="L25" s="74">
        <v>0</v>
      </c>
      <c r="M25" s="74">
        <v>1</v>
      </c>
      <c r="N25" s="74">
        <v>0</v>
      </c>
      <c r="O25" s="74">
        <v>1</v>
      </c>
      <c r="P25" s="65">
        <v>0</v>
      </c>
      <c r="Q25" s="74">
        <v>0</v>
      </c>
      <c r="R25" s="66">
        <v>1</v>
      </c>
      <c r="S25"/>
      <c r="T25"/>
    </row>
    <row r="26" spans="1:20" ht="15" customHeight="1" x14ac:dyDescent="0.15">
      <c r="B26" s="85"/>
      <c r="C26" s="73"/>
      <c r="D26" s="78" t="s">
        <v>160</v>
      </c>
      <c r="F26" s="154" t="s">
        <v>213</v>
      </c>
      <c r="G26" s="74">
        <v>0</v>
      </c>
      <c r="H26" s="74">
        <v>0</v>
      </c>
      <c r="I26" s="74">
        <v>0</v>
      </c>
      <c r="J26" s="74">
        <v>0</v>
      </c>
      <c r="K26" s="74">
        <v>1</v>
      </c>
      <c r="L26" s="74">
        <v>0</v>
      </c>
      <c r="M26" s="74">
        <v>1</v>
      </c>
      <c r="N26" s="74">
        <v>0</v>
      </c>
      <c r="O26" s="74">
        <v>1</v>
      </c>
      <c r="P26" s="65">
        <v>0</v>
      </c>
      <c r="Q26" s="74">
        <v>0</v>
      </c>
      <c r="R26" s="66">
        <v>1</v>
      </c>
      <c r="S26"/>
      <c r="T26"/>
    </row>
    <row r="27" spans="1:20" ht="15" customHeight="1" x14ac:dyDescent="0.15">
      <c r="B27" s="85"/>
      <c r="C27" s="73"/>
      <c r="D27" s="78" t="s">
        <v>160</v>
      </c>
      <c r="F27" s="154" t="s">
        <v>214</v>
      </c>
      <c r="G27" s="74">
        <v>0</v>
      </c>
      <c r="H27" s="74">
        <v>0</v>
      </c>
      <c r="I27" s="74">
        <v>0</v>
      </c>
      <c r="J27" s="74">
        <v>0</v>
      </c>
      <c r="K27" s="74">
        <v>1</v>
      </c>
      <c r="L27" s="74">
        <v>0</v>
      </c>
      <c r="M27" s="74">
        <v>1</v>
      </c>
      <c r="N27" s="74">
        <v>0</v>
      </c>
      <c r="O27" s="74">
        <v>1</v>
      </c>
      <c r="P27" s="65">
        <v>0</v>
      </c>
      <c r="Q27" s="74">
        <v>0</v>
      </c>
      <c r="R27" s="66">
        <v>1</v>
      </c>
      <c r="S27"/>
      <c r="T27"/>
    </row>
    <row r="28" spans="1:20" ht="15" customHeight="1" thickBot="1" x14ac:dyDescent="0.2">
      <c r="B28" s="84"/>
      <c r="C28" s="73"/>
      <c r="D28" s="78" t="s">
        <v>160</v>
      </c>
      <c r="F28" s="154" t="s">
        <v>215</v>
      </c>
      <c r="G28" s="74">
        <v>0</v>
      </c>
      <c r="H28" s="74">
        <v>0</v>
      </c>
      <c r="I28" s="74">
        <v>0</v>
      </c>
      <c r="J28" s="74">
        <v>0</v>
      </c>
      <c r="K28" s="74">
        <v>1</v>
      </c>
      <c r="L28" s="74">
        <v>0</v>
      </c>
      <c r="M28" s="74">
        <v>1</v>
      </c>
      <c r="N28" s="74">
        <v>0</v>
      </c>
      <c r="O28" s="74">
        <v>1</v>
      </c>
      <c r="P28" s="65">
        <v>0</v>
      </c>
      <c r="Q28" s="74">
        <v>0</v>
      </c>
      <c r="R28" s="66">
        <v>1</v>
      </c>
      <c r="S28"/>
      <c r="T28"/>
    </row>
    <row r="29" spans="1:20" ht="15" customHeight="1" x14ac:dyDescent="0.15">
      <c r="F29" s="154" t="s">
        <v>216</v>
      </c>
      <c r="G29" s="74">
        <v>0</v>
      </c>
      <c r="H29" s="74">
        <v>0</v>
      </c>
      <c r="I29" s="74">
        <v>0</v>
      </c>
      <c r="J29" s="74">
        <v>0</v>
      </c>
      <c r="K29" s="74">
        <v>1</v>
      </c>
      <c r="L29" s="74">
        <v>0</v>
      </c>
      <c r="M29" s="74">
        <v>1</v>
      </c>
      <c r="N29" s="74">
        <v>0</v>
      </c>
      <c r="O29" s="74">
        <v>1</v>
      </c>
      <c r="P29" s="65">
        <v>0</v>
      </c>
      <c r="Q29" s="74">
        <v>0</v>
      </c>
      <c r="R29" s="66">
        <v>1</v>
      </c>
      <c r="S29"/>
      <c r="T29"/>
    </row>
    <row r="30" spans="1:20" ht="15" customHeight="1" x14ac:dyDescent="0.15">
      <c r="F30" s="154" t="s">
        <v>217</v>
      </c>
      <c r="G30" s="74">
        <v>0</v>
      </c>
      <c r="H30" s="74">
        <v>0</v>
      </c>
      <c r="I30" s="74">
        <v>0</v>
      </c>
      <c r="J30" s="74">
        <v>0</v>
      </c>
      <c r="K30" s="74">
        <v>1</v>
      </c>
      <c r="L30" s="74">
        <v>0</v>
      </c>
      <c r="M30" s="74">
        <v>1</v>
      </c>
      <c r="N30" s="74">
        <v>0</v>
      </c>
      <c r="O30" s="74">
        <v>1</v>
      </c>
      <c r="P30" s="65">
        <v>0</v>
      </c>
      <c r="Q30" s="74">
        <v>0</v>
      </c>
      <c r="R30" s="66">
        <v>1</v>
      </c>
      <c r="S30"/>
      <c r="T30"/>
    </row>
    <row r="31" spans="1:20" ht="15" customHeight="1" x14ac:dyDescent="0.15">
      <c r="A31" s="116"/>
      <c r="B31" s="125" t="s">
        <v>17</v>
      </c>
      <c r="C31" s="125" t="s">
        <v>1</v>
      </c>
      <c r="D31" s="125" t="s">
        <v>161</v>
      </c>
      <c r="E31" s="126" t="s">
        <v>163</v>
      </c>
      <c r="F31" s="154" t="s">
        <v>218</v>
      </c>
      <c r="G31" s="74">
        <v>0</v>
      </c>
      <c r="H31" s="74">
        <v>0</v>
      </c>
      <c r="I31" s="74">
        <v>0</v>
      </c>
      <c r="J31" s="74">
        <v>0</v>
      </c>
      <c r="K31" s="74">
        <v>1</v>
      </c>
      <c r="L31" s="74">
        <v>0</v>
      </c>
      <c r="M31" s="74">
        <v>1</v>
      </c>
      <c r="N31" s="74">
        <v>0</v>
      </c>
      <c r="O31" s="74">
        <v>1</v>
      </c>
      <c r="P31" s="65">
        <v>0</v>
      </c>
      <c r="Q31" s="74">
        <v>0</v>
      </c>
      <c r="R31" s="66">
        <v>1</v>
      </c>
      <c r="S31"/>
      <c r="T31"/>
    </row>
    <row r="32" spans="1:20" ht="15" customHeight="1" x14ac:dyDescent="0.15">
      <c r="A32" s="157" t="s">
        <v>224</v>
      </c>
      <c r="B32" s="86">
        <v>171.91305500000001</v>
      </c>
      <c r="C32" s="86">
        <v>75</v>
      </c>
      <c r="D32" s="86">
        <v>12893.479125000002</v>
      </c>
      <c r="E32" s="117">
        <v>0.51380527225407313</v>
      </c>
      <c r="F32" s="154" t="s">
        <v>219</v>
      </c>
      <c r="G32" s="74">
        <v>0</v>
      </c>
      <c r="H32" s="74">
        <v>0</v>
      </c>
      <c r="I32" s="74">
        <v>0</v>
      </c>
      <c r="J32" s="74">
        <v>0</v>
      </c>
      <c r="K32" s="74">
        <v>1</v>
      </c>
      <c r="L32" s="74">
        <v>0</v>
      </c>
      <c r="M32" s="74">
        <v>1</v>
      </c>
      <c r="N32" s="74">
        <v>0</v>
      </c>
      <c r="O32" s="74">
        <v>1</v>
      </c>
      <c r="P32" s="65">
        <v>0</v>
      </c>
      <c r="Q32" s="74">
        <v>0</v>
      </c>
      <c r="R32" s="66">
        <v>1</v>
      </c>
      <c r="S32"/>
      <c r="T32"/>
    </row>
    <row r="33" spans="1:20" ht="15" customHeight="1" x14ac:dyDescent="0.15">
      <c r="A33" s="157" t="s">
        <v>225</v>
      </c>
      <c r="B33" s="86">
        <v>160.63041699999999</v>
      </c>
      <c r="C33" s="86">
        <v>75</v>
      </c>
      <c r="D33" s="86">
        <v>12047.281274999999</v>
      </c>
      <c r="E33" s="117">
        <v>0.48008427945725402</v>
      </c>
      <c r="F33" s="154" t="s">
        <v>220</v>
      </c>
      <c r="G33" s="74">
        <v>0</v>
      </c>
      <c r="H33" s="74">
        <v>0</v>
      </c>
      <c r="I33" s="74">
        <v>0</v>
      </c>
      <c r="J33" s="74">
        <v>0</v>
      </c>
      <c r="K33" s="74">
        <v>1</v>
      </c>
      <c r="L33" s="74">
        <v>0</v>
      </c>
      <c r="M33" s="74">
        <v>1</v>
      </c>
      <c r="N33" s="74">
        <v>0</v>
      </c>
      <c r="O33" s="74">
        <v>1</v>
      </c>
      <c r="P33" s="65">
        <v>0</v>
      </c>
      <c r="Q33" s="74">
        <v>0</v>
      </c>
      <c r="R33" s="66">
        <v>1</v>
      </c>
      <c r="S33"/>
      <c r="T33"/>
    </row>
    <row r="34" spans="1:20" ht="15" customHeight="1" x14ac:dyDescent="0.15">
      <c r="A34" s="157" t="s">
        <v>226</v>
      </c>
      <c r="B34" s="86">
        <v>3.0667235900000001</v>
      </c>
      <c r="C34" s="86">
        <v>50</v>
      </c>
      <c r="D34" s="86">
        <v>153.33617950000001</v>
      </c>
      <c r="E34" s="117">
        <v>6.110448288672971E-3</v>
      </c>
      <c r="F34" s="154" t="s">
        <v>221</v>
      </c>
      <c r="G34" s="74">
        <v>0</v>
      </c>
      <c r="H34" s="74">
        <v>0</v>
      </c>
      <c r="I34" s="74">
        <v>0</v>
      </c>
      <c r="J34" s="74">
        <v>0</v>
      </c>
      <c r="K34" s="74">
        <v>1</v>
      </c>
      <c r="L34" s="74">
        <v>0</v>
      </c>
      <c r="M34" s="74">
        <v>1</v>
      </c>
      <c r="N34" s="74">
        <v>0</v>
      </c>
      <c r="O34" s="74">
        <v>1</v>
      </c>
      <c r="P34" s="65">
        <v>0</v>
      </c>
      <c r="Q34" s="74">
        <v>0</v>
      </c>
      <c r="R34" s="66">
        <v>1</v>
      </c>
      <c r="S34"/>
      <c r="T34"/>
    </row>
    <row r="35" spans="1:20" ht="15" customHeight="1" x14ac:dyDescent="0.15">
      <c r="A35" s="118"/>
      <c r="B35" s="86"/>
      <c r="C35" s="86"/>
      <c r="D35" s="86"/>
      <c r="E35" s="117"/>
      <c r="F35" s="154" t="s">
        <v>222</v>
      </c>
      <c r="G35" s="74">
        <v>0</v>
      </c>
      <c r="H35" s="74">
        <v>0</v>
      </c>
      <c r="I35" s="74">
        <v>0</v>
      </c>
      <c r="J35" s="74">
        <v>0</v>
      </c>
      <c r="K35" s="74">
        <v>1</v>
      </c>
      <c r="L35" s="74">
        <v>0</v>
      </c>
      <c r="M35" s="74">
        <v>1</v>
      </c>
      <c r="N35" s="74">
        <v>0</v>
      </c>
      <c r="O35" s="74">
        <v>1</v>
      </c>
      <c r="P35" s="65">
        <v>0</v>
      </c>
      <c r="Q35" s="74">
        <v>0</v>
      </c>
      <c r="R35" s="66">
        <v>1</v>
      </c>
      <c r="S35"/>
      <c r="T35"/>
    </row>
    <row r="36" spans="1:20" ht="15" customHeight="1" x14ac:dyDescent="0.15">
      <c r="A36" s="119"/>
      <c r="B36" s="86"/>
      <c r="C36" s="86"/>
      <c r="D36" s="86"/>
      <c r="E36" s="117"/>
      <c r="F36" s="154" t="s">
        <v>223</v>
      </c>
      <c r="G36" s="74">
        <v>0</v>
      </c>
      <c r="H36" s="74">
        <v>0</v>
      </c>
      <c r="I36" s="74">
        <v>0</v>
      </c>
      <c r="J36" s="74">
        <v>0</v>
      </c>
      <c r="K36" s="74">
        <v>1</v>
      </c>
      <c r="L36" s="74">
        <v>0</v>
      </c>
      <c r="M36" s="74">
        <v>1</v>
      </c>
      <c r="N36" s="74">
        <v>0</v>
      </c>
      <c r="O36" s="74">
        <v>1</v>
      </c>
      <c r="P36" s="65">
        <v>0</v>
      </c>
      <c r="Q36" s="74">
        <v>0</v>
      </c>
      <c r="R36" s="66">
        <v>1</v>
      </c>
      <c r="S36"/>
      <c r="T36"/>
    </row>
    <row r="37" spans="1:20" ht="15" customHeight="1" x14ac:dyDescent="0.15">
      <c r="A37" s="119"/>
      <c r="B37" s="86"/>
      <c r="C37" s="86"/>
      <c r="D37" s="86"/>
      <c r="E37" s="117"/>
      <c r="F37" s="154" t="s">
        <v>224</v>
      </c>
      <c r="G37" s="74">
        <v>0</v>
      </c>
      <c r="H37" s="74">
        <v>0</v>
      </c>
      <c r="I37" s="74">
        <v>0</v>
      </c>
      <c r="J37" s="74">
        <v>0</v>
      </c>
      <c r="K37" s="74">
        <v>0</v>
      </c>
      <c r="L37" s="74">
        <v>0</v>
      </c>
      <c r="M37" s="74">
        <v>1</v>
      </c>
      <c r="N37" s="74">
        <v>0</v>
      </c>
      <c r="O37" s="74">
        <v>0</v>
      </c>
      <c r="P37" s="65">
        <v>0</v>
      </c>
      <c r="Q37" s="74">
        <v>0</v>
      </c>
      <c r="R37" s="66">
        <v>1</v>
      </c>
      <c r="S37"/>
      <c r="T37"/>
    </row>
    <row r="38" spans="1:20" ht="15" customHeight="1" x14ac:dyDescent="0.15">
      <c r="A38" s="120"/>
      <c r="B38" s="86"/>
      <c r="C38" s="86"/>
      <c r="D38" s="86"/>
      <c r="E38" s="117"/>
      <c r="F38" s="154" t="s">
        <v>225</v>
      </c>
      <c r="G38" s="74">
        <v>0</v>
      </c>
      <c r="H38" s="74">
        <v>0</v>
      </c>
      <c r="I38" s="74">
        <v>0</v>
      </c>
      <c r="J38" s="74">
        <v>0</v>
      </c>
      <c r="K38" s="74">
        <v>0</v>
      </c>
      <c r="L38" s="74">
        <v>0</v>
      </c>
      <c r="M38" s="74">
        <v>1</v>
      </c>
      <c r="N38" s="74">
        <v>0</v>
      </c>
      <c r="O38" s="74">
        <v>0</v>
      </c>
      <c r="P38" s="65">
        <v>0</v>
      </c>
      <c r="Q38" s="74">
        <v>0</v>
      </c>
      <c r="R38" s="66">
        <v>1</v>
      </c>
      <c r="S38"/>
      <c r="T38"/>
    </row>
    <row r="39" spans="1:20" ht="15" customHeight="1" x14ac:dyDescent="0.15">
      <c r="A39" s="120"/>
      <c r="B39" s="86"/>
      <c r="C39" s="86"/>
      <c r="D39" s="86"/>
      <c r="E39" s="117"/>
      <c r="F39" s="154" t="s">
        <v>226</v>
      </c>
      <c r="G39" s="74">
        <v>0</v>
      </c>
      <c r="H39" s="74">
        <v>0</v>
      </c>
      <c r="I39" s="74">
        <v>0</v>
      </c>
      <c r="J39" s="74">
        <v>0</v>
      </c>
      <c r="K39" s="74">
        <v>0</v>
      </c>
      <c r="L39" s="74">
        <v>0</v>
      </c>
      <c r="M39" s="74">
        <v>1</v>
      </c>
      <c r="N39" s="74">
        <v>0</v>
      </c>
      <c r="O39" s="74">
        <v>0</v>
      </c>
      <c r="P39" s="65">
        <v>0</v>
      </c>
      <c r="Q39" s="74">
        <v>0</v>
      </c>
      <c r="R39" s="66">
        <v>1</v>
      </c>
      <c r="S39"/>
      <c r="T39"/>
    </row>
    <row r="40" spans="1:20" ht="15" customHeight="1" x14ac:dyDescent="0.15">
      <c r="A40" s="120"/>
      <c r="B40" s="86"/>
      <c r="C40" s="86"/>
      <c r="D40" s="86"/>
      <c r="E40" s="117"/>
      <c r="F40" s="154" t="s">
        <v>227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1</v>
      </c>
      <c r="M40" s="74">
        <v>0</v>
      </c>
      <c r="N40" s="74">
        <v>1</v>
      </c>
      <c r="O40" s="74">
        <v>0</v>
      </c>
      <c r="P40" s="65">
        <v>1</v>
      </c>
      <c r="Q40" s="74">
        <v>0</v>
      </c>
      <c r="R40" s="66">
        <v>1</v>
      </c>
      <c r="S40"/>
      <c r="T40"/>
    </row>
    <row r="41" spans="1:20" ht="15" customHeight="1" thickBot="1" x14ac:dyDescent="0.2">
      <c r="A41" s="120"/>
      <c r="B41" s="86"/>
      <c r="C41" s="86"/>
      <c r="D41" s="87"/>
      <c r="E41" s="121"/>
      <c r="F41" s="154" t="s">
        <v>228</v>
      </c>
      <c r="G41" s="74">
        <v>0</v>
      </c>
      <c r="H41" s="74">
        <v>0</v>
      </c>
      <c r="I41" s="74">
        <v>0</v>
      </c>
      <c r="J41" s="74">
        <v>0</v>
      </c>
      <c r="K41" s="74">
        <v>0</v>
      </c>
      <c r="L41" s="74">
        <v>1</v>
      </c>
      <c r="M41" s="74">
        <v>0</v>
      </c>
      <c r="N41" s="74">
        <v>1</v>
      </c>
      <c r="O41" s="74">
        <v>0</v>
      </c>
      <c r="P41" s="65">
        <v>1</v>
      </c>
      <c r="Q41" s="74">
        <v>0</v>
      </c>
      <c r="R41" s="66">
        <v>1</v>
      </c>
      <c r="S41"/>
      <c r="T41"/>
    </row>
    <row r="42" spans="1:20" ht="15" customHeight="1" x14ac:dyDescent="0.15">
      <c r="A42" s="122"/>
      <c r="B42" s="123"/>
      <c r="C42" s="123" t="s">
        <v>162</v>
      </c>
      <c r="D42" s="123">
        <f>SUM(D32:D41)</f>
        <v>25094.096579499997</v>
      </c>
      <c r="E42" s="124">
        <f>SUM(E32:E41)</f>
        <v>1</v>
      </c>
      <c r="F42" s="154" t="s">
        <v>229</v>
      </c>
      <c r="G42" s="74">
        <v>0</v>
      </c>
      <c r="H42" s="74">
        <v>0</v>
      </c>
      <c r="I42" s="74">
        <v>0</v>
      </c>
      <c r="J42" s="74">
        <v>0</v>
      </c>
      <c r="K42" s="74">
        <v>0</v>
      </c>
      <c r="L42" s="74">
        <v>1</v>
      </c>
      <c r="M42" s="74">
        <v>0</v>
      </c>
      <c r="N42" s="74">
        <v>0</v>
      </c>
      <c r="O42" s="74">
        <v>0</v>
      </c>
      <c r="P42" s="65">
        <v>0</v>
      </c>
      <c r="Q42" s="74">
        <v>0</v>
      </c>
      <c r="R42" s="66">
        <v>1</v>
      </c>
      <c r="S42"/>
      <c r="T42"/>
    </row>
    <row r="43" spans="1:20" ht="15" customHeight="1" x14ac:dyDescent="0.15">
      <c r="A43" s="74"/>
      <c r="F43" s="154" t="s">
        <v>230</v>
      </c>
      <c r="G43" s="74">
        <v>0</v>
      </c>
      <c r="H43" s="74">
        <v>0</v>
      </c>
      <c r="I43" s="74">
        <v>0</v>
      </c>
      <c r="J43" s="74">
        <v>0</v>
      </c>
      <c r="K43" s="74">
        <v>0</v>
      </c>
      <c r="L43" s="74">
        <v>1</v>
      </c>
      <c r="M43" s="74">
        <v>0</v>
      </c>
      <c r="N43" s="74">
        <v>0</v>
      </c>
      <c r="O43" s="74">
        <v>0</v>
      </c>
      <c r="P43" s="65">
        <v>0</v>
      </c>
      <c r="Q43" s="74">
        <v>0</v>
      </c>
      <c r="R43" s="66">
        <v>1</v>
      </c>
      <c r="S43"/>
      <c r="T43"/>
    </row>
    <row r="44" spans="1:20" ht="15" customHeight="1" x14ac:dyDescent="0.15">
      <c r="A44" s="74"/>
      <c r="F44" s="154" t="s">
        <v>231</v>
      </c>
      <c r="G44" s="74">
        <v>0</v>
      </c>
      <c r="H44" s="74">
        <v>0</v>
      </c>
      <c r="I44" s="74">
        <v>0</v>
      </c>
      <c r="J44" s="74">
        <v>0</v>
      </c>
      <c r="K44" s="74">
        <v>0</v>
      </c>
      <c r="L44" s="74">
        <v>1</v>
      </c>
      <c r="M44" s="74">
        <v>0</v>
      </c>
      <c r="N44" s="74">
        <v>0</v>
      </c>
      <c r="O44" s="74">
        <v>0</v>
      </c>
      <c r="P44" s="65">
        <v>0</v>
      </c>
      <c r="Q44" s="74">
        <v>0</v>
      </c>
      <c r="R44" s="66">
        <v>1</v>
      </c>
    </row>
    <row r="45" spans="1:20" ht="15" customHeight="1" x14ac:dyDescent="0.15">
      <c r="A45" s="74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4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4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4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4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4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4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4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4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4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4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4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4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4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4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4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4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4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4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4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U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1" customWidth="1"/>
    <col min="3" max="5" width="7.83203125" style="101" customWidth="1"/>
    <col min="6" max="8" width="8.83203125" style="6"/>
    <col min="9" max="9" width="11.6640625" style="6" customWidth="1"/>
    <col min="10" max="10" width="12.1640625" style="6" customWidth="1"/>
    <col min="11" max="11" width="12.33203125" style="6" customWidth="1"/>
    <col min="12" max="12" width="13.5" style="6" customWidth="1"/>
    <col min="13" max="13" width="16.33203125" style="6" customWidth="1"/>
    <col min="14" max="14" width="15.6640625" style="6" customWidth="1"/>
    <col min="15" max="15" width="13.5" style="6" customWidth="1"/>
    <col min="16" max="16" width="11.83203125" style="6" customWidth="1"/>
    <col min="17" max="17" width="10.6640625" style="6" customWidth="1"/>
    <col min="18" max="18" width="13.1640625" style="6" customWidth="1"/>
    <col min="19" max="20" width="16.5" style="6" customWidth="1"/>
    <col min="21" max="21" width="15.5" style="6" customWidth="1"/>
    <col min="22" max="22" width="17.5" style="6" customWidth="1"/>
    <col min="23" max="23" width="14.6640625" style="6" customWidth="1"/>
    <col min="24" max="24" width="17.1640625" style="6" customWidth="1"/>
    <col min="25" max="25" width="11.1640625" style="6" customWidth="1"/>
    <col min="26" max="26" width="12" style="6" customWidth="1"/>
    <col min="27" max="27" width="10.83203125" style="6" customWidth="1"/>
    <col min="28" max="28" width="11.5" style="6" customWidth="1"/>
    <col min="29" max="29" width="8.1640625" style="6" customWidth="1"/>
    <col min="30" max="30" width="9.1640625" style="6" customWidth="1"/>
    <col min="31" max="31" width="12.6640625" style="6" customWidth="1"/>
    <col min="32" max="32" width="6" style="6" customWidth="1"/>
    <col min="33" max="33" width="17.5" style="6" customWidth="1"/>
    <col min="34" max="34" width="9.5" style="6" customWidth="1"/>
    <col min="35" max="35" width="9.6640625" style="6" customWidth="1"/>
    <col min="36" max="36" width="16.5" style="6" customWidth="1"/>
    <col min="37" max="37" width="9.83203125" style="6" customWidth="1"/>
    <col min="38" max="38" width="16.5" style="6" customWidth="1"/>
    <col min="39" max="39" width="11.5" customWidth="1"/>
    <col min="40" max="40" width="18.1640625" customWidth="1"/>
    <col min="41" max="41" width="18" customWidth="1"/>
    <col min="42" max="42" width="9" customWidth="1"/>
    <col min="43" max="43" width="7.6640625" customWidth="1"/>
    <col min="44" max="44" width="21.6640625" customWidth="1"/>
    <col min="45" max="45" width="12.83203125" customWidth="1"/>
    <col min="46" max="46" width="14.5" customWidth="1"/>
    <col min="47" max="47" width="4.5" customWidth="1"/>
    <col min="81" max="81" width="22.1640625" bestFit="1" customWidth="1"/>
  </cols>
  <sheetData>
    <row r="1" spans="1:47" x14ac:dyDescent="0.15">
      <c r="A1" s="4" t="s">
        <v>156</v>
      </c>
      <c r="B1" s="32" t="s">
        <v>157</v>
      </c>
      <c r="C1" s="32" t="s">
        <v>17</v>
      </c>
      <c r="D1" s="32" t="s">
        <v>158</v>
      </c>
      <c r="E1" s="32" t="s">
        <v>159</v>
      </c>
      <c r="F1" t="s">
        <v>38</v>
      </c>
      <c r="G1" t="s">
        <v>40</v>
      </c>
      <c r="H1" t="s">
        <v>41</v>
      </c>
      <c r="I1" s="159" t="s">
        <v>193</v>
      </c>
      <c r="J1" s="159" t="s">
        <v>194</v>
      </c>
      <c r="K1" s="159" t="s">
        <v>195</v>
      </c>
      <c r="L1" s="159" t="s">
        <v>196</v>
      </c>
      <c r="M1" s="159" t="s">
        <v>197</v>
      </c>
      <c r="N1" s="159" t="s">
        <v>198</v>
      </c>
      <c r="O1" s="159" t="s">
        <v>199</v>
      </c>
      <c r="P1" s="159" t="s">
        <v>200</v>
      </c>
      <c r="Q1" s="159" t="s">
        <v>201</v>
      </c>
      <c r="R1" s="159" t="s">
        <v>202</v>
      </c>
      <c r="S1" s="159" t="s">
        <v>203</v>
      </c>
      <c r="T1" s="159" t="s">
        <v>204</v>
      </c>
      <c r="U1" s="159" t="s">
        <v>205</v>
      </c>
      <c r="V1" s="159" t="s">
        <v>206</v>
      </c>
      <c r="W1" s="159" t="s">
        <v>207</v>
      </c>
      <c r="X1" s="159" t="s">
        <v>208</v>
      </c>
      <c r="Y1" s="159" t="s">
        <v>209</v>
      </c>
      <c r="Z1" s="159" t="s">
        <v>210</v>
      </c>
      <c r="AA1" s="159" t="s">
        <v>211</v>
      </c>
      <c r="AB1" s="159" t="s">
        <v>212</v>
      </c>
      <c r="AC1" s="159" t="s">
        <v>213</v>
      </c>
      <c r="AD1" s="159" t="s">
        <v>214</v>
      </c>
      <c r="AE1" s="159" t="s">
        <v>215</v>
      </c>
      <c r="AF1" s="159" t="s">
        <v>216</v>
      </c>
      <c r="AG1" s="159" t="s">
        <v>217</v>
      </c>
      <c r="AH1" s="159" t="s">
        <v>218</v>
      </c>
      <c r="AI1" s="159" t="s">
        <v>219</v>
      </c>
      <c r="AJ1" s="159" t="s">
        <v>220</v>
      </c>
      <c r="AK1" s="159" t="s">
        <v>221</v>
      </c>
      <c r="AL1" s="159" t="s">
        <v>222</v>
      </c>
      <c r="AM1" s="159" t="s">
        <v>223</v>
      </c>
      <c r="AN1" s="159" t="s">
        <v>224</v>
      </c>
      <c r="AO1" s="159" t="s">
        <v>225</v>
      </c>
      <c r="AP1" s="159" t="s">
        <v>226</v>
      </c>
      <c r="AQ1" s="159" t="s">
        <v>227</v>
      </c>
      <c r="AR1" s="159" t="s">
        <v>228</v>
      </c>
      <c r="AS1" s="159" t="s">
        <v>229</v>
      </c>
      <c r="AT1" s="159" t="s">
        <v>230</v>
      </c>
      <c r="AU1" s="159" t="s">
        <v>231</v>
      </c>
    </row>
    <row r="2" spans="1:47" x14ac:dyDescent="0.15">
      <c r="A2" t="s">
        <v>38</v>
      </c>
      <c r="B2" s="101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7" x14ac:dyDescent="0.15">
      <c r="A3" t="s">
        <v>40</v>
      </c>
      <c r="B3" s="101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7" x14ac:dyDescent="0.15">
      <c r="A4" t="s">
        <v>41</v>
      </c>
      <c r="B4" s="101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7" x14ac:dyDescent="0.15">
      <c r="A5" s="158" t="s">
        <v>193</v>
      </c>
      <c r="B5" s="101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7" x14ac:dyDescent="0.15">
      <c r="A6" s="158" t="s">
        <v>194</v>
      </c>
      <c r="B6" s="101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7" x14ac:dyDescent="0.15">
      <c r="A7" s="158" t="s">
        <v>195</v>
      </c>
      <c r="B7" s="101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7" x14ac:dyDescent="0.15">
      <c r="A8" s="158" t="s">
        <v>196</v>
      </c>
      <c r="B8" s="101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7" x14ac:dyDescent="0.15">
      <c r="A9" s="158" t="s">
        <v>197</v>
      </c>
      <c r="B9" s="101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7" x14ac:dyDescent="0.15">
      <c r="A10" s="158" t="s">
        <v>198</v>
      </c>
      <c r="B10" s="101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7" x14ac:dyDescent="0.15">
      <c r="A11" s="158" t="s">
        <v>199</v>
      </c>
      <c r="B11" s="101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7" x14ac:dyDescent="0.15">
      <c r="A12" s="158" t="s">
        <v>200</v>
      </c>
      <c r="B12" s="101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7" x14ac:dyDescent="0.15">
      <c r="A13" s="158" t="s">
        <v>201</v>
      </c>
      <c r="B13" s="101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7" x14ac:dyDescent="0.15">
      <c r="A14" s="158" t="s">
        <v>202</v>
      </c>
      <c r="B14" s="101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7" x14ac:dyDescent="0.15">
      <c r="A15" s="158" t="s">
        <v>203</v>
      </c>
      <c r="B15" s="101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7" x14ac:dyDescent="0.15">
      <c r="A16" s="158" t="s">
        <v>204</v>
      </c>
      <c r="B16" s="101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58" t="s">
        <v>205</v>
      </c>
      <c r="B17" s="101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58" t="s">
        <v>206</v>
      </c>
      <c r="B18" s="101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58" t="s">
        <v>207</v>
      </c>
      <c r="B19" s="101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58" t="s">
        <v>208</v>
      </c>
      <c r="B20" s="101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58" t="s">
        <v>209</v>
      </c>
      <c r="B21" s="101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58" t="s">
        <v>210</v>
      </c>
      <c r="B22" s="101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58" t="s">
        <v>211</v>
      </c>
      <c r="B23" s="101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58" t="s">
        <v>212</v>
      </c>
      <c r="B24" s="101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58" t="s">
        <v>213</v>
      </c>
      <c r="B25" s="101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58" t="s">
        <v>214</v>
      </c>
      <c r="B26" s="101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58" t="s">
        <v>215</v>
      </c>
      <c r="B27" s="101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58" t="s">
        <v>216</v>
      </c>
      <c r="B28" s="101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58" t="s">
        <v>217</v>
      </c>
      <c r="B29" s="101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58" t="s">
        <v>218</v>
      </c>
      <c r="B30" s="101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58" t="s">
        <v>219</v>
      </c>
      <c r="B31" s="101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58" t="s">
        <v>220</v>
      </c>
      <c r="B32" s="101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58" t="s">
        <v>221</v>
      </c>
      <c r="B33" s="101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58" t="s">
        <v>222</v>
      </c>
      <c r="B34" s="101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58" t="s">
        <v>223</v>
      </c>
      <c r="B35" s="101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58" t="s">
        <v>224</v>
      </c>
      <c r="B36" s="101">
        <v>0</v>
      </c>
      <c r="C36"/>
      <c r="D36"/>
    </row>
    <row r="37" spans="1:38" ht="15" customHeight="1" x14ac:dyDescent="0.15">
      <c r="A37" s="158" t="s">
        <v>225</v>
      </c>
      <c r="B37" s="101">
        <v>0</v>
      </c>
      <c r="C37"/>
      <c r="D37"/>
    </row>
    <row r="38" spans="1:38" ht="15" customHeight="1" x14ac:dyDescent="0.15">
      <c r="A38" s="158" t="s">
        <v>226</v>
      </c>
      <c r="B38" s="101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58" t="s">
        <v>227</v>
      </c>
      <c r="B39" s="101">
        <v>0</v>
      </c>
      <c r="C39"/>
      <c r="D39"/>
    </row>
    <row r="40" spans="1:38" ht="15" customHeight="1" x14ac:dyDescent="0.15">
      <c r="A40" s="158" t="s">
        <v>228</v>
      </c>
      <c r="B40" s="101">
        <v>0</v>
      </c>
      <c r="C40"/>
      <c r="D40"/>
    </row>
    <row r="41" spans="1:38" ht="15" customHeight="1" x14ac:dyDescent="0.15">
      <c r="A41" s="158" t="s">
        <v>229</v>
      </c>
      <c r="B41" s="101">
        <v>0</v>
      </c>
      <c r="C41"/>
      <c r="D41"/>
    </row>
    <row r="42" spans="1:38" ht="15" customHeight="1" x14ac:dyDescent="0.15">
      <c r="A42" s="158" t="s">
        <v>230</v>
      </c>
      <c r="B42" s="101">
        <v>0</v>
      </c>
    </row>
    <row r="43" spans="1:38" ht="15" customHeight="1" x14ac:dyDescent="0.15">
      <c r="A43" s="158" t="s">
        <v>231</v>
      </c>
      <c r="B43" s="101">
        <v>0</v>
      </c>
    </row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2022-10-24T02:06:22Z</dcterms:modified>
</cp:coreProperties>
</file>