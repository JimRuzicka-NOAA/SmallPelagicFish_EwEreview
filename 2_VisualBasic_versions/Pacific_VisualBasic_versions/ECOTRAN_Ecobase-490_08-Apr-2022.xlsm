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2B86524E-0E76-6A43-BF26-F6286496C1D1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Main!$C$2:$N$23</definedName>
    <definedName name="matDetritus">Detritus!$C$2:$E$23</definedName>
    <definedName name="matDiet">Diets!$B$2:$T$23</definedName>
    <definedName name="matDiscards">Discards!$C$2:$C$22</definedName>
    <definedName name="matFishery">Fishing!$C$2:$C$22</definedName>
    <definedName name="matFishing">Fishing!#REF!</definedName>
    <definedName name="matMort">Mortalities!$A$1:$Y$22</definedName>
    <definedName name="matOut">MainOutputs!$A$2:$I$23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<sst xmlns="http://schemas.openxmlformats.org/spreadsheetml/2006/main" count="746" uniqueCount="219">
  <si>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</si>
  <si>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</si>
  <si>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</si>
  <si>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</si>
  <si>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</si>
  <si>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</si>
  <si>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</si>
  <si>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</si>
  <si>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</si>
  <si>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</si>
  <si>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</si>
  <si>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</si>
  <si>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</si>
  <si>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</si>
  <si>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</si>
  <si>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</si>
  <si>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</si>
  <si>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</si>
  <si>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</si>
  <si>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</si>
  <si>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</si>
  <si>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</si>
  <si>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</si>
  <si>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</si>
  <si>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</si>
  <si>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</si>
  <si>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</si>
  <si>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</si>
  <si>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</si>
  <si>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</si>
  <si>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</si>
  <si>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</si>
  <si>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</si>
  <si>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</si>
  <si>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</si>
  <si>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</si>
  <si>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</si>
  <si>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</si>
  <si>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</si>
  <si>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</si>
  <si>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</si>
  <si>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</si>
  <si>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</si>
  <si>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</si>
  <si>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</si>
  <si>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</si>
  <si>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</si>
  <si>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</si>
  <si>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</si>
  <si>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</si>
  <si>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</si>
  <si>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</si>
  <si>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</si>
  <si>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</si>
  <si>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</si>
  <si>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</si>
  <si>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</si>
  <si>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</si>
  <si>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</si>
  <si>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</si>
  <si>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</si>
  <si>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</si>
  <si>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</si>
  <si>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</si>
  <si>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</si>
  <si>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</si>
  <si>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</si>
  <si>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</si>
  <si>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</si>
  <si>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</si>
  <si>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</si>
  <si>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</si>
  <si>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</si>
  <si>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</si>
  <si>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</si>
  <si>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</si>
  <si>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</si>
  <si>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</si>
  <si>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</si>
  <si>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</si>
  <si>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</si>
  <si>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</si>
  <si>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</si>
  <si>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</si>
  <si>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</si>
  <si>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</si>
  <si>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</si>
  <si>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</si>
  <si>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</si>
  <si>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</si>
  <si>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</si>
  <si>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</si>
  <si>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</si>
  <si>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</si>
  <si>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</si>
  <si>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</si>
  <si>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</si>
  <si>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</si>
  <si>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</si>
  <si>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</si>
  <si>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</si>
  <si>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</si>
  <si>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</si>
  <si>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</si>
  <si>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</si>
  <si>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</si>
  <si>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</si>
  <si>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</si>
  <si>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</si>
  <si>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</si>
  <si>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</si>
  <si>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</si>
  <si>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</si>
  <si>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</si>
  <si>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</si>
  <si>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</si>
  <si>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</si>
  <si>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</si>
  <si>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</si>
  <si>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</si>
  <si>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</si>
  <si>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</si>
  <si>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</si>
  <si>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</si>
  <si>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</si>
  <si>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</si>
  <si>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</si>
  <si>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</si>
  <si>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</si>
  <si>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</si>
  <si>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</si>
  <si>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</si>
  <si>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</si>
  <si>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</si>
  <si>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</si>
  <si>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</si>
  <si>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</si>
  <si>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</si>
  <si>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</si>
  <si>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</si>
  <si>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</si>
  <si>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</si>
  <si>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</si>
  <si>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</si>
  <si>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</si>
  <si>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</si>
  <si>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</si>
  <si>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</si>
  <si>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</si>
  <si>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</si>
  <si>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</si>
  <si>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</si>
  <si>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</si>
  <si>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</si>
  <si>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</si>
  <si>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</si>
  <si>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</si>
  <si>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</si>
  <si>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</si>
  <si>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</si>
  <si>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</si>
  <si>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</si>
  <si>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</si>
  <si>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</si>
  <si>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</si>
  <si>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</si>
  <si>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</si>
  <si>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</si>
  <si>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</si>
  <si>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</si>
  <si>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</si>
  <si>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</si>
  <si>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</si>
  <si>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</si>
  <si>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</si>
  <si>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</si>
  <si>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</si>
  <si>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</si>
  <si>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</si>
  <si>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</si>
  <si>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</si>
  <si>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</si>
  <si>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</si>
  <si>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</si>
  <si>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</si>
  <si>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Independence Bay</t>
  </si>
  <si>
    <t>Peru</t>
  </si>
  <si>
    <t>BOX(-76.28 -14.33,-76.1 -14.15)</t>
  </si>
  <si>
    <t>bay/fjord</t>
  </si>
  <si>
    <t>WetWeight</t>
  </si>
  <si>
    <t>No description</t>
  </si>
  <si>
    <t>Taylor M.H.,Wolff M.,Mendo J.,Yamashiro C.(2008). Changes in trophic flow structure of Independence Bay (Peru) over an ENSO cycle Progress in Oceanography. pp 336-351</t>
  </si>
  <si>
    <t>Phytoplankton</t>
  </si>
  <si>
    <t>macroalgae</t>
  </si>
  <si>
    <t>zooplankton</t>
  </si>
  <si>
    <t>polychaetes</t>
  </si>
  <si>
    <t>scallops</t>
  </si>
  <si>
    <t>sea urchins</t>
  </si>
  <si>
    <t>herbivorous gastropods</t>
  </si>
  <si>
    <t>benthic detrivores</t>
  </si>
  <si>
    <t>misc. filter feeders</t>
  </si>
  <si>
    <t>predatory gastropods</t>
  </si>
  <si>
    <t>small carnivores</t>
  </si>
  <si>
    <t>predatory crabs</t>
  </si>
  <si>
    <t>sea stars</t>
  </si>
  <si>
    <t xml:space="preserve">octopus </t>
  </si>
  <si>
    <t xml:space="preserve">littoral fish </t>
  </si>
  <si>
    <t>small pelagic fish</t>
  </si>
  <si>
    <t xml:space="preserve">pelagic predatory fish </t>
  </si>
  <si>
    <t>marine mammals</t>
  </si>
  <si>
    <t>sea birds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</si>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</sst>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9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EB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F9FF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FF48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FFB800"/>
        <bgColor indexed="64"/>
      </patternFill>
    </fill>
    <fill>
      <patternFill patternType="solid">
        <fgColor rgb="FFE1FF00"/>
        <bgColor indexed="64"/>
      </patternFill>
    </fill>
    <fill>
      <patternFill patternType="solid">
        <fgColor rgb="FFFF41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FF8B00"/>
        <bgColor indexed="64"/>
      </patternFill>
    </fill>
    <fill>
      <patternFill patternType="solid">
        <fgColor rgb="FF88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16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8" borderId="2" xfId="0" applyFont="1" applyFill="1" applyBorder="1" applyAlignment="1">
      <alignment horizontal="center"/>
    </xf>
    <xf numFmtId="0" fontId="1" fillId="18" borderId="4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8" borderId="5" xfId="0" applyFill="1" applyBorder="1"/>
    <xf numFmtId="0" fontId="0" fillId="18" borderId="6" xfId="0" applyFill="1" applyBorder="1"/>
    <xf numFmtId="0" fontId="0" fillId="18" borderId="7" xfId="0" applyFill="1" applyBorder="1"/>
    <xf numFmtId="0" fontId="0" fillId="18" borderId="8" xfId="0" applyFill="1" applyBorder="1"/>
    <xf numFmtId="0" fontId="0" fillId="18" borderId="9" xfId="0" applyFill="1" applyBorder="1"/>
    <xf numFmtId="0" fontId="0" fillId="18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29" borderId="0" xfId="0" applyFill="1"/>
    <xf numFmtId="0" fontId="0" fillId="0" borderId="0" xfId="0" applyFont="1" applyFill="1" applyAlignment="1">
      <alignment horizontal="center"/>
    </xf>
    <xf numFmtId="0" fontId="0" fillId="30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8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8" borderId="3" xfId="0" applyNumberFormat="1" applyFont="1" applyFill="1" applyBorder="1"/>
    <xf numFmtId="0" fontId="0" fillId="28" borderId="2" xfId="0" applyFont="1" applyFill="1" applyBorder="1"/>
    <xf numFmtId="0" fontId="0" fillId="28" borderId="3" xfId="0" applyFont="1" applyFill="1" applyBorder="1"/>
    <xf numFmtId="0" fontId="0" fillId="28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8" borderId="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8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5" borderId="0" xfId="0" applyFill="1"/>
    <xf numFmtId="0" fontId="0" fillId="36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45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5" t="s">
        <v>164</v>
      </c>
    </row>
    <row r="6" spans="2:4" ht="14" thickBot="1" x14ac:dyDescent="0.2">
      <c r="B6" s="39" t="s">
        <v>141</v>
      </c>
    </row>
    <row r="7" spans="2:4" x14ac:dyDescent="0.15">
      <c r="B7" s="55" t="s">
        <v>143</v>
      </c>
    </row>
    <row r="8" spans="2:4" x14ac:dyDescent="0.15">
      <c r="B8" s="55" t="s">
        <v>142</v>
      </c>
    </row>
    <row r="9" spans="2:4" x14ac:dyDescent="0.15">
      <c r="B9" s="55" t="s">
        <v>144</v>
      </c>
    </row>
    <row r="10" spans="2:4" x14ac:dyDescent="0.15">
      <c r="B10" s="55" t="s">
        <v>147</v>
      </c>
    </row>
    <row r="11" spans="2:4" x14ac:dyDescent="0.15">
      <c r="B11" s="55" t="s">
        <v>151</v>
      </c>
    </row>
    <row r="12" spans="2:4" x14ac:dyDescent="0.15">
      <c r="B12" s="55" t="s">
        <v>153</v>
      </c>
    </row>
    <row r="13" spans="2:4" x14ac:dyDescent="0.15">
      <c r="B13" s="55" t="s">
        <v>165</v>
      </c>
    </row>
    <row r="15" spans="2:4" ht="14" thickBot="1" x14ac:dyDescent="0.2"/>
    <row r="16" spans="2:4" ht="14" thickBot="1" x14ac:dyDescent="0.2">
      <c r="B16" s="40" t="s">
        <v>137</v>
      </c>
      <c r="C16" s="41"/>
      <c r="D16" s="23">
        <v>41373</v>
      </c>
    </row>
    <row r="17" spans="2:4" x14ac:dyDescent="0.15">
      <c r="B17" s="42" t="s">
        <v>58</v>
      </c>
      <c r="C17" s="26">
        <v>0</v>
      </c>
    </row>
    <row r="18" spans="2:4" x14ac:dyDescent="0.15">
      <c r="B18" s="42" t="s">
        <v>59</v>
      </c>
      <c r="C18" s="26">
        <v>1</v>
      </c>
    </row>
    <row r="19" spans="2:4" x14ac:dyDescent="0.15">
      <c r="B19" s="42" t="s">
        <v>60</v>
      </c>
      <c r="C19" s="26">
        <v>2</v>
      </c>
    </row>
    <row r="20" spans="2:4" ht="14" thickBot="1" x14ac:dyDescent="0.2">
      <c r="B20" s="43" t="s">
        <v>44</v>
      </c>
      <c r="C20" s="27">
        <v>3</v>
      </c>
    </row>
    <row r="21" spans="2:4" x14ac:dyDescent="0.15">
      <c r="B21" s="44" t="s">
        <v>140</v>
      </c>
    </row>
    <row r="22" spans="2:4" ht="14" thickBot="1" x14ac:dyDescent="0.2"/>
    <row r="23" spans="2:4" ht="14" thickBot="1" x14ac:dyDescent="0.2">
      <c r="B23" s="40" t="s">
        <v>65</v>
      </c>
      <c r="C23" s="41"/>
      <c r="D23" s="23" t="s">
        <v>148</v>
      </c>
    </row>
    <row r="24" spans="2:4" x14ac:dyDescent="0.15">
      <c r="B24" s="46" t="s">
        <v>38</v>
      </c>
      <c r="C24" s="24">
        <v>1</v>
      </c>
    </row>
    <row r="25" spans="2:4" x14ac:dyDescent="0.15">
      <c r="B25" s="42" t="s">
        <v>40</v>
      </c>
      <c r="C25" s="26">
        <v>1.1000000000000001</v>
      </c>
    </row>
    <row r="26" spans="2:4" x14ac:dyDescent="0.15">
      <c r="B26" s="42" t="s">
        <v>41</v>
      </c>
      <c r="C26" s="26">
        <v>1.2</v>
      </c>
    </row>
    <row r="27" spans="2:4" x14ac:dyDescent="0.15">
      <c r="B27" s="42"/>
      <c r="C27" s="26"/>
    </row>
    <row r="28" spans="2:4" x14ac:dyDescent="0.15">
      <c r="B28" s="42" t="s">
        <v>42</v>
      </c>
      <c r="C28" s="26">
        <v>2.1</v>
      </c>
    </row>
    <row r="29" spans="2:4" x14ac:dyDescent="0.15">
      <c r="B29" s="42" t="s">
        <v>43</v>
      </c>
      <c r="C29" s="26">
        <v>2.2000000000000002</v>
      </c>
    </row>
    <row r="30" spans="2:4" x14ac:dyDescent="0.15">
      <c r="B30" s="42" t="s">
        <v>67</v>
      </c>
      <c r="C30" s="26">
        <v>2.2999999999999998</v>
      </c>
    </row>
    <row r="31" spans="2:4" x14ac:dyDescent="0.15">
      <c r="B31" s="42"/>
      <c r="C31" s="26"/>
    </row>
    <row r="32" spans="2:4" x14ac:dyDescent="0.15">
      <c r="B32" s="42" t="s">
        <v>62</v>
      </c>
      <c r="C32" s="26">
        <v>3.11</v>
      </c>
    </row>
    <row r="33" spans="2:3" x14ac:dyDescent="0.15">
      <c r="B33" s="42" t="s">
        <v>61</v>
      </c>
      <c r="C33" s="26">
        <v>3.12</v>
      </c>
    </row>
    <row r="34" spans="2:3" x14ac:dyDescent="0.15">
      <c r="B34" s="42" t="s">
        <v>68</v>
      </c>
      <c r="C34" s="26">
        <v>3.13</v>
      </c>
    </row>
    <row r="35" spans="2:3" x14ac:dyDescent="0.15">
      <c r="B35" s="42"/>
      <c r="C35" s="26"/>
    </row>
    <row r="36" spans="2:3" x14ac:dyDescent="0.15">
      <c r="B36" s="42" t="s">
        <v>66</v>
      </c>
      <c r="C36" s="26">
        <v>3.21</v>
      </c>
    </row>
    <row r="37" spans="2:3" x14ac:dyDescent="0.15">
      <c r="B37" s="42" t="s">
        <v>63</v>
      </c>
      <c r="C37" s="26">
        <v>3.22</v>
      </c>
    </row>
    <row r="38" spans="2:3" x14ac:dyDescent="0.15">
      <c r="B38" s="42" t="s">
        <v>69</v>
      </c>
      <c r="C38" s="26">
        <v>3.23</v>
      </c>
    </row>
    <row r="39" spans="2:3" x14ac:dyDescent="0.15">
      <c r="B39" s="42"/>
      <c r="C39" s="26"/>
    </row>
    <row r="40" spans="2:3" x14ac:dyDescent="0.15">
      <c r="B40" s="42" t="s">
        <v>64</v>
      </c>
      <c r="C40" s="26">
        <v>8</v>
      </c>
    </row>
    <row r="41" spans="2:3" x14ac:dyDescent="0.15">
      <c r="B41" s="42"/>
      <c r="C41" s="26"/>
    </row>
    <row r="42" spans="2:3" x14ac:dyDescent="0.15">
      <c r="B42" s="42" t="s">
        <v>71</v>
      </c>
      <c r="C42" s="26">
        <v>4.0999999999999996</v>
      </c>
    </row>
    <row r="43" spans="2:3" x14ac:dyDescent="0.15">
      <c r="B43" s="42" t="s">
        <v>70</v>
      </c>
      <c r="C43" s="26">
        <v>4.2</v>
      </c>
    </row>
    <row r="44" spans="2:3" x14ac:dyDescent="0.15">
      <c r="B44" s="42" t="s">
        <v>72</v>
      </c>
      <c r="C44" s="26">
        <v>4.3</v>
      </c>
    </row>
    <row r="45" spans="2:3" x14ac:dyDescent="0.15">
      <c r="B45" s="25"/>
      <c r="C45" s="26"/>
    </row>
    <row r="46" spans="2:3" x14ac:dyDescent="0.15">
      <c r="B46" s="42" t="s">
        <v>138</v>
      </c>
      <c r="C46" s="26">
        <v>6.1</v>
      </c>
    </row>
    <row r="47" spans="2:3" x14ac:dyDescent="0.15">
      <c r="B47" s="42" t="s">
        <v>45</v>
      </c>
      <c r="C47" s="26">
        <v>6.2</v>
      </c>
    </row>
    <row r="48" spans="2:3" x14ac:dyDescent="0.15">
      <c r="B48" s="42"/>
      <c r="C48" s="26"/>
    </row>
    <row r="49" spans="2:4" x14ac:dyDescent="0.15">
      <c r="B49" s="42" t="s">
        <v>44</v>
      </c>
      <c r="C49" s="26">
        <v>5</v>
      </c>
    </row>
    <row r="50" spans="2:4" x14ac:dyDescent="0.15">
      <c r="B50" s="42"/>
      <c r="C50" s="26"/>
    </row>
    <row r="51" spans="2:4" ht="14" thickBot="1" x14ac:dyDescent="0.2">
      <c r="B51" s="43" t="s">
        <v>73</v>
      </c>
      <c r="C51" s="27">
        <v>7</v>
      </c>
    </row>
    <row r="53" spans="2:4" x14ac:dyDescent="0.15">
      <c r="B53" s="157" t="s">
        <v>171</v>
      </c>
      <c r="C53" s="99">
        <v>490</v>
      </c>
      <c r="D53" s="99"/>
    </row>
    <row r="54" spans="2:4" x14ac:dyDescent="0.15">
      <c r="B54" s="157" t="s">
        <v>172</v>
      </c>
      <c r="C54" s="157" t="s">
        <v>185</v>
      </c>
      <c r="D54" s="99"/>
    </row>
    <row r="55" spans="2:4" x14ac:dyDescent="0.15">
      <c r="B55" s="157" t="s">
        <v>173</v>
      </c>
      <c r="C55" s="157" t="s">
        <v>186</v>
      </c>
      <c r="D55" s="99"/>
    </row>
    <row r="56" spans="2:4" x14ac:dyDescent="0.15">
      <c r="B56" s="157" t="s">
        <v>174</v>
      </c>
      <c r="C56" s="99">
        <v>66</v>
      </c>
      <c r="D56" s="99"/>
    </row>
    <row r="57" spans="2:4" x14ac:dyDescent="0.15">
      <c r="B57" s="157" t="s">
        <v>175</v>
      </c>
      <c r="C57" s="157" t="s">
        <v>187</v>
      </c>
      <c r="D57" s="99"/>
    </row>
    <row r="58" spans="2:4" x14ac:dyDescent="0.15">
      <c r="B58" s="157" t="s">
        <v>176</v>
      </c>
      <c r="C58" s="157" t="s">
        <v>188</v>
      </c>
      <c r="D58" s="99"/>
    </row>
    <row r="59" spans="2:4" x14ac:dyDescent="0.15">
      <c r="B59" s="157" t="s">
        <v>177</v>
      </c>
      <c r="C59" s="157" t="s">
        <v>189</v>
      </c>
      <c r="D59" s="99"/>
    </row>
    <row r="60" spans="2:4" x14ac:dyDescent="0.15">
      <c r="B60" s="157" t="s">
        <v>178</v>
      </c>
      <c r="C60" s="157" t="s">
        <v>190</v>
      </c>
      <c r="D60" s="99"/>
    </row>
    <row r="61" spans="2:4" x14ac:dyDescent="0.15">
      <c r="B61" s="157" t="s">
        <v>179</v>
      </c>
      <c r="C61" s="99">
        <v>20</v>
      </c>
      <c r="D61" s="99"/>
    </row>
    <row r="62" spans="2:4" x14ac:dyDescent="0.15">
      <c r="B62" s="157" t="s">
        <v>180</v>
      </c>
      <c r="C62" s="99">
        <v>1</v>
      </c>
      <c r="D62" s="99"/>
    </row>
    <row r="63" spans="2:4" x14ac:dyDescent="0.15">
      <c r="B63" s="157" t="s">
        <v>181</v>
      </c>
      <c r="C63" s="99">
        <v>1996</v>
      </c>
      <c r="D63" s="99"/>
    </row>
    <row r="64" spans="2:4" x14ac:dyDescent="0.15">
      <c r="B64" s="157" t="s">
        <v>182</v>
      </c>
      <c r="C64" s="99">
        <v>1</v>
      </c>
      <c r="D64" s="99"/>
    </row>
    <row r="65" spans="2:4" x14ac:dyDescent="0.15">
      <c r="B65" s="157" t="s">
        <v>183</v>
      </c>
      <c r="C65" s="157" t="s">
        <v>191</v>
      </c>
      <c r="D65" s="99"/>
    </row>
    <row r="66" spans="2:4" x14ac:dyDescent="0.15">
      <c r="B66" s="157" t="s">
        <v>184</v>
      </c>
      <c r="D66" s="99"/>
    </row>
    <row r="67" spans="2:4" x14ac:dyDescent="0.15">
      <c r="B67" s="99"/>
      <c r="C67" s="99"/>
      <c r="D67" s="99"/>
    </row>
    <row r="68" spans="2:4" x14ac:dyDescent="0.15">
      <c r="B68" s="99"/>
      <c r="C68" s="99"/>
      <c r="D68" s="99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71" customWidth="1"/>
    <col min="2" max="3" width="3.33203125" style="71" customWidth="1"/>
    <col min="4" max="4" width="14.33203125" style="71" customWidth="1"/>
    <col min="5" max="5" width="21.6640625" style="71" bestFit="1" customWidth="1"/>
    <col min="6" max="6" width="2.33203125" style="71" bestFit="1" customWidth="1"/>
    <col min="7" max="7" width="7.83203125" style="71" bestFit="1" customWidth="1"/>
    <col min="8" max="9" width="7.83203125" style="71" customWidth="1"/>
    <col min="10" max="10" width="11.83203125" style="71" customWidth="1"/>
    <col min="11" max="11" width="12.83203125" style="71" customWidth="1"/>
    <col min="12" max="12" width="2.33203125" style="71" customWidth="1"/>
    <col min="13" max="13" width="3.83203125" style="71" customWidth="1"/>
    <col min="14" max="14" width="2.33203125" style="71" customWidth="1"/>
    <col min="16" max="25" width="8.83203125" style="71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1"/>
  </cols>
  <sheetData>
    <row r="1" spans="1:46" s="88" customFormat="1" ht="15" customHeight="1" x14ac:dyDescent="0.15">
      <c r="A1" s="67" t="s">
        <v>18</v>
      </c>
      <c r="C1" s="68" t="s">
        <v>8</v>
      </c>
      <c r="D1" s="67" t="s">
        <v>23</v>
      </c>
      <c r="E1" s="67" t="s">
        <v>0</v>
      </c>
      <c r="F1" s="67" t="s">
        <v>7</v>
      </c>
      <c r="G1" s="69" t="s">
        <v>13</v>
      </c>
      <c r="H1" s="67" t="s">
        <v>1</v>
      </c>
      <c r="I1" s="67" t="s">
        <v>2</v>
      </c>
      <c r="J1" s="67" t="s">
        <v>14</v>
      </c>
      <c r="K1" s="67" t="s">
        <v>3</v>
      </c>
      <c r="L1" s="67" t="s">
        <v>4</v>
      </c>
      <c r="M1" s="67" t="s">
        <v>5</v>
      </c>
      <c r="N1" s="67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8">
        <v>1</v>
      </c>
      <c r="D2"/>
      <c r="E2" s="158" t="s">
        <v>192</v>
      </c>
      <c r="F2" s="71">
        <v>1</v>
      </c>
      <c r="G2" s="71">
        <v>51.398000000000003</v>
      </c>
      <c r="H2" s="71">
        <v>255.22800000000001</v>
      </c>
      <c r="I2" s="6">
        <v>0</v>
      </c>
      <c r="J2" s="6">
        <v>0.33978682799999999</v>
      </c>
      <c r="K2" s="6">
        <v>0</v>
      </c>
      <c r="L2" s="6">
        <v>0</v>
      </c>
      <c r="M2" s="71">
        <v>0</v>
      </c>
      <c r="N2" s="71">
        <v>0</v>
      </c>
    </row>
    <row r="3" spans="1:46" ht="15" customHeight="1" x14ac:dyDescent="0.15">
      <c r="A3" s="1" t="s">
        <v>9</v>
      </c>
      <c r="B3" s="4">
        <v>19</v>
      </c>
      <c r="C3" s="71">
        <v>2</v>
      </c>
      <c r="D3"/>
      <c r="E3" s="158" t="s">
        <v>193</v>
      </c>
      <c r="F3" s="71">
        <v>1</v>
      </c>
      <c r="G3" s="71">
        <v>69.203999999999994</v>
      </c>
      <c r="H3" s="71">
        <v>15.84</v>
      </c>
      <c r="I3" s="71">
        <v>0</v>
      </c>
      <c r="J3" s="71">
        <v>0.1360459</v>
      </c>
      <c r="K3" s="71">
        <v>0</v>
      </c>
      <c r="L3" s="71">
        <v>0</v>
      </c>
      <c r="M3" s="71">
        <v>0</v>
      </c>
      <c r="N3" s="71">
        <v>0</v>
      </c>
    </row>
    <row r="4" spans="1:46" ht="15" customHeight="1" x14ac:dyDescent="0.15">
      <c r="A4" s="1" t="s">
        <v>10</v>
      </c>
      <c r="B4" s="4">
        <v>2</v>
      </c>
      <c r="C4" s="71">
        <v>3</v>
      </c>
      <c r="D4"/>
      <c r="E4" s="158" t="s">
        <v>194</v>
      </c>
      <c r="F4" s="71">
        <v>0</v>
      </c>
      <c r="G4" s="71">
        <v>28.27</v>
      </c>
      <c r="H4" s="71">
        <v>45.826999999999998</v>
      </c>
      <c r="I4" s="71">
        <v>175.67699999999999</v>
      </c>
      <c r="J4" s="71">
        <v>0.89022475499999998</v>
      </c>
      <c r="K4" s="71">
        <v>0.26085940000000002</v>
      </c>
      <c r="L4" s="71">
        <v>0</v>
      </c>
      <c r="M4" s="71">
        <v>0.2</v>
      </c>
      <c r="N4" s="71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1">
        <v>4</v>
      </c>
      <c r="D5"/>
      <c r="E5" s="158" t="s">
        <v>195</v>
      </c>
      <c r="F5" s="71">
        <v>0</v>
      </c>
      <c r="G5" s="71">
        <v>324.892</v>
      </c>
      <c r="H5" s="71">
        <v>0.89900000000000002</v>
      </c>
      <c r="I5" s="71">
        <v>5.6109999999999998</v>
      </c>
      <c r="J5" s="71">
        <v>0.60269079999999997</v>
      </c>
      <c r="K5" s="71">
        <v>0.160221</v>
      </c>
      <c r="L5" s="71">
        <v>0</v>
      </c>
      <c r="M5" s="71">
        <v>0.2</v>
      </c>
      <c r="N5" s="71">
        <v>0</v>
      </c>
      <c r="P5" s="62"/>
      <c r="Q5" s="62"/>
      <c r="R5" s="62"/>
    </row>
    <row r="6" spans="1:46" ht="15" customHeight="1" thickBot="1" x14ac:dyDescent="0.2">
      <c r="B6" s="1"/>
      <c r="C6" s="71">
        <v>5</v>
      </c>
      <c r="D6"/>
      <c r="E6" s="158" t="s">
        <v>196</v>
      </c>
      <c r="F6" s="71">
        <v>0</v>
      </c>
      <c r="G6" s="71">
        <v>7.0490000000000004</v>
      </c>
      <c r="H6" s="71">
        <v>1.5760000000000001</v>
      </c>
      <c r="I6" s="71">
        <v>10.037000000000001</v>
      </c>
      <c r="J6" s="71">
        <v>0.80540126599999995</v>
      </c>
      <c r="K6" s="71">
        <v>0.157019034</v>
      </c>
      <c r="L6" s="71">
        <v>0</v>
      </c>
      <c r="M6" s="71">
        <v>0.2</v>
      </c>
      <c r="N6" s="71">
        <v>0</v>
      </c>
      <c r="P6" s="62"/>
      <c r="Q6" s="62"/>
      <c r="R6" s="62"/>
      <c r="W6" s="29" t="s">
        <v>31</v>
      </c>
      <c r="X6" s="45">
        <f>MAX(MainOutputs!G:G)</f>
        <v>0.9659726619720459</v>
      </c>
    </row>
    <row r="7" spans="1:46" ht="15" customHeight="1" x14ac:dyDescent="0.15">
      <c r="A7" s="2" t="s">
        <v>27</v>
      </c>
      <c r="B7" s="71">
        <f ca="1">COUNTIF(OFFSET(cornerDiets,1,1,NumLiving+NumDead+1,NumLiving+NumDead),"&gt;0")+NumLiving+NumDead+1</f>
        <v>100</v>
      </c>
      <c r="C7" s="71">
        <v>6</v>
      </c>
      <c r="D7"/>
      <c r="E7" s="158" t="s">
        <v>197</v>
      </c>
      <c r="F7" s="71">
        <v>0</v>
      </c>
      <c r="G7" s="71">
        <v>7.9249999999999998</v>
      </c>
      <c r="H7" s="71">
        <v>0.55100000000000005</v>
      </c>
      <c r="I7" s="71">
        <v>2.589</v>
      </c>
      <c r="J7" s="71">
        <v>0.94904840000000001</v>
      </c>
      <c r="K7" s="71">
        <v>0.21282348000000001</v>
      </c>
      <c r="L7" s="71">
        <v>0</v>
      </c>
      <c r="M7" s="71">
        <v>0.2</v>
      </c>
      <c r="N7" s="71">
        <v>0</v>
      </c>
      <c r="P7" s="62"/>
      <c r="Q7" s="62"/>
      <c r="R7" s="62"/>
    </row>
    <row r="8" spans="1:46" ht="15" customHeight="1" x14ac:dyDescent="0.15">
      <c r="A8" s="2" t="s">
        <v>28</v>
      </c>
      <c r="B8" s="71">
        <f ca="1">COUNTIF(OFFSET(cornerFishing,1,2,NumLiving+NumDead,NumGears),"&gt;0")+NumDead*COUNTIF(OFFSET(cornerDiscards,1,2,NumLiving+NumDead,NumGears),"&gt;0")+NumLiving+NumDead+1</f>
        <v>32</v>
      </c>
      <c r="C8" s="71">
        <v>7</v>
      </c>
      <c r="D8"/>
      <c r="E8" s="158" t="s">
        <v>198</v>
      </c>
      <c r="F8" s="71">
        <v>0</v>
      </c>
      <c r="G8" s="71">
        <v>25.244</v>
      </c>
      <c r="H8" s="71">
        <v>0.92500000000000004</v>
      </c>
      <c r="I8" s="71">
        <v>2.778</v>
      </c>
      <c r="J8" s="71">
        <v>0.78783625400000001</v>
      </c>
      <c r="K8" s="71">
        <v>0.33297336100000002</v>
      </c>
      <c r="L8" s="71">
        <v>0</v>
      </c>
      <c r="M8" s="71">
        <v>0.2</v>
      </c>
      <c r="N8" s="71">
        <v>0</v>
      </c>
      <c r="P8" s="62"/>
      <c r="Q8" s="62"/>
      <c r="R8" s="62"/>
    </row>
    <row r="9" spans="1:46" ht="15" customHeight="1" x14ac:dyDescent="0.15">
      <c r="B9" s="1"/>
      <c r="C9" s="71">
        <v>8</v>
      </c>
      <c r="D9"/>
      <c r="E9" s="158" t="s">
        <v>199</v>
      </c>
      <c r="F9" s="71">
        <v>0</v>
      </c>
      <c r="G9" s="71">
        <v>70.679000000000002</v>
      </c>
      <c r="H9" s="71">
        <v>0.98899999999999999</v>
      </c>
      <c r="I9" s="71">
        <v>5.4249999999999998</v>
      </c>
      <c r="J9" s="71">
        <v>0.84472349999999996</v>
      </c>
      <c r="K9" s="71">
        <v>0.182304144</v>
      </c>
      <c r="L9" s="71">
        <v>0</v>
      </c>
      <c r="M9" s="71">
        <v>0.2</v>
      </c>
      <c r="N9" s="71">
        <v>0</v>
      </c>
      <c r="P9" s="62"/>
      <c r="Q9" s="62"/>
      <c r="R9" s="62"/>
    </row>
    <row r="10" spans="1:46" ht="15" customHeight="1" x14ac:dyDescent="0.15">
      <c r="B10" s="1"/>
      <c r="C10" s="71">
        <v>9</v>
      </c>
      <c r="D10"/>
      <c r="E10" s="158" t="s">
        <v>200</v>
      </c>
      <c r="F10" s="71">
        <v>0</v>
      </c>
      <c r="G10" s="71">
        <v>82.134</v>
      </c>
      <c r="H10" s="71">
        <v>1.018</v>
      </c>
      <c r="I10" s="71">
        <v>4.859</v>
      </c>
      <c r="J10" s="71">
        <v>0.94845104199999997</v>
      </c>
      <c r="K10" s="71">
        <v>0.20950812099999999</v>
      </c>
      <c r="L10" s="71">
        <v>0</v>
      </c>
      <c r="M10" s="71">
        <v>0.2</v>
      </c>
      <c r="N10" s="71">
        <v>0</v>
      </c>
    </row>
    <row r="11" spans="1:46" ht="15" customHeight="1" x14ac:dyDescent="0.15">
      <c r="C11" s="71">
        <v>10</v>
      </c>
      <c r="D11"/>
      <c r="E11" s="158" t="s">
        <v>201</v>
      </c>
      <c r="F11" s="71">
        <v>0</v>
      </c>
      <c r="G11" s="71">
        <v>28.103999999999999</v>
      </c>
      <c r="H11" s="71">
        <v>1.653</v>
      </c>
      <c r="I11" s="71">
        <v>4.7309999999999999</v>
      </c>
      <c r="J11" s="71">
        <v>0.80488349999999997</v>
      </c>
      <c r="K11" s="71">
        <v>0.34939759999999997</v>
      </c>
      <c r="L11" s="71">
        <v>0</v>
      </c>
      <c r="M11" s="71">
        <v>0.2</v>
      </c>
      <c r="N11" s="71">
        <v>0</v>
      </c>
    </row>
    <row r="12" spans="1:46" ht="15" customHeight="1" x14ac:dyDescent="0.15">
      <c r="C12" s="71">
        <v>11</v>
      </c>
      <c r="D12"/>
      <c r="E12" s="158" t="s">
        <v>202</v>
      </c>
      <c r="F12" s="71">
        <v>0</v>
      </c>
      <c r="G12" s="71">
        <v>9.9740000000000002</v>
      </c>
      <c r="H12" s="71">
        <v>0.89700000000000002</v>
      </c>
      <c r="I12" s="71">
        <v>4.952</v>
      </c>
      <c r="J12" s="71">
        <v>0.91737175000000004</v>
      </c>
      <c r="K12" s="71">
        <v>0.181138933</v>
      </c>
      <c r="L12" s="71">
        <v>0</v>
      </c>
      <c r="M12" s="71">
        <v>0.2</v>
      </c>
      <c r="N12" s="71">
        <v>0</v>
      </c>
    </row>
    <row r="13" spans="1:46" ht="15" customHeight="1" x14ac:dyDescent="0.15">
      <c r="C13" s="71">
        <v>12</v>
      </c>
      <c r="D13"/>
      <c r="E13" s="158" t="s">
        <v>203</v>
      </c>
      <c r="F13" s="71">
        <v>0</v>
      </c>
      <c r="G13" s="71">
        <v>27.780999999999999</v>
      </c>
      <c r="H13" s="71">
        <v>2.165</v>
      </c>
      <c r="I13" s="71">
        <v>9.8889999999999993</v>
      </c>
      <c r="J13" s="71">
        <v>0.92954389999999998</v>
      </c>
      <c r="K13" s="71">
        <v>0.218930125</v>
      </c>
      <c r="L13" s="71">
        <v>0</v>
      </c>
      <c r="M13" s="71">
        <v>0.2</v>
      </c>
      <c r="N13" s="71">
        <v>0</v>
      </c>
    </row>
    <row r="14" spans="1:46" ht="15" customHeight="1" x14ac:dyDescent="0.15">
      <c r="C14" s="71">
        <v>13</v>
      </c>
      <c r="D14"/>
      <c r="E14" s="158" t="s">
        <v>204</v>
      </c>
      <c r="F14" s="71">
        <v>0</v>
      </c>
      <c r="G14" s="71">
        <v>11.567</v>
      </c>
      <c r="H14" s="71">
        <v>0.69199999999999995</v>
      </c>
      <c r="I14" s="71">
        <v>3.254</v>
      </c>
      <c r="J14" s="71">
        <v>0.85805165800000005</v>
      </c>
      <c r="K14" s="71">
        <v>0.212661341</v>
      </c>
      <c r="L14" s="71">
        <v>0</v>
      </c>
      <c r="M14" s="71">
        <v>0.2</v>
      </c>
      <c r="N14" s="71">
        <v>0</v>
      </c>
    </row>
    <row r="15" spans="1:46" ht="15" customHeight="1" x14ac:dyDescent="0.15">
      <c r="C15" s="71">
        <v>14</v>
      </c>
      <c r="D15"/>
      <c r="E15" s="158" t="s">
        <v>205</v>
      </c>
      <c r="F15" s="71">
        <v>0</v>
      </c>
      <c r="G15" s="71">
        <v>0.315</v>
      </c>
      <c r="H15" s="71">
        <v>4.8780000000000001</v>
      </c>
      <c r="I15" s="71">
        <v>11.441000000000001</v>
      </c>
      <c r="J15" s="71">
        <v>0.84395450000000005</v>
      </c>
      <c r="K15" s="71">
        <v>0.42636132199999999</v>
      </c>
      <c r="L15" s="71">
        <v>0</v>
      </c>
      <c r="M15" s="71">
        <v>0.2</v>
      </c>
      <c r="N15" s="71">
        <v>0</v>
      </c>
    </row>
    <row r="16" spans="1:46" ht="15" customHeight="1" x14ac:dyDescent="0.15">
      <c r="C16" s="71">
        <v>15</v>
      </c>
      <c r="D16"/>
      <c r="E16" s="158" t="s">
        <v>206</v>
      </c>
      <c r="F16" s="71">
        <v>0</v>
      </c>
      <c r="G16" s="71">
        <v>1.774</v>
      </c>
      <c r="H16" s="71">
        <v>1.3069999999999999</v>
      </c>
      <c r="I16" s="71">
        <v>10.426</v>
      </c>
      <c r="J16" s="71">
        <v>0.84619015500000005</v>
      </c>
      <c r="K16" s="71">
        <v>0.125359684</v>
      </c>
      <c r="L16" s="71">
        <v>0</v>
      </c>
      <c r="M16" s="71">
        <v>0.2</v>
      </c>
      <c r="N16" s="71">
        <v>0</v>
      </c>
    </row>
    <row r="17" spans="1:22" ht="15" customHeight="1" x14ac:dyDescent="0.15">
      <c r="C17" s="71">
        <v>16</v>
      </c>
      <c r="D17"/>
      <c r="E17" s="158" t="s">
        <v>207</v>
      </c>
      <c r="F17" s="71">
        <v>0</v>
      </c>
      <c r="G17" s="71">
        <v>5.8689999999999998</v>
      </c>
      <c r="H17" s="71">
        <v>1.9390000000000001</v>
      </c>
      <c r="I17" s="71">
        <v>20.867999999999999</v>
      </c>
      <c r="J17" s="71">
        <v>0.96597266199999998</v>
      </c>
      <c r="K17" s="71">
        <v>9.2917379999999994E-2</v>
      </c>
      <c r="L17" s="71">
        <v>0</v>
      </c>
      <c r="M17" s="71">
        <v>0.2</v>
      </c>
      <c r="N17" s="71">
        <v>0</v>
      </c>
      <c r="V17" s="1" t="s">
        <v>30</v>
      </c>
    </row>
    <row r="18" spans="1:22" ht="15" customHeight="1" x14ac:dyDescent="0.15">
      <c r="C18" s="71">
        <v>17</v>
      </c>
      <c r="D18"/>
      <c r="E18" s="158" t="s">
        <v>208</v>
      </c>
      <c r="F18" s="71">
        <v>0</v>
      </c>
      <c r="G18" s="71">
        <v>1.36</v>
      </c>
      <c r="H18" s="71">
        <v>0.77100000000000002</v>
      </c>
      <c r="I18" s="71">
        <v>7.9279999999999999</v>
      </c>
      <c r="J18" s="71">
        <v>0.67866990000000005</v>
      </c>
      <c r="K18" s="71">
        <v>9.7250249999999996E-2</v>
      </c>
      <c r="L18" s="71">
        <v>0</v>
      </c>
      <c r="M18" s="71">
        <v>0.2</v>
      </c>
      <c r="N18" s="71">
        <v>0</v>
      </c>
      <c r="V18" s="1"/>
    </row>
    <row r="19" spans="1:22" ht="15" customHeight="1" x14ac:dyDescent="0.15">
      <c r="C19" s="71">
        <v>18</v>
      </c>
      <c r="D19"/>
      <c r="E19" s="158" t="s">
        <v>209</v>
      </c>
      <c r="F19" s="71">
        <v>0</v>
      </c>
      <c r="G19" s="71">
        <v>5.1999999999999998E-2</v>
      </c>
      <c r="H19" s="71">
        <v>0.10100000000000001</v>
      </c>
      <c r="I19" s="71">
        <v>49.087000000000003</v>
      </c>
      <c r="J19" s="71">
        <v>0</v>
      </c>
      <c r="K19" s="71">
        <v>2.0575711999999999E-3</v>
      </c>
      <c r="L19" s="71">
        <v>0</v>
      </c>
      <c r="M19" s="71">
        <v>0.2</v>
      </c>
      <c r="N19" s="71">
        <v>0</v>
      </c>
    </row>
    <row r="20" spans="1:22" ht="15" customHeight="1" thickBot="1" x14ac:dyDescent="0.2">
      <c r="C20" s="71">
        <v>19</v>
      </c>
      <c r="D20"/>
      <c r="E20" s="158" t="s">
        <v>210</v>
      </c>
      <c r="F20" s="71">
        <v>0</v>
      </c>
      <c r="G20" s="71">
        <v>5.6000000000000001E-2</v>
      </c>
      <c r="H20" s="71">
        <v>3.4000000000000002E-2</v>
      </c>
      <c r="I20" s="71">
        <v>62.56</v>
      </c>
      <c r="J20" s="71">
        <v>0</v>
      </c>
      <c r="K20" s="71">
        <v>5.4347830000000001E-4</v>
      </c>
      <c r="L20" s="71">
        <v>0</v>
      </c>
      <c r="M20" s="71">
        <v>0.2</v>
      </c>
      <c r="N20" s="71">
        <v>0</v>
      </c>
    </row>
    <row r="21" spans="1:22" ht="15" customHeight="1" thickBot="1" x14ac:dyDescent="0.2">
      <c r="A21" s="40" t="s">
        <v>137</v>
      </c>
      <c r="B21" s="89"/>
      <c r="C21" s="71">
        <v>20</v>
      </c>
      <c r="D21"/>
      <c r="E21" s="158" t="s">
        <v>211</v>
      </c>
      <c r="F21" s="71">
        <v>2</v>
      </c>
      <c r="G21" s="71">
        <v>1</v>
      </c>
      <c r="H21" s="71">
        <v>0</v>
      </c>
      <c r="I21" s="71">
        <v>0</v>
      </c>
      <c r="J21" s="71">
        <v>0</v>
      </c>
      <c r="K21" s="71">
        <v>0</v>
      </c>
      <c r="L21" s="71">
        <v>0</v>
      </c>
      <c r="M21" s="71">
        <v>0</v>
      </c>
      <c r="N21" s="71">
        <v>0</v>
      </c>
    </row>
    <row r="22" spans="1:22" ht="15" customHeight="1" x14ac:dyDescent="0.15">
      <c r="A22" s="90" t="s">
        <v>58</v>
      </c>
      <c r="B22" s="91">
        <v>0</v>
      </c>
      <c r="C22" s="71">
        <v>21</v>
      </c>
      <c r="D22"/>
      <c r="E22" s="158" t="s">
        <v>212</v>
      </c>
      <c r="F22" s="71">
        <v>2</v>
      </c>
      <c r="G22" s="71">
        <v>5</v>
      </c>
      <c r="H22" s="71">
        <v>0</v>
      </c>
      <c r="I22" s="71">
        <v>0</v>
      </c>
      <c r="J22" s="71">
        <v>0</v>
      </c>
      <c r="K22" s="71">
        <v>0</v>
      </c>
      <c r="L22" s="71">
        <v>0</v>
      </c>
      <c r="M22" s="71">
        <v>0</v>
      </c>
      <c r="N22" s="71">
        <v>0</v>
      </c>
    </row>
    <row r="23" spans="1:22" ht="15" customHeight="1" x14ac:dyDescent="0.15">
      <c r="A23" s="90" t="s">
        <v>59</v>
      </c>
      <c r="B23" s="91">
        <v>1</v>
      </c>
      <c r="C23" s="71">
        <v>22</v>
      </c>
      <c r="D23"/>
      <c r="E23" s="158" t="s">
        <v>213</v>
      </c>
      <c r="F23" s="71">
        <v>3</v>
      </c>
      <c r="G23" s="71">
        <v>0</v>
      </c>
      <c r="H23" s="71">
        <v>0</v>
      </c>
      <c r="I23" s="71">
        <v>0</v>
      </c>
      <c r="J23" s="71">
        <v>0</v>
      </c>
      <c r="K23" s="71">
        <v>0</v>
      </c>
      <c r="L23" s="71">
        <v>0</v>
      </c>
      <c r="M23" s="71">
        <v>0</v>
      </c>
      <c r="N23" s="71">
        <v>0</v>
      </c>
    </row>
    <row r="24" spans="1:22" ht="15" customHeight="1" x14ac:dyDescent="0.15">
      <c r="A24" s="90" t="s">
        <v>60</v>
      </c>
      <c r="B24" s="91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92" t="s">
        <v>44</v>
      </c>
      <c r="B25" s="93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4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1" bestFit="1" customWidth="1"/>
    <col min="2" max="3" width="2.33203125" style="131" bestFit="1" customWidth="1"/>
    <col min="4" max="10" width="5.83203125" style="131" bestFit="1" customWidth="1"/>
    <col min="11" max="11" width="13.83203125" style="131" bestFit="1" customWidth="1"/>
    <col min="12" max="17" width="5.83203125" style="131" bestFit="1" customWidth="1"/>
    <col min="18" max="18" width="4.83203125" style="131" bestFit="1" customWidth="1"/>
    <col min="19" max="20" width="5.83203125" style="131" bestFit="1" customWidth="1"/>
    <col min="21" max="22" width="2.33203125" style="131" bestFit="1" customWidth="1"/>
    <col min="23" max="29" width="9" style="131" bestFit="1" customWidth="1"/>
    <col min="30" max="16384" width="8.83203125" style="131"/>
  </cols>
  <sheetData>
    <row r="1" spans="1:34" x14ac:dyDescent="0.15">
      <c r="A1" s="130" t="s">
        <v>19</v>
      </c>
      <c r="B1" s="160" t="s">
        <v>192</v>
      </c>
      <c r="C1" s="160" t="s">
        <v>193</v>
      </c>
      <c r="D1" s="160" t="s">
        <v>194</v>
      </c>
      <c r="E1" s="160" t="s">
        <v>195</v>
      </c>
      <c r="F1" s="160" t="s">
        <v>196</v>
      </c>
      <c r="G1" s="160" t="s">
        <v>197</v>
      </c>
      <c r="H1" s="160" t="s">
        <v>198</v>
      </c>
      <c r="I1" s="160" t="s">
        <v>199</v>
      </c>
      <c r="J1" s="160" t="s">
        <v>200</v>
      </c>
      <c r="K1" s="160" t="s">
        <v>201</v>
      </c>
      <c r="L1" s="160" t="s">
        <v>202</v>
      </c>
      <c r="M1" s="160" t="s">
        <v>203</v>
      </c>
      <c r="N1" s="160" t="s">
        <v>204</v>
      </c>
      <c r="O1" s="160" t="s">
        <v>205</v>
      </c>
      <c r="P1" s="160" t="s">
        <v>206</v>
      </c>
      <c r="Q1" s="160" t="s">
        <v>207</v>
      </c>
      <c r="R1" s="160" t="s">
        <v>208</v>
      </c>
      <c r="S1" s="160" t="s">
        <v>209</v>
      </c>
      <c r="T1" s="160" t="s">
        <v>210</v>
      </c>
      <c r="U1" s="160" t="s">
        <v>211</v>
      </c>
      <c r="V1" s="160" t="s">
        <v>212</v>
      </c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59" t="s">
        <v>192</v>
      </c>
      <c r="B2" s="131">
        <v>0</v>
      </c>
      <c r="C2" s="131">
        <v>0</v>
      </c>
      <c r="D2" s="131">
        <v>0.70200000000000007</v>
      </c>
      <c r="E2" s="131">
        <v>0.29299999999999998</v>
      </c>
      <c r="F2" s="131">
        <v>0.78700000000000003</v>
      </c>
      <c r="G2" s="131">
        <v>0</v>
      </c>
      <c r="H2" s="131">
        <v>0</v>
      </c>
      <c r="I2" s="131">
        <v>0</v>
      </c>
      <c r="J2" s="131">
        <v>0.70900000000000007</v>
      </c>
      <c r="K2" s="131">
        <v>0</v>
      </c>
      <c r="L2" s="131">
        <v>0</v>
      </c>
      <c r="M2" s="131">
        <v>0</v>
      </c>
      <c r="N2" s="131">
        <v>0</v>
      </c>
      <c r="O2" s="131">
        <v>0</v>
      </c>
      <c r="P2" s="131">
        <v>0</v>
      </c>
      <c r="Q2" s="131">
        <v>0.80200000000000005</v>
      </c>
      <c r="R2" s="131">
        <v>0</v>
      </c>
      <c r="S2" s="131">
        <v>0</v>
      </c>
      <c r="T2" s="131">
        <v>0</v>
      </c>
      <c r="U2" s="131">
        <v>0</v>
      </c>
      <c r="V2" s="131">
        <v>0</v>
      </c>
    </row>
    <row r="3" spans="1:34" customFormat="1" x14ac:dyDescent="0.15">
      <c r="A3" s="159" t="s">
        <v>193</v>
      </c>
      <c r="B3" s="131">
        <v>0</v>
      </c>
      <c r="C3" s="131">
        <v>0</v>
      </c>
      <c r="D3" s="131">
        <v>0</v>
      </c>
      <c r="E3" s="131">
        <v>0</v>
      </c>
      <c r="F3" s="131">
        <v>0</v>
      </c>
      <c r="G3" s="131">
        <v>0.81100000000000005</v>
      </c>
      <c r="H3" s="131">
        <v>0.78300000000000003</v>
      </c>
      <c r="I3" s="131">
        <v>0.191</v>
      </c>
      <c r="J3" s="131">
        <v>0</v>
      </c>
      <c r="K3" s="131">
        <v>0</v>
      </c>
      <c r="L3" s="131">
        <v>0</v>
      </c>
      <c r="M3" s="131">
        <v>0</v>
      </c>
      <c r="N3" s="131">
        <v>0</v>
      </c>
      <c r="O3" s="131">
        <v>0</v>
      </c>
      <c r="P3" s="131">
        <v>0.23499999999999999</v>
      </c>
      <c r="Q3" s="131">
        <v>0</v>
      </c>
      <c r="R3" s="131">
        <v>0</v>
      </c>
      <c r="S3" s="131">
        <v>0</v>
      </c>
      <c r="T3" s="131">
        <v>0</v>
      </c>
      <c r="U3" s="131">
        <v>0</v>
      </c>
      <c r="V3" s="131">
        <v>0</v>
      </c>
    </row>
    <row r="4" spans="1:34" customFormat="1" x14ac:dyDescent="0.15">
      <c r="A4" s="159" t="s">
        <v>194</v>
      </c>
      <c r="B4" s="131">
        <v>0</v>
      </c>
      <c r="C4" s="131">
        <v>0</v>
      </c>
      <c r="D4" s="131">
        <v>0.19000000000000003</v>
      </c>
      <c r="E4" s="131">
        <v>5.0999999999999997E-2</v>
      </c>
      <c r="F4" s="131">
        <v>0</v>
      </c>
      <c r="G4" s="131">
        <v>0</v>
      </c>
      <c r="H4" s="131">
        <v>0</v>
      </c>
      <c r="I4" s="131">
        <v>0</v>
      </c>
      <c r="J4" s="131">
        <v>0.19500000000000003</v>
      </c>
      <c r="K4" s="131">
        <v>0</v>
      </c>
      <c r="L4" s="131">
        <v>2E-3</v>
      </c>
      <c r="M4" s="131">
        <v>0</v>
      </c>
      <c r="N4" s="131">
        <v>0</v>
      </c>
      <c r="O4" s="131">
        <v>0</v>
      </c>
      <c r="P4" s="131">
        <v>0.51300000000000001</v>
      </c>
      <c r="Q4" s="131">
        <v>0.19800000000000001</v>
      </c>
      <c r="R4" s="131">
        <v>0.47</v>
      </c>
      <c r="S4" s="131">
        <v>0</v>
      </c>
      <c r="T4" s="131">
        <v>0</v>
      </c>
      <c r="U4" s="131">
        <v>0</v>
      </c>
      <c r="V4" s="131">
        <v>0</v>
      </c>
    </row>
    <row r="5" spans="1:34" customFormat="1" x14ac:dyDescent="0.15">
      <c r="A5" s="159" t="s">
        <v>195</v>
      </c>
      <c r="B5" s="131">
        <v>0</v>
      </c>
      <c r="C5" s="131">
        <v>0</v>
      </c>
      <c r="D5" s="131">
        <v>0</v>
      </c>
      <c r="E5" s="131">
        <v>0</v>
      </c>
      <c r="F5" s="131">
        <v>0</v>
      </c>
      <c r="G5" s="131">
        <v>0.09</v>
      </c>
      <c r="H5" s="131">
        <v>0</v>
      </c>
      <c r="I5" s="131">
        <v>0</v>
      </c>
      <c r="J5" s="131">
        <v>0</v>
      </c>
      <c r="K5" s="131">
        <v>0.39760240194825175</v>
      </c>
      <c r="L5" s="131">
        <v>0.46200000000000002</v>
      </c>
      <c r="M5" s="131">
        <v>0.29199999999999998</v>
      </c>
      <c r="N5" s="131">
        <v>0.3839999999999999</v>
      </c>
      <c r="O5" s="131">
        <v>0</v>
      </c>
      <c r="P5" s="131">
        <v>0.20699999999999999</v>
      </c>
      <c r="Q5" s="131">
        <v>0</v>
      </c>
      <c r="R5" s="131">
        <v>0</v>
      </c>
      <c r="S5" s="131">
        <v>0</v>
      </c>
      <c r="T5" s="131">
        <v>0</v>
      </c>
      <c r="U5" s="131">
        <v>0</v>
      </c>
      <c r="V5" s="131">
        <v>0</v>
      </c>
    </row>
    <row r="6" spans="1:34" customFormat="1" x14ac:dyDescent="0.15">
      <c r="A6" s="159" t="s">
        <v>196</v>
      </c>
      <c r="B6" s="131">
        <v>0</v>
      </c>
      <c r="C6" s="131">
        <v>0</v>
      </c>
      <c r="D6" s="131">
        <v>0</v>
      </c>
      <c r="E6" s="131">
        <v>0</v>
      </c>
      <c r="F6" s="131">
        <v>0</v>
      </c>
      <c r="G6" s="131">
        <v>0</v>
      </c>
      <c r="H6" s="131">
        <v>0</v>
      </c>
      <c r="I6" s="131">
        <v>0</v>
      </c>
      <c r="J6" s="131">
        <v>0</v>
      </c>
      <c r="K6" s="131">
        <v>1.7982017288111881E-2</v>
      </c>
      <c r="L6" s="131">
        <v>1.0999999999999999E-2</v>
      </c>
      <c r="M6" s="131">
        <v>1.0999999999999999E-2</v>
      </c>
      <c r="N6" s="131">
        <v>1.3999999999999997E-2</v>
      </c>
      <c r="O6" s="131">
        <v>6.5000000000000002E-2</v>
      </c>
      <c r="P6" s="131">
        <v>0</v>
      </c>
      <c r="Q6" s="131">
        <v>0</v>
      </c>
      <c r="R6" s="131">
        <v>0</v>
      </c>
      <c r="S6" s="131">
        <v>0</v>
      </c>
      <c r="T6" s="131">
        <v>0</v>
      </c>
      <c r="U6" s="131">
        <v>0</v>
      </c>
      <c r="V6" s="131">
        <v>0</v>
      </c>
    </row>
    <row r="7" spans="1:34" customFormat="1" x14ac:dyDescent="0.15">
      <c r="A7" s="159" t="s">
        <v>197</v>
      </c>
      <c r="B7" s="131">
        <v>0</v>
      </c>
      <c r="C7" s="131">
        <v>0</v>
      </c>
      <c r="D7" s="131">
        <v>0</v>
      </c>
      <c r="E7" s="131">
        <v>0</v>
      </c>
      <c r="F7" s="131">
        <v>0</v>
      </c>
      <c r="G7" s="131">
        <v>0</v>
      </c>
      <c r="H7" s="131">
        <v>0</v>
      </c>
      <c r="I7" s="131">
        <v>0</v>
      </c>
      <c r="J7" s="131">
        <v>0</v>
      </c>
      <c r="K7" s="131">
        <v>0</v>
      </c>
      <c r="L7" s="131">
        <v>0.03</v>
      </c>
      <c r="M7" s="131">
        <v>0</v>
      </c>
      <c r="N7" s="131">
        <v>3.1999999999999994E-2</v>
      </c>
      <c r="O7" s="131">
        <v>0</v>
      </c>
      <c r="P7" s="131">
        <v>0</v>
      </c>
      <c r="Q7" s="131">
        <v>0</v>
      </c>
      <c r="R7" s="131">
        <v>0</v>
      </c>
      <c r="S7" s="131">
        <v>0</v>
      </c>
      <c r="T7" s="131">
        <v>0</v>
      </c>
      <c r="U7" s="131">
        <v>0</v>
      </c>
      <c r="V7" s="131">
        <v>0</v>
      </c>
    </row>
    <row r="8" spans="1:34" customFormat="1" x14ac:dyDescent="0.15">
      <c r="A8" s="159" t="s">
        <v>198</v>
      </c>
      <c r="B8" s="131">
        <v>0</v>
      </c>
      <c r="C8" s="131">
        <v>0</v>
      </c>
      <c r="D8" s="131">
        <v>0</v>
      </c>
      <c r="E8" s="131">
        <v>0</v>
      </c>
      <c r="F8" s="131">
        <v>0</v>
      </c>
      <c r="G8" s="131">
        <v>0</v>
      </c>
      <c r="H8" s="131">
        <v>0</v>
      </c>
      <c r="I8" s="131">
        <v>0</v>
      </c>
      <c r="J8" s="131">
        <v>0</v>
      </c>
      <c r="K8" s="131">
        <v>4.5954045125174814E-2</v>
      </c>
      <c r="L8" s="131">
        <v>3.6999999999999998E-2</v>
      </c>
      <c r="M8" s="131">
        <v>3.2000000000000001E-2</v>
      </c>
      <c r="N8" s="131">
        <v>3.2999999999999995E-2</v>
      </c>
      <c r="O8" s="131">
        <v>6.9000000000000006E-2</v>
      </c>
      <c r="P8" s="131">
        <v>0</v>
      </c>
      <c r="Q8" s="131">
        <v>0</v>
      </c>
      <c r="R8" s="131">
        <v>0</v>
      </c>
      <c r="S8" s="131">
        <v>0</v>
      </c>
      <c r="T8" s="131">
        <v>0</v>
      </c>
      <c r="U8" s="131">
        <v>0</v>
      </c>
      <c r="V8" s="131">
        <v>0</v>
      </c>
    </row>
    <row r="9" spans="1:34" customFormat="1" x14ac:dyDescent="0.15">
      <c r="A9" s="159" t="s">
        <v>199</v>
      </c>
      <c r="B9" s="131">
        <v>0</v>
      </c>
      <c r="C9" s="131">
        <v>0</v>
      </c>
      <c r="D9" s="131">
        <v>0</v>
      </c>
      <c r="E9" s="131">
        <v>0</v>
      </c>
      <c r="F9" s="131">
        <v>0</v>
      </c>
      <c r="G9" s="131">
        <v>0</v>
      </c>
      <c r="H9" s="131">
        <v>0</v>
      </c>
      <c r="I9" s="131">
        <v>0</v>
      </c>
      <c r="J9" s="131">
        <v>0</v>
      </c>
      <c r="K9" s="131">
        <v>0.15884114877832162</v>
      </c>
      <c r="L9" s="131">
        <v>0.14899999999999999</v>
      </c>
      <c r="M9" s="131">
        <v>9.4E-2</v>
      </c>
      <c r="N9" s="131">
        <v>0.10599999999999997</v>
      </c>
      <c r="O9" s="131">
        <v>0.19400000000000001</v>
      </c>
      <c r="P9" s="131">
        <v>3.0000000000000001E-3</v>
      </c>
      <c r="Q9" s="131">
        <v>0</v>
      </c>
      <c r="R9" s="131">
        <v>0</v>
      </c>
      <c r="S9" s="131">
        <v>0</v>
      </c>
      <c r="T9" s="131">
        <v>0</v>
      </c>
      <c r="U9" s="131">
        <v>0</v>
      </c>
      <c r="V9" s="131">
        <v>0</v>
      </c>
    </row>
    <row r="10" spans="1:34" customFormat="1" x14ac:dyDescent="0.15">
      <c r="A10" s="159" t="s">
        <v>200</v>
      </c>
      <c r="B10" s="131">
        <v>0</v>
      </c>
      <c r="C10" s="131">
        <v>0</v>
      </c>
      <c r="D10" s="131">
        <v>0</v>
      </c>
      <c r="E10" s="131">
        <v>0</v>
      </c>
      <c r="F10" s="131">
        <v>0</v>
      </c>
      <c r="G10" s="131">
        <v>0</v>
      </c>
      <c r="H10" s="131">
        <v>0</v>
      </c>
      <c r="I10" s="131">
        <v>0</v>
      </c>
      <c r="J10" s="131">
        <v>0</v>
      </c>
      <c r="K10" s="131">
        <v>0.19580420095944059</v>
      </c>
      <c r="L10" s="131">
        <v>0.16400000000000001</v>
      </c>
      <c r="M10" s="131">
        <v>0.13400000000000001</v>
      </c>
      <c r="N10" s="131">
        <v>0.16399999999999998</v>
      </c>
      <c r="O10" s="131">
        <v>0.22</v>
      </c>
      <c r="P10" s="131">
        <v>0</v>
      </c>
      <c r="Q10" s="131">
        <v>0</v>
      </c>
      <c r="R10" s="131">
        <v>0</v>
      </c>
      <c r="S10" s="131">
        <v>0</v>
      </c>
      <c r="T10" s="131">
        <v>0</v>
      </c>
      <c r="U10" s="131">
        <v>0</v>
      </c>
      <c r="V10" s="131">
        <v>0</v>
      </c>
    </row>
    <row r="11" spans="1:34" customFormat="1" x14ac:dyDescent="0.15">
      <c r="A11" s="159" t="s">
        <v>201</v>
      </c>
      <c r="B11" s="131">
        <v>0</v>
      </c>
      <c r="C11" s="131">
        <v>0</v>
      </c>
      <c r="D11" s="131">
        <v>0</v>
      </c>
      <c r="E11" s="131">
        <v>0</v>
      </c>
      <c r="F11" s="131">
        <v>0</v>
      </c>
      <c r="G11" s="131">
        <v>0</v>
      </c>
      <c r="H11" s="131">
        <v>0</v>
      </c>
      <c r="I11" s="131">
        <v>0</v>
      </c>
      <c r="J11" s="131">
        <v>0</v>
      </c>
      <c r="K11" s="131">
        <v>0</v>
      </c>
      <c r="L11" s="131">
        <v>0</v>
      </c>
      <c r="M11" s="131">
        <v>0.108</v>
      </c>
      <c r="N11" s="131">
        <v>0.14499999999999996</v>
      </c>
      <c r="O11" s="131">
        <v>0.255</v>
      </c>
      <c r="P11" s="131">
        <v>1E-3</v>
      </c>
      <c r="Q11" s="131">
        <v>0</v>
      </c>
      <c r="R11" s="131">
        <v>0</v>
      </c>
      <c r="S11" s="131">
        <v>0</v>
      </c>
      <c r="T11" s="131">
        <v>0</v>
      </c>
      <c r="U11" s="131">
        <v>0</v>
      </c>
      <c r="V11" s="131">
        <v>0</v>
      </c>
    </row>
    <row r="12" spans="1:34" customFormat="1" x14ac:dyDescent="0.15">
      <c r="A12" s="159" t="s">
        <v>202</v>
      </c>
      <c r="B12" s="131">
        <v>0</v>
      </c>
      <c r="C12" s="131">
        <v>0</v>
      </c>
      <c r="D12" s="131">
        <v>0</v>
      </c>
      <c r="E12" s="131">
        <v>0</v>
      </c>
      <c r="F12" s="131">
        <v>0</v>
      </c>
      <c r="G12" s="131">
        <v>0</v>
      </c>
      <c r="H12" s="131">
        <v>0</v>
      </c>
      <c r="I12" s="131">
        <v>0</v>
      </c>
      <c r="J12" s="131">
        <v>0</v>
      </c>
      <c r="K12" s="131">
        <v>1.9980019097902094E-2</v>
      </c>
      <c r="L12" s="131">
        <v>1.4999999999999999E-2</v>
      </c>
      <c r="M12" s="131">
        <v>1.4999999999999999E-2</v>
      </c>
      <c r="N12" s="131">
        <v>1.3999999999999997E-2</v>
      </c>
      <c r="O12" s="131">
        <v>4.4999999999999998E-2</v>
      </c>
      <c r="P12" s="131">
        <v>0</v>
      </c>
      <c r="Q12" s="131">
        <v>0</v>
      </c>
      <c r="R12" s="131">
        <v>0</v>
      </c>
      <c r="S12" s="131">
        <v>0</v>
      </c>
      <c r="T12" s="131">
        <v>0</v>
      </c>
      <c r="U12" s="131">
        <v>0</v>
      </c>
      <c r="V12" s="131">
        <v>0</v>
      </c>
    </row>
    <row r="13" spans="1:34" customFormat="1" x14ac:dyDescent="0.15">
      <c r="A13" s="159" t="s">
        <v>203</v>
      </c>
      <c r="B13" s="131">
        <v>0</v>
      </c>
      <c r="C13" s="131">
        <v>0</v>
      </c>
      <c r="D13" s="131">
        <v>0</v>
      </c>
      <c r="E13" s="131">
        <v>0</v>
      </c>
      <c r="F13" s="131">
        <v>0</v>
      </c>
      <c r="G13" s="131">
        <v>0</v>
      </c>
      <c r="H13" s="131">
        <v>0</v>
      </c>
      <c r="I13" s="131">
        <v>0</v>
      </c>
      <c r="J13" s="131">
        <v>0</v>
      </c>
      <c r="K13" s="131">
        <v>0</v>
      </c>
      <c r="L13" s="131">
        <v>0</v>
      </c>
      <c r="M13" s="131">
        <v>0.191</v>
      </c>
      <c r="N13" s="131">
        <v>0</v>
      </c>
      <c r="O13" s="131">
        <v>0</v>
      </c>
      <c r="P13" s="131">
        <v>1E-3</v>
      </c>
      <c r="Q13" s="131">
        <v>0</v>
      </c>
      <c r="R13" s="131">
        <v>0</v>
      </c>
      <c r="S13" s="131">
        <v>0</v>
      </c>
      <c r="T13" s="131">
        <v>0</v>
      </c>
      <c r="U13" s="131">
        <v>0</v>
      </c>
      <c r="V13" s="131">
        <v>0</v>
      </c>
    </row>
    <row r="14" spans="1:34" customFormat="1" x14ac:dyDescent="0.15">
      <c r="A14" s="159" t="s">
        <v>204</v>
      </c>
      <c r="B14" s="131">
        <v>0</v>
      </c>
      <c r="C14" s="131">
        <v>0</v>
      </c>
      <c r="D14" s="131">
        <v>0</v>
      </c>
      <c r="E14" s="131">
        <v>0</v>
      </c>
      <c r="F14" s="131">
        <v>0</v>
      </c>
      <c r="G14" s="131">
        <v>0</v>
      </c>
      <c r="H14" s="131">
        <v>0</v>
      </c>
      <c r="I14" s="131">
        <v>0</v>
      </c>
      <c r="J14" s="131">
        <v>0</v>
      </c>
      <c r="K14" s="131">
        <v>0</v>
      </c>
      <c r="L14" s="131">
        <v>0</v>
      </c>
      <c r="M14" s="131">
        <v>2.5000000000000001E-2</v>
      </c>
      <c r="N14" s="131">
        <v>0</v>
      </c>
      <c r="O14" s="131">
        <v>0</v>
      </c>
      <c r="P14" s="131">
        <v>0</v>
      </c>
      <c r="Q14" s="131">
        <v>0</v>
      </c>
      <c r="R14" s="131">
        <v>0</v>
      </c>
      <c r="S14" s="131">
        <v>0</v>
      </c>
      <c r="T14" s="131">
        <v>0</v>
      </c>
      <c r="U14" s="131">
        <v>0</v>
      </c>
      <c r="V14" s="131">
        <v>0</v>
      </c>
    </row>
    <row r="15" spans="1:34" customFormat="1" x14ac:dyDescent="0.15">
      <c r="A15" s="159" t="s">
        <v>205</v>
      </c>
      <c r="B15" s="131">
        <v>0</v>
      </c>
      <c r="C15" s="131">
        <v>0</v>
      </c>
      <c r="D15" s="131">
        <v>0</v>
      </c>
      <c r="E15" s="131">
        <v>0</v>
      </c>
      <c r="F15" s="131">
        <v>0</v>
      </c>
      <c r="G15" s="131">
        <v>0</v>
      </c>
      <c r="H15" s="131">
        <v>0</v>
      </c>
      <c r="I15" s="131">
        <v>0</v>
      </c>
      <c r="J15" s="131">
        <v>0</v>
      </c>
      <c r="K15" s="131">
        <v>0</v>
      </c>
      <c r="L15" s="131">
        <v>0</v>
      </c>
      <c r="M15" s="131">
        <v>0</v>
      </c>
      <c r="N15" s="131">
        <v>0</v>
      </c>
      <c r="O15" s="131">
        <v>0.152</v>
      </c>
      <c r="P15" s="131">
        <v>0</v>
      </c>
      <c r="Q15" s="131">
        <v>0</v>
      </c>
      <c r="R15" s="131">
        <v>0</v>
      </c>
      <c r="S15" s="131">
        <v>0</v>
      </c>
      <c r="T15" s="131">
        <v>0</v>
      </c>
      <c r="U15" s="131">
        <v>0</v>
      </c>
      <c r="V15" s="131">
        <v>0</v>
      </c>
    </row>
    <row r="16" spans="1:34" customFormat="1" x14ac:dyDescent="0.15">
      <c r="A16" s="159" t="s">
        <v>206</v>
      </c>
      <c r="B16" s="131">
        <v>0</v>
      </c>
      <c r="C16" s="131">
        <v>0</v>
      </c>
      <c r="D16" s="131">
        <v>0</v>
      </c>
      <c r="E16" s="131">
        <v>0</v>
      </c>
      <c r="F16" s="131">
        <v>0</v>
      </c>
      <c r="G16" s="131">
        <v>0</v>
      </c>
      <c r="H16" s="131">
        <v>0</v>
      </c>
      <c r="I16" s="131">
        <v>0</v>
      </c>
      <c r="J16" s="131">
        <v>0</v>
      </c>
      <c r="K16" s="131">
        <v>0</v>
      </c>
      <c r="L16" s="131">
        <v>0</v>
      </c>
      <c r="M16" s="131">
        <v>0</v>
      </c>
      <c r="N16" s="131">
        <v>0</v>
      </c>
      <c r="O16" s="131">
        <v>0</v>
      </c>
      <c r="P16" s="131">
        <v>1E-3</v>
      </c>
      <c r="Q16" s="131">
        <v>0</v>
      </c>
      <c r="R16" s="131">
        <v>0</v>
      </c>
      <c r="S16" s="131">
        <v>0.251</v>
      </c>
      <c r="T16" s="131">
        <v>9.2999999999999999E-2</v>
      </c>
      <c r="U16" s="131">
        <v>0</v>
      </c>
      <c r="V16" s="131">
        <v>0</v>
      </c>
    </row>
    <row r="17" spans="1:22" customFormat="1" x14ac:dyDescent="0.15">
      <c r="A17" s="159" t="s">
        <v>207</v>
      </c>
      <c r="B17" s="131">
        <v>0</v>
      </c>
      <c r="C17" s="131">
        <v>0</v>
      </c>
      <c r="D17" s="131">
        <v>0</v>
      </c>
      <c r="E17" s="131">
        <v>0</v>
      </c>
      <c r="F17" s="131">
        <v>0</v>
      </c>
      <c r="G17" s="131">
        <v>0</v>
      </c>
      <c r="H17" s="131">
        <v>0</v>
      </c>
      <c r="I17" s="131">
        <v>0</v>
      </c>
      <c r="J17" s="131">
        <v>0</v>
      </c>
      <c r="K17" s="131">
        <v>0</v>
      </c>
      <c r="L17" s="131">
        <v>0</v>
      </c>
      <c r="M17" s="131">
        <v>0</v>
      </c>
      <c r="N17" s="131">
        <v>0</v>
      </c>
      <c r="O17" s="131">
        <v>0</v>
      </c>
      <c r="P17" s="131">
        <v>1E-3</v>
      </c>
      <c r="Q17" s="131">
        <v>0</v>
      </c>
      <c r="R17" s="131">
        <v>0.53</v>
      </c>
      <c r="S17" s="131">
        <v>0.69899999999999995</v>
      </c>
      <c r="T17" s="131">
        <v>0.90700000000000003</v>
      </c>
      <c r="U17" s="131">
        <v>0</v>
      </c>
      <c r="V17" s="131">
        <v>0</v>
      </c>
    </row>
    <row r="18" spans="1:22" customFormat="1" x14ac:dyDescent="0.15">
      <c r="A18" s="159" t="s">
        <v>208</v>
      </c>
      <c r="B18" s="131">
        <v>0</v>
      </c>
      <c r="C18" s="131">
        <v>0</v>
      </c>
      <c r="D18" s="131">
        <v>0</v>
      </c>
      <c r="E18" s="131">
        <v>0</v>
      </c>
      <c r="F18" s="131">
        <v>0</v>
      </c>
      <c r="G18" s="131">
        <v>0</v>
      </c>
      <c r="H18" s="131">
        <v>0</v>
      </c>
      <c r="I18" s="131">
        <v>0</v>
      </c>
      <c r="J18" s="131">
        <v>0</v>
      </c>
      <c r="K18" s="131">
        <v>0</v>
      </c>
      <c r="L18" s="131">
        <v>0</v>
      </c>
      <c r="M18" s="131">
        <v>0</v>
      </c>
      <c r="N18" s="131">
        <v>0</v>
      </c>
      <c r="O18" s="131">
        <v>0</v>
      </c>
      <c r="P18" s="131">
        <v>0</v>
      </c>
      <c r="Q18" s="131">
        <v>0</v>
      </c>
      <c r="R18" s="131">
        <v>0</v>
      </c>
      <c r="S18" s="131">
        <v>0.05</v>
      </c>
      <c r="T18" s="131">
        <v>0</v>
      </c>
      <c r="U18" s="131">
        <v>0</v>
      </c>
      <c r="V18" s="131">
        <v>0</v>
      </c>
    </row>
    <row r="19" spans="1:22" customFormat="1" x14ac:dyDescent="0.15">
      <c r="A19" s="159" t="s">
        <v>209</v>
      </c>
      <c r="B19" s="131">
        <v>0</v>
      </c>
      <c r="C19" s="131">
        <v>0</v>
      </c>
      <c r="D19" s="131">
        <v>0</v>
      </c>
      <c r="E19" s="131">
        <v>0</v>
      </c>
      <c r="F19" s="131">
        <v>0</v>
      </c>
      <c r="G19" s="131">
        <v>0</v>
      </c>
      <c r="H19" s="131">
        <v>0</v>
      </c>
      <c r="I19" s="131">
        <v>0</v>
      </c>
      <c r="J19" s="131">
        <v>0</v>
      </c>
      <c r="K19" s="131">
        <v>0</v>
      </c>
      <c r="L19" s="131">
        <v>0</v>
      </c>
      <c r="M19" s="131">
        <v>0</v>
      </c>
      <c r="N19" s="131">
        <v>0</v>
      </c>
      <c r="O19" s="131">
        <v>0</v>
      </c>
      <c r="P19" s="131">
        <v>0</v>
      </c>
      <c r="Q19" s="131">
        <v>0</v>
      </c>
      <c r="R19" s="131">
        <v>0</v>
      </c>
      <c r="S19" s="131">
        <v>0</v>
      </c>
      <c r="T19" s="131">
        <v>0</v>
      </c>
      <c r="U19" s="131">
        <v>0</v>
      </c>
      <c r="V19" s="131">
        <v>0</v>
      </c>
    </row>
    <row r="20" spans="1:22" customFormat="1" x14ac:dyDescent="0.15">
      <c r="A20" s="159" t="s">
        <v>210</v>
      </c>
      <c r="B20" s="131">
        <v>0</v>
      </c>
      <c r="C20" s="131">
        <v>0</v>
      </c>
      <c r="D20" s="131">
        <v>0</v>
      </c>
      <c r="E20" s="131">
        <v>0</v>
      </c>
      <c r="F20" s="131">
        <v>0</v>
      </c>
      <c r="G20" s="131">
        <v>0</v>
      </c>
      <c r="H20" s="131">
        <v>0</v>
      </c>
      <c r="I20" s="131">
        <v>0</v>
      </c>
      <c r="J20" s="131">
        <v>0</v>
      </c>
      <c r="K20" s="131">
        <v>0</v>
      </c>
      <c r="L20" s="131">
        <v>0</v>
      </c>
      <c r="M20" s="131">
        <v>0</v>
      </c>
      <c r="N20" s="131">
        <v>0</v>
      </c>
      <c r="O20" s="131">
        <v>0</v>
      </c>
      <c r="P20" s="131">
        <v>0</v>
      </c>
      <c r="Q20" s="131">
        <v>0</v>
      </c>
      <c r="R20" s="131">
        <v>0</v>
      </c>
      <c r="S20" s="131">
        <v>0</v>
      </c>
      <c r="T20" s="131">
        <v>0</v>
      </c>
      <c r="U20" s="131">
        <v>0</v>
      </c>
      <c r="V20" s="131">
        <v>0</v>
      </c>
    </row>
    <row r="21" spans="1:22" customFormat="1" x14ac:dyDescent="0.15">
      <c r="A21" s="159" t="s">
        <v>211</v>
      </c>
      <c r="B21" s="131">
        <v>0</v>
      </c>
      <c r="C21" s="131">
        <v>0</v>
      </c>
      <c r="D21" s="131">
        <v>0.10800000000000001</v>
      </c>
      <c r="E21" s="131">
        <v>0.65600000000000003</v>
      </c>
      <c r="F21" s="131">
        <v>0.21299999999999999</v>
      </c>
      <c r="G21" s="131">
        <v>9.9000000000000005E-2</v>
      </c>
      <c r="H21" s="131">
        <v>0.217</v>
      </c>
      <c r="I21" s="131">
        <v>0.80900000000000005</v>
      </c>
      <c r="J21" s="131">
        <v>9.6000000000000016E-2</v>
      </c>
      <c r="K21" s="131">
        <v>0.16383616680279722</v>
      </c>
      <c r="L21" s="131">
        <v>0.13</v>
      </c>
      <c r="M21" s="131">
        <v>9.8000000000000004E-2</v>
      </c>
      <c r="N21" s="131">
        <v>0.10799999999999997</v>
      </c>
      <c r="O21" s="131">
        <v>0</v>
      </c>
      <c r="P21" s="131">
        <v>3.7999999999999999E-2</v>
      </c>
      <c r="Q21" s="131">
        <v>0</v>
      </c>
      <c r="R21" s="131">
        <v>0</v>
      </c>
      <c r="S21" s="131">
        <v>0</v>
      </c>
      <c r="T21" s="131">
        <v>0</v>
      </c>
      <c r="U21" s="131">
        <v>0</v>
      </c>
      <c r="V21" s="131">
        <v>0</v>
      </c>
    </row>
    <row r="22" spans="1:22" customFormat="1" x14ac:dyDescent="0.15">
      <c r="A22" s="159" t="s">
        <v>212</v>
      </c>
      <c r="B22" s="131">
        <v>0</v>
      </c>
      <c r="C22" s="131">
        <v>0</v>
      </c>
      <c r="D22" s="131">
        <v>0</v>
      </c>
      <c r="E22" s="131">
        <v>0</v>
      </c>
      <c r="F22" s="131">
        <v>0</v>
      </c>
      <c r="G22" s="131">
        <v>0</v>
      </c>
      <c r="H22" s="131">
        <v>0</v>
      </c>
      <c r="I22" s="131">
        <v>0</v>
      </c>
      <c r="J22" s="131">
        <v>0</v>
      </c>
      <c r="K22" s="131">
        <v>0</v>
      </c>
      <c r="L22" s="131">
        <v>0</v>
      </c>
      <c r="M22" s="131">
        <v>0</v>
      </c>
      <c r="N22" s="131">
        <v>0</v>
      </c>
      <c r="O22" s="131">
        <v>0</v>
      </c>
      <c r="P22" s="131">
        <v>0</v>
      </c>
      <c r="Q22" s="131">
        <v>0</v>
      </c>
      <c r="R22" s="131">
        <v>0</v>
      </c>
      <c r="S22" s="131">
        <v>0</v>
      </c>
      <c r="T22" s="131">
        <v>0</v>
      </c>
      <c r="U22" s="131">
        <v>0</v>
      </c>
      <c r="V22" s="131">
        <v>0</v>
      </c>
    </row>
    <row r="23" spans="1:22" customFormat="1" x14ac:dyDescent="0.15">
      <c r="A23" s="159" t="s">
        <v>214</v>
      </c>
      <c r="B23" s="131">
        <v>0</v>
      </c>
      <c r="C23" s="131">
        <v>0</v>
      </c>
      <c r="D23" s="131">
        <v>0</v>
      </c>
      <c r="E23" s="131">
        <v>0</v>
      </c>
      <c r="F23" s="131">
        <v>0</v>
      </c>
      <c r="G23" s="131">
        <v>0</v>
      </c>
      <c r="H23" s="131">
        <v>0</v>
      </c>
      <c r="I23" s="131">
        <v>0</v>
      </c>
      <c r="J23" s="131">
        <v>0</v>
      </c>
      <c r="K23" s="131">
        <v>0</v>
      </c>
      <c r="L23" s="131">
        <v>0</v>
      </c>
      <c r="M23" s="131">
        <v>0</v>
      </c>
      <c r="N23" s="131">
        <v>0</v>
      </c>
      <c r="O23" s="131">
        <v>0</v>
      </c>
      <c r="P23" s="131">
        <v>0</v>
      </c>
      <c r="Q23" s="131">
        <v>0</v>
      </c>
      <c r="R23" s="131">
        <v>0</v>
      </c>
      <c r="S23" s="131">
        <v>0</v>
      </c>
      <c r="T23" s="131">
        <v>0</v>
      </c>
      <c r="U23" s="131">
        <v>0</v>
      </c>
      <c r="V23" s="131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1" customWidth="1"/>
    <col min="5" max="6" width="2.33203125" style="100" bestFit="1" customWidth="1"/>
    <col min="7" max="8" width="8.83203125" style="101"/>
  </cols>
  <sheetData>
    <row r="1" spans="1:8" ht="70" x14ac:dyDescent="0.15">
      <c r="A1" s="5" t="s">
        <v>20</v>
      </c>
      <c r="B1" s="1" t="s">
        <v>0</v>
      </c>
      <c r="C1" s="162" t="s">
        <v>211</v>
      </c>
      <c r="D1" s="162" t="s">
        <v>212</v>
      </c>
      <c r="E1" s="162" t="s">
        <v>215</v>
      </c>
      <c r="F1" s="162" t="s">
        <v>216</v>
      </c>
      <c r="G1"/>
      <c r="H1"/>
    </row>
    <row r="2" spans="1:8" x14ac:dyDescent="0.15">
      <c r="A2">
        <v>1</v>
      </c>
      <c r="B2" s="161" t="s">
        <v>192</v>
      </c>
      <c r="C2" s="101">
        <v>1</v>
      </c>
      <c r="D2" s="101">
        <v>0</v>
      </c>
      <c r="E2" s="100">
        <v>0</v>
      </c>
      <c r="F2" s="100">
        <v>1</v>
      </c>
      <c r="G2"/>
      <c r="H2"/>
    </row>
    <row r="3" spans="1:8" x14ac:dyDescent="0.15">
      <c r="A3">
        <v>2</v>
      </c>
      <c r="B3" s="161" t="s">
        <v>193</v>
      </c>
      <c r="C3" s="101">
        <v>1</v>
      </c>
      <c r="D3" s="101">
        <v>0</v>
      </c>
      <c r="E3" s="100">
        <v>0</v>
      </c>
      <c r="F3" s="100">
        <v>1</v>
      </c>
      <c r="G3"/>
      <c r="H3"/>
    </row>
    <row r="4" spans="1:8" x14ac:dyDescent="0.15">
      <c r="A4">
        <v>3</v>
      </c>
      <c r="B4" s="161" t="s">
        <v>194</v>
      </c>
      <c r="C4" s="101">
        <v>1</v>
      </c>
      <c r="D4" s="101">
        <v>0</v>
      </c>
      <c r="E4" s="100">
        <v>0</v>
      </c>
      <c r="F4" s="100">
        <v>1</v>
      </c>
      <c r="G4"/>
      <c r="H4"/>
    </row>
    <row r="5" spans="1:8" x14ac:dyDescent="0.15">
      <c r="A5">
        <v>4</v>
      </c>
      <c r="B5" s="161" t="s">
        <v>195</v>
      </c>
      <c r="C5" s="101">
        <v>1</v>
      </c>
      <c r="D5" s="101">
        <v>0</v>
      </c>
      <c r="E5" s="100">
        <v>0</v>
      </c>
      <c r="F5" s="100">
        <v>1</v>
      </c>
      <c r="G5"/>
      <c r="H5"/>
    </row>
    <row r="6" spans="1:8" x14ac:dyDescent="0.15">
      <c r="A6">
        <v>5</v>
      </c>
      <c r="B6" s="161" t="s">
        <v>196</v>
      </c>
      <c r="C6" s="101">
        <v>1</v>
      </c>
      <c r="D6" s="101">
        <v>0</v>
      </c>
      <c r="E6" s="100">
        <v>0</v>
      </c>
      <c r="F6" s="100">
        <v>1</v>
      </c>
      <c r="G6"/>
      <c r="H6"/>
    </row>
    <row r="7" spans="1:8" x14ac:dyDescent="0.15">
      <c r="A7">
        <v>6</v>
      </c>
      <c r="B7" s="161" t="s">
        <v>197</v>
      </c>
      <c r="C7" s="101">
        <v>1</v>
      </c>
      <c r="D7" s="101">
        <v>0</v>
      </c>
      <c r="E7" s="100">
        <v>0</v>
      </c>
      <c r="F7" s="100">
        <v>1</v>
      </c>
      <c r="G7"/>
      <c r="H7"/>
    </row>
    <row r="8" spans="1:8" x14ac:dyDescent="0.15">
      <c r="A8">
        <v>7</v>
      </c>
      <c r="B8" s="161" t="s">
        <v>198</v>
      </c>
      <c r="C8" s="101">
        <v>1</v>
      </c>
      <c r="D8" s="101">
        <v>0</v>
      </c>
      <c r="E8" s="100">
        <v>0</v>
      </c>
      <c r="F8" s="100">
        <v>1</v>
      </c>
      <c r="G8"/>
      <c r="H8"/>
    </row>
    <row r="9" spans="1:8" x14ac:dyDescent="0.15">
      <c r="A9">
        <v>8</v>
      </c>
      <c r="B9" s="161" t="s">
        <v>199</v>
      </c>
      <c r="C9" s="101">
        <v>1</v>
      </c>
      <c r="D9" s="101">
        <v>0</v>
      </c>
      <c r="E9" s="100">
        <v>0</v>
      </c>
      <c r="F9" s="100">
        <v>1</v>
      </c>
      <c r="G9"/>
      <c r="H9"/>
    </row>
    <row r="10" spans="1:8" x14ac:dyDescent="0.15">
      <c r="A10">
        <v>9</v>
      </c>
      <c r="B10" s="161" t="s">
        <v>200</v>
      </c>
      <c r="C10" s="101">
        <v>1</v>
      </c>
      <c r="D10" s="101">
        <v>0</v>
      </c>
      <c r="E10" s="100">
        <v>0</v>
      </c>
      <c r="F10" s="100">
        <v>1</v>
      </c>
      <c r="G10"/>
      <c r="H10"/>
    </row>
    <row r="11" spans="1:8" x14ac:dyDescent="0.15">
      <c r="A11">
        <v>10</v>
      </c>
      <c r="B11" s="161" t="s">
        <v>201</v>
      </c>
      <c r="C11" s="101">
        <v>1</v>
      </c>
      <c r="D11" s="101">
        <v>0</v>
      </c>
      <c r="E11" s="100">
        <v>0</v>
      </c>
      <c r="F11" s="100">
        <v>1</v>
      </c>
      <c r="G11"/>
      <c r="H11"/>
    </row>
    <row r="12" spans="1:8" x14ac:dyDescent="0.15">
      <c r="A12">
        <v>11</v>
      </c>
      <c r="B12" s="161" t="s">
        <v>202</v>
      </c>
      <c r="C12" s="101">
        <v>1</v>
      </c>
      <c r="D12" s="101">
        <v>0</v>
      </c>
      <c r="E12" s="100">
        <v>0</v>
      </c>
      <c r="F12" s="100">
        <v>1</v>
      </c>
      <c r="G12"/>
      <c r="H12"/>
    </row>
    <row r="13" spans="1:8" x14ac:dyDescent="0.15">
      <c r="A13">
        <v>12</v>
      </c>
      <c r="B13" s="161" t="s">
        <v>203</v>
      </c>
      <c r="C13" s="101">
        <v>1</v>
      </c>
      <c r="D13" s="101">
        <v>0</v>
      </c>
      <c r="E13" s="100">
        <v>0</v>
      </c>
      <c r="F13" s="100">
        <v>1</v>
      </c>
      <c r="G13"/>
      <c r="H13"/>
    </row>
    <row r="14" spans="1:8" x14ac:dyDescent="0.15">
      <c r="A14">
        <v>13</v>
      </c>
      <c r="B14" s="161" t="s">
        <v>204</v>
      </c>
      <c r="C14" s="101">
        <v>1</v>
      </c>
      <c r="D14" s="101">
        <v>0</v>
      </c>
      <c r="E14" s="100">
        <v>0</v>
      </c>
      <c r="F14" s="100">
        <v>1</v>
      </c>
      <c r="G14"/>
      <c r="H14"/>
    </row>
    <row r="15" spans="1:8" x14ac:dyDescent="0.15">
      <c r="A15">
        <v>14</v>
      </c>
      <c r="B15" s="161" t="s">
        <v>205</v>
      </c>
      <c r="C15" s="101">
        <v>1</v>
      </c>
      <c r="D15" s="101">
        <v>0</v>
      </c>
      <c r="E15" s="100">
        <v>0</v>
      </c>
      <c r="F15" s="100">
        <v>1</v>
      </c>
      <c r="G15"/>
      <c r="H15"/>
    </row>
    <row r="16" spans="1:8" x14ac:dyDescent="0.15">
      <c r="A16">
        <v>15</v>
      </c>
      <c r="B16" s="161" t="s">
        <v>206</v>
      </c>
      <c r="C16" s="101">
        <v>1</v>
      </c>
      <c r="D16" s="101">
        <v>0</v>
      </c>
      <c r="E16" s="100">
        <v>0</v>
      </c>
      <c r="F16" s="100">
        <v>1</v>
      </c>
      <c r="G16"/>
      <c r="H16"/>
    </row>
    <row r="17" spans="1:8" ht="15" customHeight="1" x14ac:dyDescent="0.15">
      <c r="A17">
        <v>16</v>
      </c>
      <c r="B17" s="161" t="s">
        <v>207</v>
      </c>
      <c r="C17" s="101">
        <v>1</v>
      </c>
      <c r="D17" s="101">
        <v>0</v>
      </c>
      <c r="E17" s="100">
        <v>0</v>
      </c>
      <c r="F17" s="100">
        <v>1</v>
      </c>
      <c r="G17"/>
      <c r="H17"/>
    </row>
    <row r="18" spans="1:8" ht="15" customHeight="1" x14ac:dyDescent="0.15">
      <c r="A18">
        <v>17</v>
      </c>
      <c r="B18" s="161" t="s">
        <v>208</v>
      </c>
      <c r="C18" s="101">
        <v>1</v>
      </c>
      <c r="D18" s="101">
        <v>0</v>
      </c>
      <c r="E18" s="100">
        <v>0</v>
      </c>
      <c r="F18" s="100">
        <v>1</v>
      </c>
      <c r="G18"/>
      <c r="H18"/>
    </row>
    <row r="19" spans="1:8" ht="15" customHeight="1" x14ac:dyDescent="0.15">
      <c r="A19">
        <v>18</v>
      </c>
      <c r="B19" s="161" t="s">
        <v>209</v>
      </c>
      <c r="C19" s="101">
        <v>1</v>
      </c>
      <c r="D19" s="101">
        <v>0</v>
      </c>
      <c r="E19" s="100">
        <v>0</v>
      </c>
      <c r="F19" s="100">
        <v>1</v>
      </c>
      <c r="G19"/>
      <c r="H19"/>
    </row>
    <row r="20" spans="1:8" ht="15" customHeight="1" x14ac:dyDescent="0.15">
      <c r="A20">
        <v>19</v>
      </c>
      <c r="B20" s="161" t="s">
        <v>210</v>
      </c>
      <c r="C20" s="101">
        <v>1</v>
      </c>
      <c r="D20" s="101">
        <v>0</v>
      </c>
      <c r="E20" s="100">
        <v>0</v>
      </c>
      <c r="F20" s="100">
        <v>1</v>
      </c>
      <c r="G20"/>
      <c r="H20"/>
    </row>
    <row r="21" spans="1:8" ht="15" customHeight="1" x14ac:dyDescent="0.15">
      <c r="A21">
        <v>20</v>
      </c>
      <c r="B21" s="161" t="s">
        <v>211</v>
      </c>
      <c r="C21" s="101">
        <v>0</v>
      </c>
      <c r="D21" s="101">
        <v>1</v>
      </c>
      <c r="E21" s="100">
        <v>0</v>
      </c>
      <c r="F21" s="100">
        <v>1</v>
      </c>
      <c r="G21"/>
      <c r="H21"/>
    </row>
    <row r="22" spans="1:8" ht="15" customHeight="1" x14ac:dyDescent="0.15">
      <c r="A22">
        <v>21</v>
      </c>
      <c r="B22" s="161" t="s">
        <v>212</v>
      </c>
      <c r="C22" s="101">
        <v>0</v>
      </c>
      <c r="D22" s="101">
        <v>0</v>
      </c>
      <c r="E22" s="100">
        <v>1</v>
      </c>
      <c r="F22" s="100">
        <v>1</v>
      </c>
      <c r="G22"/>
      <c r="H22"/>
    </row>
    <row r="23" spans="1:8" ht="15" customHeight="1" x14ac:dyDescent="0.15">
      <c r="A23">
        <v>22</v>
      </c>
      <c r="B23" s="161" t="s">
        <v>213</v>
      </c>
      <c r="C23" s="101">
        <v>0</v>
      </c>
      <c r="D23" s="101">
        <v>1</v>
      </c>
      <c r="E23" s="100">
        <v>0</v>
      </c>
      <c r="F23" s="100">
        <v>1</v>
      </c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1"/>
      <c r="F36" s="101"/>
      <c r="G36"/>
      <c r="H36"/>
    </row>
    <row r="37" spans="3:8" ht="15" customHeight="1" x14ac:dyDescent="0.15">
      <c r="C37"/>
      <c r="D37"/>
      <c r="E37" s="101"/>
      <c r="F37" s="101"/>
      <c r="G37"/>
      <c r="H37"/>
    </row>
    <row r="38" spans="3:8" ht="15" customHeight="1" x14ac:dyDescent="0.15">
      <c r="C38"/>
      <c r="D38"/>
      <c r="E38" s="101"/>
      <c r="F38" s="101"/>
      <c r="G38"/>
      <c r="H38"/>
    </row>
    <row r="39" spans="3:8" ht="15" customHeight="1" x14ac:dyDescent="0.15">
      <c r="C39"/>
      <c r="D39"/>
      <c r="E39" s="101"/>
      <c r="F39" s="101"/>
      <c r="G39"/>
      <c r="H39"/>
    </row>
    <row r="40" spans="3:8" ht="15" customHeight="1" x14ac:dyDescent="0.15">
      <c r="C40"/>
      <c r="D40"/>
      <c r="E40" s="101"/>
      <c r="F40" s="101"/>
      <c r="G40"/>
      <c r="H40"/>
    </row>
    <row r="41" spans="3:8" ht="15" customHeight="1" x14ac:dyDescent="0.15">
      <c r="C41"/>
      <c r="D41"/>
      <c r="E41" s="101"/>
      <c r="F41" s="101"/>
      <c r="G41"/>
      <c r="H41"/>
    </row>
    <row r="42" spans="3:8" ht="15" customHeight="1" x14ac:dyDescent="0.15">
      <c r="C42"/>
      <c r="D42"/>
      <c r="E42" s="101"/>
      <c r="F42" s="101"/>
      <c r="G42"/>
      <c r="H42"/>
    </row>
    <row r="43" spans="3:8" ht="15" customHeight="1" x14ac:dyDescent="0.15">
      <c r="C43"/>
      <c r="D43"/>
      <c r="E43" s="101"/>
      <c r="F43" s="101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1"/>
      <c r="F46" s="101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0.33203125" bestFit="1" customWidth="1"/>
    <col min="3" max="4" width="5.83203125" bestFit="1" customWidth="1"/>
    <col min="5" max="5" width="12.1640625" bestFit="1" customWidth="1"/>
  </cols>
  <sheetData>
    <row r="1" spans="1:5" s="102" customFormat="1" ht="112" x14ac:dyDescent="0.15">
      <c r="A1" s="5" t="s">
        <v>21</v>
      </c>
      <c r="B1" s="3" t="s">
        <v>0</v>
      </c>
      <c r="C1" s="164" t="s">
        <v>213</v>
      </c>
      <c r="D1" s="164" t="s">
        <v>217</v>
      </c>
      <c r="E1"/>
    </row>
    <row r="2" spans="1:5" ht="15" customHeight="1" x14ac:dyDescent="0.15">
      <c r="A2">
        <v>1</v>
      </c>
      <c r="B2" s="163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63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63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63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63" t="s">
        <v>196</v>
      </c>
      <c r="C6">
        <v>2.23</v>
      </c>
      <c r="D6">
        <v>2.23</v>
      </c>
    </row>
    <row r="7" spans="1:5" ht="15" customHeight="1" x14ac:dyDescent="0.15">
      <c r="A7">
        <v>6</v>
      </c>
      <c r="B7" s="163" t="s">
        <v>197</v>
      </c>
      <c r="C7">
        <v>1.458</v>
      </c>
      <c r="D7">
        <v>1.458</v>
      </c>
    </row>
    <row r="8" spans="1:5" ht="15" customHeight="1" x14ac:dyDescent="0.15">
      <c r="A8">
        <v>7</v>
      </c>
      <c r="B8" s="163" t="s">
        <v>198</v>
      </c>
      <c r="C8">
        <v>0.17699999999999999</v>
      </c>
      <c r="D8">
        <v>0.17699999999999999</v>
      </c>
    </row>
    <row r="9" spans="1:5" ht="15" customHeight="1" x14ac:dyDescent="0.15">
      <c r="A9">
        <v>8</v>
      </c>
      <c r="B9" s="163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63" t="s">
        <v>200</v>
      </c>
      <c r="C10">
        <v>1.389</v>
      </c>
      <c r="D10">
        <v>1.389</v>
      </c>
    </row>
    <row r="11" spans="1:5" ht="15" customHeight="1" x14ac:dyDescent="0.15">
      <c r="A11">
        <v>10</v>
      </c>
      <c r="B11" s="163" t="s">
        <v>201</v>
      </c>
      <c r="C11">
        <v>1.3260000000000001</v>
      </c>
      <c r="D11">
        <v>1.3260000000000001</v>
      </c>
    </row>
    <row r="12" spans="1:5" ht="15" customHeight="1" x14ac:dyDescent="0.15">
      <c r="A12">
        <v>11</v>
      </c>
      <c r="B12" s="163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63" t="s">
        <v>203</v>
      </c>
      <c r="C13">
        <v>3.4169999999999998</v>
      </c>
      <c r="D13">
        <v>3.4169999999999998</v>
      </c>
    </row>
    <row r="14" spans="1:5" ht="15" customHeight="1" x14ac:dyDescent="0.15">
      <c r="A14">
        <v>13</v>
      </c>
      <c r="B14" s="163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63" t="s">
        <v>205</v>
      </c>
      <c r="C15">
        <v>0.749</v>
      </c>
      <c r="D15">
        <v>0.749</v>
      </c>
    </row>
    <row r="16" spans="1:5" ht="15" customHeight="1" x14ac:dyDescent="0.15">
      <c r="A16">
        <v>15</v>
      </c>
      <c r="B16" s="163" t="s">
        <v>206</v>
      </c>
      <c r="C16">
        <v>0.97699999999999998</v>
      </c>
      <c r="D16">
        <v>0.97699999999999998</v>
      </c>
    </row>
    <row r="17" spans="1:4" ht="15" customHeight="1" x14ac:dyDescent="0.15">
      <c r="A17">
        <v>16</v>
      </c>
      <c r="B17" s="163" t="s">
        <v>207</v>
      </c>
      <c r="C17">
        <v>0.29799999999999999</v>
      </c>
      <c r="D17">
        <v>0.29799999999999999</v>
      </c>
    </row>
    <row r="18" spans="1:4" ht="15" customHeight="1" x14ac:dyDescent="0.15">
      <c r="A18">
        <v>17</v>
      </c>
      <c r="B18" s="163" t="s">
        <v>208</v>
      </c>
      <c r="C18">
        <v>0.58399999999999996</v>
      </c>
      <c r="D18">
        <v>0.58399999999999996</v>
      </c>
    </row>
    <row r="19" spans="1:4" ht="15" customHeight="1" x14ac:dyDescent="0.15">
      <c r="A19">
        <v>18</v>
      </c>
      <c r="B19" s="163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63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63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63" t="s">
        <v>212</v>
      </c>
      <c r="C22">
        <v>0</v>
      </c>
      <c r="D22">
        <v>0</v>
      </c>
    </row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0.33203125" bestFit="1" customWidth="1"/>
    <col min="3" max="4" width="2.33203125" bestFit="1" customWidth="1"/>
    <col min="5" max="5" width="12.1640625" bestFit="1" customWidth="1"/>
  </cols>
  <sheetData>
    <row r="1" spans="1:4" s="102" customFormat="1" ht="112" x14ac:dyDescent="0.15">
      <c r="A1" s="5" t="s">
        <v>22</v>
      </c>
      <c r="B1" s="3" t="s">
        <v>0</v>
      </c>
      <c r="C1" s="166" t="s">
        <v>213</v>
      </c>
      <c r="D1" s="166" t="s">
        <v>217</v>
      </c>
    </row>
    <row r="2" spans="1:4" x14ac:dyDescent="0.15">
      <c r="A2">
        <v>1</v>
      </c>
      <c r="B2" s="165" t="s">
        <v>192</v>
      </c>
      <c r="C2">
        <v>0</v>
      </c>
      <c r="D2">
        <v>0</v>
      </c>
    </row>
    <row r="3" spans="1:4" x14ac:dyDescent="0.15">
      <c r="A3">
        <v>2</v>
      </c>
      <c r="B3" s="165" t="s">
        <v>193</v>
      </c>
      <c r="C3">
        <v>0</v>
      </c>
      <c r="D3">
        <v>0</v>
      </c>
    </row>
    <row r="4" spans="1:4" x14ac:dyDescent="0.15">
      <c r="A4">
        <v>3</v>
      </c>
      <c r="B4" s="165" t="s">
        <v>194</v>
      </c>
      <c r="C4">
        <v>0</v>
      </c>
      <c r="D4">
        <v>0</v>
      </c>
    </row>
    <row r="5" spans="1:4" x14ac:dyDescent="0.15">
      <c r="A5">
        <v>4</v>
      </c>
      <c r="B5" s="165" t="s">
        <v>195</v>
      </c>
      <c r="C5">
        <v>0</v>
      </c>
      <c r="D5">
        <v>0</v>
      </c>
    </row>
    <row r="6" spans="1:4" x14ac:dyDescent="0.15">
      <c r="A6">
        <v>5</v>
      </c>
      <c r="B6" s="165" t="s">
        <v>196</v>
      </c>
      <c r="C6">
        <v>0</v>
      </c>
      <c r="D6">
        <v>0</v>
      </c>
    </row>
    <row r="7" spans="1:4" x14ac:dyDescent="0.15">
      <c r="A7">
        <v>6</v>
      </c>
      <c r="B7" s="165" t="s">
        <v>197</v>
      </c>
      <c r="C7">
        <v>0</v>
      </c>
      <c r="D7">
        <v>0</v>
      </c>
    </row>
    <row r="8" spans="1:4" x14ac:dyDescent="0.15">
      <c r="A8">
        <v>7</v>
      </c>
      <c r="B8" s="165" t="s">
        <v>198</v>
      </c>
      <c r="C8">
        <v>0</v>
      </c>
      <c r="D8">
        <v>0</v>
      </c>
    </row>
    <row r="9" spans="1:4" x14ac:dyDescent="0.15">
      <c r="A9">
        <v>8</v>
      </c>
      <c r="B9" s="165" t="s">
        <v>199</v>
      </c>
      <c r="C9">
        <v>0</v>
      </c>
      <c r="D9">
        <v>0</v>
      </c>
    </row>
    <row r="10" spans="1:4" x14ac:dyDescent="0.15">
      <c r="A10">
        <v>9</v>
      </c>
      <c r="B10" s="165" t="s">
        <v>200</v>
      </c>
      <c r="C10">
        <v>0</v>
      </c>
      <c r="D10">
        <v>0</v>
      </c>
    </row>
    <row r="11" spans="1:4" x14ac:dyDescent="0.15">
      <c r="A11">
        <v>10</v>
      </c>
      <c r="B11" s="165" t="s">
        <v>201</v>
      </c>
      <c r="C11">
        <v>0</v>
      </c>
      <c r="D11">
        <v>0</v>
      </c>
    </row>
    <row r="12" spans="1:4" x14ac:dyDescent="0.15">
      <c r="A12">
        <v>11</v>
      </c>
      <c r="B12" s="165" t="s">
        <v>202</v>
      </c>
      <c r="C12">
        <v>0</v>
      </c>
      <c r="D12">
        <v>0</v>
      </c>
    </row>
    <row r="13" spans="1:4" x14ac:dyDescent="0.15">
      <c r="A13">
        <v>12</v>
      </c>
      <c r="B13" s="165" t="s">
        <v>203</v>
      </c>
      <c r="C13">
        <v>0</v>
      </c>
      <c r="D13">
        <v>0</v>
      </c>
    </row>
    <row r="14" spans="1:4" x14ac:dyDescent="0.15">
      <c r="A14">
        <v>13</v>
      </c>
      <c r="B14" s="165" t="s">
        <v>204</v>
      </c>
      <c r="C14">
        <v>0</v>
      </c>
      <c r="D14">
        <v>0</v>
      </c>
    </row>
    <row r="15" spans="1:4" x14ac:dyDescent="0.15">
      <c r="A15">
        <v>14</v>
      </c>
      <c r="B15" s="165" t="s">
        <v>205</v>
      </c>
      <c r="C15">
        <v>0</v>
      </c>
      <c r="D15">
        <v>0</v>
      </c>
    </row>
    <row r="16" spans="1:4" x14ac:dyDescent="0.15">
      <c r="A16">
        <v>15</v>
      </c>
      <c r="B16" s="165" t="s">
        <v>206</v>
      </c>
      <c r="C16">
        <v>0</v>
      </c>
      <c r="D16">
        <v>0</v>
      </c>
    </row>
    <row r="17" spans="1:4" x14ac:dyDescent="0.15">
      <c r="A17">
        <v>16</v>
      </c>
      <c r="B17" s="165" t="s">
        <v>207</v>
      </c>
      <c r="C17">
        <v>0</v>
      </c>
      <c r="D17">
        <v>0</v>
      </c>
    </row>
    <row r="18" spans="1:4" x14ac:dyDescent="0.15">
      <c r="A18">
        <v>17</v>
      </c>
      <c r="B18" s="165" t="s">
        <v>208</v>
      </c>
      <c r="C18">
        <v>0</v>
      </c>
      <c r="D18">
        <v>0</v>
      </c>
    </row>
    <row r="19" spans="1:4" x14ac:dyDescent="0.15">
      <c r="A19">
        <v>18</v>
      </c>
      <c r="B19" s="165" t="s">
        <v>209</v>
      </c>
      <c r="C19">
        <v>0</v>
      </c>
      <c r="D19">
        <v>0</v>
      </c>
    </row>
    <row r="20" spans="1:4" x14ac:dyDescent="0.15">
      <c r="A20">
        <v>19</v>
      </c>
      <c r="B20" s="165" t="s">
        <v>210</v>
      </c>
      <c r="C20">
        <v>0</v>
      </c>
      <c r="D20">
        <v>0</v>
      </c>
    </row>
    <row r="21" spans="1:4" x14ac:dyDescent="0.15">
      <c r="A21">
        <v>20</v>
      </c>
      <c r="B21" s="165" t="s">
        <v>211</v>
      </c>
      <c r="C21">
        <v>0</v>
      </c>
      <c r="D21">
        <v>0</v>
      </c>
    </row>
    <row r="22" spans="1:4" x14ac:dyDescent="0.15">
      <c r="A22">
        <v>21</v>
      </c>
      <c r="B22" s="165" t="s">
        <v>212</v>
      </c>
      <c r="C22">
        <v>0</v>
      </c>
      <c r="D2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0.33203125" bestFit="1" customWidth="1"/>
    <col min="6" max="6" width="4.83203125" bestFit="1" customWidth="1"/>
    <col min="7" max="9" width="3.83203125" bestFit="1" customWidth="1"/>
    <col min="10" max="11" width="4.83203125" style="101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3" customFormat="1" ht="14" thickBot="1" x14ac:dyDescent="0.2">
      <c r="D1" s="104" t="s">
        <v>8</v>
      </c>
      <c r="E1" s="104" t="s">
        <v>0</v>
      </c>
      <c r="F1" s="105" t="s">
        <v>99</v>
      </c>
      <c r="G1" s="106" t="s">
        <v>84</v>
      </c>
      <c r="H1" s="106" t="s">
        <v>85</v>
      </c>
      <c r="I1" s="106" t="s">
        <v>86</v>
      </c>
      <c r="J1" s="106" t="s">
        <v>87</v>
      </c>
      <c r="K1" s="106" t="s">
        <v>88</v>
      </c>
      <c r="L1" s="107" t="s">
        <v>89</v>
      </c>
      <c r="M1" s="107" t="s">
        <v>93</v>
      </c>
      <c r="N1" s="107" t="s">
        <v>92</v>
      </c>
      <c r="O1" s="107" t="s">
        <v>90</v>
      </c>
      <c r="P1" s="107" t="s">
        <v>91</v>
      </c>
      <c r="Q1" s="108" t="s">
        <v>94</v>
      </c>
      <c r="R1" s="108" t="s">
        <v>95</v>
      </c>
      <c r="S1" s="108" t="s">
        <v>96</v>
      </c>
      <c r="T1" s="108" t="s">
        <v>97</v>
      </c>
      <c r="U1" s="108" t="s">
        <v>98</v>
      </c>
      <c r="V1" s="106" t="s">
        <v>100</v>
      </c>
      <c r="W1" s="106" t="s">
        <v>101</v>
      </c>
      <c r="X1" s="106" t="s">
        <v>102</v>
      </c>
      <c r="Y1" s="106" t="s">
        <v>134</v>
      </c>
      <c r="Z1" s="107" t="s">
        <v>103</v>
      </c>
      <c r="AA1" s="107" t="s">
        <v>104</v>
      </c>
      <c r="AB1" s="107" t="s">
        <v>105</v>
      </c>
      <c r="AC1" s="109" t="s">
        <v>135</v>
      </c>
      <c r="AD1" s="108" t="s">
        <v>106</v>
      </c>
      <c r="AE1" s="108" t="s">
        <v>107</v>
      </c>
      <c r="AF1" s="108" t="s">
        <v>108</v>
      </c>
      <c r="AG1" s="108" t="s">
        <v>136</v>
      </c>
      <c r="AH1" s="106" t="s">
        <v>109</v>
      </c>
      <c r="AI1" s="106" t="s">
        <v>111</v>
      </c>
      <c r="AJ1" s="106" t="s">
        <v>110</v>
      </c>
      <c r="AK1" s="107" t="s">
        <v>115</v>
      </c>
      <c r="AL1" s="107" t="s">
        <v>116</v>
      </c>
      <c r="AM1" s="107" t="s">
        <v>117</v>
      </c>
      <c r="AN1" s="108" t="s">
        <v>112</v>
      </c>
      <c r="AO1" s="108" t="s">
        <v>113</v>
      </c>
      <c r="AP1" s="108" t="s">
        <v>114</v>
      </c>
    </row>
    <row r="2" spans="1:42" x14ac:dyDescent="0.15">
      <c r="A2" s="110" t="s">
        <v>74</v>
      </c>
      <c r="B2" s="111">
        <v>1</v>
      </c>
      <c r="D2">
        <v>1</v>
      </c>
      <c r="E2" s="167" t="s">
        <v>192</v>
      </c>
      <c r="F2">
        <v>0.98</v>
      </c>
      <c r="G2">
        <v>0.8</v>
      </c>
      <c r="H2">
        <v>0.8</v>
      </c>
      <c r="I2">
        <v>0</v>
      </c>
      <c r="J2" s="101">
        <v>0</v>
      </c>
      <c r="K2" s="101">
        <v>0</v>
      </c>
    </row>
    <row r="3" spans="1:42" x14ac:dyDescent="0.15">
      <c r="A3" s="110" t="s">
        <v>75</v>
      </c>
      <c r="B3" s="112">
        <v>1</v>
      </c>
      <c r="D3">
        <v>2</v>
      </c>
      <c r="E3" s="167" t="s">
        <v>193</v>
      </c>
      <c r="F3">
        <v>0.98</v>
      </c>
      <c r="G3">
        <v>0.8</v>
      </c>
      <c r="H3">
        <v>0.8</v>
      </c>
      <c r="I3">
        <v>0</v>
      </c>
      <c r="J3" s="101">
        <v>0</v>
      </c>
      <c r="K3" s="101">
        <v>0</v>
      </c>
    </row>
    <row r="4" spans="1:42" x14ac:dyDescent="0.15">
      <c r="A4" s="110" t="s">
        <v>76</v>
      </c>
      <c r="B4" s="112">
        <v>1</v>
      </c>
      <c r="D4">
        <v>3</v>
      </c>
      <c r="E4" s="167" t="s">
        <v>194</v>
      </c>
      <c r="F4">
        <v>0.98</v>
      </c>
      <c r="G4">
        <v>0.8</v>
      </c>
      <c r="H4">
        <v>0.8</v>
      </c>
      <c r="I4">
        <v>0.8</v>
      </c>
      <c r="J4" s="101">
        <v>0.25</v>
      </c>
      <c r="K4" s="101">
        <v>0.05</v>
      </c>
    </row>
    <row r="5" spans="1:42" x14ac:dyDescent="0.15">
      <c r="A5" s="110" t="s">
        <v>77</v>
      </c>
      <c r="B5" s="112">
        <v>1</v>
      </c>
      <c r="D5">
        <v>4</v>
      </c>
      <c r="E5" s="167" t="s">
        <v>195</v>
      </c>
      <c r="F5">
        <v>0.98</v>
      </c>
      <c r="G5">
        <v>0.8</v>
      </c>
      <c r="H5">
        <v>0.8</v>
      </c>
      <c r="I5">
        <v>0.8</v>
      </c>
      <c r="J5" s="101">
        <v>0.25</v>
      </c>
      <c r="K5" s="101">
        <v>0.05</v>
      </c>
    </row>
    <row r="6" spans="1:42" x14ac:dyDescent="0.15">
      <c r="A6" s="110" t="s">
        <v>78</v>
      </c>
      <c r="B6" s="112">
        <v>1</v>
      </c>
      <c r="D6">
        <v>5</v>
      </c>
      <c r="E6" s="167" t="s">
        <v>196</v>
      </c>
      <c r="F6">
        <v>0.98</v>
      </c>
      <c r="G6">
        <v>0.8</v>
      </c>
      <c r="H6">
        <v>0.8</v>
      </c>
      <c r="I6">
        <v>0.8</v>
      </c>
      <c r="J6" s="101">
        <v>0.25</v>
      </c>
      <c r="K6" s="101">
        <v>0.05</v>
      </c>
    </row>
    <row r="7" spans="1:42" x14ac:dyDescent="0.15">
      <c r="A7" s="110" t="s">
        <v>79</v>
      </c>
      <c r="B7" s="112">
        <v>1</v>
      </c>
      <c r="D7">
        <v>6</v>
      </c>
      <c r="E7" s="167" t="s">
        <v>197</v>
      </c>
      <c r="F7">
        <v>0.98</v>
      </c>
      <c r="G7">
        <v>0.8</v>
      </c>
      <c r="H7">
        <v>0.8</v>
      </c>
      <c r="I7">
        <v>0.8</v>
      </c>
      <c r="J7" s="101">
        <v>0.25</v>
      </c>
      <c r="K7" s="101">
        <v>0.05</v>
      </c>
    </row>
    <row r="8" spans="1:42" x14ac:dyDescent="0.15">
      <c r="A8" s="110" t="s">
        <v>80</v>
      </c>
      <c r="B8" s="112">
        <v>1</v>
      </c>
      <c r="D8">
        <v>7</v>
      </c>
      <c r="E8" s="167" t="s">
        <v>198</v>
      </c>
      <c r="F8">
        <v>0.98</v>
      </c>
      <c r="G8">
        <v>0.8</v>
      </c>
      <c r="H8">
        <v>0.8</v>
      </c>
      <c r="I8">
        <v>0.8</v>
      </c>
      <c r="J8" s="101">
        <v>0.25</v>
      </c>
      <c r="K8" s="101">
        <v>0.05</v>
      </c>
    </row>
    <row r="9" spans="1:42" x14ac:dyDescent="0.15">
      <c r="A9" s="110" t="s">
        <v>81</v>
      </c>
      <c r="B9" s="112">
        <v>0.1</v>
      </c>
      <c r="C9" s="54" t="s">
        <v>150</v>
      </c>
      <c r="D9">
        <v>8</v>
      </c>
      <c r="E9" s="167" t="s">
        <v>199</v>
      </c>
      <c r="F9">
        <v>0.98</v>
      </c>
      <c r="G9">
        <v>0.8</v>
      </c>
      <c r="H9">
        <v>0.8</v>
      </c>
      <c r="I9">
        <v>0.8</v>
      </c>
      <c r="J9" s="101">
        <v>0.25</v>
      </c>
      <c r="K9" s="101">
        <v>0.05</v>
      </c>
    </row>
    <row r="10" spans="1:42" ht="14" thickBot="1" x14ac:dyDescent="0.2">
      <c r="A10" s="110" t="s">
        <v>149</v>
      </c>
      <c r="B10" s="113">
        <f>1/3</f>
        <v>0.33333333333333331</v>
      </c>
      <c r="C10" s="54" t="s">
        <v>150</v>
      </c>
      <c r="D10">
        <v>9</v>
      </c>
      <c r="E10" s="167" t="s">
        <v>200</v>
      </c>
      <c r="F10">
        <v>0.98</v>
      </c>
      <c r="G10">
        <v>0.8</v>
      </c>
      <c r="H10">
        <v>0.8</v>
      </c>
      <c r="I10">
        <v>0.8</v>
      </c>
      <c r="J10" s="101">
        <v>0.25</v>
      </c>
      <c r="K10" s="101">
        <v>0.05</v>
      </c>
    </row>
    <row r="11" spans="1:42" x14ac:dyDescent="0.15">
      <c r="D11">
        <v>10</v>
      </c>
      <c r="E11" s="167" t="s">
        <v>201</v>
      </c>
      <c r="F11">
        <v>0.98</v>
      </c>
      <c r="G11">
        <v>0.8</v>
      </c>
      <c r="H11">
        <v>0.8</v>
      </c>
      <c r="I11">
        <v>0.8</v>
      </c>
      <c r="J11" s="101">
        <v>0.25</v>
      </c>
      <c r="K11" s="101">
        <v>0.05</v>
      </c>
    </row>
    <row r="12" spans="1:42" x14ac:dyDescent="0.15">
      <c r="D12">
        <v>11</v>
      </c>
      <c r="E12" s="167" t="s">
        <v>202</v>
      </c>
      <c r="F12">
        <v>0.98</v>
      </c>
      <c r="G12">
        <v>0.8</v>
      </c>
      <c r="H12">
        <v>0.8</v>
      </c>
      <c r="I12">
        <v>0.8</v>
      </c>
      <c r="J12" s="101">
        <v>0.25</v>
      </c>
      <c r="K12" s="101">
        <v>0.05</v>
      </c>
    </row>
    <row r="13" spans="1:42" x14ac:dyDescent="0.15">
      <c r="D13">
        <v>12</v>
      </c>
      <c r="E13" s="167" t="s">
        <v>203</v>
      </c>
      <c r="F13">
        <v>0.98</v>
      </c>
      <c r="G13">
        <v>0.8</v>
      </c>
      <c r="H13">
        <v>0.8</v>
      </c>
      <c r="I13">
        <v>0.8</v>
      </c>
      <c r="J13" s="101">
        <v>0.25</v>
      </c>
      <c r="K13" s="101">
        <v>0.05</v>
      </c>
    </row>
    <row r="14" spans="1:42" x14ac:dyDescent="0.15">
      <c r="D14">
        <v>13</v>
      </c>
      <c r="E14" s="167" t="s">
        <v>204</v>
      </c>
      <c r="F14">
        <v>0.98</v>
      </c>
      <c r="G14">
        <v>0.8</v>
      </c>
      <c r="H14">
        <v>0.8</v>
      </c>
      <c r="I14">
        <v>0.8</v>
      </c>
      <c r="J14" s="101">
        <v>0.25</v>
      </c>
      <c r="K14" s="101">
        <v>0.05</v>
      </c>
    </row>
    <row r="15" spans="1:42" x14ac:dyDescent="0.15">
      <c r="D15">
        <v>14</v>
      </c>
      <c r="E15" s="167" t="s">
        <v>205</v>
      </c>
      <c r="F15">
        <v>0.98</v>
      </c>
      <c r="G15">
        <v>0.8</v>
      </c>
      <c r="H15">
        <v>0.8</v>
      </c>
      <c r="I15">
        <v>0.8</v>
      </c>
      <c r="J15" s="101">
        <v>0.25</v>
      </c>
      <c r="K15" s="101">
        <v>0.05</v>
      </c>
    </row>
    <row r="16" spans="1:42" x14ac:dyDescent="0.15">
      <c r="D16">
        <v>15</v>
      </c>
      <c r="E16" s="167" t="s">
        <v>206</v>
      </c>
      <c r="F16">
        <v>0.98</v>
      </c>
      <c r="G16">
        <v>0.8</v>
      </c>
      <c r="H16">
        <v>0.8</v>
      </c>
      <c r="I16">
        <v>0.8</v>
      </c>
      <c r="J16" s="101">
        <v>0.25</v>
      </c>
      <c r="K16" s="101">
        <v>0.05</v>
      </c>
    </row>
    <row r="17" spans="4:33" ht="15" customHeight="1" x14ac:dyDescent="0.15">
      <c r="D17">
        <v>16</v>
      </c>
      <c r="E17" s="167" t="s">
        <v>207</v>
      </c>
      <c r="F17">
        <v>0.98</v>
      </c>
      <c r="G17">
        <v>0.8</v>
      </c>
      <c r="H17">
        <v>0.8</v>
      </c>
      <c r="I17">
        <v>0.8</v>
      </c>
      <c r="J17" s="101">
        <v>0.25</v>
      </c>
      <c r="K17" s="101">
        <v>0.05</v>
      </c>
    </row>
    <row r="18" spans="4:33" ht="15" customHeight="1" x14ac:dyDescent="0.15">
      <c r="D18">
        <v>17</v>
      </c>
      <c r="E18" s="167" t="s">
        <v>208</v>
      </c>
      <c r="F18">
        <v>0.98</v>
      </c>
      <c r="G18">
        <v>0.8</v>
      </c>
      <c r="H18">
        <v>0.8</v>
      </c>
      <c r="I18">
        <v>0.8</v>
      </c>
      <c r="J18" s="101">
        <v>0.25</v>
      </c>
      <c r="K18" s="101">
        <v>0.05</v>
      </c>
    </row>
    <row r="19" spans="4:33" ht="15" customHeight="1" x14ac:dyDescent="0.15">
      <c r="D19">
        <v>18</v>
      </c>
      <c r="E19" s="167" t="s">
        <v>209</v>
      </c>
      <c r="F19">
        <v>0.98</v>
      </c>
      <c r="G19">
        <v>0.8</v>
      </c>
      <c r="H19">
        <v>0.8</v>
      </c>
      <c r="I19">
        <v>0.8</v>
      </c>
      <c r="J19" s="101">
        <v>0.25</v>
      </c>
      <c r="K19" s="101">
        <v>0.05</v>
      </c>
    </row>
    <row r="20" spans="4:33" ht="15" customHeight="1" x14ac:dyDescent="0.15">
      <c r="D20">
        <v>19</v>
      </c>
      <c r="E20" s="167" t="s">
        <v>210</v>
      </c>
      <c r="F20">
        <v>0.98</v>
      </c>
      <c r="G20">
        <v>0.8</v>
      </c>
      <c r="H20">
        <v>0.8</v>
      </c>
      <c r="I20">
        <v>0.8</v>
      </c>
      <c r="J20" s="101">
        <v>0.25</v>
      </c>
      <c r="K20" s="101">
        <v>0.05</v>
      </c>
    </row>
    <row r="21" spans="4:33" ht="15" customHeight="1" x14ac:dyDescent="0.15">
      <c r="D21">
        <v>20</v>
      </c>
      <c r="E21" s="167" t="s">
        <v>211</v>
      </c>
      <c r="F21">
        <v>0.98</v>
      </c>
      <c r="G21">
        <v>0.8</v>
      </c>
      <c r="H21">
        <v>0</v>
      </c>
      <c r="I21">
        <v>0</v>
      </c>
      <c r="J21" s="101">
        <v>0</v>
      </c>
      <c r="K21" s="101">
        <v>0</v>
      </c>
    </row>
    <row r="22" spans="4:33" ht="15" customHeight="1" x14ac:dyDescent="0.15">
      <c r="D22">
        <v>21</v>
      </c>
      <c r="E22" s="167" t="s">
        <v>212</v>
      </c>
      <c r="F22">
        <v>0.98</v>
      </c>
      <c r="G22">
        <v>0.8</v>
      </c>
      <c r="H22">
        <v>0</v>
      </c>
      <c r="I22">
        <v>0</v>
      </c>
      <c r="J22" s="101">
        <v>0</v>
      </c>
      <c r="K22" s="101">
        <v>0</v>
      </c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99" bestFit="1" customWidth="1"/>
    <col min="2" max="3" width="2.33203125" style="99" customWidth="1"/>
    <col min="4" max="20" width="3.83203125" style="99" customWidth="1"/>
    <col min="21" max="22" width="2.33203125" style="99" customWidth="1"/>
    <col min="23" max="16384" width="10.83203125" style="99"/>
  </cols>
  <sheetData>
    <row r="1" spans="1:30" x14ac:dyDescent="0.15">
      <c r="A1" s="56" t="s">
        <v>118</v>
      </c>
      <c r="B1" s="169" t="s">
        <v>192</v>
      </c>
      <c r="C1" s="169" t="s">
        <v>193</v>
      </c>
      <c r="D1" s="169" t="s">
        <v>194</v>
      </c>
      <c r="E1" s="169" t="s">
        <v>195</v>
      </c>
      <c r="F1" s="169" t="s">
        <v>196</v>
      </c>
      <c r="G1" s="169" t="s">
        <v>197</v>
      </c>
      <c r="H1" s="169" t="s">
        <v>198</v>
      </c>
      <c r="I1" s="169" t="s">
        <v>199</v>
      </c>
      <c r="J1" s="169" t="s">
        <v>200</v>
      </c>
      <c r="K1" s="169" t="s">
        <v>201</v>
      </c>
      <c r="L1" s="169" t="s">
        <v>202</v>
      </c>
      <c r="M1" s="169" t="s">
        <v>203</v>
      </c>
      <c r="N1" s="169" t="s">
        <v>204</v>
      </c>
      <c r="O1" s="169" t="s">
        <v>205</v>
      </c>
      <c r="P1" s="169" t="s">
        <v>206</v>
      </c>
      <c r="Q1" s="169" t="s">
        <v>207</v>
      </c>
      <c r="R1" s="169" t="s">
        <v>208</v>
      </c>
      <c r="S1" s="169" t="s">
        <v>209</v>
      </c>
      <c r="T1" s="169" t="s">
        <v>210</v>
      </c>
      <c r="U1" s="169" t="s">
        <v>211</v>
      </c>
      <c r="V1" s="169" t="s">
        <v>212</v>
      </c>
      <c r="W1"/>
      <c r="X1"/>
      <c r="Y1"/>
      <c r="Z1"/>
      <c r="AA1"/>
      <c r="AB1"/>
      <c r="AC1"/>
      <c r="AD1"/>
    </row>
    <row r="2" spans="1:30" customFormat="1" x14ac:dyDescent="0.15">
      <c r="A2" s="168" t="s">
        <v>192</v>
      </c>
      <c r="B2" s="99">
        <v>0</v>
      </c>
      <c r="C2" s="99">
        <v>0</v>
      </c>
      <c r="D2" s="99">
        <v>0.8</v>
      </c>
      <c r="E2" s="99">
        <v>0.8</v>
      </c>
      <c r="F2" s="99">
        <v>0.8</v>
      </c>
      <c r="G2" s="99">
        <v>0</v>
      </c>
      <c r="H2" s="99">
        <v>0</v>
      </c>
      <c r="I2" s="99">
        <v>0</v>
      </c>
      <c r="J2" s="99">
        <v>0.8</v>
      </c>
      <c r="K2" s="99">
        <v>0</v>
      </c>
      <c r="L2" s="99">
        <v>0</v>
      </c>
      <c r="M2" s="99">
        <v>0</v>
      </c>
      <c r="N2" s="99">
        <v>0</v>
      </c>
      <c r="O2" s="99">
        <v>0</v>
      </c>
      <c r="P2" s="99">
        <v>0</v>
      </c>
      <c r="Q2" s="99">
        <v>0.8</v>
      </c>
      <c r="R2" s="99">
        <v>0</v>
      </c>
      <c r="S2" s="99">
        <v>0</v>
      </c>
      <c r="T2" s="99">
        <v>0</v>
      </c>
      <c r="U2" s="99">
        <v>0</v>
      </c>
      <c r="V2" s="99">
        <v>0</v>
      </c>
    </row>
    <row r="3" spans="1:30" customFormat="1" x14ac:dyDescent="0.15">
      <c r="A3" s="168" t="s">
        <v>193</v>
      </c>
      <c r="B3" s="99">
        <v>0</v>
      </c>
      <c r="C3" s="99">
        <v>0</v>
      </c>
      <c r="D3" s="99">
        <v>0</v>
      </c>
      <c r="E3" s="99">
        <v>0</v>
      </c>
      <c r="F3" s="99">
        <v>0</v>
      </c>
      <c r="G3" s="99">
        <v>0.8</v>
      </c>
      <c r="H3" s="99">
        <v>0.8</v>
      </c>
      <c r="I3" s="99">
        <v>0.8</v>
      </c>
      <c r="J3" s="99">
        <v>0</v>
      </c>
      <c r="K3" s="99">
        <v>0</v>
      </c>
      <c r="L3" s="99">
        <v>0</v>
      </c>
      <c r="M3" s="99">
        <v>0</v>
      </c>
      <c r="N3" s="99">
        <v>0</v>
      </c>
      <c r="O3" s="99">
        <v>0</v>
      </c>
      <c r="P3" s="99">
        <v>0.8</v>
      </c>
      <c r="Q3" s="99">
        <v>0</v>
      </c>
      <c r="R3" s="99">
        <v>0</v>
      </c>
      <c r="S3" s="99">
        <v>0</v>
      </c>
      <c r="T3" s="99">
        <v>0</v>
      </c>
      <c r="U3" s="99">
        <v>0</v>
      </c>
      <c r="V3" s="99">
        <v>0</v>
      </c>
    </row>
    <row r="4" spans="1:30" customFormat="1" x14ac:dyDescent="0.15">
      <c r="A4" s="168" t="s">
        <v>194</v>
      </c>
      <c r="B4" s="99">
        <v>0</v>
      </c>
      <c r="C4" s="99">
        <v>0</v>
      </c>
      <c r="D4" s="99">
        <v>0.8</v>
      </c>
      <c r="E4" s="99">
        <v>0.8</v>
      </c>
      <c r="F4" s="99">
        <v>0</v>
      </c>
      <c r="G4" s="99">
        <v>0</v>
      </c>
      <c r="H4" s="99">
        <v>0</v>
      </c>
      <c r="I4" s="99">
        <v>0</v>
      </c>
      <c r="J4" s="99">
        <v>0.8</v>
      </c>
      <c r="K4" s="99">
        <v>0</v>
      </c>
      <c r="L4" s="99">
        <v>0.8</v>
      </c>
      <c r="M4" s="99">
        <v>0</v>
      </c>
      <c r="N4" s="99">
        <v>0</v>
      </c>
      <c r="O4" s="99">
        <v>0</v>
      </c>
      <c r="P4" s="99">
        <v>0.8</v>
      </c>
      <c r="Q4" s="99">
        <v>0.8</v>
      </c>
      <c r="R4" s="99">
        <v>0.8</v>
      </c>
      <c r="S4" s="99">
        <v>0</v>
      </c>
      <c r="T4" s="99">
        <v>0</v>
      </c>
      <c r="U4" s="99">
        <v>0</v>
      </c>
      <c r="V4" s="99">
        <v>0</v>
      </c>
    </row>
    <row r="5" spans="1:30" customFormat="1" x14ac:dyDescent="0.15">
      <c r="A5" s="168" t="s">
        <v>195</v>
      </c>
      <c r="B5" s="99">
        <v>0</v>
      </c>
      <c r="C5" s="99">
        <v>0</v>
      </c>
      <c r="D5" s="99">
        <v>0</v>
      </c>
      <c r="E5" s="99">
        <v>0</v>
      </c>
      <c r="F5" s="99">
        <v>0</v>
      </c>
      <c r="G5" s="99">
        <v>0.8</v>
      </c>
      <c r="H5" s="99">
        <v>0</v>
      </c>
      <c r="I5" s="99">
        <v>0</v>
      </c>
      <c r="J5" s="99">
        <v>0</v>
      </c>
      <c r="K5" s="99">
        <v>0.8</v>
      </c>
      <c r="L5" s="99">
        <v>0.8</v>
      </c>
      <c r="M5" s="99">
        <v>0.8</v>
      </c>
      <c r="N5" s="99">
        <v>0.8</v>
      </c>
      <c r="O5" s="99">
        <v>0</v>
      </c>
      <c r="P5" s="99">
        <v>0.8</v>
      </c>
      <c r="Q5" s="99">
        <v>0</v>
      </c>
      <c r="R5" s="99">
        <v>0</v>
      </c>
      <c r="S5" s="99">
        <v>0</v>
      </c>
      <c r="T5" s="99">
        <v>0</v>
      </c>
      <c r="U5" s="99">
        <v>0</v>
      </c>
      <c r="V5" s="99">
        <v>0</v>
      </c>
    </row>
    <row r="6" spans="1:30" customFormat="1" x14ac:dyDescent="0.15">
      <c r="A6" s="168" t="s">
        <v>196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0.8</v>
      </c>
      <c r="L6" s="99">
        <v>0.8</v>
      </c>
      <c r="M6" s="99">
        <v>0.8</v>
      </c>
      <c r="N6" s="99">
        <v>0.8</v>
      </c>
      <c r="O6" s="99">
        <v>0.8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  <c r="V6" s="99">
        <v>0</v>
      </c>
    </row>
    <row r="7" spans="1:30" customFormat="1" x14ac:dyDescent="0.15">
      <c r="A7" s="168" t="s">
        <v>197</v>
      </c>
      <c r="B7" s="99">
        <v>0</v>
      </c>
      <c r="C7" s="99">
        <v>0</v>
      </c>
      <c r="D7" s="99">
        <v>0</v>
      </c>
      <c r="E7" s="99">
        <v>0</v>
      </c>
      <c r="F7" s="99">
        <v>0</v>
      </c>
      <c r="G7" s="99">
        <v>0</v>
      </c>
      <c r="H7" s="99">
        <v>0</v>
      </c>
      <c r="I7" s="99">
        <v>0</v>
      </c>
      <c r="J7" s="99">
        <v>0</v>
      </c>
      <c r="K7" s="99">
        <v>0</v>
      </c>
      <c r="L7" s="99">
        <v>0.8</v>
      </c>
      <c r="M7" s="99">
        <v>0</v>
      </c>
      <c r="N7" s="99">
        <v>0.8</v>
      </c>
      <c r="O7" s="99">
        <v>0</v>
      </c>
      <c r="P7" s="99">
        <v>0</v>
      </c>
      <c r="Q7" s="99">
        <v>0</v>
      </c>
      <c r="R7" s="99">
        <v>0</v>
      </c>
      <c r="S7" s="99">
        <v>0</v>
      </c>
      <c r="T7" s="99">
        <v>0</v>
      </c>
      <c r="U7" s="99">
        <v>0</v>
      </c>
      <c r="V7" s="99">
        <v>0</v>
      </c>
    </row>
    <row r="8" spans="1:30" customFormat="1" x14ac:dyDescent="0.15">
      <c r="A8" s="168" t="s">
        <v>198</v>
      </c>
      <c r="B8" s="99">
        <v>0</v>
      </c>
      <c r="C8" s="99">
        <v>0</v>
      </c>
      <c r="D8" s="99">
        <v>0</v>
      </c>
      <c r="E8" s="99">
        <v>0</v>
      </c>
      <c r="F8" s="99">
        <v>0</v>
      </c>
      <c r="G8" s="99">
        <v>0</v>
      </c>
      <c r="H8" s="99">
        <v>0</v>
      </c>
      <c r="I8" s="99">
        <v>0</v>
      </c>
      <c r="J8" s="99">
        <v>0</v>
      </c>
      <c r="K8" s="99">
        <v>0.8</v>
      </c>
      <c r="L8" s="99">
        <v>0.8</v>
      </c>
      <c r="M8" s="99">
        <v>0.8</v>
      </c>
      <c r="N8" s="99">
        <v>0.8</v>
      </c>
      <c r="O8" s="99">
        <v>0.8</v>
      </c>
      <c r="P8" s="99">
        <v>0</v>
      </c>
      <c r="Q8" s="99">
        <v>0</v>
      </c>
      <c r="R8" s="99">
        <v>0</v>
      </c>
      <c r="S8" s="99">
        <v>0</v>
      </c>
      <c r="T8" s="99">
        <v>0</v>
      </c>
      <c r="U8" s="99">
        <v>0</v>
      </c>
      <c r="V8" s="99">
        <v>0</v>
      </c>
    </row>
    <row r="9" spans="1:30" customFormat="1" x14ac:dyDescent="0.15">
      <c r="A9" s="168" t="s">
        <v>199</v>
      </c>
      <c r="B9" s="99">
        <v>0</v>
      </c>
      <c r="C9" s="99">
        <v>0</v>
      </c>
      <c r="D9" s="99">
        <v>0</v>
      </c>
      <c r="E9" s="99">
        <v>0</v>
      </c>
      <c r="F9" s="99">
        <v>0</v>
      </c>
      <c r="G9" s="99">
        <v>0</v>
      </c>
      <c r="H9" s="99">
        <v>0</v>
      </c>
      <c r="I9" s="99">
        <v>0</v>
      </c>
      <c r="J9" s="99">
        <v>0</v>
      </c>
      <c r="K9" s="99">
        <v>0.8</v>
      </c>
      <c r="L9" s="99">
        <v>0.8</v>
      </c>
      <c r="M9" s="99">
        <v>0.8</v>
      </c>
      <c r="N9" s="99">
        <v>0.8</v>
      </c>
      <c r="O9" s="99">
        <v>0.8</v>
      </c>
      <c r="P9" s="99">
        <v>0.8</v>
      </c>
      <c r="Q9" s="99">
        <v>0</v>
      </c>
      <c r="R9" s="99">
        <v>0</v>
      </c>
      <c r="S9" s="99">
        <v>0</v>
      </c>
      <c r="T9" s="99">
        <v>0</v>
      </c>
      <c r="U9" s="99">
        <v>0</v>
      </c>
      <c r="V9" s="99">
        <v>0</v>
      </c>
    </row>
    <row r="10" spans="1:30" customFormat="1" x14ac:dyDescent="0.15">
      <c r="A10" s="168" t="s">
        <v>200</v>
      </c>
      <c r="B10" s="99">
        <v>0</v>
      </c>
      <c r="C10" s="99">
        <v>0</v>
      </c>
      <c r="D10" s="99">
        <v>0</v>
      </c>
      <c r="E10" s="99">
        <v>0</v>
      </c>
      <c r="F10" s="99">
        <v>0</v>
      </c>
      <c r="G10" s="99">
        <v>0</v>
      </c>
      <c r="H10" s="99">
        <v>0</v>
      </c>
      <c r="I10" s="99">
        <v>0</v>
      </c>
      <c r="J10" s="99">
        <v>0</v>
      </c>
      <c r="K10" s="99">
        <v>0.8</v>
      </c>
      <c r="L10" s="99">
        <v>0.8</v>
      </c>
      <c r="M10" s="99">
        <v>0.8</v>
      </c>
      <c r="N10" s="99">
        <v>0.8</v>
      </c>
      <c r="O10" s="99">
        <v>0.8</v>
      </c>
      <c r="P10" s="99">
        <v>0</v>
      </c>
      <c r="Q10" s="99">
        <v>0</v>
      </c>
      <c r="R10" s="99">
        <v>0</v>
      </c>
      <c r="S10" s="99">
        <v>0</v>
      </c>
      <c r="T10" s="99">
        <v>0</v>
      </c>
      <c r="U10" s="99">
        <v>0</v>
      </c>
      <c r="V10" s="99">
        <v>0</v>
      </c>
    </row>
    <row r="11" spans="1:30" customFormat="1" x14ac:dyDescent="0.15">
      <c r="A11" s="168" t="s">
        <v>201</v>
      </c>
      <c r="B11" s="99">
        <v>0</v>
      </c>
      <c r="C11" s="99">
        <v>0</v>
      </c>
      <c r="D11" s="99">
        <v>0</v>
      </c>
      <c r="E11" s="99">
        <v>0</v>
      </c>
      <c r="F11" s="99">
        <v>0</v>
      </c>
      <c r="G11" s="99">
        <v>0</v>
      </c>
      <c r="H11" s="99">
        <v>0</v>
      </c>
      <c r="I11" s="99">
        <v>0</v>
      </c>
      <c r="J11" s="99">
        <v>0</v>
      </c>
      <c r="K11" s="99">
        <v>0</v>
      </c>
      <c r="L11" s="99">
        <v>0</v>
      </c>
      <c r="M11" s="99">
        <v>0.8</v>
      </c>
      <c r="N11" s="99">
        <v>0.8</v>
      </c>
      <c r="O11" s="99">
        <v>0.8</v>
      </c>
      <c r="P11" s="99">
        <v>0.8</v>
      </c>
      <c r="Q11" s="99">
        <v>0</v>
      </c>
      <c r="R11" s="99">
        <v>0</v>
      </c>
      <c r="S11" s="99">
        <v>0</v>
      </c>
      <c r="T11" s="99">
        <v>0</v>
      </c>
      <c r="U11" s="99">
        <v>0</v>
      </c>
      <c r="V11" s="99">
        <v>0</v>
      </c>
    </row>
    <row r="12" spans="1:30" customFormat="1" x14ac:dyDescent="0.15">
      <c r="A12" s="168" t="s">
        <v>202</v>
      </c>
      <c r="B12" s="99">
        <v>0</v>
      </c>
      <c r="C12" s="99">
        <v>0</v>
      </c>
      <c r="D12" s="99">
        <v>0</v>
      </c>
      <c r="E12" s="99">
        <v>0</v>
      </c>
      <c r="F12" s="99">
        <v>0</v>
      </c>
      <c r="G12" s="99">
        <v>0</v>
      </c>
      <c r="H12" s="99">
        <v>0</v>
      </c>
      <c r="I12" s="99">
        <v>0</v>
      </c>
      <c r="J12" s="99">
        <v>0</v>
      </c>
      <c r="K12" s="99">
        <v>0.8</v>
      </c>
      <c r="L12" s="99">
        <v>0.8</v>
      </c>
      <c r="M12" s="99">
        <v>0.8</v>
      </c>
      <c r="N12" s="99">
        <v>0.8</v>
      </c>
      <c r="O12" s="99">
        <v>0.8</v>
      </c>
      <c r="P12" s="99">
        <v>0</v>
      </c>
      <c r="Q12" s="99">
        <v>0</v>
      </c>
      <c r="R12" s="99">
        <v>0</v>
      </c>
      <c r="S12" s="99">
        <v>0</v>
      </c>
      <c r="T12" s="99">
        <v>0</v>
      </c>
      <c r="U12" s="99">
        <v>0</v>
      </c>
      <c r="V12" s="99">
        <v>0</v>
      </c>
    </row>
    <row r="13" spans="1:30" customFormat="1" x14ac:dyDescent="0.15">
      <c r="A13" s="168" t="s">
        <v>203</v>
      </c>
      <c r="B13" s="99">
        <v>0</v>
      </c>
      <c r="C13" s="99">
        <v>0</v>
      </c>
      <c r="D13" s="99">
        <v>0</v>
      </c>
      <c r="E13" s="99">
        <v>0</v>
      </c>
      <c r="F13" s="99">
        <v>0</v>
      </c>
      <c r="G13" s="99">
        <v>0</v>
      </c>
      <c r="H13" s="99">
        <v>0</v>
      </c>
      <c r="I13" s="99">
        <v>0</v>
      </c>
      <c r="J13" s="99">
        <v>0</v>
      </c>
      <c r="K13" s="99">
        <v>0</v>
      </c>
      <c r="L13" s="99">
        <v>0</v>
      </c>
      <c r="M13" s="99">
        <v>0.8</v>
      </c>
      <c r="N13" s="99">
        <v>0</v>
      </c>
      <c r="O13" s="99">
        <v>0</v>
      </c>
      <c r="P13" s="99">
        <v>0.8</v>
      </c>
      <c r="Q13" s="99">
        <v>0</v>
      </c>
      <c r="R13" s="99">
        <v>0</v>
      </c>
      <c r="S13" s="99">
        <v>0</v>
      </c>
      <c r="T13" s="99">
        <v>0</v>
      </c>
      <c r="U13" s="99">
        <v>0</v>
      </c>
      <c r="V13" s="99">
        <v>0</v>
      </c>
    </row>
    <row r="14" spans="1:30" customFormat="1" x14ac:dyDescent="0.15">
      <c r="A14" s="168" t="s">
        <v>204</v>
      </c>
      <c r="B14" s="99">
        <v>0</v>
      </c>
      <c r="C14" s="99">
        <v>0</v>
      </c>
      <c r="D14" s="99">
        <v>0</v>
      </c>
      <c r="E14" s="99">
        <v>0</v>
      </c>
      <c r="F14" s="99">
        <v>0</v>
      </c>
      <c r="G14" s="99">
        <v>0</v>
      </c>
      <c r="H14" s="99">
        <v>0</v>
      </c>
      <c r="I14" s="99">
        <v>0</v>
      </c>
      <c r="J14" s="99">
        <v>0</v>
      </c>
      <c r="K14" s="99">
        <v>0</v>
      </c>
      <c r="L14" s="99">
        <v>0</v>
      </c>
      <c r="M14" s="99">
        <v>0.8</v>
      </c>
      <c r="N14" s="99">
        <v>0</v>
      </c>
      <c r="O14" s="99">
        <v>0</v>
      </c>
      <c r="P14" s="99">
        <v>0</v>
      </c>
      <c r="Q14" s="99">
        <v>0</v>
      </c>
      <c r="R14" s="99">
        <v>0</v>
      </c>
      <c r="S14" s="99">
        <v>0</v>
      </c>
      <c r="T14" s="99">
        <v>0</v>
      </c>
      <c r="U14" s="99">
        <v>0</v>
      </c>
      <c r="V14" s="99">
        <v>0</v>
      </c>
    </row>
    <row r="15" spans="1:30" customFormat="1" x14ac:dyDescent="0.15">
      <c r="A15" s="168" t="s">
        <v>205</v>
      </c>
      <c r="B15" s="99">
        <v>0</v>
      </c>
      <c r="C15" s="99">
        <v>0</v>
      </c>
      <c r="D15" s="99">
        <v>0</v>
      </c>
      <c r="E15" s="99">
        <v>0</v>
      </c>
      <c r="F15" s="99">
        <v>0</v>
      </c>
      <c r="G15" s="99">
        <v>0</v>
      </c>
      <c r="H15" s="99">
        <v>0</v>
      </c>
      <c r="I15" s="99">
        <v>0</v>
      </c>
      <c r="J15" s="99">
        <v>0</v>
      </c>
      <c r="K15" s="99">
        <v>0</v>
      </c>
      <c r="L15" s="99">
        <v>0</v>
      </c>
      <c r="M15" s="99">
        <v>0</v>
      </c>
      <c r="N15" s="99">
        <v>0</v>
      </c>
      <c r="O15" s="99">
        <v>0.8</v>
      </c>
      <c r="P15" s="99">
        <v>0</v>
      </c>
      <c r="Q15" s="99">
        <v>0</v>
      </c>
      <c r="R15" s="99">
        <v>0</v>
      </c>
      <c r="S15" s="99">
        <v>0</v>
      </c>
      <c r="T15" s="99">
        <v>0</v>
      </c>
      <c r="U15" s="99">
        <v>0</v>
      </c>
      <c r="V15" s="99">
        <v>0</v>
      </c>
    </row>
    <row r="16" spans="1:30" customFormat="1" x14ac:dyDescent="0.15">
      <c r="A16" s="168" t="s">
        <v>206</v>
      </c>
      <c r="B16" s="99">
        <v>0</v>
      </c>
      <c r="C16" s="99">
        <v>0</v>
      </c>
      <c r="D16" s="99">
        <v>0</v>
      </c>
      <c r="E16" s="99">
        <v>0</v>
      </c>
      <c r="F16" s="99">
        <v>0</v>
      </c>
      <c r="G16" s="99">
        <v>0</v>
      </c>
      <c r="H16" s="99">
        <v>0</v>
      </c>
      <c r="I16" s="99">
        <v>0</v>
      </c>
      <c r="J16" s="99">
        <v>0</v>
      </c>
      <c r="K16" s="99">
        <v>0</v>
      </c>
      <c r="L16" s="99">
        <v>0</v>
      </c>
      <c r="M16" s="99">
        <v>0</v>
      </c>
      <c r="N16" s="99">
        <v>0</v>
      </c>
      <c r="O16" s="99">
        <v>0</v>
      </c>
      <c r="P16" s="99">
        <v>0.8</v>
      </c>
      <c r="Q16" s="99">
        <v>0</v>
      </c>
      <c r="R16" s="99">
        <v>0</v>
      </c>
      <c r="S16" s="99">
        <v>0.8</v>
      </c>
      <c r="T16" s="99">
        <v>0.8</v>
      </c>
      <c r="U16" s="99">
        <v>0</v>
      </c>
      <c r="V16" s="99">
        <v>0</v>
      </c>
    </row>
    <row r="17" spans="1:22" customFormat="1" x14ac:dyDescent="0.15">
      <c r="A17" s="168" t="s">
        <v>207</v>
      </c>
      <c r="B17" s="99">
        <v>0</v>
      </c>
      <c r="C17" s="99">
        <v>0</v>
      </c>
      <c r="D17" s="99">
        <v>0</v>
      </c>
      <c r="E17" s="99">
        <v>0</v>
      </c>
      <c r="F17" s="99">
        <v>0</v>
      </c>
      <c r="G17" s="99">
        <v>0</v>
      </c>
      <c r="H17" s="99">
        <v>0</v>
      </c>
      <c r="I17" s="99">
        <v>0</v>
      </c>
      <c r="J17" s="99">
        <v>0</v>
      </c>
      <c r="K17" s="99">
        <v>0</v>
      </c>
      <c r="L17" s="99">
        <v>0</v>
      </c>
      <c r="M17" s="99">
        <v>0</v>
      </c>
      <c r="N17" s="99">
        <v>0</v>
      </c>
      <c r="O17" s="99">
        <v>0</v>
      </c>
      <c r="P17" s="99">
        <v>0.8</v>
      </c>
      <c r="Q17" s="99">
        <v>0</v>
      </c>
      <c r="R17" s="99">
        <v>0.8</v>
      </c>
      <c r="S17" s="99">
        <v>0.8</v>
      </c>
      <c r="T17" s="99">
        <v>0.8</v>
      </c>
      <c r="U17" s="99">
        <v>0</v>
      </c>
      <c r="V17" s="99">
        <v>0</v>
      </c>
    </row>
    <row r="18" spans="1:22" customFormat="1" x14ac:dyDescent="0.15">
      <c r="A18" s="168" t="s">
        <v>208</v>
      </c>
      <c r="B18" s="99">
        <v>0</v>
      </c>
      <c r="C18" s="99">
        <v>0</v>
      </c>
      <c r="D18" s="99">
        <v>0</v>
      </c>
      <c r="E18" s="99">
        <v>0</v>
      </c>
      <c r="F18" s="99">
        <v>0</v>
      </c>
      <c r="G18" s="99">
        <v>0</v>
      </c>
      <c r="H18" s="99">
        <v>0</v>
      </c>
      <c r="I18" s="99">
        <v>0</v>
      </c>
      <c r="J18" s="99">
        <v>0</v>
      </c>
      <c r="K18" s="99">
        <v>0</v>
      </c>
      <c r="L18" s="99">
        <v>0</v>
      </c>
      <c r="M18" s="99">
        <v>0</v>
      </c>
      <c r="N18" s="99">
        <v>0</v>
      </c>
      <c r="O18" s="99">
        <v>0</v>
      </c>
      <c r="P18" s="99">
        <v>0</v>
      </c>
      <c r="Q18" s="99">
        <v>0</v>
      </c>
      <c r="R18" s="99">
        <v>0</v>
      </c>
      <c r="S18" s="99">
        <v>0.8</v>
      </c>
      <c r="T18" s="99">
        <v>0</v>
      </c>
      <c r="U18" s="99">
        <v>0</v>
      </c>
      <c r="V18" s="99">
        <v>0</v>
      </c>
    </row>
    <row r="19" spans="1:22" customFormat="1" x14ac:dyDescent="0.15">
      <c r="A19" s="168" t="s">
        <v>209</v>
      </c>
      <c r="B19" s="99">
        <v>0</v>
      </c>
      <c r="C19" s="99">
        <v>0</v>
      </c>
      <c r="D19" s="99">
        <v>0</v>
      </c>
      <c r="E19" s="99">
        <v>0</v>
      </c>
      <c r="F19" s="99">
        <v>0</v>
      </c>
      <c r="G19" s="99">
        <v>0</v>
      </c>
      <c r="H19" s="99">
        <v>0</v>
      </c>
      <c r="I19" s="99">
        <v>0</v>
      </c>
      <c r="J19" s="99">
        <v>0</v>
      </c>
      <c r="K19" s="99">
        <v>0</v>
      </c>
      <c r="L19" s="99">
        <v>0</v>
      </c>
      <c r="M19" s="99">
        <v>0</v>
      </c>
      <c r="N19" s="99">
        <v>0</v>
      </c>
      <c r="O19" s="99">
        <v>0</v>
      </c>
      <c r="P19" s="99">
        <v>0</v>
      </c>
      <c r="Q19" s="99">
        <v>0</v>
      </c>
      <c r="R19" s="99">
        <v>0</v>
      </c>
      <c r="S19" s="99">
        <v>0</v>
      </c>
      <c r="T19" s="99">
        <v>0</v>
      </c>
      <c r="U19" s="99">
        <v>0</v>
      </c>
      <c r="V19" s="99">
        <v>0</v>
      </c>
    </row>
    <row r="20" spans="1:22" customFormat="1" x14ac:dyDescent="0.15">
      <c r="A20" s="168" t="s">
        <v>210</v>
      </c>
      <c r="B20" s="99">
        <v>0</v>
      </c>
      <c r="C20" s="99">
        <v>0</v>
      </c>
      <c r="D20" s="99">
        <v>0</v>
      </c>
      <c r="E20" s="99">
        <v>0</v>
      </c>
      <c r="F20" s="99">
        <v>0</v>
      </c>
      <c r="G20" s="99">
        <v>0</v>
      </c>
      <c r="H20" s="99">
        <v>0</v>
      </c>
      <c r="I20" s="99">
        <v>0</v>
      </c>
      <c r="J20" s="99">
        <v>0</v>
      </c>
      <c r="K20" s="99">
        <v>0</v>
      </c>
      <c r="L20" s="99">
        <v>0</v>
      </c>
      <c r="M20" s="99">
        <v>0</v>
      </c>
      <c r="N20" s="99">
        <v>0</v>
      </c>
      <c r="O20" s="99">
        <v>0</v>
      </c>
      <c r="P20" s="99">
        <v>0</v>
      </c>
      <c r="Q20" s="99">
        <v>0</v>
      </c>
      <c r="R20" s="99">
        <v>0</v>
      </c>
      <c r="S20" s="99">
        <v>0</v>
      </c>
      <c r="T20" s="99">
        <v>0</v>
      </c>
      <c r="U20" s="99">
        <v>0</v>
      </c>
      <c r="V20" s="99">
        <v>0</v>
      </c>
    </row>
    <row r="21" spans="1:22" customFormat="1" x14ac:dyDescent="0.15">
      <c r="A21" s="168" t="s">
        <v>211</v>
      </c>
      <c r="B21" s="99">
        <v>0</v>
      </c>
      <c r="C21" s="99">
        <v>0</v>
      </c>
      <c r="D21" s="99">
        <v>0.8</v>
      </c>
      <c r="E21" s="99">
        <v>0.8</v>
      </c>
      <c r="F21" s="99">
        <v>0.8</v>
      </c>
      <c r="G21" s="99">
        <v>0.8</v>
      </c>
      <c r="H21" s="99">
        <v>0.8</v>
      </c>
      <c r="I21" s="99">
        <v>0.8</v>
      </c>
      <c r="J21" s="99">
        <v>0.8</v>
      </c>
      <c r="K21" s="99">
        <v>0.8</v>
      </c>
      <c r="L21" s="99">
        <v>0.8</v>
      </c>
      <c r="M21" s="99">
        <v>0.8</v>
      </c>
      <c r="N21" s="99">
        <v>0.8</v>
      </c>
      <c r="O21" s="99">
        <v>0</v>
      </c>
      <c r="P21" s="99">
        <v>0.8</v>
      </c>
      <c r="Q21" s="99">
        <v>0</v>
      </c>
      <c r="R21" s="99">
        <v>0</v>
      </c>
      <c r="S21" s="99">
        <v>0</v>
      </c>
      <c r="T21" s="99">
        <v>0</v>
      </c>
      <c r="U21" s="99">
        <v>0</v>
      </c>
      <c r="V21" s="99">
        <v>0</v>
      </c>
    </row>
    <row r="22" spans="1:22" customFormat="1" x14ac:dyDescent="0.15">
      <c r="A22" s="168" t="s">
        <v>212</v>
      </c>
      <c r="B22" s="99">
        <v>0</v>
      </c>
      <c r="C22" s="99">
        <v>0</v>
      </c>
      <c r="D22" s="99">
        <v>0</v>
      </c>
      <c r="E22" s="99">
        <v>0</v>
      </c>
      <c r="F22" s="99">
        <v>0</v>
      </c>
      <c r="G22" s="99">
        <v>0</v>
      </c>
      <c r="H22" s="99">
        <v>0</v>
      </c>
      <c r="I22" s="99">
        <v>0</v>
      </c>
      <c r="J22" s="99">
        <v>0</v>
      </c>
      <c r="K22" s="99">
        <v>0</v>
      </c>
      <c r="L22" s="99">
        <v>0</v>
      </c>
      <c r="M22" s="99">
        <v>0</v>
      </c>
      <c r="N22" s="99">
        <v>0</v>
      </c>
      <c r="O22" s="99">
        <v>0</v>
      </c>
      <c r="P22" s="99">
        <v>0</v>
      </c>
      <c r="Q22" s="99">
        <v>0</v>
      </c>
      <c r="R22" s="99">
        <v>0</v>
      </c>
      <c r="S22" s="99">
        <v>0</v>
      </c>
      <c r="T22" s="99">
        <v>0</v>
      </c>
      <c r="U22" s="99">
        <v>0</v>
      </c>
      <c r="V22" s="99">
        <v>0</v>
      </c>
    </row>
    <row r="23" spans="1:22" customFormat="1" x14ac:dyDescent="0.15">
      <c r="A23" s="168" t="s">
        <v>214</v>
      </c>
      <c r="B23" s="99">
        <v>0</v>
      </c>
      <c r="C23" s="99">
        <v>0</v>
      </c>
      <c r="D23" s="99">
        <v>0</v>
      </c>
      <c r="E23" s="99">
        <v>0</v>
      </c>
      <c r="F23" s="99">
        <v>0</v>
      </c>
      <c r="G23" s="99">
        <v>0</v>
      </c>
      <c r="H23" s="99">
        <v>0</v>
      </c>
      <c r="I23" s="99">
        <v>0</v>
      </c>
      <c r="J23" s="99">
        <v>0</v>
      </c>
      <c r="K23" s="99">
        <v>0</v>
      </c>
      <c r="L23" s="99">
        <v>0</v>
      </c>
      <c r="M23" s="99">
        <v>0</v>
      </c>
      <c r="N23" s="99">
        <v>0</v>
      </c>
      <c r="O23" s="99">
        <v>0</v>
      </c>
      <c r="P23" s="99">
        <v>0</v>
      </c>
      <c r="Q23" s="99">
        <v>0</v>
      </c>
      <c r="R23" s="99">
        <v>0</v>
      </c>
      <c r="S23" s="99">
        <v>0</v>
      </c>
      <c r="T23" s="99">
        <v>0</v>
      </c>
      <c r="U23" s="99">
        <v>0</v>
      </c>
      <c r="V23" s="99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99" bestFit="1" customWidth="1"/>
    <col min="2" max="22" width="2.33203125" style="99" customWidth="1"/>
    <col min="23" max="16384" width="10.83203125" style="99"/>
  </cols>
  <sheetData>
    <row r="1" spans="1:31" x14ac:dyDescent="0.15">
      <c r="A1" s="56" t="s">
        <v>139</v>
      </c>
      <c r="B1" s="171" t="s">
        <v>192</v>
      </c>
      <c r="C1" s="171" t="s">
        <v>193</v>
      </c>
      <c r="D1" s="171" t="s">
        <v>194</v>
      </c>
      <c r="E1" s="171" t="s">
        <v>195</v>
      </c>
      <c r="F1" s="171" t="s">
        <v>196</v>
      </c>
      <c r="G1" s="171" t="s">
        <v>197</v>
      </c>
      <c r="H1" s="171" t="s">
        <v>198</v>
      </c>
      <c r="I1" s="171" t="s">
        <v>199</v>
      </c>
      <c r="J1" s="171" t="s">
        <v>200</v>
      </c>
      <c r="K1" s="171" t="s">
        <v>201</v>
      </c>
      <c r="L1" s="171" t="s">
        <v>202</v>
      </c>
      <c r="M1" s="171" t="s">
        <v>203</v>
      </c>
      <c r="N1" s="171" t="s">
        <v>204</v>
      </c>
      <c r="O1" s="171" t="s">
        <v>205</v>
      </c>
      <c r="P1" s="171" t="s">
        <v>206</v>
      </c>
      <c r="Q1" s="171" t="s">
        <v>207</v>
      </c>
      <c r="R1" s="171" t="s">
        <v>208</v>
      </c>
      <c r="S1" s="171" t="s">
        <v>209</v>
      </c>
      <c r="T1" s="171" t="s">
        <v>210</v>
      </c>
      <c r="U1" s="171" t="s">
        <v>211</v>
      </c>
      <c r="V1" s="171" t="s">
        <v>212</v>
      </c>
      <c r="W1"/>
      <c r="X1"/>
      <c r="Y1"/>
      <c r="Z1"/>
      <c r="AA1"/>
      <c r="AB1"/>
      <c r="AC1"/>
      <c r="AD1"/>
      <c r="AE1"/>
    </row>
    <row r="2" spans="1:31" customFormat="1" x14ac:dyDescent="0.15">
      <c r="A2" s="170" t="s">
        <v>192</v>
      </c>
      <c r="B2" s="99">
        <v>0</v>
      </c>
      <c r="C2" s="99">
        <v>0</v>
      </c>
      <c r="D2" s="99">
        <v>1</v>
      </c>
      <c r="E2" s="99">
        <v>1</v>
      </c>
      <c r="F2" s="99">
        <v>1</v>
      </c>
      <c r="G2" s="99">
        <v>0</v>
      </c>
      <c r="H2" s="99">
        <v>0</v>
      </c>
      <c r="I2" s="99">
        <v>0</v>
      </c>
      <c r="J2" s="99">
        <v>1</v>
      </c>
      <c r="K2" s="99">
        <v>0</v>
      </c>
      <c r="L2" s="99">
        <v>0</v>
      </c>
      <c r="M2" s="99">
        <v>0</v>
      </c>
      <c r="N2" s="99">
        <v>0</v>
      </c>
      <c r="O2" s="99">
        <v>0</v>
      </c>
      <c r="P2" s="99">
        <v>0</v>
      </c>
      <c r="Q2" s="99">
        <v>1</v>
      </c>
      <c r="R2" s="99">
        <v>0</v>
      </c>
      <c r="S2" s="99">
        <v>0</v>
      </c>
      <c r="T2" s="99">
        <v>0</v>
      </c>
      <c r="U2" s="99">
        <v>0</v>
      </c>
      <c r="V2" s="99">
        <v>0</v>
      </c>
    </row>
    <row r="3" spans="1:31" customFormat="1" x14ac:dyDescent="0.15">
      <c r="A3" s="170" t="s">
        <v>193</v>
      </c>
      <c r="B3" s="99">
        <v>0</v>
      </c>
      <c r="C3" s="99">
        <v>0</v>
      </c>
      <c r="D3" s="99">
        <v>0</v>
      </c>
      <c r="E3" s="99">
        <v>0</v>
      </c>
      <c r="F3" s="99">
        <v>0</v>
      </c>
      <c r="G3" s="99">
        <v>1</v>
      </c>
      <c r="H3" s="99">
        <v>1</v>
      </c>
      <c r="I3" s="99">
        <v>1</v>
      </c>
      <c r="J3" s="99">
        <v>0</v>
      </c>
      <c r="K3" s="99">
        <v>0</v>
      </c>
      <c r="L3" s="99">
        <v>0</v>
      </c>
      <c r="M3" s="99">
        <v>0</v>
      </c>
      <c r="N3" s="99">
        <v>0</v>
      </c>
      <c r="O3" s="99">
        <v>0</v>
      </c>
      <c r="P3" s="99">
        <v>1</v>
      </c>
      <c r="Q3" s="99">
        <v>0</v>
      </c>
      <c r="R3" s="99">
        <v>0</v>
      </c>
      <c r="S3" s="99">
        <v>0</v>
      </c>
      <c r="T3" s="99">
        <v>0</v>
      </c>
      <c r="U3" s="99">
        <v>0</v>
      </c>
      <c r="V3" s="99">
        <v>0</v>
      </c>
    </row>
    <row r="4" spans="1:31" customFormat="1" x14ac:dyDescent="0.15">
      <c r="A4" s="170" t="s">
        <v>194</v>
      </c>
      <c r="B4" s="99">
        <v>0</v>
      </c>
      <c r="C4" s="99">
        <v>0</v>
      </c>
      <c r="D4" s="99">
        <v>1</v>
      </c>
      <c r="E4" s="99">
        <v>1</v>
      </c>
      <c r="F4" s="99">
        <v>0</v>
      </c>
      <c r="G4" s="99">
        <v>0</v>
      </c>
      <c r="H4" s="99">
        <v>0</v>
      </c>
      <c r="I4" s="99">
        <v>0</v>
      </c>
      <c r="J4" s="99">
        <v>1</v>
      </c>
      <c r="K4" s="99">
        <v>0</v>
      </c>
      <c r="L4" s="99">
        <v>1</v>
      </c>
      <c r="M4" s="99">
        <v>0</v>
      </c>
      <c r="N4" s="99">
        <v>0</v>
      </c>
      <c r="O4" s="99">
        <v>0</v>
      </c>
      <c r="P4" s="99">
        <v>1</v>
      </c>
      <c r="Q4" s="99">
        <v>1</v>
      </c>
      <c r="R4" s="99">
        <v>1</v>
      </c>
      <c r="S4" s="99">
        <v>0</v>
      </c>
      <c r="T4" s="99">
        <v>0</v>
      </c>
      <c r="U4" s="99">
        <v>0</v>
      </c>
      <c r="V4" s="99">
        <v>0</v>
      </c>
    </row>
    <row r="5" spans="1:31" customFormat="1" x14ac:dyDescent="0.15">
      <c r="A5" s="170" t="s">
        <v>195</v>
      </c>
      <c r="B5" s="99">
        <v>0</v>
      </c>
      <c r="C5" s="99">
        <v>0</v>
      </c>
      <c r="D5" s="99">
        <v>0</v>
      </c>
      <c r="E5" s="99">
        <v>0</v>
      </c>
      <c r="F5" s="99">
        <v>0</v>
      </c>
      <c r="G5" s="99">
        <v>1</v>
      </c>
      <c r="H5" s="99">
        <v>0</v>
      </c>
      <c r="I5" s="99">
        <v>0</v>
      </c>
      <c r="J5" s="99">
        <v>0</v>
      </c>
      <c r="K5" s="99">
        <v>1</v>
      </c>
      <c r="L5" s="99">
        <v>1</v>
      </c>
      <c r="M5" s="99">
        <v>1</v>
      </c>
      <c r="N5" s="99">
        <v>1</v>
      </c>
      <c r="O5" s="99">
        <v>0</v>
      </c>
      <c r="P5" s="99">
        <v>1</v>
      </c>
      <c r="Q5" s="99">
        <v>0</v>
      </c>
      <c r="R5" s="99">
        <v>0</v>
      </c>
      <c r="S5" s="99">
        <v>0</v>
      </c>
      <c r="T5" s="99">
        <v>0</v>
      </c>
      <c r="U5" s="99">
        <v>0</v>
      </c>
      <c r="V5" s="99">
        <v>0</v>
      </c>
    </row>
    <row r="6" spans="1:31" customFormat="1" x14ac:dyDescent="0.15">
      <c r="A6" s="170" t="s">
        <v>196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1</v>
      </c>
      <c r="L6" s="99">
        <v>1</v>
      </c>
      <c r="M6" s="99">
        <v>1</v>
      </c>
      <c r="N6" s="99">
        <v>1</v>
      </c>
      <c r="O6" s="99">
        <v>1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  <c r="V6" s="99">
        <v>0</v>
      </c>
    </row>
    <row r="7" spans="1:31" customFormat="1" x14ac:dyDescent="0.15">
      <c r="A7" s="170" t="s">
        <v>197</v>
      </c>
      <c r="B7" s="99">
        <v>0</v>
      </c>
      <c r="C7" s="99">
        <v>0</v>
      </c>
      <c r="D7" s="99">
        <v>0</v>
      </c>
      <c r="E7" s="99">
        <v>0</v>
      </c>
      <c r="F7" s="99">
        <v>0</v>
      </c>
      <c r="G7" s="99">
        <v>0</v>
      </c>
      <c r="H7" s="99">
        <v>0</v>
      </c>
      <c r="I7" s="99">
        <v>0</v>
      </c>
      <c r="J7" s="99">
        <v>0</v>
      </c>
      <c r="K7" s="99">
        <v>0</v>
      </c>
      <c r="L7" s="99">
        <v>1</v>
      </c>
      <c r="M7" s="99">
        <v>0</v>
      </c>
      <c r="N7" s="99">
        <v>1</v>
      </c>
      <c r="O7" s="99">
        <v>0</v>
      </c>
      <c r="P7" s="99">
        <v>0</v>
      </c>
      <c r="Q7" s="99">
        <v>0</v>
      </c>
      <c r="R7" s="99">
        <v>0</v>
      </c>
      <c r="S7" s="99">
        <v>0</v>
      </c>
      <c r="T7" s="99">
        <v>0</v>
      </c>
      <c r="U7" s="99">
        <v>0</v>
      </c>
      <c r="V7" s="99">
        <v>0</v>
      </c>
    </row>
    <row r="8" spans="1:31" customFormat="1" x14ac:dyDescent="0.15">
      <c r="A8" s="170" t="s">
        <v>198</v>
      </c>
      <c r="B8" s="99">
        <v>0</v>
      </c>
      <c r="C8" s="99">
        <v>0</v>
      </c>
      <c r="D8" s="99">
        <v>0</v>
      </c>
      <c r="E8" s="99">
        <v>0</v>
      </c>
      <c r="F8" s="99">
        <v>0</v>
      </c>
      <c r="G8" s="99">
        <v>0</v>
      </c>
      <c r="H8" s="99">
        <v>0</v>
      </c>
      <c r="I8" s="99">
        <v>0</v>
      </c>
      <c r="J8" s="99">
        <v>0</v>
      </c>
      <c r="K8" s="99">
        <v>1</v>
      </c>
      <c r="L8" s="99">
        <v>1</v>
      </c>
      <c r="M8" s="99">
        <v>1</v>
      </c>
      <c r="N8" s="99">
        <v>1</v>
      </c>
      <c r="O8" s="99">
        <v>1</v>
      </c>
      <c r="P8" s="99">
        <v>0</v>
      </c>
      <c r="Q8" s="99">
        <v>0</v>
      </c>
      <c r="R8" s="99">
        <v>0</v>
      </c>
      <c r="S8" s="99">
        <v>0</v>
      </c>
      <c r="T8" s="99">
        <v>0</v>
      </c>
      <c r="U8" s="99">
        <v>0</v>
      </c>
      <c r="V8" s="99">
        <v>0</v>
      </c>
    </row>
    <row r="9" spans="1:31" customFormat="1" x14ac:dyDescent="0.15">
      <c r="A9" s="170" t="s">
        <v>199</v>
      </c>
      <c r="B9" s="99">
        <v>0</v>
      </c>
      <c r="C9" s="99">
        <v>0</v>
      </c>
      <c r="D9" s="99">
        <v>0</v>
      </c>
      <c r="E9" s="99">
        <v>0</v>
      </c>
      <c r="F9" s="99">
        <v>0</v>
      </c>
      <c r="G9" s="99">
        <v>0</v>
      </c>
      <c r="H9" s="99">
        <v>0</v>
      </c>
      <c r="I9" s="99">
        <v>0</v>
      </c>
      <c r="J9" s="99">
        <v>0</v>
      </c>
      <c r="K9" s="99">
        <v>1</v>
      </c>
      <c r="L9" s="99">
        <v>1</v>
      </c>
      <c r="M9" s="99">
        <v>1</v>
      </c>
      <c r="N9" s="99">
        <v>1</v>
      </c>
      <c r="O9" s="99">
        <v>1</v>
      </c>
      <c r="P9" s="99">
        <v>1</v>
      </c>
      <c r="Q9" s="99">
        <v>0</v>
      </c>
      <c r="R9" s="99">
        <v>0</v>
      </c>
      <c r="S9" s="99">
        <v>0</v>
      </c>
      <c r="T9" s="99">
        <v>0</v>
      </c>
      <c r="U9" s="99">
        <v>0</v>
      </c>
      <c r="V9" s="99">
        <v>0</v>
      </c>
    </row>
    <row r="10" spans="1:31" customFormat="1" x14ac:dyDescent="0.15">
      <c r="A10" s="170" t="s">
        <v>200</v>
      </c>
      <c r="B10" s="99">
        <v>0</v>
      </c>
      <c r="C10" s="99">
        <v>0</v>
      </c>
      <c r="D10" s="99">
        <v>0</v>
      </c>
      <c r="E10" s="99">
        <v>0</v>
      </c>
      <c r="F10" s="99">
        <v>0</v>
      </c>
      <c r="G10" s="99">
        <v>0</v>
      </c>
      <c r="H10" s="99">
        <v>0</v>
      </c>
      <c r="I10" s="99">
        <v>0</v>
      </c>
      <c r="J10" s="99">
        <v>0</v>
      </c>
      <c r="K10" s="99">
        <v>1</v>
      </c>
      <c r="L10" s="99">
        <v>1</v>
      </c>
      <c r="M10" s="99">
        <v>1</v>
      </c>
      <c r="N10" s="99">
        <v>1</v>
      </c>
      <c r="O10" s="99">
        <v>1</v>
      </c>
      <c r="P10" s="99">
        <v>0</v>
      </c>
      <c r="Q10" s="99">
        <v>0</v>
      </c>
      <c r="R10" s="99">
        <v>0</v>
      </c>
      <c r="S10" s="99">
        <v>0</v>
      </c>
      <c r="T10" s="99">
        <v>0</v>
      </c>
      <c r="U10" s="99">
        <v>0</v>
      </c>
      <c r="V10" s="99">
        <v>0</v>
      </c>
    </row>
    <row r="11" spans="1:31" customFormat="1" x14ac:dyDescent="0.15">
      <c r="A11" s="170" t="s">
        <v>201</v>
      </c>
      <c r="B11" s="99">
        <v>0</v>
      </c>
      <c r="C11" s="99">
        <v>0</v>
      </c>
      <c r="D11" s="99">
        <v>0</v>
      </c>
      <c r="E11" s="99">
        <v>0</v>
      </c>
      <c r="F11" s="99">
        <v>0</v>
      </c>
      <c r="G11" s="99">
        <v>0</v>
      </c>
      <c r="H11" s="99">
        <v>0</v>
      </c>
      <c r="I11" s="99">
        <v>0</v>
      </c>
      <c r="J11" s="99">
        <v>0</v>
      </c>
      <c r="K11" s="99">
        <v>0</v>
      </c>
      <c r="L11" s="99">
        <v>0</v>
      </c>
      <c r="M11" s="99">
        <v>1</v>
      </c>
      <c r="N11" s="99">
        <v>1</v>
      </c>
      <c r="O11" s="99">
        <v>1</v>
      </c>
      <c r="P11" s="99">
        <v>1</v>
      </c>
      <c r="Q11" s="99">
        <v>0</v>
      </c>
      <c r="R11" s="99">
        <v>0</v>
      </c>
      <c r="S11" s="99">
        <v>0</v>
      </c>
      <c r="T11" s="99">
        <v>0</v>
      </c>
      <c r="U11" s="99">
        <v>0</v>
      </c>
      <c r="V11" s="99">
        <v>0</v>
      </c>
    </row>
    <row r="12" spans="1:31" customFormat="1" x14ac:dyDescent="0.15">
      <c r="A12" s="170" t="s">
        <v>202</v>
      </c>
      <c r="B12" s="99">
        <v>0</v>
      </c>
      <c r="C12" s="99">
        <v>0</v>
      </c>
      <c r="D12" s="99">
        <v>0</v>
      </c>
      <c r="E12" s="99">
        <v>0</v>
      </c>
      <c r="F12" s="99">
        <v>0</v>
      </c>
      <c r="G12" s="99">
        <v>0</v>
      </c>
      <c r="H12" s="99">
        <v>0</v>
      </c>
      <c r="I12" s="99">
        <v>0</v>
      </c>
      <c r="J12" s="99">
        <v>0</v>
      </c>
      <c r="K12" s="99">
        <v>1</v>
      </c>
      <c r="L12" s="99">
        <v>1</v>
      </c>
      <c r="M12" s="99">
        <v>1</v>
      </c>
      <c r="N12" s="99">
        <v>1</v>
      </c>
      <c r="O12" s="99">
        <v>1</v>
      </c>
      <c r="P12" s="99">
        <v>0</v>
      </c>
      <c r="Q12" s="99">
        <v>0</v>
      </c>
      <c r="R12" s="99">
        <v>0</v>
      </c>
      <c r="S12" s="99">
        <v>0</v>
      </c>
      <c r="T12" s="99">
        <v>0</v>
      </c>
      <c r="U12" s="99">
        <v>0</v>
      </c>
      <c r="V12" s="99">
        <v>0</v>
      </c>
    </row>
    <row r="13" spans="1:31" customFormat="1" x14ac:dyDescent="0.15">
      <c r="A13" s="170" t="s">
        <v>203</v>
      </c>
      <c r="B13" s="99">
        <v>0</v>
      </c>
      <c r="C13" s="99">
        <v>0</v>
      </c>
      <c r="D13" s="99">
        <v>0</v>
      </c>
      <c r="E13" s="99">
        <v>0</v>
      </c>
      <c r="F13" s="99">
        <v>0</v>
      </c>
      <c r="G13" s="99">
        <v>0</v>
      </c>
      <c r="H13" s="99">
        <v>0</v>
      </c>
      <c r="I13" s="99">
        <v>0</v>
      </c>
      <c r="J13" s="99">
        <v>0</v>
      </c>
      <c r="K13" s="99">
        <v>0</v>
      </c>
      <c r="L13" s="99">
        <v>0</v>
      </c>
      <c r="M13" s="99">
        <v>1</v>
      </c>
      <c r="N13" s="99">
        <v>0</v>
      </c>
      <c r="O13" s="99">
        <v>0</v>
      </c>
      <c r="P13" s="99">
        <v>1</v>
      </c>
      <c r="Q13" s="99">
        <v>0</v>
      </c>
      <c r="R13" s="99">
        <v>0</v>
      </c>
      <c r="S13" s="99">
        <v>0</v>
      </c>
      <c r="T13" s="99">
        <v>0</v>
      </c>
      <c r="U13" s="99">
        <v>0</v>
      </c>
      <c r="V13" s="99">
        <v>0</v>
      </c>
    </row>
    <row r="14" spans="1:31" customFormat="1" x14ac:dyDescent="0.15">
      <c r="A14" s="170" t="s">
        <v>204</v>
      </c>
      <c r="B14" s="99">
        <v>0</v>
      </c>
      <c r="C14" s="99">
        <v>0</v>
      </c>
      <c r="D14" s="99">
        <v>0</v>
      </c>
      <c r="E14" s="99">
        <v>0</v>
      </c>
      <c r="F14" s="99">
        <v>0</v>
      </c>
      <c r="G14" s="99">
        <v>0</v>
      </c>
      <c r="H14" s="99">
        <v>0</v>
      </c>
      <c r="I14" s="99">
        <v>0</v>
      </c>
      <c r="J14" s="99">
        <v>0</v>
      </c>
      <c r="K14" s="99">
        <v>0</v>
      </c>
      <c r="L14" s="99">
        <v>0</v>
      </c>
      <c r="M14" s="99">
        <v>1</v>
      </c>
      <c r="N14" s="99">
        <v>0</v>
      </c>
      <c r="O14" s="99">
        <v>0</v>
      </c>
      <c r="P14" s="99">
        <v>0</v>
      </c>
      <c r="Q14" s="99">
        <v>0</v>
      </c>
      <c r="R14" s="99">
        <v>0</v>
      </c>
      <c r="S14" s="99">
        <v>0</v>
      </c>
      <c r="T14" s="99">
        <v>0</v>
      </c>
      <c r="U14" s="99">
        <v>0</v>
      </c>
      <c r="V14" s="99">
        <v>0</v>
      </c>
    </row>
    <row r="15" spans="1:31" customFormat="1" x14ac:dyDescent="0.15">
      <c r="A15" s="170" t="s">
        <v>205</v>
      </c>
      <c r="B15" s="99">
        <v>0</v>
      </c>
      <c r="C15" s="99">
        <v>0</v>
      </c>
      <c r="D15" s="99">
        <v>0</v>
      </c>
      <c r="E15" s="99">
        <v>0</v>
      </c>
      <c r="F15" s="99">
        <v>0</v>
      </c>
      <c r="G15" s="99">
        <v>0</v>
      </c>
      <c r="H15" s="99">
        <v>0</v>
      </c>
      <c r="I15" s="99">
        <v>0</v>
      </c>
      <c r="J15" s="99">
        <v>0</v>
      </c>
      <c r="K15" s="99">
        <v>0</v>
      </c>
      <c r="L15" s="99">
        <v>0</v>
      </c>
      <c r="M15" s="99">
        <v>0</v>
      </c>
      <c r="N15" s="99">
        <v>0</v>
      </c>
      <c r="O15" s="99">
        <v>1</v>
      </c>
      <c r="P15" s="99">
        <v>0</v>
      </c>
      <c r="Q15" s="99">
        <v>0</v>
      </c>
      <c r="R15" s="99">
        <v>0</v>
      </c>
      <c r="S15" s="99">
        <v>0</v>
      </c>
      <c r="T15" s="99">
        <v>0</v>
      </c>
      <c r="U15" s="99">
        <v>0</v>
      </c>
      <c r="V15" s="99">
        <v>0</v>
      </c>
    </row>
    <row r="16" spans="1:31" customFormat="1" x14ac:dyDescent="0.15">
      <c r="A16" s="170" t="s">
        <v>206</v>
      </c>
      <c r="B16" s="99">
        <v>0</v>
      </c>
      <c r="C16" s="99">
        <v>0</v>
      </c>
      <c r="D16" s="99">
        <v>0</v>
      </c>
      <c r="E16" s="99">
        <v>0</v>
      </c>
      <c r="F16" s="99">
        <v>0</v>
      </c>
      <c r="G16" s="99">
        <v>0</v>
      </c>
      <c r="H16" s="99">
        <v>0</v>
      </c>
      <c r="I16" s="99">
        <v>0</v>
      </c>
      <c r="J16" s="99">
        <v>0</v>
      </c>
      <c r="K16" s="99">
        <v>0</v>
      </c>
      <c r="L16" s="99">
        <v>0</v>
      </c>
      <c r="M16" s="99">
        <v>0</v>
      </c>
      <c r="N16" s="99">
        <v>0</v>
      </c>
      <c r="O16" s="99">
        <v>0</v>
      </c>
      <c r="P16" s="99">
        <v>1</v>
      </c>
      <c r="Q16" s="99">
        <v>0</v>
      </c>
      <c r="R16" s="99">
        <v>0</v>
      </c>
      <c r="S16" s="99">
        <v>1</v>
      </c>
      <c r="T16" s="99">
        <v>1</v>
      </c>
      <c r="U16" s="99">
        <v>0</v>
      </c>
      <c r="V16" s="99">
        <v>0</v>
      </c>
    </row>
    <row r="17" spans="1:22" customFormat="1" x14ac:dyDescent="0.15">
      <c r="A17" s="170" t="s">
        <v>207</v>
      </c>
      <c r="B17" s="99">
        <v>0</v>
      </c>
      <c r="C17" s="99">
        <v>0</v>
      </c>
      <c r="D17" s="99">
        <v>0</v>
      </c>
      <c r="E17" s="99">
        <v>0</v>
      </c>
      <c r="F17" s="99">
        <v>0</v>
      </c>
      <c r="G17" s="99">
        <v>0</v>
      </c>
      <c r="H17" s="99">
        <v>0</v>
      </c>
      <c r="I17" s="99">
        <v>0</v>
      </c>
      <c r="J17" s="99">
        <v>0</v>
      </c>
      <c r="K17" s="99">
        <v>0</v>
      </c>
      <c r="L17" s="99">
        <v>0</v>
      </c>
      <c r="M17" s="99">
        <v>0</v>
      </c>
      <c r="N17" s="99">
        <v>0</v>
      </c>
      <c r="O17" s="99">
        <v>0</v>
      </c>
      <c r="P17" s="99">
        <v>1</v>
      </c>
      <c r="Q17" s="99">
        <v>0</v>
      </c>
      <c r="R17" s="99">
        <v>1</v>
      </c>
      <c r="S17" s="99">
        <v>1</v>
      </c>
      <c r="T17" s="99">
        <v>1</v>
      </c>
      <c r="U17" s="99">
        <v>0</v>
      </c>
      <c r="V17" s="99">
        <v>0</v>
      </c>
    </row>
    <row r="18" spans="1:22" customFormat="1" x14ac:dyDescent="0.15">
      <c r="A18" s="170" t="s">
        <v>208</v>
      </c>
      <c r="B18" s="99">
        <v>0</v>
      </c>
      <c r="C18" s="99">
        <v>0</v>
      </c>
      <c r="D18" s="99">
        <v>0</v>
      </c>
      <c r="E18" s="99">
        <v>0</v>
      </c>
      <c r="F18" s="99">
        <v>0</v>
      </c>
      <c r="G18" s="99">
        <v>0</v>
      </c>
      <c r="H18" s="99">
        <v>0</v>
      </c>
      <c r="I18" s="99">
        <v>0</v>
      </c>
      <c r="J18" s="99">
        <v>0</v>
      </c>
      <c r="K18" s="99">
        <v>0</v>
      </c>
      <c r="L18" s="99">
        <v>0</v>
      </c>
      <c r="M18" s="99">
        <v>0</v>
      </c>
      <c r="N18" s="99">
        <v>0</v>
      </c>
      <c r="O18" s="99">
        <v>0</v>
      </c>
      <c r="P18" s="99">
        <v>0</v>
      </c>
      <c r="Q18" s="99">
        <v>0</v>
      </c>
      <c r="R18" s="99">
        <v>0</v>
      </c>
      <c r="S18" s="99">
        <v>1</v>
      </c>
      <c r="T18" s="99">
        <v>0</v>
      </c>
      <c r="U18" s="99">
        <v>0</v>
      </c>
      <c r="V18" s="99">
        <v>0</v>
      </c>
    </row>
    <row r="19" spans="1:22" customFormat="1" x14ac:dyDescent="0.15">
      <c r="A19" s="170" t="s">
        <v>209</v>
      </c>
      <c r="B19" s="99">
        <v>0</v>
      </c>
      <c r="C19" s="99">
        <v>0</v>
      </c>
      <c r="D19" s="99">
        <v>0</v>
      </c>
      <c r="E19" s="99">
        <v>0</v>
      </c>
      <c r="F19" s="99">
        <v>0</v>
      </c>
      <c r="G19" s="99">
        <v>0</v>
      </c>
      <c r="H19" s="99">
        <v>0</v>
      </c>
      <c r="I19" s="99">
        <v>0</v>
      </c>
      <c r="J19" s="99">
        <v>0</v>
      </c>
      <c r="K19" s="99">
        <v>0</v>
      </c>
      <c r="L19" s="99">
        <v>0</v>
      </c>
      <c r="M19" s="99">
        <v>0</v>
      </c>
      <c r="N19" s="99">
        <v>0</v>
      </c>
      <c r="O19" s="99">
        <v>0</v>
      </c>
      <c r="P19" s="99">
        <v>0</v>
      </c>
      <c r="Q19" s="99">
        <v>0</v>
      </c>
      <c r="R19" s="99">
        <v>0</v>
      </c>
      <c r="S19" s="99">
        <v>0</v>
      </c>
      <c r="T19" s="99">
        <v>0</v>
      </c>
      <c r="U19" s="99">
        <v>0</v>
      </c>
      <c r="V19" s="99">
        <v>0</v>
      </c>
    </row>
    <row r="20" spans="1:22" customFormat="1" x14ac:dyDescent="0.15">
      <c r="A20" s="170" t="s">
        <v>210</v>
      </c>
      <c r="B20" s="99">
        <v>0</v>
      </c>
      <c r="C20" s="99">
        <v>0</v>
      </c>
      <c r="D20" s="99">
        <v>0</v>
      </c>
      <c r="E20" s="99">
        <v>0</v>
      </c>
      <c r="F20" s="99">
        <v>0</v>
      </c>
      <c r="G20" s="99">
        <v>0</v>
      </c>
      <c r="H20" s="99">
        <v>0</v>
      </c>
      <c r="I20" s="99">
        <v>0</v>
      </c>
      <c r="J20" s="99">
        <v>0</v>
      </c>
      <c r="K20" s="99">
        <v>0</v>
      </c>
      <c r="L20" s="99">
        <v>0</v>
      </c>
      <c r="M20" s="99">
        <v>0</v>
      </c>
      <c r="N20" s="99">
        <v>0</v>
      </c>
      <c r="O20" s="99">
        <v>0</v>
      </c>
      <c r="P20" s="99">
        <v>0</v>
      </c>
      <c r="Q20" s="99">
        <v>0</v>
      </c>
      <c r="R20" s="99">
        <v>0</v>
      </c>
      <c r="S20" s="99">
        <v>0</v>
      </c>
      <c r="T20" s="99">
        <v>0</v>
      </c>
      <c r="U20" s="99">
        <v>0</v>
      </c>
      <c r="V20" s="99">
        <v>0</v>
      </c>
    </row>
    <row r="21" spans="1:22" customFormat="1" x14ac:dyDescent="0.15">
      <c r="A21" s="170" t="s">
        <v>211</v>
      </c>
      <c r="B21" s="99">
        <v>0</v>
      </c>
      <c r="C21" s="99">
        <v>0</v>
      </c>
      <c r="D21" s="99">
        <v>1</v>
      </c>
      <c r="E21" s="99">
        <v>1</v>
      </c>
      <c r="F21" s="99">
        <v>1</v>
      </c>
      <c r="G21" s="99">
        <v>1</v>
      </c>
      <c r="H21" s="99">
        <v>1</v>
      </c>
      <c r="I21" s="99">
        <v>1</v>
      </c>
      <c r="J21" s="99">
        <v>1</v>
      </c>
      <c r="K21" s="99">
        <v>1</v>
      </c>
      <c r="L21" s="99">
        <v>1</v>
      </c>
      <c r="M21" s="99">
        <v>1</v>
      </c>
      <c r="N21" s="99">
        <v>1</v>
      </c>
      <c r="O21" s="99">
        <v>0</v>
      </c>
      <c r="P21" s="99">
        <v>1</v>
      </c>
      <c r="Q21" s="99">
        <v>0</v>
      </c>
      <c r="R21" s="99">
        <v>0</v>
      </c>
      <c r="S21" s="99">
        <v>0</v>
      </c>
      <c r="T21" s="99">
        <v>0</v>
      </c>
      <c r="U21" s="99">
        <v>0</v>
      </c>
      <c r="V21" s="99">
        <v>0</v>
      </c>
    </row>
    <row r="22" spans="1:22" customFormat="1" x14ac:dyDescent="0.15">
      <c r="A22" s="170" t="s">
        <v>212</v>
      </c>
      <c r="B22" s="99">
        <v>0</v>
      </c>
      <c r="C22" s="99">
        <v>0</v>
      </c>
      <c r="D22" s="99">
        <v>0</v>
      </c>
      <c r="E22" s="99">
        <v>0</v>
      </c>
      <c r="F22" s="99">
        <v>0</v>
      </c>
      <c r="G22" s="99">
        <v>0</v>
      </c>
      <c r="H22" s="99">
        <v>0</v>
      </c>
      <c r="I22" s="99">
        <v>0</v>
      </c>
      <c r="J22" s="99">
        <v>0</v>
      </c>
      <c r="K22" s="99">
        <v>0</v>
      </c>
      <c r="L22" s="99">
        <v>0</v>
      </c>
      <c r="M22" s="99">
        <v>0</v>
      </c>
      <c r="N22" s="99">
        <v>0</v>
      </c>
      <c r="O22" s="99">
        <v>0</v>
      </c>
      <c r="P22" s="99">
        <v>0</v>
      </c>
      <c r="Q22" s="99">
        <v>0</v>
      </c>
      <c r="R22" s="99">
        <v>0</v>
      </c>
      <c r="S22" s="99">
        <v>0</v>
      </c>
      <c r="T22" s="99">
        <v>0</v>
      </c>
      <c r="U22" s="99">
        <v>0</v>
      </c>
      <c r="V22" s="99">
        <v>0</v>
      </c>
    </row>
    <row r="23" spans="1:22" customFormat="1" x14ac:dyDescent="0.15">
      <c r="A23" s="170" t="s">
        <v>214</v>
      </c>
      <c r="B23" s="99">
        <v>0</v>
      </c>
      <c r="C23" s="99">
        <v>0</v>
      </c>
      <c r="D23" s="99">
        <v>0</v>
      </c>
      <c r="E23" s="99">
        <v>0</v>
      </c>
      <c r="F23" s="99">
        <v>0</v>
      </c>
      <c r="G23" s="99">
        <v>0</v>
      </c>
      <c r="H23" s="99">
        <v>0</v>
      </c>
      <c r="I23" s="99">
        <v>0</v>
      </c>
      <c r="J23" s="99">
        <v>0</v>
      </c>
      <c r="K23" s="99">
        <v>0</v>
      </c>
      <c r="L23" s="99">
        <v>0</v>
      </c>
      <c r="M23" s="99">
        <v>0</v>
      </c>
      <c r="N23" s="99">
        <v>0</v>
      </c>
      <c r="O23" s="99">
        <v>0</v>
      </c>
      <c r="P23" s="99">
        <v>0</v>
      </c>
      <c r="Q23" s="99">
        <v>0</v>
      </c>
      <c r="R23" s="99">
        <v>0</v>
      </c>
      <c r="S23" s="99">
        <v>0</v>
      </c>
      <c r="T23" s="99">
        <v>0</v>
      </c>
      <c r="U23" s="99">
        <v>0</v>
      </c>
      <c r="V23" s="99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0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73" t="s">
        <v>213</v>
      </c>
    </row>
    <row r="2" spans="1:3" x14ac:dyDescent="0.15">
      <c r="A2">
        <v>1</v>
      </c>
      <c r="B2" s="172" t="s">
        <v>192</v>
      </c>
      <c r="C2">
        <v>0</v>
      </c>
    </row>
    <row r="3" spans="1:3" x14ac:dyDescent="0.15">
      <c r="A3">
        <v>2</v>
      </c>
      <c r="B3" s="172" t="s">
        <v>193</v>
      </c>
      <c r="C3">
        <v>0</v>
      </c>
    </row>
    <row r="4" spans="1:3" x14ac:dyDescent="0.15">
      <c r="A4">
        <v>3</v>
      </c>
      <c r="B4" s="172" t="s">
        <v>194</v>
      </c>
      <c r="C4">
        <v>0</v>
      </c>
    </row>
    <row r="5" spans="1:3" x14ac:dyDescent="0.15">
      <c r="A5">
        <v>4</v>
      </c>
      <c r="B5" s="172" t="s">
        <v>195</v>
      </c>
      <c r="C5">
        <v>0</v>
      </c>
    </row>
    <row r="6" spans="1:3" x14ac:dyDescent="0.15">
      <c r="A6">
        <v>5</v>
      </c>
      <c r="B6" s="172" t="s">
        <v>196</v>
      </c>
      <c r="C6">
        <v>0.8</v>
      </c>
    </row>
    <row r="7" spans="1:3" x14ac:dyDescent="0.15">
      <c r="A7">
        <v>6</v>
      </c>
      <c r="B7" s="172" t="s">
        <v>197</v>
      </c>
      <c r="C7">
        <v>0.8</v>
      </c>
    </row>
    <row r="8" spans="1:3" x14ac:dyDescent="0.15">
      <c r="A8">
        <v>7</v>
      </c>
      <c r="B8" s="172" t="s">
        <v>198</v>
      </c>
      <c r="C8">
        <v>0.8</v>
      </c>
    </row>
    <row r="9" spans="1:3" x14ac:dyDescent="0.15">
      <c r="A9">
        <v>8</v>
      </c>
      <c r="B9" s="172" t="s">
        <v>199</v>
      </c>
      <c r="C9">
        <v>0</v>
      </c>
    </row>
    <row r="10" spans="1:3" x14ac:dyDescent="0.15">
      <c r="A10">
        <v>9</v>
      </c>
      <c r="B10" s="172" t="s">
        <v>200</v>
      </c>
      <c r="C10">
        <v>0.8</v>
      </c>
    </row>
    <row r="11" spans="1:3" x14ac:dyDescent="0.15">
      <c r="A11">
        <v>10</v>
      </c>
      <c r="B11" s="172" t="s">
        <v>201</v>
      </c>
      <c r="C11">
        <v>0.8</v>
      </c>
    </row>
    <row r="12" spans="1:3" x14ac:dyDescent="0.15">
      <c r="A12">
        <v>11</v>
      </c>
      <c r="B12" s="172" t="s">
        <v>202</v>
      </c>
      <c r="C12">
        <v>0</v>
      </c>
    </row>
    <row r="13" spans="1:3" x14ac:dyDescent="0.15">
      <c r="A13">
        <v>12</v>
      </c>
      <c r="B13" s="172" t="s">
        <v>203</v>
      </c>
      <c r="C13">
        <v>0.8</v>
      </c>
    </row>
    <row r="14" spans="1:3" x14ac:dyDescent="0.15">
      <c r="A14">
        <v>13</v>
      </c>
      <c r="B14" s="172" t="s">
        <v>204</v>
      </c>
      <c r="C14">
        <v>0</v>
      </c>
    </row>
    <row r="15" spans="1:3" x14ac:dyDescent="0.15">
      <c r="A15">
        <v>14</v>
      </c>
      <c r="B15" s="172" t="s">
        <v>205</v>
      </c>
      <c r="C15">
        <v>0.8</v>
      </c>
    </row>
    <row r="16" spans="1:3" x14ac:dyDescent="0.15">
      <c r="A16">
        <v>15</v>
      </c>
      <c r="B16" s="172" t="s">
        <v>206</v>
      </c>
      <c r="C16">
        <v>0.8</v>
      </c>
    </row>
    <row r="17" spans="1:3" x14ac:dyDescent="0.15">
      <c r="A17">
        <v>16</v>
      </c>
      <c r="B17" s="172" t="s">
        <v>207</v>
      </c>
      <c r="C17">
        <v>0.8</v>
      </c>
    </row>
    <row r="18" spans="1:3" x14ac:dyDescent="0.15">
      <c r="A18">
        <v>17</v>
      </c>
      <c r="B18" s="172" t="s">
        <v>208</v>
      </c>
      <c r="C18">
        <v>0.8</v>
      </c>
    </row>
    <row r="19" spans="1:3" x14ac:dyDescent="0.15">
      <c r="A19">
        <v>18</v>
      </c>
      <c r="B19" s="172" t="s">
        <v>209</v>
      </c>
      <c r="C19">
        <v>0</v>
      </c>
    </row>
    <row r="20" spans="1:3" x14ac:dyDescent="0.15">
      <c r="A20">
        <v>19</v>
      </c>
      <c r="B20" s="172" t="s">
        <v>210</v>
      </c>
      <c r="C20">
        <v>0</v>
      </c>
    </row>
    <row r="21" spans="1:3" x14ac:dyDescent="0.15">
      <c r="A21">
        <v>20</v>
      </c>
      <c r="B21" s="172" t="s">
        <v>211</v>
      </c>
      <c r="C21">
        <v>0</v>
      </c>
    </row>
    <row r="22" spans="1:3" x14ac:dyDescent="0.15">
      <c r="A22">
        <v>21</v>
      </c>
      <c r="B22" s="172" t="s">
        <v>212</v>
      </c>
      <c r="C2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0.3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75" t="s">
        <v>213</v>
      </c>
    </row>
    <row r="2" spans="1:3" x14ac:dyDescent="0.15">
      <c r="A2">
        <v>1</v>
      </c>
      <c r="B2" s="174" t="s">
        <v>192</v>
      </c>
      <c r="C2">
        <v>0</v>
      </c>
    </row>
    <row r="3" spans="1:3" x14ac:dyDescent="0.15">
      <c r="A3">
        <v>2</v>
      </c>
      <c r="B3" s="174" t="s">
        <v>193</v>
      </c>
      <c r="C3">
        <v>0</v>
      </c>
    </row>
    <row r="4" spans="1:3" x14ac:dyDescent="0.15">
      <c r="A4">
        <v>3</v>
      </c>
      <c r="B4" s="174" t="s">
        <v>194</v>
      </c>
      <c r="C4">
        <v>0</v>
      </c>
    </row>
    <row r="5" spans="1:3" x14ac:dyDescent="0.15">
      <c r="A5">
        <v>4</v>
      </c>
      <c r="B5" s="174" t="s">
        <v>195</v>
      </c>
      <c r="C5">
        <v>0</v>
      </c>
    </row>
    <row r="6" spans="1:3" x14ac:dyDescent="0.15">
      <c r="A6">
        <v>5</v>
      </c>
      <c r="B6" s="174" t="s">
        <v>196</v>
      </c>
      <c r="C6">
        <v>0.8</v>
      </c>
    </row>
    <row r="7" spans="1:3" x14ac:dyDescent="0.15">
      <c r="A7">
        <v>6</v>
      </c>
      <c r="B7" s="174" t="s">
        <v>197</v>
      </c>
      <c r="C7">
        <v>0.8</v>
      </c>
    </row>
    <row r="8" spans="1:3" x14ac:dyDescent="0.15">
      <c r="A8">
        <v>7</v>
      </c>
      <c r="B8" s="174" t="s">
        <v>198</v>
      </c>
      <c r="C8">
        <v>0.8</v>
      </c>
    </row>
    <row r="9" spans="1:3" x14ac:dyDescent="0.15">
      <c r="A9">
        <v>8</v>
      </c>
      <c r="B9" s="174" t="s">
        <v>199</v>
      </c>
      <c r="C9">
        <v>0</v>
      </c>
    </row>
    <row r="10" spans="1:3" x14ac:dyDescent="0.15">
      <c r="A10">
        <v>9</v>
      </c>
      <c r="B10" s="174" t="s">
        <v>200</v>
      </c>
      <c r="C10">
        <v>0.8</v>
      </c>
    </row>
    <row r="11" spans="1:3" x14ac:dyDescent="0.15">
      <c r="A11">
        <v>10</v>
      </c>
      <c r="B11" s="174" t="s">
        <v>201</v>
      </c>
      <c r="C11">
        <v>0.8</v>
      </c>
    </row>
    <row r="12" spans="1:3" x14ac:dyDescent="0.15">
      <c r="A12">
        <v>11</v>
      </c>
      <c r="B12" s="174" t="s">
        <v>202</v>
      </c>
      <c r="C12">
        <v>0</v>
      </c>
    </row>
    <row r="13" spans="1:3" x14ac:dyDescent="0.15">
      <c r="A13">
        <v>12</v>
      </c>
      <c r="B13" s="174" t="s">
        <v>203</v>
      </c>
      <c r="C13">
        <v>0.8</v>
      </c>
    </row>
    <row r="14" spans="1:3" x14ac:dyDescent="0.15">
      <c r="A14">
        <v>13</v>
      </c>
      <c r="B14" s="174" t="s">
        <v>204</v>
      </c>
      <c r="C14">
        <v>0</v>
      </c>
    </row>
    <row r="15" spans="1:3" x14ac:dyDescent="0.15">
      <c r="A15">
        <v>14</v>
      </c>
      <c r="B15" s="174" t="s">
        <v>205</v>
      </c>
      <c r="C15">
        <v>0.8</v>
      </c>
    </row>
    <row r="16" spans="1:3" x14ac:dyDescent="0.15">
      <c r="A16">
        <v>15</v>
      </c>
      <c r="B16" s="174" t="s">
        <v>206</v>
      </c>
      <c r="C16">
        <v>0.8</v>
      </c>
    </row>
    <row r="17" spans="1:3" x14ac:dyDescent="0.15">
      <c r="A17">
        <v>16</v>
      </c>
      <c r="B17" s="174" t="s">
        <v>207</v>
      </c>
      <c r="C17">
        <v>0.8</v>
      </c>
    </row>
    <row r="18" spans="1:3" x14ac:dyDescent="0.15">
      <c r="A18">
        <v>17</v>
      </c>
      <c r="B18" s="174" t="s">
        <v>208</v>
      </c>
      <c r="C18">
        <v>0.8</v>
      </c>
    </row>
    <row r="19" spans="1:3" x14ac:dyDescent="0.15">
      <c r="A19">
        <v>18</v>
      </c>
      <c r="B19" s="174" t="s">
        <v>209</v>
      </c>
      <c r="C19">
        <v>0</v>
      </c>
    </row>
    <row r="20" spans="1:3" x14ac:dyDescent="0.15">
      <c r="A20">
        <v>19</v>
      </c>
      <c r="B20" s="174" t="s">
        <v>210</v>
      </c>
      <c r="C20">
        <v>0</v>
      </c>
    </row>
    <row r="21" spans="1:3" x14ac:dyDescent="0.15">
      <c r="A21">
        <v>20</v>
      </c>
      <c r="B21" s="174" t="s">
        <v>211</v>
      </c>
      <c r="C21">
        <v>0</v>
      </c>
    </row>
    <row r="22" spans="1:3" x14ac:dyDescent="0.15">
      <c r="A22">
        <v>21</v>
      </c>
      <c r="B22" s="174" t="s">
        <v>212</v>
      </c>
      <c r="C2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7" sqref="L7"/>
    </sheetView>
  </sheetViews>
  <sheetFormatPr baseColWidth="10" defaultColWidth="8.83203125" defaultRowHeight="15" customHeight="1" x14ac:dyDescent="0.15"/>
  <cols>
    <col min="1" max="1" width="8.83203125" style="71"/>
    <col min="2" max="2" width="41.83203125" style="71" bestFit="1" customWidth="1"/>
    <col min="3" max="3" width="9.33203125" style="71" bestFit="1" customWidth="1"/>
    <col min="4" max="4" width="13" style="71" bestFit="1" customWidth="1"/>
    <col min="5" max="6" width="9.33203125" style="71" bestFit="1" customWidth="1"/>
    <col min="7" max="7" width="9.33203125" style="87" bestFit="1" customWidth="1"/>
    <col min="8" max="8" width="9.33203125" style="71" bestFit="1" customWidth="1"/>
    <col min="9" max="9" width="11" style="71" customWidth="1"/>
    <col min="10" max="10" width="8.83203125" style="71"/>
    <col min="15" max="16384" width="8.83203125" style="71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8" t="s">
        <v>14</v>
      </c>
      <c r="H1" s="1" t="s">
        <v>26</v>
      </c>
      <c r="I1" s="1" t="s">
        <v>24</v>
      </c>
    </row>
    <row r="2" spans="1:10" ht="15" customHeight="1" x14ac:dyDescent="0.15">
      <c r="A2" s="135">
        <v>1</v>
      </c>
      <c r="B2" s="135" t="s">
        <v>192</v>
      </c>
      <c r="C2" s="8">
        <v>1</v>
      </c>
      <c r="D2" s="9">
        <v>51.397998809814453</v>
      </c>
      <c r="E2" s="9">
        <v>255.22799682617188</v>
      </c>
      <c r="F2" s="10"/>
      <c r="G2" s="9">
        <v>0.3397868275642395</v>
      </c>
      <c r="H2" s="10"/>
      <c r="I2">
        <v>0</v>
      </c>
      <c r="J2"/>
    </row>
    <row r="3" spans="1:10" ht="15" customHeight="1" x14ac:dyDescent="0.15">
      <c r="A3" s="136">
        <v>2</v>
      </c>
      <c r="B3" s="136" t="s">
        <v>193</v>
      </c>
      <c r="C3" s="8">
        <v>1</v>
      </c>
      <c r="D3" s="9">
        <v>69.204002380371094</v>
      </c>
      <c r="E3" s="9">
        <v>15.840000152587891</v>
      </c>
      <c r="F3" s="10"/>
      <c r="G3" s="9">
        <v>0.136045902967453</v>
      </c>
      <c r="H3" s="10"/>
      <c r="I3">
        <v>0</v>
      </c>
      <c r="J3"/>
    </row>
    <row r="4" spans="1:10" ht="15" customHeight="1" x14ac:dyDescent="0.15">
      <c r="A4" s="137">
        <v>3</v>
      </c>
      <c r="B4" s="137" t="s">
        <v>194</v>
      </c>
      <c r="C4" s="8">
        <v>2.2345678806304932</v>
      </c>
      <c r="D4" s="9">
        <v>28.270000457763672</v>
      </c>
      <c r="E4" s="9">
        <v>45.826999664306641</v>
      </c>
      <c r="F4" s="9">
        <v>175.677001953125</v>
      </c>
      <c r="G4" s="9">
        <v>0.89022475481033325</v>
      </c>
      <c r="H4" s="9">
        <v>0.26085940003395081</v>
      </c>
      <c r="I4">
        <v>0</v>
      </c>
      <c r="J4"/>
    </row>
    <row r="5" spans="1:10" ht="15" customHeight="1" x14ac:dyDescent="0.15">
      <c r="A5" s="138">
        <v>4</v>
      </c>
      <c r="B5" s="138" t="s">
        <v>195</v>
      </c>
      <c r="C5" s="8">
        <v>2.0629630088806152</v>
      </c>
      <c r="D5" s="9">
        <v>324.89199829101562</v>
      </c>
      <c r="E5" s="9">
        <v>0.89899998903274536</v>
      </c>
      <c r="F5" s="9">
        <v>5.6110000610351562</v>
      </c>
      <c r="G5" s="9">
        <v>0.60269081592559814</v>
      </c>
      <c r="H5" s="9">
        <v>0.16022099554538727</v>
      </c>
      <c r="I5">
        <v>0</v>
      </c>
      <c r="J5"/>
    </row>
    <row r="6" spans="1:10" ht="15" customHeight="1" x14ac:dyDescent="0.15">
      <c r="A6" s="139">
        <v>5</v>
      </c>
      <c r="B6" s="139" t="s">
        <v>196</v>
      </c>
      <c r="C6" s="8">
        <v>2</v>
      </c>
      <c r="D6" s="9">
        <v>7.0489997863769531</v>
      </c>
      <c r="E6" s="9">
        <v>1.5759999752044678</v>
      </c>
      <c r="F6" s="9">
        <v>10.036999702453613</v>
      </c>
      <c r="G6" s="9">
        <v>0.8054012656211853</v>
      </c>
      <c r="H6" s="9">
        <v>0.15701903402805328</v>
      </c>
      <c r="I6">
        <v>2.2300000190734863</v>
      </c>
      <c r="J6"/>
    </row>
    <row r="7" spans="1:10" ht="15" customHeight="1" x14ac:dyDescent="0.15">
      <c r="A7" s="140">
        <v>6</v>
      </c>
      <c r="B7" s="140" t="s">
        <v>197</v>
      </c>
      <c r="C7" s="8">
        <v>2.0956666469573975</v>
      </c>
      <c r="D7" s="9">
        <v>7.9250001907348633</v>
      </c>
      <c r="E7" s="9">
        <v>0.55099999904632568</v>
      </c>
      <c r="F7" s="9">
        <v>2.5889999866485596</v>
      </c>
      <c r="G7" s="9">
        <v>0.94904839992523193</v>
      </c>
      <c r="H7" s="9">
        <v>0.21282348036766052</v>
      </c>
      <c r="I7">
        <v>1.4579999446868896</v>
      </c>
      <c r="J7"/>
    </row>
    <row r="8" spans="1:10" ht="15" customHeight="1" x14ac:dyDescent="0.15">
      <c r="A8" s="141">
        <v>7</v>
      </c>
      <c r="B8" s="141" t="s">
        <v>198</v>
      </c>
      <c r="C8" s="8">
        <v>2</v>
      </c>
      <c r="D8" s="9">
        <v>25.243999481201172</v>
      </c>
      <c r="E8" s="9">
        <v>0.92500001192092896</v>
      </c>
      <c r="F8" s="9">
        <v>2.7780001163482666</v>
      </c>
      <c r="G8" s="9">
        <v>0.78783625364303589</v>
      </c>
      <c r="H8" s="9">
        <v>0.33297336101531982</v>
      </c>
      <c r="I8">
        <v>0.17700000107288361</v>
      </c>
      <c r="J8"/>
    </row>
    <row r="9" spans="1:10" ht="15" customHeight="1" x14ac:dyDescent="0.15">
      <c r="A9" s="142">
        <v>8</v>
      </c>
      <c r="B9" s="142" t="s">
        <v>199</v>
      </c>
      <c r="C9" s="8">
        <v>2</v>
      </c>
      <c r="D9" s="9">
        <v>70.679000854492188</v>
      </c>
      <c r="E9" s="9">
        <v>0.98900002241134644</v>
      </c>
      <c r="F9" s="9">
        <v>5.4250001907348633</v>
      </c>
      <c r="G9" s="9">
        <v>0.84472352266311646</v>
      </c>
      <c r="H9" s="9">
        <v>0.18230414390563965</v>
      </c>
      <c r="I9">
        <v>0</v>
      </c>
      <c r="J9"/>
    </row>
    <row r="10" spans="1:10" ht="15" customHeight="1" x14ac:dyDescent="0.15">
      <c r="A10" s="143">
        <v>9</v>
      </c>
      <c r="B10" s="143" t="s">
        <v>200</v>
      </c>
      <c r="C10" s="8">
        <v>2.2407407760620117</v>
      </c>
      <c r="D10" s="9">
        <v>82.134002685546875</v>
      </c>
      <c r="E10" s="9">
        <v>1.0180000066757202</v>
      </c>
      <c r="F10" s="9">
        <v>4.8590002059936523</v>
      </c>
      <c r="G10" s="9">
        <v>0.94845104217529297</v>
      </c>
      <c r="H10" s="9">
        <v>0.20950812101364136</v>
      </c>
      <c r="I10">
        <v>1.3890000581741333</v>
      </c>
      <c r="J10"/>
    </row>
    <row r="11" spans="1:10" ht="15" customHeight="1" x14ac:dyDescent="0.15">
      <c r="A11" s="144">
        <v>10</v>
      </c>
      <c r="B11" s="144" t="s">
        <v>201</v>
      </c>
      <c r="C11" s="8">
        <v>2.9274418354034424</v>
      </c>
      <c r="D11" s="9">
        <v>28.104000091552734</v>
      </c>
      <c r="E11" s="9">
        <v>1.6529999971389771</v>
      </c>
      <c r="F11" s="9">
        <v>4.7309999465942383</v>
      </c>
      <c r="G11" s="9">
        <v>0.80488342046737671</v>
      </c>
      <c r="H11" s="9">
        <v>0.34939759969711304</v>
      </c>
      <c r="I11">
        <v>1.3259999752044678</v>
      </c>
      <c r="J11"/>
    </row>
    <row r="12" spans="1:10" ht="15" customHeight="1" x14ac:dyDescent="0.15">
      <c r="A12" s="145">
        <v>11</v>
      </c>
      <c r="B12" s="145" t="s">
        <v>202</v>
      </c>
      <c r="C12" s="8">
        <v>2.9562532901763916</v>
      </c>
      <c r="D12" s="9">
        <v>9.9739999771118164</v>
      </c>
      <c r="E12" s="9">
        <v>0.8970000147819519</v>
      </c>
      <c r="F12" s="9">
        <v>4.9520001411437988</v>
      </c>
      <c r="G12" s="9">
        <v>0.91737163066864014</v>
      </c>
      <c r="H12" s="9">
        <v>0.18113893270492554</v>
      </c>
      <c r="I12">
        <v>0</v>
      </c>
      <c r="J12"/>
    </row>
    <row r="13" spans="1:10" ht="15" customHeight="1" x14ac:dyDescent="0.15">
      <c r="A13" s="146">
        <v>12</v>
      </c>
      <c r="B13" s="146" t="s">
        <v>203</v>
      </c>
      <c r="C13" s="8">
        <v>3.3532962799072266</v>
      </c>
      <c r="D13" s="9">
        <v>27.781000137329102</v>
      </c>
      <c r="E13" s="9">
        <v>2.1649999618530273</v>
      </c>
      <c r="F13" s="9">
        <v>9.8889999389648438</v>
      </c>
      <c r="G13" s="9">
        <v>0.92954385280609131</v>
      </c>
      <c r="H13" s="9">
        <v>0.21893012523651123</v>
      </c>
      <c r="I13">
        <v>3.4170000553131104</v>
      </c>
      <c r="J13"/>
    </row>
    <row r="14" spans="1:10" ht="15" customHeight="1" x14ac:dyDescent="0.15">
      <c r="A14" s="147">
        <v>13</v>
      </c>
      <c r="B14" s="147" t="s">
        <v>204</v>
      </c>
      <c r="C14" s="8">
        <v>3.1065874099731445</v>
      </c>
      <c r="D14" s="9">
        <v>11.567000389099121</v>
      </c>
      <c r="E14" s="9">
        <v>0.69199997186660767</v>
      </c>
      <c r="F14" s="9">
        <v>3.2539999485015869</v>
      </c>
      <c r="G14" s="9">
        <v>0.858051598072052</v>
      </c>
      <c r="H14" s="9">
        <v>0.21266134083271027</v>
      </c>
      <c r="I14">
        <v>0</v>
      </c>
      <c r="J14"/>
    </row>
    <row r="15" spans="1:10" ht="15" customHeight="1" x14ac:dyDescent="0.15">
      <c r="A15" s="148">
        <v>14</v>
      </c>
      <c r="B15" s="148" t="s">
        <v>205</v>
      </c>
      <c r="C15" s="8">
        <v>3.5713353157043457</v>
      </c>
      <c r="D15" s="9">
        <v>0.31499999761581421</v>
      </c>
      <c r="E15" s="9">
        <v>4.8779997825622559</v>
      </c>
      <c r="F15" s="9">
        <v>11.440999984741211</v>
      </c>
      <c r="G15" s="9">
        <v>0.84395450353622437</v>
      </c>
      <c r="H15" s="9">
        <v>0.4263613224029541</v>
      </c>
      <c r="I15">
        <v>0.74900001287460327</v>
      </c>
      <c r="J15"/>
    </row>
    <row r="16" spans="1:10" ht="15" customHeight="1" x14ac:dyDescent="0.15">
      <c r="A16" s="149">
        <v>15</v>
      </c>
      <c r="B16" s="149" t="s">
        <v>206</v>
      </c>
      <c r="C16" s="8">
        <v>2.8637557029724121</v>
      </c>
      <c r="D16" s="9">
        <v>1.7740000486373901</v>
      </c>
      <c r="E16" s="9">
        <v>1.3070000410079956</v>
      </c>
      <c r="F16" s="9">
        <v>10.425999641418457</v>
      </c>
      <c r="G16" s="9">
        <v>0.84619015455245972</v>
      </c>
      <c r="H16" s="9">
        <v>0.12535968422889709</v>
      </c>
      <c r="I16">
        <v>0.97699999809265137</v>
      </c>
      <c r="J16"/>
    </row>
    <row r="17" spans="1:10" ht="15" customHeight="1" x14ac:dyDescent="0.15">
      <c r="A17" s="150">
        <v>16</v>
      </c>
      <c r="B17" s="150" t="s">
        <v>207</v>
      </c>
      <c r="C17" s="8">
        <v>2.2444443702697754</v>
      </c>
      <c r="D17" s="9">
        <v>5.8689999580383301</v>
      </c>
      <c r="E17" s="9">
        <v>1.9390000104904175</v>
      </c>
      <c r="F17" s="9">
        <v>20.868000030517578</v>
      </c>
      <c r="G17" s="9">
        <v>0.9659726619720459</v>
      </c>
      <c r="H17" s="9">
        <v>9.2917382717132568E-2</v>
      </c>
      <c r="I17">
        <v>0.29800000786781311</v>
      </c>
      <c r="J17"/>
    </row>
    <row r="18" spans="1:10" ht="15" customHeight="1" x14ac:dyDescent="0.15">
      <c r="A18" s="151">
        <v>17</v>
      </c>
      <c r="B18" s="151" t="s">
        <v>208</v>
      </c>
      <c r="C18" s="8">
        <v>3.239802360534668</v>
      </c>
      <c r="D18" s="9">
        <v>1.3600000143051147</v>
      </c>
      <c r="E18" s="9">
        <v>0.77100002765655518</v>
      </c>
      <c r="F18" s="9">
        <v>7.9279999732971191</v>
      </c>
      <c r="G18" s="9">
        <v>0.67866992950439453</v>
      </c>
      <c r="H18" s="9">
        <v>9.7250252962112427E-2</v>
      </c>
      <c r="I18">
        <v>0.58399999141693115</v>
      </c>
      <c r="J18"/>
    </row>
    <row r="19" spans="1:10" ht="15" customHeight="1" x14ac:dyDescent="0.15">
      <c r="A19" s="152">
        <v>18</v>
      </c>
      <c r="B19" s="152" t="s">
        <v>209</v>
      </c>
      <c r="C19" s="8">
        <v>3.4496595859527588</v>
      </c>
      <c r="D19" s="9">
        <v>5.2000001072883606E-2</v>
      </c>
      <c r="E19" s="9">
        <v>0.10100000351667404</v>
      </c>
      <c r="F19" s="9">
        <v>49.087001800537109</v>
      </c>
      <c r="G19" s="7">
        <v>0</v>
      </c>
      <c r="H19" s="9">
        <v>2.0575711969286203E-3</v>
      </c>
      <c r="I19">
        <v>0</v>
      </c>
      <c r="J19"/>
    </row>
    <row r="20" spans="1:10" ht="15" customHeight="1" x14ac:dyDescent="0.15">
      <c r="A20" s="153">
        <v>19</v>
      </c>
      <c r="B20" s="153" t="s">
        <v>210</v>
      </c>
      <c r="C20" s="8">
        <v>3.3020403385162354</v>
      </c>
      <c r="D20" s="9">
        <v>5.6000001728534698E-2</v>
      </c>
      <c r="E20" s="9">
        <v>3.4000001847743988E-2</v>
      </c>
      <c r="F20" s="9">
        <v>62.560001373291016</v>
      </c>
      <c r="G20" s="7">
        <v>0</v>
      </c>
      <c r="H20" s="9">
        <v>5.4347829427570105E-4</v>
      </c>
      <c r="I20">
        <v>0</v>
      </c>
      <c r="J20"/>
    </row>
    <row r="21" spans="1:10" ht="15" customHeight="1" x14ac:dyDescent="0.15">
      <c r="A21" s="154">
        <v>20</v>
      </c>
      <c r="B21" s="154" t="s">
        <v>211</v>
      </c>
      <c r="C21" s="8">
        <v>1</v>
      </c>
      <c r="D21" s="9">
        <v>1</v>
      </c>
      <c r="E21" s="10"/>
      <c r="F21" s="10"/>
      <c r="G21" s="7">
        <v>0.18759891390800476</v>
      </c>
      <c r="H21" s="10"/>
      <c r="I21">
        <v>0</v>
      </c>
      <c r="J21"/>
    </row>
    <row r="22" spans="1:10" ht="15" customHeight="1" x14ac:dyDescent="0.15">
      <c r="A22" s="155">
        <v>21</v>
      </c>
      <c r="B22" s="155" t="s">
        <v>212</v>
      </c>
      <c r="C22" s="8">
        <v>1</v>
      </c>
      <c r="D22" s="9">
        <v>5</v>
      </c>
      <c r="E22" s="10"/>
      <c r="F22" s="10"/>
      <c r="G22" s="7">
        <v>0</v>
      </c>
      <c r="H22" s="10"/>
      <c r="I22">
        <v>0</v>
      </c>
      <c r="J22"/>
    </row>
    <row r="23" spans="1:10" ht="15" customHeight="1" x14ac:dyDescent="0.15">
      <c r="A23" s="156">
        <v>22</v>
      </c>
      <c r="B23" s="156" t="s">
        <v>213</v>
      </c>
      <c r="C23" s="8">
        <v>3.7255518436431885</v>
      </c>
      <c r="D23" s="10"/>
      <c r="E23" s="10"/>
      <c r="F23" s="10"/>
      <c r="G23" s="10"/>
      <c r="H23" s="10"/>
      <c r="I23">
        <v>12.604999542236328</v>
      </c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1" bestFit="1" customWidth="1"/>
    <col min="2" max="4" width="9.5" style="71" bestFit="1" customWidth="1"/>
    <col min="5" max="7" width="9" style="71" bestFit="1" customWidth="1"/>
    <col min="8" max="16" width="12.6640625" style="71" bestFit="1" customWidth="1"/>
    <col min="17" max="17" width="12.33203125" style="71" bestFit="1" customWidth="1"/>
    <col min="18" max="18" width="8.83203125" style="71"/>
    <col min="19" max="21" width="9.33203125" style="71" bestFit="1" customWidth="1"/>
    <col min="22" max="23" width="8.83203125" style="71"/>
    <col min="24" max="24" width="9.33203125" style="71" bestFit="1" customWidth="1"/>
    <col min="25" max="27" width="8.83203125" style="71"/>
    <col min="28" max="58" width="9" style="71" bestFit="1" customWidth="1"/>
    <col min="59" max="59" width="12.33203125" style="71" bestFit="1" customWidth="1"/>
    <col min="60" max="60" width="9" style="71" bestFit="1" customWidth="1"/>
    <col min="61" max="61" width="11.33203125" style="71" bestFit="1" customWidth="1"/>
    <col min="62" max="77" width="9" style="71" bestFit="1" customWidth="1"/>
    <col min="78" max="78" width="12.33203125" style="71" bestFit="1" customWidth="1"/>
    <col min="79" max="79" width="9" style="71" bestFit="1" customWidth="1"/>
    <col min="80" max="80" width="12.33203125" style="71" bestFit="1" customWidth="1"/>
    <col min="81" max="107" width="9" style="71" bestFit="1" customWidth="1"/>
    <col min="108" max="108" width="11.33203125" style="71" bestFit="1" customWidth="1"/>
    <col min="109" max="124" width="9" style="71" bestFit="1" customWidth="1"/>
    <col min="125" max="125" width="10.33203125" style="71" bestFit="1" customWidth="1"/>
    <col min="126" max="129" width="9.33203125" style="71" bestFit="1" customWidth="1"/>
    <col min="130" max="130" width="9" style="71" bestFit="1" customWidth="1"/>
    <col min="131" max="134" width="9.33203125" style="71" bestFit="1" customWidth="1"/>
    <col min="135" max="165" width="9" style="71" bestFit="1" customWidth="1"/>
    <col min="166" max="166" width="12.33203125" style="71" bestFit="1" customWidth="1"/>
    <col min="167" max="170" width="9" style="71" bestFit="1" customWidth="1"/>
    <col min="171" max="176" width="8.83203125" style="71"/>
    <col min="177" max="177" width="13.83203125" style="71" bestFit="1" customWidth="1"/>
    <col min="178" max="16384" width="8.83203125" style="7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218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255.22799682617188</v>
      </c>
      <c r="C2">
        <v>168.5048828125</v>
      </c>
      <c r="D2"/>
      <c r="E2"/>
      <c r="F2"/>
      <c r="G2" s="215">
        <v>67.831535339355469</v>
      </c>
      <c r="H2" s="58">
        <v>10.392037391662598</v>
      </c>
      <c r="I2" s="12">
        <v>1.0833278894424438</v>
      </c>
      <c r="J2"/>
      <c r="K2"/>
      <c r="L2"/>
      <c r="M2" s="57">
        <v>5.505159854888916</v>
      </c>
      <c r="N2"/>
      <c r="O2"/>
      <c r="P2"/>
      <c r="Q2"/>
      <c r="R2"/>
      <c r="S2"/>
      <c r="T2" s="19">
        <v>1.9110546112060547</v>
      </c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15.840000152587891</v>
      </c>
      <c r="C3">
        <v>13.685032844543457</v>
      </c>
      <c r="D3"/>
      <c r="E3"/>
      <c r="F3"/>
      <c r="G3"/>
      <c r="H3"/>
      <c r="I3"/>
      <c r="J3" s="15">
        <v>0.24044787883758545</v>
      </c>
      <c r="K3" s="60">
        <v>0.79345256090164185</v>
      </c>
      <c r="L3" s="96">
        <v>1.0582598447799683</v>
      </c>
      <c r="M3"/>
      <c r="N3"/>
      <c r="O3"/>
      <c r="P3"/>
      <c r="Q3"/>
      <c r="R3"/>
      <c r="S3" s="12">
        <v>6.2806993722915649E-2</v>
      </c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45.826999664306641</v>
      </c>
      <c r="C4">
        <v>5.030670166015625</v>
      </c>
      <c r="D4"/>
      <c r="E4"/>
      <c r="F4"/>
      <c r="G4" s="214">
        <v>33.378631591796875</v>
      </c>
      <c r="H4" s="213">
        <v>3.2886953353881836</v>
      </c>
      <c r="I4"/>
      <c r="J4"/>
      <c r="K4"/>
      <c r="L4"/>
      <c r="M4" s="133">
        <v>2.7528254985809326</v>
      </c>
      <c r="N4"/>
      <c r="O4" s="11">
        <v>3.4942519851028919E-3</v>
      </c>
      <c r="P4"/>
      <c r="Q4"/>
      <c r="R4"/>
      <c r="S4" s="19">
        <v>0.33563163876533508</v>
      </c>
      <c r="T4" s="18">
        <v>0.85779660940170288</v>
      </c>
      <c r="U4" s="12">
        <v>0.1792563796043396</v>
      </c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0.89899998903274536</v>
      </c>
      <c r="C5">
        <v>0.35718095302581787</v>
      </c>
      <c r="D5"/>
      <c r="E5"/>
      <c r="F5"/>
      <c r="G5"/>
      <c r="H5"/>
      <c r="I5"/>
      <c r="J5" s="20">
        <v>5.6837485171854496E-3</v>
      </c>
      <c r="K5"/>
      <c r="L5"/>
      <c r="M5"/>
      <c r="N5" s="211">
        <v>0.16271631419658661</v>
      </c>
      <c r="O5" s="64">
        <v>7.0234902203083038E-2</v>
      </c>
      <c r="P5" s="212">
        <v>0.24691306054592133</v>
      </c>
      <c r="Q5" s="191">
        <v>4.4486731290817261E-2</v>
      </c>
      <c r="R5"/>
      <c r="S5" s="16">
        <v>1.1784269474446774E-2</v>
      </c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1.5759999752044678</v>
      </c>
      <c r="C6">
        <v>0.30668759346008301</v>
      </c>
      <c r="D6" s="184">
        <v>0.31635695695877075</v>
      </c>
      <c r="E6"/>
      <c r="F6"/>
      <c r="G6"/>
      <c r="H6"/>
      <c r="I6"/>
      <c r="J6"/>
      <c r="K6"/>
      <c r="L6"/>
      <c r="M6"/>
      <c r="N6" s="128">
        <v>0.33918136358261108</v>
      </c>
      <c r="O6" s="191">
        <v>7.7075295150279999E-2</v>
      </c>
      <c r="P6" s="195">
        <v>0.42871180176734924</v>
      </c>
      <c r="Q6" s="22">
        <v>7.4754759669303894E-2</v>
      </c>
      <c r="R6" s="57">
        <v>3.3232297748327255E-2</v>
      </c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0.55099999904632568</v>
      </c>
      <c r="C7">
        <v>2.807433158159256E-2</v>
      </c>
      <c r="D7" s="185">
        <v>0.18397475779056549</v>
      </c>
      <c r="E7"/>
      <c r="F7"/>
      <c r="G7"/>
      <c r="H7"/>
      <c r="I7"/>
      <c r="J7"/>
      <c r="K7"/>
      <c r="L7"/>
      <c r="M7"/>
      <c r="N7"/>
      <c r="O7" s="129">
        <v>0.18697002530097961</v>
      </c>
      <c r="P7"/>
      <c r="Q7" s="192">
        <v>0.15198090672492981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0.92500001192092896</v>
      </c>
      <c r="C8">
        <v>0.19625146687030792</v>
      </c>
      <c r="D8" s="19">
        <v>7.0115672424435616E-3</v>
      </c>
      <c r="E8"/>
      <c r="F8"/>
      <c r="G8"/>
      <c r="H8"/>
      <c r="I8"/>
      <c r="J8"/>
      <c r="K8"/>
      <c r="L8"/>
      <c r="M8"/>
      <c r="N8" s="199">
        <v>0.24203972518444061</v>
      </c>
      <c r="O8" s="64">
        <v>7.2392500936985016E-2</v>
      </c>
      <c r="P8" s="204">
        <v>0.34825077652931213</v>
      </c>
      <c r="Q8" s="194">
        <v>4.9203280359506607E-2</v>
      </c>
      <c r="R8" s="14">
        <v>9.8506631329655647E-3</v>
      </c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0.98900002241134644</v>
      </c>
      <c r="C9">
        <v>0.15356844663619995</v>
      </c>
      <c r="D9"/>
      <c r="E9"/>
      <c r="F9"/>
      <c r="G9"/>
      <c r="H9"/>
      <c r="I9"/>
      <c r="J9"/>
      <c r="K9"/>
      <c r="L9"/>
      <c r="M9"/>
      <c r="N9" s="205">
        <v>0.29880902171134949</v>
      </c>
      <c r="O9" s="202">
        <v>0.10412281006574631</v>
      </c>
      <c r="P9" s="206">
        <v>0.36537402868270874</v>
      </c>
      <c r="Q9" s="186">
        <v>5.6448671966791153E-2</v>
      </c>
      <c r="R9" s="14">
        <v>9.8920399323105812E-3</v>
      </c>
      <c r="S9" s="11">
        <v>7.8505877172574401E-4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1.0180000066757202</v>
      </c>
      <c r="C10">
        <v>5.2476838231086731E-2</v>
      </c>
      <c r="D10" s="15">
        <v>1.691138930618763E-2</v>
      </c>
      <c r="E10"/>
      <c r="F10"/>
      <c r="G10"/>
      <c r="H10"/>
      <c r="I10"/>
      <c r="J10"/>
      <c r="K10"/>
      <c r="L10"/>
      <c r="M10"/>
      <c r="N10" s="207">
        <v>0.31697139143943787</v>
      </c>
      <c r="O10" s="203">
        <v>9.8621338605880737E-2</v>
      </c>
      <c r="P10" s="209">
        <v>0.44821056723594666</v>
      </c>
      <c r="Q10" s="200">
        <v>7.5155220925807953E-2</v>
      </c>
      <c r="R10" s="14">
        <v>9.653264656662941E-3</v>
      </c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1.6529999971389771</v>
      </c>
      <c r="C11">
        <v>0.32252770662307739</v>
      </c>
      <c r="D11" s="132">
        <v>4.7181893140077591E-2</v>
      </c>
      <c r="E11"/>
      <c r="F11"/>
      <c r="G11"/>
      <c r="H11"/>
      <c r="I11"/>
      <c r="J11"/>
      <c r="K11"/>
      <c r="L11"/>
      <c r="M11"/>
      <c r="N11"/>
      <c r="O11"/>
      <c r="P11" s="208">
        <v>1.0557372570037842</v>
      </c>
      <c r="Q11" s="197">
        <v>0.19419503211975098</v>
      </c>
      <c r="R11" s="18">
        <v>3.2699912786483765E-2</v>
      </c>
      <c r="S11" s="11">
        <v>6.5811717649921775E-4</v>
      </c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0.8970000147819519</v>
      </c>
      <c r="C12">
        <v>7.4117645621299744E-2</v>
      </c>
      <c r="D12"/>
      <c r="E12"/>
      <c r="F12"/>
      <c r="G12"/>
      <c r="H12"/>
      <c r="I12"/>
      <c r="J12"/>
      <c r="K12"/>
      <c r="L12"/>
      <c r="M12"/>
      <c r="N12" s="97">
        <v>0.26634687185287476</v>
      </c>
      <c r="O12" s="193">
        <v>7.4280001223087311E-2</v>
      </c>
      <c r="P12" s="98">
        <v>0.41316366195678711</v>
      </c>
      <c r="Q12" s="59">
        <v>5.2831992506980896E-2</v>
      </c>
      <c r="R12" s="17">
        <v>1.6259893774986267E-2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2.1649999618530273</v>
      </c>
      <c r="C13">
        <v>0.15253755450248718</v>
      </c>
      <c r="D13" s="186">
        <v>0.12299773097038269</v>
      </c>
      <c r="E13"/>
      <c r="F13"/>
      <c r="G13"/>
      <c r="H13"/>
      <c r="I13"/>
      <c r="J13"/>
      <c r="K13"/>
      <c r="L13"/>
      <c r="M13"/>
      <c r="N13"/>
      <c r="O13"/>
      <c r="P13" s="210">
        <v>1.8887988328933716</v>
      </c>
      <c r="Q13"/>
      <c r="R13"/>
      <c r="S13" s="11">
        <v>6.6576886456459761E-4</v>
      </c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0.69199997186660767</v>
      </c>
      <c r="C14">
        <v>9.8228290677070618E-2</v>
      </c>
      <c r="D14"/>
      <c r="E14"/>
      <c r="F14"/>
      <c r="G14"/>
      <c r="H14"/>
      <c r="I14"/>
      <c r="J14"/>
      <c r="K14"/>
      <c r="L14"/>
      <c r="M14"/>
      <c r="N14"/>
      <c r="O14"/>
      <c r="P14" s="201">
        <v>0.59377169609069824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4.8779997825622559</v>
      </c>
      <c r="C15">
        <v>0.76118987798690796</v>
      </c>
      <c r="D15" s="187">
        <v>2.3777778148651123</v>
      </c>
      <c r="E15"/>
      <c r="F15"/>
      <c r="G15"/>
      <c r="H15"/>
      <c r="I15"/>
      <c r="J15"/>
      <c r="K15"/>
      <c r="L15"/>
      <c r="M15"/>
      <c r="N15"/>
      <c r="O15"/>
      <c r="P15"/>
      <c r="Q15"/>
      <c r="R15" s="134">
        <v>1.7390319108963013</v>
      </c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1.3070000410079956</v>
      </c>
      <c r="C16">
        <v>0.20102947950363159</v>
      </c>
      <c r="D16" s="188">
        <v>0.55073279142379761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 s="19">
        <v>1.0426000691950321E-2</v>
      </c>
      <c r="T16"/>
      <c r="U16"/>
      <c r="V16" s="192">
        <v>0.36115193367004395</v>
      </c>
      <c r="W16" s="66">
        <v>0.18365980684757233</v>
      </c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1.9390000104904175</v>
      </c>
      <c r="C17">
        <v>6.5979011356830597E-2</v>
      </c>
      <c r="D17" s="21">
        <v>5.0775259733200073E-2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 s="13">
        <v>3.1514270231127739E-3</v>
      </c>
      <c r="T17"/>
      <c r="U17" s="198">
        <v>0.97367566823959351</v>
      </c>
      <c r="V17" s="95">
        <v>0.30400654673576355</v>
      </c>
      <c r="W17" s="196">
        <v>0.5414121150970459</v>
      </c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0.77100002765655518</v>
      </c>
      <c r="C18">
        <v>0.24774549901485443</v>
      </c>
      <c r="D18" s="189">
        <v>0.42941173911094666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 s="190">
        <v>9.3842804431915283E-2</v>
      </c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0.10100000351667404</v>
      </c>
      <c r="C19">
        <v>0.10100000351667404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3.4000001847743988E-2</v>
      </c>
      <c r="C20">
        <v>3.4000001847743988E-2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/>
      <c r="C21">
        <v>0.18759891390800476</v>
      </c>
      <c r="D21"/>
      <c r="E21"/>
      <c r="F21"/>
      <c r="G21" s="9">
        <v>536.3699951171875</v>
      </c>
      <c r="H21" s="9">
        <v>1195.86767578125</v>
      </c>
      <c r="I21" s="9">
        <v>15.06992244720459</v>
      </c>
      <c r="J21" s="9">
        <v>2.0312647819519043</v>
      </c>
      <c r="K21" s="9">
        <v>15.217739105224609</v>
      </c>
      <c r="L21" s="9">
        <v>310.19778442382812</v>
      </c>
      <c r="M21" s="9">
        <v>38.312557220458984</v>
      </c>
      <c r="N21" s="9">
        <v>21.783660888671875</v>
      </c>
      <c r="O21" s="9">
        <v>6.4208621978759766</v>
      </c>
      <c r="P21" s="9">
        <v>26.923175811767578</v>
      </c>
      <c r="Q21" s="9">
        <v>4.0650138854980469</v>
      </c>
      <c r="R21"/>
      <c r="S21" s="9">
        <v>0.70283746719360352</v>
      </c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/>
      <c r="C22">
        <v>0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7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5" t="s">
        <v>166</v>
      </c>
    </row>
    <row r="2" spans="1:12" x14ac:dyDescent="0.15">
      <c r="A2" s="1" t="s">
        <v>37</v>
      </c>
      <c r="B2" s="32">
        <v>3</v>
      </c>
      <c r="C2" s="30"/>
      <c r="D2" t="s">
        <v>38</v>
      </c>
      <c r="E2">
        <v>1</v>
      </c>
      <c r="F2">
        <v>1</v>
      </c>
      <c r="G2">
        <v>1</v>
      </c>
      <c r="H2" t="s">
        <v>38</v>
      </c>
      <c r="J2" s="48"/>
      <c r="K2" s="49"/>
      <c r="L2" s="55" t="s">
        <v>167</v>
      </c>
    </row>
    <row r="3" spans="1:12" ht="14" thickBot="1" x14ac:dyDescent="0.2">
      <c r="A3" s="1" t="s">
        <v>39</v>
      </c>
      <c r="B3" s="33">
        <v>0</v>
      </c>
      <c r="C3" s="30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0"/>
      <c r="K3" s="51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0"/>
      <c r="K4" s="51"/>
    </row>
    <row r="5" spans="1:12" x14ac:dyDescent="0.15">
      <c r="D5" s="176" t="s">
        <v>192</v>
      </c>
      <c r="E5">
        <v>4</v>
      </c>
      <c r="F5">
        <v>2</v>
      </c>
      <c r="G5">
        <v>4</v>
      </c>
      <c r="H5" s="177" t="s">
        <v>192</v>
      </c>
      <c r="J5" s="50"/>
      <c r="K5" s="51"/>
    </row>
    <row r="6" spans="1:12" ht="14" thickBot="1" x14ac:dyDescent="0.2">
      <c r="A6" s="34" t="s">
        <v>121</v>
      </c>
      <c r="D6" s="176" t="s">
        <v>193</v>
      </c>
      <c r="E6">
        <v>5</v>
      </c>
      <c r="F6">
        <v>2.2999999999999998</v>
      </c>
      <c r="G6">
        <v>5</v>
      </c>
      <c r="H6" s="177" t="s">
        <v>193</v>
      </c>
      <c r="J6" s="50"/>
      <c r="K6" s="51"/>
    </row>
    <row r="7" spans="1:12" x14ac:dyDescent="0.15">
      <c r="A7" s="29" t="s">
        <v>126</v>
      </c>
      <c r="B7" s="36">
        <v>1</v>
      </c>
      <c r="C7" s="31"/>
      <c r="D7" s="176" t="s">
        <v>194</v>
      </c>
      <c r="E7">
        <v>6</v>
      </c>
      <c r="F7">
        <v>3.11</v>
      </c>
      <c r="G7">
        <v>6</v>
      </c>
      <c r="H7" s="177" t="s">
        <v>194</v>
      </c>
      <c r="J7" s="50"/>
      <c r="K7" s="51"/>
    </row>
    <row r="8" spans="1:12" x14ac:dyDescent="0.15">
      <c r="A8" s="29" t="s">
        <v>38</v>
      </c>
      <c r="B8" s="37">
        <v>1</v>
      </c>
      <c r="C8" s="31"/>
      <c r="D8" s="176" t="s">
        <v>195</v>
      </c>
      <c r="E8">
        <v>7</v>
      </c>
      <c r="F8">
        <v>3.21</v>
      </c>
      <c r="G8">
        <v>7</v>
      </c>
      <c r="H8" s="177" t="s">
        <v>195</v>
      </c>
      <c r="J8" s="50"/>
      <c r="K8" s="51"/>
    </row>
    <row r="9" spans="1:12" x14ac:dyDescent="0.15">
      <c r="A9" s="29" t="s">
        <v>40</v>
      </c>
      <c r="B9" s="37">
        <v>1.1000000000000001</v>
      </c>
      <c r="C9" s="31"/>
      <c r="D9" s="176" t="s">
        <v>196</v>
      </c>
      <c r="E9">
        <v>8</v>
      </c>
      <c r="F9">
        <v>3.21</v>
      </c>
      <c r="G9">
        <v>8</v>
      </c>
      <c r="H9" s="177" t="s">
        <v>196</v>
      </c>
      <c r="J9" s="50"/>
      <c r="K9" s="51"/>
    </row>
    <row r="10" spans="1:12" x14ac:dyDescent="0.15">
      <c r="A10" s="29" t="s">
        <v>41</v>
      </c>
      <c r="B10" s="37">
        <v>1.2</v>
      </c>
      <c r="C10" s="31"/>
      <c r="D10" s="176" t="s">
        <v>197</v>
      </c>
      <c r="E10">
        <v>9</v>
      </c>
      <c r="F10">
        <v>3.21</v>
      </c>
      <c r="G10">
        <v>9</v>
      </c>
      <c r="H10" s="177" t="s">
        <v>197</v>
      </c>
      <c r="J10" s="50"/>
      <c r="K10" s="51"/>
    </row>
    <row r="11" spans="1:12" ht="12" customHeight="1" x14ac:dyDescent="0.15">
      <c r="A11" s="35" t="s">
        <v>127</v>
      </c>
      <c r="B11" s="37">
        <v>2</v>
      </c>
      <c r="C11" s="31"/>
      <c r="D11" s="176" t="s">
        <v>198</v>
      </c>
      <c r="E11">
        <v>10</v>
      </c>
      <c r="F11">
        <v>3.21</v>
      </c>
      <c r="G11">
        <v>10</v>
      </c>
      <c r="H11" s="177" t="s">
        <v>198</v>
      </c>
      <c r="J11" s="50"/>
      <c r="K11" s="51"/>
    </row>
    <row r="12" spans="1:12" x14ac:dyDescent="0.15">
      <c r="A12" s="29" t="s">
        <v>42</v>
      </c>
      <c r="B12" s="37">
        <v>2.1</v>
      </c>
      <c r="C12" s="31"/>
      <c r="D12" s="176" t="s">
        <v>199</v>
      </c>
      <c r="E12">
        <v>11</v>
      </c>
      <c r="F12">
        <v>3.2</v>
      </c>
      <c r="G12">
        <v>11</v>
      </c>
      <c r="H12" s="177" t="s">
        <v>199</v>
      </c>
      <c r="J12" s="50"/>
      <c r="K12" s="51"/>
    </row>
    <row r="13" spans="1:12" x14ac:dyDescent="0.15">
      <c r="A13" s="29" t="s">
        <v>43</v>
      </c>
      <c r="B13" s="37">
        <v>2.2000000000000002</v>
      </c>
      <c r="C13" s="31"/>
      <c r="D13" s="176" t="s">
        <v>200</v>
      </c>
      <c r="E13">
        <v>12</v>
      </c>
      <c r="F13">
        <v>3.21</v>
      </c>
      <c r="G13">
        <v>12</v>
      </c>
      <c r="H13" s="177" t="s">
        <v>200</v>
      </c>
      <c r="J13" s="50"/>
      <c r="K13" s="51"/>
    </row>
    <row r="14" spans="1:12" x14ac:dyDescent="0.15">
      <c r="A14" s="29" t="s">
        <v>67</v>
      </c>
      <c r="B14" s="37">
        <v>2.2999999999999998</v>
      </c>
      <c r="C14" s="31"/>
      <c r="D14" s="176" t="s">
        <v>201</v>
      </c>
      <c r="E14">
        <v>13</v>
      </c>
      <c r="F14">
        <v>3.21</v>
      </c>
      <c r="G14">
        <v>13</v>
      </c>
      <c r="H14" s="177" t="s">
        <v>201</v>
      </c>
      <c r="J14" s="50"/>
      <c r="K14" s="51"/>
    </row>
    <row r="15" spans="1:12" x14ac:dyDescent="0.15">
      <c r="A15" s="35" t="s">
        <v>128</v>
      </c>
      <c r="B15" s="37">
        <v>3</v>
      </c>
      <c r="C15" s="31"/>
      <c r="D15" s="176" t="s">
        <v>202</v>
      </c>
      <c r="E15">
        <v>14</v>
      </c>
      <c r="F15">
        <v>3.2</v>
      </c>
      <c r="G15">
        <v>14</v>
      </c>
      <c r="H15" s="177" t="s">
        <v>202</v>
      </c>
      <c r="J15" s="50"/>
      <c r="K15" s="51"/>
    </row>
    <row r="16" spans="1:12" x14ac:dyDescent="0.15">
      <c r="A16" s="29" t="s">
        <v>62</v>
      </c>
      <c r="B16" s="37">
        <v>3.11</v>
      </c>
      <c r="C16" s="31"/>
      <c r="D16" s="176" t="s">
        <v>203</v>
      </c>
      <c r="E16">
        <v>15</v>
      </c>
      <c r="F16">
        <v>3.21</v>
      </c>
      <c r="G16">
        <v>15</v>
      </c>
      <c r="H16" s="177" t="s">
        <v>203</v>
      </c>
      <c r="J16" s="50"/>
      <c r="K16" s="51"/>
    </row>
    <row r="17" spans="1:12" x14ac:dyDescent="0.15">
      <c r="A17" s="29" t="s">
        <v>61</v>
      </c>
      <c r="B17" s="37">
        <v>3.12</v>
      </c>
      <c r="C17" s="31"/>
      <c r="D17" s="176" t="s">
        <v>204</v>
      </c>
      <c r="E17">
        <v>16</v>
      </c>
      <c r="F17">
        <v>3.21</v>
      </c>
      <c r="G17">
        <v>16</v>
      </c>
      <c r="H17" s="177" t="s">
        <v>204</v>
      </c>
      <c r="J17" s="50"/>
      <c r="K17" s="51"/>
    </row>
    <row r="18" spans="1:12" x14ac:dyDescent="0.15">
      <c r="A18" s="29" t="s">
        <v>68</v>
      </c>
      <c r="B18" s="37">
        <v>3.13</v>
      </c>
      <c r="C18" s="31"/>
      <c r="D18" s="176" t="s">
        <v>205</v>
      </c>
      <c r="E18">
        <v>17</v>
      </c>
      <c r="F18">
        <v>3.21</v>
      </c>
      <c r="G18">
        <v>17</v>
      </c>
      <c r="H18" s="177" t="s">
        <v>205</v>
      </c>
      <c r="J18" s="50"/>
      <c r="K18" s="51"/>
    </row>
    <row r="19" spans="1:12" x14ac:dyDescent="0.15">
      <c r="A19" s="29" t="s">
        <v>66</v>
      </c>
      <c r="B19" s="37">
        <v>3.21</v>
      </c>
      <c r="C19" s="31"/>
      <c r="D19" s="176" t="s">
        <v>206</v>
      </c>
      <c r="E19">
        <v>18</v>
      </c>
      <c r="F19">
        <v>3</v>
      </c>
      <c r="G19">
        <v>18</v>
      </c>
      <c r="H19" s="177" t="s">
        <v>206</v>
      </c>
      <c r="J19" s="50"/>
      <c r="K19" s="51"/>
    </row>
    <row r="20" spans="1:12" x14ac:dyDescent="0.15">
      <c r="A20" s="29" t="s">
        <v>63</v>
      </c>
      <c r="B20" s="37">
        <v>3.22</v>
      </c>
      <c r="C20" s="31"/>
      <c r="D20" s="176" t="s">
        <v>207</v>
      </c>
      <c r="E20">
        <v>19</v>
      </c>
      <c r="F20">
        <v>3.12</v>
      </c>
      <c r="G20">
        <v>19</v>
      </c>
      <c r="H20" s="177" t="s">
        <v>207</v>
      </c>
      <c r="J20" s="50"/>
      <c r="K20" s="51"/>
    </row>
    <row r="21" spans="1:12" ht="14" thickBot="1" x14ac:dyDescent="0.2">
      <c r="A21" s="29" t="s">
        <v>69</v>
      </c>
      <c r="B21" s="37">
        <v>3.23</v>
      </c>
      <c r="C21" s="31"/>
      <c r="D21" s="176" t="s">
        <v>208</v>
      </c>
      <c r="E21">
        <v>20</v>
      </c>
      <c r="F21">
        <v>3.12</v>
      </c>
      <c r="G21">
        <v>20</v>
      </c>
      <c r="H21" s="177" t="s">
        <v>208</v>
      </c>
      <c r="J21" s="52"/>
      <c r="K21" s="53"/>
      <c r="L21" s="55" t="s">
        <v>152</v>
      </c>
    </row>
    <row r="22" spans="1:12" x14ac:dyDescent="0.15">
      <c r="A22" s="29" t="s">
        <v>64</v>
      </c>
      <c r="B22" s="37">
        <v>8</v>
      </c>
      <c r="C22" s="31"/>
      <c r="D22" s="176" t="s">
        <v>209</v>
      </c>
      <c r="E22">
        <v>21</v>
      </c>
      <c r="F22">
        <v>3.13</v>
      </c>
      <c r="G22">
        <v>21</v>
      </c>
      <c r="H22" s="177" t="s">
        <v>209</v>
      </c>
    </row>
    <row r="23" spans="1:12" x14ac:dyDescent="0.15">
      <c r="A23" s="29" t="s">
        <v>129</v>
      </c>
      <c r="B23" s="37">
        <v>4</v>
      </c>
      <c r="C23" s="31"/>
      <c r="D23" s="176" t="s">
        <v>210</v>
      </c>
      <c r="E23">
        <v>22</v>
      </c>
      <c r="F23">
        <v>3.13</v>
      </c>
      <c r="G23">
        <v>22</v>
      </c>
      <c r="H23" s="177" t="s">
        <v>210</v>
      </c>
    </row>
    <row r="24" spans="1:12" x14ac:dyDescent="0.15">
      <c r="A24" s="29" t="s">
        <v>122</v>
      </c>
      <c r="B24" s="37">
        <v>4.0999999999999996</v>
      </c>
      <c r="C24" s="31"/>
      <c r="D24" s="176" t="s">
        <v>211</v>
      </c>
      <c r="E24">
        <v>23</v>
      </c>
      <c r="F24">
        <v>4.0999999999999996</v>
      </c>
      <c r="G24">
        <v>23</v>
      </c>
      <c r="H24" s="177" t="s">
        <v>211</v>
      </c>
    </row>
    <row r="25" spans="1:12" x14ac:dyDescent="0.15">
      <c r="A25" s="29" t="s">
        <v>70</v>
      </c>
      <c r="B25" s="37">
        <v>4.2</v>
      </c>
      <c r="C25" s="31"/>
      <c r="D25" s="176" t="s">
        <v>212</v>
      </c>
      <c r="E25">
        <v>24</v>
      </c>
      <c r="F25">
        <v>4.3</v>
      </c>
      <c r="G25">
        <v>24</v>
      </c>
      <c r="H25" s="177" t="s">
        <v>212</v>
      </c>
    </row>
    <row r="26" spans="1:12" x14ac:dyDescent="0.15">
      <c r="A26" s="29" t="s">
        <v>123</v>
      </c>
      <c r="B26" s="37">
        <v>4.3</v>
      </c>
      <c r="C26" s="31"/>
      <c r="D26" s="176" t="s">
        <v>213</v>
      </c>
      <c r="E26">
        <v>25</v>
      </c>
      <c r="F26">
        <v>5</v>
      </c>
      <c r="G26">
        <v>25</v>
      </c>
      <c r="H26" s="177" t="s">
        <v>213</v>
      </c>
    </row>
    <row r="27" spans="1:12" x14ac:dyDescent="0.15">
      <c r="A27" s="29" t="s">
        <v>125</v>
      </c>
      <c r="B27" s="37">
        <v>6.1</v>
      </c>
      <c r="D27" s="176" t="s">
        <v>138</v>
      </c>
      <c r="E27">
        <v>26</v>
      </c>
      <c r="F27">
        <v>6.1</v>
      </c>
      <c r="G27">
        <v>26</v>
      </c>
      <c r="H27" s="177" t="s">
        <v>138</v>
      </c>
    </row>
    <row r="28" spans="1:12" x14ac:dyDescent="0.15">
      <c r="A28" s="29" t="s">
        <v>124</v>
      </c>
      <c r="B28" s="37">
        <v>6.2</v>
      </c>
      <c r="D28" s="176" t="s">
        <v>45</v>
      </c>
      <c r="E28">
        <v>27</v>
      </c>
      <c r="F28">
        <v>6.2</v>
      </c>
      <c r="G28">
        <v>27</v>
      </c>
      <c r="H28" s="177" t="s">
        <v>45</v>
      </c>
    </row>
    <row r="29" spans="1:12" x14ac:dyDescent="0.15">
      <c r="A29" s="29" t="s">
        <v>44</v>
      </c>
      <c r="B29" s="37">
        <v>5</v>
      </c>
    </row>
    <row r="30" spans="1:12" x14ac:dyDescent="0.15">
      <c r="A30" s="29" t="s">
        <v>73</v>
      </c>
      <c r="B30" s="37">
        <v>7</v>
      </c>
    </row>
    <row r="31" spans="1:12" x14ac:dyDescent="0.15">
      <c r="A31" s="29" t="s">
        <v>169</v>
      </c>
      <c r="B31" s="37">
        <v>3.14</v>
      </c>
    </row>
    <row r="32" spans="1:12" ht="12" customHeight="1" thickBot="1" x14ac:dyDescent="0.2">
      <c r="A32" s="35" t="s">
        <v>170</v>
      </c>
      <c r="B32" s="38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3.1640625" style="72" bestFit="1" customWidth="1"/>
    <col min="2" max="2" width="12.83203125" style="71" customWidth="1"/>
    <col min="3" max="3" width="13.1640625" style="71" customWidth="1"/>
    <col min="4" max="4" width="11.83203125" style="71" customWidth="1"/>
    <col min="5" max="5" width="12.83203125" style="71" customWidth="1"/>
    <col min="6" max="6" width="21.6640625" style="71" bestFit="1" customWidth="1"/>
    <col min="7" max="9" width="2.33203125" style="71" customWidth="1"/>
    <col min="10" max="10" width="2.33203125" style="71" bestFit="1" customWidth="1"/>
    <col min="11" max="15" width="2.33203125" style="71" customWidth="1"/>
    <col min="16" max="16" width="2.33203125" style="62" customWidth="1"/>
    <col min="17" max="17" width="2.33203125" style="71" customWidth="1"/>
    <col min="18" max="18" width="2.33203125" style="63" customWidth="1"/>
    <col min="19" max="16384" width="11.5" style="71"/>
  </cols>
  <sheetData>
    <row r="1" spans="1:23" ht="15" customHeight="1" thickBot="1" x14ac:dyDescent="0.2">
      <c r="F1" s="1"/>
      <c r="G1" s="61" t="s">
        <v>46</v>
      </c>
      <c r="H1" s="61" t="s">
        <v>47</v>
      </c>
      <c r="I1" s="61" t="s">
        <v>120</v>
      </c>
      <c r="J1" s="61" t="s">
        <v>132</v>
      </c>
      <c r="K1" s="73" t="s">
        <v>48</v>
      </c>
      <c r="L1" s="63"/>
      <c r="M1" s="73" t="s">
        <v>119</v>
      </c>
      <c r="N1" s="63"/>
      <c r="O1" s="73" t="s">
        <v>49</v>
      </c>
      <c r="P1" s="65"/>
      <c r="Q1" s="73" t="s">
        <v>50</v>
      </c>
      <c r="R1" s="61" t="s">
        <v>154</v>
      </c>
    </row>
    <row r="2" spans="1:23" ht="15" customHeight="1" x14ac:dyDescent="0.15">
      <c r="A2" s="73" t="s">
        <v>51</v>
      </c>
      <c r="B2" s="74">
        <v>0.5</v>
      </c>
      <c r="C2" s="72" t="s">
        <v>52</v>
      </c>
      <c r="D2" s="75"/>
      <c r="F2" s="1"/>
      <c r="G2" s="76"/>
      <c r="H2" s="76"/>
      <c r="I2" s="76" t="s">
        <v>133</v>
      </c>
      <c r="J2" s="76" t="s">
        <v>133</v>
      </c>
      <c r="K2" s="76" t="s">
        <v>52</v>
      </c>
      <c r="L2" s="76" t="s">
        <v>53</v>
      </c>
      <c r="M2" s="76" t="s">
        <v>52</v>
      </c>
      <c r="N2" s="76" t="s">
        <v>53</v>
      </c>
      <c r="O2" s="76" t="s">
        <v>52</v>
      </c>
      <c r="P2" s="77" t="s">
        <v>53</v>
      </c>
      <c r="Q2" s="76"/>
      <c r="R2" s="78" t="s">
        <v>155</v>
      </c>
    </row>
    <row r="3" spans="1:23" ht="15" customHeight="1" thickBot="1" x14ac:dyDescent="0.2">
      <c r="A3" s="73" t="s">
        <v>54</v>
      </c>
      <c r="B3" s="79">
        <v>0.5</v>
      </c>
      <c r="C3" s="72" t="s">
        <v>53</v>
      </c>
      <c r="D3" s="75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7">
        <v>0</v>
      </c>
      <c r="R3" s="31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7">
        <v>0</v>
      </c>
      <c r="R4" s="100">
        <v>0</v>
      </c>
    </row>
    <row r="5" spans="1:23" ht="15" customHeight="1" x14ac:dyDescent="0.15">
      <c r="A5" s="73" t="s">
        <v>55</v>
      </c>
      <c r="B5" s="80">
        <v>0.5</v>
      </c>
      <c r="C5" s="72" t="s">
        <v>52</v>
      </c>
      <c r="D5" s="75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7">
        <v>0</v>
      </c>
      <c r="R5" s="100">
        <v>0</v>
      </c>
    </row>
    <row r="6" spans="1:23" ht="15" customHeight="1" thickBot="1" x14ac:dyDescent="0.2">
      <c r="A6" s="73"/>
      <c r="B6" s="81">
        <v>0.5</v>
      </c>
      <c r="C6" s="72" t="s">
        <v>53</v>
      </c>
      <c r="D6" s="75"/>
      <c r="F6" s="178" t="s">
        <v>192</v>
      </c>
      <c r="G6" s="71">
        <v>0</v>
      </c>
      <c r="H6" s="71">
        <v>0</v>
      </c>
      <c r="I6" s="71">
        <v>0</v>
      </c>
      <c r="J6" s="71">
        <v>0</v>
      </c>
      <c r="K6" s="71">
        <v>0</v>
      </c>
      <c r="L6" s="71">
        <v>0</v>
      </c>
      <c r="M6" s="71">
        <v>1</v>
      </c>
      <c r="N6" s="71">
        <v>0</v>
      </c>
      <c r="O6" s="71">
        <v>0</v>
      </c>
      <c r="P6" s="62">
        <v>0</v>
      </c>
      <c r="Q6" s="71">
        <v>0</v>
      </c>
      <c r="R6" s="63">
        <v>1</v>
      </c>
      <c r="S6"/>
      <c r="T6"/>
    </row>
    <row r="7" spans="1:23" ht="15" customHeight="1" thickBot="1" x14ac:dyDescent="0.2">
      <c r="F7" s="178" t="s">
        <v>193</v>
      </c>
      <c r="G7" s="71">
        <v>0</v>
      </c>
      <c r="H7" s="71">
        <v>0</v>
      </c>
      <c r="I7" s="71">
        <v>0</v>
      </c>
      <c r="J7" s="71">
        <v>0</v>
      </c>
      <c r="K7" s="71">
        <v>0</v>
      </c>
      <c r="L7" s="71">
        <v>0</v>
      </c>
      <c r="M7" s="71">
        <v>1</v>
      </c>
      <c r="N7" s="71">
        <v>0</v>
      </c>
      <c r="O7" s="71">
        <v>0</v>
      </c>
      <c r="P7" s="62">
        <v>0</v>
      </c>
      <c r="Q7" s="71">
        <v>0</v>
      </c>
      <c r="R7" s="63">
        <v>1</v>
      </c>
      <c r="S7"/>
      <c r="T7"/>
    </row>
    <row r="8" spans="1:23" ht="15" customHeight="1" x14ac:dyDescent="0.15">
      <c r="A8" s="73" t="s">
        <v>56</v>
      </c>
      <c r="B8" s="80">
        <v>0.9228816304606815</v>
      </c>
      <c r="C8" s="179" t="s">
        <v>192</v>
      </c>
      <c r="D8" s="75" t="s">
        <v>160</v>
      </c>
      <c r="F8" s="178" t="s">
        <v>194</v>
      </c>
      <c r="G8" s="71">
        <v>0</v>
      </c>
      <c r="H8" s="71">
        <v>0</v>
      </c>
      <c r="I8" s="71">
        <v>0</v>
      </c>
      <c r="J8" s="71">
        <v>0</v>
      </c>
      <c r="K8" s="71">
        <v>1</v>
      </c>
      <c r="L8" s="71">
        <v>0</v>
      </c>
      <c r="M8" s="71">
        <v>1</v>
      </c>
      <c r="N8" s="71">
        <v>0</v>
      </c>
      <c r="O8" s="71">
        <v>1</v>
      </c>
      <c r="P8" s="62">
        <v>0</v>
      </c>
      <c r="Q8" s="71">
        <v>0</v>
      </c>
      <c r="R8" s="63">
        <v>1</v>
      </c>
      <c r="S8"/>
      <c r="T8"/>
      <c r="W8"/>
    </row>
    <row r="9" spans="1:23" ht="15" customHeight="1" x14ac:dyDescent="0.15">
      <c r="A9" s="114" t="s">
        <v>168</v>
      </c>
      <c r="B9" s="82">
        <v>7.7118369539318526E-2</v>
      </c>
      <c r="C9" s="179" t="s">
        <v>193</v>
      </c>
      <c r="D9" s="75" t="s">
        <v>160</v>
      </c>
      <c r="F9" s="178" t="s">
        <v>195</v>
      </c>
      <c r="G9" s="71">
        <v>0</v>
      </c>
      <c r="H9" s="71">
        <v>0</v>
      </c>
      <c r="I9" s="71">
        <v>0</v>
      </c>
      <c r="J9" s="71">
        <v>0</v>
      </c>
      <c r="K9" s="71">
        <v>1</v>
      </c>
      <c r="L9" s="71">
        <v>0</v>
      </c>
      <c r="M9" s="71">
        <v>1</v>
      </c>
      <c r="N9" s="71">
        <v>0</v>
      </c>
      <c r="O9" s="71">
        <v>1</v>
      </c>
      <c r="P9" s="62">
        <v>0</v>
      </c>
      <c r="Q9" s="71">
        <v>0</v>
      </c>
      <c r="R9" s="63">
        <v>1</v>
      </c>
      <c r="S9"/>
      <c r="T9"/>
      <c r="W9"/>
    </row>
    <row r="10" spans="1:23" ht="15" customHeight="1" x14ac:dyDescent="0.15">
      <c r="B10" s="82"/>
      <c r="C10" s="70"/>
      <c r="D10" s="75" t="s">
        <v>160</v>
      </c>
      <c r="F10" s="178" t="s">
        <v>196</v>
      </c>
      <c r="G10" s="71">
        <v>0</v>
      </c>
      <c r="H10" s="71">
        <v>0</v>
      </c>
      <c r="I10" s="71">
        <v>0</v>
      </c>
      <c r="J10" s="71">
        <v>0</v>
      </c>
      <c r="K10" s="71">
        <v>1</v>
      </c>
      <c r="L10" s="71">
        <v>0</v>
      </c>
      <c r="M10" s="71">
        <v>1</v>
      </c>
      <c r="N10" s="71">
        <v>0</v>
      </c>
      <c r="O10" s="71">
        <v>1</v>
      </c>
      <c r="P10" s="62">
        <v>0</v>
      </c>
      <c r="Q10" s="71">
        <v>0</v>
      </c>
      <c r="R10" s="63">
        <v>1</v>
      </c>
      <c r="S10"/>
      <c r="T10"/>
      <c r="W10"/>
    </row>
    <row r="11" spans="1:23" ht="15" customHeight="1" x14ac:dyDescent="0.15">
      <c r="A11" s="73"/>
      <c r="B11" s="82"/>
      <c r="C11" s="85"/>
      <c r="D11" s="75" t="s">
        <v>160</v>
      </c>
      <c r="F11" s="178" t="s">
        <v>197</v>
      </c>
      <c r="G11" s="71">
        <v>0</v>
      </c>
      <c r="H11" s="71">
        <v>0</v>
      </c>
      <c r="I11" s="71">
        <v>0</v>
      </c>
      <c r="J11" s="71">
        <v>0</v>
      </c>
      <c r="K11" s="71">
        <v>1</v>
      </c>
      <c r="L11" s="71">
        <v>0</v>
      </c>
      <c r="M11" s="71">
        <v>1</v>
      </c>
      <c r="N11" s="71">
        <v>0</v>
      </c>
      <c r="O11" s="71">
        <v>1</v>
      </c>
      <c r="P11" s="62">
        <v>0</v>
      </c>
      <c r="Q11" s="71">
        <v>0</v>
      </c>
      <c r="R11" s="63">
        <v>1</v>
      </c>
      <c r="S11"/>
      <c r="T11"/>
      <c r="W11"/>
    </row>
    <row r="12" spans="1:23" ht="15" customHeight="1" x14ac:dyDescent="0.15">
      <c r="B12" s="82"/>
      <c r="C12" s="86"/>
      <c r="D12" s="75" t="s">
        <v>160</v>
      </c>
      <c r="F12" s="178" t="s">
        <v>198</v>
      </c>
      <c r="G12" s="71">
        <v>0</v>
      </c>
      <c r="H12" s="71">
        <v>0</v>
      </c>
      <c r="I12" s="71">
        <v>0</v>
      </c>
      <c r="J12" s="71">
        <v>0</v>
      </c>
      <c r="K12" s="71">
        <v>1</v>
      </c>
      <c r="L12" s="71">
        <v>0</v>
      </c>
      <c r="M12" s="71">
        <v>1</v>
      </c>
      <c r="N12" s="71">
        <v>0</v>
      </c>
      <c r="O12" s="71">
        <v>1</v>
      </c>
      <c r="P12" s="62">
        <v>0</v>
      </c>
      <c r="Q12" s="71">
        <v>0</v>
      </c>
      <c r="R12" s="63">
        <v>1</v>
      </c>
      <c r="S12"/>
      <c r="T12"/>
      <c r="W12"/>
    </row>
    <row r="13" spans="1:23" ht="15" customHeight="1" x14ac:dyDescent="0.15">
      <c r="B13" s="82"/>
      <c r="C13" s="86"/>
      <c r="D13" s="75" t="s">
        <v>160</v>
      </c>
      <c r="F13" s="178" t="s">
        <v>199</v>
      </c>
      <c r="G13" s="71">
        <v>0</v>
      </c>
      <c r="H13" s="71">
        <v>0</v>
      </c>
      <c r="I13" s="71">
        <v>0</v>
      </c>
      <c r="J13" s="71">
        <v>0</v>
      </c>
      <c r="K13" s="71">
        <v>1</v>
      </c>
      <c r="L13" s="71">
        <v>0</v>
      </c>
      <c r="M13" s="71">
        <v>1</v>
      </c>
      <c r="N13" s="71">
        <v>0</v>
      </c>
      <c r="O13" s="71">
        <v>1</v>
      </c>
      <c r="P13" s="62">
        <v>0</v>
      </c>
      <c r="Q13" s="71">
        <v>0</v>
      </c>
      <c r="R13" s="63">
        <v>1</v>
      </c>
      <c r="S13"/>
      <c r="T13"/>
      <c r="W13"/>
    </row>
    <row r="14" spans="1:23" ht="15" customHeight="1" x14ac:dyDescent="0.15">
      <c r="B14" s="82"/>
      <c r="C14" s="70"/>
      <c r="D14" s="75" t="s">
        <v>160</v>
      </c>
      <c r="F14" s="178" t="s">
        <v>200</v>
      </c>
      <c r="G14" s="71">
        <v>0</v>
      </c>
      <c r="H14" s="71">
        <v>0</v>
      </c>
      <c r="I14" s="71">
        <v>0</v>
      </c>
      <c r="J14" s="71">
        <v>0</v>
      </c>
      <c r="K14" s="71">
        <v>1</v>
      </c>
      <c r="L14" s="71">
        <v>0</v>
      </c>
      <c r="M14" s="71">
        <v>1</v>
      </c>
      <c r="N14" s="71">
        <v>0</v>
      </c>
      <c r="O14" s="71">
        <v>1</v>
      </c>
      <c r="P14" s="62">
        <v>0</v>
      </c>
      <c r="Q14" s="71">
        <v>0</v>
      </c>
      <c r="R14" s="63">
        <v>1</v>
      </c>
      <c r="S14"/>
      <c r="T14"/>
      <c r="W14"/>
    </row>
    <row r="15" spans="1:23" ht="15" customHeight="1" x14ac:dyDescent="0.15">
      <c r="B15" s="82"/>
      <c r="C15" s="70"/>
      <c r="D15" s="75" t="s">
        <v>160</v>
      </c>
      <c r="F15" s="178" t="s">
        <v>201</v>
      </c>
      <c r="G15" s="71">
        <v>0</v>
      </c>
      <c r="H15" s="71">
        <v>0</v>
      </c>
      <c r="I15" s="71">
        <v>0</v>
      </c>
      <c r="J15" s="71">
        <v>0</v>
      </c>
      <c r="K15" s="71">
        <v>1</v>
      </c>
      <c r="L15" s="71">
        <v>0</v>
      </c>
      <c r="M15" s="71">
        <v>1</v>
      </c>
      <c r="N15" s="71">
        <v>0</v>
      </c>
      <c r="O15" s="71">
        <v>1</v>
      </c>
      <c r="P15" s="62">
        <v>0</v>
      </c>
      <c r="Q15" s="71">
        <v>0</v>
      </c>
      <c r="R15" s="63">
        <v>1</v>
      </c>
      <c r="S15"/>
      <c r="T15"/>
      <c r="W15"/>
    </row>
    <row r="16" spans="1:23" ht="15" customHeight="1" x14ac:dyDescent="0.15">
      <c r="B16" s="82"/>
      <c r="C16" s="70"/>
      <c r="D16" s="75" t="s">
        <v>160</v>
      </c>
      <c r="F16" s="178" t="s">
        <v>202</v>
      </c>
      <c r="G16" s="71">
        <v>0</v>
      </c>
      <c r="H16" s="71">
        <v>0</v>
      </c>
      <c r="I16" s="71">
        <v>0</v>
      </c>
      <c r="J16" s="71">
        <v>0</v>
      </c>
      <c r="K16" s="71">
        <v>1</v>
      </c>
      <c r="L16" s="71">
        <v>0</v>
      </c>
      <c r="M16" s="71">
        <v>1</v>
      </c>
      <c r="N16" s="71">
        <v>0</v>
      </c>
      <c r="O16" s="71">
        <v>1</v>
      </c>
      <c r="P16" s="62">
        <v>0</v>
      </c>
      <c r="Q16" s="71">
        <v>0</v>
      </c>
      <c r="R16" s="63">
        <v>1</v>
      </c>
      <c r="S16"/>
      <c r="T16"/>
    </row>
    <row r="17" spans="1:20" ht="15" customHeight="1" thickBot="1" x14ac:dyDescent="0.2">
      <c r="B17" s="81"/>
      <c r="C17" s="70"/>
      <c r="D17" s="75" t="s">
        <v>160</v>
      </c>
      <c r="F17" s="178" t="s">
        <v>203</v>
      </c>
      <c r="G17" s="71">
        <v>0</v>
      </c>
      <c r="H17" s="71">
        <v>0</v>
      </c>
      <c r="I17" s="71">
        <v>0</v>
      </c>
      <c r="J17" s="71">
        <v>0</v>
      </c>
      <c r="K17" s="71">
        <v>1</v>
      </c>
      <c r="L17" s="71">
        <v>0</v>
      </c>
      <c r="M17" s="71">
        <v>1</v>
      </c>
      <c r="N17" s="71">
        <v>0</v>
      </c>
      <c r="O17" s="71">
        <v>1</v>
      </c>
      <c r="P17" s="62">
        <v>0</v>
      </c>
      <c r="Q17" s="71">
        <v>0</v>
      </c>
      <c r="R17" s="63">
        <v>1</v>
      </c>
      <c r="S17"/>
      <c r="T17"/>
    </row>
    <row r="18" spans="1:20" ht="15" customHeight="1" thickBot="1" x14ac:dyDescent="0.2">
      <c r="B18" s="83"/>
      <c r="F18" s="178" t="s">
        <v>204</v>
      </c>
      <c r="G18" s="71">
        <v>0</v>
      </c>
      <c r="H18" s="71">
        <v>0</v>
      </c>
      <c r="I18" s="71">
        <v>0</v>
      </c>
      <c r="J18" s="71">
        <v>0</v>
      </c>
      <c r="K18" s="71">
        <v>1</v>
      </c>
      <c r="L18" s="71">
        <v>0</v>
      </c>
      <c r="M18" s="71">
        <v>1</v>
      </c>
      <c r="N18" s="71">
        <v>0</v>
      </c>
      <c r="O18" s="71">
        <v>1</v>
      </c>
      <c r="P18" s="62">
        <v>0</v>
      </c>
      <c r="Q18" s="71">
        <v>0</v>
      </c>
      <c r="R18" s="63">
        <v>1</v>
      </c>
      <c r="S18"/>
      <c r="T18"/>
    </row>
    <row r="19" spans="1:20" ht="15" customHeight="1" x14ac:dyDescent="0.15">
      <c r="A19" s="73" t="s">
        <v>57</v>
      </c>
      <c r="B19" s="80">
        <v>0.9228816304606815</v>
      </c>
      <c r="C19" s="180" t="s">
        <v>192</v>
      </c>
      <c r="D19" s="75" t="s">
        <v>160</v>
      </c>
      <c r="F19" s="178" t="s">
        <v>205</v>
      </c>
      <c r="G19" s="71">
        <v>0</v>
      </c>
      <c r="H19" s="71">
        <v>0</v>
      </c>
      <c r="I19" s="71">
        <v>0</v>
      </c>
      <c r="J19" s="71">
        <v>0</v>
      </c>
      <c r="K19" s="71">
        <v>1</v>
      </c>
      <c r="L19" s="71">
        <v>0</v>
      </c>
      <c r="M19" s="71">
        <v>1</v>
      </c>
      <c r="N19" s="71">
        <v>0</v>
      </c>
      <c r="O19" s="71">
        <v>1</v>
      </c>
      <c r="P19" s="62">
        <v>0</v>
      </c>
      <c r="Q19" s="71">
        <v>0</v>
      </c>
      <c r="R19" s="63">
        <v>1</v>
      </c>
      <c r="S19"/>
      <c r="T19"/>
    </row>
    <row r="20" spans="1:20" ht="15" customHeight="1" x14ac:dyDescent="0.15">
      <c r="A20" s="114" t="s">
        <v>168</v>
      </c>
      <c r="B20" s="82">
        <v>7.7118369539318526E-2</v>
      </c>
      <c r="C20" s="180" t="s">
        <v>193</v>
      </c>
      <c r="D20" s="75" t="s">
        <v>160</v>
      </c>
      <c r="F20" s="178" t="s">
        <v>206</v>
      </c>
      <c r="G20" s="71">
        <v>0</v>
      </c>
      <c r="H20" s="71">
        <v>0</v>
      </c>
      <c r="I20" s="71">
        <v>0</v>
      </c>
      <c r="J20" s="71">
        <v>0</v>
      </c>
      <c r="K20" s="71">
        <v>1</v>
      </c>
      <c r="L20" s="71">
        <v>0</v>
      </c>
      <c r="M20" s="71">
        <v>1</v>
      </c>
      <c r="N20" s="71">
        <v>0</v>
      </c>
      <c r="O20" s="71">
        <v>1</v>
      </c>
      <c r="P20" s="62">
        <v>0</v>
      </c>
      <c r="Q20" s="71">
        <v>0</v>
      </c>
      <c r="R20" s="63">
        <v>1</v>
      </c>
      <c r="S20"/>
      <c r="T20"/>
    </row>
    <row r="21" spans="1:20" ht="15" customHeight="1" x14ac:dyDescent="0.15">
      <c r="B21" s="82"/>
      <c r="C21" s="70"/>
      <c r="D21" s="75" t="s">
        <v>160</v>
      </c>
      <c r="F21" s="178" t="s">
        <v>207</v>
      </c>
      <c r="G21" s="71">
        <v>0</v>
      </c>
      <c r="H21" s="71">
        <v>0</v>
      </c>
      <c r="I21" s="71">
        <v>0</v>
      </c>
      <c r="J21" s="71">
        <v>0</v>
      </c>
      <c r="K21" s="71">
        <v>1</v>
      </c>
      <c r="L21" s="71">
        <v>0</v>
      </c>
      <c r="M21" s="71">
        <v>1</v>
      </c>
      <c r="N21" s="71">
        <v>0</v>
      </c>
      <c r="O21" s="71">
        <v>1</v>
      </c>
      <c r="P21" s="62">
        <v>0</v>
      </c>
      <c r="Q21" s="71">
        <v>0</v>
      </c>
      <c r="R21" s="63">
        <v>1</v>
      </c>
      <c r="S21"/>
      <c r="T21"/>
    </row>
    <row r="22" spans="1:20" ht="15" customHeight="1" x14ac:dyDescent="0.15">
      <c r="A22" s="71"/>
      <c r="B22" s="82"/>
      <c r="C22" s="85"/>
      <c r="D22" s="75" t="s">
        <v>160</v>
      </c>
      <c r="F22" s="178" t="s">
        <v>208</v>
      </c>
      <c r="G22" s="71">
        <v>0</v>
      </c>
      <c r="H22" s="71">
        <v>0</v>
      </c>
      <c r="I22" s="71">
        <v>0</v>
      </c>
      <c r="J22" s="71">
        <v>0</v>
      </c>
      <c r="K22" s="71">
        <v>1</v>
      </c>
      <c r="L22" s="71">
        <v>0</v>
      </c>
      <c r="M22" s="71">
        <v>1</v>
      </c>
      <c r="N22" s="71">
        <v>0</v>
      </c>
      <c r="O22" s="71">
        <v>1</v>
      </c>
      <c r="P22" s="62">
        <v>0</v>
      </c>
      <c r="Q22" s="71">
        <v>0</v>
      </c>
      <c r="R22" s="63">
        <v>1</v>
      </c>
      <c r="S22"/>
      <c r="T22"/>
    </row>
    <row r="23" spans="1:20" ht="15" customHeight="1" x14ac:dyDescent="0.15">
      <c r="A23" s="71"/>
      <c r="B23" s="82"/>
      <c r="C23" s="86"/>
      <c r="D23" s="75" t="s">
        <v>160</v>
      </c>
      <c r="F23" s="178" t="s">
        <v>209</v>
      </c>
      <c r="G23" s="71">
        <v>0</v>
      </c>
      <c r="H23" s="71">
        <v>0</v>
      </c>
      <c r="I23" s="71">
        <v>0</v>
      </c>
      <c r="J23" s="71">
        <v>0</v>
      </c>
      <c r="K23" s="71">
        <v>1</v>
      </c>
      <c r="L23" s="71">
        <v>0</v>
      </c>
      <c r="M23" s="71">
        <v>1</v>
      </c>
      <c r="N23" s="71">
        <v>0</v>
      </c>
      <c r="O23" s="71">
        <v>1</v>
      </c>
      <c r="P23" s="62">
        <v>0</v>
      </c>
      <c r="Q23" s="71">
        <v>0</v>
      </c>
      <c r="R23" s="63">
        <v>1</v>
      </c>
      <c r="S23"/>
      <c r="T23"/>
    </row>
    <row r="24" spans="1:20" ht="15" customHeight="1" x14ac:dyDescent="0.15">
      <c r="A24" s="71"/>
      <c r="B24" s="82"/>
      <c r="C24" s="86"/>
      <c r="D24" s="75" t="s">
        <v>160</v>
      </c>
      <c r="F24" s="178" t="s">
        <v>210</v>
      </c>
      <c r="G24" s="71">
        <v>0</v>
      </c>
      <c r="H24" s="71">
        <v>0</v>
      </c>
      <c r="I24" s="71">
        <v>0</v>
      </c>
      <c r="J24" s="71">
        <v>0</v>
      </c>
      <c r="K24" s="71">
        <v>1</v>
      </c>
      <c r="L24" s="71">
        <v>0</v>
      </c>
      <c r="M24" s="71">
        <v>1</v>
      </c>
      <c r="N24" s="71">
        <v>0</v>
      </c>
      <c r="O24" s="71">
        <v>1</v>
      </c>
      <c r="P24" s="62">
        <v>0</v>
      </c>
      <c r="Q24" s="71">
        <v>0</v>
      </c>
      <c r="R24" s="63">
        <v>1</v>
      </c>
      <c r="S24"/>
      <c r="T24"/>
    </row>
    <row r="25" spans="1:20" ht="15" customHeight="1" x14ac:dyDescent="0.15">
      <c r="A25" s="71"/>
      <c r="B25" s="82"/>
      <c r="C25" s="70"/>
      <c r="D25" s="75" t="s">
        <v>160</v>
      </c>
      <c r="F25" s="178" t="s">
        <v>211</v>
      </c>
      <c r="G25" s="71">
        <v>0</v>
      </c>
      <c r="H25" s="71">
        <v>0</v>
      </c>
      <c r="I25" s="71">
        <v>0</v>
      </c>
      <c r="J25" s="71">
        <v>0</v>
      </c>
      <c r="K25" s="71">
        <v>0</v>
      </c>
      <c r="L25" s="71">
        <v>1</v>
      </c>
      <c r="M25" s="71">
        <v>0</v>
      </c>
      <c r="N25" s="71">
        <v>1</v>
      </c>
      <c r="O25" s="71">
        <v>0</v>
      </c>
      <c r="P25" s="62">
        <v>1</v>
      </c>
      <c r="Q25" s="71">
        <v>0</v>
      </c>
      <c r="R25" s="63">
        <v>1</v>
      </c>
      <c r="S25"/>
      <c r="T25"/>
    </row>
    <row r="26" spans="1:20" ht="15" customHeight="1" x14ac:dyDescent="0.15">
      <c r="B26" s="82"/>
      <c r="C26" s="70"/>
      <c r="D26" s="75" t="s">
        <v>160</v>
      </c>
      <c r="F26" s="178" t="s">
        <v>212</v>
      </c>
      <c r="G26" s="71">
        <v>0</v>
      </c>
      <c r="H26" s="71">
        <v>0</v>
      </c>
      <c r="I26" s="71">
        <v>0</v>
      </c>
      <c r="J26" s="71">
        <v>0</v>
      </c>
      <c r="K26" s="71">
        <v>0</v>
      </c>
      <c r="L26" s="71">
        <v>1</v>
      </c>
      <c r="M26" s="71">
        <v>0</v>
      </c>
      <c r="N26" s="71">
        <v>1</v>
      </c>
      <c r="O26" s="71">
        <v>0</v>
      </c>
      <c r="P26" s="62">
        <v>1</v>
      </c>
      <c r="Q26" s="71">
        <v>0</v>
      </c>
      <c r="R26" s="63">
        <v>1</v>
      </c>
      <c r="S26"/>
      <c r="T26"/>
    </row>
    <row r="27" spans="1:20" ht="15" customHeight="1" x14ac:dyDescent="0.15">
      <c r="B27" s="82"/>
      <c r="C27" s="70"/>
      <c r="D27" s="75" t="s">
        <v>160</v>
      </c>
      <c r="F27" s="178" t="s">
        <v>213</v>
      </c>
      <c r="G27" s="71">
        <v>0</v>
      </c>
      <c r="H27" s="71">
        <v>0</v>
      </c>
      <c r="I27" s="71">
        <v>0</v>
      </c>
      <c r="J27" s="71">
        <v>0</v>
      </c>
      <c r="K27" s="71">
        <v>0</v>
      </c>
      <c r="L27" s="71">
        <v>1</v>
      </c>
      <c r="M27" s="71">
        <v>0</v>
      </c>
      <c r="N27" s="71">
        <v>0</v>
      </c>
      <c r="O27" s="71">
        <v>0</v>
      </c>
      <c r="P27" s="62">
        <v>0</v>
      </c>
      <c r="Q27" s="71">
        <v>0</v>
      </c>
      <c r="R27" s="63">
        <v>1</v>
      </c>
      <c r="S27"/>
      <c r="T27"/>
    </row>
    <row r="28" spans="1:20" ht="15" customHeight="1" thickBot="1" x14ac:dyDescent="0.2">
      <c r="B28" s="81"/>
      <c r="C28" s="70"/>
      <c r="D28" s="75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5"/>
      <c r="B31" s="125" t="s">
        <v>17</v>
      </c>
      <c r="C31" s="125" t="s">
        <v>1</v>
      </c>
      <c r="D31" s="125" t="s">
        <v>161</v>
      </c>
      <c r="E31" s="126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81" t="s">
        <v>192</v>
      </c>
      <c r="B32" s="83">
        <v>51.398000000000003</v>
      </c>
      <c r="C32" s="83">
        <v>255.22800000000001</v>
      </c>
      <c r="D32" s="83">
        <v>13118.208744000001</v>
      </c>
      <c r="E32" s="116">
        <v>0.9228816304606815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81" t="s">
        <v>193</v>
      </c>
      <c r="B33" s="83">
        <v>69.203999999999994</v>
      </c>
      <c r="C33" s="83">
        <v>15.84</v>
      </c>
      <c r="D33" s="83">
        <v>1096.1913599999998</v>
      </c>
      <c r="E33" s="116">
        <v>7.7118369539318526E-2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7"/>
      <c r="B34" s="83"/>
      <c r="C34" s="83"/>
      <c r="D34" s="83"/>
      <c r="E34" s="116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8"/>
      <c r="B35" s="83"/>
      <c r="C35" s="83"/>
      <c r="D35" s="83"/>
      <c r="E35" s="116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9"/>
      <c r="B36" s="83"/>
      <c r="C36" s="83"/>
      <c r="D36" s="83"/>
      <c r="E36" s="11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9"/>
      <c r="B37" s="83"/>
      <c r="C37" s="83"/>
      <c r="D37" s="83"/>
      <c r="E37" s="116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0"/>
      <c r="B38" s="83"/>
      <c r="C38" s="83"/>
      <c r="D38" s="83"/>
      <c r="E38" s="116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0"/>
      <c r="B39" s="83"/>
      <c r="C39" s="83"/>
      <c r="D39" s="83"/>
      <c r="E39" s="116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0"/>
      <c r="B40" s="83"/>
      <c r="C40" s="83"/>
      <c r="D40" s="83"/>
      <c r="E40" s="116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0"/>
      <c r="B41" s="83"/>
      <c r="C41" s="83"/>
      <c r="D41" s="84"/>
      <c r="E41" s="12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2"/>
      <c r="B42" s="123"/>
      <c r="C42" s="123" t="s">
        <v>162</v>
      </c>
      <c r="D42" s="123">
        <f>SUM(D32:D41)</f>
        <v>14214.400104</v>
      </c>
      <c r="E42" s="124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1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1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1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1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1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1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1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1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1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1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1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1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1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1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1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1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1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1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1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1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1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1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1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1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1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1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1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1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1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1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1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1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1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1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1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1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1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1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1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1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1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1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1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1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1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1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1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1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1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1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1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1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1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1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1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1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1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1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1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1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1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1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1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1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1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1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1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1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1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1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1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1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1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1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1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1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1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1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1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1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1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1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1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1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1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1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1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1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1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1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1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1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1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1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1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1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1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1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1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1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1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1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1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1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1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1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1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1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1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1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1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1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1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1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1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1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1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1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1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1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1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1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1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1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1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0" customWidth="1"/>
    <col min="3" max="5" width="7.83203125" style="100" customWidth="1"/>
    <col min="6" max="8" width="8.83203125" style="6"/>
    <col min="9" max="9" width="13.1640625" style="6" customWidth="1"/>
    <col min="10" max="10" width="10.83203125" style="6" customWidth="1"/>
    <col min="11" max="12" width="11.33203125" style="6" customWidth="1"/>
    <col min="13" max="13" width="8.1640625" style="6" customWidth="1"/>
    <col min="14" max="14" width="10.83203125" style="6" customWidth="1"/>
    <col min="15" max="15" width="20.33203125" style="6" customWidth="1"/>
    <col min="16" max="16" width="15.6640625" style="6" customWidth="1"/>
    <col min="17" max="17" width="16.5" style="6" customWidth="1"/>
    <col min="18" max="18" width="18.6640625" style="6" customWidth="1"/>
    <col min="19" max="19" width="14.5" style="6" customWidth="1"/>
    <col min="20" max="20" width="14.1640625" style="6" customWidth="1"/>
    <col min="21" max="21" width="9" style="6" customWidth="1"/>
    <col min="22" max="22" width="8.5" style="6" customWidth="1"/>
    <col min="23" max="23" width="10.33203125" style="6" customWidth="1"/>
    <col min="24" max="24" width="15.5" style="6" customWidth="1"/>
    <col min="25" max="25" width="19.5" style="6" customWidth="1"/>
    <col min="26" max="26" width="15.5" style="6" customWidth="1"/>
    <col min="27" max="27" width="8.83203125" style="6" customWidth="1"/>
    <col min="28" max="28" width="7.6640625" style="6" customWidth="1"/>
    <col min="29" max="29" width="21.6640625" style="6" customWidth="1"/>
    <col min="30" max="30" width="6.5" style="6" customWidth="1"/>
    <col min="31" max="38" width="8.83203125" style="6"/>
    <col min="81" max="81" width="22.1640625" bestFit="1" customWidth="1"/>
  </cols>
  <sheetData>
    <row r="1" spans="1:38" x14ac:dyDescent="0.15">
      <c r="A1" s="4" t="s">
        <v>156</v>
      </c>
      <c r="B1" s="30" t="s">
        <v>157</v>
      </c>
      <c r="C1" s="30" t="s">
        <v>17</v>
      </c>
      <c r="D1" s="30" t="s">
        <v>158</v>
      </c>
      <c r="E1" s="30" t="s">
        <v>159</v>
      </c>
      <c r="F1" t="s">
        <v>38</v>
      </c>
      <c r="G1" t="s">
        <v>40</v>
      </c>
      <c r="H1" t="s">
        <v>41</v>
      </c>
      <c r="I1" s="183" t="s">
        <v>192</v>
      </c>
      <c r="J1" s="183" t="s">
        <v>193</v>
      </c>
      <c r="K1" s="183" t="s">
        <v>194</v>
      </c>
      <c r="L1" s="183" t="s">
        <v>195</v>
      </c>
      <c r="M1" s="183" t="s">
        <v>196</v>
      </c>
      <c r="N1" s="183" t="s">
        <v>197</v>
      </c>
      <c r="O1" s="183" t="s">
        <v>198</v>
      </c>
      <c r="P1" s="183" t="s">
        <v>199</v>
      </c>
      <c r="Q1" s="183" t="s">
        <v>200</v>
      </c>
      <c r="R1" s="183" t="s">
        <v>201</v>
      </c>
      <c r="S1" s="183" t="s">
        <v>202</v>
      </c>
      <c r="T1" s="183" t="s">
        <v>203</v>
      </c>
      <c r="U1" s="183" t="s">
        <v>204</v>
      </c>
      <c r="V1" s="183" t="s">
        <v>205</v>
      </c>
      <c r="W1" s="183" t="s">
        <v>206</v>
      </c>
      <c r="X1" s="183" t="s">
        <v>207</v>
      </c>
      <c r="Y1" s="183" t="s">
        <v>208</v>
      </c>
      <c r="Z1" s="183" t="s">
        <v>209</v>
      </c>
      <c r="AA1" s="183" t="s">
        <v>210</v>
      </c>
      <c r="AB1" s="183" t="s">
        <v>211</v>
      </c>
      <c r="AC1" s="183" t="s">
        <v>212</v>
      </c>
      <c r="AD1" s="183" t="s">
        <v>213</v>
      </c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100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0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0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2" t="s">
        <v>192</v>
      </c>
      <c r="B5" s="100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2" t="s">
        <v>193</v>
      </c>
      <c r="B6" s="100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2" t="s">
        <v>194</v>
      </c>
      <c r="B7" s="100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2" t="s">
        <v>195</v>
      </c>
      <c r="B8" s="100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2" t="s">
        <v>196</v>
      </c>
      <c r="B9" s="100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2" t="s">
        <v>197</v>
      </c>
      <c r="B10" s="100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2" t="s">
        <v>198</v>
      </c>
      <c r="B11" s="100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2" t="s">
        <v>199</v>
      </c>
      <c r="B12" s="100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2" t="s">
        <v>200</v>
      </c>
      <c r="B13" s="100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2" t="s">
        <v>201</v>
      </c>
      <c r="B14" s="100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2" t="s">
        <v>202</v>
      </c>
      <c r="B15" s="100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2" t="s">
        <v>203</v>
      </c>
      <c r="B16" s="100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2" t="s">
        <v>204</v>
      </c>
      <c r="B17" s="100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2" t="s">
        <v>205</v>
      </c>
      <c r="B18" s="100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2" t="s">
        <v>206</v>
      </c>
      <c r="B19" s="100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2" t="s">
        <v>207</v>
      </c>
      <c r="B20" s="100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2" t="s">
        <v>208</v>
      </c>
      <c r="B21" s="100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2" t="s">
        <v>209</v>
      </c>
      <c r="B22" s="100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2" t="s">
        <v>210</v>
      </c>
      <c r="B23" s="100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2" t="s">
        <v>211</v>
      </c>
      <c r="B24" s="100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2" t="s">
        <v>212</v>
      </c>
      <c r="B25" s="100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2" t="s">
        <v>213</v>
      </c>
      <c r="B26" s="100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2022-10-23T22:48:59Z</dcterms:modified>
</cp:coreProperties>
</file>