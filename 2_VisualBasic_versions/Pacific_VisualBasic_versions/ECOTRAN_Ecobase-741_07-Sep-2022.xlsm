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CCA96308-C4B4-A941-90F4-EE0168203220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Main!$C$2:$N$39</definedName>
    <definedName name="matDetritus">Detritus!$C$2:$E$39</definedName>
    <definedName name="matDiet">Diets!$B$2:$AG$36</definedName>
    <definedName name="matDiscards">Discards!$C$2:$F$35</definedName>
    <definedName name="matFishery">Fishing!$C$2:$F$35</definedName>
    <definedName name="matFishing">Fishing!#REF!</definedName>
    <definedName name="matMort">Mortalities!$A$1:$AO$35</definedName>
    <definedName name="matOut">MainOutputs!$A$2:$I$39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<sst xmlns="http://schemas.openxmlformats.org/spreadsheetml/2006/main" count="1061" uniqueCount="238">
  <si>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</si>
  <si>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</si>
  <si>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</si>
  <si>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</si>
  <si>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</si>
  <si>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</si>
  <si>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</si>
  <si>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</si>
  <si>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</si>
  <si>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</si>
  <si>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</si>
  <si>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</si>
  <si>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</si>
  <si>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</si>
  <si>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</si>
  <si>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</si>
  <si>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</si>
  <si>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</si>
  <si>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</si>
  <si>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</si>
  <si>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</si>
  <si>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</si>
  <si>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</si>
  <si>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</si>
  <si>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</si>
  <si>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</si>
  <si>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</si>
  <si>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</si>
  <si>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</si>
  <si>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</si>
  <si>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</si>
  <si>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</si>
  <si>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</si>
  <si>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</si>
  <si>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</si>
  <si>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</si>
  <si>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</si>
  <si>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</si>
  <si>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</si>
  <si>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</si>
  <si>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</si>
  <si>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</si>
  <si>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</si>
  <si>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</si>
  <si>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</si>
  <si>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</si>
  <si>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</si>
  <si>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</si>
  <si>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</si>
  <si>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</si>
  <si>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</si>
  <si>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</si>
  <si>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</si>
  <si>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</si>
  <si>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</si>
  <si>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</si>
  <si>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</si>
  <si>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</si>
  <si>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</si>
  <si>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</si>
  <si>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</si>
  <si>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</si>
  <si>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</si>
  <si>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</si>
  <si>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</si>
  <si>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</si>
  <si>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</si>
  <si>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</si>
  <si>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</si>
  <si>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</si>
  <si>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</si>
  <si>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</si>
  <si>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</si>
  <si>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</si>
  <si>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</si>
  <si>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</si>
  <si>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</si>
  <si>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</si>
  <si>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</si>
  <si>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</si>
  <si>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</si>
  <si>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</si>
  <si>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</si>
  <si>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</si>
  <si>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</si>
  <si>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</si>
  <si>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</si>
  <si>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</si>
  <si>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</si>
  <si>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</si>
  <si>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</si>
  <si>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</si>
  <si>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</si>
  <si>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</si>
  <si>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</si>
  <si>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</si>
  <si>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</si>
  <si>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</si>
  <si>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</si>
  <si>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</si>
  <si>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</si>
  <si>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</si>
  <si>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</si>
  <si>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</si>
  <si>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</si>
  <si>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</si>
  <si>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</si>
  <si>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</si>
  <si>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</si>
  <si>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</si>
  <si>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</si>
  <si>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</si>
  <si>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</si>
  <si>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</si>
  <si>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</si>
  <si>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</si>
  <si>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</si>
  <si>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</si>
  <si>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</si>
  <si>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</si>
  <si>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</si>
  <si>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</si>
  <si>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</si>
  <si>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</si>
  <si>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</si>
  <si>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</si>
  <si>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</si>
  <si>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</si>
  <si>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</si>
  <si>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</si>
  <si>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</si>
  <si>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</si>
  <si>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</si>
  <si>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</si>
  <si>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</si>
  <si>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</si>
  <si>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</si>
  <si>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</si>
  <si>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</si>
  <si>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</si>
  <si>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</si>
  <si>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</si>
  <si>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</si>
  <si>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</si>
  <si>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</si>
  <si>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</si>
  <si>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</si>
  <si>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</si>
  <si>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</si>
  <si>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</si>
  <si>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</si>
  <si>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</si>
  <si>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</si>
  <si>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</si>
  <si>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</si>
  <si>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</si>
  <si>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</si>
  <si>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</si>
  <si>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</si>
  <si>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</si>
  <si>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</si>
  <si>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</si>
  <si>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</si>
  <si>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</si>
  <si>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</si>
  <si>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</si>
  <si>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</si>
  <si>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</si>
  <si>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</si>
  <si>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</si>
  <si>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</si>
  <si>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</si>
  <si>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</si>
  <si>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</si>
  <si>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</si>
  <si>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</si>
  <si>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</si>
  <si>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</si>
  <si>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</si>
  <si>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</si>
  <si>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</si>
  <si>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</si>
  <si>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</si>
  <si>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</si>
  <si>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</si>
  <si>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Galapagos</t>
  </si>
  <si>
    <t>Ecuador</t>
  </si>
  <si>
    <t>BOX(-92.00849 -1.41141,-89.24089 1.681575)</t>
  </si>
  <si>
    <t>Coral reef</t>
  </si>
  <si>
    <t>WetWeight</t>
  </si>
  <si>
    <t>Galápagos, Darwin and Wolf system
Rocky reef habitat &amp;lt;30 m depth</t>
  </si>
  <si>
    <t xml:space="preserve">Ruiz DJ, Banks S, Wolff M, 2016, Elucidating fishing effectes in a large-predator dominanted system </t>
  </si>
  <si>
    <t>Sharks</t>
  </si>
  <si>
    <t>Seabirds</t>
  </si>
  <si>
    <t>Hammerhead sharks</t>
  </si>
  <si>
    <t>Predatory marine mammals</t>
  </si>
  <si>
    <t>Dolphins</t>
  </si>
  <si>
    <t>Pelagic predatory fish</t>
  </si>
  <si>
    <t>Groupers</t>
  </si>
  <si>
    <t>Planktivorous reef fishes</t>
  </si>
  <si>
    <t>Rays</t>
  </si>
  <si>
    <t>Benthic predatory fishes</t>
  </si>
  <si>
    <t>Small planktivorous reef fishes</t>
  </si>
  <si>
    <t>Small benthic predatory fishes</t>
  </si>
  <si>
    <t>Lobsters</t>
  </si>
  <si>
    <t>Predatory macroinvertebates</t>
  </si>
  <si>
    <t>Parrotfishes</t>
  </si>
  <si>
    <t>Small predators gastropods</t>
  </si>
  <si>
    <t>Anemones and zoanthids</t>
  </si>
  <si>
    <t>Shrimps and small crabs</t>
  </si>
  <si>
    <t>Benthic omnivorous fishes</t>
  </si>
  <si>
    <t>Predatory zooplankton</t>
  </si>
  <si>
    <t>Small herbivorous gastropods</t>
  </si>
  <si>
    <t>Sea turtles</t>
  </si>
  <si>
    <t>Sea stars and sea urchins</t>
  </si>
  <si>
    <t>Stony corals</t>
  </si>
  <si>
    <t>Mullets</t>
  </si>
  <si>
    <t>Herbivorous benthic fishes</t>
  </si>
  <si>
    <t>Sponges and polychaetes</t>
  </si>
  <si>
    <t>Herbivorous zooplankton</t>
  </si>
  <si>
    <t>Sea cucumbers</t>
  </si>
  <si>
    <t>Macroalgae</t>
  </si>
  <si>
    <t>Phytoplankton</t>
  </si>
  <si>
    <t>Zooxanthella</t>
  </si>
  <si>
    <t>Detritus</t>
  </si>
  <si>
    <t>detritus_TerminalBenthic</t>
  </si>
  <si>
    <t>Handline</t>
  </si>
  <si>
    <t>Hawaiiana Spear</t>
  </si>
  <si>
    <t>Trolling Line/Lure</t>
  </si>
  <si>
    <t>Hookah Diving</t>
  </si>
  <si>
    <t>Import</t>
  </si>
  <si>
    <t>export</t>
  </si>
  <si>
    <t>sum</t>
  </si>
  <si>
    <t>TOTAL</t>
  </si>
  <si>
    <t>F Handline</t>
  </si>
  <si>
    <t>F Hawaiiana Spear</t>
  </si>
  <si>
    <t>F Trolling Line/Lure</t>
  </si>
  <si>
    <t>F Hookah Diving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</si>
</sst>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FF2D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FF23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FF29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0" fillId="20" borderId="8" xfId="0" applyFill="1" applyBorder="1"/>
    <xf numFmtId="0" fontId="0" fillId="20" borderId="9" xfId="0" applyFill="1" applyBorder="1"/>
    <xf numFmtId="0" fontId="0" fillId="2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6" borderId="3" xfId="0" applyNumberFormat="1" applyFont="1" applyFill="1" applyBorder="1"/>
    <xf numFmtId="0" fontId="0" fillId="26" borderId="2" xfId="0" applyFont="1" applyFill="1" applyBorder="1"/>
    <xf numFmtId="0" fontId="0" fillId="26" borderId="3" xfId="0" applyFont="1" applyFill="1" applyBorder="1"/>
    <xf numFmtId="0" fontId="0" fillId="2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7" borderId="0" xfId="0" applyFill="1"/>
    <xf numFmtId="0" fontId="0" fillId="0" borderId="0" xfId="0" applyBorder="1"/>
    <xf numFmtId="0" fontId="0" fillId="28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0" borderId="2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9" borderId="0" xfId="0" applyFill="1"/>
    <xf numFmtId="0" fontId="0" fillId="3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84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7" t="s">
        <v>164</v>
      </c>
    </row>
    <row r="6" spans="2:4" ht="14" thickBot="1" x14ac:dyDescent="0.2">
      <c r="B6" s="41" t="s">
        <v>141</v>
      </c>
    </row>
    <row r="7" spans="2:4" x14ac:dyDescent="0.15">
      <c r="B7" s="57" t="s">
        <v>143</v>
      </c>
    </row>
    <row r="8" spans="2:4" x14ac:dyDescent="0.15">
      <c r="B8" s="57" t="s">
        <v>142</v>
      </c>
    </row>
    <row r="9" spans="2:4" x14ac:dyDescent="0.15">
      <c r="B9" s="57" t="s">
        <v>144</v>
      </c>
    </row>
    <row r="10" spans="2:4" x14ac:dyDescent="0.15">
      <c r="B10" s="57" t="s">
        <v>147</v>
      </c>
    </row>
    <row r="11" spans="2:4" x14ac:dyDescent="0.15">
      <c r="B11" s="57" t="s">
        <v>151</v>
      </c>
    </row>
    <row r="12" spans="2:4" x14ac:dyDescent="0.15">
      <c r="B12" s="57" t="s">
        <v>153</v>
      </c>
    </row>
    <row r="13" spans="2:4" x14ac:dyDescent="0.15">
      <c r="B13" s="57" t="s">
        <v>165</v>
      </c>
    </row>
    <row r="15" spans="2:4" ht="14" thickBot="1" x14ac:dyDescent="0.2"/>
    <row r="16" spans="2:4" ht="14" thickBot="1" x14ac:dyDescent="0.2">
      <c r="B16" s="42" t="s">
        <v>137</v>
      </c>
      <c r="C16" s="43"/>
      <c r="D16" s="25">
        <v>41373</v>
      </c>
    </row>
    <row r="17" spans="2:4" x14ac:dyDescent="0.15">
      <c r="B17" s="44" t="s">
        <v>58</v>
      </c>
      <c r="C17" s="28">
        <v>0</v>
      </c>
    </row>
    <row r="18" spans="2:4" x14ac:dyDescent="0.15">
      <c r="B18" s="44" t="s">
        <v>59</v>
      </c>
      <c r="C18" s="28">
        <v>1</v>
      </c>
    </row>
    <row r="19" spans="2:4" x14ac:dyDescent="0.15">
      <c r="B19" s="44" t="s">
        <v>60</v>
      </c>
      <c r="C19" s="28">
        <v>2</v>
      </c>
    </row>
    <row r="20" spans="2:4" ht="14" thickBot="1" x14ac:dyDescent="0.2">
      <c r="B20" s="45" t="s">
        <v>44</v>
      </c>
      <c r="C20" s="29">
        <v>3</v>
      </c>
    </row>
    <row r="21" spans="2:4" x14ac:dyDescent="0.15">
      <c r="B21" s="46" t="s">
        <v>140</v>
      </c>
    </row>
    <row r="22" spans="2:4" ht="14" thickBot="1" x14ac:dyDescent="0.2"/>
    <row r="23" spans="2:4" ht="14" thickBot="1" x14ac:dyDescent="0.2">
      <c r="B23" s="42" t="s">
        <v>65</v>
      </c>
      <c r="C23" s="43"/>
      <c r="D23" s="25" t="s">
        <v>148</v>
      </c>
    </row>
    <row r="24" spans="2:4" x14ac:dyDescent="0.15">
      <c r="B24" s="48" t="s">
        <v>38</v>
      </c>
      <c r="C24" s="26">
        <v>1</v>
      </c>
    </row>
    <row r="25" spans="2:4" x14ac:dyDescent="0.15">
      <c r="B25" s="44" t="s">
        <v>40</v>
      </c>
      <c r="C25" s="28">
        <v>1.1000000000000001</v>
      </c>
    </row>
    <row r="26" spans="2:4" x14ac:dyDescent="0.15">
      <c r="B26" s="44" t="s">
        <v>41</v>
      </c>
      <c r="C26" s="28">
        <v>1.2</v>
      </c>
    </row>
    <row r="27" spans="2:4" x14ac:dyDescent="0.15">
      <c r="B27" s="44"/>
      <c r="C27" s="28"/>
    </row>
    <row r="28" spans="2:4" x14ac:dyDescent="0.15">
      <c r="B28" s="44" t="s">
        <v>42</v>
      </c>
      <c r="C28" s="28">
        <v>2.1</v>
      </c>
    </row>
    <row r="29" spans="2:4" x14ac:dyDescent="0.15">
      <c r="B29" s="44" t="s">
        <v>43</v>
      </c>
      <c r="C29" s="28">
        <v>2.2000000000000002</v>
      </c>
    </row>
    <row r="30" spans="2:4" x14ac:dyDescent="0.15">
      <c r="B30" s="44" t="s">
        <v>67</v>
      </c>
      <c r="C30" s="28">
        <v>2.2999999999999998</v>
      </c>
    </row>
    <row r="31" spans="2:4" x14ac:dyDescent="0.15">
      <c r="B31" s="44"/>
      <c r="C31" s="28"/>
    </row>
    <row r="32" spans="2:4" x14ac:dyDescent="0.15">
      <c r="B32" s="44" t="s">
        <v>62</v>
      </c>
      <c r="C32" s="28">
        <v>3.11</v>
      </c>
    </row>
    <row r="33" spans="2:3" x14ac:dyDescent="0.15">
      <c r="B33" s="44" t="s">
        <v>61</v>
      </c>
      <c r="C33" s="28">
        <v>3.12</v>
      </c>
    </row>
    <row r="34" spans="2:3" x14ac:dyDescent="0.15">
      <c r="B34" s="44" t="s">
        <v>68</v>
      </c>
      <c r="C34" s="28">
        <v>3.13</v>
      </c>
    </row>
    <row r="35" spans="2:3" x14ac:dyDescent="0.15">
      <c r="B35" s="44"/>
      <c r="C35" s="28"/>
    </row>
    <row r="36" spans="2:3" x14ac:dyDescent="0.15">
      <c r="B36" s="44" t="s">
        <v>66</v>
      </c>
      <c r="C36" s="28">
        <v>3.21</v>
      </c>
    </row>
    <row r="37" spans="2:3" x14ac:dyDescent="0.15">
      <c r="B37" s="44" t="s">
        <v>63</v>
      </c>
      <c r="C37" s="28">
        <v>3.22</v>
      </c>
    </row>
    <row r="38" spans="2:3" x14ac:dyDescent="0.15">
      <c r="B38" s="44" t="s">
        <v>69</v>
      </c>
      <c r="C38" s="28">
        <v>3.23</v>
      </c>
    </row>
    <row r="39" spans="2:3" x14ac:dyDescent="0.15">
      <c r="B39" s="44"/>
      <c r="C39" s="28"/>
    </row>
    <row r="40" spans="2:3" x14ac:dyDescent="0.15">
      <c r="B40" s="44" t="s">
        <v>64</v>
      </c>
      <c r="C40" s="28">
        <v>8</v>
      </c>
    </row>
    <row r="41" spans="2:3" x14ac:dyDescent="0.15">
      <c r="B41" s="44"/>
      <c r="C41" s="28"/>
    </row>
    <row r="42" spans="2:3" x14ac:dyDescent="0.15">
      <c r="B42" s="44" t="s">
        <v>71</v>
      </c>
      <c r="C42" s="28">
        <v>4.0999999999999996</v>
      </c>
    </row>
    <row r="43" spans="2:3" x14ac:dyDescent="0.15">
      <c r="B43" s="44" t="s">
        <v>70</v>
      </c>
      <c r="C43" s="28">
        <v>4.2</v>
      </c>
    </row>
    <row r="44" spans="2:3" x14ac:dyDescent="0.15">
      <c r="B44" s="44" t="s">
        <v>72</v>
      </c>
      <c r="C44" s="28">
        <v>4.3</v>
      </c>
    </row>
    <row r="45" spans="2:3" x14ac:dyDescent="0.15">
      <c r="B45" s="27"/>
      <c r="C45" s="28"/>
    </row>
    <row r="46" spans="2:3" x14ac:dyDescent="0.15">
      <c r="B46" s="44" t="s">
        <v>138</v>
      </c>
      <c r="C46" s="28">
        <v>6.1</v>
      </c>
    </row>
    <row r="47" spans="2:3" x14ac:dyDescent="0.15">
      <c r="B47" s="44" t="s">
        <v>45</v>
      </c>
      <c r="C47" s="28">
        <v>6.2</v>
      </c>
    </row>
    <row r="48" spans="2:3" x14ac:dyDescent="0.15">
      <c r="B48" s="44"/>
      <c r="C48" s="28"/>
    </row>
    <row r="49" spans="2:4" x14ac:dyDescent="0.15">
      <c r="B49" s="44" t="s">
        <v>44</v>
      </c>
      <c r="C49" s="28">
        <v>5</v>
      </c>
    </row>
    <row r="50" spans="2:4" x14ac:dyDescent="0.15">
      <c r="B50" s="44"/>
      <c r="C50" s="28"/>
    </row>
    <row r="51" spans="2:4" ht="14" thickBot="1" x14ac:dyDescent="0.2">
      <c r="B51" s="45" t="s">
        <v>73</v>
      </c>
      <c r="C51" s="29">
        <v>7</v>
      </c>
    </row>
    <row r="53" spans="2:4" x14ac:dyDescent="0.15">
      <c r="B53" s="159" t="s">
        <v>171</v>
      </c>
      <c r="C53" s="92">
        <v>741</v>
      </c>
      <c r="D53" s="92"/>
    </row>
    <row r="54" spans="2:4" x14ac:dyDescent="0.15">
      <c r="B54" s="159" t="s">
        <v>172</v>
      </c>
      <c r="C54" s="159" t="s">
        <v>185</v>
      </c>
      <c r="D54" s="92"/>
    </row>
    <row r="55" spans="2:4" x14ac:dyDescent="0.15">
      <c r="B55" s="159" t="s">
        <v>173</v>
      </c>
      <c r="C55" s="159" t="s">
        <v>186</v>
      </c>
      <c r="D55" s="92"/>
    </row>
    <row r="56" spans="2:4" x14ac:dyDescent="0.15">
      <c r="B56" s="159" t="s">
        <v>174</v>
      </c>
      <c r="C56" s="92">
        <v>2.7</v>
      </c>
      <c r="D56" s="92"/>
    </row>
    <row r="57" spans="2:4" x14ac:dyDescent="0.15">
      <c r="B57" s="159" t="s">
        <v>175</v>
      </c>
      <c r="C57" s="159" t="s">
        <v>187</v>
      </c>
      <c r="D57" s="92"/>
    </row>
    <row r="58" spans="2:4" x14ac:dyDescent="0.15">
      <c r="B58" s="159" t="s">
        <v>176</v>
      </c>
      <c r="C58" s="159" t="s">
        <v>188</v>
      </c>
      <c r="D58" s="92"/>
    </row>
    <row r="59" spans="2:4" x14ac:dyDescent="0.15">
      <c r="B59" s="159" t="s">
        <v>177</v>
      </c>
      <c r="C59" s="159" t="s">
        <v>189</v>
      </c>
      <c r="D59" s="92"/>
    </row>
    <row r="60" spans="2:4" x14ac:dyDescent="0.15">
      <c r="B60" s="159" t="s">
        <v>178</v>
      </c>
      <c r="C60" s="159" t="s">
        <v>190</v>
      </c>
      <c r="D60" s="92"/>
    </row>
    <row r="61" spans="2:4" x14ac:dyDescent="0.15">
      <c r="B61" s="159" t="s">
        <v>179</v>
      </c>
      <c r="C61" s="92">
        <v>33</v>
      </c>
      <c r="D61" s="92"/>
    </row>
    <row r="62" spans="2:4" x14ac:dyDescent="0.15">
      <c r="B62" s="159" t="s">
        <v>180</v>
      </c>
      <c r="C62" s="92">
        <v>4</v>
      </c>
      <c r="D62" s="92"/>
    </row>
    <row r="63" spans="2:4" x14ac:dyDescent="0.15">
      <c r="B63" s="159" t="s">
        <v>181</v>
      </c>
      <c r="C63" s="92">
        <v>2006</v>
      </c>
      <c r="D63" s="92"/>
    </row>
    <row r="64" spans="2:4" x14ac:dyDescent="0.15">
      <c r="B64" s="159" t="s">
        <v>182</v>
      </c>
      <c r="C64" s="92">
        <v>1</v>
      </c>
      <c r="D64" s="92"/>
    </row>
    <row r="65" spans="2:4" x14ac:dyDescent="0.15">
      <c r="B65" s="159" t="s">
        <v>183</v>
      </c>
      <c r="C65" s="159" t="s">
        <v>191</v>
      </c>
      <c r="D65" s="92"/>
    </row>
    <row r="66" spans="2:4" x14ac:dyDescent="0.15">
      <c r="B66" s="159" t="s">
        <v>184</v>
      </c>
      <c r="D66" s="92"/>
    </row>
    <row r="67" spans="2:4" x14ac:dyDescent="0.15">
      <c r="B67" s="92"/>
      <c r="C67" s="92"/>
      <c r="D67" s="92"/>
    </row>
    <row r="68" spans="2:4" x14ac:dyDescent="0.15">
      <c r="B68" s="92"/>
      <c r="C68" s="92"/>
      <c r="D68" s="9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67" customWidth="1"/>
    <col min="2" max="3" width="3.33203125" style="67" customWidth="1"/>
    <col min="4" max="4" width="14.33203125" style="67" customWidth="1"/>
    <col min="5" max="5" width="26.33203125" style="67" bestFit="1" customWidth="1"/>
    <col min="6" max="6" width="7.1640625" style="67" customWidth="1"/>
    <col min="7" max="7" width="10.83203125" style="67" bestFit="1" customWidth="1"/>
    <col min="8" max="8" width="7.83203125" style="67" customWidth="1"/>
    <col min="9" max="9" width="6.83203125" style="67" customWidth="1"/>
    <col min="10" max="10" width="12.83203125" style="67" customWidth="1"/>
    <col min="11" max="11" width="13.83203125" style="67" customWidth="1"/>
    <col min="12" max="12" width="2.33203125" style="67" customWidth="1"/>
    <col min="13" max="13" width="3.83203125" style="67" customWidth="1"/>
    <col min="14" max="14" width="2.33203125" style="67" customWidth="1"/>
    <col min="16" max="25" width="8.83203125" style="6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7"/>
  </cols>
  <sheetData>
    <row r="1" spans="1:46" s="84" customFormat="1" ht="15" customHeight="1" x14ac:dyDescent="0.15">
      <c r="A1" s="63" t="s">
        <v>18</v>
      </c>
      <c r="C1" s="64" t="s">
        <v>8</v>
      </c>
      <c r="D1" s="63" t="s">
        <v>23</v>
      </c>
      <c r="E1" s="63" t="s">
        <v>0</v>
      </c>
      <c r="F1" s="63" t="s">
        <v>7</v>
      </c>
      <c r="G1" s="65" t="s">
        <v>13</v>
      </c>
      <c r="H1" s="63" t="s">
        <v>1</v>
      </c>
      <c r="I1" s="63" t="s">
        <v>2</v>
      </c>
      <c r="J1" s="63" t="s">
        <v>14</v>
      </c>
      <c r="K1" s="63" t="s">
        <v>3</v>
      </c>
      <c r="L1" s="63" t="s">
        <v>4</v>
      </c>
      <c r="M1" s="63" t="s">
        <v>5</v>
      </c>
      <c r="N1" s="6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4">
        <v>1</v>
      </c>
      <c r="D2"/>
      <c r="E2" s="160" t="s">
        <v>192</v>
      </c>
      <c r="F2" s="67">
        <v>0</v>
      </c>
      <c r="G2" s="67">
        <v>55.86</v>
      </c>
      <c r="H2" s="67">
        <v>0.24099999999999999</v>
      </c>
      <c r="I2" s="6">
        <v>4.7119999999999997</v>
      </c>
      <c r="J2" s="6">
        <v>1.8276283500000001E-2</v>
      </c>
      <c r="K2" s="6">
        <v>5.1146009999999999E-2</v>
      </c>
      <c r="L2" s="6">
        <v>0</v>
      </c>
      <c r="M2" s="67">
        <v>0.2</v>
      </c>
      <c r="N2" s="67">
        <v>0</v>
      </c>
    </row>
    <row r="3" spans="1:46" ht="15" customHeight="1" x14ac:dyDescent="0.15">
      <c r="A3" s="1" t="s">
        <v>9</v>
      </c>
      <c r="B3" s="4">
        <v>32</v>
      </c>
      <c r="C3" s="67">
        <v>2</v>
      </c>
      <c r="D3"/>
      <c r="E3" s="160" t="s">
        <v>193</v>
      </c>
      <c r="F3" s="67">
        <v>0</v>
      </c>
      <c r="G3" s="67">
        <v>0.1</v>
      </c>
      <c r="H3" s="67">
        <v>5.4530000000000003</v>
      </c>
      <c r="I3" s="67">
        <v>60.619</v>
      </c>
      <c r="J3" s="67">
        <v>0.82057756199999998</v>
      </c>
      <c r="K3" s="67">
        <v>8.9955300000000002E-2</v>
      </c>
      <c r="L3" s="67">
        <v>0</v>
      </c>
      <c r="M3" s="67">
        <v>0.2</v>
      </c>
      <c r="N3" s="67">
        <v>0</v>
      </c>
    </row>
    <row r="4" spans="1:46" ht="15" customHeight="1" x14ac:dyDescent="0.15">
      <c r="A4" s="1" t="s">
        <v>10</v>
      </c>
      <c r="B4" s="4">
        <v>2</v>
      </c>
      <c r="C4" s="67">
        <v>3</v>
      </c>
      <c r="D4"/>
      <c r="E4" s="160" t="s">
        <v>194</v>
      </c>
      <c r="F4" s="67">
        <v>0</v>
      </c>
      <c r="G4" s="67">
        <v>86.98</v>
      </c>
      <c r="H4" s="67">
        <v>0.24099999999999999</v>
      </c>
      <c r="I4" s="67">
        <v>4.7119999999999997</v>
      </c>
      <c r="J4" s="67">
        <v>0.44307917400000002</v>
      </c>
      <c r="K4" s="67">
        <v>5.1146009999999999E-2</v>
      </c>
      <c r="L4" s="67">
        <v>0</v>
      </c>
      <c r="M4" s="67">
        <v>0.2</v>
      </c>
      <c r="N4" s="6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67">
        <v>4</v>
      </c>
      <c r="D5"/>
      <c r="E5" s="160" t="s">
        <v>195</v>
      </c>
      <c r="F5" s="67">
        <v>0</v>
      </c>
      <c r="G5" s="67">
        <v>0.19500000000000001</v>
      </c>
      <c r="H5" s="67">
        <v>4.1000000000000002E-2</v>
      </c>
      <c r="I5" s="67">
        <v>16.126999999999999</v>
      </c>
      <c r="J5" s="67">
        <v>0.85597503200000002</v>
      </c>
      <c r="K5" s="67">
        <v>2.54232017E-3</v>
      </c>
      <c r="L5" s="67">
        <v>0</v>
      </c>
      <c r="M5" s="67">
        <v>0.2</v>
      </c>
      <c r="N5" s="67">
        <v>0</v>
      </c>
      <c r="P5" s="60"/>
      <c r="Q5" s="60"/>
      <c r="R5" s="60"/>
    </row>
    <row r="6" spans="1:46" ht="15" customHeight="1" thickBot="1" x14ac:dyDescent="0.2">
      <c r="B6" s="1"/>
      <c r="C6" s="67">
        <v>5</v>
      </c>
      <c r="D6"/>
      <c r="E6" s="160" t="s">
        <v>196</v>
      </c>
      <c r="F6" s="67">
        <v>0</v>
      </c>
      <c r="G6" s="67">
        <v>0.2</v>
      </c>
      <c r="H6" s="67">
        <v>4.1000000000000002E-2</v>
      </c>
      <c r="I6" s="67">
        <v>16.13</v>
      </c>
      <c r="J6" s="67">
        <v>0.320990622</v>
      </c>
      <c r="K6" s="67">
        <v>2.5418477599999999E-3</v>
      </c>
      <c r="L6" s="67">
        <v>0</v>
      </c>
      <c r="M6" s="67">
        <v>0.2</v>
      </c>
      <c r="N6" s="67">
        <v>0</v>
      </c>
      <c r="P6" s="60"/>
      <c r="Q6" s="60"/>
      <c r="R6" s="60"/>
      <c r="W6" s="31" t="s">
        <v>31</v>
      </c>
      <c r="X6" s="47">
        <f>MAX(MainOutputs!G:G)</f>
        <v>0.94999998807907104</v>
      </c>
    </row>
    <row r="7" spans="1:46" ht="15" customHeight="1" x14ac:dyDescent="0.15">
      <c r="A7" s="2" t="s">
        <v>27</v>
      </c>
      <c r="B7" s="67">
        <f ca="1">COUNTIF(OFFSET(cornerDiets,1,1,NumLiving+NumDead+1,NumLiving+NumDead),"&gt;0")+NumLiving+NumDead+1</f>
        <v>196</v>
      </c>
      <c r="C7" s="67">
        <v>6</v>
      </c>
      <c r="D7"/>
      <c r="E7" s="160" t="s">
        <v>197</v>
      </c>
      <c r="F7" s="67">
        <v>0</v>
      </c>
      <c r="G7" s="67">
        <v>75.05</v>
      </c>
      <c r="H7" s="67">
        <v>0.41799999999999998</v>
      </c>
      <c r="I7" s="67">
        <v>2.2280000000000002</v>
      </c>
      <c r="J7" s="67">
        <v>0.9456715</v>
      </c>
      <c r="K7" s="67">
        <v>0.187612221</v>
      </c>
      <c r="L7" s="67">
        <v>0</v>
      </c>
      <c r="M7" s="67">
        <v>0.2</v>
      </c>
      <c r="N7" s="67">
        <v>0</v>
      </c>
      <c r="P7" s="60"/>
      <c r="Q7" s="60"/>
      <c r="R7" s="60"/>
    </row>
    <row r="8" spans="1:46" ht="15" customHeight="1" x14ac:dyDescent="0.15">
      <c r="A8" s="2" t="s">
        <v>28</v>
      </c>
      <c r="B8" s="67">
        <f ca="1">COUNTIF(OFFSET(cornerFishing,1,2,NumLiving+NumDead,NumGears),"&gt;0")+NumDead*COUNTIF(OFFSET(cornerDiscards,1,2,NumLiving+NumDead,NumGears),"&gt;0")+NumLiving+NumDead+1</f>
        <v>47</v>
      </c>
      <c r="C8" s="67">
        <v>7</v>
      </c>
      <c r="D8"/>
      <c r="E8" s="160" t="s">
        <v>198</v>
      </c>
      <c r="F8" s="67">
        <v>0</v>
      </c>
      <c r="G8" s="67">
        <v>1.23</v>
      </c>
      <c r="H8" s="67">
        <v>0.46200000000000002</v>
      </c>
      <c r="I8" s="67">
        <v>2.7730000000000001</v>
      </c>
      <c r="J8" s="67">
        <v>0.85335475199999999</v>
      </c>
      <c r="K8" s="67">
        <v>0.16660655999999999</v>
      </c>
      <c r="L8" s="67">
        <v>0</v>
      </c>
      <c r="M8" s="67">
        <v>0.2</v>
      </c>
      <c r="N8" s="67">
        <v>0</v>
      </c>
      <c r="P8" s="60"/>
      <c r="Q8" s="60"/>
      <c r="R8" s="60"/>
    </row>
    <row r="9" spans="1:46" ht="15" customHeight="1" x14ac:dyDescent="0.15">
      <c r="B9" s="1"/>
      <c r="C9" s="67">
        <v>8</v>
      </c>
      <c r="D9"/>
      <c r="E9" s="160" t="s">
        <v>199</v>
      </c>
      <c r="F9" s="67">
        <v>0</v>
      </c>
      <c r="G9" s="67">
        <v>36.44</v>
      </c>
      <c r="H9" s="67">
        <v>1.994</v>
      </c>
      <c r="I9" s="67">
        <v>12.532999999999999</v>
      </c>
      <c r="J9" s="67">
        <v>0.94830610000000004</v>
      </c>
      <c r="K9" s="67">
        <v>0.15909996600000001</v>
      </c>
      <c r="L9" s="67">
        <v>0</v>
      </c>
      <c r="M9" s="67">
        <v>0.2</v>
      </c>
      <c r="N9" s="67">
        <v>0</v>
      </c>
      <c r="P9" s="60"/>
      <c r="Q9" s="60"/>
      <c r="R9" s="60"/>
    </row>
    <row r="10" spans="1:46" ht="15" customHeight="1" x14ac:dyDescent="0.15">
      <c r="B10" s="1"/>
      <c r="C10" s="67">
        <v>9</v>
      </c>
      <c r="D10"/>
      <c r="E10" s="160" t="s">
        <v>200</v>
      </c>
      <c r="F10" s="67">
        <v>0</v>
      </c>
      <c r="G10" s="67">
        <v>84.99</v>
      </c>
      <c r="H10" s="67">
        <v>0.255</v>
      </c>
      <c r="I10" s="67">
        <v>1.78</v>
      </c>
      <c r="J10" s="67">
        <v>0.91087649999999998</v>
      </c>
      <c r="K10" s="67">
        <v>0.143258423</v>
      </c>
      <c r="L10" s="67">
        <v>0</v>
      </c>
      <c r="M10" s="67">
        <v>0.2</v>
      </c>
      <c r="N10" s="67">
        <v>0</v>
      </c>
    </row>
    <row r="11" spans="1:46" ht="15" customHeight="1" x14ac:dyDescent="0.15">
      <c r="C11" s="67">
        <v>10</v>
      </c>
      <c r="D11"/>
      <c r="E11" s="160" t="s">
        <v>201</v>
      </c>
      <c r="F11" s="67">
        <v>0</v>
      </c>
      <c r="G11" s="67">
        <v>43.53</v>
      </c>
      <c r="H11" s="67">
        <v>0.755</v>
      </c>
      <c r="I11" s="67">
        <v>3.35</v>
      </c>
      <c r="J11" s="67">
        <v>0.82933455700000003</v>
      </c>
      <c r="K11" s="67">
        <v>0.225373134</v>
      </c>
      <c r="L11" s="67">
        <v>0</v>
      </c>
      <c r="M11" s="67">
        <v>0.2</v>
      </c>
      <c r="N11" s="67">
        <v>0</v>
      </c>
    </row>
    <row r="12" spans="1:46" ht="15" customHeight="1" x14ac:dyDescent="0.15">
      <c r="C12" s="67">
        <v>11</v>
      </c>
      <c r="D12"/>
      <c r="E12" s="160" t="s">
        <v>202</v>
      </c>
      <c r="F12" s="67">
        <v>0</v>
      </c>
      <c r="G12" s="67">
        <v>0.69</v>
      </c>
      <c r="H12" s="67">
        <v>4.5129999999999999</v>
      </c>
      <c r="I12" s="67">
        <v>16.327999999999999</v>
      </c>
      <c r="J12" s="67">
        <v>0.86539169999999999</v>
      </c>
      <c r="K12" s="67">
        <v>0.27639639999999999</v>
      </c>
      <c r="L12" s="67">
        <v>0</v>
      </c>
      <c r="M12" s="67">
        <v>0.2</v>
      </c>
      <c r="N12" s="67">
        <v>0</v>
      </c>
    </row>
    <row r="13" spans="1:46" ht="15" customHeight="1" x14ac:dyDescent="0.15">
      <c r="C13" s="67">
        <v>12</v>
      </c>
      <c r="D13"/>
      <c r="E13" s="160" t="s">
        <v>203</v>
      </c>
      <c r="F13" s="67">
        <v>0</v>
      </c>
      <c r="G13" s="67">
        <v>36.67</v>
      </c>
      <c r="H13" s="67">
        <v>1.196</v>
      </c>
      <c r="I13" s="67">
        <v>5.1020000000000003</v>
      </c>
      <c r="J13" s="67">
        <v>0.91557460000000002</v>
      </c>
      <c r="K13" s="67">
        <v>0.23441785600000001</v>
      </c>
      <c r="L13" s="67">
        <v>0</v>
      </c>
      <c r="M13" s="67">
        <v>0.2</v>
      </c>
      <c r="N13" s="67">
        <v>0</v>
      </c>
    </row>
    <row r="14" spans="1:46" ht="15" customHeight="1" x14ac:dyDescent="0.15">
      <c r="C14" s="67">
        <v>13</v>
      </c>
      <c r="D14"/>
      <c r="E14" s="160" t="s">
        <v>204</v>
      </c>
      <c r="F14" s="67">
        <v>0</v>
      </c>
      <c r="G14" s="67">
        <v>4.33</v>
      </c>
      <c r="H14" s="67">
        <v>0.69899999999999995</v>
      </c>
      <c r="I14" s="67">
        <v>7.2220000000000004</v>
      </c>
      <c r="J14" s="67">
        <v>0.91491420000000001</v>
      </c>
      <c r="K14" s="67">
        <v>9.6787594300000002E-2</v>
      </c>
      <c r="L14" s="67">
        <v>0</v>
      </c>
      <c r="M14" s="67">
        <v>0.2</v>
      </c>
      <c r="N14" s="67">
        <v>0</v>
      </c>
    </row>
    <row r="15" spans="1:46" ht="15" customHeight="1" x14ac:dyDescent="0.15">
      <c r="C15" s="67">
        <v>14</v>
      </c>
      <c r="D15"/>
      <c r="E15" s="160" t="s">
        <v>205</v>
      </c>
      <c r="F15" s="67">
        <v>0</v>
      </c>
      <c r="G15" s="67">
        <v>21.6</v>
      </c>
      <c r="H15" s="67">
        <v>1.0009999999999999</v>
      </c>
      <c r="I15" s="67">
        <v>4.0810000000000004</v>
      </c>
      <c r="J15" s="67">
        <v>0.92996959999999995</v>
      </c>
      <c r="K15" s="67">
        <v>0.24528303700000001</v>
      </c>
      <c r="L15" s="67">
        <v>0</v>
      </c>
      <c r="M15" s="67">
        <v>0.2</v>
      </c>
      <c r="N15" s="67">
        <v>0</v>
      </c>
    </row>
    <row r="16" spans="1:46" ht="15" customHeight="1" x14ac:dyDescent="0.15">
      <c r="C16" s="67">
        <v>15</v>
      </c>
      <c r="D16"/>
      <c r="E16" s="160" t="s">
        <v>206</v>
      </c>
      <c r="F16" s="67">
        <v>0</v>
      </c>
      <c r="G16" s="67">
        <v>16.63</v>
      </c>
      <c r="H16" s="67">
        <v>0.495</v>
      </c>
      <c r="I16" s="67">
        <v>11.516</v>
      </c>
      <c r="J16" s="67">
        <v>8.3753004699999994E-2</v>
      </c>
      <c r="K16" s="67">
        <v>4.2983677200000001E-2</v>
      </c>
      <c r="L16" s="67">
        <v>0</v>
      </c>
      <c r="M16" s="67">
        <v>0.2</v>
      </c>
      <c r="N16" s="67">
        <v>0</v>
      </c>
    </row>
    <row r="17" spans="1:22" ht="15" customHeight="1" x14ac:dyDescent="0.15">
      <c r="C17" s="67">
        <v>16</v>
      </c>
      <c r="D17"/>
      <c r="E17" s="160" t="s">
        <v>207</v>
      </c>
      <c r="F17" s="67">
        <v>0</v>
      </c>
      <c r="G17" s="67">
        <v>1.3303449199999999</v>
      </c>
      <c r="H17" s="67">
        <v>0.92</v>
      </c>
      <c r="I17" s="67">
        <v>4.0629999999999997</v>
      </c>
      <c r="J17" s="67">
        <v>0.95</v>
      </c>
      <c r="K17" s="67">
        <v>0.22643366500000001</v>
      </c>
      <c r="L17" s="67">
        <v>0</v>
      </c>
      <c r="M17" s="67">
        <v>0.2</v>
      </c>
      <c r="N17" s="67">
        <v>0</v>
      </c>
      <c r="V17" s="1" t="s">
        <v>30</v>
      </c>
    </row>
    <row r="18" spans="1:22" ht="15" customHeight="1" x14ac:dyDescent="0.15">
      <c r="C18" s="67">
        <v>17</v>
      </c>
      <c r="D18"/>
      <c r="E18" s="160" t="s">
        <v>208</v>
      </c>
      <c r="F18" s="67">
        <v>0</v>
      </c>
      <c r="G18" s="67">
        <v>0.06</v>
      </c>
      <c r="H18" s="67">
        <v>2.0920000000000001</v>
      </c>
      <c r="I18" s="67">
        <v>10.063000000000001</v>
      </c>
      <c r="J18" s="67">
        <v>0.76939845100000004</v>
      </c>
      <c r="K18" s="67">
        <v>0.2078903</v>
      </c>
      <c r="L18" s="67">
        <v>0</v>
      </c>
      <c r="M18" s="67">
        <v>0.2</v>
      </c>
      <c r="N18" s="67">
        <v>0</v>
      </c>
      <c r="V18" s="1"/>
    </row>
    <row r="19" spans="1:22" ht="15" customHeight="1" x14ac:dyDescent="0.15">
      <c r="C19" s="67">
        <v>18</v>
      </c>
      <c r="D19"/>
      <c r="E19" s="160" t="s">
        <v>209</v>
      </c>
      <c r="F19" s="67">
        <v>0</v>
      </c>
      <c r="G19" s="67">
        <v>11.644959399999999</v>
      </c>
      <c r="H19" s="67">
        <v>3.6</v>
      </c>
      <c r="I19" s="67">
        <v>20.45</v>
      </c>
      <c r="J19" s="67">
        <v>0.95</v>
      </c>
      <c r="K19" s="67">
        <v>0.176039115</v>
      </c>
      <c r="L19" s="67">
        <v>0</v>
      </c>
      <c r="M19" s="67">
        <v>0.2</v>
      </c>
      <c r="N19" s="67">
        <v>0</v>
      </c>
    </row>
    <row r="20" spans="1:22" ht="15" customHeight="1" thickBot="1" x14ac:dyDescent="0.2">
      <c r="C20" s="67">
        <v>19</v>
      </c>
      <c r="D20"/>
      <c r="E20" s="160" t="s">
        <v>210</v>
      </c>
      <c r="F20" s="67">
        <v>0</v>
      </c>
      <c r="G20" s="67">
        <v>12.59</v>
      </c>
      <c r="H20" s="67">
        <v>2.6070000000000002</v>
      </c>
      <c r="I20" s="67">
        <v>9.8249999999999993</v>
      </c>
      <c r="J20" s="67">
        <v>0.76276480000000002</v>
      </c>
      <c r="K20" s="67">
        <v>0.26534351699999997</v>
      </c>
      <c r="L20" s="67">
        <v>0</v>
      </c>
      <c r="M20" s="67">
        <v>0.2</v>
      </c>
      <c r="N20" s="67">
        <v>0</v>
      </c>
    </row>
    <row r="21" spans="1:22" ht="15" customHeight="1" thickBot="1" x14ac:dyDescent="0.2">
      <c r="A21" s="42" t="s">
        <v>137</v>
      </c>
      <c r="B21" s="85"/>
      <c r="C21" s="67">
        <v>20</v>
      </c>
      <c r="D21"/>
      <c r="E21" s="160" t="s">
        <v>211</v>
      </c>
      <c r="F21" s="67">
        <v>0</v>
      </c>
      <c r="G21" s="67">
        <v>21.162725399999999</v>
      </c>
      <c r="H21" s="67">
        <v>16.420000000000002</v>
      </c>
      <c r="I21" s="67">
        <v>45.8</v>
      </c>
      <c r="J21" s="67">
        <v>0.95</v>
      </c>
      <c r="K21" s="67">
        <v>0.35851529999999998</v>
      </c>
      <c r="L21" s="67">
        <v>0</v>
      </c>
      <c r="M21" s="67">
        <v>0.2</v>
      </c>
      <c r="N21" s="67">
        <v>0</v>
      </c>
    </row>
    <row r="22" spans="1:22" ht="15" customHeight="1" x14ac:dyDescent="0.15">
      <c r="A22" s="86" t="s">
        <v>58</v>
      </c>
      <c r="B22" s="87">
        <v>0</v>
      </c>
      <c r="C22" s="67">
        <v>21</v>
      </c>
      <c r="D22"/>
      <c r="E22" s="160" t="s">
        <v>212</v>
      </c>
      <c r="F22" s="67">
        <v>0</v>
      </c>
      <c r="G22" s="67">
        <v>17.803000000000001</v>
      </c>
      <c r="H22" s="67">
        <v>2.536</v>
      </c>
      <c r="I22" s="67">
        <v>13.91</v>
      </c>
      <c r="J22" s="67">
        <v>0.92805463099999996</v>
      </c>
      <c r="K22" s="67">
        <v>0.18231488800000001</v>
      </c>
      <c r="L22" s="67">
        <v>0</v>
      </c>
      <c r="M22" s="67">
        <v>0.2</v>
      </c>
      <c r="N22" s="67">
        <v>0</v>
      </c>
    </row>
    <row r="23" spans="1:22" ht="15" customHeight="1" x14ac:dyDescent="0.15">
      <c r="A23" s="86" t="s">
        <v>59</v>
      </c>
      <c r="B23" s="87">
        <v>1</v>
      </c>
      <c r="C23" s="67">
        <v>22</v>
      </c>
      <c r="D23"/>
      <c r="E23" s="160" t="s">
        <v>213</v>
      </c>
      <c r="F23" s="67">
        <v>0</v>
      </c>
      <c r="G23" s="67">
        <v>0.87</v>
      </c>
      <c r="H23" s="67">
        <v>0.13900000000000001</v>
      </c>
      <c r="I23" s="67">
        <v>10.131</v>
      </c>
      <c r="J23" s="67">
        <v>0.43531350000000002</v>
      </c>
      <c r="K23" s="67">
        <v>1.37202647E-2</v>
      </c>
      <c r="L23" s="67">
        <v>0</v>
      </c>
      <c r="M23" s="67">
        <v>0.2</v>
      </c>
      <c r="N23" s="67">
        <v>0</v>
      </c>
    </row>
    <row r="24" spans="1:22" ht="15" customHeight="1" x14ac:dyDescent="0.15">
      <c r="A24" s="86" t="s">
        <v>60</v>
      </c>
      <c r="B24" s="87">
        <v>2</v>
      </c>
      <c r="C24" s="67">
        <v>23</v>
      </c>
      <c r="D24"/>
      <c r="E24" s="160" t="s">
        <v>214</v>
      </c>
      <c r="F24" s="67">
        <v>0</v>
      </c>
      <c r="G24" s="67">
        <v>66.02</v>
      </c>
      <c r="H24" s="67">
        <v>2.2450000000000001</v>
      </c>
      <c r="I24" s="67">
        <v>7.8540000000000001</v>
      </c>
      <c r="J24" s="67">
        <v>0.94632019999999994</v>
      </c>
      <c r="K24" s="67">
        <v>0.28584158399999998</v>
      </c>
      <c r="L24" s="67">
        <v>0</v>
      </c>
      <c r="M24" s="67">
        <v>0.2</v>
      </c>
      <c r="N24" s="67">
        <v>0</v>
      </c>
    </row>
    <row r="25" spans="1:22" ht="15" customHeight="1" thickBot="1" x14ac:dyDescent="0.2">
      <c r="A25" s="88" t="s">
        <v>44</v>
      </c>
      <c r="B25" s="89">
        <v>3</v>
      </c>
      <c r="C25" s="67">
        <v>24</v>
      </c>
      <c r="D25"/>
      <c r="E25" s="160" t="s">
        <v>215</v>
      </c>
      <c r="F25" s="67">
        <v>0</v>
      </c>
      <c r="G25" s="67">
        <v>138.78208900000001</v>
      </c>
      <c r="H25" s="67">
        <v>1.488</v>
      </c>
      <c r="I25" s="67">
        <v>15.093</v>
      </c>
      <c r="J25" s="67">
        <v>0.95</v>
      </c>
      <c r="K25" s="67">
        <v>9.8588750000000003E-2</v>
      </c>
      <c r="L25" s="67">
        <v>0</v>
      </c>
      <c r="M25" s="67">
        <v>0.2</v>
      </c>
      <c r="N25" s="67">
        <v>0</v>
      </c>
    </row>
    <row r="26" spans="1:22" ht="15" customHeight="1" x14ac:dyDescent="0.15">
      <c r="A26" s="90" t="s">
        <v>140</v>
      </c>
      <c r="C26" s="67">
        <v>25</v>
      </c>
      <c r="D26"/>
      <c r="E26" s="160" t="s">
        <v>216</v>
      </c>
      <c r="F26" s="67">
        <v>0</v>
      </c>
      <c r="G26" s="67">
        <v>5.1100000000000003</v>
      </c>
      <c r="H26" s="67">
        <v>2.8109999999999999</v>
      </c>
      <c r="I26" s="67">
        <v>10.644</v>
      </c>
      <c r="J26" s="67">
        <v>0.61996569999999995</v>
      </c>
      <c r="K26" s="67">
        <v>0.26409244500000001</v>
      </c>
      <c r="L26" s="67">
        <v>0</v>
      </c>
      <c r="M26" s="67">
        <v>0.2</v>
      </c>
      <c r="N26" s="67">
        <v>0</v>
      </c>
    </row>
    <row r="27" spans="1:22" ht="15" customHeight="1" x14ac:dyDescent="0.15">
      <c r="C27" s="67">
        <v>26</v>
      </c>
      <c r="D27"/>
      <c r="E27" s="160" t="s">
        <v>217</v>
      </c>
      <c r="F27" s="67">
        <v>0</v>
      </c>
      <c r="G27" s="67">
        <v>63.64</v>
      </c>
      <c r="H27" s="67">
        <v>0.99399999999999999</v>
      </c>
      <c r="I27" s="67">
        <v>10.83</v>
      </c>
      <c r="J27" s="67">
        <v>0.65308415900000005</v>
      </c>
      <c r="K27" s="67">
        <v>9.1782085599999993E-2</v>
      </c>
      <c r="L27" s="67">
        <v>0</v>
      </c>
      <c r="M27" s="67">
        <v>0.2</v>
      </c>
      <c r="N27" s="67">
        <v>0</v>
      </c>
    </row>
    <row r="28" spans="1:22" ht="15" customHeight="1" x14ac:dyDescent="0.15">
      <c r="C28" s="67">
        <v>27</v>
      </c>
      <c r="D28"/>
      <c r="E28" s="160" t="s">
        <v>218</v>
      </c>
      <c r="F28" s="67">
        <v>0</v>
      </c>
      <c r="G28" s="67">
        <v>7.3</v>
      </c>
      <c r="H28" s="67">
        <v>2.08</v>
      </c>
      <c r="I28" s="67">
        <v>16.623999999999999</v>
      </c>
      <c r="J28" s="67">
        <v>0.3785058</v>
      </c>
      <c r="K28" s="67">
        <v>0.12512029999999999</v>
      </c>
      <c r="L28" s="67">
        <v>0</v>
      </c>
      <c r="M28" s="67">
        <v>0.2</v>
      </c>
      <c r="N28" s="67">
        <v>0</v>
      </c>
    </row>
    <row r="29" spans="1:22" customFormat="1" ht="15" customHeight="1" x14ac:dyDescent="0.15">
      <c r="C29" s="67">
        <v>28</v>
      </c>
      <c r="E29" s="160" t="s">
        <v>219</v>
      </c>
      <c r="F29" s="67">
        <v>0</v>
      </c>
      <c r="G29" s="67">
        <v>26.784938799999999</v>
      </c>
      <c r="H29" s="67">
        <v>23.684000000000001</v>
      </c>
      <c r="I29" s="67">
        <v>61.2</v>
      </c>
      <c r="J29" s="67">
        <v>0.95</v>
      </c>
      <c r="K29" s="67">
        <v>0.38699346800000001</v>
      </c>
      <c r="L29" s="67">
        <v>0</v>
      </c>
      <c r="M29" s="67">
        <v>0.2</v>
      </c>
      <c r="N29" s="67">
        <v>0</v>
      </c>
    </row>
    <row r="30" spans="1:22" customFormat="1" ht="15" customHeight="1" x14ac:dyDescent="0.15">
      <c r="C30" s="67">
        <v>29</v>
      </c>
      <c r="E30" s="160" t="s">
        <v>220</v>
      </c>
      <c r="F30" s="67">
        <v>0</v>
      </c>
      <c r="G30" s="67">
        <v>14.97</v>
      </c>
      <c r="H30" s="67">
        <v>0.122</v>
      </c>
      <c r="I30" s="67">
        <v>3.3420000000000001</v>
      </c>
      <c r="J30" s="67">
        <v>0.91215159999999995</v>
      </c>
      <c r="K30" s="67">
        <v>3.6505089999999997E-2</v>
      </c>
      <c r="L30" s="67">
        <v>0</v>
      </c>
      <c r="M30" s="67">
        <v>0.2</v>
      </c>
      <c r="N30" s="67">
        <v>0</v>
      </c>
    </row>
    <row r="31" spans="1:22" customFormat="1" ht="15" customHeight="1" x14ac:dyDescent="0.15">
      <c r="C31" s="67">
        <v>30</v>
      </c>
      <c r="E31" s="160" t="s">
        <v>221</v>
      </c>
      <c r="F31" s="67">
        <v>1</v>
      </c>
      <c r="G31" s="67">
        <v>76.48</v>
      </c>
      <c r="H31" s="67">
        <v>15.686999999999999</v>
      </c>
      <c r="I31" s="67">
        <v>0</v>
      </c>
      <c r="J31" s="67">
        <v>0.927309155</v>
      </c>
      <c r="K31" s="67">
        <v>0</v>
      </c>
      <c r="L31" s="67">
        <v>0</v>
      </c>
      <c r="M31" s="67">
        <v>0</v>
      </c>
      <c r="N31" s="67">
        <v>0</v>
      </c>
    </row>
    <row r="32" spans="1:22" customFormat="1" ht="15" customHeight="1" x14ac:dyDescent="0.15">
      <c r="C32" s="67">
        <v>31</v>
      </c>
      <c r="E32" s="160" t="s">
        <v>222</v>
      </c>
      <c r="F32" s="67">
        <v>1</v>
      </c>
      <c r="G32" s="67">
        <v>1.87</v>
      </c>
      <c r="H32" s="67">
        <v>146.274</v>
      </c>
      <c r="I32" s="67">
        <v>0</v>
      </c>
      <c r="J32" s="67">
        <v>0.91895729999999998</v>
      </c>
      <c r="K32" s="67">
        <v>0</v>
      </c>
      <c r="L32" s="67">
        <v>0</v>
      </c>
      <c r="M32" s="67">
        <v>0</v>
      </c>
      <c r="N32" s="67">
        <v>0</v>
      </c>
    </row>
    <row r="33" spans="3:14" customFormat="1" ht="15" customHeight="1" x14ac:dyDescent="0.15">
      <c r="C33" s="67">
        <v>32</v>
      </c>
      <c r="E33" s="160" t="s">
        <v>223</v>
      </c>
      <c r="F33" s="67">
        <v>1</v>
      </c>
      <c r="G33" s="67">
        <v>6.9124309999999998</v>
      </c>
      <c r="H33" s="67">
        <v>280</v>
      </c>
      <c r="I33" s="67">
        <v>0</v>
      </c>
      <c r="J33" s="67">
        <v>0.95</v>
      </c>
      <c r="K33" s="67">
        <v>0</v>
      </c>
      <c r="L33" s="67">
        <v>0</v>
      </c>
      <c r="M33" s="67">
        <v>0</v>
      </c>
      <c r="N33" s="67">
        <v>0</v>
      </c>
    </row>
    <row r="34" spans="3:14" customFormat="1" ht="15" customHeight="1" x14ac:dyDescent="0.15">
      <c r="C34" s="67">
        <v>33</v>
      </c>
      <c r="E34" s="160" t="s">
        <v>224</v>
      </c>
      <c r="F34" s="67">
        <v>2</v>
      </c>
      <c r="G34" s="67">
        <v>100</v>
      </c>
      <c r="H34" s="67">
        <v>0</v>
      </c>
      <c r="I34" s="67">
        <v>0</v>
      </c>
      <c r="J34" s="67">
        <v>0</v>
      </c>
      <c r="K34" s="67">
        <v>0</v>
      </c>
      <c r="L34" s="67">
        <v>0</v>
      </c>
      <c r="M34" s="67">
        <v>0</v>
      </c>
      <c r="N34" s="67">
        <v>0</v>
      </c>
    </row>
    <row r="35" spans="3:14" customFormat="1" ht="15" customHeight="1" x14ac:dyDescent="0.15">
      <c r="C35" s="67">
        <v>34</v>
      </c>
      <c r="E35" s="160" t="s">
        <v>225</v>
      </c>
      <c r="F35" s="67">
        <v>2</v>
      </c>
      <c r="G35" s="67">
        <v>5</v>
      </c>
      <c r="H35" s="67">
        <v>0</v>
      </c>
      <c r="I35" s="67">
        <v>0</v>
      </c>
      <c r="J35" s="67">
        <v>0</v>
      </c>
      <c r="K35" s="67">
        <v>0</v>
      </c>
      <c r="L35" s="67">
        <v>0</v>
      </c>
      <c r="M35" s="67">
        <v>0</v>
      </c>
      <c r="N35" s="67">
        <v>0</v>
      </c>
    </row>
    <row r="36" spans="3:14" customFormat="1" ht="15" customHeight="1" x14ac:dyDescent="0.15">
      <c r="C36" s="67">
        <v>35</v>
      </c>
      <c r="E36" s="160" t="s">
        <v>226</v>
      </c>
      <c r="F36" s="67">
        <v>3</v>
      </c>
      <c r="G36" s="67">
        <v>0</v>
      </c>
      <c r="H36" s="67">
        <v>0</v>
      </c>
      <c r="I36" s="67">
        <v>0</v>
      </c>
      <c r="J36" s="67">
        <v>0</v>
      </c>
      <c r="K36" s="67">
        <v>0</v>
      </c>
      <c r="L36" s="67">
        <v>0</v>
      </c>
      <c r="M36" s="67">
        <v>0</v>
      </c>
      <c r="N36" s="67">
        <v>0</v>
      </c>
    </row>
    <row r="37" spans="3:14" customFormat="1" ht="15" customHeight="1" x14ac:dyDescent="0.15">
      <c r="C37" s="67">
        <v>36</v>
      </c>
      <c r="E37" s="160" t="s">
        <v>227</v>
      </c>
      <c r="F37" s="67">
        <v>3</v>
      </c>
      <c r="G37" s="67">
        <v>0</v>
      </c>
      <c r="H37" s="67">
        <v>0</v>
      </c>
      <c r="I37" s="67">
        <v>0</v>
      </c>
      <c r="J37" s="67">
        <v>0</v>
      </c>
      <c r="K37" s="67">
        <v>0</v>
      </c>
      <c r="L37" s="67">
        <v>0</v>
      </c>
      <c r="M37" s="67">
        <v>0</v>
      </c>
      <c r="N37" s="67">
        <v>0</v>
      </c>
    </row>
    <row r="38" spans="3:14" customFormat="1" ht="15" customHeight="1" x14ac:dyDescent="0.15">
      <c r="C38" s="67">
        <v>37</v>
      </c>
      <c r="E38" s="160" t="s">
        <v>228</v>
      </c>
      <c r="F38" s="67">
        <v>3</v>
      </c>
      <c r="G38" s="67">
        <v>0</v>
      </c>
      <c r="H38" s="67">
        <v>0</v>
      </c>
      <c r="I38" s="67">
        <v>0</v>
      </c>
      <c r="J38" s="67">
        <v>0</v>
      </c>
      <c r="K38" s="67">
        <v>0</v>
      </c>
      <c r="L38" s="67">
        <v>0</v>
      </c>
      <c r="M38" s="67">
        <v>0</v>
      </c>
      <c r="N38" s="67">
        <v>0</v>
      </c>
    </row>
    <row r="39" spans="3:14" customFormat="1" ht="15" customHeight="1" x14ac:dyDescent="0.15">
      <c r="C39" s="67">
        <v>38</v>
      </c>
      <c r="E39" s="160" t="s">
        <v>229</v>
      </c>
      <c r="F39" s="67">
        <v>3</v>
      </c>
      <c r="G39" s="67">
        <v>0</v>
      </c>
      <c r="H39" s="67">
        <v>0</v>
      </c>
      <c r="I39" s="67">
        <v>0</v>
      </c>
      <c r="J39" s="67">
        <v>0</v>
      </c>
      <c r="K39" s="67">
        <v>0</v>
      </c>
      <c r="L39" s="67">
        <v>0</v>
      </c>
      <c r="M39" s="67">
        <v>0</v>
      </c>
      <c r="N39" s="67">
        <v>0</v>
      </c>
    </row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I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6.33203125" style="124" bestFit="1" customWidth="1"/>
    <col min="2" max="2" width="15.83203125" style="124" bestFit="1" customWidth="1"/>
    <col min="3" max="3" width="5.83203125" style="124" bestFit="1" customWidth="1"/>
    <col min="4" max="4" width="14.83203125" style="124" bestFit="1" customWidth="1"/>
    <col min="5" max="8" width="5.83203125" style="124" bestFit="1" customWidth="1"/>
    <col min="9" max="9" width="4.83203125" style="124" bestFit="1" customWidth="1"/>
    <col min="10" max="11" width="5.83203125" style="124" bestFit="1" customWidth="1"/>
    <col min="12" max="12" width="4.83203125" style="124" bestFit="1" customWidth="1"/>
    <col min="13" max="13" width="13.83203125" style="124" bestFit="1" customWidth="1"/>
    <col min="14" max="15" width="5.83203125" style="124" bestFit="1" customWidth="1"/>
    <col min="16" max="18" width="4.83203125" style="124" bestFit="1" customWidth="1"/>
    <col min="19" max="19" width="13.83203125" style="124" bestFit="1" customWidth="1"/>
    <col min="20" max="20" width="5.83203125" style="124" bestFit="1" customWidth="1"/>
    <col min="21" max="23" width="4.83203125" style="124" bestFit="1" customWidth="1"/>
    <col min="24" max="25" width="5.83203125" style="124" bestFit="1" customWidth="1"/>
    <col min="26" max="27" width="3.83203125" style="124" bestFit="1" customWidth="1"/>
    <col min="28" max="28" width="2.33203125" style="124" bestFit="1" customWidth="1"/>
    <col min="29" max="29" width="4.83203125" style="124" bestFit="1" customWidth="1"/>
    <col min="30" max="35" width="2.33203125" style="124" customWidth="1"/>
    <col min="36" max="16384" width="8.83203125" style="124"/>
  </cols>
  <sheetData>
    <row r="1" spans="1:35" x14ac:dyDescent="0.15">
      <c r="A1" s="123" t="s">
        <v>19</v>
      </c>
      <c r="B1" s="162" t="s">
        <v>192</v>
      </c>
      <c r="C1" s="162" t="s">
        <v>193</v>
      </c>
      <c r="D1" s="162" t="s">
        <v>194</v>
      </c>
      <c r="E1" s="162" t="s">
        <v>195</v>
      </c>
      <c r="F1" s="162" t="s">
        <v>196</v>
      </c>
      <c r="G1" s="162" t="s">
        <v>197</v>
      </c>
      <c r="H1" s="162" t="s">
        <v>198</v>
      </c>
      <c r="I1" s="162" t="s">
        <v>199</v>
      </c>
      <c r="J1" s="162" t="s">
        <v>200</v>
      </c>
      <c r="K1" s="162" t="s">
        <v>201</v>
      </c>
      <c r="L1" s="162" t="s">
        <v>202</v>
      </c>
      <c r="M1" s="162" t="s">
        <v>203</v>
      </c>
      <c r="N1" s="162" t="s">
        <v>204</v>
      </c>
      <c r="O1" s="162" t="s">
        <v>205</v>
      </c>
      <c r="P1" s="162" t="s">
        <v>206</v>
      </c>
      <c r="Q1" s="162" t="s">
        <v>207</v>
      </c>
      <c r="R1" s="162" t="s">
        <v>208</v>
      </c>
      <c r="S1" s="162" t="s">
        <v>209</v>
      </c>
      <c r="T1" s="162" t="s">
        <v>210</v>
      </c>
      <c r="U1" s="162" t="s">
        <v>211</v>
      </c>
      <c r="V1" s="162" t="s">
        <v>212</v>
      </c>
      <c r="W1" s="162" t="s">
        <v>213</v>
      </c>
      <c r="X1" s="162" t="s">
        <v>214</v>
      </c>
      <c r="Y1" s="162" t="s">
        <v>215</v>
      </c>
      <c r="Z1" s="162" t="s">
        <v>216</v>
      </c>
      <c r="AA1" s="162" t="s">
        <v>217</v>
      </c>
      <c r="AB1" s="162" t="s">
        <v>218</v>
      </c>
      <c r="AC1" s="162" t="s">
        <v>219</v>
      </c>
      <c r="AD1" s="162" t="s">
        <v>220</v>
      </c>
      <c r="AE1" s="162" t="s">
        <v>221</v>
      </c>
      <c r="AF1" s="162" t="s">
        <v>222</v>
      </c>
      <c r="AG1" s="162" t="s">
        <v>223</v>
      </c>
      <c r="AH1" s="162" t="s">
        <v>224</v>
      </c>
      <c r="AI1" s="162" t="s">
        <v>225</v>
      </c>
    </row>
    <row r="2" spans="1:35" customFormat="1" x14ac:dyDescent="0.15">
      <c r="A2" s="161" t="s">
        <v>192</v>
      </c>
      <c r="B2" s="124">
        <v>0</v>
      </c>
      <c r="C2" s="124">
        <v>0</v>
      </c>
      <c r="D2" s="124">
        <v>0</v>
      </c>
      <c r="E2" s="124">
        <v>2.1000000000000001E-2</v>
      </c>
      <c r="F2" s="124">
        <v>0</v>
      </c>
      <c r="G2" s="124">
        <v>0</v>
      </c>
      <c r="H2" s="124">
        <v>0</v>
      </c>
      <c r="I2" s="124">
        <v>0</v>
      </c>
      <c r="J2" s="124">
        <v>0</v>
      </c>
      <c r="K2" s="124">
        <v>0</v>
      </c>
      <c r="L2" s="124">
        <v>0</v>
      </c>
      <c r="M2" s="124">
        <v>0</v>
      </c>
      <c r="N2" s="124">
        <v>0</v>
      </c>
      <c r="O2" s="124">
        <v>0</v>
      </c>
      <c r="P2" s="124">
        <v>0</v>
      </c>
      <c r="Q2" s="124">
        <v>0</v>
      </c>
      <c r="R2" s="124">
        <v>0</v>
      </c>
      <c r="S2" s="124">
        <v>0</v>
      </c>
      <c r="T2" s="124">
        <v>0</v>
      </c>
      <c r="U2" s="124">
        <v>0</v>
      </c>
      <c r="V2" s="124">
        <v>0</v>
      </c>
      <c r="W2" s="124">
        <v>0</v>
      </c>
      <c r="X2" s="124">
        <v>0</v>
      </c>
      <c r="Y2" s="124">
        <v>0</v>
      </c>
      <c r="Z2" s="124">
        <v>0</v>
      </c>
      <c r="AA2" s="124">
        <v>0</v>
      </c>
      <c r="AB2" s="124">
        <v>0</v>
      </c>
      <c r="AC2" s="124">
        <v>0</v>
      </c>
      <c r="AD2" s="124">
        <v>0</v>
      </c>
      <c r="AE2" s="124">
        <v>0</v>
      </c>
      <c r="AF2" s="124">
        <v>0</v>
      </c>
      <c r="AG2" s="124">
        <v>0</v>
      </c>
      <c r="AH2" s="124">
        <v>0</v>
      </c>
      <c r="AI2" s="124">
        <v>0</v>
      </c>
    </row>
    <row r="3" spans="1:35" customFormat="1" x14ac:dyDescent="0.15">
      <c r="A3" s="161" t="s">
        <v>193</v>
      </c>
      <c r="B3" s="124">
        <v>1.7004489185144878E-3</v>
      </c>
      <c r="C3" s="124">
        <v>0</v>
      </c>
      <c r="D3" s="124">
        <v>0</v>
      </c>
      <c r="E3" s="124">
        <v>0</v>
      </c>
      <c r="F3" s="124">
        <v>0</v>
      </c>
      <c r="G3" s="124">
        <v>0</v>
      </c>
      <c r="H3" s="124">
        <v>0</v>
      </c>
      <c r="I3" s="124">
        <v>0</v>
      </c>
      <c r="J3" s="124">
        <v>0</v>
      </c>
      <c r="K3" s="124">
        <v>0</v>
      </c>
      <c r="L3" s="124">
        <v>0</v>
      </c>
      <c r="M3" s="124">
        <v>0</v>
      </c>
      <c r="N3" s="124">
        <v>0</v>
      </c>
      <c r="O3" s="124">
        <v>0</v>
      </c>
      <c r="P3" s="124">
        <v>0</v>
      </c>
      <c r="Q3" s="124">
        <v>0</v>
      </c>
      <c r="R3" s="124">
        <v>0</v>
      </c>
      <c r="S3" s="124">
        <v>0</v>
      </c>
      <c r="T3" s="124">
        <v>0</v>
      </c>
      <c r="U3" s="124">
        <v>0</v>
      </c>
      <c r="V3" s="124">
        <v>0</v>
      </c>
      <c r="W3" s="124">
        <v>0</v>
      </c>
      <c r="X3" s="124">
        <v>0</v>
      </c>
      <c r="Y3" s="124">
        <v>0</v>
      </c>
      <c r="Z3" s="124">
        <v>0</v>
      </c>
      <c r="AA3" s="124">
        <v>0</v>
      </c>
      <c r="AB3" s="124">
        <v>0</v>
      </c>
      <c r="AC3" s="124">
        <v>0</v>
      </c>
      <c r="AD3" s="124">
        <v>0</v>
      </c>
      <c r="AE3" s="124">
        <v>0</v>
      </c>
      <c r="AF3" s="124">
        <v>0</v>
      </c>
      <c r="AG3" s="124">
        <v>0</v>
      </c>
      <c r="AH3" s="124">
        <v>0</v>
      </c>
      <c r="AI3" s="124">
        <v>0</v>
      </c>
    </row>
    <row r="4" spans="1:35" customFormat="1" x14ac:dyDescent="0.15">
      <c r="A4" s="161" t="s">
        <v>194</v>
      </c>
      <c r="B4" s="124">
        <v>3.5009242440004168E-2</v>
      </c>
      <c r="C4" s="124">
        <v>0</v>
      </c>
      <c r="D4" s="124">
        <v>0</v>
      </c>
      <c r="E4" s="124">
        <v>2.4E-2</v>
      </c>
      <c r="F4" s="124">
        <v>0</v>
      </c>
      <c r="G4" s="124">
        <v>0</v>
      </c>
      <c r="H4" s="124">
        <v>0</v>
      </c>
      <c r="I4" s="124">
        <v>0</v>
      </c>
      <c r="J4" s="124">
        <v>0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0</v>
      </c>
      <c r="R4" s="124">
        <v>0</v>
      </c>
      <c r="S4" s="124">
        <v>0</v>
      </c>
      <c r="T4" s="124">
        <v>0</v>
      </c>
      <c r="U4" s="124">
        <v>0</v>
      </c>
      <c r="V4" s="124">
        <v>0</v>
      </c>
      <c r="W4" s="124">
        <v>0</v>
      </c>
      <c r="X4" s="124">
        <v>0</v>
      </c>
      <c r="Y4" s="124">
        <v>0</v>
      </c>
      <c r="Z4" s="124">
        <v>0</v>
      </c>
      <c r="AA4" s="124">
        <v>0</v>
      </c>
      <c r="AB4" s="124">
        <v>0</v>
      </c>
      <c r="AC4" s="124">
        <v>0</v>
      </c>
      <c r="AD4" s="124">
        <v>0</v>
      </c>
      <c r="AE4" s="124">
        <v>0</v>
      </c>
      <c r="AF4" s="124">
        <v>0</v>
      </c>
      <c r="AG4" s="124">
        <v>0</v>
      </c>
      <c r="AH4" s="124">
        <v>0</v>
      </c>
      <c r="AI4" s="124">
        <v>0</v>
      </c>
    </row>
    <row r="5" spans="1:35" customFormat="1" x14ac:dyDescent="0.15">
      <c r="A5" s="161" t="s">
        <v>195</v>
      </c>
      <c r="B5" s="124">
        <v>2.600686581257452E-5</v>
      </c>
      <c r="C5" s="124">
        <v>0</v>
      </c>
      <c r="D5" s="124">
        <v>0</v>
      </c>
      <c r="E5" s="124">
        <v>0</v>
      </c>
      <c r="F5" s="124">
        <v>0</v>
      </c>
      <c r="G5" s="124">
        <v>0</v>
      </c>
      <c r="H5" s="124">
        <v>0</v>
      </c>
      <c r="I5" s="124">
        <v>0</v>
      </c>
      <c r="J5" s="124">
        <v>0</v>
      </c>
      <c r="K5" s="124">
        <v>0</v>
      </c>
      <c r="L5" s="124">
        <v>0</v>
      </c>
      <c r="M5" s="124">
        <v>0</v>
      </c>
      <c r="N5" s="124">
        <v>0</v>
      </c>
      <c r="O5" s="124">
        <v>0</v>
      </c>
      <c r="P5" s="124">
        <v>0</v>
      </c>
      <c r="Q5" s="124">
        <v>0</v>
      </c>
      <c r="R5" s="124">
        <v>0</v>
      </c>
      <c r="S5" s="124">
        <v>0</v>
      </c>
      <c r="T5" s="124">
        <v>0</v>
      </c>
      <c r="U5" s="124">
        <v>0</v>
      </c>
      <c r="V5" s="124">
        <v>0</v>
      </c>
      <c r="W5" s="124">
        <v>0</v>
      </c>
      <c r="X5" s="124">
        <v>0</v>
      </c>
      <c r="Y5" s="124">
        <v>0</v>
      </c>
      <c r="Z5" s="124">
        <v>0</v>
      </c>
      <c r="AA5" s="124">
        <v>0</v>
      </c>
      <c r="AB5" s="124">
        <v>0</v>
      </c>
      <c r="AC5" s="124">
        <v>0</v>
      </c>
      <c r="AD5" s="124">
        <v>0</v>
      </c>
      <c r="AE5" s="124">
        <v>0</v>
      </c>
      <c r="AF5" s="124">
        <v>0</v>
      </c>
      <c r="AG5" s="124">
        <v>0</v>
      </c>
      <c r="AH5" s="124">
        <v>0</v>
      </c>
      <c r="AI5" s="124">
        <v>0</v>
      </c>
    </row>
    <row r="6" spans="1:35" customFormat="1" x14ac:dyDescent="0.15">
      <c r="A6" s="161" t="s">
        <v>196</v>
      </c>
      <c r="B6" s="124">
        <v>1.0002640697144048E-5</v>
      </c>
      <c r="C6" s="124">
        <v>0</v>
      </c>
      <c r="D6" s="124">
        <v>0</v>
      </c>
      <c r="E6" s="124">
        <v>0</v>
      </c>
      <c r="F6" s="124">
        <v>0</v>
      </c>
      <c r="G6" s="124">
        <v>0</v>
      </c>
      <c r="H6" s="124">
        <v>0</v>
      </c>
      <c r="I6" s="124">
        <v>0</v>
      </c>
      <c r="J6" s="124">
        <v>0</v>
      </c>
      <c r="K6" s="124">
        <v>0</v>
      </c>
      <c r="L6" s="124">
        <v>0</v>
      </c>
      <c r="M6" s="124">
        <v>0</v>
      </c>
      <c r="N6" s="124">
        <v>0</v>
      </c>
      <c r="O6" s="124">
        <v>0</v>
      </c>
      <c r="P6" s="124">
        <v>0</v>
      </c>
      <c r="Q6" s="124">
        <v>0</v>
      </c>
      <c r="R6" s="124">
        <v>0</v>
      </c>
      <c r="S6" s="124">
        <v>0</v>
      </c>
      <c r="T6" s="124">
        <v>0</v>
      </c>
      <c r="U6" s="124">
        <v>0</v>
      </c>
      <c r="V6" s="124">
        <v>0</v>
      </c>
      <c r="W6" s="124">
        <v>0</v>
      </c>
      <c r="X6" s="124">
        <v>0</v>
      </c>
      <c r="Y6" s="124">
        <v>0</v>
      </c>
      <c r="Z6" s="124">
        <v>0</v>
      </c>
      <c r="AA6" s="124">
        <v>0</v>
      </c>
      <c r="AB6" s="124">
        <v>0</v>
      </c>
      <c r="AC6" s="124">
        <v>0</v>
      </c>
      <c r="AD6" s="124">
        <v>0</v>
      </c>
      <c r="AE6" s="124">
        <v>0</v>
      </c>
      <c r="AF6" s="124">
        <v>0</v>
      </c>
      <c r="AG6" s="124">
        <v>0</v>
      </c>
      <c r="AH6" s="124">
        <v>0</v>
      </c>
      <c r="AI6" s="124">
        <v>0</v>
      </c>
    </row>
    <row r="7" spans="1:35" customFormat="1" x14ac:dyDescent="0.15">
      <c r="A7" s="161" t="s">
        <v>197</v>
      </c>
      <c r="B7" s="124">
        <v>0.11102931173829891</v>
      </c>
      <c r="C7" s="124">
        <v>0</v>
      </c>
      <c r="D7" s="124">
        <v>0</v>
      </c>
      <c r="E7" s="124">
        <v>0</v>
      </c>
      <c r="F7" s="124">
        <v>0</v>
      </c>
      <c r="G7" s="124">
        <v>0</v>
      </c>
      <c r="H7" s="124">
        <v>0</v>
      </c>
      <c r="I7" s="124">
        <v>0</v>
      </c>
      <c r="J7" s="124">
        <v>0</v>
      </c>
      <c r="K7" s="124">
        <v>0</v>
      </c>
      <c r="L7" s="124">
        <v>0</v>
      </c>
      <c r="M7" s="124">
        <v>0</v>
      </c>
      <c r="N7" s="124">
        <v>0</v>
      </c>
      <c r="O7" s="124">
        <v>0</v>
      </c>
      <c r="P7" s="124">
        <v>0</v>
      </c>
      <c r="Q7" s="124">
        <v>0</v>
      </c>
      <c r="R7" s="124">
        <v>0</v>
      </c>
      <c r="S7" s="124">
        <v>0</v>
      </c>
      <c r="T7" s="124">
        <v>0</v>
      </c>
      <c r="U7" s="124">
        <v>0</v>
      </c>
      <c r="V7" s="124">
        <v>0</v>
      </c>
      <c r="W7" s="124">
        <v>0</v>
      </c>
      <c r="X7" s="124">
        <v>0</v>
      </c>
      <c r="Y7" s="124">
        <v>0</v>
      </c>
      <c r="Z7" s="124">
        <v>0</v>
      </c>
      <c r="AA7" s="124">
        <v>0</v>
      </c>
      <c r="AB7" s="124">
        <v>0</v>
      </c>
      <c r="AC7" s="124">
        <v>0</v>
      </c>
      <c r="AD7" s="124">
        <v>0</v>
      </c>
      <c r="AE7" s="124">
        <v>0</v>
      </c>
      <c r="AF7" s="124">
        <v>0</v>
      </c>
      <c r="AG7" s="124">
        <v>0</v>
      </c>
      <c r="AH7" s="124">
        <v>0</v>
      </c>
      <c r="AI7" s="124">
        <v>0</v>
      </c>
    </row>
    <row r="8" spans="1:35" customFormat="1" x14ac:dyDescent="0.15">
      <c r="A8" s="161" t="s">
        <v>198</v>
      </c>
      <c r="B8" s="124">
        <v>6.0015844182864273E-4</v>
      </c>
      <c r="C8" s="124">
        <v>0</v>
      </c>
      <c r="D8" s="124">
        <v>0</v>
      </c>
      <c r="E8" s="124">
        <v>0</v>
      </c>
      <c r="F8" s="124">
        <v>0</v>
      </c>
      <c r="G8" s="124">
        <v>0</v>
      </c>
      <c r="H8" s="124">
        <v>0</v>
      </c>
      <c r="I8" s="124">
        <v>0</v>
      </c>
      <c r="J8" s="124">
        <v>0</v>
      </c>
      <c r="K8" s="124">
        <v>0</v>
      </c>
      <c r="L8" s="124">
        <v>0</v>
      </c>
      <c r="M8" s="124">
        <v>0</v>
      </c>
      <c r="N8" s="124">
        <v>0</v>
      </c>
      <c r="O8" s="124">
        <v>0</v>
      </c>
      <c r="P8" s="124">
        <v>0</v>
      </c>
      <c r="Q8" s="124">
        <v>0</v>
      </c>
      <c r="R8" s="124">
        <v>0</v>
      </c>
      <c r="S8" s="124">
        <v>0</v>
      </c>
      <c r="T8" s="124">
        <v>0</v>
      </c>
      <c r="U8" s="124">
        <v>0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>
        <v>0</v>
      </c>
      <c r="AD8" s="124">
        <v>0</v>
      </c>
      <c r="AE8" s="124">
        <v>0</v>
      </c>
      <c r="AF8" s="124">
        <v>0</v>
      </c>
      <c r="AG8" s="124">
        <v>0</v>
      </c>
      <c r="AH8" s="124">
        <v>0</v>
      </c>
      <c r="AI8" s="124">
        <v>0</v>
      </c>
    </row>
    <row r="9" spans="1:35" customFormat="1" x14ac:dyDescent="0.15">
      <c r="A9" s="161" t="s">
        <v>199</v>
      </c>
      <c r="B9" s="124">
        <v>0.11002904766858451</v>
      </c>
      <c r="C9" s="124">
        <v>9.0999999999999998E-2</v>
      </c>
      <c r="D9" s="124">
        <v>3.1012404961984794E-2</v>
      </c>
      <c r="E9" s="124">
        <v>0.17799999999999999</v>
      </c>
      <c r="F9" s="124">
        <v>5.8000000000000003E-2</v>
      </c>
      <c r="G9" s="124">
        <v>0.11</v>
      </c>
      <c r="H9" s="124">
        <v>0.12</v>
      </c>
      <c r="I9" s="124">
        <v>0</v>
      </c>
      <c r="J9" s="124">
        <v>0</v>
      </c>
      <c r="K9" s="124">
        <v>4.9000000000000002E-2</v>
      </c>
      <c r="L9" s="124">
        <v>0</v>
      </c>
      <c r="M9" s="124">
        <v>0</v>
      </c>
      <c r="N9" s="124">
        <v>0</v>
      </c>
      <c r="O9" s="124">
        <v>0</v>
      </c>
      <c r="P9" s="124">
        <v>0</v>
      </c>
      <c r="Q9" s="124">
        <v>0</v>
      </c>
      <c r="R9" s="124">
        <v>0</v>
      </c>
      <c r="S9" s="124">
        <v>0</v>
      </c>
      <c r="T9" s="124">
        <v>0</v>
      </c>
      <c r="U9" s="124">
        <v>0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>
        <v>0</v>
      </c>
      <c r="AD9" s="124">
        <v>0</v>
      </c>
      <c r="AE9" s="124">
        <v>0</v>
      </c>
      <c r="AF9" s="124">
        <v>0</v>
      </c>
      <c r="AG9" s="124">
        <v>0</v>
      </c>
      <c r="AH9" s="124">
        <v>0</v>
      </c>
      <c r="AI9" s="124">
        <v>0</v>
      </c>
    </row>
    <row r="10" spans="1:35" customFormat="1" x14ac:dyDescent="0.15">
      <c r="A10" s="161" t="s">
        <v>200</v>
      </c>
      <c r="B10" s="124">
        <v>7.5019805228580344E-2</v>
      </c>
      <c r="C10" s="124">
        <v>0</v>
      </c>
      <c r="D10" s="124">
        <v>0</v>
      </c>
      <c r="E10" s="124">
        <v>0</v>
      </c>
      <c r="F10" s="124">
        <v>0</v>
      </c>
      <c r="G10" s="124">
        <v>0</v>
      </c>
      <c r="H10" s="124">
        <v>0</v>
      </c>
      <c r="I10" s="124">
        <v>0</v>
      </c>
      <c r="J10" s="124">
        <v>0</v>
      </c>
      <c r="K10" s="124">
        <v>0</v>
      </c>
      <c r="L10" s="124">
        <v>0</v>
      </c>
      <c r="M10" s="124">
        <v>0</v>
      </c>
      <c r="N10" s="124">
        <v>0</v>
      </c>
      <c r="O10" s="124">
        <v>0</v>
      </c>
      <c r="P10" s="124">
        <v>0</v>
      </c>
      <c r="Q10" s="124">
        <v>0</v>
      </c>
      <c r="R10" s="124">
        <v>0</v>
      </c>
      <c r="S10" s="124">
        <v>0</v>
      </c>
      <c r="T10" s="124">
        <v>0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>
        <v>0</v>
      </c>
      <c r="AD10" s="124">
        <v>0</v>
      </c>
      <c r="AE10" s="124">
        <v>0</v>
      </c>
      <c r="AF10" s="124">
        <v>0</v>
      </c>
      <c r="AG10" s="124">
        <v>0</v>
      </c>
      <c r="AH10" s="124">
        <v>0</v>
      </c>
      <c r="AI10" s="124">
        <v>0</v>
      </c>
    </row>
    <row r="11" spans="1:35" customFormat="1" x14ac:dyDescent="0.15">
      <c r="A11" s="161" t="s">
        <v>201</v>
      </c>
      <c r="B11" s="124">
        <v>2.0005281394288094E-4</v>
      </c>
      <c r="C11" s="124">
        <v>0</v>
      </c>
      <c r="D11" s="124">
        <v>0</v>
      </c>
      <c r="E11" s="124">
        <v>7.0000000000000007E-2</v>
      </c>
      <c r="F11" s="124">
        <v>0</v>
      </c>
      <c r="G11" s="124">
        <v>0.05</v>
      </c>
      <c r="H11" s="124">
        <v>6.3E-2</v>
      </c>
      <c r="I11" s="124">
        <v>0</v>
      </c>
      <c r="J11" s="124">
        <v>0</v>
      </c>
      <c r="K11" s="124">
        <v>0.109</v>
      </c>
      <c r="L11" s="124">
        <v>0</v>
      </c>
      <c r="M11" s="124">
        <v>0</v>
      </c>
      <c r="N11" s="124">
        <v>0</v>
      </c>
      <c r="O11" s="124">
        <v>0</v>
      </c>
      <c r="P11" s="124">
        <v>0</v>
      </c>
      <c r="Q11" s="124">
        <v>0</v>
      </c>
      <c r="R11" s="124">
        <v>0</v>
      </c>
      <c r="S11" s="124">
        <v>0</v>
      </c>
      <c r="T11" s="124">
        <v>0</v>
      </c>
      <c r="U11" s="124">
        <v>0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>
        <v>0</v>
      </c>
      <c r="AD11" s="124">
        <v>0</v>
      </c>
      <c r="AE11" s="124">
        <v>0</v>
      </c>
      <c r="AF11" s="124">
        <v>0</v>
      </c>
      <c r="AG11" s="124">
        <v>0</v>
      </c>
      <c r="AH11" s="124">
        <v>0</v>
      </c>
      <c r="AI11" s="124">
        <v>0</v>
      </c>
    </row>
    <row r="12" spans="1:35" customFormat="1" x14ac:dyDescent="0.15">
      <c r="A12" s="161" t="s">
        <v>202</v>
      </c>
      <c r="B12" s="124">
        <v>0</v>
      </c>
      <c r="C12" s="124">
        <v>6.3E-2</v>
      </c>
      <c r="D12" s="124">
        <v>0</v>
      </c>
      <c r="E12" s="124">
        <v>0</v>
      </c>
      <c r="F12" s="124">
        <v>2E-3</v>
      </c>
      <c r="G12" s="124">
        <v>0</v>
      </c>
      <c r="H12" s="124">
        <v>0</v>
      </c>
      <c r="I12" s="124">
        <v>0</v>
      </c>
      <c r="J12" s="124">
        <v>0</v>
      </c>
      <c r="K12" s="124">
        <v>1.4999999999999999E-2</v>
      </c>
      <c r="L12" s="124">
        <v>0</v>
      </c>
      <c r="M12" s="124">
        <v>0</v>
      </c>
      <c r="N12" s="124">
        <v>0</v>
      </c>
      <c r="O12" s="124">
        <v>0</v>
      </c>
      <c r="P12" s="124">
        <v>0</v>
      </c>
      <c r="Q12" s="124">
        <v>0</v>
      </c>
      <c r="R12" s="124">
        <v>0</v>
      </c>
      <c r="S12" s="124">
        <v>4.9990001999600079E-4</v>
      </c>
      <c r="T12" s="124">
        <v>0</v>
      </c>
      <c r="U12" s="124">
        <v>0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>
        <v>0</v>
      </c>
      <c r="AD12" s="124">
        <v>0</v>
      </c>
      <c r="AE12" s="124">
        <v>0</v>
      </c>
      <c r="AF12" s="124">
        <v>0</v>
      </c>
      <c r="AG12" s="124">
        <v>0</v>
      </c>
      <c r="AH12" s="124">
        <v>0</v>
      </c>
      <c r="AI12" s="124">
        <v>0</v>
      </c>
    </row>
    <row r="13" spans="1:35" customFormat="1" x14ac:dyDescent="0.15">
      <c r="A13" s="161" t="s">
        <v>203</v>
      </c>
      <c r="B13" s="124">
        <v>0</v>
      </c>
      <c r="C13" s="124">
        <v>0</v>
      </c>
      <c r="D13" s="124">
        <v>1.1004401760704283E-3</v>
      </c>
      <c r="E13" s="124">
        <v>8.2000000000000003E-2</v>
      </c>
      <c r="F13" s="124">
        <v>0</v>
      </c>
      <c r="G13" s="124">
        <v>4.4999999999999998E-2</v>
      </c>
      <c r="H13" s="124">
        <v>5.8999999999999997E-2</v>
      </c>
      <c r="I13" s="124">
        <v>0</v>
      </c>
      <c r="J13" s="124">
        <v>0</v>
      </c>
      <c r="K13" s="124">
        <v>2.5000000000000001E-2</v>
      </c>
      <c r="L13" s="124">
        <v>0</v>
      </c>
      <c r="M13" s="124">
        <v>0.14998500149985</v>
      </c>
      <c r="N13" s="124">
        <v>0</v>
      </c>
      <c r="O13" s="124">
        <v>0</v>
      </c>
      <c r="P13" s="124">
        <v>0</v>
      </c>
      <c r="Q13" s="124">
        <v>0</v>
      </c>
      <c r="R13" s="124">
        <v>0</v>
      </c>
      <c r="S13" s="124">
        <v>0</v>
      </c>
      <c r="T13" s="124">
        <v>0</v>
      </c>
      <c r="U13" s="124">
        <v>0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>
        <v>0</v>
      </c>
      <c r="AD13" s="124">
        <v>0</v>
      </c>
      <c r="AE13" s="124">
        <v>0</v>
      </c>
      <c r="AF13" s="124">
        <v>0</v>
      </c>
      <c r="AG13" s="124">
        <v>0</v>
      </c>
      <c r="AH13" s="124">
        <v>0</v>
      </c>
      <c r="AI13" s="124">
        <v>0</v>
      </c>
    </row>
    <row r="14" spans="1:35" customFormat="1" x14ac:dyDescent="0.15">
      <c r="A14" s="161" t="s">
        <v>204</v>
      </c>
      <c r="B14" s="124">
        <v>5.5014523834292254E-3</v>
      </c>
      <c r="C14" s="124">
        <v>0</v>
      </c>
      <c r="D14" s="124">
        <v>0</v>
      </c>
      <c r="E14" s="124">
        <v>0</v>
      </c>
      <c r="F14" s="124">
        <v>0</v>
      </c>
      <c r="G14" s="124">
        <v>0</v>
      </c>
      <c r="H14" s="124">
        <v>8.9999999999999993E-3</v>
      </c>
      <c r="I14" s="124">
        <v>0</v>
      </c>
      <c r="J14" s="124">
        <v>0</v>
      </c>
      <c r="K14" s="124">
        <v>7.0000000000000001E-3</v>
      </c>
      <c r="L14" s="124">
        <v>0</v>
      </c>
      <c r="M14" s="124">
        <v>0</v>
      </c>
      <c r="N14" s="124">
        <v>0</v>
      </c>
      <c r="O14" s="124">
        <v>0</v>
      </c>
      <c r="P14" s="124">
        <v>0</v>
      </c>
      <c r="Q14" s="124">
        <v>0</v>
      </c>
      <c r="R14" s="124">
        <v>0</v>
      </c>
      <c r="S14" s="124">
        <v>0</v>
      </c>
      <c r="T14" s="124">
        <v>0</v>
      </c>
      <c r="U14" s="124">
        <v>0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>
        <v>0</v>
      </c>
      <c r="AD14" s="124">
        <v>0</v>
      </c>
      <c r="AE14" s="124">
        <v>0</v>
      </c>
      <c r="AF14" s="124">
        <v>0</v>
      </c>
      <c r="AG14" s="124">
        <v>0</v>
      </c>
      <c r="AH14" s="124">
        <v>0</v>
      </c>
      <c r="AI14" s="124">
        <v>0</v>
      </c>
    </row>
    <row r="15" spans="1:35" customFormat="1" x14ac:dyDescent="0.15">
      <c r="A15" s="161" t="s">
        <v>205</v>
      </c>
      <c r="B15" s="124">
        <v>0</v>
      </c>
      <c r="C15" s="124">
        <v>0</v>
      </c>
      <c r="D15" s="124">
        <v>0</v>
      </c>
      <c r="E15" s="124">
        <v>0</v>
      </c>
      <c r="F15" s="124">
        <v>0</v>
      </c>
      <c r="G15" s="124">
        <v>0</v>
      </c>
      <c r="H15" s="124">
        <v>0</v>
      </c>
      <c r="I15" s="124">
        <v>0</v>
      </c>
      <c r="J15" s="124">
        <v>0.13</v>
      </c>
      <c r="K15" s="124">
        <v>0</v>
      </c>
      <c r="L15" s="124">
        <v>0</v>
      </c>
      <c r="M15" s="124">
        <v>0</v>
      </c>
      <c r="N15" s="124">
        <v>0</v>
      </c>
      <c r="O15" s="124">
        <v>5.0000000000000001E-3</v>
      </c>
      <c r="P15" s="124">
        <v>0</v>
      </c>
      <c r="Q15" s="124">
        <v>0</v>
      </c>
      <c r="R15" s="124">
        <v>0</v>
      </c>
      <c r="S15" s="124">
        <v>0</v>
      </c>
      <c r="T15" s="124">
        <v>0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>
        <v>0</v>
      </c>
      <c r="AD15" s="124">
        <v>0</v>
      </c>
      <c r="AE15" s="124">
        <v>0</v>
      </c>
      <c r="AF15" s="124">
        <v>0</v>
      </c>
      <c r="AG15" s="124">
        <v>0</v>
      </c>
      <c r="AH15" s="124">
        <v>0</v>
      </c>
      <c r="AI15" s="124">
        <v>0</v>
      </c>
    </row>
    <row r="16" spans="1:35" customFormat="1" x14ac:dyDescent="0.15">
      <c r="A16" s="161" t="s">
        <v>206</v>
      </c>
      <c r="B16" s="124">
        <v>5.0013203485720233E-4</v>
      </c>
      <c r="C16" s="124">
        <v>0</v>
      </c>
      <c r="D16" s="124">
        <v>0</v>
      </c>
      <c r="E16" s="124">
        <v>4.0000000000000001E-3</v>
      </c>
      <c r="F16" s="124">
        <v>0</v>
      </c>
      <c r="G16" s="124">
        <v>0</v>
      </c>
      <c r="H16" s="124">
        <v>0.03</v>
      </c>
      <c r="I16" s="124">
        <v>0</v>
      </c>
      <c r="J16" s="124">
        <v>1E-3</v>
      </c>
      <c r="K16" s="124">
        <v>2E-3</v>
      </c>
      <c r="L16" s="124">
        <v>0</v>
      </c>
      <c r="M16" s="124">
        <v>0</v>
      </c>
      <c r="N16" s="124">
        <v>0</v>
      </c>
      <c r="O16" s="124">
        <v>0</v>
      </c>
      <c r="P16" s="124">
        <v>0</v>
      </c>
      <c r="Q16" s="124">
        <v>0</v>
      </c>
      <c r="R16" s="124">
        <v>0</v>
      </c>
      <c r="S16" s="124">
        <v>0</v>
      </c>
      <c r="T16" s="124">
        <v>0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>
        <v>0</v>
      </c>
      <c r="AD16" s="124">
        <v>0</v>
      </c>
      <c r="AE16" s="124">
        <v>0</v>
      </c>
      <c r="AF16" s="124">
        <v>0</v>
      </c>
      <c r="AG16" s="124">
        <v>0</v>
      </c>
      <c r="AH16" s="124">
        <v>0</v>
      </c>
      <c r="AI16" s="124">
        <v>0</v>
      </c>
    </row>
    <row r="17" spans="1:35" customFormat="1" x14ac:dyDescent="0.15">
      <c r="A17" s="161" t="s">
        <v>207</v>
      </c>
      <c r="B17" s="124">
        <v>0</v>
      </c>
      <c r="C17" s="124">
        <v>0</v>
      </c>
      <c r="D17" s="124">
        <v>0</v>
      </c>
      <c r="E17" s="124">
        <v>0</v>
      </c>
      <c r="F17" s="124">
        <v>0</v>
      </c>
      <c r="G17" s="124">
        <v>0</v>
      </c>
      <c r="H17" s="124">
        <v>0</v>
      </c>
      <c r="I17" s="124">
        <v>0</v>
      </c>
      <c r="J17" s="124">
        <v>0</v>
      </c>
      <c r="K17" s="124">
        <v>0</v>
      </c>
      <c r="L17" s="124">
        <v>0</v>
      </c>
      <c r="M17" s="124">
        <v>0</v>
      </c>
      <c r="N17" s="124">
        <v>0</v>
      </c>
      <c r="O17" s="124">
        <v>0.01</v>
      </c>
      <c r="P17" s="124">
        <v>0</v>
      </c>
      <c r="Q17" s="124">
        <v>0.03</v>
      </c>
      <c r="R17" s="124">
        <v>0</v>
      </c>
      <c r="S17" s="124">
        <v>4.9990001999600079E-4</v>
      </c>
      <c r="T17" s="124">
        <v>0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>
        <v>0</v>
      </c>
      <c r="AD17" s="124">
        <v>0</v>
      </c>
      <c r="AE17" s="124">
        <v>0</v>
      </c>
      <c r="AF17" s="124">
        <v>0</v>
      </c>
      <c r="AG17" s="124">
        <v>0</v>
      </c>
      <c r="AH17" s="124">
        <v>0</v>
      </c>
      <c r="AI17" s="124">
        <v>0</v>
      </c>
    </row>
    <row r="18" spans="1:35" customFormat="1" x14ac:dyDescent="0.15">
      <c r="A18" s="161" t="s">
        <v>208</v>
      </c>
      <c r="B18" s="124">
        <v>0</v>
      </c>
      <c r="C18" s="124">
        <v>0</v>
      </c>
      <c r="D18" s="124">
        <v>0</v>
      </c>
      <c r="E18" s="124">
        <v>0</v>
      </c>
      <c r="F18" s="124">
        <v>0</v>
      </c>
      <c r="G18" s="124">
        <v>0</v>
      </c>
      <c r="H18" s="124">
        <v>0</v>
      </c>
      <c r="I18" s="124">
        <v>0</v>
      </c>
      <c r="J18" s="124">
        <v>0</v>
      </c>
      <c r="K18" s="124">
        <v>0</v>
      </c>
      <c r="L18" s="124">
        <v>0</v>
      </c>
      <c r="M18" s="124">
        <v>9.9990000999900015E-5</v>
      </c>
      <c r="N18" s="124">
        <v>0</v>
      </c>
      <c r="O18" s="124">
        <v>0</v>
      </c>
      <c r="P18" s="124">
        <v>0</v>
      </c>
      <c r="Q18" s="124">
        <v>0.01</v>
      </c>
      <c r="R18" s="124">
        <v>0</v>
      </c>
      <c r="S18" s="124">
        <v>9.998000399920017E-5</v>
      </c>
      <c r="T18" s="124">
        <v>0</v>
      </c>
      <c r="U18" s="124">
        <v>0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>
        <v>0</v>
      </c>
      <c r="AD18" s="124">
        <v>0</v>
      </c>
      <c r="AE18" s="124">
        <v>0</v>
      </c>
      <c r="AF18" s="124">
        <v>0</v>
      </c>
      <c r="AG18" s="124">
        <v>0</v>
      </c>
      <c r="AH18" s="124">
        <v>0</v>
      </c>
      <c r="AI18" s="124">
        <v>0</v>
      </c>
    </row>
    <row r="19" spans="1:35" customFormat="1" x14ac:dyDescent="0.15">
      <c r="A19" s="161" t="s">
        <v>209</v>
      </c>
      <c r="B19" s="124">
        <v>0</v>
      </c>
      <c r="C19" s="124">
        <v>0</v>
      </c>
      <c r="D19" s="124">
        <v>0</v>
      </c>
      <c r="E19" s="124">
        <v>0</v>
      </c>
      <c r="F19" s="124">
        <v>0</v>
      </c>
      <c r="G19" s="124">
        <v>0</v>
      </c>
      <c r="H19" s="124">
        <v>0</v>
      </c>
      <c r="I19" s="124">
        <v>0</v>
      </c>
      <c r="J19" s="124">
        <v>0</v>
      </c>
      <c r="K19" s="124">
        <v>5.5E-2</v>
      </c>
      <c r="L19" s="124">
        <v>0</v>
      </c>
      <c r="M19" s="124">
        <v>0.16998300169983002</v>
      </c>
      <c r="N19" s="124">
        <v>0</v>
      </c>
      <c r="O19" s="124">
        <v>0</v>
      </c>
      <c r="P19" s="124">
        <v>0</v>
      </c>
      <c r="Q19" s="124">
        <v>0</v>
      </c>
      <c r="R19" s="124">
        <v>0</v>
      </c>
      <c r="S19" s="124">
        <v>0</v>
      </c>
      <c r="T19" s="124">
        <v>0</v>
      </c>
      <c r="U19" s="124">
        <v>0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>
        <v>0</v>
      </c>
      <c r="AD19" s="124">
        <v>0</v>
      </c>
      <c r="AE19" s="124">
        <v>0</v>
      </c>
      <c r="AF19" s="124">
        <v>0</v>
      </c>
      <c r="AG19" s="124">
        <v>0</v>
      </c>
      <c r="AH19" s="124">
        <v>0</v>
      </c>
      <c r="AI19" s="124">
        <v>0</v>
      </c>
    </row>
    <row r="20" spans="1:35" customFormat="1" x14ac:dyDescent="0.15">
      <c r="A20" s="161" t="s">
        <v>210</v>
      </c>
      <c r="B20" s="124">
        <v>7.0018484880008331E-3</v>
      </c>
      <c r="C20" s="124">
        <v>0</v>
      </c>
      <c r="D20" s="124">
        <v>1.4505802320928372E-2</v>
      </c>
      <c r="E20" s="124">
        <v>1E-3</v>
      </c>
      <c r="F20" s="124">
        <v>0</v>
      </c>
      <c r="G20" s="124">
        <v>7.0000000000000007E-2</v>
      </c>
      <c r="H20" s="124">
        <v>4.0000000000000001E-3</v>
      </c>
      <c r="I20" s="124">
        <v>0</v>
      </c>
      <c r="J20" s="124">
        <v>1E-3</v>
      </c>
      <c r="K20" s="124">
        <v>2.5000000000000001E-2</v>
      </c>
      <c r="L20" s="124">
        <v>0</v>
      </c>
      <c r="M20" s="124">
        <v>0</v>
      </c>
      <c r="N20" s="124">
        <v>0</v>
      </c>
      <c r="O20" s="124">
        <v>0</v>
      </c>
      <c r="P20" s="124">
        <v>0</v>
      </c>
      <c r="Q20" s="124">
        <v>0</v>
      </c>
      <c r="R20" s="124">
        <v>0</v>
      </c>
      <c r="S20" s="124">
        <v>0</v>
      </c>
      <c r="T20" s="124">
        <v>1.4E-2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>
        <v>0</v>
      </c>
      <c r="AD20" s="124">
        <v>0</v>
      </c>
      <c r="AE20" s="124">
        <v>0</v>
      </c>
      <c r="AF20" s="124">
        <v>0</v>
      </c>
      <c r="AG20" s="124">
        <v>0</v>
      </c>
      <c r="AH20" s="124">
        <v>0</v>
      </c>
      <c r="AI20" s="124">
        <v>0</v>
      </c>
    </row>
    <row r="21" spans="1:35" customFormat="1" x14ac:dyDescent="0.15">
      <c r="A21" s="161" t="s">
        <v>211</v>
      </c>
      <c r="B21" s="124">
        <v>0</v>
      </c>
      <c r="C21" s="124">
        <v>0</v>
      </c>
      <c r="D21" s="124">
        <v>0</v>
      </c>
      <c r="E21" s="124">
        <v>0</v>
      </c>
      <c r="F21" s="124">
        <v>0</v>
      </c>
      <c r="G21" s="124">
        <v>0</v>
      </c>
      <c r="H21" s="124">
        <v>0</v>
      </c>
      <c r="I21" s="124">
        <v>0.45</v>
      </c>
      <c r="J21" s="124">
        <v>0.04</v>
      </c>
      <c r="K21" s="124">
        <v>0</v>
      </c>
      <c r="L21" s="124">
        <v>0.35</v>
      </c>
      <c r="M21" s="124">
        <v>2.9997000299970003E-2</v>
      </c>
      <c r="N21" s="124">
        <v>0</v>
      </c>
      <c r="O21" s="124">
        <v>0</v>
      </c>
      <c r="P21" s="124">
        <v>0</v>
      </c>
      <c r="Q21" s="124">
        <v>0</v>
      </c>
      <c r="R21" s="124">
        <v>0.12</v>
      </c>
      <c r="S21" s="124">
        <v>9.9980003999200165E-2</v>
      </c>
      <c r="T21" s="124">
        <v>0</v>
      </c>
      <c r="U21" s="124">
        <v>0</v>
      </c>
      <c r="V21" s="124">
        <v>0</v>
      </c>
      <c r="W21" s="124">
        <v>0.15</v>
      </c>
      <c r="X21" s="124">
        <v>0</v>
      </c>
      <c r="Y21" s="124">
        <v>0.04</v>
      </c>
      <c r="Z21" s="124">
        <v>0</v>
      </c>
      <c r="AA21" s="124">
        <v>0</v>
      </c>
      <c r="AB21" s="124">
        <v>0</v>
      </c>
      <c r="AC21" s="124">
        <v>0</v>
      </c>
      <c r="AD21" s="124">
        <v>0</v>
      </c>
      <c r="AE21" s="124">
        <v>0</v>
      </c>
      <c r="AF21" s="124">
        <v>0</v>
      </c>
      <c r="AG21" s="124">
        <v>0</v>
      </c>
      <c r="AH21" s="124">
        <v>0</v>
      </c>
      <c r="AI21" s="124">
        <v>0</v>
      </c>
    </row>
    <row r="22" spans="1:35" customFormat="1" x14ac:dyDescent="0.15">
      <c r="A22" s="161" t="s">
        <v>212</v>
      </c>
      <c r="B22" s="124">
        <v>0</v>
      </c>
      <c r="C22" s="124">
        <v>0</v>
      </c>
      <c r="D22" s="124">
        <v>0</v>
      </c>
      <c r="E22" s="124">
        <v>0</v>
      </c>
      <c r="F22" s="124">
        <v>0</v>
      </c>
      <c r="G22" s="124">
        <v>0</v>
      </c>
      <c r="H22" s="124">
        <v>0</v>
      </c>
      <c r="I22" s="124">
        <v>0</v>
      </c>
      <c r="J22" s="124">
        <v>0</v>
      </c>
      <c r="K22" s="124">
        <v>0.14000000000000001</v>
      </c>
      <c r="L22" s="124">
        <v>0</v>
      </c>
      <c r="M22" s="124">
        <v>8.9991000899910009E-2</v>
      </c>
      <c r="N22" s="124">
        <v>0</v>
      </c>
      <c r="O22" s="124">
        <v>2.5000000000000001E-2</v>
      </c>
      <c r="P22" s="124">
        <v>0</v>
      </c>
      <c r="Q22" s="124">
        <v>0.04</v>
      </c>
      <c r="R22" s="124">
        <v>0</v>
      </c>
      <c r="S22" s="124">
        <v>0</v>
      </c>
      <c r="T22" s="124">
        <v>1.7999999999999999E-2</v>
      </c>
      <c r="U22" s="124">
        <v>0</v>
      </c>
      <c r="V22" s="124">
        <v>0</v>
      </c>
      <c r="W22" s="124">
        <v>0</v>
      </c>
      <c r="X22" s="124">
        <v>0</v>
      </c>
      <c r="Y22" s="124">
        <v>0</v>
      </c>
      <c r="Z22" s="124">
        <v>0</v>
      </c>
      <c r="AA22" s="124">
        <v>0</v>
      </c>
      <c r="AB22" s="124">
        <v>0</v>
      </c>
      <c r="AC22" s="124">
        <v>0</v>
      </c>
      <c r="AD22" s="124">
        <v>0</v>
      </c>
      <c r="AE22" s="124">
        <v>0</v>
      </c>
      <c r="AF22" s="124">
        <v>0</v>
      </c>
      <c r="AG22" s="124">
        <v>0</v>
      </c>
      <c r="AH22" s="124">
        <v>0</v>
      </c>
      <c r="AI22" s="124">
        <v>0</v>
      </c>
    </row>
    <row r="23" spans="1:35" customFormat="1" x14ac:dyDescent="0.15">
      <c r="A23" s="161" t="s">
        <v>213</v>
      </c>
      <c r="B23" s="124">
        <v>2.0005281394288094E-4</v>
      </c>
      <c r="C23" s="124">
        <v>0</v>
      </c>
      <c r="D23" s="124">
        <v>0</v>
      </c>
      <c r="E23" s="124">
        <v>0</v>
      </c>
      <c r="F23" s="124">
        <v>0</v>
      </c>
      <c r="G23" s="124">
        <v>0</v>
      </c>
      <c r="H23" s="124">
        <v>0</v>
      </c>
      <c r="I23" s="124">
        <v>0</v>
      </c>
      <c r="J23" s="124">
        <v>0</v>
      </c>
      <c r="K23" s="124">
        <v>0</v>
      </c>
      <c r="L23" s="124">
        <v>0</v>
      </c>
      <c r="M23" s="124">
        <v>0</v>
      </c>
      <c r="N23" s="124">
        <v>0</v>
      </c>
      <c r="O23" s="124">
        <v>0</v>
      </c>
      <c r="P23" s="124">
        <v>0</v>
      </c>
      <c r="Q23" s="124">
        <v>0</v>
      </c>
      <c r="R23" s="124">
        <v>0</v>
      </c>
      <c r="S23" s="124">
        <v>0</v>
      </c>
      <c r="T23" s="124">
        <v>0</v>
      </c>
      <c r="U23" s="124">
        <v>0</v>
      </c>
      <c r="V23" s="124">
        <v>0</v>
      </c>
      <c r="W23" s="124">
        <v>0</v>
      </c>
      <c r="X23" s="124">
        <v>0</v>
      </c>
      <c r="Y23" s="124">
        <v>0</v>
      </c>
      <c r="Z23" s="124">
        <v>0</v>
      </c>
      <c r="AA23" s="124">
        <v>0</v>
      </c>
      <c r="AB23" s="124">
        <v>0</v>
      </c>
      <c r="AC23" s="124">
        <v>0</v>
      </c>
      <c r="AD23" s="124">
        <v>0</v>
      </c>
      <c r="AE23" s="124">
        <v>0</v>
      </c>
      <c r="AF23" s="124">
        <v>0</v>
      </c>
      <c r="AG23" s="124">
        <v>0</v>
      </c>
      <c r="AH23" s="124">
        <v>0</v>
      </c>
      <c r="AI23" s="124">
        <v>0</v>
      </c>
    </row>
    <row r="24" spans="1:35" customFormat="1" x14ac:dyDescent="0.15">
      <c r="A24" s="161" t="s">
        <v>214</v>
      </c>
      <c r="B24" s="124">
        <v>0</v>
      </c>
      <c r="C24" s="124">
        <v>0</v>
      </c>
      <c r="D24" s="124">
        <v>0</v>
      </c>
      <c r="E24" s="124">
        <v>0</v>
      </c>
      <c r="F24" s="124">
        <v>0</v>
      </c>
      <c r="G24" s="124">
        <v>0</v>
      </c>
      <c r="H24" s="124">
        <v>0.09</v>
      </c>
      <c r="I24" s="124">
        <v>0</v>
      </c>
      <c r="J24" s="124">
        <v>0.11</v>
      </c>
      <c r="K24" s="124">
        <v>0.19500000000000001</v>
      </c>
      <c r="L24" s="124">
        <v>0</v>
      </c>
      <c r="M24" s="124">
        <v>8.4991500849915011E-2</v>
      </c>
      <c r="N24" s="124">
        <v>0.54</v>
      </c>
      <c r="O24" s="124">
        <v>0.435</v>
      </c>
      <c r="P24" s="124">
        <v>0</v>
      </c>
      <c r="Q24" s="124">
        <v>0</v>
      </c>
      <c r="R24" s="124">
        <v>0</v>
      </c>
      <c r="S24" s="124">
        <v>9.9980003999200159E-4</v>
      </c>
      <c r="T24" s="124">
        <v>0.19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</row>
    <row r="25" spans="1:35" customFormat="1" x14ac:dyDescent="0.15">
      <c r="A25" s="161" t="s">
        <v>215</v>
      </c>
      <c r="B25" s="124">
        <v>0</v>
      </c>
      <c r="C25" s="124">
        <v>0</v>
      </c>
      <c r="D25" s="124">
        <v>0</v>
      </c>
      <c r="E25" s="124">
        <v>0</v>
      </c>
      <c r="F25" s="124">
        <v>0</v>
      </c>
      <c r="G25" s="124">
        <v>0</v>
      </c>
      <c r="H25" s="124">
        <v>0</v>
      </c>
      <c r="I25" s="124">
        <v>0</v>
      </c>
      <c r="J25" s="124">
        <v>0</v>
      </c>
      <c r="K25" s="124">
        <v>2.8000000000000001E-2</v>
      </c>
      <c r="L25" s="124">
        <v>0</v>
      </c>
      <c r="M25" s="124">
        <v>9.9990000999900016E-3</v>
      </c>
      <c r="N25" s="124">
        <v>0</v>
      </c>
      <c r="O25" s="124">
        <v>5.0000000000000001E-3</v>
      </c>
      <c r="P25" s="124">
        <v>0.45000000000000007</v>
      </c>
      <c r="Q25" s="124">
        <v>0.35</v>
      </c>
      <c r="R25" s="124">
        <v>0</v>
      </c>
      <c r="S25" s="124">
        <v>9.9980003999200165E-2</v>
      </c>
      <c r="T25" s="124">
        <v>1E-3</v>
      </c>
      <c r="U25" s="124">
        <v>0</v>
      </c>
      <c r="V25" s="124">
        <v>0</v>
      </c>
      <c r="W25" s="124">
        <v>0</v>
      </c>
      <c r="X25" s="124">
        <v>0.15</v>
      </c>
      <c r="Y25" s="124">
        <v>0</v>
      </c>
      <c r="Z25" s="124">
        <v>0</v>
      </c>
      <c r="AA25" s="124">
        <v>0</v>
      </c>
      <c r="AB25" s="124">
        <v>0</v>
      </c>
      <c r="AC25" s="124">
        <v>0</v>
      </c>
      <c r="AD25" s="124">
        <v>0</v>
      </c>
      <c r="AE25" s="124">
        <v>0</v>
      </c>
      <c r="AF25" s="124">
        <v>0</v>
      </c>
      <c r="AG25" s="124">
        <v>0</v>
      </c>
      <c r="AH25" s="124">
        <v>0</v>
      </c>
      <c r="AI25" s="124">
        <v>0</v>
      </c>
    </row>
    <row r="26" spans="1:35" customFormat="1" x14ac:dyDescent="0.15">
      <c r="A26" s="161" t="s">
        <v>216</v>
      </c>
      <c r="B26" s="124">
        <v>0</v>
      </c>
      <c r="C26" s="124">
        <v>0</v>
      </c>
      <c r="D26" s="124">
        <v>0</v>
      </c>
      <c r="E26" s="124">
        <v>0.04</v>
      </c>
      <c r="F26" s="124">
        <v>0.04</v>
      </c>
      <c r="G26" s="124">
        <v>0.05</v>
      </c>
      <c r="H26" s="124">
        <v>8.5000000000000006E-2</v>
      </c>
      <c r="I26" s="124">
        <v>0</v>
      </c>
      <c r="J26" s="124">
        <v>0</v>
      </c>
      <c r="K26" s="124">
        <v>0</v>
      </c>
      <c r="L26" s="124">
        <v>0</v>
      </c>
      <c r="M26" s="124">
        <v>0</v>
      </c>
      <c r="N26" s="124">
        <v>0</v>
      </c>
      <c r="O26" s="124">
        <v>0</v>
      </c>
      <c r="P26" s="124">
        <v>0</v>
      </c>
      <c r="Q26" s="124">
        <v>0</v>
      </c>
      <c r="R26" s="124">
        <v>0</v>
      </c>
      <c r="S26" s="124">
        <v>0</v>
      </c>
      <c r="T26" s="124">
        <v>0</v>
      </c>
      <c r="U26" s="124">
        <v>0</v>
      </c>
      <c r="V26" s="124">
        <v>0</v>
      </c>
      <c r="W26" s="124">
        <v>0</v>
      </c>
      <c r="X26" s="124">
        <v>0</v>
      </c>
      <c r="Y26" s="124">
        <v>0</v>
      </c>
      <c r="Z26" s="124">
        <v>0</v>
      </c>
      <c r="AA26" s="124">
        <v>0</v>
      </c>
      <c r="AB26" s="124">
        <v>0</v>
      </c>
      <c r="AC26" s="124">
        <v>0</v>
      </c>
      <c r="AD26" s="124">
        <v>0</v>
      </c>
      <c r="AE26" s="124">
        <v>0</v>
      </c>
      <c r="AF26" s="124">
        <v>0</v>
      </c>
      <c r="AG26" s="124">
        <v>0</v>
      </c>
      <c r="AH26" s="124">
        <v>0</v>
      </c>
      <c r="AI26" s="124">
        <v>0</v>
      </c>
    </row>
    <row r="27" spans="1:35" customFormat="1" x14ac:dyDescent="0.15">
      <c r="A27" s="161" t="s">
        <v>217</v>
      </c>
      <c r="B27" s="124">
        <v>0</v>
      </c>
      <c r="C27" s="124">
        <v>0</v>
      </c>
      <c r="D27" s="124">
        <v>0</v>
      </c>
      <c r="E27" s="124">
        <v>0.19600000000000001</v>
      </c>
      <c r="F27" s="124">
        <v>0</v>
      </c>
      <c r="G27" s="124">
        <v>0.17499999999999999</v>
      </c>
      <c r="H27" s="124">
        <v>0.31</v>
      </c>
      <c r="I27" s="124">
        <v>0</v>
      </c>
      <c r="J27" s="124">
        <v>6.8000000000000005E-2</v>
      </c>
      <c r="K27" s="124">
        <v>0</v>
      </c>
      <c r="L27" s="124">
        <v>0</v>
      </c>
      <c r="M27" s="124">
        <v>0</v>
      </c>
      <c r="N27" s="124">
        <v>0</v>
      </c>
      <c r="O27" s="124">
        <v>0</v>
      </c>
      <c r="P27" s="124">
        <v>0</v>
      </c>
      <c r="Q27" s="124">
        <v>0</v>
      </c>
      <c r="R27" s="124">
        <v>0</v>
      </c>
      <c r="S27" s="124">
        <v>0</v>
      </c>
      <c r="T27" s="124">
        <v>0</v>
      </c>
      <c r="U27" s="124">
        <v>0</v>
      </c>
      <c r="V27" s="124">
        <v>0</v>
      </c>
      <c r="W27" s="124">
        <v>0</v>
      </c>
      <c r="X27" s="124">
        <v>0</v>
      </c>
      <c r="Y27" s="124">
        <v>0</v>
      </c>
      <c r="Z27" s="124">
        <v>0</v>
      </c>
      <c r="AA27" s="124">
        <v>0</v>
      </c>
      <c r="AB27" s="124">
        <v>0</v>
      </c>
      <c r="AC27" s="124">
        <v>0</v>
      </c>
      <c r="AD27" s="124">
        <v>0</v>
      </c>
      <c r="AE27" s="124">
        <v>0</v>
      </c>
      <c r="AF27" s="124">
        <v>0</v>
      </c>
      <c r="AG27" s="124">
        <v>0</v>
      </c>
      <c r="AH27" s="124">
        <v>0</v>
      </c>
      <c r="AI27" s="124">
        <v>0</v>
      </c>
    </row>
    <row r="28" spans="1:35" customFormat="1" x14ac:dyDescent="0.15">
      <c r="A28" s="161" t="s">
        <v>218</v>
      </c>
      <c r="B28" s="124">
        <v>0</v>
      </c>
      <c r="C28" s="124">
        <v>0</v>
      </c>
      <c r="D28" s="124">
        <v>0</v>
      </c>
      <c r="E28" s="124">
        <v>0</v>
      </c>
      <c r="F28" s="124">
        <v>0</v>
      </c>
      <c r="G28" s="124">
        <v>0</v>
      </c>
      <c r="H28" s="124">
        <v>0</v>
      </c>
      <c r="I28" s="124">
        <v>0</v>
      </c>
      <c r="J28" s="124">
        <v>0</v>
      </c>
      <c r="K28" s="124">
        <v>0</v>
      </c>
      <c r="L28" s="124">
        <v>0</v>
      </c>
      <c r="M28" s="124">
        <v>2.9997000299970002E-3</v>
      </c>
      <c r="N28" s="124">
        <v>1E-3</v>
      </c>
      <c r="O28" s="124">
        <v>1E-3</v>
      </c>
      <c r="P28" s="124">
        <v>0</v>
      </c>
      <c r="Q28" s="124">
        <v>0</v>
      </c>
      <c r="R28" s="124">
        <v>0</v>
      </c>
      <c r="S28" s="124">
        <v>0</v>
      </c>
      <c r="T28" s="124">
        <v>0.02</v>
      </c>
      <c r="U28" s="124">
        <v>0</v>
      </c>
      <c r="V28" s="124">
        <v>0</v>
      </c>
      <c r="W28" s="124">
        <v>0</v>
      </c>
      <c r="X28" s="124">
        <v>5.0000000000000001E-3</v>
      </c>
      <c r="Y28" s="124">
        <v>0</v>
      </c>
      <c r="Z28" s="124">
        <v>0</v>
      </c>
      <c r="AA28" s="124">
        <v>0</v>
      </c>
      <c r="AB28" s="124">
        <v>0</v>
      </c>
      <c r="AC28" s="124">
        <v>0</v>
      </c>
      <c r="AD28" s="124">
        <v>0</v>
      </c>
      <c r="AE28" s="124">
        <v>0</v>
      </c>
      <c r="AF28" s="124">
        <v>0</v>
      </c>
      <c r="AG28" s="124">
        <v>0</v>
      </c>
      <c r="AH28" s="124">
        <v>0</v>
      </c>
      <c r="AI28" s="124">
        <v>0</v>
      </c>
    </row>
    <row r="29" spans="1:35" customFormat="1" x14ac:dyDescent="0.15">
      <c r="A29" s="161" t="s">
        <v>219</v>
      </c>
      <c r="B29" s="124">
        <v>0</v>
      </c>
      <c r="C29" s="124">
        <v>0</v>
      </c>
      <c r="D29" s="124">
        <v>0</v>
      </c>
      <c r="E29" s="124">
        <v>0</v>
      </c>
      <c r="F29" s="124">
        <v>0</v>
      </c>
      <c r="G29" s="124">
        <v>0</v>
      </c>
      <c r="H29" s="124">
        <v>0</v>
      </c>
      <c r="I29" s="124">
        <v>0.45</v>
      </c>
      <c r="J29" s="124">
        <v>0</v>
      </c>
      <c r="K29" s="124">
        <v>0</v>
      </c>
      <c r="L29" s="124">
        <v>0.35</v>
      </c>
      <c r="M29" s="124">
        <v>1.9998000199980001E-3</v>
      </c>
      <c r="N29" s="124">
        <v>0</v>
      </c>
      <c r="O29" s="124">
        <v>0</v>
      </c>
      <c r="P29" s="124">
        <v>0</v>
      </c>
      <c r="Q29" s="124">
        <v>0</v>
      </c>
      <c r="R29" s="124">
        <v>0.25</v>
      </c>
      <c r="S29" s="124">
        <v>9.9980003999200165E-2</v>
      </c>
      <c r="T29" s="124">
        <v>7.0000000000000001E-3</v>
      </c>
      <c r="U29" s="124">
        <v>0.25</v>
      </c>
      <c r="V29" s="124">
        <v>0</v>
      </c>
      <c r="W29" s="124">
        <v>0</v>
      </c>
      <c r="X29" s="124">
        <v>0</v>
      </c>
      <c r="Y29" s="124">
        <v>0.06</v>
      </c>
      <c r="Z29" s="124">
        <v>0</v>
      </c>
      <c r="AA29" s="124">
        <v>0</v>
      </c>
      <c r="AB29" s="124">
        <v>0</v>
      </c>
      <c r="AC29" s="124">
        <v>0</v>
      </c>
      <c r="AD29" s="124">
        <v>0</v>
      </c>
      <c r="AE29" s="124">
        <v>0</v>
      </c>
      <c r="AF29" s="124">
        <v>0</v>
      </c>
      <c r="AG29" s="124">
        <v>0</v>
      </c>
      <c r="AH29" s="124">
        <v>0</v>
      </c>
      <c r="AI29" s="124">
        <v>0</v>
      </c>
    </row>
    <row r="30" spans="1:35" customFormat="1" x14ac:dyDescent="0.15">
      <c r="A30" s="161" t="s">
        <v>220</v>
      </c>
      <c r="B30" s="124">
        <v>0</v>
      </c>
      <c r="C30" s="124">
        <v>0</v>
      </c>
      <c r="D30" s="124">
        <v>0</v>
      </c>
      <c r="E30" s="124">
        <v>0</v>
      </c>
      <c r="F30" s="124">
        <v>0</v>
      </c>
      <c r="G30" s="124">
        <v>0</v>
      </c>
      <c r="H30" s="124">
        <v>0</v>
      </c>
      <c r="I30" s="124">
        <v>0</v>
      </c>
      <c r="J30" s="124">
        <v>0</v>
      </c>
      <c r="K30" s="124">
        <v>0</v>
      </c>
      <c r="L30" s="124">
        <v>0</v>
      </c>
      <c r="M30" s="124">
        <v>4.9995000499950008E-3</v>
      </c>
      <c r="N30" s="124">
        <v>0</v>
      </c>
      <c r="O30" s="124">
        <v>1E-3</v>
      </c>
      <c r="P30" s="124">
        <v>0</v>
      </c>
      <c r="Q30" s="124">
        <v>0</v>
      </c>
      <c r="R30" s="124">
        <v>0</v>
      </c>
      <c r="S30" s="124">
        <v>9.998000399920017E-5</v>
      </c>
      <c r="T30" s="124">
        <v>5.0000000000000001E-3</v>
      </c>
      <c r="U30" s="124">
        <v>0</v>
      </c>
      <c r="V30" s="124">
        <v>0</v>
      </c>
      <c r="W30" s="124">
        <v>0</v>
      </c>
      <c r="X30" s="124">
        <v>0</v>
      </c>
      <c r="Y30" s="124">
        <v>0</v>
      </c>
      <c r="Z30" s="124">
        <v>0</v>
      </c>
      <c r="AA30" s="124">
        <v>0</v>
      </c>
      <c r="AB30" s="124">
        <v>0</v>
      </c>
      <c r="AC30" s="124">
        <v>0</v>
      </c>
      <c r="AD30" s="124">
        <v>0</v>
      </c>
      <c r="AE30" s="124">
        <v>0</v>
      </c>
      <c r="AF30" s="124">
        <v>0</v>
      </c>
      <c r="AG30" s="124">
        <v>0</v>
      </c>
      <c r="AH30" s="124">
        <v>0</v>
      </c>
      <c r="AI30" s="124">
        <v>0</v>
      </c>
    </row>
    <row r="31" spans="1:35" customFormat="1" x14ac:dyDescent="0.15">
      <c r="A31" s="161" t="s">
        <v>221</v>
      </c>
      <c r="B31" s="124">
        <v>0</v>
      </c>
      <c r="C31" s="124">
        <v>0</v>
      </c>
      <c r="D31" s="124">
        <v>0</v>
      </c>
      <c r="E31" s="124">
        <v>0</v>
      </c>
      <c r="F31" s="124">
        <v>0</v>
      </c>
      <c r="G31" s="124">
        <v>0</v>
      </c>
      <c r="H31" s="124">
        <v>0</v>
      </c>
      <c r="I31" s="124">
        <v>0</v>
      </c>
      <c r="J31" s="124">
        <v>0</v>
      </c>
      <c r="K31" s="124">
        <v>0</v>
      </c>
      <c r="L31" s="124">
        <v>0</v>
      </c>
      <c r="M31" s="124">
        <v>0</v>
      </c>
      <c r="N31" s="124">
        <v>0.1</v>
      </c>
      <c r="O31" s="124">
        <v>0.1</v>
      </c>
      <c r="P31" s="124">
        <v>0.15000000000000002</v>
      </c>
      <c r="Q31" s="124">
        <v>0</v>
      </c>
      <c r="R31" s="124">
        <v>0</v>
      </c>
      <c r="S31" s="124">
        <v>9.7980403919216169E-2</v>
      </c>
      <c r="T31" s="124">
        <v>0.38</v>
      </c>
      <c r="U31" s="124">
        <v>0</v>
      </c>
      <c r="V31" s="124">
        <v>0.75</v>
      </c>
      <c r="W31" s="124">
        <v>0.85</v>
      </c>
      <c r="X31" s="124">
        <v>0.48499999999999999</v>
      </c>
      <c r="Y31" s="124">
        <v>0</v>
      </c>
      <c r="Z31" s="124">
        <v>0.1</v>
      </c>
      <c r="AA31" s="124">
        <v>0.8</v>
      </c>
      <c r="AB31" s="124">
        <v>0</v>
      </c>
      <c r="AC31" s="124">
        <v>0</v>
      </c>
      <c r="AD31" s="124">
        <v>0</v>
      </c>
      <c r="AE31" s="124">
        <v>0</v>
      </c>
      <c r="AF31" s="124">
        <v>0</v>
      </c>
      <c r="AG31" s="124">
        <v>0</v>
      </c>
      <c r="AH31" s="124">
        <v>0</v>
      </c>
      <c r="AI31" s="124">
        <v>0</v>
      </c>
    </row>
    <row r="32" spans="1:35" customFormat="1" x14ac:dyDescent="0.15">
      <c r="A32" s="161" t="s">
        <v>222</v>
      </c>
      <c r="B32" s="124">
        <v>0</v>
      </c>
      <c r="C32" s="124">
        <v>0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0.1</v>
      </c>
      <c r="J32" s="124">
        <v>0</v>
      </c>
      <c r="K32" s="124">
        <v>0</v>
      </c>
      <c r="L32" s="124">
        <v>0.3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0.23</v>
      </c>
      <c r="S32" s="124">
        <v>0</v>
      </c>
      <c r="T32" s="124">
        <v>0</v>
      </c>
      <c r="U32" s="124">
        <v>7.0000000000000007E-2</v>
      </c>
      <c r="V32" s="124">
        <v>0</v>
      </c>
      <c r="W32" s="124">
        <v>0</v>
      </c>
      <c r="X32" s="124">
        <v>0</v>
      </c>
      <c r="Y32" s="124">
        <v>2.5000000000000001E-2</v>
      </c>
      <c r="Z32" s="124">
        <v>0</v>
      </c>
      <c r="AA32" s="124">
        <v>0</v>
      </c>
      <c r="AB32" s="124">
        <v>0</v>
      </c>
      <c r="AC32" s="124">
        <v>0.05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</row>
    <row r="33" spans="1:35" customFormat="1" x14ac:dyDescent="0.15">
      <c r="A33" s="161" t="s">
        <v>223</v>
      </c>
      <c r="B33" s="124">
        <v>0</v>
      </c>
      <c r="C33" s="124">
        <v>0</v>
      </c>
      <c r="D33" s="124">
        <v>0</v>
      </c>
      <c r="E33" s="124">
        <v>0</v>
      </c>
      <c r="F33" s="124">
        <v>0</v>
      </c>
      <c r="G33" s="124">
        <v>0</v>
      </c>
      <c r="H33" s="124">
        <v>0</v>
      </c>
      <c r="I33" s="124">
        <v>0</v>
      </c>
      <c r="J33" s="124">
        <v>0</v>
      </c>
      <c r="K33" s="124">
        <v>0</v>
      </c>
      <c r="L33" s="124">
        <v>0</v>
      </c>
      <c r="M33" s="124">
        <v>0</v>
      </c>
      <c r="N33" s="124">
        <v>0</v>
      </c>
      <c r="O33" s="124">
        <v>0</v>
      </c>
      <c r="P33" s="124">
        <v>0.30000000000000004</v>
      </c>
      <c r="Q33" s="124">
        <v>0.15</v>
      </c>
      <c r="R33" s="124">
        <v>0</v>
      </c>
      <c r="S33" s="124">
        <v>0</v>
      </c>
      <c r="T33" s="124">
        <v>0</v>
      </c>
      <c r="U33" s="124">
        <v>0</v>
      </c>
      <c r="V33" s="124">
        <v>0</v>
      </c>
      <c r="W33" s="124">
        <v>0</v>
      </c>
      <c r="X33" s="124">
        <v>0</v>
      </c>
      <c r="Y33" s="124">
        <v>0.85</v>
      </c>
      <c r="Z33" s="124">
        <v>0</v>
      </c>
      <c r="AA33" s="124">
        <v>0</v>
      </c>
      <c r="AB33" s="124">
        <v>0</v>
      </c>
      <c r="AC33" s="124">
        <v>0</v>
      </c>
      <c r="AD33" s="124">
        <v>0</v>
      </c>
      <c r="AE33" s="124">
        <v>0</v>
      </c>
      <c r="AF33" s="124">
        <v>0</v>
      </c>
      <c r="AG33" s="124">
        <v>0</v>
      </c>
      <c r="AH33" s="124">
        <v>0</v>
      </c>
      <c r="AI33" s="124">
        <v>0</v>
      </c>
    </row>
    <row r="34" spans="1:35" customFormat="1" x14ac:dyDescent="0.15">
      <c r="A34" s="161" t="s">
        <v>224</v>
      </c>
      <c r="B34" s="124">
        <v>0</v>
      </c>
      <c r="C34" s="124">
        <v>0</v>
      </c>
      <c r="D34" s="124">
        <v>0</v>
      </c>
      <c r="E34" s="124">
        <v>0</v>
      </c>
      <c r="F34" s="124">
        <v>0</v>
      </c>
      <c r="G34" s="124">
        <v>0</v>
      </c>
      <c r="H34" s="124">
        <v>0</v>
      </c>
      <c r="I34" s="124">
        <v>0</v>
      </c>
      <c r="J34" s="124">
        <v>0.15</v>
      </c>
      <c r="K34" s="124">
        <v>0.35</v>
      </c>
      <c r="L34" s="124">
        <v>0</v>
      </c>
      <c r="M34" s="124">
        <v>0.45495450454954506</v>
      </c>
      <c r="N34" s="124">
        <v>0.35899999999999999</v>
      </c>
      <c r="O34" s="124">
        <v>0.41799999999999998</v>
      </c>
      <c r="P34" s="124">
        <v>0.10000000000000002</v>
      </c>
      <c r="Q34" s="124">
        <v>0.42</v>
      </c>
      <c r="R34" s="124">
        <v>0.4</v>
      </c>
      <c r="S34" s="124">
        <v>0.59988002399520091</v>
      </c>
      <c r="T34" s="124">
        <v>0.36499999999999999</v>
      </c>
      <c r="U34" s="124">
        <v>0.68</v>
      </c>
      <c r="V34" s="124">
        <v>0.25</v>
      </c>
      <c r="W34" s="124">
        <v>0</v>
      </c>
      <c r="X34" s="124">
        <v>0.36</v>
      </c>
      <c r="Y34" s="124">
        <v>2.5000000000000001E-2</v>
      </c>
      <c r="Z34" s="124">
        <v>0.8</v>
      </c>
      <c r="AA34" s="124">
        <v>0.2</v>
      </c>
      <c r="AB34" s="124">
        <v>1</v>
      </c>
      <c r="AC34" s="124">
        <v>0.05</v>
      </c>
      <c r="AD34" s="124">
        <v>1</v>
      </c>
      <c r="AE34" s="124">
        <v>0</v>
      </c>
      <c r="AF34" s="124">
        <v>0</v>
      </c>
      <c r="AG34" s="124">
        <v>0</v>
      </c>
      <c r="AH34" s="124">
        <v>0</v>
      </c>
      <c r="AI34" s="124">
        <v>0</v>
      </c>
    </row>
    <row r="35" spans="1:35" customFormat="1" x14ac:dyDescent="0.15">
      <c r="A35" s="161" t="s">
        <v>225</v>
      </c>
      <c r="B35" s="124">
        <v>0</v>
      </c>
      <c r="C35" s="124">
        <v>0</v>
      </c>
      <c r="D35" s="124">
        <v>0</v>
      </c>
      <c r="E35" s="124">
        <v>0</v>
      </c>
      <c r="F35" s="124">
        <v>0</v>
      </c>
      <c r="G35" s="124">
        <v>0</v>
      </c>
      <c r="H35" s="124">
        <v>0</v>
      </c>
      <c r="I35" s="124">
        <v>0</v>
      </c>
      <c r="J35" s="124">
        <v>0</v>
      </c>
      <c r="K35" s="124">
        <v>0</v>
      </c>
      <c r="L35" s="124">
        <v>0</v>
      </c>
      <c r="M35" s="124">
        <v>0</v>
      </c>
      <c r="N35" s="124">
        <v>0</v>
      </c>
      <c r="O35" s="124">
        <v>0</v>
      </c>
      <c r="P35" s="124">
        <v>0</v>
      </c>
      <c r="Q35" s="124">
        <v>0</v>
      </c>
      <c r="R35" s="124">
        <v>0</v>
      </c>
      <c r="S35" s="124">
        <v>0</v>
      </c>
      <c r="T35" s="124">
        <v>0</v>
      </c>
      <c r="U35" s="124">
        <v>0</v>
      </c>
      <c r="V35" s="124">
        <v>0</v>
      </c>
      <c r="W35" s="124">
        <v>0</v>
      </c>
      <c r="X35" s="124">
        <v>0</v>
      </c>
      <c r="Y35" s="124">
        <v>0</v>
      </c>
      <c r="Z35" s="124">
        <v>0</v>
      </c>
      <c r="AA35" s="124">
        <v>0</v>
      </c>
      <c r="AB35" s="124">
        <v>0</v>
      </c>
      <c r="AC35" s="124">
        <v>0</v>
      </c>
      <c r="AD35" s="124">
        <v>0</v>
      </c>
      <c r="AE35" s="124">
        <v>0</v>
      </c>
      <c r="AF35" s="124">
        <v>0</v>
      </c>
      <c r="AG35" s="124">
        <v>0</v>
      </c>
      <c r="AH35" s="124">
        <v>0</v>
      </c>
      <c r="AI35" s="124">
        <v>0</v>
      </c>
    </row>
    <row r="36" spans="1:35" customFormat="1" x14ac:dyDescent="0.15">
      <c r="A36" s="161" t="s">
        <v>230</v>
      </c>
      <c r="B36" s="124">
        <v>0.65317243752350629</v>
      </c>
      <c r="C36" s="124">
        <v>0.84599999999999997</v>
      </c>
      <c r="D36" s="124">
        <v>0.95338135254101641</v>
      </c>
      <c r="E36" s="124">
        <v>0.38400000000000001</v>
      </c>
      <c r="F36" s="124">
        <v>0.9</v>
      </c>
      <c r="G36" s="124">
        <v>0.5</v>
      </c>
      <c r="H36" s="124">
        <v>0.23</v>
      </c>
      <c r="I36" s="124">
        <v>0</v>
      </c>
      <c r="J36" s="124">
        <v>0.5</v>
      </c>
      <c r="K36" s="124">
        <v>0</v>
      </c>
      <c r="L36" s="124">
        <v>0</v>
      </c>
      <c r="M36" s="124">
        <v>0</v>
      </c>
      <c r="N36" s="124">
        <v>0</v>
      </c>
      <c r="O36" s="124">
        <v>0</v>
      </c>
      <c r="P36" s="124">
        <v>0</v>
      </c>
      <c r="Q36" s="124">
        <v>0</v>
      </c>
      <c r="R36" s="124">
        <v>0</v>
      </c>
      <c r="S36" s="124">
        <v>0</v>
      </c>
      <c r="T36" s="124">
        <v>0</v>
      </c>
      <c r="U36" s="124">
        <v>0</v>
      </c>
      <c r="V36" s="124">
        <v>0</v>
      </c>
      <c r="W36" s="124">
        <v>0</v>
      </c>
      <c r="X36" s="124">
        <v>0</v>
      </c>
      <c r="Y36" s="124">
        <v>0</v>
      </c>
      <c r="Z36" s="124">
        <v>0.1</v>
      </c>
      <c r="AA36" s="124">
        <v>0</v>
      </c>
      <c r="AB36" s="124">
        <v>0</v>
      </c>
      <c r="AC36" s="124">
        <v>0.9</v>
      </c>
      <c r="AD36" s="124">
        <v>0</v>
      </c>
      <c r="AE36" s="124">
        <v>0</v>
      </c>
      <c r="AF36" s="124">
        <v>0</v>
      </c>
      <c r="AG36" s="124">
        <v>0</v>
      </c>
      <c r="AH36" s="124">
        <v>0</v>
      </c>
      <c r="AI36" s="124">
        <v>0</v>
      </c>
    </row>
    <row r="37" spans="1:35" customFormat="1" x14ac:dyDescent="0.15"/>
    <row r="38" spans="1:35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33203125" customWidth="1"/>
    <col min="3" max="4" width="2.33203125" style="95" customWidth="1"/>
    <col min="5" max="6" width="2.33203125" style="94" bestFit="1" customWidth="1"/>
    <col min="7" max="8" width="8.83203125" style="95"/>
  </cols>
  <sheetData>
    <row r="1" spans="1:8" ht="70" x14ac:dyDescent="0.15">
      <c r="A1" s="5" t="s">
        <v>20</v>
      </c>
      <c r="B1" s="1" t="s">
        <v>0</v>
      </c>
      <c r="C1" s="164" t="s">
        <v>224</v>
      </c>
      <c r="D1" s="164" t="s">
        <v>225</v>
      </c>
      <c r="E1" s="164" t="s">
        <v>231</v>
      </c>
      <c r="F1" s="164" t="s">
        <v>232</v>
      </c>
      <c r="G1"/>
      <c r="H1"/>
    </row>
    <row r="2" spans="1:8" x14ac:dyDescent="0.15">
      <c r="A2">
        <v>1</v>
      </c>
      <c r="B2" s="163" t="s">
        <v>192</v>
      </c>
      <c r="C2" s="95">
        <v>1</v>
      </c>
      <c r="D2" s="95">
        <v>0</v>
      </c>
      <c r="E2" s="94">
        <v>0</v>
      </c>
      <c r="F2" s="94">
        <v>1</v>
      </c>
      <c r="G2"/>
      <c r="H2"/>
    </row>
    <row r="3" spans="1:8" x14ac:dyDescent="0.15">
      <c r="A3">
        <v>2</v>
      </c>
      <c r="B3" s="163" t="s">
        <v>193</v>
      </c>
      <c r="C3" s="95">
        <v>1</v>
      </c>
      <c r="D3" s="95">
        <v>0</v>
      </c>
      <c r="E3" s="94">
        <v>0</v>
      </c>
      <c r="F3" s="94">
        <v>1</v>
      </c>
      <c r="G3"/>
      <c r="H3"/>
    </row>
    <row r="4" spans="1:8" x14ac:dyDescent="0.15">
      <c r="A4">
        <v>3</v>
      </c>
      <c r="B4" s="163" t="s">
        <v>194</v>
      </c>
      <c r="C4" s="95">
        <v>1</v>
      </c>
      <c r="D4" s="95">
        <v>0</v>
      </c>
      <c r="E4" s="94">
        <v>0</v>
      </c>
      <c r="F4" s="94">
        <v>1</v>
      </c>
      <c r="G4"/>
      <c r="H4"/>
    </row>
    <row r="5" spans="1:8" x14ac:dyDescent="0.15">
      <c r="A5">
        <v>4</v>
      </c>
      <c r="B5" s="163" t="s">
        <v>195</v>
      </c>
      <c r="C5" s="95">
        <v>1</v>
      </c>
      <c r="D5" s="95">
        <v>0</v>
      </c>
      <c r="E5" s="94">
        <v>0</v>
      </c>
      <c r="F5" s="94">
        <v>1</v>
      </c>
      <c r="G5"/>
      <c r="H5"/>
    </row>
    <row r="6" spans="1:8" x14ac:dyDescent="0.15">
      <c r="A6">
        <v>5</v>
      </c>
      <c r="B6" s="163" t="s">
        <v>196</v>
      </c>
      <c r="C6" s="95">
        <v>1</v>
      </c>
      <c r="D6" s="95">
        <v>0</v>
      </c>
      <c r="E6" s="94">
        <v>0</v>
      </c>
      <c r="F6" s="94">
        <v>1</v>
      </c>
      <c r="G6"/>
      <c r="H6"/>
    </row>
    <row r="7" spans="1:8" x14ac:dyDescent="0.15">
      <c r="A7">
        <v>6</v>
      </c>
      <c r="B7" s="163" t="s">
        <v>197</v>
      </c>
      <c r="C7" s="95">
        <v>1</v>
      </c>
      <c r="D7" s="95">
        <v>0</v>
      </c>
      <c r="E7" s="94">
        <v>0</v>
      </c>
      <c r="F7" s="94">
        <v>1</v>
      </c>
      <c r="G7"/>
      <c r="H7"/>
    </row>
    <row r="8" spans="1:8" x14ac:dyDescent="0.15">
      <c r="A8">
        <v>7</v>
      </c>
      <c r="B8" s="163" t="s">
        <v>198</v>
      </c>
      <c r="C8" s="95">
        <v>1</v>
      </c>
      <c r="D8" s="95">
        <v>0</v>
      </c>
      <c r="E8" s="94">
        <v>0</v>
      </c>
      <c r="F8" s="94">
        <v>1</v>
      </c>
      <c r="G8"/>
      <c r="H8"/>
    </row>
    <row r="9" spans="1:8" x14ac:dyDescent="0.15">
      <c r="A9">
        <v>8</v>
      </c>
      <c r="B9" s="163" t="s">
        <v>199</v>
      </c>
      <c r="C9" s="95">
        <v>1</v>
      </c>
      <c r="D9" s="95">
        <v>0</v>
      </c>
      <c r="E9" s="94">
        <v>0</v>
      </c>
      <c r="F9" s="94">
        <v>1</v>
      </c>
      <c r="G9"/>
      <c r="H9"/>
    </row>
    <row r="10" spans="1:8" x14ac:dyDescent="0.15">
      <c r="A10">
        <v>9</v>
      </c>
      <c r="B10" s="163" t="s">
        <v>200</v>
      </c>
      <c r="C10" s="95">
        <v>1</v>
      </c>
      <c r="D10" s="95">
        <v>0</v>
      </c>
      <c r="E10" s="94">
        <v>0</v>
      </c>
      <c r="F10" s="94">
        <v>1</v>
      </c>
      <c r="G10"/>
      <c r="H10"/>
    </row>
    <row r="11" spans="1:8" x14ac:dyDescent="0.15">
      <c r="A11">
        <v>10</v>
      </c>
      <c r="B11" s="163" t="s">
        <v>201</v>
      </c>
      <c r="C11" s="95">
        <v>1</v>
      </c>
      <c r="D11" s="95">
        <v>0</v>
      </c>
      <c r="E11" s="94">
        <v>0</v>
      </c>
      <c r="F11" s="94">
        <v>1</v>
      </c>
      <c r="G11"/>
      <c r="H11"/>
    </row>
    <row r="12" spans="1:8" x14ac:dyDescent="0.15">
      <c r="A12">
        <v>11</v>
      </c>
      <c r="B12" s="163" t="s">
        <v>202</v>
      </c>
      <c r="C12" s="95">
        <v>1</v>
      </c>
      <c r="D12" s="95">
        <v>0</v>
      </c>
      <c r="E12" s="94">
        <v>0</v>
      </c>
      <c r="F12" s="94">
        <v>1</v>
      </c>
      <c r="G12"/>
      <c r="H12"/>
    </row>
    <row r="13" spans="1:8" x14ac:dyDescent="0.15">
      <c r="A13">
        <v>12</v>
      </c>
      <c r="B13" s="163" t="s">
        <v>203</v>
      </c>
      <c r="C13" s="95">
        <v>1</v>
      </c>
      <c r="D13" s="95">
        <v>0</v>
      </c>
      <c r="E13" s="94">
        <v>0</v>
      </c>
      <c r="F13" s="94">
        <v>1</v>
      </c>
      <c r="G13"/>
      <c r="H13"/>
    </row>
    <row r="14" spans="1:8" x14ac:dyDescent="0.15">
      <c r="A14">
        <v>13</v>
      </c>
      <c r="B14" s="163" t="s">
        <v>204</v>
      </c>
      <c r="C14" s="95">
        <v>1</v>
      </c>
      <c r="D14" s="95">
        <v>0</v>
      </c>
      <c r="E14" s="94">
        <v>0</v>
      </c>
      <c r="F14" s="94">
        <v>1</v>
      </c>
      <c r="G14"/>
      <c r="H14"/>
    </row>
    <row r="15" spans="1:8" x14ac:dyDescent="0.15">
      <c r="A15">
        <v>14</v>
      </c>
      <c r="B15" s="163" t="s">
        <v>205</v>
      </c>
      <c r="C15" s="95">
        <v>1</v>
      </c>
      <c r="D15" s="95">
        <v>0</v>
      </c>
      <c r="E15" s="94">
        <v>0</v>
      </c>
      <c r="F15" s="94">
        <v>1</v>
      </c>
      <c r="G15"/>
      <c r="H15"/>
    </row>
    <row r="16" spans="1:8" x14ac:dyDescent="0.15">
      <c r="A16">
        <v>15</v>
      </c>
      <c r="B16" s="163" t="s">
        <v>206</v>
      </c>
      <c r="C16" s="95">
        <v>1</v>
      </c>
      <c r="D16" s="95">
        <v>0</v>
      </c>
      <c r="E16" s="94">
        <v>0</v>
      </c>
      <c r="F16" s="94">
        <v>1</v>
      </c>
      <c r="G16"/>
      <c r="H16"/>
    </row>
    <row r="17" spans="1:8" ht="15" customHeight="1" x14ac:dyDescent="0.15">
      <c r="A17">
        <v>16</v>
      </c>
      <c r="B17" s="163" t="s">
        <v>207</v>
      </c>
      <c r="C17" s="95">
        <v>1</v>
      </c>
      <c r="D17" s="95">
        <v>0</v>
      </c>
      <c r="E17" s="94">
        <v>0</v>
      </c>
      <c r="F17" s="94">
        <v>1</v>
      </c>
      <c r="G17"/>
      <c r="H17"/>
    </row>
    <row r="18" spans="1:8" ht="15" customHeight="1" x14ac:dyDescent="0.15">
      <c r="A18">
        <v>17</v>
      </c>
      <c r="B18" s="163" t="s">
        <v>208</v>
      </c>
      <c r="C18" s="95">
        <v>1</v>
      </c>
      <c r="D18" s="95">
        <v>0</v>
      </c>
      <c r="E18" s="94">
        <v>0</v>
      </c>
      <c r="F18" s="94">
        <v>1</v>
      </c>
      <c r="G18"/>
      <c r="H18"/>
    </row>
    <row r="19" spans="1:8" ht="15" customHeight="1" x14ac:dyDescent="0.15">
      <c r="A19">
        <v>18</v>
      </c>
      <c r="B19" s="163" t="s">
        <v>209</v>
      </c>
      <c r="C19" s="95">
        <v>1</v>
      </c>
      <c r="D19" s="95">
        <v>0</v>
      </c>
      <c r="E19" s="94">
        <v>0</v>
      </c>
      <c r="F19" s="94">
        <v>1</v>
      </c>
      <c r="G19"/>
      <c r="H19"/>
    </row>
    <row r="20" spans="1:8" ht="15" customHeight="1" x14ac:dyDescent="0.15">
      <c r="A20">
        <v>19</v>
      </c>
      <c r="B20" s="163" t="s">
        <v>210</v>
      </c>
      <c r="C20" s="95">
        <v>1</v>
      </c>
      <c r="D20" s="95">
        <v>0</v>
      </c>
      <c r="E20" s="94">
        <v>0</v>
      </c>
      <c r="F20" s="94">
        <v>1</v>
      </c>
      <c r="G20"/>
      <c r="H20"/>
    </row>
    <row r="21" spans="1:8" ht="15" customHeight="1" x14ac:dyDescent="0.15">
      <c r="A21">
        <v>20</v>
      </c>
      <c r="B21" s="163" t="s">
        <v>211</v>
      </c>
      <c r="C21" s="95">
        <v>1</v>
      </c>
      <c r="D21" s="95">
        <v>0</v>
      </c>
      <c r="E21" s="94">
        <v>0</v>
      </c>
      <c r="F21" s="94">
        <v>1</v>
      </c>
      <c r="G21"/>
      <c r="H21"/>
    </row>
    <row r="22" spans="1:8" ht="15" customHeight="1" x14ac:dyDescent="0.15">
      <c r="A22">
        <v>21</v>
      </c>
      <c r="B22" s="163" t="s">
        <v>212</v>
      </c>
      <c r="C22" s="95">
        <v>1</v>
      </c>
      <c r="D22" s="95">
        <v>0</v>
      </c>
      <c r="E22" s="94">
        <v>0</v>
      </c>
      <c r="F22" s="94">
        <v>1</v>
      </c>
      <c r="G22"/>
      <c r="H22"/>
    </row>
    <row r="23" spans="1:8" ht="15" customHeight="1" x14ac:dyDescent="0.15">
      <c r="A23">
        <v>22</v>
      </c>
      <c r="B23" s="163" t="s">
        <v>213</v>
      </c>
      <c r="C23" s="95">
        <v>1</v>
      </c>
      <c r="D23" s="95">
        <v>0</v>
      </c>
      <c r="E23" s="94">
        <v>0</v>
      </c>
      <c r="F23" s="94">
        <v>1</v>
      </c>
      <c r="G23"/>
      <c r="H23"/>
    </row>
    <row r="24" spans="1:8" ht="15" customHeight="1" x14ac:dyDescent="0.15">
      <c r="A24">
        <v>23</v>
      </c>
      <c r="B24" s="163" t="s">
        <v>214</v>
      </c>
      <c r="C24" s="95">
        <v>1</v>
      </c>
      <c r="D24" s="95">
        <v>0</v>
      </c>
      <c r="E24" s="94">
        <v>0</v>
      </c>
      <c r="F24" s="94">
        <v>1</v>
      </c>
      <c r="G24"/>
      <c r="H24"/>
    </row>
    <row r="25" spans="1:8" ht="15" customHeight="1" x14ac:dyDescent="0.15">
      <c r="A25">
        <v>24</v>
      </c>
      <c r="B25" s="163" t="s">
        <v>215</v>
      </c>
      <c r="C25" s="95">
        <v>1</v>
      </c>
      <c r="D25" s="95">
        <v>0</v>
      </c>
      <c r="E25" s="94">
        <v>0</v>
      </c>
      <c r="F25" s="94">
        <v>1</v>
      </c>
      <c r="G25"/>
      <c r="H25"/>
    </row>
    <row r="26" spans="1:8" ht="15" customHeight="1" x14ac:dyDescent="0.15">
      <c r="A26">
        <v>25</v>
      </c>
      <c r="B26" s="163" t="s">
        <v>216</v>
      </c>
      <c r="C26" s="95">
        <v>1</v>
      </c>
      <c r="D26" s="95">
        <v>0</v>
      </c>
      <c r="E26" s="94">
        <v>0</v>
      </c>
      <c r="F26" s="94">
        <v>1</v>
      </c>
      <c r="G26"/>
      <c r="H26"/>
    </row>
    <row r="27" spans="1:8" ht="15" customHeight="1" x14ac:dyDescent="0.15">
      <c r="A27">
        <v>26</v>
      </c>
      <c r="B27" s="163" t="s">
        <v>217</v>
      </c>
      <c r="C27" s="95">
        <v>1</v>
      </c>
      <c r="D27" s="95">
        <v>0</v>
      </c>
      <c r="E27" s="94">
        <v>0</v>
      </c>
      <c r="F27" s="94">
        <v>1</v>
      </c>
      <c r="G27"/>
      <c r="H27"/>
    </row>
    <row r="28" spans="1:8" ht="15" customHeight="1" x14ac:dyDescent="0.15">
      <c r="A28">
        <v>27</v>
      </c>
      <c r="B28" s="163" t="s">
        <v>218</v>
      </c>
      <c r="C28" s="95">
        <v>1</v>
      </c>
      <c r="D28" s="95">
        <v>0</v>
      </c>
      <c r="E28" s="94">
        <v>0</v>
      </c>
      <c r="F28" s="94">
        <v>1</v>
      </c>
      <c r="G28"/>
      <c r="H28"/>
    </row>
    <row r="29" spans="1:8" ht="15" customHeight="1" x14ac:dyDescent="0.15">
      <c r="A29">
        <v>28</v>
      </c>
      <c r="B29" s="163" t="s">
        <v>219</v>
      </c>
      <c r="C29" s="95">
        <v>1</v>
      </c>
      <c r="D29" s="95">
        <v>0</v>
      </c>
      <c r="E29" s="94">
        <v>0</v>
      </c>
      <c r="F29" s="94">
        <v>1</v>
      </c>
      <c r="G29"/>
      <c r="H29"/>
    </row>
    <row r="30" spans="1:8" ht="15" customHeight="1" x14ac:dyDescent="0.15">
      <c r="A30">
        <v>29</v>
      </c>
      <c r="B30" s="163" t="s">
        <v>220</v>
      </c>
      <c r="C30" s="95">
        <v>1</v>
      </c>
      <c r="D30" s="95">
        <v>0</v>
      </c>
      <c r="E30" s="94">
        <v>0</v>
      </c>
      <c r="F30" s="94">
        <v>1</v>
      </c>
      <c r="G30"/>
      <c r="H30"/>
    </row>
    <row r="31" spans="1:8" ht="15" customHeight="1" x14ac:dyDescent="0.15">
      <c r="A31">
        <v>30</v>
      </c>
      <c r="B31" s="163" t="s">
        <v>221</v>
      </c>
      <c r="C31" s="95">
        <v>1</v>
      </c>
      <c r="D31" s="95">
        <v>0</v>
      </c>
      <c r="E31" s="94">
        <v>0</v>
      </c>
      <c r="F31" s="94">
        <v>1</v>
      </c>
      <c r="G31"/>
      <c r="H31"/>
    </row>
    <row r="32" spans="1:8" ht="15" customHeight="1" x14ac:dyDescent="0.15">
      <c r="A32">
        <v>31</v>
      </c>
      <c r="B32" s="163" t="s">
        <v>222</v>
      </c>
      <c r="C32" s="95">
        <v>1</v>
      </c>
      <c r="D32" s="95">
        <v>0</v>
      </c>
      <c r="E32" s="94">
        <v>0</v>
      </c>
      <c r="F32" s="94">
        <v>1</v>
      </c>
    </row>
    <row r="33" spans="1:8" ht="15" customHeight="1" x14ac:dyDescent="0.15">
      <c r="A33">
        <v>32</v>
      </c>
      <c r="B33" s="163" t="s">
        <v>223</v>
      </c>
      <c r="C33" s="95">
        <v>1</v>
      </c>
      <c r="D33" s="95">
        <v>0</v>
      </c>
      <c r="E33" s="94">
        <v>0</v>
      </c>
      <c r="F33" s="94">
        <v>1</v>
      </c>
    </row>
    <row r="34" spans="1:8" ht="15" customHeight="1" x14ac:dyDescent="0.15">
      <c r="A34">
        <v>33</v>
      </c>
      <c r="B34" s="163" t="s">
        <v>224</v>
      </c>
      <c r="C34" s="95">
        <v>0</v>
      </c>
      <c r="D34" s="95">
        <v>1</v>
      </c>
      <c r="E34" s="94">
        <v>0</v>
      </c>
      <c r="F34" s="94">
        <v>1</v>
      </c>
    </row>
    <row r="35" spans="1:8" ht="15" customHeight="1" x14ac:dyDescent="0.15">
      <c r="A35">
        <v>34</v>
      </c>
      <c r="B35" s="163" t="s">
        <v>225</v>
      </c>
      <c r="C35" s="95">
        <v>0</v>
      </c>
      <c r="D35" s="95">
        <v>0</v>
      </c>
      <c r="E35" s="94">
        <v>1</v>
      </c>
      <c r="F35" s="94">
        <v>1</v>
      </c>
    </row>
    <row r="36" spans="1:8" ht="15" customHeight="1" x14ac:dyDescent="0.15">
      <c r="A36">
        <v>35</v>
      </c>
      <c r="B36" s="163" t="s">
        <v>226</v>
      </c>
      <c r="C36" s="95">
        <v>0</v>
      </c>
      <c r="D36" s="95">
        <v>1</v>
      </c>
      <c r="E36" s="95">
        <v>0</v>
      </c>
      <c r="F36" s="95">
        <v>1</v>
      </c>
      <c r="G36"/>
      <c r="H36"/>
    </row>
    <row r="37" spans="1:8" ht="15" customHeight="1" x14ac:dyDescent="0.15">
      <c r="A37">
        <v>36</v>
      </c>
      <c r="B37" s="163" t="s">
        <v>227</v>
      </c>
      <c r="C37" s="95">
        <v>0</v>
      </c>
      <c r="D37" s="95">
        <v>1</v>
      </c>
      <c r="E37" s="95">
        <v>0</v>
      </c>
      <c r="F37" s="95">
        <v>1</v>
      </c>
      <c r="G37"/>
      <c r="H37"/>
    </row>
    <row r="38" spans="1:8" ht="15" customHeight="1" x14ac:dyDescent="0.15">
      <c r="A38">
        <v>37</v>
      </c>
      <c r="B38" s="163" t="s">
        <v>228</v>
      </c>
      <c r="C38" s="95">
        <v>0</v>
      </c>
      <c r="D38" s="95">
        <v>1</v>
      </c>
      <c r="E38" s="95">
        <v>0</v>
      </c>
      <c r="F38" s="95">
        <v>1</v>
      </c>
      <c r="G38"/>
      <c r="H38"/>
    </row>
    <row r="39" spans="1:8" ht="15" customHeight="1" x14ac:dyDescent="0.15">
      <c r="A39">
        <v>38</v>
      </c>
      <c r="B39" s="163" t="s">
        <v>229</v>
      </c>
      <c r="C39" s="95">
        <v>0</v>
      </c>
      <c r="D39" s="95">
        <v>1</v>
      </c>
      <c r="E39" s="95">
        <v>0</v>
      </c>
      <c r="F39" s="95">
        <v>1</v>
      </c>
      <c r="G39"/>
      <c r="H39"/>
    </row>
    <row r="40" spans="1:8" ht="15" customHeight="1" x14ac:dyDescent="0.15">
      <c r="C40"/>
      <c r="D40"/>
      <c r="E40" s="95"/>
      <c r="F40" s="95"/>
      <c r="G40"/>
      <c r="H40"/>
    </row>
    <row r="41" spans="1:8" ht="15" customHeight="1" x14ac:dyDescent="0.15">
      <c r="C41"/>
      <c r="D41"/>
      <c r="E41" s="95"/>
      <c r="F41" s="95"/>
      <c r="G41"/>
      <c r="H41"/>
    </row>
    <row r="42" spans="1:8" ht="15" customHeight="1" x14ac:dyDescent="0.15">
      <c r="C42"/>
      <c r="D42"/>
      <c r="E42" s="95"/>
      <c r="F42" s="95"/>
      <c r="G42"/>
      <c r="H42"/>
    </row>
    <row r="43" spans="1:8" ht="15" customHeight="1" x14ac:dyDescent="0.15">
      <c r="C43"/>
      <c r="D43"/>
      <c r="E43" s="95"/>
      <c r="F43" s="95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95"/>
      <c r="F46" s="9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33203125" bestFit="1" customWidth="1"/>
    <col min="3" max="5" width="5.83203125" bestFit="1" customWidth="1"/>
    <col min="6" max="6" width="4.83203125" customWidth="1"/>
    <col min="7" max="7" width="5.83203125" customWidth="1"/>
  </cols>
  <sheetData>
    <row r="1" spans="1:7" s="96" customFormat="1" ht="112" x14ac:dyDescent="0.15">
      <c r="A1" s="5" t="s">
        <v>21</v>
      </c>
      <c r="B1" s="3" t="s">
        <v>0</v>
      </c>
      <c r="C1" s="166" t="s">
        <v>226</v>
      </c>
      <c r="D1" s="166" t="s">
        <v>227</v>
      </c>
      <c r="E1" s="166" t="s">
        <v>228</v>
      </c>
      <c r="F1" s="166" t="s">
        <v>229</v>
      </c>
      <c r="G1" s="166" t="s">
        <v>233</v>
      </c>
    </row>
    <row r="2" spans="1:7" ht="15" customHeight="1" x14ac:dyDescent="0.15">
      <c r="A2">
        <v>1</v>
      </c>
      <c r="B2" s="165" t="s">
        <v>192</v>
      </c>
      <c r="C2">
        <v>0.18</v>
      </c>
      <c r="D2">
        <v>0</v>
      </c>
      <c r="E2">
        <v>0</v>
      </c>
      <c r="F2">
        <v>0</v>
      </c>
      <c r="G2">
        <v>0.18</v>
      </c>
    </row>
    <row r="3" spans="1:7" ht="15" customHeight="1" x14ac:dyDescent="0.15">
      <c r="A3">
        <v>2</v>
      </c>
      <c r="B3" s="165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15">
      <c r="A4">
        <v>3</v>
      </c>
      <c r="B4" s="165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ht="15" customHeight="1" x14ac:dyDescent="0.15">
      <c r="A5">
        <v>4</v>
      </c>
      <c r="B5" s="165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ht="15" customHeight="1" x14ac:dyDescent="0.15">
      <c r="A6">
        <v>5</v>
      </c>
      <c r="B6" s="165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ht="15" customHeight="1" x14ac:dyDescent="0.15">
      <c r="A7">
        <v>6</v>
      </c>
      <c r="B7" s="165" t="s">
        <v>197</v>
      </c>
      <c r="C7">
        <v>0.3</v>
      </c>
      <c r="D7">
        <v>3.0000000000000001E-3</v>
      </c>
      <c r="E7">
        <v>0.14699999999999999</v>
      </c>
      <c r="F7">
        <v>0</v>
      </c>
      <c r="G7">
        <v>0.44999999999999996</v>
      </c>
    </row>
    <row r="8" spans="1:7" ht="15" customHeight="1" x14ac:dyDescent="0.15">
      <c r="A8">
        <v>7</v>
      </c>
      <c r="B8" s="165" t="s">
        <v>198</v>
      </c>
      <c r="C8">
        <v>0.31</v>
      </c>
      <c r="D8">
        <v>1.7000000000000001E-2</v>
      </c>
      <c r="E8">
        <v>0</v>
      </c>
      <c r="F8">
        <v>0</v>
      </c>
      <c r="G8">
        <v>0.32700000000000001</v>
      </c>
    </row>
    <row r="9" spans="1:7" ht="15" customHeight="1" x14ac:dyDescent="0.15">
      <c r="A9">
        <v>8</v>
      </c>
      <c r="B9" s="165" t="s">
        <v>199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ht="15" customHeight="1" x14ac:dyDescent="0.15">
      <c r="A10">
        <v>9</v>
      </c>
      <c r="B10" s="165" t="s">
        <v>200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ht="15" customHeight="1" x14ac:dyDescent="0.15">
      <c r="A11">
        <v>10</v>
      </c>
      <c r="B11" s="165" t="s">
        <v>201</v>
      </c>
      <c r="C11">
        <v>2.5099999999999998</v>
      </c>
      <c r="D11">
        <v>3.0000000000000001E-3</v>
      </c>
      <c r="E11">
        <v>0</v>
      </c>
      <c r="F11">
        <v>0</v>
      </c>
      <c r="G11">
        <v>2.5129999999999999</v>
      </c>
    </row>
    <row r="12" spans="1:7" ht="15" customHeight="1" x14ac:dyDescent="0.15">
      <c r="A12">
        <v>11</v>
      </c>
      <c r="B12" s="165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ht="15" customHeight="1" x14ac:dyDescent="0.15">
      <c r="A13">
        <v>12</v>
      </c>
      <c r="B13" s="165" t="s">
        <v>203</v>
      </c>
      <c r="C13">
        <v>5.0000000000000001E-3</v>
      </c>
      <c r="D13">
        <v>6.0000000000000001E-3</v>
      </c>
      <c r="E13">
        <v>0</v>
      </c>
      <c r="F13">
        <v>0</v>
      </c>
      <c r="G13">
        <v>1.0999999999999999E-2</v>
      </c>
    </row>
    <row r="14" spans="1:7" ht="15" customHeight="1" x14ac:dyDescent="0.15">
      <c r="A14">
        <v>13</v>
      </c>
      <c r="B14" s="165" t="s">
        <v>204</v>
      </c>
      <c r="C14">
        <v>0</v>
      </c>
      <c r="D14">
        <v>0</v>
      </c>
      <c r="E14">
        <v>0</v>
      </c>
      <c r="F14">
        <v>0.27</v>
      </c>
      <c r="G14">
        <v>0.27</v>
      </c>
    </row>
    <row r="15" spans="1:7" ht="15" customHeight="1" x14ac:dyDescent="0.15">
      <c r="A15">
        <v>14</v>
      </c>
      <c r="B15" s="165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ht="15" customHeight="1" x14ac:dyDescent="0.15">
      <c r="A16">
        <v>15</v>
      </c>
      <c r="B16" s="165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ht="15" customHeight="1" x14ac:dyDescent="0.15">
      <c r="A17">
        <v>16</v>
      </c>
      <c r="B17" s="165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ht="15" customHeight="1" x14ac:dyDescent="0.15">
      <c r="A18">
        <v>17</v>
      </c>
      <c r="B18" s="165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ht="15" customHeight="1" x14ac:dyDescent="0.15">
      <c r="A19">
        <v>18</v>
      </c>
      <c r="B19" s="165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ht="15" customHeight="1" x14ac:dyDescent="0.15">
      <c r="A20">
        <v>19</v>
      </c>
      <c r="B20" s="165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ht="15" customHeight="1" x14ac:dyDescent="0.15">
      <c r="A21">
        <v>20</v>
      </c>
      <c r="B21" s="165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ht="15" customHeight="1" x14ac:dyDescent="0.15">
      <c r="A22">
        <v>21</v>
      </c>
      <c r="B22" s="165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ht="15" customHeight="1" x14ac:dyDescent="0.15">
      <c r="A23">
        <v>22</v>
      </c>
      <c r="B23" s="165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ht="15" customHeight="1" x14ac:dyDescent="0.15">
      <c r="A24">
        <v>23</v>
      </c>
      <c r="B24" s="165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ht="15" customHeight="1" x14ac:dyDescent="0.15">
      <c r="A25">
        <v>24</v>
      </c>
      <c r="B25" s="165" t="s">
        <v>215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ht="15" customHeight="1" x14ac:dyDescent="0.15">
      <c r="A26">
        <v>25</v>
      </c>
      <c r="B26" s="165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ht="15" customHeight="1" x14ac:dyDescent="0.15">
      <c r="A27">
        <v>26</v>
      </c>
      <c r="B27" s="165" t="s">
        <v>217</v>
      </c>
      <c r="C27">
        <v>0.09</v>
      </c>
      <c r="D27">
        <v>0</v>
      </c>
      <c r="E27">
        <v>0</v>
      </c>
      <c r="F27">
        <v>0</v>
      </c>
      <c r="G27">
        <v>0.09</v>
      </c>
    </row>
    <row r="28" spans="1:7" ht="15" customHeight="1" x14ac:dyDescent="0.15">
      <c r="A28">
        <v>27</v>
      </c>
      <c r="B28" s="165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ht="15" customHeight="1" x14ac:dyDescent="0.15">
      <c r="A29">
        <v>28</v>
      </c>
      <c r="B29" s="165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ht="15" customHeight="1" x14ac:dyDescent="0.15">
      <c r="A30">
        <v>29</v>
      </c>
      <c r="B30" s="165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ht="15" customHeight="1" x14ac:dyDescent="0.15">
      <c r="A31">
        <v>30</v>
      </c>
      <c r="B31" s="165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ht="15" customHeight="1" x14ac:dyDescent="0.15">
      <c r="A32">
        <v>31</v>
      </c>
      <c r="B32" s="165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ht="15" customHeight="1" x14ac:dyDescent="0.15">
      <c r="A33">
        <v>32</v>
      </c>
      <c r="B33" s="165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ht="15" customHeight="1" x14ac:dyDescent="0.15">
      <c r="A34">
        <v>33</v>
      </c>
      <c r="B34" s="165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ht="15" customHeight="1" x14ac:dyDescent="0.15">
      <c r="A35">
        <v>34</v>
      </c>
      <c r="B35" s="165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ht="15" customHeight="1" x14ac:dyDescent="0.15"/>
    <row r="37" spans="1:7" ht="15" customHeight="1" x14ac:dyDescent="0.15"/>
    <row r="38" spans="1:7" ht="15" customHeight="1" x14ac:dyDescent="0.15"/>
    <row r="39" spans="1:7" ht="15" customHeight="1" x14ac:dyDescent="0.15"/>
    <row r="40" spans="1:7" ht="15" customHeight="1" x14ac:dyDescent="0.15"/>
    <row r="41" spans="1:7" ht="15" customHeight="1" x14ac:dyDescent="0.15"/>
    <row r="42" spans="1:7" ht="15" customHeight="1" x14ac:dyDescent="0.15"/>
    <row r="43" spans="1:7" ht="15" customHeight="1" x14ac:dyDescent="0.15"/>
    <row r="44" spans="1:7" ht="15" customHeight="1" x14ac:dyDescent="0.15"/>
    <row r="45" spans="1:7" ht="15" customHeight="1" x14ac:dyDescent="0.15"/>
    <row r="46" spans="1:7" ht="15" customHeight="1" x14ac:dyDescent="0.15"/>
    <row r="47" spans="1:7" ht="15" customHeight="1" x14ac:dyDescent="0.15"/>
    <row r="48" spans="1:7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3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33203125" bestFit="1" customWidth="1"/>
    <col min="3" max="5" width="2.33203125" bestFit="1" customWidth="1"/>
    <col min="6" max="7" width="2.33203125" customWidth="1"/>
  </cols>
  <sheetData>
    <row r="1" spans="1:7" s="96" customFormat="1" ht="112" x14ac:dyDescent="0.15">
      <c r="A1" s="5" t="s">
        <v>22</v>
      </c>
      <c r="B1" s="3" t="s">
        <v>0</v>
      </c>
      <c r="C1" s="168" t="s">
        <v>226</v>
      </c>
      <c r="D1" s="168" t="s">
        <v>227</v>
      </c>
      <c r="E1" s="168" t="s">
        <v>228</v>
      </c>
      <c r="F1" s="168" t="s">
        <v>229</v>
      </c>
      <c r="G1" s="168" t="s">
        <v>233</v>
      </c>
    </row>
    <row r="2" spans="1:7" x14ac:dyDescent="0.15">
      <c r="A2">
        <v>1</v>
      </c>
      <c r="B2" s="167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67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67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67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67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>
        <v>6</v>
      </c>
      <c r="B7" s="167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67" t="s">
        <v>198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67" t="s">
        <v>199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>
        <v>9</v>
      </c>
      <c r="B10" s="167" t="s">
        <v>200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67" t="s">
        <v>201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15">
      <c r="A12">
        <v>11</v>
      </c>
      <c r="B12" s="167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67" t="s">
        <v>203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67" t="s">
        <v>204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67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67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67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67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67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67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67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67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67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67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67" t="s">
        <v>215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67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67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67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15">
      <c r="A29">
        <v>28</v>
      </c>
      <c r="B29" s="167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15">
      <c r="A30">
        <v>29</v>
      </c>
      <c r="B30" s="167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67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67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67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67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67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6.33203125" bestFit="1" customWidth="1"/>
    <col min="6" max="6" width="4.83203125" bestFit="1" customWidth="1"/>
    <col min="7" max="9" width="3.83203125" bestFit="1" customWidth="1"/>
    <col min="10" max="11" width="4.83203125" style="9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7" customFormat="1" ht="14" thickBot="1" x14ac:dyDescent="0.2">
      <c r="D1" s="98" t="s">
        <v>8</v>
      </c>
      <c r="E1" s="98" t="s">
        <v>0</v>
      </c>
      <c r="F1" s="99" t="s">
        <v>99</v>
      </c>
      <c r="G1" s="100" t="s">
        <v>84</v>
      </c>
      <c r="H1" s="100" t="s">
        <v>85</v>
      </c>
      <c r="I1" s="100" t="s">
        <v>86</v>
      </c>
      <c r="J1" s="100" t="s">
        <v>87</v>
      </c>
      <c r="K1" s="100" t="s">
        <v>88</v>
      </c>
      <c r="L1" s="101" t="s">
        <v>89</v>
      </c>
      <c r="M1" s="101" t="s">
        <v>93</v>
      </c>
      <c r="N1" s="101" t="s">
        <v>92</v>
      </c>
      <c r="O1" s="101" t="s">
        <v>90</v>
      </c>
      <c r="P1" s="101" t="s">
        <v>91</v>
      </c>
      <c r="Q1" s="102" t="s">
        <v>94</v>
      </c>
      <c r="R1" s="102" t="s">
        <v>95</v>
      </c>
      <c r="S1" s="102" t="s">
        <v>96</v>
      </c>
      <c r="T1" s="102" t="s">
        <v>97</v>
      </c>
      <c r="U1" s="102" t="s">
        <v>98</v>
      </c>
      <c r="V1" s="100" t="s">
        <v>100</v>
      </c>
      <c r="W1" s="100" t="s">
        <v>101</v>
      </c>
      <c r="X1" s="100" t="s">
        <v>102</v>
      </c>
      <c r="Y1" s="100" t="s">
        <v>134</v>
      </c>
      <c r="Z1" s="101" t="s">
        <v>103</v>
      </c>
      <c r="AA1" s="101" t="s">
        <v>104</v>
      </c>
      <c r="AB1" s="101" t="s">
        <v>105</v>
      </c>
      <c r="AC1" s="103" t="s">
        <v>135</v>
      </c>
      <c r="AD1" s="102" t="s">
        <v>106</v>
      </c>
      <c r="AE1" s="102" t="s">
        <v>107</v>
      </c>
      <c r="AF1" s="102" t="s">
        <v>108</v>
      </c>
      <c r="AG1" s="102" t="s">
        <v>136</v>
      </c>
      <c r="AH1" s="100" t="s">
        <v>109</v>
      </c>
      <c r="AI1" s="100" t="s">
        <v>111</v>
      </c>
      <c r="AJ1" s="100" t="s">
        <v>110</v>
      </c>
      <c r="AK1" s="101" t="s">
        <v>115</v>
      </c>
      <c r="AL1" s="101" t="s">
        <v>116</v>
      </c>
      <c r="AM1" s="101" t="s">
        <v>117</v>
      </c>
      <c r="AN1" s="102" t="s">
        <v>112</v>
      </c>
      <c r="AO1" s="102" t="s">
        <v>113</v>
      </c>
      <c r="AP1" s="102" t="s">
        <v>114</v>
      </c>
    </row>
    <row r="2" spans="1:42" x14ac:dyDescent="0.15">
      <c r="A2" s="104" t="s">
        <v>74</v>
      </c>
      <c r="B2" s="105">
        <v>1</v>
      </c>
      <c r="D2">
        <v>1</v>
      </c>
      <c r="E2" s="169" t="s">
        <v>192</v>
      </c>
      <c r="F2">
        <v>0.98</v>
      </c>
      <c r="G2">
        <v>0.8</v>
      </c>
      <c r="H2">
        <v>0.8</v>
      </c>
      <c r="I2">
        <v>0.8</v>
      </c>
      <c r="J2" s="95">
        <v>0.25</v>
      </c>
      <c r="K2" s="95">
        <v>0.05</v>
      </c>
    </row>
    <row r="3" spans="1:42" x14ac:dyDescent="0.15">
      <c r="A3" s="104" t="s">
        <v>75</v>
      </c>
      <c r="B3" s="106">
        <v>1</v>
      </c>
      <c r="D3">
        <v>2</v>
      </c>
      <c r="E3" s="169" t="s">
        <v>193</v>
      </c>
      <c r="F3">
        <v>0.98</v>
      </c>
      <c r="G3">
        <v>0.8</v>
      </c>
      <c r="H3">
        <v>0.8</v>
      </c>
      <c r="I3">
        <v>0.8</v>
      </c>
      <c r="J3" s="95">
        <v>0.25</v>
      </c>
      <c r="K3" s="95">
        <v>0.05</v>
      </c>
    </row>
    <row r="4" spans="1:42" x14ac:dyDescent="0.15">
      <c r="A4" s="104" t="s">
        <v>76</v>
      </c>
      <c r="B4" s="106">
        <v>1</v>
      </c>
      <c r="D4">
        <v>3</v>
      </c>
      <c r="E4" s="169" t="s">
        <v>194</v>
      </c>
      <c r="F4">
        <v>0.98</v>
      </c>
      <c r="G4">
        <v>0.8</v>
      </c>
      <c r="H4">
        <v>0.8</v>
      </c>
      <c r="I4">
        <v>0.8</v>
      </c>
      <c r="J4" s="95">
        <v>0.25</v>
      </c>
      <c r="K4" s="95">
        <v>0.05</v>
      </c>
    </row>
    <row r="5" spans="1:42" x14ac:dyDescent="0.15">
      <c r="A5" s="104" t="s">
        <v>77</v>
      </c>
      <c r="B5" s="106">
        <v>1</v>
      </c>
      <c r="D5">
        <v>4</v>
      </c>
      <c r="E5" s="169" t="s">
        <v>195</v>
      </c>
      <c r="F5">
        <v>0.98</v>
      </c>
      <c r="G5">
        <v>0.8</v>
      </c>
      <c r="H5">
        <v>0.8</v>
      </c>
      <c r="I5">
        <v>0.8</v>
      </c>
      <c r="J5" s="95">
        <v>0.25</v>
      </c>
      <c r="K5" s="95">
        <v>0.05</v>
      </c>
    </row>
    <row r="6" spans="1:42" x14ac:dyDescent="0.15">
      <c r="A6" s="104" t="s">
        <v>78</v>
      </c>
      <c r="B6" s="106">
        <v>1</v>
      </c>
      <c r="D6">
        <v>5</v>
      </c>
      <c r="E6" s="169" t="s">
        <v>196</v>
      </c>
      <c r="F6">
        <v>0.98</v>
      </c>
      <c r="G6">
        <v>0.8</v>
      </c>
      <c r="H6">
        <v>0.8</v>
      </c>
      <c r="I6">
        <v>0.8</v>
      </c>
      <c r="J6" s="95">
        <v>0.25</v>
      </c>
      <c r="K6" s="95">
        <v>0.05</v>
      </c>
    </row>
    <row r="7" spans="1:42" x14ac:dyDescent="0.15">
      <c r="A7" s="104" t="s">
        <v>79</v>
      </c>
      <c r="B7" s="106">
        <v>1</v>
      </c>
      <c r="D7">
        <v>6</v>
      </c>
      <c r="E7" s="169" t="s">
        <v>197</v>
      </c>
      <c r="F7">
        <v>0.98</v>
      </c>
      <c r="G7">
        <v>0.8</v>
      </c>
      <c r="H7">
        <v>0.8</v>
      </c>
      <c r="I7">
        <v>0.8</v>
      </c>
      <c r="J7" s="95">
        <v>0.25</v>
      </c>
      <c r="K7" s="95">
        <v>0.05</v>
      </c>
    </row>
    <row r="8" spans="1:42" x14ac:dyDescent="0.15">
      <c r="A8" s="104" t="s">
        <v>80</v>
      </c>
      <c r="B8" s="106">
        <v>1</v>
      </c>
      <c r="D8">
        <v>7</v>
      </c>
      <c r="E8" s="169" t="s">
        <v>198</v>
      </c>
      <c r="F8">
        <v>0.98</v>
      </c>
      <c r="G8">
        <v>0.8</v>
      </c>
      <c r="H8">
        <v>0.8</v>
      </c>
      <c r="I8">
        <v>0.8</v>
      </c>
      <c r="J8" s="95">
        <v>0.25</v>
      </c>
      <c r="K8" s="95">
        <v>0.05</v>
      </c>
    </row>
    <row r="9" spans="1:42" x14ac:dyDescent="0.15">
      <c r="A9" s="104" t="s">
        <v>81</v>
      </c>
      <c r="B9" s="106">
        <v>0.1</v>
      </c>
      <c r="C9" s="56" t="s">
        <v>150</v>
      </c>
      <c r="D9">
        <v>8</v>
      </c>
      <c r="E9" s="169" t="s">
        <v>199</v>
      </c>
      <c r="F9">
        <v>0.98</v>
      </c>
      <c r="G9">
        <v>0.8</v>
      </c>
      <c r="H9">
        <v>0.8</v>
      </c>
      <c r="I9">
        <v>0.8</v>
      </c>
      <c r="J9" s="95">
        <v>0.25</v>
      </c>
      <c r="K9" s="95">
        <v>0.05</v>
      </c>
    </row>
    <row r="10" spans="1:42" ht="14" thickBot="1" x14ac:dyDescent="0.2">
      <c r="A10" s="104" t="s">
        <v>149</v>
      </c>
      <c r="B10" s="107">
        <f>1/3</f>
        <v>0.33333333333333331</v>
      </c>
      <c r="C10" s="56" t="s">
        <v>150</v>
      </c>
      <c r="D10">
        <v>9</v>
      </c>
      <c r="E10" s="169" t="s">
        <v>200</v>
      </c>
      <c r="F10">
        <v>0.98</v>
      </c>
      <c r="G10">
        <v>0.8</v>
      </c>
      <c r="H10">
        <v>0.8</v>
      </c>
      <c r="I10">
        <v>0.8</v>
      </c>
      <c r="J10" s="95">
        <v>0.25</v>
      </c>
      <c r="K10" s="95">
        <v>0.05</v>
      </c>
    </row>
    <row r="11" spans="1:42" x14ac:dyDescent="0.15">
      <c r="D11">
        <v>10</v>
      </c>
      <c r="E11" s="169" t="s">
        <v>201</v>
      </c>
      <c r="F11">
        <v>0.98</v>
      </c>
      <c r="G11">
        <v>0.8</v>
      </c>
      <c r="H11">
        <v>0.8</v>
      </c>
      <c r="I11">
        <v>0.8</v>
      </c>
      <c r="J11" s="95">
        <v>0.25</v>
      </c>
      <c r="K11" s="95">
        <v>0.05</v>
      </c>
    </row>
    <row r="12" spans="1:42" x14ac:dyDescent="0.15">
      <c r="D12">
        <v>11</v>
      </c>
      <c r="E12" s="169" t="s">
        <v>202</v>
      </c>
      <c r="F12">
        <v>0.98</v>
      </c>
      <c r="G12">
        <v>0.8</v>
      </c>
      <c r="H12">
        <v>0.8</v>
      </c>
      <c r="I12">
        <v>0.8</v>
      </c>
      <c r="J12" s="95">
        <v>0.25</v>
      </c>
      <c r="K12" s="95">
        <v>0.05</v>
      </c>
    </row>
    <row r="13" spans="1:42" x14ac:dyDescent="0.15">
      <c r="D13">
        <v>12</v>
      </c>
      <c r="E13" s="169" t="s">
        <v>203</v>
      </c>
      <c r="F13">
        <v>0.98</v>
      </c>
      <c r="G13">
        <v>0.8</v>
      </c>
      <c r="H13">
        <v>0.8</v>
      </c>
      <c r="I13">
        <v>0.8</v>
      </c>
      <c r="J13" s="95">
        <v>0.25</v>
      </c>
      <c r="K13" s="95">
        <v>0.05</v>
      </c>
    </row>
    <row r="14" spans="1:42" x14ac:dyDescent="0.15">
      <c r="D14">
        <v>13</v>
      </c>
      <c r="E14" s="169" t="s">
        <v>204</v>
      </c>
      <c r="F14">
        <v>0.98</v>
      </c>
      <c r="G14">
        <v>0.8</v>
      </c>
      <c r="H14">
        <v>0.8</v>
      </c>
      <c r="I14">
        <v>0.8</v>
      </c>
      <c r="J14" s="95">
        <v>0.25</v>
      </c>
      <c r="K14" s="95">
        <v>0.05</v>
      </c>
    </row>
    <row r="15" spans="1:42" x14ac:dyDescent="0.15">
      <c r="D15">
        <v>14</v>
      </c>
      <c r="E15" s="169" t="s">
        <v>205</v>
      </c>
      <c r="F15">
        <v>0.98</v>
      </c>
      <c r="G15">
        <v>0.8</v>
      </c>
      <c r="H15">
        <v>0.8</v>
      </c>
      <c r="I15">
        <v>0.8</v>
      </c>
      <c r="J15" s="95">
        <v>0.25</v>
      </c>
      <c r="K15" s="95">
        <v>0.05</v>
      </c>
    </row>
    <row r="16" spans="1:42" x14ac:dyDescent="0.15">
      <c r="D16">
        <v>15</v>
      </c>
      <c r="E16" s="169" t="s">
        <v>206</v>
      </c>
      <c r="F16">
        <v>0.98</v>
      </c>
      <c r="G16">
        <v>0.8</v>
      </c>
      <c r="H16">
        <v>0.8</v>
      </c>
      <c r="I16">
        <v>0.8</v>
      </c>
      <c r="J16" s="95">
        <v>0.25</v>
      </c>
      <c r="K16" s="95">
        <v>0.05</v>
      </c>
    </row>
    <row r="17" spans="4:33" ht="15" customHeight="1" x14ac:dyDescent="0.15">
      <c r="D17">
        <v>16</v>
      </c>
      <c r="E17" s="169" t="s">
        <v>207</v>
      </c>
      <c r="F17">
        <v>0.98</v>
      </c>
      <c r="G17">
        <v>0.8</v>
      </c>
      <c r="H17">
        <v>0.8</v>
      </c>
      <c r="I17">
        <v>0.8</v>
      </c>
      <c r="J17" s="95">
        <v>0.25</v>
      </c>
      <c r="K17" s="95">
        <v>0.05</v>
      </c>
    </row>
    <row r="18" spans="4:33" ht="15" customHeight="1" x14ac:dyDescent="0.15">
      <c r="D18">
        <v>17</v>
      </c>
      <c r="E18" s="169" t="s">
        <v>208</v>
      </c>
      <c r="F18">
        <v>0.98</v>
      </c>
      <c r="G18">
        <v>0.8</v>
      </c>
      <c r="H18">
        <v>0.8</v>
      </c>
      <c r="I18">
        <v>0.8</v>
      </c>
      <c r="J18" s="95">
        <v>0.25</v>
      </c>
      <c r="K18" s="95">
        <v>0.05</v>
      </c>
    </row>
    <row r="19" spans="4:33" ht="15" customHeight="1" x14ac:dyDescent="0.15">
      <c r="D19">
        <v>18</v>
      </c>
      <c r="E19" s="169" t="s">
        <v>209</v>
      </c>
      <c r="F19">
        <v>0.98</v>
      </c>
      <c r="G19">
        <v>0.8</v>
      </c>
      <c r="H19">
        <v>0.8</v>
      </c>
      <c r="I19">
        <v>0.8</v>
      </c>
      <c r="J19" s="95">
        <v>0.25</v>
      </c>
      <c r="K19" s="95">
        <v>0.05</v>
      </c>
    </row>
    <row r="20" spans="4:33" ht="15" customHeight="1" x14ac:dyDescent="0.15">
      <c r="D20">
        <v>19</v>
      </c>
      <c r="E20" s="169" t="s">
        <v>210</v>
      </c>
      <c r="F20">
        <v>0.98</v>
      </c>
      <c r="G20">
        <v>0.8</v>
      </c>
      <c r="H20">
        <v>0.8</v>
      </c>
      <c r="I20">
        <v>0.8</v>
      </c>
      <c r="J20" s="95">
        <v>0.25</v>
      </c>
      <c r="K20" s="95">
        <v>0.05</v>
      </c>
    </row>
    <row r="21" spans="4:33" ht="15" customHeight="1" x14ac:dyDescent="0.15">
      <c r="D21">
        <v>20</v>
      </c>
      <c r="E21" s="169" t="s">
        <v>211</v>
      </c>
      <c r="F21">
        <v>0.98</v>
      </c>
      <c r="G21">
        <v>0.8</v>
      </c>
      <c r="H21">
        <v>0.8</v>
      </c>
      <c r="I21">
        <v>0.8</v>
      </c>
      <c r="J21" s="95">
        <v>0.25</v>
      </c>
      <c r="K21" s="95">
        <v>0.05</v>
      </c>
    </row>
    <row r="22" spans="4:33" ht="15" customHeight="1" x14ac:dyDescent="0.15">
      <c r="D22">
        <v>21</v>
      </c>
      <c r="E22" s="169" t="s">
        <v>212</v>
      </c>
      <c r="F22">
        <v>0.98</v>
      </c>
      <c r="G22">
        <v>0.8</v>
      </c>
      <c r="H22">
        <v>0.8</v>
      </c>
      <c r="I22">
        <v>0.8</v>
      </c>
      <c r="J22" s="95">
        <v>0.25</v>
      </c>
      <c r="K22" s="95">
        <v>0.05</v>
      </c>
    </row>
    <row r="23" spans="4:33" ht="15" customHeight="1" x14ac:dyDescent="0.15">
      <c r="D23">
        <v>22</v>
      </c>
      <c r="E23" s="169" t="s">
        <v>213</v>
      </c>
      <c r="F23">
        <v>0.98</v>
      </c>
      <c r="G23">
        <v>0.8</v>
      </c>
      <c r="H23">
        <v>0.8</v>
      </c>
      <c r="I23">
        <v>0.8</v>
      </c>
      <c r="J23" s="95">
        <v>0.25</v>
      </c>
      <c r="K23" s="95">
        <v>0.05</v>
      </c>
    </row>
    <row r="24" spans="4:33" ht="15" customHeight="1" x14ac:dyDescent="0.15">
      <c r="D24">
        <v>23</v>
      </c>
      <c r="E24" s="169" t="s">
        <v>214</v>
      </c>
      <c r="F24">
        <v>0.98</v>
      </c>
      <c r="G24">
        <v>0.8</v>
      </c>
      <c r="H24">
        <v>0.8</v>
      </c>
      <c r="I24">
        <v>0.8</v>
      </c>
      <c r="J24" s="95">
        <v>0.25</v>
      </c>
      <c r="K24" s="95">
        <v>0.05</v>
      </c>
    </row>
    <row r="25" spans="4:33" ht="15" customHeight="1" x14ac:dyDescent="0.15">
      <c r="D25">
        <v>24</v>
      </c>
      <c r="E25" s="169" t="s">
        <v>215</v>
      </c>
      <c r="F25">
        <v>0.98</v>
      </c>
      <c r="G25">
        <v>0.8</v>
      </c>
      <c r="H25">
        <v>0.8</v>
      </c>
      <c r="I25">
        <v>0.8</v>
      </c>
      <c r="J25" s="95">
        <v>0.25</v>
      </c>
      <c r="K25" s="95">
        <v>0.05</v>
      </c>
    </row>
    <row r="26" spans="4:33" ht="15" customHeight="1" x14ac:dyDescent="0.15">
      <c r="D26">
        <v>25</v>
      </c>
      <c r="E26" s="169" t="s">
        <v>216</v>
      </c>
      <c r="F26">
        <v>0.98</v>
      </c>
      <c r="G26">
        <v>0.8</v>
      </c>
      <c r="H26">
        <v>0.8</v>
      </c>
      <c r="I26">
        <v>0.8</v>
      </c>
      <c r="J26" s="95">
        <v>0.25</v>
      </c>
      <c r="K26" s="95">
        <v>0.05</v>
      </c>
    </row>
    <row r="27" spans="4:33" ht="15" customHeight="1" x14ac:dyDescent="0.15">
      <c r="D27">
        <v>26</v>
      </c>
      <c r="E27" s="169" t="s">
        <v>217</v>
      </c>
      <c r="F27">
        <v>0.98</v>
      </c>
      <c r="G27">
        <v>0.8</v>
      </c>
      <c r="H27">
        <v>0.8</v>
      </c>
      <c r="I27">
        <v>0.8</v>
      </c>
      <c r="J27" s="95">
        <v>0.25</v>
      </c>
      <c r="K27" s="95">
        <v>0.05</v>
      </c>
    </row>
    <row r="28" spans="4:33" ht="15" customHeight="1" x14ac:dyDescent="0.15">
      <c r="D28">
        <v>27</v>
      </c>
      <c r="E28" s="169" t="s">
        <v>218</v>
      </c>
      <c r="F28">
        <v>0.98</v>
      </c>
      <c r="G28">
        <v>0.8</v>
      </c>
      <c r="H28">
        <v>0.8</v>
      </c>
      <c r="I28">
        <v>0.8</v>
      </c>
      <c r="J28" s="95">
        <v>0.25</v>
      </c>
      <c r="K28" s="95">
        <v>0.05</v>
      </c>
    </row>
    <row r="29" spans="4:33" ht="15" customHeight="1" x14ac:dyDescent="0.15">
      <c r="D29">
        <v>28</v>
      </c>
      <c r="E29" s="169" t="s">
        <v>219</v>
      </c>
      <c r="F29">
        <v>0.98</v>
      </c>
      <c r="G29">
        <v>0.8</v>
      </c>
      <c r="H29">
        <v>0.8</v>
      </c>
      <c r="I29">
        <v>0.8</v>
      </c>
      <c r="J29" s="95">
        <v>0.25</v>
      </c>
      <c r="K29" s="95">
        <v>0.05</v>
      </c>
      <c r="Y29"/>
      <c r="AC29"/>
      <c r="AG29"/>
    </row>
    <row r="30" spans="4:33" ht="15" customHeight="1" x14ac:dyDescent="0.15">
      <c r="D30">
        <v>29</v>
      </c>
      <c r="E30" s="169" t="s">
        <v>220</v>
      </c>
      <c r="F30">
        <v>0.98</v>
      </c>
      <c r="G30">
        <v>0.8</v>
      </c>
      <c r="H30">
        <v>0.8</v>
      </c>
      <c r="I30">
        <v>0.8</v>
      </c>
      <c r="J30" s="95">
        <v>0.25</v>
      </c>
      <c r="K30" s="95">
        <v>0.05</v>
      </c>
      <c r="Y30"/>
      <c r="AC30"/>
      <c r="AG30"/>
    </row>
    <row r="31" spans="4:33" ht="15" customHeight="1" x14ac:dyDescent="0.15">
      <c r="D31">
        <v>30</v>
      </c>
      <c r="E31" s="169" t="s">
        <v>221</v>
      </c>
      <c r="F31">
        <v>0.98</v>
      </c>
      <c r="G31">
        <v>0.8</v>
      </c>
      <c r="H31">
        <v>0.8</v>
      </c>
      <c r="I31">
        <v>0</v>
      </c>
      <c r="J31" s="95">
        <v>0</v>
      </c>
      <c r="K31" s="95">
        <v>0</v>
      </c>
      <c r="Y31"/>
      <c r="AC31"/>
      <c r="AG31"/>
    </row>
    <row r="32" spans="4:33" ht="15" customHeight="1" x14ac:dyDescent="0.15">
      <c r="D32">
        <v>31</v>
      </c>
      <c r="E32" s="169" t="s">
        <v>222</v>
      </c>
      <c r="F32">
        <v>0.98</v>
      </c>
      <c r="G32">
        <v>0.8</v>
      </c>
      <c r="H32">
        <v>0.8</v>
      </c>
      <c r="I32">
        <v>0</v>
      </c>
      <c r="J32" s="95">
        <v>0</v>
      </c>
      <c r="K32" s="95">
        <v>0</v>
      </c>
      <c r="Y32"/>
      <c r="AC32"/>
      <c r="AG32"/>
    </row>
    <row r="33" spans="4:33" ht="15" customHeight="1" x14ac:dyDescent="0.15">
      <c r="D33">
        <v>32</v>
      </c>
      <c r="E33" s="169" t="s">
        <v>223</v>
      </c>
      <c r="F33">
        <v>0.98</v>
      </c>
      <c r="G33">
        <v>0.8</v>
      </c>
      <c r="H33">
        <v>0.8</v>
      </c>
      <c r="I33">
        <v>0</v>
      </c>
      <c r="J33" s="95">
        <v>0</v>
      </c>
      <c r="K33" s="95">
        <v>0</v>
      </c>
      <c r="Y33"/>
      <c r="AC33"/>
      <c r="AG33"/>
    </row>
    <row r="34" spans="4:33" ht="15" customHeight="1" x14ac:dyDescent="0.15">
      <c r="D34">
        <v>33</v>
      </c>
      <c r="E34" s="169" t="s">
        <v>224</v>
      </c>
      <c r="F34">
        <v>0.98</v>
      </c>
      <c r="G34">
        <v>0.8</v>
      </c>
      <c r="H34">
        <v>0</v>
      </c>
      <c r="I34">
        <v>0</v>
      </c>
      <c r="J34" s="95">
        <v>0</v>
      </c>
      <c r="K34" s="95">
        <v>0</v>
      </c>
      <c r="Y34"/>
      <c r="AC34"/>
      <c r="AG34"/>
    </row>
    <row r="35" spans="4:33" ht="15" customHeight="1" x14ac:dyDescent="0.15">
      <c r="D35">
        <v>34</v>
      </c>
      <c r="E35" s="169" t="s">
        <v>225</v>
      </c>
      <c r="F35">
        <v>0.98</v>
      </c>
      <c r="G35">
        <v>0.8</v>
      </c>
      <c r="H35">
        <v>0</v>
      </c>
      <c r="I35">
        <v>0</v>
      </c>
      <c r="J35" s="95">
        <v>0</v>
      </c>
      <c r="K35" s="95">
        <v>0</v>
      </c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6.33203125" style="92" bestFit="1" customWidth="1"/>
    <col min="2" max="30" width="3.83203125" style="92" customWidth="1"/>
    <col min="31" max="35" width="2.33203125" style="92" customWidth="1"/>
    <col min="36" max="16384" width="10.83203125" style="92"/>
  </cols>
  <sheetData>
    <row r="1" spans="1:35" x14ac:dyDescent="0.15">
      <c r="A1" s="58" t="s">
        <v>118</v>
      </c>
      <c r="B1" s="171" t="s">
        <v>192</v>
      </c>
      <c r="C1" s="171" t="s">
        <v>193</v>
      </c>
      <c r="D1" s="171" t="s">
        <v>194</v>
      </c>
      <c r="E1" s="171" t="s">
        <v>195</v>
      </c>
      <c r="F1" s="171" t="s">
        <v>196</v>
      </c>
      <c r="G1" s="171" t="s">
        <v>197</v>
      </c>
      <c r="H1" s="171" t="s">
        <v>198</v>
      </c>
      <c r="I1" s="171" t="s">
        <v>199</v>
      </c>
      <c r="J1" s="171" t="s">
        <v>200</v>
      </c>
      <c r="K1" s="171" t="s">
        <v>201</v>
      </c>
      <c r="L1" s="171" t="s">
        <v>202</v>
      </c>
      <c r="M1" s="171" t="s">
        <v>203</v>
      </c>
      <c r="N1" s="171" t="s">
        <v>204</v>
      </c>
      <c r="O1" s="171" t="s">
        <v>205</v>
      </c>
      <c r="P1" s="171" t="s">
        <v>206</v>
      </c>
      <c r="Q1" s="171" t="s">
        <v>207</v>
      </c>
      <c r="R1" s="171" t="s">
        <v>208</v>
      </c>
      <c r="S1" s="171" t="s">
        <v>209</v>
      </c>
      <c r="T1" s="171" t="s">
        <v>210</v>
      </c>
      <c r="U1" s="171" t="s">
        <v>211</v>
      </c>
      <c r="V1" s="171" t="s">
        <v>212</v>
      </c>
      <c r="W1" s="171" t="s">
        <v>213</v>
      </c>
      <c r="X1" s="171" t="s">
        <v>214</v>
      </c>
      <c r="Y1" s="171" t="s">
        <v>215</v>
      </c>
      <c r="Z1" s="171" t="s">
        <v>216</v>
      </c>
      <c r="AA1" s="171" t="s">
        <v>217</v>
      </c>
      <c r="AB1" s="171" t="s">
        <v>218</v>
      </c>
      <c r="AC1" s="171" t="s">
        <v>219</v>
      </c>
      <c r="AD1" s="171" t="s">
        <v>220</v>
      </c>
      <c r="AE1" s="171" t="s">
        <v>221</v>
      </c>
      <c r="AF1" s="171" t="s">
        <v>222</v>
      </c>
      <c r="AG1" s="171" t="s">
        <v>223</v>
      </c>
      <c r="AH1" s="171" t="s">
        <v>224</v>
      </c>
      <c r="AI1" s="171" t="s">
        <v>225</v>
      </c>
    </row>
    <row r="2" spans="1:35" customFormat="1" x14ac:dyDescent="0.15">
      <c r="A2" s="170" t="s">
        <v>192</v>
      </c>
      <c r="B2" s="92">
        <v>0</v>
      </c>
      <c r="C2" s="92">
        <v>0</v>
      </c>
      <c r="D2" s="92">
        <v>0</v>
      </c>
      <c r="E2" s="92">
        <v>0.8</v>
      </c>
      <c r="F2" s="92">
        <v>0</v>
      </c>
      <c r="G2" s="92">
        <v>0</v>
      </c>
      <c r="H2" s="92">
        <v>0</v>
      </c>
      <c r="I2" s="92">
        <v>0</v>
      </c>
      <c r="J2" s="92">
        <v>0</v>
      </c>
      <c r="K2" s="92">
        <v>0</v>
      </c>
      <c r="L2" s="92">
        <v>0</v>
      </c>
      <c r="M2" s="92">
        <v>0</v>
      </c>
      <c r="N2" s="92">
        <v>0</v>
      </c>
      <c r="O2" s="92">
        <v>0</v>
      </c>
      <c r="P2" s="92">
        <v>0</v>
      </c>
      <c r="Q2" s="92">
        <v>0</v>
      </c>
      <c r="R2" s="92">
        <v>0</v>
      </c>
      <c r="S2" s="92">
        <v>0</v>
      </c>
      <c r="T2" s="92">
        <v>0</v>
      </c>
      <c r="U2" s="92">
        <v>0</v>
      </c>
      <c r="V2" s="92">
        <v>0</v>
      </c>
      <c r="W2" s="92">
        <v>0</v>
      </c>
      <c r="X2" s="92">
        <v>0</v>
      </c>
      <c r="Y2" s="92">
        <v>0</v>
      </c>
      <c r="Z2" s="92">
        <v>0</v>
      </c>
      <c r="AA2" s="92">
        <v>0</v>
      </c>
      <c r="AB2" s="92">
        <v>0</v>
      </c>
      <c r="AC2" s="92">
        <v>0</v>
      </c>
      <c r="AD2" s="92">
        <v>0</v>
      </c>
      <c r="AE2" s="92">
        <v>0</v>
      </c>
      <c r="AF2" s="92">
        <v>0</v>
      </c>
      <c r="AG2" s="92">
        <v>0</v>
      </c>
      <c r="AH2" s="92">
        <v>0</v>
      </c>
      <c r="AI2" s="92">
        <v>0</v>
      </c>
    </row>
    <row r="3" spans="1:35" customFormat="1" x14ac:dyDescent="0.15">
      <c r="A3" s="170" t="s">
        <v>193</v>
      </c>
      <c r="B3" s="92">
        <v>0.8</v>
      </c>
      <c r="C3" s="92">
        <v>0</v>
      </c>
      <c r="D3" s="92">
        <v>0</v>
      </c>
      <c r="E3" s="92">
        <v>0</v>
      </c>
      <c r="F3" s="92">
        <v>0</v>
      </c>
      <c r="G3" s="92">
        <v>0</v>
      </c>
      <c r="H3" s="92">
        <v>0</v>
      </c>
      <c r="I3" s="92">
        <v>0</v>
      </c>
      <c r="J3" s="92">
        <v>0</v>
      </c>
      <c r="K3" s="92">
        <v>0</v>
      </c>
      <c r="L3" s="92">
        <v>0</v>
      </c>
      <c r="M3" s="92">
        <v>0</v>
      </c>
      <c r="N3" s="92">
        <v>0</v>
      </c>
      <c r="O3" s="92">
        <v>0</v>
      </c>
      <c r="P3" s="92">
        <v>0</v>
      </c>
      <c r="Q3" s="92">
        <v>0</v>
      </c>
      <c r="R3" s="92">
        <v>0</v>
      </c>
      <c r="S3" s="92">
        <v>0</v>
      </c>
      <c r="T3" s="92">
        <v>0</v>
      </c>
      <c r="U3" s="92">
        <v>0</v>
      </c>
      <c r="V3" s="92">
        <v>0</v>
      </c>
      <c r="W3" s="92">
        <v>0</v>
      </c>
      <c r="X3" s="92">
        <v>0</v>
      </c>
      <c r="Y3" s="92">
        <v>0</v>
      </c>
      <c r="Z3" s="92">
        <v>0</v>
      </c>
      <c r="AA3" s="92">
        <v>0</v>
      </c>
      <c r="AB3" s="92">
        <v>0</v>
      </c>
      <c r="AC3" s="92">
        <v>0</v>
      </c>
      <c r="AD3" s="92">
        <v>0</v>
      </c>
      <c r="AE3" s="92">
        <v>0</v>
      </c>
      <c r="AF3" s="92">
        <v>0</v>
      </c>
      <c r="AG3" s="92">
        <v>0</v>
      </c>
      <c r="AH3" s="92">
        <v>0</v>
      </c>
      <c r="AI3" s="92">
        <v>0</v>
      </c>
    </row>
    <row r="4" spans="1:35" customFormat="1" x14ac:dyDescent="0.15">
      <c r="A4" s="170" t="s">
        <v>194</v>
      </c>
      <c r="B4" s="92">
        <v>0.8</v>
      </c>
      <c r="C4" s="92">
        <v>0</v>
      </c>
      <c r="D4" s="92">
        <v>0</v>
      </c>
      <c r="E4" s="92">
        <v>0.8</v>
      </c>
      <c r="F4" s="92">
        <v>0</v>
      </c>
      <c r="G4" s="92">
        <v>0</v>
      </c>
      <c r="H4" s="92">
        <v>0</v>
      </c>
      <c r="I4" s="92">
        <v>0</v>
      </c>
      <c r="J4" s="92">
        <v>0</v>
      </c>
      <c r="K4" s="92">
        <v>0</v>
      </c>
      <c r="L4" s="92">
        <v>0</v>
      </c>
      <c r="M4" s="92">
        <v>0</v>
      </c>
      <c r="N4" s="92">
        <v>0</v>
      </c>
      <c r="O4" s="92">
        <v>0</v>
      </c>
      <c r="P4" s="92">
        <v>0</v>
      </c>
      <c r="Q4" s="92">
        <v>0</v>
      </c>
      <c r="R4" s="92">
        <v>0</v>
      </c>
      <c r="S4" s="92">
        <v>0</v>
      </c>
      <c r="T4" s="92">
        <v>0</v>
      </c>
      <c r="U4" s="92">
        <v>0</v>
      </c>
      <c r="V4" s="92">
        <v>0</v>
      </c>
      <c r="W4" s="92">
        <v>0</v>
      </c>
      <c r="X4" s="92">
        <v>0</v>
      </c>
      <c r="Y4" s="92">
        <v>0</v>
      </c>
      <c r="Z4" s="92">
        <v>0</v>
      </c>
      <c r="AA4" s="92">
        <v>0</v>
      </c>
      <c r="AB4" s="92">
        <v>0</v>
      </c>
      <c r="AC4" s="92">
        <v>0</v>
      </c>
      <c r="AD4" s="92">
        <v>0</v>
      </c>
      <c r="AE4" s="92">
        <v>0</v>
      </c>
      <c r="AF4" s="92">
        <v>0</v>
      </c>
      <c r="AG4" s="92">
        <v>0</v>
      </c>
      <c r="AH4" s="92">
        <v>0</v>
      </c>
      <c r="AI4" s="92">
        <v>0</v>
      </c>
    </row>
    <row r="5" spans="1:35" customFormat="1" x14ac:dyDescent="0.15">
      <c r="A5" s="170" t="s">
        <v>195</v>
      </c>
      <c r="B5" s="92">
        <v>0.8</v>
      </c>
      <c r="C5" s="92">
        <v>0</v>
      </c>
      <c r="D5" s="92">
        <v>0</v>
      </c>
      <c r="E5" s="92">
        <v>0</v>
      </c>
      <c r="F5" s="92">
        <v>0</v>
      </c>
      <c r="G5" s="92">
        <v>0</v>
      </c>
      <c r="H5" s="92">
        <v>0</v>
      </c>
      <c r="I5" s="92">
        <v>0</v>
      </c>
      <c r="J5" s="92">
        <v>0</v>
      </c>
      <c r="K5" s="92">
        <v>0</v>
      </c>
      <c r="L5" s="92">
        <v>0</v>
      </c>
      <c r="M5" s="92">
        <v>0</v>
      </c>
      <c r="N5" s="92">
        <v>0</v>
      </c>
      <c r="O5" s="92">
        <v>0</v>
      </c>
      <c r="P5" s="92">
        <v>0</v>
      </c>
      <c r="Q5" s="92">
        <v>0</v>
      </c>
      <c r="R5" s="92">
        <v>0</v>
      </c>
      <c r="S5" s="92">
        <v>0</v>
      </c>
      <c r="T5" s="92">
        <v>0</v>
      </c>
      <c r="U5" s="92">
        <v>0</v>
      </c>
      <c r="V5" s="92">
        <v>0</v>
      </c>
      <c r="W5" s="92">
        <v>0</v>
      </c>
      <c r="X5" s="92">
        <v>0</v>
      </c>
      <c r="Y5" s="92">
        <v>0</v>
      </c>
      <c r="Z5" s="92">
        <v>0</v>
      </c>
      <c r="AA5" s="92">
        <v>0</v>
      </c>
      <c r="AB5" s="92">
        <v>0</v>
      </c>
      <c r="AC5" s="92">
        <v>0</v>
      </c>
      <c r="AD5" s="92">
        <v>0</v>
      </c>
      <c r="AE5" s="92">
        <v>0</v>
      </c>
      <c r="AF5" s="92">
        <v>0</v>
      </c>
      <c r="AG5" s="92">
        <v>0</v>
      </c>
      <c r="AH5" s="92">
        <v>0</v>
      </c>
      <c r="AI5" s="92">
        <v>0</v>
      </c>
    </row>
    <row r="6" spans="1:35" customFormat="1" x14ac:dyDescent="0.15">
      <c r="A6" s="170" t="s">
        <v>196</v>
      </c>
      <c r="B6" s="92">
        <v>0.8</v>
      </c>
      <c r="C6" s="92">
        <v>0</v>
      </c>
      <c r="D6" s="92">
        <v>0</v>
      </c>
      <c r="E6" s="92">
        <v>0</v>
      </c>
      <c r="F6" s="92">
        <v>0</v>
      </c>
      <c r="G6" s="92">
        <v>0</v>
      </c>
      <c r="H6" s="92">
        <v>0</v>
      </c>
      <c r="I6" s="92">
        <v>0</v>
      </c>
      <c r="J6" s="92">
        <v>0</v>
      </c>
      <c r="K6" s="92">
        <v>0</v>
      </c>
      <c r="L6" s="92">
        <v>0</v>
      </c>
      <c r="M6" s="92">
        <v>0</v>
      </c>
      <c r="N6" s="92">
        <v>0</v>
      </c>
      <c r="O6" s="92">
        <v>0</v>
      </c>
      <c r="P6" s="92">
        <v>0</v>
      </c>
      <c r="Q6" s="92">
        <v>0</v>
      </c>
      <c r="R6" s="92">
        <v>0</v>
      </c>
      <c r="S6" s="92">
        <v>0</v>
      </c>
      <c r="T6" s="92">
        <v>0</v>
      </c>
      <c r="U6" s="92">
        <v>0</v>
      </c>
      <c r="V6" s="92">
        <v>0</v>
      </c>
      <c r="W6" s="92">
        <v>0</v>
      </c>
      <c r="X6" s="92">
        <v>0</v>
      </c>
      <c r="Y6" s="92">
        <v>0</v>
      </c>
      <c r="Z6" s="92">
        <v>0</v>
      </c>
      <c r="AA6" s="92">
        <v>0</v>
      </c>
      <c r="AB6" s="92">
        <v>0</v>
      </c>
      <c r="AC6" s="92">
        <v>0</v>
      </c>
      <c r="AD6" s="92">
        <v>0</v>
      </c>
      <c r="AE6" s="92">
        <v>0</v>
      </c>
      <c r="AF6" s="92">
        <v>0</v>
      </c>
      <c r="AG6" s="92">
        <v>0</v>
      </c>
      <c r="AH6" s="92">
        <v>0</v>
      </c>
      <c r="AI6" s="92">
        <v>0</v>
      </c>
    </row>
    <row r="7" spans="1:35" customFormat="1" x14ac:dyDescent="0.15">
      <c r="A7" s="170" t="s">
        <v>197</v>
      </c>
      <c r="B7" s="92">
        <v>0.8</v>
      </c>
      <c r="C7" s="92">
        <v>0</v>
      </c>
      <c r="D7" s="92">
        <v>0</v>
      </c>
      <c r="E7" s="92">
        <v>0</v>
      </c>
      <c r="F7" s="92">
        <v>0</v>
      </c>
      <c r="G7" s="92">
        <v>0</v>
      </c>
      <c r="H7" s="92">
        <v>0</v>
      </c>
      <c r="I7" s="92">
        <v>0</v>
      </c>
      <c r="J7" s="92">
        <v>0</v>
      </c>
      <c r="K7" s="92">
        <v>0</v>
      </c>
      <c r="L7" s="92">
        <v>0</v>
      </c>
      <c r="M7" s="92">
        <v>0</v>
      </c>
      <c r="N7" s="92">
        <v>0</v>
      </c>
      <c r="O7" s="92">
        <v>0</v>
      </c>
      <c r="P7" s="92">
        <v>0</v>
      </c>
      <c r="Q7" s="92">
        <v>0</v>
      </c>
      <c r="R7" s="92">
        <v>0</v>
      </c>
      <c r="S7" s="92">
        <v>0</v>
      </c>
      <c r="T7" s="92">
        <v>0</v>
      </c>
      <c r="U7" s="92">
        <v>0</v>
      </c>
      <c r="V7" s="92">
        <v>0</v>
      </c>
      <c r="W7" s="92">
        <v>0</v>
      </c>
      <c r="X7" s="92">
        <v>0</v>
      </c>
      <c r="Y7" s="92">
        <v>0</v>
      </c>
      <c r="Z7" s="92">
        <v>0</v>
      </c>
      <c r="AA7" s="92">
        <v>0</v>
      </c>
      <c r="AB7" s="92">
        <v>0</v>
      </c>
      <c r="AC7" s="92">
        <v>0</v>
      </c>
      <c r="AD7" s="92">
        <v>0</v>
      </c>
      <c r="AE7" s="92">
        <v>0</v>
      </c>
      <c r="AF7" s="92">
        <v>0</v>
      </c>
      <c r="AG7" s="92">
        <v>0</v>
      </c>
      <c r="AH7" s="92">
        <v>0</v>
      </c>
      <c r="AI7" s="92">
        <v>0</v>
      </c>
    </row>
    <row r="8" spans="1:35" customFormat="1" x14ac:dyDescent="0.15">
      <c r="A8" s="170" t="s">
        <v>198</v>
      </c>
      <c r="B8" s="92">
        <v>0.8</v>
      </c>
      <c r="C8" s="92">
        <v>0</v>
      </c>
      <c r="D8" s="92">
        <v>0</v>
      </c>
      <c r="E8" s="92">
        <v>0</v>
      </c>
      <c r="F8" s="92">
        <v>0</v>
      </c>
      <c r="G8" s="92">
        <v>0</v>
      </c>
      <c r="H8" s="92">
        <v>0</v>
      </c>
      <c r="I8" s="92">
        <v>0</v>
      </c>
      <c r="J8" s="92">
        <v>0</v>
      </c>
      <c r="K8" s="92">
        <v>0</v>
      </c>
      <c r="L8" s="92">
        <v>0</v>
      </c>
      <c r="M8" s="92">
        <v>0</v>
      </c>
      <c r="N8" s="92">
        <v>0</v>
      </c>
      <c r="O8" s="92">
        <v>0</v>
      </c>
      <c r="P8" s="92">
        <v>0</v>
      </c>
      <c r="Q8" s="92">
        <v>0</v>
      </c>
      <c r="R8" s="92">
        <v>0</v>
      </c>
      <c r="S8" s="92">
        <v>0</v>
      </c>
      <c r="T8" s="92">
        <v>0</v>
      </c>
      <c r="U8" s="92">
        <v>0</v>
      </c>
      <c r="V8" s="92">
        <v>0</v>
      </c>
      <c r="W8" s="92">
        <v>0</v>
      </c>
      <c r="X8" s="92">
        <v>0</v>
      </c>
      <c r="Y8" s="92">
        <v>0</v>
      </c>
      <c r="Z8" s="92">
        <v>0</v>
      </c>
      <c r="AA8" s="92">
        <v>0</v>
      </c>
      <c r="AB8" s="92">
        <v>0</v>
      </c>
      <c r="AC8" s="92">
        <v>0</v>
      </c>
      <c r="AD8" s="92">
        <v>0</v>
      </c>
      <c r="AE8" s="92">
        <v>0</v>
      </c>
      <c r="AF8" s="92">
        <v>0</v>
      </c>
      <c r="AG8" s="92">
        <v>0</v>
      </c>
      <c r="AH8" s="92">
        <v>0</v>
      </c>
      <c r="AI8" s="92">
        <v>0</v>
      </c>
    </row>
    <row r="9" spans="1:35" customFormat="1" x14ac:dyDescent="0.15">
      <c r="A9" s="170" t="s">
        <v>199</v>
      </c>
      <c r="B9" s="92">
        <v>0.8</v>
      </c>
      <c r="C9" s="92">
        <v>0.8</v>
      </c>
      <c r="D9" s="92">
        <v>0.8</v>
      </c>
      <c r="E9" s="92">
        <v>0.8</v>
      </c>
      <c r="F9" s="92">
        <v>0.8</v>
      </c>
      <c r="G9" s="92">
        <v>0.8</v>
      </c>
      <c r="H9" s="92">
        <v>0.8</v>
      </c>
      <c r="I9" s="92">
        <v>0</v>
      </c>
      <c r="J9" s="92">
        <v>0</v>
      </c>
      <c r="K9" s="92">
        <v>0.8</v>
      </c>
      <c r="L9" s="92">
        <v>0</v>
      </c>
      <c r="M9" s="92">
        <v>0</v>
      </c>
      <c r="N9" s="92">
        <v>0</v>
      </c>
      <c r="O9" s="92">
        <v>0</v>
      </c>
      <c r="P9" s="92">
        <v>0</v>
      </c>
      <c r="Q9" s="92">
        <v>0</v>
      </c>
      <c r="R9" s="92">
        <v>0</v>
      </c>
      <c r="S9" s="92">
        <v>0</v>
      </c>
      <c r="T9" s="92">
        <v>0</v>
      </c>
      <c r="U9" s="92">
        <v>0</v>
      </c>
      <c r="V9" s="92">
        <v>0</v>
      </c>
      <c r="W9" s="92">
        <v>0</v>
      </c>
      <c r="X9" s="92">
        <v>0</v>
      </c>
      <c r="Y9" s="92">
        <v>0</v>
      </c>
      <c r="Z9" s="92">
        <v>0</v>
      </c>
      <c r="AA9" s="92">
        <v>0</v>
      </c>
      <c r="AB9" s="92">
        <v>0</v>
      </c>
      <c r="AC9" s="92">
        <v>0</v>
      </c>
      <c r="AD9" s="92">
        <v>0</v>
      </c>
      <c r="AE9" s="92">
        <v>0</v>
      </c>
      <c r="AF9" s="92">
        <v>0</v>
      </c>
      <c r="AG9" s="92">
        <v>0</v>
      </c>
      <c r="AH9" s="92">
        <v>0</v>
      </c>
      <c r="AI9" s="92">
        <v>0</v>
      </c>
    </row>
    <row r="10" spans="1:35" customFormat="1" x14ac:dyDescent="0.15">
      <c r="A10" s="170" t="s">
        <v>200</v>
      </c>
      <c r="B10" s="92">
        <v>0.8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2">
        <v>0</v>
      </c>
      <c r="J10" s="92">
        <v>0</v>
      </c>
      <c r="K10" s="92">
        <v>0</v>
      </c>
      <c r="L10" s="92">
        <v>0</v>
      </c>
      <c r="M10" s="92">
        <v>0</v>
      </c>
      <c r="N10" s="92">
        <v>0</v>
      </c>
      <c r="O10" s="92">
        <v>0</v>
      </c>
      <c r="P10" s="92">
        <v>0</v>
      </c>
      <c r="Q10" s="92">
        <v>0</v>
      </c>
      <c r="R10" s="92">
        <v>0</v>
      </c>
      <c r="S10" s="92">
        <v>0</v>
      </c>
      <c r="T10" s="92">
        <v>0</v>
      </c>
      <c r="U10" s="92">
        <v>0</v>
      </c>
      <c r="V10" s="92">
        <v>0</v>
      </c>
      <c r="W10" s="92">
        <v>0</v>
      </c>
      <c r="X10" s="92">
        <v>0</v>
      </c>
      <c r="Y10" s="92">
        <v>0</v>
      </c>
      <c r="Z10" s="92">
        <v>0</v>
      </c>
      <c r="AA10" s="92">
        <v>0</v>
      </c>
      <c r="AB10" s="92">
        <v>0</v>
      </c>
      <c r="AC10" s="92">
        <v>0</v>
      </c>
      <c r="AD10" s="92">
        <v>0</v>
      </c>
      <c r="AE10" s="92">
        <v>0</v>
      </c>
      <c r="AF10" s="92">
        <v>0</v>
      </c>
      <c r="AG10" s="92">
        <v>0</v>
      </c>
      <c r="AH10" s="92">
        <v>0</v>
      </c>
      <c r="AI10" s="92">
        <v>0</v>
      </c>
    </row>
    <row r="11" spans="1:35" customFormat="1" x14ac:dyDescent="0.15">
      <c r="A11" s="170" t="s">
        <v>201</v>
      </c>
      <c r="B11" s="92">
        <v>0.8</v>
      </c>
      <c r="C11" s="92">
        <v>0</v>
      </c>
      <c r="D11" s="92">
        <v>0</v>
      </c>
      <c r="E11" s="92">
        <v>0.8</v>
      </c>
      <c r="F11" s="92">
        <v>0</v>
      </c>
      <c r="G11" s="92">
        <v>0.8</v>
      </c>
      <c r="H11" s="92">
        <v>0.8</v>
      </c>
      <c r="I11" s="92">
        <v>0</v>
      </c>
      <c r="J11" s="92">
        <v>0</v>
      </c>
      <c r="K11" s="92">
        <v>0.8</v>
      </c>
      <c r="L11" s="92">
        <v>0</v>
      </c>
      <c r="M11" s="92">
        <v>0</v>
      </c>
      <c r="N11" s="92">
        <v>0</v>
      </c>
      <c r="O11" s="92">
        <v>0</v>
      </c>
      <c r="P11" s="92">
        <v>0</v>
      </c>
      <c r="Q11" s="92">
        <v>0</v>
      </c>
      <c r="R11" s="92">
        <v>0</v>
      </c>
      <c r="S11" s="92">
        <v>0</v>
      </c>
      <c r="T11" s="92">
        <v>0</v>
      </c>
      <c r="U11" s="92">
        <v>0</v>
      </c>
      <c r="V11" s="92">
        <v>0</v>
      </c>
      <c r="W11" s="92">
        <v>0</v>
      </c>
      <c r="X11" s="92">
        <v>0</v>
      </c>
      <c r="Y11" s="92">
        <v>0</v>
      </c>
      <c r="Z11" s="92">
        <v>0</v>
      </c>
      <c r="AA11" s="92">
        <v>0</v>
      </c>
      <c r="AB11" s="92">
        <v>0</v>
      </c>
      <c r="AC11" s="92">
        <v>0</v>
      </c>
      <c r="AD11" s="92">
        <v>0</v>
      </c>
      <c r="AE11" s="92">
        <v>0</v>
      </c>
      <c r="AF11" s="92">
        <v>0</v>
      </c>
      <c r="AG11" s="92">
        <v>0</v>
      </c>
      <c r="AH11" s="92">
        <v>0</v>
      </c>
      <c r="AI11" s="92">
        <v>0</v>
      </c>
    </row>
    <row r="12" spans="1:35" customFormat="1" x14ac:dyDescent="0.15">
      <c r="A12" s="170" t="s">
        <v>202</v>
      </c>
      <c r="B12" s="92">
        <v>0</v>
      </c>
      <c r="C12" s="92">
        <v>0.8</v>
      </c>
      <c r="D12" s="92">
        <v>0</v>
      </c>
      <c r="E12" s="92">
        <v>0</v>
      </c>
      <c r="F12" s="92">
        <v>0.8</v>
      </c>
      <c r="G12" s="92">
        <v>0</v>
      </c>
      <c r="H12" s="92">
        <v>0</v>
      </c>
      <c r="I12" s="92">
        <v>0</v>
      </c>
      <c r="J12" s="92">
        <v>0</v>
      </c>
      <c r="K12" s="92">
        <v>0.8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  <c r="R12" s="92">
        <v>0</v>
      </c>
      <c r="S12" s="92">
        <v>0.8</v>
      </c>
      <c r="T12" s="92">
        <v>0</v>
      </c>
      <c r="U12" s="92">
        <v>0</v>
      </c>
      <c r="V12" s="92">
        <v>0</v>
      </c>
      <c r="W12" s="92">
        <v>0</v>
      </c>
      <c r="X12" s="92">
        <v>0</v>
      </c>
      <c r="Y12" s="92">
        <v>0</v>
      </c>
      <c r="Z12" s="92">
        <v>0</v>
      </c>
      <c r="AA12" s="92">
        <v>0</v>
      </c>
      <c r="AB12" s="92">
        <v>0</v>
      </c>
      <c r="AC12" s="92">
        <v>0</v>
      </c>
      <c r="AD12" s="92">
        <v>0</v>
      </c>
      <c r="AE12" s="92">
        <v>0</v>
      </c>
      <c r="AF12" s="92">
        <v>0</v>
      </c>
      <c r="AG12" s="92">
        <v>0</v>
      </c>
      <c r="AH12" s="92">
        <v>0</v>
      </c>
      <c r="AI12" s="92">
        <v>0</v>
      </c>
    </row>
    <row r="13" spans="1:35" customFormat="1" x14ac:dyDescent="0.15">
      <c r="A13" s="170" t="s">
        <v>203</v>
      </c>
      <c r="B13" s="92">
        <v>0</v>
      </c>
      <c r="C13" s="92">
        <v>0</v>
      </c>
      <c r="D13" s="92">
        <v>0.8</v>
      </c>
      <c r="E13" s="92">
        <v>0.8</v>
      </c>
      <c r="F13" s="92">
        <v>0</v>
      </c>
      <c r="G13" s="92">
        <v>0.8</v>
      </c>
      <c r="H13" s="92">
        <v>0.8</v>
      </c>
      <c r="I13" s="92">
        <v>0</v>
      </c>
      <c r="J13" s="92">
        <v>0</v>
      </c>
      <c r="K13" s="92">
        <v>0.8</v>
      </c>
      <c r="L13" s="92">
        <v>0</v>
      </c>
      <c r="M13" s="92">
        <v>0.8</v>
      </c>
      <c r="N13" s="92">
        <v>0</v>
      </c>
      <c r="O13" s="92">
        <v>0</v>
      </c>
      <c r="P13" s="92">
        <v>0</v>
      </c>
      <c r="Q13" s="92">
        <v>0</v>
      </c>
      <c r="R13" s="92">
        <v>0</v>
      </c>
      <c r="S13" s="92">
        <v>0</v>
      </c>
      <c r="T13" s="92">
        <v>0</v>
      </c>
      <c r="U13" s="92">
        <v>0</v>
      </c>
      <c r="V13" s="92">
        <v>0</v>
      </c>
      <c r="W13" s="92">
        <v>0</v>
      </c>
      <c r="X13" s="92">
        <v>0</v>
      </c>
      <c r="Y13" s="92">
        <v>0</v>
      </c>
      <c r="Z13" s="92">
        <v>0</v>
      </c>
      <c r="AA13" s="92">
        <v>0</v>
      </c>
      <c r="AB13" s="92">
        <v>0</v>
      </c>
      <c r="AC13" s="92">
        <v>0</v>
      </c>
      <c r="AD13" s="92">
        <v>0</v>
      </c>
      <c r="AE13" s="92">
        <v>0</v>
      </c>
      <c r="AF13" s="92">
        <v>0</v>
      </c>
      <c r="AG13" s="92">
        <v>0</v>
      </c>
      <c r="AH13" s="92">
        <v>0</v>
      </c>
      <c r="AI13" s="92">
        <v>0</v>
      </c>
    </row>
    <row r="14" spans="1:35" customFormat="1" x14ac:dyDescent="0.15">
      <c r="A14" s="170" t="s">
        <v>204</v>
      </c>
      <c r="B14" s="92">
        <v>0.8</v>
      </c>
      <c r="C14" s="92">
        <v>0</v>
      </c>
      <c r="D14" s="92">
        <v>0</v>
      </c>
      <c r="E14" s="92">
        <v>0</v>
      </c>
      <c r="F14" s="92">
        <v>0</v>
      </c>
      <c r="G14" s="92">
        <v>0</v>
      </c>
      <c r="H14" s="92">
        <v>0.8</v>
      </c>
      <c r="I14" s="92">
        <v>0</v>
      </c>
      <c r="J14" s="92">
        <v>0</v>
      </c>
      <c r="K14" s="92">
        <v>0.8</v>
      </c>
      <c r="L14" s="92">
        <v>0</v>
      </c>
      <c r="M14" s="92">
        <v>0</v>
      </c>
      <c r="N14" s="92">
        <v>0</v>
      </c>
      <c r="O14" s="92">
        <v>0</v>
      </c>
      <c r="P14" s="92">
        <v>0</v>
      </c>
      <c r="Q14" s="92">
        <v>0</v>
      </c>
      <c r="R14" s="92">
        <v>0</v>
      </c>
      <c r="S14" s="92">
        <v>0</v>
      </c>
      <c r="T14" s="92">
        <v>0</v>
      </c>
      <c r="U14" s="92">
        <v>0</v>
      </c>
      <c r="V14" s="92">
        <v>0</v>
      </c>
      <c r="W14" s="92">
        <v>0</v>
      </c>
      <c r="X14" s="92">
        <v>0</v>
      </c>
      <c r="Y14" s="92">
        <v>0</v>
      </c>
      <c r="Z14" s="92">
        <v>0</v>
      </c>
      <c r="AA14" s="92">
        <v>0</v>
      </c>
      <c r="AB14" s="92">
        <v>0</v>
      </c>
      <c r="AC14" s="92">
        <v>0</v>
      </c>
      <c r="AD14" s="92">
        <v>0</v>
      </c>
      <c r="AE14" s="92">
        <v>0</v>
      </c>
      <c r="AF14" s="92">
        <v>0</v>
      </c>
      <c r="AG14" s="92">
        <v>0</v>
      </c>
      <c r="AH14" s="92">
        <v>0</v>
      </c>
      <c r="AI14" s="92">
        <v>0</v>
      </c>
    </row>
    <row r="15" spans="1:35" customFormat="1" x14ac:dyDescent="0.15">
      <c r="A15" s="170" t="s">
        <v>205</v>
      </c>
      <c r="B15" s="92">
        <v>0</v>
      </c>
      <c r="C15" s="92">
        <v>0</v>
      </c>
      <c r="D15" s="92">
        <v>0</v>
      </c>
      <c r="E15" s="92">
        <v>0</v>
      </c>
      <c r="F15" s="92">
        <v>0</v>
      </c>
      <c r="G15" s="92">
        <v>0</v>
      </c>
      <c r="H15" s="92">
        <v>0</v>
      </c>
      <c r="I15" s="92">
        <v>0</v>
      </c>
      <c r="J15" s="92">
        <v>0.8</v>
      </c>
      <c r="K15" s="92">
        <v>0</v>
      </c>
      <c r="L15" s="92">
        <v>0</v>
      </c>
      <c r="M15" s="92">
        <v>0</v>
      </c>
      <c r="N15" s="92">
        <v>0</v>
      </c>
      <c r="O15" s="92">
        <v>0.8</v>
      </c>
      <c r="P15" s="92">
        <v>0</v>
      </c>
      <c r="Q15" s="92">
        <v>0</v>
      </c>
      <c r="R15" s="92">
        <v>0</v>
      </c>
      <c r="S15" s="92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2">
        <v>0</v>
      </c>
      <c r="AA15" s="92">
        <v>0</v>
      </c>
      <c r="AB15" s="92">
        <v>0</v>
      </c>
      <c r="AC15" s="92">
        <v>0</v>
      </c>
      <c r="AD15" s="92">
        <v>0</v>
      </c>
      <c r="AE15" s="92">
        <v>0</v>
      </c>
      <c r="AF15" s="92">
        <v>0</v>
      </c>
      <c r="AG15" s="92">
        <v>0</v>
      </c>
      <c r="AH15" s="92">
        <v>0</v>
      </c>
      <c r="AI15" s="92">
        <v>0</v>
      </c>
    </row>
    <row r="16" spans="1:35" customFormat="1" x14ac:dyDescent="0.15">
      <c r="A16" s="170" t="s">
        <v>206</v>
      </c>
      <c r="B16" s="92">
        <v>0.8</v>
      </c>
      <c r="C16" s="92">
        <v>0</v>
      </c>
      <c r="D16" s="92">
        <v>0</v>
      </c>
      <c r="E16" s="92">
        <v>0.8</v>
      </c>
      <c r="F16" s="92">
        <v>0</v>
      </c>
      <c r="G16" s="92">
        <v>0</v>
      </c>
      <c r="H16" s="92">
        <v>0.8</v>
      </c>
      <c r="I16" s="92">
        <v>0</v>
      </c>
      <c r="J16" s="92">
        <v>0.8</v>
      </c>
      <c r="K16" s="92">
        <v>0.8</v>
      </c>
      <c r="L16" s="92">
        <v>0</v>
      </c>
      <c r="M16" s="92">
        <v>0</v>
      </c>
      <c r="N16" s="92">
        <v>0</v>
      </c>
      <c r="O16" s="92">
        <v>0</v>
      </c>
      <c r="P16" s="92">
        <v>0</v>
      </c>
      <c r="Q16" s="92">
        <v>0</v>
      </c>
      <c r="R16" s="92">
        <v>0</v>
      </c>
      <c r="S16" s="92">
        <v>0</v>
      </c>
      <c r="T16" s="92">
        <v>0</v>
      </c>
      <c r="U16" s="92">
        <v>0</v>
      </c>
      <c r="V16" s="92">
        <v>0</v>
      </c>
      <c r="W16" s="92">
        <v>0</v>
      </c>
      <c r="X16" s="92">
        <v>0</v>
      </c>
      <c r="Y16" s="92">
        <v>0</v>
      </c>
      <c r="Z16" s="92">
        <v>0</v>
      </c>
      <c r="AA16" s="92">
        <v>0</v>
      </c>
      <c r="AB16" s="92">
        <v>0</v>
      </c>
      <c r="AC16" s="92">
        <v>0</v>
      </c>
      <c r="AD16" s="92">
        <v>0</v>
      </c>
      <c r="AE16" s="92">
        <v>0</v>
      </c>
      <c r="AF16" s="92">
        <v>0</v>
      </c>
      <c r="AG16" s="92">
        <v>0</v>
      </c>
      <c r="AH16" s="92">
        <v>0</v>
      </c>
      <c r="AI16" s="92">
        <v>0</v>
      </c>
    </row>
    <row r="17" spans="1:35" customFormat="1" x14ac:dyDescent="0.15">
      <c r="A17" s="170" t="s">
        <v>207</v>
      </c>
      <c r="B17" s="92">
        <v>0</v>
      </c>
      <c r="C17" s="92">
        <v>0</v>
      </c>
      <c r="D17" s="92">
        <v>0</v>
      </c>
      <c r="E17" s="92">
        <v>0</v>
      </c>
      <c r="F17" s="92">
        <v>0</v>
      </c>
      <c r="G17" s="92">
        <v>0</v>
      </c>
      <c r="H17" s="92">
        <v>0</v>
      </c>
      <c r="I17" s="92">
        <v>0</v>
      </c>
      <c r="J17" s="92">
        <v>0</v>
      </c>
      <c r="K17" s="92">
        <v>0</v>
      </c>
      <c r="L17" s="92">
        <v>0</v>
      </c>
      <c r="M17" s="92">
        <v>0</v>
      </c>
      <c r="N17" s="92">
        <v>0</v>
      </c>
      <c r="O17" s="92">
        <v>0.8</v>
      </c>
      <c r="P17" s="92">
        <v>0</v>
      </c>
      <c r="Q17" s="92">
        <v>0.8</v>
      </c>
      <c r="R17" s="92">
        <v>0</v>
      </c>
      <c r="S17" s="92">
        <v>0.8</v>
      </c>
      <c r="T17" s="92">
        <v>0</v>
      </c>
      <c r="U17" s="92">
        <v>0</v>
      </c>
      <c r="V17" s="92">
        <v>0</v>
      </c>
      <c r="W17" s="92">
        <v>0</v>
      </c>
      <c r="X17" s="92">
        <v>0</v>
      </c>
      <c r="Y17" s="92">
        <v>0</v>
      </c>
      <c r="Z17" s="92">
        <v>0</v>
      </c>
      <c r="AA17" s="92">
        <v>0</v>
      </c>
      <c r="AB17" s="92">
        <v>0</v>
      </c>
      <c r="AC17" s="92">
        <v>0</v>
      </c>
      <c r="AD17" s="92">
        <v>0</v>
      </c>
      <c r="AE17" s="92">
        <v>0</v>
      </c>
      <c r="AF17" s="92">
        <v>0</v>
      </c>
      <c r="AG17" s="92">
        <v>0</v>
      </c>
      <c r="AH17" s="92">
        <v>0</v>
      </c>
      <c r="AI17" s="92">
        <v>0</v>
      </c>
    </row>
    <row r="18" spans="1:35" customFormat="1" x14ac:dyDescent="0.15">
      <c r="A18" s="170" t="s">
        <v>208</v>
      </c>
      <c r="B18" s="92">
        <v>0</v>
      </c>
      <c r="C18" s="92">
        <v>0</v>
      </c>
      <c r="D18" s="92">
        <v>0</v>
      </c>
      <c r="E18" s="92">
        <v>0</v>
      </c>
      <c r="F18" s="92">
        <v>0</v>
      </c>
      <c r="G18" s="92">
        <v>0</v>
      </c>
      <c r="H18" s="92">
        <v>0</v>
      </c>
      <c r="I18" s="92">
        <v>0</v>
      </c>
      <c r="J18" s="92">
        <v>0</v>
      </c>
      <c r="K18" s="92">
        <v>0</v>
      </c>
      <c r="L18" s="92">
        <v>0</v>
      </c>
      <c r="M18" s="92">
        <v>0.8</v>
      </c>
      <c r="N18" s="92">
        <v>0</v>
      </c>
      <c r="O18" s="92">
        <v>0</v>
      </c>
      <c r="P18" s="92">
        <v>0</v>
      </c>
      <c r="Q18" s="92">
        <v>0.8</v>
      </c>
      <c r="R18" s="92">
        <v>0</v>
      </c>
      <c r="S18" s="92">
        <v>0.8</v>
      </c>
      <c r="T18" s="92">
        <v>0</v>
      </c>
      <c r="U18" s="92">
        <v>0</v>
      </c>
      <c r="V18" s="92">
        <v>0</v>
      </c>
      <c r="W18" s="92">
        <v>0</v>
      </c>
      <c r="X18" s="92">
        <v>0</v>
      </c>
      <c r="Y18" s="92">
        <v>0</v>
      </c>
      <c r="Z18" s="92">
        <v>0</v>
      </c>
      <c r="AA18" s="92">
        <v>0</v>
      </c>
      <c r="AB18" s="92">
        <v>0</v>
      </c>
      <c r="AC18" s="92">
        <v>0</v>
      </c>
      <c r="AD18" s="92">
        <v>0</v>
      </c>
      <c r="AE18" s="92">
        <v>0</v>
      </c>
      <c r="AF18" s="92">
        <v>0</v>
      </c>
      <c r="AG18" s="92">
        <v>0</v>
      </c>
      <c r="AH18" s="92">
        <v>0</v>
      </c>
      <c r="AI18" s="92">
        <v>0</v>
      </c>
    </row>
    <row r="19" spans="1:35" customFormat="1" x14ac:dyDescent="0.15">
      <c r="A19" s="170" t="s">
        <v>209</v>
      </c>
      <c r="B19" s="92">
        <v>0</v>
      </c>
      <c r="C19" s="92">
        <v>0</v>
      </c>
      <c r="D19" s="92">
        <v>0</v>
      </c>
      <c r="E19" s="92">
        <v>0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0.8</v>
      </c>
      <c r="L19" s="92">
        <v>0</v>
      </c>
      <c r="M19" s="92">
        <v>0.8</v>
      </c>
      <c r="N19" s="92">
        <v>0</v>
      </c>
      <c r="O19" s="92">
        <v>0</v>
      </c>
      <c r="P19" s="92">
        <v>0</v>
      </c>
      <c r="Q19" s="92">
        <v>0</v>
      </c>
      <c r="R19" s="92">
        <v>0</v>
      </c>
      <c r="S19" s="92">
        <v>0</v>
      </c>
      <c r="T19" s="92">
        <v>0</v>
      </c>
      <c r="U19" s="92">
        <v>0</v>
      </c>
      <c r="V19" s="92">
        <v>0</v>
      </c>
      <c r="W19" s="92">
        <v>0</v>
      </c>
      <c r="X19" s="92">
        <v>0</v>
      </c>
      <c r="Y19" s="92">
        <v>0</v>
      </c>
      <c r="Z19" s="92">
        <v>0</v>
      </c>
      <c r="AA19" s="92">
        <v>0</v>
      </c>
      <c r="AB19" s="92">
        <v>0</v>
      </c>
      <c r="AC19" s="92">
        <v>0</v>
      </c>
      <c r="AD19" s="92">
        <v>0</v>
      </c>
      <c r="AE19" s="92">
        <v>0</v>
      </c>
      <c r="AF19" s="92">
        <v>0</v>
      </c>
      <c r="AG19" s="92">
        <v>0</v>
      </c>
      <c r="AH19" s="92">
        <v>0</v>
      </c>
      <c r="AI19" s="92">
        <v>0</v>
      </c>
    </row>
    <row r="20" spans="1:35" customFormat="1" x14ac:dyDescent="0.15">
      <c r="A20" s="170" t="s">
        <v>210</v>
      </c>
      <c r="B20" s="92">
        <v>0.8</v>
      </c>
      <c r="C20" s="92">
        <v>0</v>
      </c>
      <c r="D20" s="92">
        <v>0.8</v>
      </c>
      <c r="E20" s="92">
        <v>0.8</v>
      </c>
      <c r="F20" s="92">
        <v>0</v>
      </c>
      <c r="G20" s="92">
        <v>0.8</v>
      </c>
      <c r="H20" s="92">
        <v>0.8</v>
      </c>
      <c r="I20" s="92">
        <v>0</v>
      </c>
      <c r="J20" s="92">
        <v>0.8</v>
      </c>
      <c r="K20" s="92">
        <v>0.8</v>
      </c>
      <c r="L20" s="92">
        <v>0</v>
      </c>
      <c r="M20" s="92">
        <v>0</v>
      </c>
      <c r="N20" s="92">
        <v>0</v>
      </c>
      <c r="O20" s="92">
        <v>0</v>
      </c>
      <c r="P20" s="92">
        <v>0</v>
      </c>
      <c r="Q20" s="92">
        <v>0</v>
      </c>
      <c r="R20" s="92">
        <v>0</v>
      </c>
      <c r="S20" s="92">
        <v>0</v>
      </c>
      <c r="T20" s="92">
        <v>0.8</v>
      </c>
      <c r="U20" s="92">
        <v>0</v>
      </c>
      <c r="V20" s="92">
        <v>0</v>
      </c>
      <c r="W20" s="92">
        <v>0</v>
      </c>
      <c r="X20" s="92">
        <v>0</v>
      </c>
      <c r="Y20" s="92">
        <v>0</v>
      </c>
      <c r="Z20" s="92">
        <v>0</v>
      </c>
      <c r="AA20" s="92">
        <v>0</v>
      </c>
      <c r="AB20" s="92">
        <v>0</v>
      </c>
      <c r="AC20" s="92">
        <v>0</v>
      </c>
      <c r="AD20" s="92">
        <v>0</v>
      </c>
      <c r="AE20" s="92">
        <v>0</v>
      </c>
      <c r="AF20" s="92">
        <v>0</v>
      </c>
      <c r="AG20" s="92">
        <v>0</v>
      </c>
      <c r="AH20" s="92">
        <v>0</v>
      </c>
      <c r="AI20" s="92">
        <v>0</v>
      </c>
    </row>
    <row r="21" spans="1:35" customFormat="1" x14ac:dyDescent="0.15">
      <c r="A21" s="170" t="s">
        <v>211</v>
      </c>
      <c r="B21" s="92">
        <v>0</v>
      </c>
      <c r="C21" s="92">
        <v>0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0.8</v>
      </c>
      <c r="J21" s="92">
        <v>0.8</v>
      </c>
      <c r="K21" s="92">
        <v>0</v>
      </c>
      <c r="L21" s="92">
        <v>0.8</v>
      </c>
      <c r="M21" s="92">
        <v>0.8</v>
      </c>
      <c r="N21" s="92">
        <v>0</v>
      </c>
      <c r="O21" s="92">
        <v>0</v>
      </c>
      <c r="P21" s="92">
        <v>0</v>
      </c>
      <c r="Q21" s="92">
        <v>0</v>
      </c>
      <c r="R21" s="92">
        <v>0.8</v>
      </c>
      <c r="S21" s="92">
        <v>0.8</v>
      </c>
      <c r="T21" s="92">
        <v>0</v>
      </c>
      <c r="U21" s="92">
        <v>0</v>
      </c>
      <c r="V21" s="92">
        <v>0</v>
      </c>
      <c r="W21" s="92">
        <v>0.8</v>
      </c>
      <c r="X21" s="92">
        <v>0</v>
      </c>
      <c r="Y21" s="92">
        <v>0.8</v>
      </c>
      <c r="Z21" s="92">
        <v>0</v>
      </c>
      <c r="AA21" s="92">
        <v>0</v>
      </c>
      <c r="AB21" s="92">
        <v>0</v>
      </c>
      <c r="AC21" s="92">
        <v>0</v>
      </c>
      <c r="AD21" s="92">
        <v>0</v>
      </c>
      <c r="AE21" s="92">
        <v>0</v>
      </c>
      <c r="AF21" s="92">
        <v>0</v>
      </c>
      <c r="AG21" s="92">
        <v>0</v>
      </c>
      <c r="AH21" s="92">
        <v>0</v>
      </c>
      <c r="AI21" s="92">
        <v>0</v>
      </c>
    </row>
    <row r="22" spans="1:35" customFormat="1" x14ac:dyDescent="0.15">
      <c r="A22" s="170" t="s">
        <v>212</v>
      </c>
      <c r="B22" s="92">
        <v>0</v>
      </c>
      <c r="C22" s="92">
        <v>0</v>
      </c>
      <c r="D22" s="92">
        <v>0</v>
      </c>
      <c r="E22" s="92">
        <v>0</v>
      </c>
      <c r="F22" s="92">
        <v>0</v>
      </c>
      <c r="G22" s="92">
        <v>0</v>
      </c>
      <c r="H22" s="92">
        <v>0</v>
      </c>
      <c r="I22" s="92">
        <v>0</v>
      </c>
      <c r="J22" s="92">
        <v>0</v>
      </c>
      <c r="K22" s="92">
        <v>0.8</v>
      </c>
      <c r="L22" s="92">
        <v>0</v>
      </c>
      <c r="M22" s="92">
        <v>0.8</v>
      </c>
      <c r="N22" s="92">
        <v>0</v>
      </c>
      <c r="O22" s="92">
        <v>0.8</v>
      </c>
      <c r="P22" s="92">
        <v>0</v>
      </c>
      <c r="Q22" s="92">
        <v>0.8</v>
      </c>
      <c r="R22" s="92">
        <v>0</v>
      </c>
      <c r="S22" s="92">
        <v>0</v>
      </c>
      <c r="T22" s="92">
        <v>0.8</v>
      </c>
      <c r="U22" s="92">
        <v>0</v>
      </c>
      <c r="V22" s="92">
        <v>0</v>
      </c>
      <c r="W22" s="92">
        <v>0</v>
      </c>
      <c r="X22" s="92">
        <v>0</v>
      </c>
      <c r="Y22" s="92">
        <v>0</v>
      </c>
      <c r="Z22" s="92">
        <v>0</v>
      </c>
      <c r="AA22" s="92">
        <v>0</v>
      </c>
      <c r="AB22" s="92">
        <v>0</v>
      </c>
      <c r="AC22" s="92">
        <v>0</v>
      </c>
      <c r="AD22" s="92">
        <v>0</v>
      </c>
      <c r="AE22" s="92">
        <v>0</v>
      </c>
      <c r="AF22" s="92">
        <v>0</v>
      </c>
      <c r="AG22" s="92">
        <v>0</v>
      </c>
      <c r="AH22" s="92">
        <v>0</v>
      </c>
      <c r="AI22" s="92">
        <v>0</v>
      </c>
    </row>
    <row r="23" spans="1:35" customFormat="1" x14ac:dyDescent="0.15">
      <c r="A23" s="170" t="s">
        <v>213</v>
      </c>
      <c r="B23" s="92">
        <v>0.8</v>
      </c>
      <c r="C23" s="92">
        <v>0</v>
      </c>
      <c r="D23" s="92">
        <v>0</v>
      </c>
      <c r="E23" s="92">
        <v>0</v>
      </c>
      <c r="F23" s="92">
        <v>0</v>
      </c>
      <c r="G23" s="92">
        <v>0</v>
      </c>
      <c r="H23" s="92">
        <v>0</v>
      </c>
      <c r="I23" s="92">
        <v>0</v>
      </c>
      <c r="J23" s="92">
        <v>0</v>
      </c>
      <c r="K23" s="92">
        <v>0</v>
      </c>
      <c r="L23" s="92">
        <v>0</v>
      </c>
      <c r="M23" s="92">
        <v>0</v>
      </c>
      <c r="N23" s="92">
        <v>0</v>
      </c>
      <c r="O23" s="92">
        <v>0</v>
      </c>
      <c r="P23" s="92">
        <v>0</v>
      </c>
      <c r="Q23" s="92">
        <v>0</v>
      </c>
      <c r="R23" s="92">
        <v>0</v>
      </c>
      <c r="S23" s="92">
        <v>0</v>
      </c>
      <c r="T23" s="92">
        <v>0</v>
      </c>
      <c r="U23" s="92">
        <v>0</v>
      </c>
      <c r="V23" s="92">
        <v>0</v>
      </c>
      <c r="W23" s="92">
        <v>0</v>
      </c>
      <c r="X23" s="92">
        <v>0</v>
      </c>
      <c r="Y23" s="92">
        <v>0</v>
      </c>
      <c r="Z23" s="92">
        <v>0</v>
      </c>
      <c r="AA23" s="92">
        <v>0</v>
      </c>
      <c r="AB23" s="92">
        <v>0</v>
      </c>
      <c r="AC23" s="92">
        <v>0</v>
      </c>
      <c r="AD23" s="92">
        <v>0</v>
      </c>
      <c r="AE23" s="92">
        <v>0</v>
      </c>
      <c r="AF23" s="92">
        <v>0</v>
      </c>
      <c r="AG23" s="92">
        <v>0</v>
      </c>
      <c r="AH23" s="92">
        <v>0</v>
      </c>
      <c r="AI23" s="92">
        <v>0</v>
      </c>
    </row>
    <row r="24" spans="1:35" customFormat="1" x14ac:dyDescent="0.15">
      <c r="A24" s="170" t="s">
        <v>214</v>
      </c>
      <c r="B24" s="92">
        <v>0</v>
      </c>
      <c r="C24" s="92">
        <v>0</v>
      </c>
      <c r="D24" s="92">
        <v>0</v>
      </c>
      <c r="E24" s="92">
        <v>0</v>
      </c>
      <c r="F24" s="92">
        <v>0</v>
      </c>
      <c r="G24" s="92">
        <v>0</v>
      </c>
      <c r="H24" s="92">
        <v>0.8</v>
      </c>
      <c r="I24" s="92">
        <v>0</v>
      </c>
      <c r="J24" s="92">
        <v>0.8</v>
      </c>
      <c r="K24" s="92">
        <v>0.8</v>
      </c>
      <c r="L24" s="92">
        <v>0</v>
      </c>
      <c r="M24" s="92">
        <v>0.8</v>
      </c>
      <c r="N24" s="92">
        <v>0.8</v>
      </c>
      <c r="O24" s="92">
        <v>0.8</v>
      </c>
      <c r="P24" s="92">
        <v>0</v>
      </c>
      <c r="Q24" s="92">
        <v>0</v>
      </c>
      <c r="R24" s="92">
        <v>0</v>
      </c>
      <c r="S24" s="92">
        <v>0.8</v>
      </c>
      <c r="T24" s="92">
        <v>0.8</v>
      </c>
      <c r="U24" s="92">
        <v>0</v>
      </c>
      <c r="V24" s="92">
        <v>0</v>
      </c>
      <c r="W24" s="92">
        <v>0</v>
      </c>
      <c r="X24" s="92">
        <v>0</v>
      </c>
      <c r="Y24" s="92">
        <v>0</v>
      </c>
      <c r="Z24" s="92">
        <v>0</v>
      </c>
      <c r="AA24" s="92">
        <v>0</v>
      </c>
      <c r="AB24" s="92">
        <v>0</v>
      </c>
      <c r="AC24" s="92">
        <v>0</v>
      </c>
      <c r="AD24" s="92">
        <v>0</v>
      </c>
      <c r="AE24" s="92">
        <v>0</v>
      </c>
      <c r="AF24" s="92">
        <v>0</v>
      </c>
      <c r="AG24" s="92">
        <v>0</v>
      </c>
      <c r="AH24" s="92">
        <v>0</v>
      </c>
      <c r="AI24" s="92">
        <v>0</v>
      </c>
    </row>
    <row r="25" spans="1:35" customFormat="1" x14ac:dyDescent="0.15">
      <c r="A25" s="170" t="s">
        <v>215</v>
      </c>
      <c r="B25" s="92">
        <v>0</v>
      </c>
      <c r="C25" s="92">
        <v>0</v>
      </c>
      <c r="D25" s="92">
        <v>0</v>
      </c>
      <c r="E25" s="92">
        <v>0</v>
      </c>
      <c r="F25" s="92">
        <v>0</v>
      </c>
      <c r="G25" s="92">
        <v>0</v>
      </c>
      <c r="H25" s="92">
        <v>0</v>
      </c>
      <c r="I25" s="92">
        <v>0</v>
      </c>
      <c r="J25" s="92">
        <v>0</v>
      </c>
      <c r="K25" s="92">
        <v>0.8</v>
      </c>
      <c r="L25" s="92">
        <v>0</v>
      </c>
      <c r="M25" s="92">
        <v>0.8</v>
      </c>
      <c r="N25" s="92">
        <v>0</v>
      </c>
      <c r="O25" s="92">
        <v>0.8</v>
      </c>
      <c r="P25" s="92">
        <v>0.8</v>
      </c>
      <c r="Q25" s="92">
        <v>0.8</v>
      </c>
      <c r="R25" s="92">
        <v>0</v>
      </c>
      <c r="S25" s="92">
        <v>0.8</v>
      </c>
      <c r="T25" s="92">
        <v>0.8</v>
      </c>
      <c r="U25" s="92">
        <v>0</v>
      </c>
      <c r="V25" s="92">
        <v>0</v>
      </c>
      <c r="W25" s="92">
        <v>0</v>
      </c>
      <c r="X25" s="92">
        <v>0.8</v>
      </c>
      <c r="Y25" s="92">
        <v>0</v>
      </c>
      <c r="Z25" s="92">
        <v>0</v>
      </c>
      <c r="AA25" s="92">
        <v>0</v>
      </c>
      <c r="AB25" s="92">
        <v>0</v>
      </c>
      <c r="AC25" s="92">
        <v>0</v>
      </c>
      <c r="AD25" s="92">
        <v>0</v>
      </c>
      <c r="AE25" s="92">
        <v>0</v>
      </c>
      <c r="AF25" s="92">
        <v>0</v>
      </c>
      <c r="AG25" s="92">
        <v>0</v>
      </c>
      <c r="AH25" s="92">
        <v>0</v>
      </c>
      <c r="AI25" s="92">
        <v>0</v>
      </c>
    </row>
    <row r="26" spans="1:35" customFormat="1" x14ac:dyDescent="0.15">
      <c r="A26" s="170" t="s">
        <v>216</v>
      </c>
      <c r="B26" s="92">
        <v>0</v>
      </c>
      <c r="C26" s="92">
        <v>0</v>
      </c>
      <c r="D26" s="92">
        <v>0</v>
      </c>
      <c r="E26" s="92">
        <v>0.8</v>
      </c>
      <c r="F26" s="92">
        <v>0.8</v>
      </c>
      <c r="G26" s="92">
        <v>0.8</v>
      </c>
      <c r="H26" s="92">
        <v>0.8</v>
      </c>
      <c r="I26" s="92">
        <v>0</v>
      </c>
      <c r="J26" s="92">
        <v>0</v>
      </c>
      <c r="K26" s="92">
        <v>0</v>
      </c>
      <c r="L26" s="92">
        <v>0</v>
      </c>
      <c r="M26" s="92">
        <v>0</v>
      </c>
      <c r="N26" s="92">
        <v>0</v>
      </c>
      <c r="O26" s="92">
        <v>0</v>
      </c>
      <c r="P26" s="92">
        <v>0</v>
      </c>
      <c r="Q26" s="92">
        <v>0</v>
      </c>
      <c r="R26" s="92">
        <v>0</v>
      </c>
      <c r="S26" s="92">
        <v>0</v>
      </c>
      <c r="T26" s="92">
        <v>0</v>
      </c>
      <c r="U26" s="92">
        <v>0</v>
      </c>
      <c r="V26" s="92">
        <v>0</v>
      </c>
      <c r="W26" s="92">
        <v>0</v>
      </c>
      <c r="X26" s="92">
        <v>0</v>
      </c>
      <c r="Y26" s="92">
        <v>0</v>
      </c>
      <c r="Z26" s="92">
        <v>0</v>
      </c>
      <c r="AA26" s="92">
        <v>0</v>
      </c>
      <c r="AB26" s="92">
        <v>0</v>
      </c>
      <c r="AC26" s="92">
        <v>0</v>
      </c>
      <c r="AD26" s="92">
        <v>0</v>
      </c>
      <c r="AE26" s="92">
        <v>0</v>
      </c>
      <c r="AF26" s="92">
        <v>0</v>
      </c>
      <c r="AG26" s="92">
        <v>0</v>
      </c>
      <c r="AH26" s="92">
        <v>0</v>
      </c>
      <c r="AI26" s="92">
        <v>0</v>
      </c>
    </row>
    <row r="27" spans="1:35" customFormat="1" x14ac:dyDescent="0.15">
      <c r="A27" s="170" t="s">
        <v>217</v>
      </c>
      <c r="B27" s="92">
        <v>0</v>
      </c>
      <c r="C27" s="92">
        <v>0</v>
      </c>
      <c r="D27" s="92">
        <v>0</v>
      </c>
      <c r="E27" s="92">
        <v>0.8</v>
      </c>
      <c r="F27" s="92">
        <v>0</v>
      </c>
      <c r="G27" s="92">
        <v>0.8</v>
      </c>
      <c r="H27" s="92">
        <v>0.8</v>
      </c>
      <c r="I27" s="92">
        <v>0</v>
      </c>
      <c r="J27" s="92">
        <v>0.8</v>
      </c>
      <c r="K27" s="92">
        <v>0</v>
      </c>
      <c r="L27" s="92">
        <v>0</v>
      </c>
      <c r="M27" s="92">
        <v>0</v>
      </c>
      <c r="N27" s="92">
        <v>0</v>
      </c>
      <c r="O27" s="92">
        <v>0</v>
      </c>
      <c r="P27" s="92">
        <v>0</v>
      </c>
      <c r="Q27" s="92">
        <v>0</v>
      </c>
      <c r="R27" s="92">
        <v>0</v>
      </c>
      <c r="S27" s="92">
        <v>0</v>
      </c>
      <c r="T27" s="92">
        <v>0</v>
      </c>
      <c r="U27" s="92">
        <v>0</v>
      </c>
      <c r="V27" s="92">
        <v>0</v>
      </c>
      <c r="W27" s="92">
        <v>0</v>
      </c>
      <c r="X27" s="92">
        <v>0</v>
      </c>
      <c r="Y27" s="92">
        <v>0</v>
      </c>
      <c r="Z27" s="92">
        <v>0</v>
      </c>
      <c r="AA27" s="92">
        <v>0</v>
      </c>
      <c r="AB27" s="92">
        <v>0</v>
      </c>
      <c r="AC27" s="92">
        <v>0</v>
      </c>
      <c r="AD27" s="92">
        <v>0</v>
      </c>
      <c r="AE27" s="92">
        <v>0</v>
      </c>
      <c r="AF27" s="92">
        <v>0</v>
      </c>
      <c r="AG27" s="92">
        <v>0</v>
      </c>
      <c r="AH27" s="92">
        <v>0</v>
      </c>
      <c r="AI27" s="92">
        <v>0</v>
      </c>
    </row>
    <row r="28" spans="1:35" customFormat="1" x14ac:dyDescent="0.15">
      <c r="A28" s="170" t="s">
        <v>218</v>
      </c>
      <c r="B28" s="92">
        <v>0</v>
      </c>
      <c r="C28" s="92">
        <v>0</v>
      </c>
      <c r="D28" s="92">
        <v>0</v>
      </c>
      <c r="E28" s="92">
        <v>0</v>
      </c>
      <c r="F28" s="92">
        <v>0</v>
      </c>
      <c r="G28" s="92">
        <v>0</v>
      </c>
      <c r="H28" s="92">
        <v>0</v>
      </c>
      <c r="I28" s="92">
        <v>0</v>
      </c>
      <c r="J28" s="92">
        <v>0</v>
      </c>
      <c r="K28" s="92">
        <v>0</v>
      </c>
      <c r="L28" s="92">
        <v>0</v>
      </c>
      <c r="M28" s="92">
        <v>0.8</v>
      </c>
      <c r="N28" s="92">
        <v>0.8</v>
      </c>
      <c r="O28" s="92">
        <v>0.8</v>
      </c>
      <c r="P28" s="92">
        <v>0</v>
      </c>
      <c r="Q28" s="92">
        <v>0</v>
      </c>
      <c r="R28" s="92">
        <v>0</v>
      </c>
      <c r="S28" s="92">
        <v>0</v>
      </c>
      <c r="T28" s="92">
        <v>0.8</v>
      </c>
      <c r="U28" s="92">
        <v>0</v>
      </c>
      <c r="V28" s="92">
        <v>0</v>
      </c>
      <c r="W28" s="92">
        <v>0</v>
      </c>
      <c r="X28" s="92">
        <v>0.8</v>
      </c>
      <c r="Y28" s="92">
        <v>0</v>
      </c>
      <c r="Z28" s="92">
        <v>0</v>
      </c>
      <c r="AA28" s="92">
        <v>0</v>
      </c>
      <c r="AB28" s="92">
        <v>0</v>
      </c>
      <c r="AC28" s="92">
        <v>0</v>
      </c>
      <c r="AD28" s="92">
        <v>0</v>
      </c>
      <c r="AE28" s="92">
        <v>0</v>
      </c>
      <c r="AF28" s="92">
        <v>0</v>
      </c>
      <c r="AG28" s="92">
        <v>0</v>
      </c>
      <c r="AH28" s="92">
        <v>0</v>
      </c>
      <c r="AI28" s="92">
        <v>0</v>
      </c>
    </row>
    <row r="29" spans="1:35" customFormat="1" x14ac:dyDescent="0.15">
      <c r="A29" s="170" t="s">
        <v>219</v>
      </c>
      <c r="B29" s="92">
        <v>0</v>
      </c>
      <c r="C29" s="92">
        <v>0</v>
      </c>
      <c r="D29" s="92">
        <v>0</v>
      </c>
      <c r="E29" s="92">
        <v>0</v>
      </c>
      <c r="F29" s="92">
        <v>0</v>
      </c>
      <c r="G29" s="92">
        <v>0</v>
      </c>
      <c r="H29" s="92">
        <v>0</v>
      </c>
      <c r="I29" s="92">
        <v>0.8</v>
      </c>
      <c r="J29" s="92">
        <v>0</v>
      </c>
      <c r="K29" s="92">
        <v>0</v>
      </c>
      <c r="L29" s="92">
        <v>0.8</v>
      </c>
      <c r="M29" s="92">
        <v>0.8</v>
      </c>
      <c r="N29" s="92">
        <v>0</v>
      </c>
      <c r="O29" s="92">
        <v>0</v>
      </c>
      <c r="P29" s="92">
        <v>0</v>
      </c>
      <c r="Q29" s="92">
        <v>0</v>
      </c>
      <c r="R29" s="92">
        <v>0.8</v>
      </c>
      <c r="S29" s="92">
        <v>0.8</v>
      </c>
      <c r="T29" s="92">
        <v>0.8</v>
      </c>
      <c r="U29" s="92">
        <v>0.8</v>
      </c>
      <c r="V29" s="92">
        <v>0</v>
      </c>
      <c r="W29" s="92">
        <v>0</v>
      </c>
      <c r="X29" s="92">
        <v>0</v>
      </c>
      <c r="Y29" s="92">
        <v>0.8</v>
      </c>
      <c r="Z29" s="92">
        <v>0</v>
      </c>
      <c r="AA29" s="92">
        <v>0</v>
      </c>
      <c r="AB29" s="92">
        <v>0</v>
      </c>
      <c r="AC29" s="92">
        <v>0</v>
      </c>
      <c r="AD29" s="92">
        <v>0</v>
      </c>
      <c r="AE29" s="92">
        <v>0</v>
      </c>
      <c r="AF29" s="92">
        <v>0</v>
      </c>
      <c r="AG29" s="92">
        <v>0</v>
      </c>
      <c r="AH29" s="92">
        <v>0</v>
      </c>
      <c r="AI29" s="92">
        <v>0</v>
      </c>
    </row>
    <row r="30" spans="1:35" customFormat="1" x14ac:dyDescent="0.15">
      <c r="A30" s="170" t="s">
        <v>220</v>
      </c>
      <c r="B30" s="92">
        <v>0</v>
      </c>
      <c r="C30" s="92">
        <v>0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0</v>
      </c>
      <c r="K30" s="92">
        <v>0</v>
      </c>
      <c r="L30" s="92">
        <v>0</v>
      </c>
      <c r="M30" s="92">
        <v>0.8</v>
      </c>
      <c r="N30" s="92">
        <v>0</v>
      </c>
      <c r="O30" s="92">
        <v>0.8</v>
      </c>
      <c r="P30" s="92">
        <v>0</v>
      </c>
      <c r="Q30" s="92">
        <v>0</v>
      </c>
      <c r="R30" s="92">
        <v>0</v>
      </c>
      <c r="S30" s="92">
        <v>0.8</v>
      </c>
      <c r="T30" s="92">
        <v>0.8</v>
      </c>
      <c r="U30" s="92">
        <v>0</v>
      </c>
      <c r="V30" s="92">
        <v>0</v>
      </c>
      <c r="W30" s="92">
        <v>0</v>
      </c>
      <c r="X30" s="92">
        <v>0</v>
      </c>
      <c r="Y30" s="92">
        <v>0</v>
      </c>
      <c r="Z30" s="92">
        <v>0</v>
      </c>
      <c r="AA30" s="92">
        <v>0</v>
      </c>
      <c r="AB30" s="92">
        <v>0</v>
      </c>
      <c r="AC30" s="92">
        <v>0</v>
      </c>
      <c r="AD30" s="92">
        <v>0</v>
      </c>
      <c r="AE30" s="92">
        <v>0</v>
      </c>
      <c r="AF30" s="92">
        <v>0</v>
      </c>
      <c r="AG30" s="92">
        <v>0</v>
      </c>
      <c r="AH30" s="92">
        <v>0</v>
      </c>
      <c r="AI30" s="92">
        <v>0</v>
      </c>
    </row>
    <row r="31" spans="1:35" customFormat="1" x14ac:dyDescent="0.15">
      <c r="A31" s="170" t="s">
        <v>221</v>
      </c>
      <c r="B31" s="92">
        <v>0</v>
      </c>
      <c r="C31" s="92">
        <v>0</v>
      </c>
      <c r="D31" s="92">
        <v>0</v>
      </c>
      <c r="E31" s="92">
        <v>0</v>
      </c>
      <c r="F31" s="92">
        <v>0</v>
      </c>
      <c r="G31" s="92">
        <v>0</v>
      </c>
      <c r="H31" s="92">
        <v>0</v>
      </c>
      <c r="I31" s="92">
        <v>0</v>
      </c>
      <c r="J31" s="92">
        <v>0</v>
      </c>
      <c r="K31" s="92">
        <v>0</v>
      </c>
      <c r="L31" s="92">
        <v>0</v>
      </c>
      <c r="M31" s="92">
        <v>0</v>
      </c>
      <c r="N31" s="92">
        <v>0.8</v>
      </c>
      <c r="O31" s="92">
        <v>0.8</v>
      </c>
      <c r="P31" s="92">
        <v>0.8</v>
      </c>
      <c r="Q31" s="92">
        <v>0</v>
      </c>
      <c r="R31" s="92">
        <v>0</v>
      </c>
      <c r="S31" s="92">
        <v>0.8</v>
      </c>
      <c r="T31" s="92">
        <v>0.8</v>
      </c>
      <c r="U31" s="92">
        <v>0</v>
      </c>
      <c r="V31" s="92">
        <v>0.8</v>
      </c>
      <c r="W31" s="92">
        <v>0.8</v>
      </c>
      <c r="X31" s="92">
        <v>0.8</v>
      </c>
      <c r="Y31" s="92">
        <v>0</v>
      </c>
      <c r="Z31" s="92">
        <v>0.8</v>
      </c>
      <c r="AA31" s="92">
        <v>0.8</v>
      </c>
      <c r="AB31" s="92">
        <v>0</v>
      </c>
      <c r="AC31" s="92">
        <v>0</v>
      </c>
      <c r="AD31" s="92">
        <v>0</v>
      </c>
      <c r="AE31" s="92">
        <v>0</v>
      </c>
      <c r="AF31" s="92">
        <v>0</v>
      </c>
      <c r="AG31" s="92">
        <v>0</v>
      </c>
      <c r="AH31" s="92">
        <v>0</v>
      </c>
      <c r="AI31" s="92">
        <v>0</v>
      </c>
    </row>
    <row r="32" spans="1:35" customFormat="1" x14ac:dyDescent="0.15">
      <c r="A32" s="170" t="s">
        <v>222</v>
      </c>
      <c r="B32" s="92">
        <v>0</v>
      </c>
      <c r="C32" s="92">
        <v>0</v>
      </c>
      <c r="D32" s="92">
        <v>0</v>
      </c>
      <c r="E32" s="92">
        <v>0</v>
      </c>
      <c r="F32" s="92">
        <v>0</v>
      </c>
      <c r="G32" s="92">
        <v>0</v>
      </c>
      <c r="H32" s="92">
        <v>0</v>
      </c>
      <c r="I32" s="92">
        <v>0.8</v>
      </c>
      <c r="J32" s="92">
        <v>0</v>
      </c>
      <c r="K32" s="92">
        <v>0</v>
      </c>
      <c r="L32" s="92">
        <v>0.8</v>
      </c>
      <c r="M32" s="92">
        <v>0</v>
      </c>
      <c r="N32" s="92">
        <v>0</v>
      </c>
      <c r="O32" s="92">
        <v>0</v>
      </c>
      <c r="P32" s="92">
        <v>0</v>
      </c>
      <c r="Q32" s="92">
        <v>0</v>
      </c>
      <c r="R32" s="92">
        <v>0.8</v>
      </c>
      <c r="S32" s="92">
        <v>0</v>
      </c>
      <c r="T32" s="92">
        <v>0</v>
      </c>
      <c r="U32" s="92">
        <v>0.8</v>
      </c>
      <c r="V32" s="92">
        <v>0</v>
      </c>
      <c r="W32" s="92">
        <v>0</v>
      </c>
      <c r="X32" s="92">
        <v>0</v>
      </c>
      <c r="Y32" s="92">
        <v>0.8</v>
      </c>
      <c r="Z32" s="92">
        <v>0</v>
      </c>
      <c r="AA32" s="92">
        <v>0</v>
      </c>
      <c r="AB32" s="92">
        <v>0</v>
      </c>
      <c r="AC32" s="92">
        <v>0.8</v>
      </c>
      <c r="AD32" s="92">
        <v>0</v>
      </c>
      <c r="AE32" s="92">
        <v>0</v>
      </c>
      <c r="AF32" s="92">
        <v>0</v>
      </c>
      <c r="AG32" s="92">
        <v>0</v>
      </c>
      <c r="AH32" s="92">
        <v>0</v>
      </c>
      <c r="AI32" s="92">
        <v>0</v>
      </c>
    </row>
    <row r="33" spans="1:35" x14ac:dyDescent="0.15">
      <c r="A33" s="170" t="s">
        <v>223</v>
      </c>
      <c r="B33" s="92">
        <v>0</v>
      </c>
      <c r="C33" s="92">
        <v>0</v>
      </c>
      <c r="D33" s="92">
        <v>0</v>
      </c>
      <c r="E33" s="92">
        <v>0</v>
      </c>
      <c r="F33" s="92">
        <v>0</v>
      </c>
      <c r="G33" s="92">
        <v>0</v>
      </c>
      <c r="H33" s="92">
        <v>0</v>
      </c>
      <c r="I33" s="92">
        <v>0</v>
      </c>
      <c r="J33" s="92">
        <v>0</v>
      </c>
      <c r="K33" s="92">
        <v>0</v>
      </c>
      <c r="L33" s="92">
        <v>0</v>
      </c>
      <c r="M33" s="92">
        <v>0</v>
      </c>
      <c r="N33" s="92">
        <v>0</v>
      </c>
      <c r="O33" s="92">
        <v>0</v>
      </c>
      <c r="P33" s="92">
        <v>0.8</v>
      </c>
      <c r="Q33" s="92">
        <v>0.8</v>
      </c>
      <c r="R33" s="92">
        <v>0</v>
      </c>
      <c r="S33" s="92">
        <v>0</v>
      </c>
      <c r="T33" s="92">
        <v>0</v>
      </c>
      <c r="U33" s="92">
        <v>0</v>
      </c>
      <c r="V33" s="92">
        <v>0</v>
      </c>
      <c r="W33" s="92">
        <v>0</v>
      </c>
      <c r="X33" s="92">
        <v>0</v>
      </c>
      <c r="Y33" s="92">
        <v>0.8</v>
      </c>
      <c r="Z33" s="92">
        <v>0</v>
      </c>
      <c r="AA33" s="92">
        <v>0</v>
      </c>
      <c r="AB33" s="92">
        <v>0</v>
      </c>
      <c r="AC33" s="92">
        <v>0</v>
      </c>
      <c r="AD33" s="92">
        <v>0</v>
      </c>
      <c r="AE33" s="92">
        <v>0</v>
      </c>
      <c r="AF33" s="92">
        <v>0</v>
      </c>
      <c r="AG33" s="92">
        <v>0</v>
      </c>
      <c r="AH33" s="92">
        <v>0</v>
      </c>
      <c r="AI33" s="92">
        <v>0</v>
      </c>
    </row>
    <row r="34" spans="1:35" x14ac:dyDescent="0.15">
      <c r="A34" s="170" t="s">
        <v>224</v>
      </c>
      <c r="B34" s="92">
        <v>0</v>
      </c>
      <c r="C34" s="92">
        <v>0</v>
      </c>
      <c r="D34" s="92">
        <v>0</v>
      </c>
      <c r="E34" s="92">
        <v>0</v>
      </c>
      <c r="F34" s="92">
        <v>0</v>
      </c>
      <c r="G34" s="92">
        <v>0</v>
      </c>
      <c r="H34" s="92">
        <v>0</v>
      </c>
      <c r="I34" s="92">
        <v>0</v>
      </c>
      <c r="J34" s="92">
        <v>0.8</v>
      </c>
      <c r="K34" s="92">
        <v>0.8</v>
      </c>
      <c r="L34" s="92">
        <v>0</v>
      </c>
      <c r="M34" s="92">
        <v>0.8</v>
      </c>
      <c r="N34" s="92">
        <v>0.8</v>
      </c>
      <c r="O34" s="92">
        <v>0.8</v>
      </c>
      <c r="P34" s="92">
        <v>0.8</v>
      </c>
      <c r="Q34" s="92">
        <v>0.8</v>
      </c>
      <c r="R34" s="92">
        <v>0.8</v>
      </c>
      <c r="S34" s="92">
        <v>0.8</v>
      </c>
      <c r="T34" s="92">
        <v>0.8</v>
      </c>
      <c r="U34" s="92">
        <v>0.8</v>
      </c>
      <c r="V34" s="92">
        <v>0.8</v>
      </c>
      <c r="W34" s="92">
        <v>0</v>
      </c>
      <c r="X34" s="92">
        <v>0.8</v>
      </c>
      <c r="Y34" s="92">
        <v>0.8</v>
      </c>
      <c r="Z34" s="92">
        <v>0.8</v>
      </c>
      <c r="AA34" s="92">
        <v>0.8</v>
      </c>
      <c r="AB34" s="92">
        <v>0.8</v>
      </c>
      <c r="AC34" s="92">
        <v>0.8</v>
      </c>
      <c r="AD34" s="92">
        <v>0.8</v>
      </c>
      <c r="AE34" s="92">
        <v>0</v>
      </c>
      <c r="AF34" s="92">
        <v>0</v>
      </c>
      <c r="AG34" s="92">
        <v>0</v>
      </c>
      <c r="AH34" s="92">
        <v>0</v>
      </c>
      <c r="AI34" s="92">
        <v>0</v>
      </c>
    </row>
    <row r="35" spans="1:35" x14ac:dyDescent="0.15">
      <c r="A35" s="170" t="s">
        <v>225</v>
      </c>
      <c r="B35" s="92">
        <v>0</v>
      </c>
      <c r="C35" s="92">
        <v>0</v>
      </c>
      <c r="D35" s="92">
        <v>0</v>
      </c>
      <c r="E35" s="92">
        <v>0</v>
      </c>
      <c r="F35" s="92">
        <v>0</v>
      </c>
      <c r="G35" s="92">
        <v>0</v>
      </c>
      <c r="H35" s="92">
        <v>0</v>
      </c>
      <c r="I35" s="92">
        <v>0</v>
      </c>
      <c r="J35" s="92">
        <v>0</v>
      </c>
      <c r="K35" s="92">
        <v>0</v>
      </c>
      <c r="L35" s="92">
        <v>0</v>
      </c>
      <c r="M35" s="92">
        <v>0</v>
      </c>
      <c r="N35" s="92">
        <v>0</v>
      </c>
      <c r="O35" s="92">
        <v>0</v>
      </c>
      <c r="P35" s="92">
        <v>0</v>
      </c>
      <c r="Q35" s="92">
        <v>0</v>
      </c>
      <c r="R35" s="92">
        <v>0</v>
      </c>
      <c r="S35" s="92">
        <v>0</v>
      </c>
      <c r="T35" s="92">
        <v>0</v>
      </c>
      <c r="U35" s="92">
        <v>0</v>
      </c>
      <c r="V35" s="92">
        <v>0</v>
      </c>
      <c r="W35" s="92">
        <v>0</v>
      </c>
      <c r="X35" s="92">
        <v>0</v>
      </c>
      <c r="Y35" s="92">
        <v>0</v>
      </c>
      <c r="Z35" s="92">
        <v>0</v>
      </c>
      <c r="AA35" s="92">
        <v>0</v>
      </c>
      <c r="AB35" s="92">
        <v>0</v>
      </c>
      <c r="AC35" s="92">
        <v>0</v>
      </c>
      <c r="AD35" s="92">
        <v>0</v>
      </c>
      <c r="AE35" s="92">
        <v>0</v>
      </c>
      <c r="AF35" s="92">
        <v>0</v>
      </c>
      <c r="AG35" s="92">
        <v>0</v>
      </c>
      <c r="AH35" s="92">
        <v>0</v>
      </c>
      <c r="AI35" s="92">
        <v>0</v>
      </c>
    </row>
    <row r="36" spans="1:35" x14ac:dyDescent="0.15">
      <c r="A36" s="170" t="s">
        <v>230</v>
      </c>
      <c r="B36" s="92">
        <v>0.8</v>
      </c>
      <c r="C36" s="92">
        <v>0.8</v>
      </c>
      <c r="D36" s="92">
        <v>0.8</v>
      </c>
      <c r="E36" s="92">
        <v>0.8</v>
      </c>
      <c r="F36" s="92">
        <v>0.8</v>
      </c>
      <c r="G36" s="92">
        <v>0.8</v>
      </c>
      <c r="H36" s="92">
        <v>0.8</v>
      </c>
      <c r="I36" s="92">
        <v>0</v>
      </c>
      <c r="J36" s="92">
        <v>0.8</v>
      </c>
      <c r="K36" s="92">
        <v>0</v>
      </c>
      <c r="L36" s="92">
        <v>0</v>
      </c>
      <c r="M36" s="92">
        <v>0</v>
      </c>
      <c r="N36" s="92">
        <v>0</v>
      </c>
      <c r="O36" s="92">
        <v>0</v>
      </c>
      <c r="P36" s="92">
        <v>0</v>
      </c>
      <c r="Q36" s="92">
        <v>0</v>
      </c>
      <c r="R36" s="92">
        <v>0</v>
      </c>
      <c r="S36" s="92">
        <v>0</v>
      </c>
      <c r="T36" s="92">
        <v>0</v>
      </c>
      <c r="U36" s="92">
        <v>0</v>
      </c>
      <c r="V36" s="92">
        <v>0</v>
      </c>
      <c r="W36" s="92">
        <v>0</v>
      </c>
      <c r="X36" s="92">
        <v>0</v>
      </c>
      <c r="Y36" s="92">
        <v>0</v>
      </c>
      <c r="Z36" s="92">
        <v>0.8</v>
      </c>
      <c r="AA36" s="92">
        <v>0</v>
      </c>
      <c r="AB36" s="92">
        <v>0</v>
      </c>
      <c r="AC36" s="92">
        <v>0.8</v>
      </c>
      <c r="AD36" s="92">
        <v>0</v>
      </c>
      <c r="AE36" s="92">
        <v>0</v>
      </c>
      <c r="AF36" s="92">
        <v>0</v>
      </c>
      <c r="AG36" s="92">
        <v>0</v>
      </c>
      <c r="AH36" s="92">
        <v>0</v>
      </c>
      <c r="AI36" s="9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6.33203125" style="92" bestFit="1" customWidth="1"/>
    <col min="2" max="35" width="2.33203125" style="92" customWidth="1"/>
    <col min="36" max="16384" width="10.83203125" style="92"/>
  </cols>
  <sheetData>
    <row r="1" spans="1:35" x14ac:dyDescent="0.15">
      <c r="A1" s="58" t="s">
        <v>139</v>
      </c>
      <c r="B1" s="173" t="s">
        <v>192</v>
      </c>
      <c r="C1" s="173" t="s">
        <v>193</v>
      </c>
      <c r="D1" s="173" t="s">
        <v>194</v>
      </c>
      <c r="E1" s="173" t="s">
        <v>195</v>
      </c>
      <c r="F1" s="173" t="s">
        <v>196</v>
      </c>
      <c r="G1" s="173" t="s">
        <v>197</v>
      </c>
      <c r="H1" s="173" t="s">
        <v>198</v>
      </c>
      <c r="I1" s="173" t="s">
        <v>199</v>
      </c>
      <c r="J1" s="173" t="s">
        <v>200</v>
      </c>
      <c r="K1" s="173" t="s">
        <v>201</v>
      </c>
      <c r="L1" s="173" t="s">
        <v>202</v>
      </c>
      <c r="M1" s="173" t="s">
        <v>203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 s="173" t="s">
        <v>211</v>
      </c>
      <c r="V1" s="173" t="s">
        <v>212</v>
      </c>
      <c r="W1" s="173" t="s">
        <v>213</v>
      </c>
      <c r="X1" s="173" t="s">
        <v>214</v>
      </c>
      <c r="Y1" s="173" t="s">
        <v>215</v>
      </c>
      <c r="Z1" s="173" t="s">
        <v>216</v>
      </c>
      <c r="AA1" s="173" t="s">
        <v>217</v>
      </c>
      <c r="AB1" s="173" t="s">
        <v>218</v>
      </c>
      <c r="AC1" s="173" t="s">
        <v>219</v>
      </c>
      <c r="AD1" s="173" t="s">
        <v>220</v>
      </c>
      <c r="AE1" s="173" t="s">
        <v>221</v>
      </c>
      <c r="AF1" s="173" t="s">
        <v>222</v>
      </c>
      <c r="AG1" s="173" t="s">
        <v>223</v>
      </c>
      <c r="AH1" s="173" t="s">
        <v>224</v>
      </c>
      <c r="AI1" s="173" t="s">
        <v>225</v>
      </c>
    </row>
    <row r="2" spans="1:35" customFormat="1" x14ac:dyDescent="0.15">
      <c r="A2" s="172" t="s">
        <v>192</v>
      </c>
      <c r="B2" s="92">
        <v>0</v>
      </c>
      <c r="C2" s="92">
        <v>0</v>
      </c>
      <c r="D2" s="92">
        <v>0</v>
      </c>
      <c r="E2" s="92">
        <v>1</v>
      </c>
      <c r="F2" s="92">
        <v>0</v>
      </c>
      <c r="G2" s="92">
        <v>0</v>
      </c>
      <c r="H2" s="92">
        <v>0</v>
      </c>
      <c r="I2" s="92">
        <v>0</v>
      </c>
      <c r="J2" s="92">
        <v>0</v>
      </c>
      <c r="K2" s="92">
        <v>0</v>
      </c>
      <c r="L2" s="92">
        <v>0</v>
      </c>
      <c r="M2" s="92">
        <v>0</v>
      </c>
      <c r="N2" s="92">
        <v>0</v>
      </c>
      <c r="O2" s="92">
        <v>0</v>
      </c>
      <c r="P2" s="92">
        <v>0</v>
      </c>
      <c r="Q2" s="92">
        <v>0</v>
      </c>
      <c r="R2" s="92">
        <v>0</v>
      </c>
      <c r="S2" s="92">
        <v>0</v>
      </c>
      <c r="T2" s="92">
        <v>0</v>
      </c>
      <c r="U2" s="92">
        <v>0</v>
      </c>
      <c r="V2" s="92">
        <v>0</v>
      </c>
      <c r="W2" s="92">
        <v>0</v>
      </c>
      <c r="X2" s="92">
        <v>0</v>
      </c>
      <c r="Y2" s="92">
        <v>0</v>
      </c>
      <c r="Z2" s="92">
        <v>0</v>
      </c>
      <c r="AA2" s="92">
        <v>0</v>
      </c>
      <c r="AB2" s="92">
        <v>0</v>
      </c>
      <c r="AC2" s="92">
        <v>0</v>
      </c>
      <c r="AD2" s="92">
        <v>0</v>
      </c>
      <c r="AE2" s="92">
        <v>0</v>
      </c>
      <c r="AF2" s="92">
        <v>0</v>
      </c>
      <c r="AG2" s="92">
        <v>0</v>
      </c>
      <c r="AH2" s="92">
        <v>0</v>
      </c>
      <c r="AI2" s="92">
        <v>0</v>
      </c>
    </row>
    <row r="3" spans="1:35" customFormat="1" x14ac:dyDescent="0.15">
      <c r="A3" s="172" t="s">
        <v>193</v>
      </c>
      <c r="B3" s="92">
        <v>1</v>
      </c>
      <c r="C3" s="92">
        <v>0</v>
      </c>
      <c r="D3" s="92">
        <v>0</v>
      </c>
      <c r="E3" s="92">
        <v>0</v>
      </c>
      <c r="F3" s="92">
        <v>0</v>
      </c>
      <c r="G3" s="92">
        <v>0</v>
      </c>
      <c r="H3" s="92">
        <v>0</v>
      </c>
      <c r="I3" s="92">
        <v>0</v>
      </c>
      <c r="J3" s="92">
        <v>0</v>
      </c>
      <c r="K3" s="92">
        <v>0</v>
      </c>
      <c r="L3" s="92">
        <v>0</v>
      </c>
      <c r="M3" s="92">
        <v>0</v>
      </c>
      <c r="N3" s="92">
        <v>0</v>
      </c>
      <c r="O3" s="92">
        <v>0</v>
      </c>
      <c r="P3" s="92">
        <v>0</v>
      </c>
      <c r="Q3" s="92">
        <v>0</v>
      </c>
      <c r="R3" s="92">
        <v>0</v>
      </c>
      <c r="S3" s="92">
        <v>0</v>
      </c>
      <c r="T3" s="92">
        <v>0</v>
      </c>
      <c r="U3" s="92">
        <v>0</v>
      </c>
      <c r="V3" s="92">
        <v>0</v>
      </c>
      <c r="W3" s="92">
        <v>0</v>
      </c>
      <c r="X3" s="92">
        <v>0</v>
      </c>
      <c r="Y3" s="92">
        <v>0</v>
      </c>
      <c r="Z3" s="92">
        <v>0</v>
      </c>
      <c r="AA3" s="92">
        <v>0</v>
      </c>
      <c r="AB3" s="92">
        <v>0</v>
      </c>
      <c r="AC3" s="92">
        <v>0</v>
      </c>
      <c r="AD3" s="92">
        <v>0</v>
      </c>
      <c r="AE3" s="92">
        <v>0</v>
      </c>
      <c r="AF3" s="92">
        <v>0</v>
      </c>
      <c r="AG3" s="92">
        <v>0</v>
      </c>
      <c r="AH3" s="92">
        <v>0</v>
      </c>
      <c r="AI3" s="92">
        <v>0</v>
      </c>
    </row>
    <row r="4" spans="1:35" customFormat="1" x14ac:dyDescent="0.15">
      <c r="A4" s="172" t="s">
        <v>194</v>
      </c>
      <c r="B4" s="92">
        <v>1</v>
      </c>
      <c r="C4" s="92">
        <v>0</v>
      </c>
      <c r="D4" s="92">
        <v>0</v>
      </c>
      <c r="E4" s="92">
        <v>1</v>
      </c>
      <c r="F4" s="92">
        <v>0</v>
      </c>
      <c r="G4" s="92">
        <v>0</v>
      </c>
      <c r="H4" s="92">
        <v>0</v>
      </c>
      <c r="I4" s="92">
        <v>0</v>
      </c>
      <c r="J4" s="92">
        <v>0</v>
      </c>
      <c r="K4" s="92">
        <v>0</v>
      </c>
      <c r="L4" s="92">
        <v>0</v>
      </c>
      <c r="M4" s="92">
        <v>0</v>
      </c>
      <c r="N4" s="92">
        <v>0</v>
      </c>
      <c r="O4" s="92">
        <v>0</v>
      </c>
      <c r="P4" s="92">
        <v>0</v>
      </c>
      <c r="Q4" s="92">
        <v>0</v>
      </c>
      <c r="R4" s="92">
        <v>0</v>
      </c>
      <c r="S4" s="92">
        <v>0</v>
      </c>
      <c r="T4" s="92">
        <v>0</v>
      </c>
      <c r="U4" s="92">
        <v>0</v>
      </c>
      <c r="V4" s="92">
        <v>0</v>
      </c>
      <c r="W4" s="92">
        <v>0</v>
      </c>
      <c r="X4" s="92">
        <v>0</v>
      </c>
      <c r="Y4" s="92">
        <v>0</v>
      </c>
      <c r="Z4" s="92">
        <v>0</v>
      </c>
      <c r="AA4" s="92">
        <v>0</v>
      </c>
      <c r="AB4" s="92">
        <v>0</v>
      </c>
      <c r="AC4" s="92">
        <v>0</v>
      </c>
      <c r="AD4" s="92">
        <v>0</v>
      </c>
      <c r="AE4" s="92">
        <v>0</v>
      </c>
      <c r="AF4" s="92">
        <v>0</v>
      </c>
      <c r="AG4" s="92">
        <v>0</v>
      </c>
      <c r="AH4" s="92">
        <v>0</v>
      </c>
      <c r="AI4" s="92">
        <v>0</v>
      </c>
    </row>
    <row r="5" spans="1:35" customFormat="1" x14ac:dyDescent="0.15">
      <c r="A5" s="172" t="s">
        <v>195</v>
      </c>
      <c r="B5" s="92">
        <v>1</v>
      </c>
      <c r="C5" s="92">
        <v>0</v>
      </c>
      <c r="D5" s="92">
        <v>0</v>
      </c>
      <c r="E5" s="92">
        <v>0</v>
      </c>
      <c r="F5" s="92">
        <v>0</v>
      </c>
      <c r="G5" s="92">
        <v>0</v>
      </c>
      <c r="H5" s="92">
        <v>0</v>
      </c>
      <c r="I5" s="92">
        <v>0</v>
      </c>
      <c r="J5" s="92">
        <v>0</v>
      </c>
      <c r="K5" s="92">
        <v>0</v>
      </c>
      <c r="L5" s="92">
        <v>0</v>
      </c>
      <c r="M5" s="92">
        <v>0</v>
      </c>
      <c r="N5" s="92">
        <v>0</v>
      </c>
      <c r="O5" s="92">
        <v>0</v>
      </c>
      <c r="P5" s="92">
        <v>0</v>
      </c>
      <c r="Q5" s="92">
        <v>0</v>
      </c>
      <c r="R5" s="92">
        <v>0</v>
      </c>
      <c r="S5" s="92">
        <v>0</v>
      </c>
      <c r="T5" s="92">
        <v>0</v>
      </c>
      <c r="U5" s="92">
        <v>0</v>
      </c>
      <c r="V5" s="92">
        <v>0</v>
      </c>
      <c r="W5" s="92">
        <v>0</v>
      </c>
      <c r="X5" s="92">
        <v>0</v>
      </c>
      <c r="Y5" s="92">
        <v>0</v>
      </c>
      <c r="Z5" s="92">
        <v>0</v>
      </c>
      <c r="AA5" s="92">
        <v>0</v>
      </c>
      <c r="AB5" s="92">
        <v>0</v>
      </c>
      <c r="AC5" s="92">
        <v>0</v>
      </c>
      <c r="AD5" s="92">
        <v>0</v>
      </c>
      <c r="AE5" s="92">
        <v>0</v>
      </c>
      <c r="AF5" s="92">
        <v>0</v>
      </c>
      <c r="AG5" s="92">
        <v>0</v>
      </c>
      <c r="AH5" s="92">
        <v>0</v>
      </c>
      <c r="AI5" s="92">
        <v>0</v>
      </c>
    </row>
    <row r="6" spans="1:35" customFormat="1" x14ac:dyDescent="0.15">
      <c r="A6" s="172" t="s">
        <v>196</v>
      </c>
      <c r="B6" s="92">
        <v>1</v>
      </c>
      <c r="C6" s="92">
        <v>0</v>
      </c>
      <c r="D6" s="92">
        <v>0</v>
      </c>
      <c r="E6" s="92">
        <v>0</v>
      </c>
      <c r="F6" s="92">
        <v>0</v>
      </c>
      <c r="G6" s="92">
        <v>0</v>
      </c>
      <c r="H6" s="92">
        <v>0</v>
      </c>
      <c r="I6" s="92">
        <v>0</v>
      </c>
      <c r="J6" s="92">
        <v>0</v>
      </c>
      <c r="K6" s="92">
        <v>0</v>
      </c>
      <c r="L6" s="92">
        <v>0</v>
      </c>
      <c r="M6" s="92">
        <v>0</v>
      </c>
      <c r="N6" s="92">
        <v>0</v>
      </c>
      <c r="O6" s="92">
        <v>0</v>
      </c>
      <c r="P6" s="92">
        <v>0</v>
      </c>
      <c r="Q6" s="92">
        <v>0</v>
      </c>
      <c r="R6" s="92">
        <v>0</v>
      </c>
      <c r="S6" s="92">
        <v>0</v>
      </c>
      <c r="T6" s="92">
        <v>0</v>
      </c>
      <c r="U6" s="92">
        <v>0</v>
      </c>
      <c r="V6" s="92">
        <v>0</v>
      </c>
      <c r="W6" s="92">
        <v>0</v>
      </c>
      <c r="X6" s="92">
        <v>0</v>
      </c>
      <c r="Y6" s="92">
        <v>0</v>
      </c>
      <c r="Z6" s="92">
        <v>0</v>
      </c>
      <c r="AA6" s="92">
        <v>0</v>
      </c>
      <c r="AB6" s="92">
        <v>0</v>
      </c>
      <c r="AC6" s="92">
        <v>0</v>
      </c>
      <c r="AD6" s="92">
        <v>0</v>
      </c>
      <c r="AE6" s="92">
        <v>0</v>
      </c>
      <c r="AF6" s="92">
        <v>0</v>
      </c>
      <c r="AG6" s="92">
        <v>0</v>
      </c>
      <c r="AH6" s="92">
        <v>0</v>
      </c>
      <c r="AI6" s="92">
        <v>0</v>
      </c>
    </row>
    <row r="7" spans="1:35" customFormat="1" x14ac:dyDescent="0.15">
      <c r="A7" s="172" t="s">
        <v>197</v>
      </c>
      <c r="B7" s="92">
        <v>1</v>
      </c>
      <c r="C7" s="92">
        <v>0</v>
      </c>
      <c r="D7" s="92">
        <v>0</v>
      </c>
      <c r="E7" s="92">
        <v>0</v>
      </c>
      <c r="F7" s="92">
        <v>0</v>
      </c>
      <c r="G7" s="92">
        <v>0</v>
      </c>
      <c r="H7" s="92">
        <v>0</v>
      </c>
      <c r="I7" s="92">
        <v>0</v>
      </c>
      <c r="J7" s="92">
        <v>0</v>
      </c>
      <c r="K7" s="92">
        <v>0</v>
      </c>
      <c r="L7" s="92">
        <v>0</v>
      </c>
      <c r="M7" s="92">
        <v>0</v>
      </c>
      <c r="N7" s="92">
        <v>0</v>
      </c>
      <c r="O7" s="92">
        <v>0</v>
      </c>
      <c r="P7" s="92">
        <v>0</v>
      </c>
      <c r="Q7" s="92">
        <v>0</v>
      </c>
      <c r="R7" s="92">
        <v>0</v>
      </c>
      <c r="S7" s="92">
        <v>0</v>
      </c>
      <c r="T7" s="92">
        <v>0</v>
      </c>
      <c r="U7" s="92">
        <v>0</v>
      </c>
      <c r="V7" s="92">
        <v>0</v>
      </c>
      <c r="W7" s="92">
        <v>0</v>
      </c>
      <c r="X7" s="92">
        <v>0</v>
      </c>
      <c r="Y7" s="92">
        <v>0</v>
      </c>
      <c r="Z7" s="92">
        <v>0</v>
      </c>
      <c r="AA7" s="92">
        <v>0</v>
      </c>
      <c r="AB7" s="92">
        <v>0</v>
      </c>
      <c r="AC7" s="92">
        <v>0</v>
      </c>
      <c r="AD7" s="92">
        <v>0</v>
      </c>
      <c r="AE7" s="92">
        <v>0</v>
      </c>
      <c r="AF7" s="92">
        <v>0</v>
      </c>
      <c r="AG7" s="92">
        <v>0</v>
      </c>
      <c r="AH7" s="92">
        <v>0</v>
      </c>
      <c r="AI7" s="92">
        <v>0</v>
      </c>
    </row>
    <row r="8" spans="1:35" customFormat="1" x14ac:dyDescent="0.15">
      <c r="A8" s="172" t="s">
        <v>198</v>
      </c>
      <c r="B8" s="92">
        <v>1</v>
      </c>
      <c r="C8" s="92">
        <v>0</v>
      </c>
      <c r="D8" s="92">
        <v>0</v>
      </c>
      <c r="E8" s="92">
        <v>0</v>
      </c>
      <c r="F8" s="92">
        <v>0</v>
      </c>
      <c r="G8" s="92">
        <v>0</v>
      </c>
      <c r="H8" s="92">
        <v>0</v>
      </c>
      <c r="I8" s="92">
        <v>0</v>
      </c>
      <c r="J8" s="92">
        <v>0</v>
      </c>
      <c r="K8" s="92">
        <v>0</v>
      </c>
      <c r="L8" s="92">
        <v>0</v>
      </c>
      <c r="M8" s="92">
        <v>0</v>
      </c>
      <c r="N8" s="92">
        <v>0</v>
      </c>
      <c r="O8" s="92">
        <v>0</v>
      </c>
      <c r="P8" s="92">
        <v>0</v>
      </c>
      <c r="Q8" s="92">
        <v>0</v>
      </c>
      <c r="R8" s="92">
        <v>0</v>
      </c>
      <c r="S8" s="92">
        <v>0</v>
      </c>
      <c r="T8" s="92">
        <v>0</v>
      </c>
      <c r="U8" s="92">
        <v>0</v>
      </c>
      <c r="V8" s="92">
        <v>0</v>
      </c>
      <c r="W8" s="92">
        <v>0</v>
      </c>
      <c r="X8" s="92">
        <v>0</v>
      </c>
      <c r="Y8" s="92">
        <v>0</v>
      </c>
      <c r="Z8" s="92">
        <v>0</v>
      </c>
      <c r="AA8" s="92">
        <v>0</v>
      </c>
      <c r="AB8" s="92">
        <v>0</v>
      </c>
      <c r="AC8" s="92">
        <v>0</v>
      </c>
      <c r="AD8" s="92">
        <v>0</v>
      </c>
      <c r="AE8" s="92">
        <v>0</v>
      </c>
      <c r="AF8" s="92">
        <v>0</v>
      </c>
      <c r="AG8" s="92">
        <v>0</v>
      </c>
      <c r="AH8" s="92">
        <v>0</v>
      </c>
      <c r="AI8" s="92">
        <v>0</v>
      </c>
    </row>
    <row r="9" spans="1:35" customFormat="1" x14ac:dyDescent="0.15">
      <c r="A9" s="172" t="s">
        <v>199</v>
      </c>
      <c r="B9" s="92">
        <v>1</v>
      </c>
      <c r="C9" s="92">
        <v>1</v>
      </c>
      <c r="D9" s="92">
        <v>1</v>
      </c>
      <c r="E9" s="92">
        <v>1</v>
      </c>
      <c r="F9" s="92">
        <v>1</v>
      </c>
      <c r="G9" s="92">
        <v>1</v>
      </c>
      <c r="H9" s="92">
        <v>1</v>
      </c>
      <c r="I9" s="92">
        <v>0</v>
      </c>
      <c r="J9" s="92">
        <v>0</v>
      </c>
      <c r="K9" s="92">
        <v>1</v>
      </c>
      <c r="L9" s="92">
        <v>0</v>
      </c>
      <c r="M9" s="92">
        <v>0</v>
      </c>
      <c r="N9" s="92">
        <v>0</v>
      </c>
      <c r="O9" s="92">
        <v>0</v>
      </c>
      <c r="P9" s="92">
        <v>0</v>
      </c>
      <c r="Q9" s="92">
        <v>0</v>
      </c>
      <c r="R9" s="92">
        <v>0</v>
      </c>
      <c r="S9" s="92">
        <v>0</v>
      </c>
      <c r="T9" s="92">
        <v>0</v>
      </c>
      <c r="U9" s="92">
        <v>0</v>
      </c>
      <c r="V9" s="92">
        <v>0</v>
      </c>
      <c r="W9" s="92">
        <v>0</v>
      </c>
      <c r="X9" s="92">
        <v>0</v>
      </c>
      <c r="Y9" s="92">
        <v>0</v>
      </c>
      <c r="Z9" s="92">
        <v>0</v>
      </c>
      <c r="AA9" s="92">
        <v>0</v>
      </c>
      <c r="AB9" s="92">
        <v>0</v>
      </c>
      <c r="AC9" s="92">
        <v>0</v>
      </c>
      <c r="AD9" s="92">
        <v>0</v>
      </c>
      <c r="AE9" s="92">
        <v>0</v>
      </c>
      <c r="AF9" s="92">
        <v>0</v>
      </c>
      <c r="AG9" s="92">
        <v>0</v>
      </c>
      <c r="AH9" s="92">
        <v>0</v>
      </c>
      <c r="AI9" s="92">
        <v>0</v>
      </c>
    </row>
    <row r="10" spans="1:35" customFormat="1" x14ac:dyDescent="0.15">
      <c r="A10" s="172" t="s">
        <v>200</v>
      </c>
      <c r="B10" s="92">
        <v>1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2">
        <v>0</v>
      </c>
      <c r="J10" s="92">
        <v>0</v>
      </c>
      <c r="K10" s="92">
        <v>0</v>
      </c>
      <c r="L10" s="92">
        <v>0</v>
      </c>
      <c r="M10" s="92">
        <v>0</v>
      </c>
      <c r="N10" s="92">
        <v>0</v>
      </c>
      <c r="O10" s="92">
        <v>0</v>
      </c>
      <c r="P10" s="92">
        <v>0</v>
      </c>
      <c r="Q10" s="92">
        <v>0</v>
      </c>
      <c r="R10" s="92">
        <v>0</v>
      </c>
      <c r="S10" s="92">
        <v>0</v>
      </c>
      <c r="T10" s="92">
        <v>0</v>
      </c>
      <c r="U10" s="92">
        <v>0</v>
      </c>
      <c r="V10" s="92">
        <v>0</v>
      </c>
      <c r="W10" s="92">
        <v>0</v>
      </c>
      <c r="X10" s="92">
        <v>0</v>
      </c>
      <c r="Y10" s="92">
        <v>0</v>
      </c>
      <c r="Z10" s="92">
        <v>0</v>
      </c>
      <c r="AA10" s="92">
        <v>0</v>
      </c>
      <c r="AB10" s="92">
        <v>0</v>
      </c>
      <c r="AC10" s="92">
        <v>0</v>
      </c>
      <c r="AD10" s="92">
        <v>0</v>
      </c>
      <c r="AE10" s="92">
        <v>0</v>
      </c>
      <c r="AF10" s="92">
        <v>0</v>
      </c>
      <c r="AG10" s="92">
        <v>0</v>
      </c>
      <c r="AH10" s="92">
        <v>0</v>
      </c>
      <c r="AI10" s="92">
        <v>0</v>
      </c>
    </row>
    <row r="11" spans="1:35" customFormat="1" x14ac:dyDescent="0.15">
      <c r="A11" s="172" t="s">
        <v>201</v>
      </c>
      <c r="B11" s="92">
        <v>1</v>
      </c>
      <c r="C11" s="92">
        <v>0</v>
      </c>
      <c r="D11" s="92">
        <v>0</v>
      </c>
      <c r="E11" s="92">
        <v>1</v>
      </c>
      <c r="F11" s="92">
        <v>0</v>
      </c>
      <c r="G11" s="92">
        <v>1</v>
      </c>
      <c r="H11" s="92">
        <v>1</v>
      </c>
      <c r="I11" s="92">
        <v>0</v>
      </c>
      <c r="J11" s="92">
        <v>0</v>
      </c>
      <c r="K11" s="92">
        <v>1</v>
      </c>
      <c r="L11" s="92">
        <v>0</v>
      </c>
      <c r="M11" s="92">
        <v>0</v>
      </c>
      <c r="N11" s="92">
        <v>0</v>
      </c>
      <c r="O11" s="92">
        <v>0</v>
      </c>
      <c r="P11" s="92">
        <v>0</v>
      </c>
      <c r="Q11" s="92">
        <v>0</v>
      </c>
      <c r="R11" s="92">
        <v>0</v>
      </c>
      <c r="S11" s="92">
        <v>0</v>
      </c>
      <c r="T11" s="92">
        <v>0</v>
      </c>
      <c r="U11" s="92">
        <v>0</v>
      </c>
      <c r="V11" s="92">
        <v>0</v>
      </c>
      <c r="W11" s="92">
        <v>0</v>
      </c>
      <c r="X11" s="92">
        <v>0</v>
      </c>
      <c r="Y11" s="92">
        <v>0</v>
      </c>
      <c r="Z11" s="92">
        <v>0</v>
      </c>
      <c r="AA11" s="92">
        <v>0</v>
      </c>
      <c r="AB11" s="92">
        <v>0</v>
      </c>
      <c r="AC11" s="92">
        <v>0</v>
      </c>
      <c r="AD11" s="92">
        <v>0</v>
      </c>
      <c r="AE11" s="92">
        <v>0</v>
      </c>
      <c r="AF11" s="92">
        <v>0</v>
      </c>
      <c r="AG11" s="92">
        <v>0</v>
      </c>
      <c r="AH11" s="92">
        <v>0</v>
      </c>
      <c r="AI11" s="92">
        <v>0</v>
      </c>
    </row>
    <row r="12" spans="1:35" customFormat="1" x14ac:dyDescent="0.15">
      <c r="A12" s="172" t="s">
        <v>202</v>
      </c>
      <c r="B12" s="92">
        <v>0</v>
      </c>
      <c r="C12" s="92">
        <v>1</v>
      </c>
      <c r="D12" s="92">
        <v>0</v>
      </c>
      <c r="E12" s="92">
        <v>0</v>
      </c>
      <c r="F12" s="92">
        <v>1</v>
      </c>
      <c r="G12" s="92">
        <v>0</v>
      </c>
      <c r="H12" s="92">
        <v>0</v>
      </c>
      <c r="I12" s="92">
        <v>0</v>
      </c>
      <c r="J12" s="92">
        <v>0</v>
      </c>
      <c r="K12" s="92">
        <v>1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  <c r="R12" s="92">
        <v>0</v>
      </c>
      <c r="S12" s="92">
        <v>1</v>
      </c>
      <c r="T12" s="92">
        <v>0</v>
      </c>
      <c r="U12" s="92">
        <v>0</v>
      </c>
      <c r="V12" s="92">
        <v>0</v>
      </c>
      <c r="W12" s="92">
        <v>0</v>
      </c>
      <c r="X12" s="92">
        <v>0</v>
      </c>
      <c r="Y12" s="92">
        <v>0</v>
      </c>
      <c r="Z12" s="92">
        <v>0</v>
      </c>
      <c r="AA12" s="92">
        <v>0</v>
      </c>
      <c r="AB12" s="92">
        <v>0</v>
      </c>
      <c r="AC12" s="92">
        <v>0</v>
      </c>
      <c r="AD12" s="92">
        <v>0</v>
      </c>
      <c r="AE12" s="92">
        <v>0</v>
      </c>
      <c r="AF12" s="92">
        <v>0</v>
      </c>
      <c r="AG12" s="92">
        <v>0</v>
      </c>
      <c r="AH12" s="92">
        <v>0</v>
      </c>
      <c r="AI12" s="92">
        <v>0</v>
      </c>
    </row>
    <row r="13" spans="1:35" customFormat="1" x14ac:dyDescent="0.15">
      <c r="A13" s="172" t="s">
        <v>203</v>
      </c>
      <c r="B13" s="92">
        <v>0</v>
      </c>
      <c r="C13" s="92">
        <v>0</v>
      </c>
      <c r="D13" s="92">
        <v>1</v>
      </c>
      <c r="E13" s="92">
        <v>1</v>
      </c>
      <c r="F13" s="92">
        <v>0</v>
      </c>
      <c r="G13" s="92">
        <v>1</v>
      </c>
      <c r="H13" s="92">
        <v>1</v>
      </c>
      <c r="I13" s="92">
        <v>0</v>
      </c>
      <c r="J13" s="92">
        <v>0</v>
      </c>
      <c r="K13" s="92">
        <v>1</v>
      </c>
      <c r="L13" s="92">
        <v>0</v>
      </c>
      <c r="M13" s="92">
        <v>1</v>
      </c>
      <c r="N13" s="92">
        <v>0</v>
      </c>
      <c r="O13" s="92">
        <v>0</v>
      </c>
      <c r="P13" s="92">
        <v>0</v>
      </c>
      <c r="Q13" s="92">
        <v>0</v>
      </c>
      <c r="R13" s="92">
        <v>0</v>
      </c>
      <c r="S13" s="92">
        <v>0</v>
      </c>
      <c r="T13" s="92">
        <v>0</v>
      </c>
      <c r="U13" s="92">
        <v>0</v>
      </c>
      <c r="V13" s="92">
        <v>0</v>
      </c>
      <c r="W13" s="92">
        <v>0</v>
      </c>
      <c r="X13" s="92">
        <v>0</v>
      </c>
      <c r="Y13" s="92">
        <v>0</v>
      </c>
      <c r="Z13" s="92">
        <v>0</v>
      </c>
      <c r="AA13" s="92">
        <v>0</v>
      </c>
      <c r="AB13" s="92">
        <v>0</v>
      </c>
      <c r="AC13" s="92">
        <v>0</v>
      </c>
      <c r="AD13" s="92">
        <v>0</v>
      </c>
      <c r="AE13" s="92">
        <v>0</v>
      </c>
      <c r="AF13" s="92">
        <v>0</v>
      </c>
      <c r="AG13" s="92">
        <v>0</v>
      </c>
      <c r="AH13" s="92">
        <v>0</v>
      </c>
      <c r="AI13" s="92">
        <v>0</v>
      </c>
    </row>
    <row r="14" spans="1:35" customFormat="1" x14ac:dyDescent="0.15">
      <c r="A14" s="172" t="s">
        <v>204</v>
      </c>
      <c r="B14" s="92">
        <v>1</v>
      </c>
      <c r="C14" s="92">
        <v>0</v>
      </c>
      <c r="D14" s="92">
        <v>0</v>
      </c>
      <c r="E14" s="92">
        <v>0</v>
      </c>
      <c r="F14" s="92">
        <v>0</v>
      </c>
      <c r="G14" s="92">
        <v>0</v>
      </c>
      <c r="H14" s="92">
        <v>1</v>
      </c>
      <c r="I14" s="92">
        <v>0</v>
      </c>
      <c r="J14" s="92">
        <v>0</v>
      </c>
      <c r="K14" s="92">
        <v>1</v>
      </c>
      <c r="L14" s="92">
        <v>0</v>
      </c>
      <c r="M14" s="92">
        <v>0</v>
      </c>
      <c r="N14" s="92">
        <v>0</v>
      </c>
      <c r="O14" s="92">
        <v>0</v>
      </c>
      <c r="P14" s="92">
        <v>0</v>
      </c>
      <c r="Q14" s="92">
        <v>0</v>
      </c>
      <c r="R14" s="92">
        <v>0</v>
      </c>
      <c r="S14" s="92">
        <v>0</v>
      </c>
      <c r="T14" s="92">
        <v>0</v>
      </c>
      <c r="U14" s="92">
        <v>0</v>
      </c>
      <c r="V14" s="92">
        <v>0</v>
      </c>
      <c r="W14" s="92">
        <v>0</v>
      </c>
      <c r="X14" s="92">
        <v>0</v>
      </c>
      <c r="Y14" s="92">
        <v>0</v>
      </c>
      <c r="Z14" s="92">
        <v>0</v>
      </c>
      <c r="AA14" s="92">
        <v>0</v>
      </c>
      <c r="AB14" s="92">
        <v>0</v>
      </c>
      <c r="AC14" s="92">
        <v>0</v>
      </c>
      <c r="AD14" s="92">
        <v>0</v>
      </c>
      <c r="AE14" s="92">
        <v>0</v>
      </c>
      <c r="AF14" s="92">
        <v>0</v>
      </c>
      <c r="AG14" s="92">
        <v>0</v>
      </c>
      <c r="AH14" s="92">
        <v>0</v>
      </c>
      <c r="AI14" s="92">
        <v>0</v>
      </c>
    </row>
    <row r="15" spans="1:35" customFormat="1" x14ac:dyDescent="0.15">
      <c r="A15" s="172" t="s">
        <v>205</v>
      </c>
      <c r="B15" s="92">
        <v>0</v>
      </c>
      <c r="C15" s="92">
        <v>0</v>
      </c>
      <c r="D15" s="92">
        <v>0</v>
      </c>
      <c r="E15" s="92">
        <v>0</v>
      </c>
      <c r="F15" s="92">
        <v>0</v>
      </c>
      <c r="G15" s="92">
        <v>0</v>
      </c>
      <c r="H15" s="92">
        <v>0</v>
      </c>
      <c r="I15" s="92">
        <v>0</v>
      </c>
      <c r="J15" s="92">
        <v>1</v>
      </c>
      <c r="K15" s="92">
        <v>0</v>
      </c>
      <c r="L15" s="92">
        <v>0</v>
      </c>
      <c r="M15" s="92">
        <v>0</v>
      </c>
      <c r="N15" s="92">
        <v>0</v>
      </c>
      <c r="O15" s="92">
        <v>1</v>
      </c>
      <c r="P15" s="92">
        <v>0</v>
      </c>
      <c r="Q15" s="92">
        <v>0</v>
      </c>
      <c r="R15" s="92">
        <v>0</v>
      </c>
      <c r="S15" s="92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2">
        <v>0</v>
      </c>
      <c r="AA15" s="92">
        <v>0</v>
      </c>
      <c r="AB15" s="92">
        <v>0</v>
      </c>
      <c r="AC15" s="92">
        <v>0</v>
      </c>
      <c r="AD15" s="92">
        <v>0</v>
      </c>
      <c r="AE15" s="92">
        <v>0</v>
      </c>
      <c r="AF15" s="92">
        <v>0</v>
      </c>
      <c r="AG15" s="92">
        <v>0</v>
      </c>
      <c r="AH15" s="92">
        <v>0</v>
      </c>
      <c r="AI15" s="92">
        <v>0</v>
      </c>
    </row>
    <row r="16" spans="1:35" customFormat="1" x14ac:dyDescent="0.15">
      <c r="A16" s="172" t="s">
        <v>206</v>
      </c>
      <c r="B16" s="92">
        <v>1</v>
      </c>
      <c r="C16" s="92">
        <v>0</v>
      </c>
      <c r="D16" s="92">
        <v>0</v>
      </c>
      <c r="E16" s="92">
        <v>1</v>
      </c>
      <c r="F16" s="92">
        <v>0</v>
      </c>
      <c r="G16" s="92">
        <v>0</v>
      </c>
      <c r="H16" s="92">
        <v>1</v>
      </c>
      <c r="I16" s="92">
        <v>0</v>
      </c>
      <c r="J16" s="92">
        <v>1</v>
      </c>
      <c r="K16" s="92">
        <v>1</v>
      </c>
      <c r="L16" s="92">
        <v>0</v>
      </c>
      <c r="M16" s="92">
        <v>0</v>
      </c>
      <c r="N16" s="92">
        <v>0</v>
      </c>
      <c r="O16" s="92">
        <v>0</v>
      </c>
      <c r="P16" s="92">
        <v>0</v>
      </c>
      <c r="Q16" s="92">
        <v>0</v>
      </c>
      <c r="R16" s="92">
        <v>0</v>
      </c>
      <c r="S16" s="92">
        <v>0</v>
      </c>
      <c r="T16" s="92">
        <v>0</v>
      </c>
      <c r="U16" s="92">
        <v>0</v>
      </c>
      <c r="V16" s="92">
        <v>0</v>
      </c>
      <c r="W16" s="92">
        <v>0</v>
      </c>
      <c r="X16" s="92">
        <v>0</v>
      </c>
      <c r="Y16" s="92">
        <v>0</v>
      </c>
      <c r="Z16" s="92">
        <v>0</v>
      </c>
      <c r="AA16" s="92">
        <v>0</v>
      </c>
      <c r="AB16" s="92">
        <v>0</v>
      </c>
      <c r="AC16" s="92">
        <v>0</v>
      </c>
      <c r="AD16" s="92">
        <v>0</v>
      </c>
      <c r="AE16" s="92">
        <v>0</v>
      </c>
      <c r="AF16" s="92">
        <v>0</v>
      </c>
      <c r="AG16" s="92">
        <v>0</v>
      </c>
      <c r="AH16" s="92">
        <v>0</v>
      </c>
      <c r="AI16" s="92">
        <v>0</v>
      </c>
    </row>
    <row r="17" spans="1:35" customFormat="1" x14ac:dyDescent="0.15">
      <c r="A17" s="172" t="s">
        <v>207</v>
      </c>
      <c r="B17" s="92">
        <v>0</v>
      </c>
      <c r="C17" s="92">
        <v>0</v>
      </c>
      <c r="D17" s="92">
        <v>0</v>
      </c>
      <c r="E17" s="92">
        <v>0</v>
      </c>
      <c r="F17" s="92">
        <v>0</v>
      </c>
      <c r="G17" s="92">
        <v>0</v>
      </c>
      <c r="H17" s="92">
        <v>0</v>
      </c>
      <c r="I17" s="92">
        <v>0</v>
      </c>
      <c r="J17" s="92">
        <v>0</v>
      </c>
      <c r="K17" s="92">
        <v>0</v>
      </c>
      <c r="L17" s="92">
        <v>0</v>
      </c>
      <c r="M17" s="92">
        <v>0</v>
      </c>
      <c r="N17" s="92">
        <v>0</v>
      </c>
      <c r="O17" s="92">
        <v>1</v>
      </c>
      <c r="P17" s="92">
        <v>0</v>
      </c>
      <c r="Q17" s="92">
        <v>1</v>
      </c>
      <c r="R17" s="92">
        <v>0</v>
      </c>
      <c r="S17" s="92">
        <v>1</v>
      </c>
      <c r="T17" s="92">
        <v>0</v>
      </c>
      <c r="U17" s="92">
        <v>0</v>
      </c>
      <c r="V17" s="92">
        <v>0</v>
      </c>
      <c r="W17" s="92">
        <v>0</v>
      </c>
      <c r="X17" s="92">
        <v>0</v>
      </c>
      <c r="Y17" s="92">
        <v>0</v>
      </c>
      <c r="Z17" s="92">
        <v>0</v>
      </c>
      <c r="AA17" s="92">
        <v>0</v>
      </c>
      <c r="AB17" s="92">
        <v>0</v>
      </c>
      <c r="AC17" s="92">
        <v>0</v>
      </c>
      <c r="AD17" s="92">
        <v>0</v>
      </c>
      <c r="AE17" s="92">
        <v>0</v>
      </c>
      <c r="AF17" s="92">
        <v>0</v>
      </c>
      <c r="AG17" s="92">
        <v>0</v>
      </c>
      <c r="AH17" s="92">
        <v>0</v>
      </c>
      <c r="AI17" s="92">
        <v>0</v>
      </c>
    </row>
    <row r="18" spans="1:35" customFormat="1" x14ac:dyDescent="0.15">
      <c r="A18" s="172" t="s">
        <v>208</v>
      </c>
      <c r="B18" s="92">
        <v>0</v>
      </c>
      <c r="C18" s="92">
        <v>0</v>
      </c>
      <c r="D18" s="92">
        <v>0</v>
      </c>
      <c r="E18" s="92">
        <v>0</v>
      </c>
      <c r="F18" s="92">
        <v>0</v>
      </c>
      <c r="G18" s="92">
        <v>0</v>
      </c>
      <c r="H18" s="92">
        <v>0</v>
      </c>
      <c r="I18" s="92">
        <v>0</v>
      </c>
      <c r="J18" s="92">
        <v>0</v>
      </c>
      <c r="K18" s="92">
        <v>0</v>
      </c>
      <c r="L18" s="92">
        <v>0</v>
      </c>
      <c r="M18" s="92">
        <v>1</v>
      </c>
      <c r="N18" s="92">
        <v>0</v>
      </c>
      <c r="O18" s="92">
        <v>0</v>
      </c>
      <c r="P18" s="92">
        <v>0</v>
      </c>
      <c r="Q18" s="92">
        <v>1</v>
      </c>
      <c r="R18" s="92">
        <v>0</v>
      </c>
      <c r="S18" s="92">
        <v>1</v>
      </c>
      <c r="T18" s="92">
        <v>0</v>
      </c>
      <c r="U18" s="92">
        <v>0</v>
      </c>
      <c r="V18" s="92">
        <v>0</v>
      </c>
      <c r="W18" s="92">
        <v>0</v>
      </c>
      <c r="X18" s="92">
        <v>0</v>
      </c>
      <c r="Y18" s="92">
        <v>0</v>
      </c>
      <c r="Z18" s="92">
        <v>0</v>
      </c>
      <c r="AA18" s="92">
        <v>0</v>
      </c>
      <c r="AB18" s="92">
        <v>0</v>
      </c>
      <c r="AC18" s="92">
        <v>0</v>
      </c>
      <c r="AD18" s="92">
        <v>0</v>
      </c>
      <c r="AE18" s="92">
        <v>0</v>
      </c>
      <c r="AF18" s="92">
        <v>0</v>
      </c>
      <c r="AG18" s="92">
        <v>0</v>
      </c>
      <c r="AH18" s="92">
        <v>0</v>
      </c>
      <c r="AI18" s="92">
        <v>0</v>
      </c>
    </row>
    <row r="19" spans="1:35" customFormat="1" x14ac:dyDescent="0.15">
      <c r="A19" s="172" t="s">
        <v>209</v>
      </c>
      <c r="B19" s="92">
        <v>0</v>
      </c>
      <c r="C19" s="92">
        <v>0</v>
      </c>
      <c r="D19" s="92">
        <v>0</v>
      </c>
      <c r="E19" s="92">
        <v>0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1</v>
      </c>
      <c r="L19" s="92">
        <v>0</v>
      </c>
      <c r="M19" s="92">
        <v>1</v>
      </c>
      <c r="N19" s="92">
        <v>0</v>
      </c>
      <c r="O19" s="92">
        <v>0</v>
      </c>
      <c r="P19" s="92">
        <v>0</v>
      </c>
      <c r="Q19" s="92">
        <v>0</v>
      </c>
      <c r="R19" s="92">
        <v>0</v>
      </c>
      <c r="S19" s="92">
        <v>0</v>
      </c>
      <c r="T19" s="92">
        <v>0</v>
      </c>
      <c r="U19" s="92">
        <v>0</v>
      </c>
      <c r="V19" s="92">
        <v>0</v>
      </c>
      <c r="W19" s="92">
        <v>0</v>
      </c>
      <c r="X19" s="92">
        <v>0</v>
      </c>
      <c r="Y19" s="92">
        <v>0</v>
      </c>
      <c r="Z19" s="92">
        <v>0</v>
      </c>
      <c r="AA19" s="92">
        <v>0</v>
      </c>
      <c r="AB19" s="92">
        <v>0</v>
      </c>
      <c r="AC19" s="92">
        <v>0</v>
      </c>
      <c r="AD19" s="92">
        <v>0</v>
      </c>
      <c r="AE19" s="92">
        <v>0</v>
      </c>
      <c r="AF19" s="92">
        <v>0</v>
      </c>
      <c r="AG19" s="92">
        <v>0</v>
      </c>
      <c r="AH19" s="92">
        <v>0</v>
      </c>
      <c r="AI19" s="92">
        <v>0</v>
      </c>
    </row>
    <row r="20" spans="1:35" customFormat="1" x14ac:dyDescent="0.15">
      <c r="A20" s="172" t="s">
        <v>210</v>
      </c>
      <c r="B20" s="92">
        <v>1</v>
      </c>
      <c r="C20" s="92">
        <v>0</v>
      </c>
      <c r="D20" s="92">
        <v>1</v>
      </c>
      <c r="E20" s="92">
        <v>1</v>
      </c>
      <c r="F20" s="92">
        <v>0</v>
      </c>
      <c r="G20" s="92">
        <v>1</v>
      </c>
      <c r="H20" s="92">
        <v>1</v>
      </c>
      <c r="I20" s="92">
        <v>0</v>
      </c>
      <c r="J20" s="92">
        <v>1</v>
      </c>
      <c r="K20" s="92">
        <v>1</v>
      </c>
      <c r="L20" s="92">
        <v>0</v>
      </c>
      <c r="M20" s="92">
        <v>0</v>
      </c>
      <c r="N20" s="92">
        <v>0</v>
      </c>
      <c r="O20" s="92">
        <v>0</v>
      </c>
      <c r="P20" s="92">
        <v>0</v>
      </c>
      <c r="Q20" s="92">
        <v>0</v>
      </c>
      <c r="R20" s="92">
        <v>0</v>
      </c>
      <c r="S20" s="92">
        <v>0</v>
      </c>
      <c r="T20" s="92">
        <v>1</v>
      </c>
      <c r="U20" s="92">
        <v>0</v>
      </c>
      <c r="V20" s="92">
        <v>0</v>
      </c>
      <c r="W20" s="92">
        <v>0</v>
      </c>
      <c r="X20" s="92">
        <v>0</v>
      </c>
      <c r="Y20" s="92">
        <v>0</v>
      </c>
      <c r="Z20" s="92">
        <v>0</v>
      </c>
      <c r="AA20" s="92">
        <v>0</v>
      </c>
      <c r="AB20" s="92">
        <v>0</v>
      </c>
      <c r="AC20" s="92">
        <v>0</v>
      </c>
      <c r="AD20" s="92">
        <v>0</v>
      </c>
      <c r="AE20" s="92">
        <v>0</v>
      </c>
      <c r="AF20" s="92">
        <v>0</v>
      </c>
      <c r="AG20" s="92">
        <v>0</v>
      </c>
      <c r="AH20" s="92">
        <v>0</v>
      </c>
      <c r="AI20" s="92">
        <v>0</v>
      </c>
    </row>
    <row r="21" spans="1:35" customFormat="1" x14ac:dyDescent="0.15">
      <c r="A21" s="172" t="s">
        <v>211</v>
      </c>
      <c r="B21" s="92">
        <v>0</v>
      </c>
      <c r="C21" s="92">
        <v>0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1</v>
      </c>
      <c r="J21" s="92">
        <v>1</v>
      </c>
      <c r="K21" s="92">
        <v>0</v>
      </c>
      <c r="L21" s="92">
        <v>1</v>
      </c>
      <c r="M21" s="92">
        <v>1</v>
      </c>
      <c r="N21" s="92">
        <v>0</v>
      </c>
      <c r="O21" s="92">
        <v>0</v>
      </c>
      <c r="P21" s="92">
        <v>0</v>
      </c>
      <c r="Q21" s="92">
        <v>0</v>
      </c>
      <c r="R21" s="92">
        <v>1</v>
      </c>
      <c r="S21" s="92">
        <v>1</v>
      </c>
      <c r="T21" s="92">
        <v>0</v>
      </c>
      <c r="U21" s="92">
        <v>0</v>
      </c>
      <c r="V21" s="92">
        <v>0</v>
      </c>
      <c r="W21" s="92">
        <v>1</v>
      </c>
      <c r="X21" s="92">
        <v>0</v>
      </c>
      <c r="Y21" s="92">
        <v>1</v>
      </c>
      <c r="Z21" s="92">
        <v>0</v>
      </c>
      <c r="AA21" s="92">
        <v>0</v>
      </c>
      <c r="AB21" s="92">
        <v>0</v>
      </c>
      <c r="AC21" s="92">
        <v>0</v>
      </c>
      <c r="AD21" s="92">
        <v>0</v>
      </c>
      <c r="AE21" s="92">
        <v>0</v>
      </c>
      <c r="AF21" s="92">
        <v>0</v>
      </c>
      <c r="AG21" s="92">
        <v>0</v>
      </c>
      <c r="AH21" s="92">
        <v>0</v>
      </c>
      <c r="AI21" s="92">
        <v>0</v>
      </c>
    </row>
    <row r="22" spans="1:35" customFormat="1" x14ac:dyDescent="0.15">
      <c r="A22" s="172" t="s">
        <v>212</v>
      </c>
      <c r="B22" s="92">
        <v>0</v>
      </c>
      <c r="C22" s="92">
        <v>0</v>
      </c>
      <c r="D22" s="92">
        <v>0</v>
      </c>
      <c r="E22" s="92">
        <v>0</v>
      </c>
      <c r="F22" s="92">
        <v>0</v>
      </c>
      <c r="G22" s="92">
        <v>0</v>
      </c>
      <c r="H22" s="92">
        <v>0</v>
      </c>
      <c r="I22" s="92">
        <v>0</v>
      </c>
      <c r="J22" s="92">
        <v>0</v>
      </c>
      <c r="K22" s="92">
        <v>1</v>
      </c>
      <c r="L22" s="92">
        <v>0</v>
      </c>
      <c r="M22" s="92">
        <v>1</v>
      </c>
      <c r="N22" s="92">
        <v>0</v>
      </c>
      <c r="O22" s="92">
        <v>1</v>
      </c>
      <c r="P22" s="92">
        <v>0</v>
      </c>
      <c r="Q22" s="92">
        <v>1</v>
      </c>
      <c r="R22" s="92">
        <v>0</v>
      </c>
      <c r="S22" s="92">
        <v>0</v>
      </c>
      <c r="T22" s="92">
        <v>1</v>
      </c>
      <c r="U22" s="92">
        <v>0</v>
      </c>
      <c r="V22" s="92">
        <v>0</v>
      </c>
      <c r="W22" s="92">
        <v>0</v>
      </c>
      <c r="X22" s="92">
        <v>0</v>
      </c>
      <c r="Y22" s="92">
        <v>0</v>
      </c>
      <c r="Z22" s="92">
        <v>0</v>
      </c>
      <c r="AA22" s="92">
        <v>0</v>
      </c>
      <c r="AB22" s="92">
        <v>0</v>
      </c>
      <c r="AC22" s="92">
        <v>0</v>
      </c>
      <c r="AD22" s="92">
        <v>0</v>
      </c>
      <c r="AE22" s="92">
        <v>0</v>
      </c>
      <c r="AF22" s="92">
        <v>0</v>
      </c>
      <c r="AG22" s="92">
        <v>0</v>
      </c>
      <c r="AH22" s="92">
        <v>0</v>
      </c>
      <c r="AI22" s="92">
        <v>0</v>
      </c>
    </row>
    <row r="23" spans="1:35" customFormat="1" x14ac:dyDescent="0.15">
      <c r="A23" s="172" t="s">
        <v>213</v>
      </c>
      <c r="B23" s="92">
        <v>1</v>
      </c>
      <c r="C23" s="92">
        <v>0</v>
      </c>
      <c r="D23" s="92">
        <v>0</v>
      </c>
      <c r="E23" s="92">
        <v>0</v>
      </c>
      <c r="F23" s="92">
        <v>0</v>
      </c>
      <c r="G23" s="92">
        <v>0</v>
      </c>
      <c r="H23" s="92">
        <v>0</v>
      </c>
      <c r="I23" s="92">
        <v>0</v>
      </c>
      <c r="J23" s="92">
        <v>0</v>
      </c>
      <c r="K23" s="92">
        <v>0</v>
      </c>
      <c r="L23" s="92">
        <v>0</v>
      </c>
      <c r="M23" s="92">
        <v>0</v>
      </c>
      <c r="N23" s="92">
        <v>0</v>
      </c>
      <c r="O23" s="92">
        <v>0</v>
      </c>
      <c r="P23" s="92">
        <v>0</v>
      </c>
      <c r="Q23" s="92">
        <v>0</v>
      </c>
      <c r="R23" s="92">
        <v>0</v>
      </c>
      <c r="S23" s="92">
        <v>0</v>
      </c>
      <c r="T23" s="92">
        <v>0</v>
      </c>
      <c r="U23" s="92">
        <v>0</v>
      </c>
      <c r="V23" s="92">
        <v>0</v>
      </c>
      <c r="W23" s="92">
        <v>0</v>
      </c>
      <c r="X23" s="92">
        <v>0</v>
      </c>
      <c r="Y23" s="92">
        <v>0</v>
      </c>
      <c r="Z23" s="92">
        <v>0</v>
      </c>
      <c r="AA23" s="92">
        <v>0</v>
      </c>
      <c r="AB23" s="92">
        <v>0</v>
      </c>
      <c r="AC23" s="92">
        <v>0</v>
      </c>
      <c r="AD23" s="92">
        <v>0</v>
      </c>
      <c r="AE23" s="92">
        <v>0</v>
      </c>
      <c r="AF23" s="92">
        <v>0</v>
      </c>
      <c r="AG23" s="92">
        <v>0</v>
      </c>
      <c r="AH23" s="92">
        <v>0</v>
      </c>
      <c r="AI23" s="92">
        <v>0</v>
      </c>
    </row>
    <row r="24" spans="1:35" customFormat="1" x14ac:dyDescent="0.15">
      <c r="A24" s="172" t="s">
        <v>214</v>
      </c>
      <c r="B24" s="92">
        <v>0</v>
      </c>
      <c r="C24" s="92">
        <v>0</v>
      </c>
      <c r="D24" s="92">
        <v>0</v>
      </c>
      <c r="E24" s="92">
        <v>0</v>
      </c>
      <c r="F24" s="92">
        <v>0</v>
      </c>
      <c r="G24" s="92">
        <v>0</v>
      </c>
      <c r="H24" s="92">
        <v>1</v>
      </c>
      <c r="I24" s="92">
        <v>0</v>
      </c>
      <c r="J24" s="92">
        <v>1</v>
      </c>
      <c r="K24" s="92">
        <v>1</v>
      </c>
      <c r="L24" s="92">
        <v>0</v>
      </c>
      <c r="M24" s="92">
        <v>1</v>
      </c>
      <c r="N24" s="92">
        <v>1</v>
      </c>
      <c r="O24" s="92">
        <v>1</v>
      </c>
      <c r="P24" s="92">
        <v>0</v>
      </c>
      <c r="Q24" s="92">
        <v>0</v>
      </c>
      <c r="R24" s="92">
        <v>0</v>
      </c>
      <c r="S24" s="92">
        <v>1</v>
      </c>
      <c r="T24" s="92">
        <v>1</v>
      </c>
      <c r="U24" s="92">
        <v>0</v>
      </c>
      <c r="V24" s="92">
        <v>0</v>
      </c>
      <c r="W24" s="92">
        <v>0</v>
      </c>
      <c r="X24" s="92">
        <v>0</v>
      </c>
      <c r="Y24" s="92">
        <v>0</v>
      </c>
      <c r="Z24" s="92">
        <v>0</v>
      </c>
      <c r="AA24" s="92">
        <v>0</v>
      </c>
      <c r="AB24" s="92">
        <v>0</v>
      </c>
      <c r="AC24" s="92">
        <v>0</v>
      </c>
      <c r="AD24" s="92">
        <v>0</v>
      </c>
      <c r="AE24" s="92">
        <v>0</v>
      </c>
      <c r="AF24" s="92">
        <v>0</v>
      </c>
      <c r="AG24" s="92">
        <v>0</v>
      </c>
      <c r="AH24" s="92">
        <v>0</v>
      </c>
      <c r="AI24" s="92">
        <v>0</v>
      </c>
    </row>
    <row r="25" spans="1:35" customFormat="1" x14ac:dyDescent="0.15">
      <c r="A25" s="172" t="s">
        <v>215</v>
      </c>
      <c r="B25" s="92">
        <v>0</v>
      </c>
      <c r="C25" s="92">
        <v>0</v>
      </c>
      <c r="D25" s="92">
        <v>0</v>
      </c>
      <c r="E25" s="92">
        <v>0</v>
      </c>
      <c r="F25" s="92">
        <v>0</v>
      </c>
      <c r="G25" s="92">
        <v>0</v>
      </c>
      <c r="H25" s="92">
        <v>0</v>
      </c>
      <c r="I25" s="92">
        <v>0</v>
      </c>
      <c r="J25" s="92">
        <v>0</v>
      </c>
      <c r="K25" s="92">
        <v>1</v>
      </c>
      <c r="L25" s="92">
        <v>0</v>
      </c>
      <c r="M25" s="92">
        <v>1</v>
      </c>
      <c r="N25" s="92">
        <v>0</v>
      </c>
      <c r="O25" s="92">
        <v>1</v>
      </c>
      <c r="P25" s="92">
        <v>1</v>
      </c>
      <c r="Q25" s="92">
        <v>1</v>
      </c>
      <c r="R25" s="92">
        <v>0</v>
      </c>
      <c r="S25" s="92">
        <v>1</v>
      </c>
      <c r="T25" s="92">
        <v>1</v>
      </c>
      <c r="U25" s="92">
        <v>0</v>
      </c>
      <c r="V25" s="92">
        <v>0</v>
      </c>
      <c r="W25" s="92">
        <v>0</v>
      </c>
      <c r="X25" s="92">
        <v>1</v>
      </c>
      <c r="Y25" s="92">
        <v>0</v>
      </c>
      <c r="Z25" s="92">
        <v>0</v>
      </c>
      <c r="AA25" s="92">
        <v>0</v>
      </c>
      <c r="AB25" s="92">
        <v>0</v>
      </c>
      <c r="AC25" s="92">
        <v>0</v>
      </c>
      <c r="AD25" s="92">
        <v>0</v>
      </c>
      <c r="AE25" s="92">
        <v>0</v>
      </c>
      <c r="AF25" s="92">
        <v>0</v>
      </c>
      <c r="AG25" s="92">
        <v>0</v>
      </c>
      <c r="AH25" s="92">
        <v>0</v>
      </c>
      <c r="AI25" s="92">
        <v>0</v>
      </c>
    </row>
    <row r="26" spans="1:35" customFormat="1" x14ac:dyDescent="0.15">
      <c r="A26" s="172" t="s">
        <v>216</v>
      </c>
      <c r="B26" s="92">
        <v>0</v>
      </c>
      <c r="C26" s="92">
        <v>0</v>
      </c>
      <c r="D26" s="92">
        <v>0</v>
      </c>
      <c r="E26" s="92">
        <v>1</v>
      </c>
      <c r="F26" s="92">
        <v>1</v>
      </c>
      <c r="G26" s="92">
        <v>1</v>
      </c>
      <c r="H26" s="92">
        <v>1</v>
      </c>
      <c r="I26" s="92">
        <v>0</v>
      </c>
      <c r="J26" s="92">
        <v>0</v>
      </c>
      <c r="K26" s="92">
        <v>0</v>
      </c>
      <c r="L26" s="92">
        <v>0</v>
      </c>
      <c r="M26" s="92">
        <v>0</v>
      </c>
      <c r="N26" s="92">
        <v>0</v>
      </c>
      <c r="O26" s="92">
        <v>0</v>
      </c>
      <c r="P26" s="92">
        <v>0</v>
      </c>
      <c r="Q26" s="92">
        <v>0</v>
      </c>
      <c r="R26" s="92">
        <v>0</v>
      </c>
      <c r="S26" s="92">
        <v>0</v>
      </c>
      <c r="T26" s="92">
        <v>0</v>
      </c>
      <c r="U26" s="92">
        <v>0</v>
      </c>
      <c r="V26" s="92">
        <v>0</v>
      </c>
      <c r="W26" s="92">
        <v>0</v>
      </c>
      <c r="X26" s="92">
        <v>0</v>
      </c>
      <c r="Y26" s="92">
        <v>0</v>
      </c>
      <c r="Z26" s="92">
        <v>0</v>
      </c>
      <c r="AA26" s="92">
        <v>0</v>
      </c>
      <c r="AB26" s="92">
        <v>0</v>
      </c>
      <c r="AC26" s="92">
        <v>0</v>
      </c>
      <c r="AD26" s="92">
        <v>0</v>
      </c>
      <c r="AE26" s="92">
        <v>0</v>
      </c>
      <c r="AF26" s="92">
        <v>0</v>
      </c>
      <c r="AG26" s="92">
        <v>0</v>
      </c>
      <c r="AH26" s="92">
        <v>0</v>
      </c>
      <c r="AI26" s="92">
        <v>0</v>
      </c>
    </row>
    <row r="27" spans="1:35" customFormat="1" x14ac:dyDescent="0.15">
      <c r="A27" s="172" t="s">
        <v>217</v>
      </c>
      <c r="B27" s="92">
        <v>0</v>
      </c>
      <c r="C27" s="92">
        <v>0</v>
      </c>
      <c r="D27" s="92">
        <v>0</v>
      </c>
      <c r="E27" s="92">
        <v>1</v>
      </c>
      <c r="F27" s="92">
        <v>0</v>
      </c>
      <c r="G27" s="92">
        <v>1</v>
      </c>
      <c r="H27" s="92">
        <v>1</v>
      </c>
      <c r="I27" s="92">
        <v>0</v>
      </c>
      <c r="J27" s="92">
        <v>1</v>
      </c>
      <c r="K27" s="92">
        <v>0</v>
      </c>
      <c r="L27" s="92">
        <v>0</v>
      </c>
      <c r="M27" s="92">
        <v>0</v>
      </c>
      <c r="N27" s="92">
        <v>0</v>
      </c>
      <c r="O27" s="92">
        <v>0</v>
      </c>
      <c r="P27" s="92">
        <v>0</v>
      </c>
      <c r="Q27" s="92">
        <v>0</v>
      </c>
      <c r="R27" s="92">
        <v>0</v>
      </c>
      <c r="S27" s="92">
        <v>0</v>
      </c>
      <c r="T27" s="92">
        <v>0</v>
      </c>
      <c r="U27" s="92">
        <v>0</v>
      </c>
      <c r="V27" s="92">
        <v>0</v>
      </c>
      <c r="W27" s="92">
        <v>0</v>
      </c>
      <c r="X27" s="92">
        <v>0</v>
      </c>
      <c r="Y27" s="92">
        <v>0</v>
      </c>
      <c r="Z27" s="92">
        <v>0</v>
      </c>
      <c r="AA27" s="92">
        <v>0</v>
      </c>
      <c r="AB27" s="92">
        <v>0</v>
      </c>
      <c r="AC27" s="92">
        <v>0</v>
      </c>
      <c r="AD27" s="92">
        <v>0</v>
      </c>
      <c r="AE27" s="92">
        <v>0</v>
      </c>
      <c r="AF27" s="92">
        <v>0</v>
      </c>
      <c r="AG27" s="92">
        <v>0</v>
      </c>
      <c r="AH27" s="92">
        <v>0</v>
      </c>
      <c r="AI27" s="92">
        <v>0</v>
      </c>
    </row>
    <row r="28" spans="1:35" customFormat="1" x14ac:dyDescent="0.15">
      <c r="A28" s="172" t="s">
        <v>218</v>
      </c>
      <c r="B28" s="92">
        <v>0</v>
      </c>
      <c r="C28" s="92">
        <v>0</v>
      </c>
      <c r="D28" s="92">
        <v>0</v>
      </c>
      <c r="E28" s="92">
        <v>0</v>
      </c>
      <c r="F28" s="92">
        <v>0</v>
      </c>
      <c r="G28" s="92">
        <v>0</v>
      </c>
      <c r="H28" s="92">
        <v>0</v>
      </c>
      <c r="I28" s="92">
        <v>0</v>
      </c>
      <c r="J28" s="92">
        <v>0</v>
      </c>
      <c r="K28" s="92">
        <v>0</v>
      </c>
      <c r="L28" s="92">
        <v>0</v>
      </c>
      <c r="M28" s="92">
        <v>1</v>
      </c>
      <c r="N28" s="92">
        <v>1</v>
      </c>
      <c r="O28" s="92">
        <v>1</v>
      </c>
      <c r="P28" s="92">
        <v>0</v>
      </c>
      <c r="Q28" s="92">
        <v>0</v>
      </c>
      <c r="R28" s="92">
        <v>0</v>
      </c>
      <c r="S28" s="92">
        <v>0</v>
      </c>
      <c r="T28" s="92">
        <v>1</v>
      </c>
      <c r="U28" s="92">
        <v>0</v>
      </c>
      <c r="V28" s="92">
        <v>0</v>
      </c>
      <c r="W28" s="92">
        <v>0</v>
      </c>
      <c r="X28" s="92">
        <v>1</v>
      </c>
      <c r="Y28" s="92">
        <v>0</v>
      </c>
      <c r="Z28" s="92">
        <v>0</v>
      </c>
      <c r="AA28" s="92">
        <v>0</v>
      </c>
      <c r="AB28" s="92">
        <v>0</v>
      </c>
      <c r="AC28" s="92">
        <v>0</v>
      </c>
      <c r="AD28" s="92">
        <v>0</v>
      </c>
      <c r="AE28" s="92">
        <v>0</v>
      </c>
      <c r="AF28" s="92">
        <v>0</v>
      </c>
      <c r="AG28" s="92">
        <v>0</v>
      </c>
      <c r="AH28" s="92">
        <v>0</v>
      </c>
      <c r="AI28" s="92">
        <v>0</v>
      </c>
    </row>
    <row r="29" spans="1:35" customFormat="1" x14ac:dyDescent="0.15">
      <c r="A29" s="172" t="s">
        <v>219</v>
      </c>
      <c r="B29" s="92">
        <v>0</v>
      </c>
      <c r="C29" s="92">
        <v>0</v>
      </c>
      <c r="D29" s="92">
        <v>0</v>
      </c>
      <c r="E29" s="92">
        <v>0</v>
      </c>
      <c r="F29" s="92">
        <v>0</v>
      </c>
      <c r="G29" s="92">
        <v>0</v>
      </c>
      <c r="H29" s="92">
        <v>0</v>
      </c>
      <c r="I29" s="92">
        <v>1</v>
      </c>
      <c r="J29" s="92">
        <v>0</v>
      </c>
      <c r="K29" s="92">
        <v>0</v>
      </c>
      <c r="L29" s="92">
        <v>1</v>
      </c>
      <c r="M29" s="92">
        <v>1</v>
      </c>
      <c r="N29" s="92">
        <v>0</v>
      </c>
      <c r="O29" s="92">
        <v>0</v>
      </c>
      <c r="P29" s="92">
        <v>0</v>
      </c>
      <c r="Q29" s="92">
        <v>0</v>
      </c>
      <c r="R29" s="92">
        <v>1</v>
      </c>
      <c r="S29" s="92">
        <v>1</v>
      </c>
      <c r="T29" s="92">
        <v>1</v>
      </c>
      <c r="U29" s="92">
        <v>1</v>
      </c>
      <c r="V29" s="92">
        <v>0</v>
      </c>
      <c r="W29" s="92">
        <v>0</v>
      </c>
      <c r="X29" s="92">
        <v>0</v>
      </c>
      <c r="Y29" s="92">
        <v>1</v>
      </c>
      <c r="Z29" s="92">
        <v>0</v>
      </c>
      <c r="AA29" s="92">
        <v>0</v>
      </c>
      <c r="AB29" s="92">
        <v>0</v>
      </c>
      <c r="AC29" s="92">
        <v>0</v>
      </c>
      <c r="AD29" s="92">
        <v>0</v>
      </c>
      <c r="AE29" s="92">
        <v>0</v>
      </c>
      <c r="AF29" s="92">
        <v>0</v>
      </c>
      <c r="AG29" s="92">
        <v>0</v>
      </c>
      <c r="AH29" s="92">
        <v>0</v>
      </c>
      <c r="AI29" s="92">
        <v>0</v>
      </c>
    </row>
    <row r="30" spans="1:35" customFormat="1" x14ac:dyDescent="0.15">
      <c r="A30" s="172" t="s">
        <v>220</v>
      </c>
      <c r="B30" s="92">
        <v>0</v>
      </c>
      <c r="C30" s="92">
        <v>0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0</v>
      </c>
      <c r="K30" s="92">
        <v>0</v>
      </c>
      <c r="L30" s="92">
        <v>0</v>
      </c>
      <c r="M30" s="92">
        <v>1</v>
      </c>
      <c r="N30" s="92">
        <v>0</v>
      </c>
      <c r="O30" s="92">
        <v>1</v>
      </c>
      <c r="P30" s="92">
        <v>0</v>
      </c>
      <c r="Q30" s="92">
        <v>0</v>
      </c>
      <c r="R30" s="92">
        <v>0</v>
      </c>
      <c r="S30" s="92">
        <v>1</v>
      </c>
      <c r="T30" s="92">
        <v>1</v>
      </c>
      <c r="U30" s="92">
        <v>0</v>
      </c>
      <c r="V30" s="92">
        <v>0</v>
      </c>
      <c r="W30" s="92">
        <v>0</v>
      </c>
      <c r="X30" s="92">
        <v>0</v>
      </c>
      <c r="Y30" s="92">
        <v>0</v>
      </c>
      <c r="Z30" s="92">
        <v>0</v>
      </c>
      <c r="AA30" s="92">
        <v>0</v>
      </c>
      <c r="AB30" s="92">
        <v>0</v>
      </c>
      <c r="AC30" s="92">
        <v>0</v>
      </c>
      <c r="AD30" s="92">
        <v>0</v>
      </c>
      <c r="AE30" s="92">
        <v>0</v>
      </c>
      <c r="AF30" s="92">
        <v>0</v>
      </c>
      <c r="AG30" s="92">
        <v>0</v>
      </c>
      <c r="AH30" s="92">
        <v>0</v>
      </c>
      <c r="AI30" s="92">
        <v>0</v>
      </c>
    </row>
    <row r="31" spans="1:35" customFormat="1" x14ac:dyDescent="0.15">
      <c r="A31" s="172" t="s">
        <v>221</v>
      </c>
      <c r="B31" s="92">
        <v>0</v>
      </c>
      <c r="C31" s="92">
        <v>0</v>
      </c>
      <c r="D31" s="92">
        <v>0</v>
      </c>
      <c r="E31" s="92">
        <v>0</v>
      </c>
      <c r="F31" s="92">
        <v>0</v>
      </c>
      <c r="G31" s="92">
        <v>0</v>
      </c>
      <c r="H31" s="92">
        <v>0</v>
      </c>
      <c r="I31" s="92">
        <v>0</v>
      </c>
      <c r="J31" s="92">
        <v>0</v>
      </c>
      <c r="K31" s="92">
        <v>0</v>
      </c>
      <c r="L31" s="92">
        <v>0</v>
      </c>
      <c r="M31" s="92">
        <v>0</v>
      </c>
      <c r="N31" s="92">
        <v>1</v>
      </c>
      <c r="O31" s="92">
        <v>1</v>
      </c>
      <c r="P31" s="92">
        <v>1</v>
      </c>
      <c r="Q31" s="92">
        <v>0</v>
      </c>
      <c r="R31" s="92">
        <v>0</v>
      </c>
      <c r="S31" s="92">
        <v>1</v>
      </c>
      <c r="T31" s="92">
        <v>1</v>
      </c>
      <c r="U31" s="92">
        <v>0</v>
      </c>
      <c r="V31" s="92">
        <v>1</v>
      </c>
      <c r="W31" s="92">
        <v>1</v>
      </c>
      <c r="X31" s="92">
        <v>1</v>
      </c>
      <c r="Y31" s="92">
        <v>0</v>
      </c>
      <c r="Z31" s="92">
        <v>1</v>
      </c>
      <c r="AA31" s="92">
        <v>1</v>
      </c>
      <c r="AB31" s="92">
        <v>0</v>
      </c>
      <c r="AC31" s="92">
        <v>0</v>
      </c>
      <c r="AD31" s="92">
        <v>0</v>
      </c>
      <c r="AE31" s="92">
        <v>0</v>
      </c>
      <c r="AF31" s="92">
        <v>0</v>
      </c>
      <c r="AG31" s="92">
        <v>0</v>
      </c>
      <c r="AH31" s="92">
        <v>0</v>
      </c>
      <c r="AI31" s="92">
        <v>0</v>
      </c>
    </row>
    <row r="32" spans="1:35" x14ac:dyDescent="0.15">
      <c r="A32" s="172" t="s">
        <v>222</v>
      </c>
      <c r="B32" s="92">
        <v>0</v>
      </c>
      <c r="C32" s="92">
        <v>0</v>
      </c>
      <c r="D32" s="92">
        <v>0</v>
      </c>
      <c r="E32" s="92">
        <v>0</v>
      </c>
      <c r="F32" s="92">
        <v>0</v>
      </c>
      <c r="G32" s="92">
        <v>0</v>
      </c>
      <c r="H32" s="92">
        <v>0</v>
      </c>
      <c r="I32" s="92">
        <v>1</v>
      </c>
      <c r="J32" s="92">
        <v>0</v>
      </c>
      <c r="K32" s="92">
        <v>0</v>
      </c>
      <c r="L32" s="92">
        <v>1</v>
      </c>
      <c r="M32" s="92">
        <v>0</v>
      </c>
      <c r="N32" s="92">
        <v>0</v>
      </c>
      <c r="O32" s="92">
        <v>0</v>
      </c>
      <c r="P32" s="92">
        <v>0</v>
      </c>
      <c r="Q32" s="92">
        <v>0</v>
      </c>
      <c r="R32" s="92">
        <v>1</v>
      </c>
      <c r="S32" s="92">
        <v>0</v>
      </c>
      <c r="T32" s="92">
        <v>0</v>
      </c>
      <c r="U32" s="92">
        <v>1</v>
      </c>
      <c r="V32" s="92">
        <v>0</v>
      </c>
      <c r="W32" s="92">
        <v>0</v>
      </c>
      <c r="X32" s="92">
        <v>0</v>
      </c>
      <c r="Y32" s="92">
        <v>1</v>
      </c>
      <c r="Z32" s="92">
        <v>0</v>
      </c>
      <c r="AA32" s="92">
        <v>0</v>
      </c>
      <c r="AB32" s="92">
        <v>0</v>
      </c>
      <c r="AC32" s="92">
        <v>1</v>
      </c>
      <c r="AD32" s="92">
        <v>0</v>
      </c>
      <c r="AE32" s="92">
        <v>0</v>
      </c>
      <c r="AF32" s="92">
        <v>0</v>
      </c>
      <c r="AG32" s="92">
        <v>0</v>
      </c>
      <c r="AH32" s="92">
        <v>0</v>
      </c>
      <c r="AI32" s="92">
        <v>0</v>
      </c>
    </row>
    <row r="33" spans="1:35" x14ac:dyDescent="0.15">
      <c r="A33" s="172" t="s">
        <v>223</v>
      </c>
      <c r="B33" s="92">
        <v>0</v>
      </c>
      <c r="C33" s="92">
        <v>0</v>
      </c>
      <c r="D33" s="92">
        <v>0</v>
      </c>
      <c r="E33" s="92">
        <v>0</v>
      </c>
      <c r="F33" s="92">
        <v>0</v>
      </c>
      <c r="G33" s="92">
        <v>0</v>
      </c>
      <c r="H33" s="92">
        <v>0</v>
      </c>
      <c r="I33" s="92">
        <v>0</v>
      </c>
      <c r="J33" s="92">
        <v>0</v>
      </c>
      <c r="K33" s="92">
        <v>0</v>
      </c>
      <c r="L33" s="92">
        <v>0</v>
      </c>
      <c r="M33" s="92">
        <v>0</v>
      </c>
      <c r="N33" s="92">
        <v>0</v>
      </c>
      <c r="O33" s="92">
        <v>0</v>
      </c>
      <c r="P33" s="92">
        <v>1</v>
      </c>
      <c r="Q33" s="92">
        <v>1</v>
      </c>
      <c r="R33" s="92">
        <v>0</v>
      </c>
      <c r="S33" s="92">
        <v>0</v>
      </c>
      <c r="T33" s="92">
        <v>0</v>
      </c>
      <c r="U33" s="92">
        <v>0</v>
      </c>
      <c r="V33" s="92">
        <v>0</v>
      </c>
      <c r="W33" s="92">
        <v>0</v>
      </c>
      <c r="X33" s="92">
        <v>0</v>
      </c>
      <c r="Y33" s="92">
        <v>1</v>
      </c>
      <c r="Z33" s="92">
        <v>0</v>
      </c>
      <c r="AA33" s="92">
        <v>0</v>
      </c>
      <c r="AB33" s="92">
        <v>0</v>
      </c>
      <c r="AC33" s="92">
        <v>0</v>
      </c>
      <c r="AD33" s="92">
        <v>0</v>
      </c>
      <c r="AE33" s="92">
        <v>0</v>
      </c>
      <c r="AF33" s="92">
        <v>0</v>
      </c>
      <c r="AG33" s="92">
        <v>0</v>
      </c>
      <c r="AH33" s="92">
        <v>0</v>
      </c>
      <c r="AI33" s="92">
        <v>0</v>
      </c>
    </row>
    <row r="34" spans="1:35" x14ac:dyDescent="0.15">
      <c r="A34" s="172" t="s">
        <v>224</v>
      </c>
      <c r="B34" s="92">
        <v>0</v>
      </c>
      <c r="C34" s="92">
        <v>0</v>
      </c>
      <c r="D34" s="92">
        <v>0</v>
      </c>
      <c r="E34" s="92">
        <v>0</v>
      </c>
      <c r="F34" s="92">
        <v>0</v>
      </c>
      <c r="G34" s="92">
        <v>0</v>
      </c>
      <c r="H34" s="92">
        <v>0</v>
      </c>
      <c r="I34" s="92">
        <v>0</v>
      </c>
      <c r="J34" s="92">
        <v>1</v>
      </c>
      <c r="K34" s="92">
        <v>1</v>
      </c>
      <c r="L34" s="92">
        <v>0</v>
      </c>
      <c r="M34" s="92">
        <v>1</v>
      </c>
      <c r="N34" s="92">
        <v>1</v>
      </c>
      <c r="O34" s="92">
        <v>1</v>
      </c>
      <c r="P34" s="92">
        <v>1</v>
      </c>
      <c r="Q34" s="92">
        <v>1</v>
      </c>
      <c r="R34" s="92">
        <v>1</v>
      </c>
      <c r="S34" s="92">
        <v>1</v>
      </c>
      <c r="T34" s="92">
        <v>1</v>
      </c>
      <c r="U34" s="92">
        <v>1</v>
      </c>
      <c r="V34" s="92">
        <v>1</v>
      </c>
      <c r="W34" s="92">
        <v>0</v>
      </c>
      <c r="X34" s="92">
        <v>1</v>
      </c>
      <c r="Y34" s="92">
        <v>1</v>
      </c>
      <c r="Z34" s="92">
        <v>1</v>
      </c>
      <c r="AA34" s="92">
        <v>1</v>
      </c>
      <c r="AB34" s="92">
        <v>1</v>
      </c>
      <c r="AC34" s="92">
        <v>1</v>
      </c>
      <c r="AD34" s="92">
        <v>1</v>
      </c>
      <c r="AE34" s="92">
        <v>0</v>
      </c>
      <c r="AF34" s="92">
        <v>0</v>
      </c>
      <c r="AG34" s="92">
        <v>0</v>
      </c>
      <c r="AH34" s="92">
        <v>0</v>
      </c>
      <c r="AI34" s="92">
        <v>0</v>
      </c>
    </row>
    <row r="35" spans="1:35" x14ac:dyDescent="0.15">
      <c r="A35" s="172" t="s">
        <v>225</v>
      </c>
      <c r="B35" s="92">
        <v>0</v>
      </c>
      <c r="C35" s="92">
        <v>0</v>
      </c>
      <c r="D35" s="92">
        <v>0</v>
      </c>
      <c r="E35" s="92">
        <v>0</v>
      </c>
      <c r="F35" s="92">
        <v>0</v>
      </c>
      <c r="G35" s="92">
        <v>0</v>
      </c>
      <c r="H35" s="92">
        <v>0</v>
      </c>
      <c r="I35" s="92">
        <v>0</v>
      </c>
      <c r="J35" s="92">
        <v>0</v>
      </c>
      <c r="K35" s="92">
        <v>0</v>
      </c>
      <c r="L35" s="92">
        <v>0</v>
      </c>
      <c r="M35" s="92">
        <v>0</v>
      </c>
      <c r="N35" s="92">
        <v>0</v>
      </c>
      <c r="O35" s="92">
        <v>0</v>
      </c>
      <c r="P35" s="92">
        <v>0</v>
      </c>
      <c r="Q35" s="92">
        <v>0</v>
      </c>
      <c r="R35" s="92">
        <v>0</v>
      </c>
      <c r="S35" s="92">
        <v>0</v>
      </c>
      <c r="T35" s="92">
        <v>0</v>
      </c>
      <c r="U35" s="92">
        <v>0</v>
      </c>
      <c r="V35" s="92">
        <v>0</v>
      </c>
      <c r="W35" s="92">
        <v>0</v>
      </c>
      <c r="X35" s="92">
        <v>0</v>
      </c>
      <c r="Y35" s="92">
        <v>0</v>
      </c>
      <c r="Z35" s="92">
        <v>0</v>
      </c>
      <c r="AA35" s="92">
        <v>0</v>
      </c>
      <c r="AB35" s="92">
        <v>0</v>
      </c>
      <c r="AC35" s="92">
        <v>0</v>
      </c>
      <c r="AD35" s="92">
        <v>0</v>
      </c>
      <c r="AE35" s="92">
        <v>0</v>
      </c>
      <c r="AF35" s="92">
        <v>0</v>
      </c>
      <c r="AG35" s="92">
        <v>0</v>
      </c>
      <c r="AH35" s="92">
        <v>0</v>
      </c>
      <c r="AI35" s="92">
        <v>0</v>
      </c>
    </row>
    <row r="36" spans="1:35" x14ac:dyDescent="0.15">
      <c r="A36" s="172" t="s">
        <v>230</v>
      </c>
      <c r="B36" s="92">
        <v>1</v>
      </c>
      <c r="C36" s="92">
        <v>1</v>
      </c>
      <c r="D36" s="92">
        <v>1</v>
      </c>
      <c r="E36" s="92">
        <v>1</v>
      </c>
      <c r="F36" s="92">
        <v>1</v>
      </c>
      <c r="G36" s="92">
        <v>1</v>
      </c>
      <c r="H36" s="92">
        <v>1</v>
      </c>
      <c r="I36" s="92">
        <v>0</v>
      </c>
      <c r="J36" s="92">
        <v>1</v>
      </c>
      <c r="K36" s="92">
        <v>0</v>
      </c>
      <c r="L36" s="92">
        <v>0</v>
      </c>
      <c r="M36" s="92">
        <v>0</v>
      </c>
      <c r="N36" s="92">
        <v>0</v>
      </c>
      <c r="O36" s="92">
        <v>0</v>
      </c>
      <c r="P36" s="92">
        <v>0</v>
      </c>
      <c r="Q36" s="92">
        <v>0</v>
      </c>
      <c r="R36" s="92">
        <v>0</v>
      </c>
      <c r="S36" s="92">
        <v>0</v>
      </c>
      <c r="T36" s="92">
        <v>0</v>
      </c>
      <c r="U36" s="92">
        <v>0</v>
      </c>
      <c r="V36" s="92">
        <v>0</v>
      </c>
      <c r="W36" s="92">
        <v>0</v>
      </c>
      <c r="X36" s="92">
        <v>0</v>
      </c>
      <c r="Y36" s="92">
        <v>0</v>
      </c>
      <c r="Z36" s="92">
        <v>1</v>
      </c>
      <c r="AA36" s="92">
        <v>0</v>
      </c>
      <c r="AB36" s="92">
        <v>0</v>
      </c>
      <c r="AC36" s="92">
        <v>1</v>
      </c>
      <c r="AD36" s="92">
        <v>0</v>
      </c>
      <c r="AE36" s="92">
        <v>0</v>
      </c>
      <c r="AF36" s="92">
        <v>0</v>
      </c>
      <c r="AG36" s="92">
        <v>0</v>
      </c>
      <c r="AH36" s="92">
        <v>0</v>
      </c>
      <c r="AI36" s="9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3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75" t="s">
        <v>226</v>
      </c>
      <c r="D1" s="175" t="s">
        <v>227</v>
      </c>
      <c r="E1" s="175" t="s">
        <v>228</v>
      </c>
      <c r="F1" s="175" t="s">
        <v>229</v>
      </c>
    </row>
    <row r="2" spans="1:6" x14ac:dyDescent="0.15">
      <c r="A2">
        <v>1</v>
      </c>
      <c r="B2" s="174" t="s">
        <v>192</v>
      </c>
      <c r="C2">
        <v>0.8</v>
      </c>
      <c r="D2">
        <v>0</v>
      </c>
      <c r="E2">
        <v>0</v>
      </c>
      <c r="F2">
        <v>0</v>
      </c>
    </row>
    <row r="3" spans="1:6" x14ac:dyDescent="0.15">
      <c r="A3">
        <v>2</v>
      </c>
      <c r="B3" s="174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74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74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74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74" t="s">
        <v>197</v>
      </c>
      <c r="C7">
        <v>0.8</v>
      </c>
      <c r="D7">
        <v>0.8</v>
      </c>
      <c r="E7">
        <v>0.8</v>
      </c>
      <c r="F7">
        <v>0</v>
      </c>
    </row>
    <row r="8" spans="1:6" x14ac:dyDescent="0.15">
      <c r="A8">
        <v>7</v>
      </c>
      <c r="B8" s="174" t="s">
        <v>198</v>
      </c>
      <c r="C8">
        <v>0.8</v>
      </c>
      <c r="D8">
        <v>0.8</v>
      </c>
      <c r="E8">
        <v>0</v>
      </c>
      <c r="F8">
        <v>0</v>
      </c>
    </row>
    <row r="9" spans="1:6" x14ac:dyDescent="0.15">
      <c r="A9">
        <v>8</v>
      </c>
      <c r="B9" s="174" t="s">
        <v>199</v>
      </c>
      <c r="C9">
        <v>0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74" t="s">
        <v>200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74" t="s">
        <v>201</v>
      </c>
      <c r="C11">
        <v>0.8</v>
      </c>
      <c r="D11">
        <v>0.8</v>
      </c>
      <c r="E11">
        <v>0</v>
      </c>
      <c r="F11">
        <v>0</v>
      </c>
    </row>
    <row r="12" spans="1:6" x14ac:dyDescent="0.15">
      <c r="A12">
        <v>11</v>
      </c>
      <c r="B12" s="174" t="s">
        <v>202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74" t="s">
        <v>203</v>
      </c>
      <c r="C13">
        <v>0.8</v>
      </c>
      <c r="D13">
        <v>0.8</v>
      </c>
      <c r="E13">
        <v>0</v>
      </c>
      <c r="F13">
        <v>0</v>
      </c>
    </row>
    <row r="14" spans="1:6" x14ac:dyDescent="0.15">
      <c r="A14">
        <v>13</v>
      </c>
      <c r="B14" s="174" t="s">
        <v>204</v>
      </c>
      <c r="C14">
        <v>0</v>
      </c>
      <c r="D14">
        <v>0</v>
      </c>
      <c r="E14">
        <v>0</v>
      </c>
      <c r="F14">
        <v>0.8</v>
      </c>
    </row>
    <row r="15" spans="1:6" x14ac:dyDescent="0.15">
      <c r="A15">
        <v>14</v>
      </c>
      <c r="B15" s="174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74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74" t="s">
        <v>207</v>
      </c>
      <c r="C17">
        <v>0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74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74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74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74" t="s">
        <v>211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74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74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74" t="s">
        <v>214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74" t="s">
        <v>215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74" t="s">
        <v>216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74" t="s">
        <v>217</v>
      </c>
      <c r="C27">
        <v>0.8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74" t="s">
        <v>218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74" t="s">
        <v>219</v>
      </c>
      <c r="C29">
        <v>0</v>
      </c>
      <c r="D29">
        <v>0</v>
      </c>
      <c r="E29">
        <v>0</v>
      </c>
      <c r="F29">
        <v>0</v>
      </c>
    </row>
    <row r="30" spans="1:6" x14ac:dyDescent="0.15">
      <c r="A30">
        <v>29</v>
      </c>
      <c r="B30" s="174" t="s">
        <v>220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74" t="s">
        <v>221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74" t="s">
        <v>222</v>
      </c>
      <c r="C32">
        <v>0</v>
      </c>
      <c r="D32">
        <v>0</v>
      </c>
      <c r="E32">
        <v>0</v>
      </c>
      <c r="F32">
        <v>0</v>
      </c>
    </row>
    <row r="33" spans="1:6" x14ac:dyDescent="0.15">
      <c r="A33">
        <v>32</v>
      </c>
      <c r="B33" s="174" t="s">
        <v>223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74" t="s">
        <v>224</v>
      </c>
      <c r="C34">
        <v>0</v>
      </c>
      <c r="D34">
        <v>0</v>
      </c>
      <c r="E34">
        <v>0</v>
      </c>
      <c r="F34">
        <v>0</v>
      </c>
    </row>
    <row r="35" spans="1:6" x14ac:dyDescent="0.15">
      <c r="A35">
        <v>34</v>
      </c>
      <c r="B35" s="174" t="s">
        <v>225</v>
      </c>
      <c r="C35">
        <v>0</v>
      </c>
      <c r="D35">
        <v>0</v>
      </c>
      <c r="E35">
        <v>0</v>
      </c>
      <c r="F3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3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3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177" t="s">
        <v>226</v>
      </c>
      <c r="D1" s="177" t="s">
        <v>227</v>
      </c>
      <c r="E1" s="177" t="s">
        <v>228</v>
      </c>
      <c r="F1" s="177" t="s">
        <v>229</v>
      </c>
    </row>
    <row r="2" spans="1:6" x14ac:dyDescent="0.15">
      <c r="A2">
        <v>1</v>
      </c>
      <c r="B2" s="176" t="s">
        <v>192</v>
      </c>
      <c r="C2">
        <v>0.8</v>
      </c>
      <c r="D2">
        <v>0</v>
      </c>
      <c r="E2">
        <v>0</v>
      </c>
      <c r="F2">
        <v>0</v>
      </c>
    </row>
    <row r="3" spans="1:6" x14ac:dyDescent="0.15">
      <c r="A3">
        <v>2</v>
      </c>
      <c r="B3" s="176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76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76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76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76" t="s">
        <v>197</v>
      </c>
      <c r="C7">
        <v>0.8</v>
      </c>
      <c r="D7">
        <v>0.8</v>
      </c>
      <c r="E7">
        <v>0.8</v>
      </c>
      <c r="F7">
        <v>0</v>
      </c>
    </row>
    <row r="8" spans="1:6" x14ac:dyDescent="0.15">
      <c r="A8">
        <v>7</v>
      </c>
      <c r="B8" s="176" t="s">
        <v>198</v>
      </c>
      <c r="C8">
        <v>0.8</v>
      </c>
      <c r="D8">
        <v>0.8</v>
      </c>
      <c r="E8">
        <v>0</v>
      </c>
      <c r="F8">
        <v>0</v>
      </c>
    </row>
    <row r="9" spans="1:6" x14ac:dyDescent="0.15">
      <c r="A9">
        <v>8</v>
      </c>
      <c r="B9" s="176" t="s">
        <v>199</v>
      </c>
      <c r="C9">
        <v>0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76" t="s">
        <v>200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76" t="s">
        <v>201</v>
      </c>
      <c r="C11">
        <v>0.8</v>
      </c>
      <c r="D11">
        <v>0.8</v>
      </c>
      <c r="E11">
        <v>0</v>
      </c>
      <c r="F11">
        <v>0</v>
      </c>
    </row>
    <row r="12" spans="1:6" x14ac:dyDescent="0.15">
      <c r="A12">
        <v>11</v>
      </c>
      <c r="B12" s="176" t="s">
        <v>202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76" t="s">
        <v>203</v>
      </c>
      <c r="C13">
        <v>0.8</v>
      </c>
      <c r="D13">
        <v>0.8</v>
      </c>
      <c r="E13">
        <v>0</v>
      </c>
      <c r="F13">
        <v>0</v>
      </c>
    </row>
    <row r="14" spans="1:6" x14ac:dyDescent="0.15">
      <c r="A14">
        <v>13</v>
      </c>
      <c r="B14" s="176" t="s">
        <v>204</v>
      </c>
      <c r="C14">
        <v>0</v>
      </c>
      <c r="D14">
        <v>0</v>
      </c>
      <c r="E14">
        <v>0</v>
      </c>
      <c r="F14">
        <v>0.8</v>
      </c>
    </row>
    <row r="15" spans="1:6" x14ac:dyDescent="0.15">
      <c r="A15">
        <v>14</v>
      </c>
      <c r="B15" s="176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76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76" t="s">
        <v>207</v>
      </c>
      <c r="C17">
        <v>0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76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76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76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76" t="s">
        <v>211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76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76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76" t="s">
        <v>214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76" t="s">
        <v>215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76" t="s">
        <v>216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76" t="s">
        <v>217</v>
      </c>
      <c r="C27">
        <v>0.8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76" t="s">
        <v>218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76" t="s">
        <v>219</v>
      </c>
      <c r="C29">
        <v>0</v>
      </c>
      <c r="D29">
        <v>0</v>
      </c>
      <c r="E29">
        <v>0</v>
      </c>
      <c r="F29">
        <v>0</v>
      </c>
    </row>
    <row r="30" spans="1:6" x14ac:dyDescent="0.15">
      <c r="A30">
        <v>29</v>
      </c>
      <c r="B30" s="176" t="s">
        <v>220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76" t="s">
        <v>221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76" t="s">
        <v>222</v>
      </c>
      <c r="C32">
        <v>0</v>
      </c>
      <c r="D32">
        <v>0</v>
      </c>
      <c r="E32">
        <v>0</v>
      </c>
      <c r="F32">
        <v>0</v>
      </c>
    </row>
    <row r="33" spans="1:6" x14ac:dyDescent="0.15">
      <c r="A33">
        <v>32</v>
      </c>
      <c r="B33" s="176" t="s">
        <v>223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76" t="s">
        <v>224</v>
      </c>
      <c r="C34">
        <v>0</v>
      </c>
      <c r="D34">
        <v>0</v>
      </c>
      <c r="E34">
        <v>0</v>
      </c>
      <c r="F34">
        <v>0</v>
      </c>
    </row>
    <row r="35" spans="1:6" x14ac:dyDescent="0.15">
      <c r="A35">
        <v>34</v>
      </c>
      <c r="B35" s="176" t="s">
        <v>225</v>
      </c>
      <c r="C35">
        <v>0</v>
      </c>
      <c r="D35">
        <v>0</v>
      </c>
      <c r="E35">
        <v>0</v>
      </c>
      <c r="F3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67"/>
    <col min="2" max="2" width="41.83203125" style="67" bestFit="1" customWidth="1"/>
    <col min="3" max="3" width="9.33203125" style="67" bestFit="1" customWidth="1"/>
    <col min="4" max="4" width="13" style="67" bestFit="1" customWidth="1"/>
    <col min="5" max="6" width="9.33203125" style="67" bestFit="1" customWidth="1"/>
    <col min="7" max="7" width="9.33203125" style="83" bestFit="1" customWidth="1"/>
    <col min="8" max="8" width="9.33203125" style="67" bestFit="1" customWidth="1"/>
    <col min="9" max="9" width="11" style="67" customWidth="1"/>
    <col min="10" max="10" width="8.83203125" style="67"/>
    <col min="15" max="16384" width="8.83203125" style="6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0" t="s">
        <v>14</v>
      </c>
      <c r="H1" s="1" t="s">
        <v>26</v>
      </c>
      <c r="I1" s="1" t="s">
        <v>24</v>
      </c>
    </row>
    <row r="2" spans="1:10" ht="15" customHeight="1" x14ac:dyDescent="0.15">
      <c r="A2" s="129">
        <v>1</v>
      </c>
      <c r="B2" s="129" t="s">
        <v>192</v>
      </c>
      <c r="C2" s="8">
        <v>4.1806387901306152</v>
      </c>
      <c r="D2" s="9">
        <v>55.860000610351562</v>
      </c>
      <c r="E2" s="9">
        <v>0.24099999666213989</v>
      </c>
      <c r="F2" s="9">
        <v>4.7119998931884766</v>
      </c>
      <c r="G2" s="9">
        <v>1.8276283517479897E-2</v>
      </c>
      <c r="H2" s="9">
        <v>5.1146011799573898E-2</v>
      </c>
      <c r="I2">
        <v>0.18000000715255737</v>
      </c>
      <c r="J2"/>
    </row>
    <row r="3" spans="1:10" ht="15" customHeight="1" x14ac:dyDescent="0.15">
      <c r="A3" s="130">
        <v>2</v>
      </c>
      <c r="B3" s="130" t="s">
        <v>193</v>
      </c>
      <c r="C3" s="8">
        <v>3.9204545021057129</v>
      </c>
      <c r="D3" s="9">
        <v>0.10000000149011612</v>
      </c>
      <c r="E3" s="9">
        <v>5.4530000686645508</v>
      </c>
      <c r="F3" s="9">
        <v>60.618999481201172</v>
      </c>
      <c r="G3" s="9">
        <v>0.82079416513442993</v>
      </c>
      <c r="H3" s="9">
        <v>8.9955300092697144E-2</v>
      </c>
      <c r="I3">
        <v>0</v>
      </c>
      <c r="J3"/>
    </row>
    <row r="4" spans="1:10" ht="15" customHeight="1" x14ac:dyDescent="0.15">
      <c r="A4" s="131">
        <v>3</v>
      </c>
      <c r="B4" s="131" t="s">
        <v>194</v>
      </c>
      <c r="C4" s="8">
        <v>3.7817223072052002</v>
      </c>
      <c r="D4" s="9">
        <v>86.980003356933594</v>
      </c>
      <c r="E4" s="9">
        <v>0.24099999666213989</v>
      </c>
      <c r="F4" s="9">
        <v>4.7119998931884766</v>
      </c>
      <c r="G4" s="9">
        <v>0.44319522380828857</v>
      </c>
      <c r="H4" s="9">
        <v>5.1146011799573898E-2</v>
      </c>
      <c r="I4">
        <v>0</v>
      </c>
      <c r="J4"/>
    </row>
    <row r="5" spans="1:10" ht="15" customHeight="1" x14ac:dyDescent="0.15">
      <c r="A5" s="132">
        <v>4</v>
      </c>
      <c r="B5" s="132" t="s">
        <v>195</v>
      </c>
      <c r="C5" s="8">
        <v>3.6398053169250488</v>
      </c>
      <c r="D5" s="9">
        <v>0.19499999284744263</v>
      </c>
      <c r="E5" s="9">
        <v>4.1000001132488251E-2</v>
      </c>
      <c r="F5" s="9">
        <v>16.12700080871582</v>
      </c>
      <c r="G5" s="9">
        <v>0.85620105266571045</v>
      </c>
      <c r="H5" s="9">
        <v>2.5423201732337475E-3</v>
      </c>
      <c r="I5">
        <v>0</v>
      </c>
      <c r="J5"/>
    </row>
    <row r="6" spans="1:10" ht="15" customHeight="1" x14ac:dyDescent="0.15">
      <c r="A6" s="133">
        <v>5</v>
      </c>
      <c r="B6" s="133" t="s">
        <v>196</v>
      </c>
      <c r="C6" s="8">
        <v>3.6030001640319824</v>
      </c>
      <c r="D6" s="9">
        <v>0.20000000298023224</v>
      </c>
      <c r="E6" s="9">
        <v>4.1000001132488251E-2</v>
      </c>
      <c r="F6" s="9">
        <v>16.129999160766602</v>
      </c>
      <c r="G6" s="9">
        <v>0.32107537984848022</v>
      </c>
      <c r="H6" s="9">
        <v>2.5418477598577738E-3</v>
      </c>
      <c r="I6">
        <v>0</v>
      </c>
      <c r="J6"/>
    </row>
    <row r="7" spans="1:10" ht="15" customHeight="1" x14ac:dyDescent="0.15">
      <c r="A7" s="134">
        <v>6</v>
      </c>
      <c r="B7" s="134" t="s">
        <v>197</v>
      </c>
      <c r="C7" s="8">
        <v>3.4193994998931885</v>
      </c>
      <c r="D7" s="9">
        <v>75.050003051757812</v>
      </c>
      <c r="E7" s="9">
        <v>0.41800001263618469</v>
      </c>
      <c r="F7" s="9">
        <v>2.2279999256134033</v>
      </c>
      <c r="G7" s="9">
        <v>0.94591742753982544</v>
      </c>
      <c r="H7" s="9">
        <v>0.18761222064495087</v>
      </c>
      <c r="I7">
        <v>0.44999998807907104</v>
      </c>
      <c r="J7"/>
    </row>
    <row r="8" spans="1:10" ht="15" customHeight="1" x14ac:dyDescent="0.15">
      <c r="A8" s="135">
        <v>7</v>
      </c>
      <c r="B8" s="135" t="s">
        <v>198</v>
      </c>
      <c r="C8" s="8">
        <v>3.3358924388885498</v>
      </c>
      <c r="D8" s="9">
        <v>1.2300000190734863</v>
      </c>
      <c r="E8" s="9">
        <v>0.46200001239776611</v>
      </c>
      <c r="F8" s="9">
        <v>2.7730000019073486</v>
      </c>
      <c r="G8" s="9">
        <v>0.85342812538146973</v>
      </c>
      <c r="H8" s="9">
        <v>0.16660656034946442</v>
      </c>
      <c r="I8">
        <v>0.32699999213218689</v>
      </c>
      <c r="J8"/>
    </row>
    <row r="9" spans="1:10" ht="15" customHeight="1" x14ac:dyDescent="0.15">
      <c r="A9" s="136">
        <v>8</v>
      </c>
      <c r="B9" s="136" t="s">
        <v>199</v>
      </c>
      <c r="C9" s="8">
        <v>3.0125000476837158</v>
      </c>
      <c r="D9" s="9">
        <v>36.439998626708984</v>
      </c>
      <c r="E9" s="9">
        <v>1.9939999580383301</v>
      </c>
      <c r="F9" s="9">
        <v>12.532999992370605</v>
      </c>
      <c r="G9" s="9">
        <v>0.94848120212554932</v>
      </c>
      <c r="H9" s="9">
        <v>0.15909996628761292</v>
      </c>
      <c r="I9">
        <v>0</v>
      </c>
      <c r="J9"/>
    </row>
    <row r="10" spans="1:10" ht="15" customHeight="1" x14ac:dyDescent="0.15">
      <c r="A10" s="137">
        <v>9</v>
      </c>
      <c r="B10" s="137" t="s">
        <v>200</v>
      </c>
      <c r="C10" s="8">
        <v>2.9061729907989502</v>
      </c>
      <c r="D10" s="9">
        <v>84.989997863769531</v>
      </c>
      <c r="E10" s="9">
        <v>0.25499999523162842</v>
      </c>
      <c r="F10" s="9">
        <v>1.7799999713897705</v>
      </c>
      <c r="G10" s="9">
        <v>0.91111701726913452</v>
      </c>
      <c r="H10" s="9">
        <v>0.14325842261314392</v>
      </c>
      <c r="I10">
        <v>0</v>
      </c>
      <c r="J10"/>
    </row>
    <row r="11" spans="1:10" ht="15" customHeight="1" x14ac:dyDescent="0.15">
      <c r="A11" s="138">
        <v>10</v>
      </c>
      <c r="B11" s="138" t="s">
        <v>201</v>
      </c>
      <c r="C11" s="8">
        <v>2.8953180313110352</v>
      </c>
      <c r="D11" s="9">
        <v>43.529998779296875</v>
      </c>
      <c r="E11" s="9">
        <v>0.75499999523162842</v>
      </c>
      <c r="F11" s="9">
        <v>3.3499999046325684</v>
      </c>
      <c r="G11" s="9">
        <v>0.82933497428894043</v>
      </c>
      <c r="H11" s="9">
        <v>0.22537313401699066</v>
      </c>
      <c r="I11">
        <v>2.5130000114440918</v>
      </c>
      <c r="J11"/>
    </row>
    <row r="12" spans="1:10" ht="15" customHeight="1" x14ac:dyDescent="0.15">
      <c r="A12" s="139">
        <v>11</v>
      </c>
      <c r="B12" s="139" t="s">
        <v>202</v>
      </c>
      <c r="C12" s="8">
        <v>2.7874999046325684</v>
      </c>
      <c r="D12" s="9">
        <v>0.68999999761581421</v>
      </c>
      <c r="E12" s="9">
        <v>4.5130000114440918</v>
      </c>
      <c r="F12" s="9">
        <v>16.327999114990234</v>
      </c>
      <c r="G12" s="9">
        <v>0.86538410186767578</v>
      </c>
      <c r="H12" s="9">
        <v>0.27639639377593994</v>
      </c>
      <c r="I12">
        <v>0</v>
      </c>
      <c r="J12"/>
    </row>
    <row r="13" spans="1:10" ht="15" customHeight="1" x14ac:dyDescent="0.15">
      <c r="A13" s="140">
        <v>12</v>
      </c>
      <c r="B13" s="140" t="s">
        <v>203</v>
      </c>
      <c r="C13" s="8">
        <v>2.7363185882568359</v>
      </c>
      <c r="D13" s="9">
        <v>36.669998168945312</v>
      </c>
      <c r="E13" s="9">
        <v>1.1959999799728394</v>
      </c>
      <c r="F13" s="9">
        <v>5.1020002365112305</v>
      </c>
      <c r="G13" s="9">
        <v>0.91551470756530762</v>
      </c>
      <c r="H13" s="9">
        <v>0.23441785573959351</v>
      </c>
      <c r="I13">
        <v>1.0999999940395355E-2</v>
      </c>
      <c r="J13"/>
    </row>
    <row r="14" spans="1:10" ht="15" customHeight="1" x14ac:dyDescent="0.15">
      <c r="A14" s="141">
        <v>13</v>
      </c>
      <c r="B14" s="141" t="s">
        <v>204</v>
      </c>
      <c r="C14" s="8">
        <v>2.6336100101470947</v>
      </c>
      <c r="D14" s="9">
        <v>4.3299999237060547</v>
      </c>
      <c r="E14" s="9">
        <v>0.69900000095367432</v>
      </c>
      <c r="F14" s="9">
        <v>7.2220001220703125</v>
      </c>
      <c r="G14" s="9">
        <v>0.91504049301147461</v>
      </c>
      <c r="H14" s="9">
        <v>9.6787594258785248E-2</v>
      </c>
      <c r="I14">
        <v>0.27000001072883606</v>
      </c>
      <c r="J14"/>
    </row>
    <row r="15" spans="1:10" ht="15" customHeight="1" x14ac:dyDescent="0.15">
      <c r="A15" s="142">
        <v>14</v>
      </c>
      <c r="B15" s="142" t="s">
        <v>205</v>
      </c>
      <c r="C15" s="8">
        <v>2.5648481845855713</v>
      </c>
      <c r="D15" s="9">
        <v>21.600000381469727</v>
      </c>
      <c r="E15" s="9">
        <v>1.0010000467300415</v>
      </c>
      <c r="F15" s="9">
        <v>4.0809998512268066</v>
      </c>
      <c r="G15" s="9">
        <v>0.9299696683883667</v>
      </c>
      <c r="H15" s="9">
        <v>0.24528303742408752</v>
      </c>
      <c r="I15">
        <v>0</v>
      </c>
      <c r="J15"/>
    </row>
    <row r="16" spans="1:10" ht="15" customHeight="1" x14ac:dyDescent="0.15">
      <c r="A16" s="143">
        <v>15</v>
      </c>
      <c r="B16" s="143" t="s">
        <v>206</v>
      </c>
      <c r="C16" s="8">
        <v>2.4994997978210449</v>
      </c>
      <c r="D16" s="9">
        <v>16.629999160766602</v>
      </c>
      <c r="E16" s="9">
        <v>0.49500000476837158</v>
      </c>
      <c r="F16" s="9">
        <v>11.515999794006348</v>
      </c>
      <c r="G16" s="9">
        <v>8.3757221698760986E-2</v>
      </c>
      <c r="H16" s="9">
        <v>4.2983677238225937E-2</v>
      </c>
      <c r="I16">
        <v>0</v>
      </c>
      <c r="J16"/>
    </row>
    <row r="17" spans="1:10" ht="15" customHeight="1" x14ac:dyDescent="0.15">
      <c r="A17" s="144">
        <v>16</v>
      </c>
      <c r="B17" s="144" t="s">
        <v>207</v>
      </c>
      <c r="C17" s="8">
        <v>2.4871129989624023</v>
      </c>
      <c r="D17" s="9">
        <v>1.3303449153900146</v>
      </c>
      <c r="E17" s="9">
        <v>0.92000001668930054</v>
      </c>
      <c r="F17" s="9">
        <v>4.0630002021789551</v>
      </c>
      <c r="G17" s="9">
        <v>0.94998043775558472</v>
      </c>
      <c r="H17" s="9">
        <v>0.22643366456031799</v>
      </c>
      <c r="I17">
        <v>0</v>
      </c>
      <c r="J17"/>
    </row>
    <row r="18" spans="1:10" ht="15" customHeight="1" x14ac:dyDescent="0.15">
      <c r="A18" s="145">
        <v>17</v>
      </c>
      <c r="B18" s="145" t="s">
        <v>208</v>
      </c>
      <c r="C18" s="8">
        <v>2.4000000953674316</v>
      </c>
      <c r="D18" s="9">
        <v>5.9999998658895493E-2</v>
      </c>
      <c r="E18" s="9">
        <v>2.0920000076293945</v>
      </c>
      <c r="F18" s="9">
        <v>10.062999725341797</v>
      </c>
      <c r="G18" s="9">
        <v>0.76934558153152466</v>
      </c>
      <c r="H18" s="9">
        <v>0.20789030194282532</v>
      </c>
      <c r="I18">
        <v>0</v>
      </c>
      <c r="J18"/>
    </row>
    <row r="19" spans="1:10" ht="15" customHeight="1" x14ac:dyDescent="0.15">
      <c r="A19" s="146">
        <v>18</v>
      </c>
      <c r="B19" s="146" t="s">
        <v>209</v>
      </c>
      <c r="C19" s="8">
        <v>2.3389813899993896</v>
      </c>
      <c r="D19" s="9">
        <v>11.644959449768066</v>
      </c>
      <c r="E19" s="9">
        <v>3.5999999046325684</v>
      </c>
      <c r="F19" s="9">
        <v>20.450000762939453</v>
      </c>
      <c r="G19" s="9">
        <v>0.94992411136627197</v>
      </c>
      <c r="H19" s="9">
        <v>0.17603911459445953</v>
      </c>
      <c r="I19">
        <v>0</v>
      </c>
      <c r="J19"/>
    </row>
    <row r="20" spans="1:10" ht="15" customHeight="1" x14ac:dyDescent="0.15">
      <c r="A20" s="147">
        <v>19</v>
      </c>
      <c r="B20" s="147" t="s">
        <v>210</v>
      </c>
      <c r="C20" s="8">
        <v>2.2917799949645996</v>
      </c>
      <c r="D20" s="9">
        <v>12.590000152587891</v>
      </c>
      <c r="E20" s="9">
        <v>2.6070001125335693</v>
      </c>
      <c r="F20" s="9">
        <v>9.8249998092651367</v>
      </c>
      <c r="G20" s="9">
        <v>0.76285207271575928</v>
      </c>
      <c r="H20" s="9">
        <v>0.26534351706504822</v>
      </c>
      <c r="I20">
        <v>0</v>
      </c>
      <c r="J20"/>
    </row>
    <row r="21" spans="1:10" ht="15" customHeight="1" x14ac:dyDescent="0.15">
      <c r="A21" s="148">
        <v>20</v>
      </c>
      <c r="B21" s="148" t="s">
        <v>211</v>
      </c>
      <c r="C21" s="8">
        <v>2.25</v>
      </c>
      <c r="D21" s="9">
        <v>21.162725448608398</v>
      </c>
      <c r="E21" s="9">
        <v>16.420000076293945</v>
      </c>
      <c r="F21" s="9">
        <v>45.799999237060547</v>
      </c>
      <c r="G21" s="9">
        <v>0.94998461008071899</v>
      </c>
      <c r="H21" s="9">
        <v>0.35851529240608215</v>
      </c>
      <c r="I21">
        <v>0</v>
      </c>
      <c r="J21"/>
    </row>
    <row r="22" spans="1:10" ht="15" customHeight="1" x14ac:dyDescent="0.15">
      <c r="A22" s="149">
        <v>21</v>
      </c>
      <c r="B22" s="149" t="s">
        <v>212</v>
      </c>
      <c r="C22" s="8">
        <v>2</v>
      </c>
      <c r="D22" s="9">
        <v>17.802999496459961</v>
      </c>
      <c r="E22" s="9">
        <v>2.5360000133514404</v>
      </c>
      <c r="F22" s="9">
        <v>13.909999847412109</v>
      </c>
      <c r="G22" s="9">
        <v>0.92801737785339355</v>
      </c>
      <c r="H22" s="9">
        <v>0.18231488764286041</v>
      </c>
      <c r="I22">
        <v>0</v>
      </c>
      <c r="J22"/>
    </row>
    <row r="23" spans="1:10" ht="15" customHeight="1" x14ac:dyDescent="0.15">
      <c r="A23" s="150">
        <v>22</v>
      </c>
      <c r="B23" s="150" t="s">
        <v>213</v>
      </c>
      <c r="C23" s="8">
        <v>2.1875</v>
      </c>
      <c r="D23" s="9">
        <v>0.87000000476837158</v>
      </c>
      <c r="E23" s="9">
        <v>0.13899999856948853</v>
      </c>
      <c r="F23" s="9">
        <v>10.130999565124512</v>
      </c>
      <c r="G23" s="9">
        <v>0.43542850017547607</v>
      </c>
      <c r="H23" s="9">
        <v>1.3720264658331871E-2</v>
      </c>
      <c r="I23">
        <v>0</v>
      </c>
      <c r="J23"/>
    </row>
    <row r="24" spans="1:10" ht="15" customHeight="1" x14ac:dyDescent="0.15">
      <c r="A24" s="151">
        <v>23</v>
      </c>
      <c r="B24" s="151" t="s">
        <v>214</v>
      </c>
      <c r="C24" s="8">
        <v>2.1714999675750732</v>
      </c>
      <c r="D24" s="9">
        <v>66.019996643066406</v>
      </c>
      <c r="E24" s="9">
        <v>2.244999885559082</v>
      </c>
      <c r="F24" s="9">
        <v>7.8540000915527344</v>
      </c>
      <c r="G24" s="9">
        <v>0.94630908966064453</v>
      </c>
      <c r="H24" s="9">
        <v>0.28584158420562744</v>
      </c>
      <c r="I24">
        <v>0</v>
      </c>
      <c r="J24"/>
    </row>
    <row r="25" spans="1:10" ht="15" customHeight="1" x14ac:dyDescent="0.15">
      <c r="A25" s="152">
        <v>24</v>
      </c>
      <c r="B25" s="152" t="s">
        <v>215</v>
      </c>
      <c r="C25" s="8">
        <v>2.1099998950958252</v>
      </c>
      <c r="D25" s="9">
        <v>138.78208923339844</v>
      </c>
      <c r="E25" s="9">
        <v>1.4880000352859497</v>
      </c>
      <c r="F25" s="9">
        <v>15.093000411987305</v>
      </c>
      <c r="G25" s="9">
        <v>0.94997602701187134</v>
      </c>
      <c r="H25" s="9">
        <v>9.8588749766349792E-2</v>
      </c>
      <c r="I25">
        <v>0</v>
      </c>
      <c r="J25"/>
    </row>
    <row r="26" spans="1:10" ht="15" customHeight="1" x14ac:dyDescent="0.15">
      <c r="A26" s="153">
        <v>25</v>
      </c>
      <c r="B26" s="153" t="s">
        <v>216</v>
      </c>
      <c r="C26" s="8">
        <v>2</v>
      </c>
      <c r="D26" s="9">
        <v>5.1100001335144043</v>
      </c>
      <c r="E26" s="9">
        <v>2.8110001087188721</v>
      </c>
      <c r="F26" s="9">
        <v>10.644000053405762</v>
      </c>
      <c r="G26" s="9">
        <v>0.61996567249298096</v>
      </c>
      <c r="H26" s="9">
        <v>0.26409244537353516</v>
      </c>
      <c r="I26">
        <v>0</v>
      </c>
      <c r="J26"/>
    </row>
    <row r="27" spans="1:10" ht="15" customHeight="1" x14ac:dyDescent="0.15">
      <c r="A27" s="154">
        <v>26</v>
      </c>
      <c r="B27" s="154" t="s">
        <v>217</v>
      </c>
      <c r="C27" s="8">
        <v>2</v>
      </c>
      <c r="D27" s="9">
        <v>63.639999389648438</v>
      </c>
      <c r="E27" s="9">
        <v>0.99400001764297485</v>
      </c>
      <c r="F27" s="9">
        <v>10.829999923706055</v>
      </c>
      <c r="G27" s="9">
        <v>0.6530841588973999</v>
      </c>
      <c r="H27" s="9">
        <v>9.1782085597515106E-2</v>
      </c>
      <c r="I27">
        <v>9.0000003576278687E-2</v>
      </c>
      <c r="J27"/>
    </row>
    <row r="28" spans="1:10" ht="15" customHeight="1" x14ac:dyDescent="0.15">
      <c r="A28" s="155">
        <v>27</v>
      </c>
      <c r="B28" s="155" t="s">
        <v>218</v>
      </c>
      <c r="C28" s="8">
        <v>2</v>
      </c>
      <c r="D28" s="9">
        <v>7.3000001907348633</v>
      </c>
      <c r="E28" s="9">
        <v>2.0799999237060547</v>
      </c>
      <c r="F28" s="9">
        <v>16.624000549316406</v>
      </c>
      <c r="G28" s="9">
        <v>0.37850213050842285</v>
      </c>
      <c r="H28" s="9">
        <v>0.12512029707431793</v>
      </c>
      <c r="I28">
        <v>0</v>
      </c>
      <c r="J28"/>
    </row>
    <row r="29" spans="1:10" ht="15" customHeight="1" x14ac:dyDescent="0.15">
      <c r="A29" s="156">
        <v>28</v>
      </c>
      <c r="B29" s="156" t="s">
        <v>219</v>
      </c>
      <c r="C29" s="8">
        <v>2</v>
      </c>
      <c r="D29" s="9">
        <v>26.784938812255859</v>
      </c>
      <c r="E29" s="9">
        <v>23.684000015258789</v>
      </c>
      <c r="F29" s="9">
        <v>61.200000762939453</v>
      </c>
      <c r="G29" s="9">
        <v>0.94999241828918457</v>
      </c>
      <c r="H29" s="9">
        <v>0.38699346780776978</v>
      </c>
      <c r="I29">
        <v>0</v>
      </c>
      <c r="J29"/>
    </row>
    <row r="30" spans="1:10" ht="15" customHeight="1" x14ac:dyDescent="0.15">
      <c r="A30" s="157">
        <v>29</v>
      </c>
      <c r="B30" s="157" t="s">
        <v>220</v>
      </c>
      <c r="C30" s="8">
        <v>2</v>
      </c>
      <c r="D30" s="9">
        <v>14.970000267028809</v>
      </c>
      <c r="E30" s="9">
        <v>0.12200000137090683</v>
      </c>
      <c r="F30" s="9">
        <v>3.3420000076293945</v>
      </c>
      <c r="G30" s="9">
        <v>0.9120977520942688</v>
      </c>
      <c r="H30" s="9">
        <v>3.6505088210105896E-2</v>
      </c>
      <c r="I30">
        <v>0</v>
      </c>
      <c r="J30"/>
    </row>
    <row r="31" spans="1:10" ht="15" customHeight="1" x14ac:dyDescent="0.15">
      <c r="A31" s="158">
        <v>30</v>
      </c>
      <c r="B31" s="158" t="s">
        <v>221</v>
      </c>
      <c r="C31" s="8">
        <v>1</v>
      </c>
      <c r="D31" s="9">
        <v>76.480003356933594</v>
      </c>
      <c r="E31" s="9">
        <v>15.687000274658203</v>
      </c>
      <c r="F31" s="10"/>
      <c r="G31" s="9">
        <v>0.92730534076690674</v>
      </c>
      <c r="H31" s="10"/>
      <c r="I31">
        <v>0</v>
      </c>
      <c r="J31"/>
    </row>
    <row r="32" spans="1:10" ht="15" customHeight="1" x14ac:dyDescent="0.15">
      <c r="A32" s="186">
        <v>31</v>
      </c>
      <c r="B32" s="186" t="s">
        <v>222</v>
      </c>
      <c r="C32" s="8">
        <v>1</v>
      </c>
      <c r="D32" s="9">
        <v>1.8700000047683716</v>
      </c>
      <c r="E32" s="9">
        <v>146.27400207519531</v>
      </c>
      <c r="F32" s="10"/>
      <c r="G32" s="9">
        <v>0.91895729303359985</v>
      </c>
      <c r="H32" s="10"/>
      <c r="I32">
        <v>0</v>
      </c>
      <c r="J32"/>
    </row>
    <row r="33" spans="1:10" ht="15" customHeight="1" x14ac:dyDescent="0.15">
      <c r="A33" s="187">
        <v>32</v>
      </c>
      <c r="B33" s="187" t="s">
        <v>223</v>
      </c>
      <c r="C33" s="8">
        <v>1</v>
      </c>
      <c r="D33" s="9">
        <v>6.9124307632446289</v>
      </c>
      <c r="E33" s="9">
        <v>280</v>
      </c>
      <c r="F33" s="10"/>
      <c r="G33" s="9">
        <v>0.94999998807907104</v>
      </c>
      <c r="H33" s="10"/>
      <c r="I33">
        <v>0</v>
      </c>
      <c r="J33"/>
    </row>
    <row r="34" spans="1:10" ht="15" customHeight="1" x14ac:dyDescent="0.15">
      <c r="A34" s="188">
        <v>33</v>
      </c>
      <c r="B34" s="188" t="s">
        <v>224</v>
      </c>
      <c r="C34" s="8">
        <v>1</v>
      </c>
      <c r="D34" s="9">
        <v>100</v>
      </c>
      <c r="E34" s="10"/>
      <c r="F34" s="10"/>
      <c r="G34" s="7">
        <v>0.84194457530975342</v>
      </c>
      <c r="H34" s="10"/>
      <c r="I34">
        <v>0</v>
      </c>
      <c r="J34"/>
    </row>
    <row r="35" spans="1:10" ht="15" customHeight="1" x14ac:dyDescent="0.15">
      <c r="A35" s="189">
        <v>34</v>
      </c>
      <c r="B35" s="189" t="s">
        <v>225</v>
      </c>
      <c r="C35" s="8">
        <v>1</v>
      </c>
      <c r="D35" s="9">
        <v>5</v>
      </c>
      <c r="E35" s="10"/>
      <c r="F35" s="10"/>
      <c r="G35" s="7">
        <v>0</v>
      </c>
      <c r="H35" s="10"/>
      <c r="I35">
        <v>0</v>
      </c>
      <c r="J35"/>
    </row>
    <row r="36" spans="1:10" ht="15" customHeight="1" x14ac:dyDescent="0.15">
      <c r="A36" s="190">
        <v>35</v>
      </c>
      <c r="B36" s="190" t="s">
        <v>226</v>
      </c>
      <c r="C36" s="8">
        <v>4.0260357856750488</v>
      </c>
      <c r="D36" s="10"/>
      <c r="E36" s="10"/>
      <c r="F36" s="10"/>
      <c r="G36" s="10"/>
      <c r="H36" s="10"/>
      <c r="I36">
        <v>3.3949999809265137</v>
      </c>
      <c r="J36"/>
    </row>
    <row r="37" spans="1:10" ht="15" customHeight="1" x14ac:dyDescent="0.15">
      <c r="A37" s="191">
        <v>36</v>
      </c>
      <c r="B37" s="191" t="s">
        <v>227</v>
      </c>
      <c r="C37" s="8">
        <v>4.1749048233032227</v>
      </c>
      <c r="D37" s="10"/>
      <c r="E37" s="10"/>
      <c r="F37" s="10"/>
      <c r="G37" s="10"/>
      <c r="H37" s="10"/>
      <c r="I37">
        <v>2.9000002890825272E-2</v>
      </c>
      <c r="J37"/>
    </row>
    <row r="38" spans="1:10" ht="15" customHeight="1" x14ac:dyDescent="0.15">
      <c r="A38" s="192">
        <v>37</v>
      </c>
      <c r="B38" s="192" t="s">
        <v>228</v>
      </c>
      <c r="C38" s="8">
        <v>4.4193997383117676</v>
      </c>
      <c r="D38" s="10"/>
      <c r="E38" s="10"/>
      <c r="F38" s="10"/>
      <c r="G38" s="10"/>
      <c r="H38" s="10"/>
      <c r="I38">
        <v>0.14699999988079071</v>
      </c>
      <c r="J38"/>
    </row>
    <row r="39" spans="1:10" ht="15" customHeight="1" x14ac:dyDescent="0.15">
      <c r="A39" s="193">
        <v>38</v>
      </c>
      <c r="B39" s="193" t="s">
        <v>229</v>
      </c>
      <c r="C39" s="8">
        <v>3.6336102485656738</v>
      </c>
      <c r="D39" s="10"/>
      <c r="E39" s="10"/>
      <c r="F39" s="10"/>
      <c r="G39" s="10"/>
      <c r="H39" s="10"/>
      <c r="I39">
        <v>0.27000001072883606</v>
      </c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7" bestFit="1" customWidth="1"/>
    <col min="2" max="4" width="9.5" style="67" bestFit="1" customWidth="1"/>
    <col min="5" max="7" width="9" style="67" bestFit="1" customWidth="1"/>
    <col min="8" max="16" width="12.6640625" style="67" bestFit="1" customWidth="1"/>
    <col min="17" max="17" width="12.33203125" style="67" bestFit="1" customWidth="1"/>
    <col min="18" max="18" width="8.83203125" style="67"/>
    <col min="19" max="21" width="9.33203125" style="67" bestFit="1" customWidth="1"/>
    <col min="22" max="23" width="8.83203125" style="67"/>
    <col min="24" max="24" width="9.33203125" style="67" bestFit="1" customWidth="1"/>
    <col min="25" max="27" width="8.83203125" style="67"/>
    <col min="28" max="58" width="9" style="67" bestFit="1" customWidth="1"/>
    <col min="59" max="59" width="12.33203125" style="67" bestFit="1" customWidth="1"/>
    <col min="60" max="60" width="9" style="67" bestFit="1" customWidth="1"/>
    <col min="61" max="61" width="11.33203125" style="67" bestFit="1" customWidth="1"/>
    <col min="62" max="77" width="9" style="67" bestFit="1" customWidth="1"/>
    <col min="78" max="78" width="12.33203125" style="67" bestFit="1" customWidth="1"/>
    <col min="79" max="79" width="9" style="67" bestFit="1" customWidth="1"/>
    <col min="80" max="80" width="12.33203125" style="67" bestFit="1" customWidth="1"/>
    <col min="81" max="107" width="9" style="67" bestFit="1" customWidth="1"/>
    <col min="108" max="108" width="11.33203125" style="67" bestFit="1" customWidth="1"/>
    <col min="109" max="124" width="9" style="67" bestFit="1" customWidth="1"/>
    <col min="125" max="125" width="10.33203125" style="67" bestFit="1" customWidth="1"/>
    <col min="126" max="129" width="9.33203125" style="67" bestFit="1" customWidth="1"/>
    <col min="130" max="130" width="9" style="67" bestFit="1" customWidth="1"/>
    <col min="131" max="134" width="9.33203125" style="67" bestFit="1" customWidth="1"/>
    <col min="135" max="165" width="9" style="67" bestFit="1" customWidth="1"/>
    <col min="166" max="166" width="12.33203125" style="67" bestFit="1" customWidth="1"/>
    <col min="167" max="170" width="9" style="67" bestFit="1" customWidth="1"/>
    <col min="171" max="176" width="8.83203125" style="67"/>
    <col min="177" max="177" width="13.83203125" style="67" bestFit="1" customWidth="1"/>
    <col min="178" max="16384" width="8.83203125" style="6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234</v>
      </c>
      <c r="E1" t="s">
        <v>235</v>
      </c>
      <c r="F1" t="s">
        <v>236</v>
      </c>
      <c r="G1" t="s">
        <v>237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 t="s">
        <v>213</v>
      </c>
      <c r="AD1" t="s">
        <v>214</v>
      </c>
      <c r="AE1" t="s">
        <v>215</v>
      </c>
      <c r="AF1" t="s">
        <v>216</v>
      </c>
      <c r="AG1" t="s">
        <v>217</v>
      </c>
      <c r="AH1" t="s">
        <v>218</v>
      </c>
      <c r="AI1" t="s">
        <v>219</v>
      </c>
      <c r="AJ1" t="s">
        <v>220</v>
      </c>
      <c r="AK1" t="s">
        <v>221</v>
      </c>
      <c r="AL1" t="s">
        <v>222</v>
      </c>
      <c r="AM1" t="s">
        <v>223</v>
      </c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0.24099999666213989</v>
      </c>
      <c r="C2">
        <v>0.23659540712833405</v>
      </c>
      <c r="D2" s="17">
        <v>3.2223416492342949E-3</v>
      </c>
      <c r="E2"/>
      <c r="F2"/>
      <c r="G2"/>
      <c r="H2"/>
      <c r="I2"/>
      <c r="J2"/>
      <c r="K2" s="22">
        <v>1.1822424130514264E-3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5.4530000686645508</v>
      </c>
      <c r="C3">
        <v>0.97720944881439209</v>
      </c>
      <c r="D3"/>
      <c r="E3"/>
      <c r="F3"/>
      <c r="G3"/>
      <c r="H3" s="206">
        <v>4.4757909774780273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0.24099999666213989</v>
      </c>
      <c r="C4">
        <v>0.13418994843959808</v>
      </c>
      <c r="D4"/>
      <c r="E4"/>
      <c r="F4"/>
      <c r="G4"/>
      <c r="H4" s="220">
        <v>0.10594232380390167</v>
      </c>
      <c r="I4"/>
      <c r="J4"/>
      <c r="K4" s="12">
        <v>8.6772080976516008E-4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4.1000001132488251E-2</v>
      </c>
      <c r="C5">
        <v>5.8957571163773537E-3</v>
      </c>
      <c r="D5"/>
      <c r="E5"/>
      <c r="F5"/>
      <c r="G5"/>
      <c r="H5" s="197">
        <v>3.5104244947433472E-2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4.1000001132488251E-2</v>
      </c>
      <c r="C6">
        <v>2.7835909277200699E-2</v>
      </c>
      <c r="D6"/>
      <c r="E6"/>
      <c r="F6"/>
      <c r="G6"/>
      <c r="H6" s="196">
        <v>1.3164090923964977E-2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0.41800001263618469</v>
      </c>
      <c r="C7">
        <v>2.2606516256928444E-2</v>
      </c>
      <c r="D7" s="15">
        <v>3.997335210442543E-3</v>
      </c>
      <c r="E7" s="11">
        <v>3.997335079475306E-5</v>
      </c>
      <c r="F7" s="12">
        <v>1.9586940761655569E-3</v>
      </c>
      <c r="G7"/>
      <c r="H7" s="235">
        <v>0.38939750194549561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0.46200001239776611</v>
      </c>
      <c r="C8">
        <v>6.7716211080551147E-2</v>
      </c>
      <c r="D8" s="194">
        <v>0.25203251838684082</v>
      </c>
      <c r="E8" s="125">
        <v>1.3821139000356197E-2</v>
      </c>
      <c r="F8"/>
      <c r="G8"/>
      <c r="H8" s="204">
        <v>0.12843015789985657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1.9939999580383301</v>
      </c>
      <c r="C9">
        <v>0.10272847861051559</v>
      </c>
      <c r="D9"/>
      <c r="E9"/>
      <c r="F9"/>
      <c r="G9"/>
      <c r="H9" s="234">
        <v>0.79475855827331543</v>
      </c>
      <c r="I9" s="21">
        <v>1.5138114802539349E-2</v>
      </c>
      <c r="J9" s="221">
        <v>0.34880426526069641</v>
      </c>
      <c r="K9" s="21">
        <v>1.5361366793513298E-2</v>
      </c>
      <c r="L9" s="14">
        <v>5.1346872933208942E-3</v>
      </c>
      <c r="M9" s="126">
        <v>0.50475448369979858</v>
      </c>
      <c r="N9" s="22">
        <v>1.1232019402086735E-2</v>
      </c>
      <c r="O9"/>
      <c r="P9"/>
      <c r="Q9" s="203">
        <v>0.19608806073665619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0.25499999523162842</v>
      </c>
      <c r="C10">
        <v>2.2665159776806831E-2</v>
      </c>
      <c r="D10"/>
      <c r="E10"/>
      <c r="F10"/>
      <c r="G10"/>
      <c r="H10" s="227">
        <v>0.23233483731746674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0.75499999523162842</v>
      </c>
      <c r="C11">
        <v>0.12885209918022156</v>
      </c>
      <c r="D11" s="23">
        <v>5.7661384344100952E-2</v>
      </c>
      <c r="E11" s="11">
        <v>6.8917986936867237E-5</v>
      </c>
      <c r="F11"/>
      <c r="G11"/>
      <c r="H11" s="14">
        <v>1.2096569407731295E-3</v>
      </c>
      <c r="I11"/>
      <c r="J11"/>
      <c r="K11" s="22">
        <v>5.0570541061460972E-3</v>
      </c>
      <c r="L11"/>
      <c r="M11" s="128">
        <v>0.1920645534992218</v>
      </c>
      <c r="N11" s="22">
        <v>4.9363607540726662E-3</v>
      </c>
      <c r="O11"/>
      <c r="P11"/>
      <c r="Q11" s="222">
        <v>0.36514997482299805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4.5130000114440918</v>
      </c>
      <c r="C12">
        <v>0.60752153396606445</v>
      </c>
      <c r="D12"/>
      <c r="E12"/>
      <c r="F12"/>
      <c r="G12"/>
      <c r="H12"/>
      <c r="I12" s="91">
        <v>0.55347782373428345</v>
      </c>
      <c r="J12"/>
      <c r="K12"/>
      <c r="L12" s="14">
        <v>9.3507254496216774E-3</v>
      </c>
      <c r="M12"/>
      <c r="N12"/>
      <c r="O12"/>
      <c r="P12"/>
      <c r="Q12" s="212">
        <v>3.1701192855834961</v>
      </c>
      <c r="R12"/>
      <c r="S12"/>
      <c r="T12"/>
      <c r="U12"/>
      <c r="V12"/>
      <c r="W12"/>
      <c r="X12"/>
      <c r="Y12" s="13">
        <v>0.17253029346466064</v>
      </c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1.1959999799728394</v>
      </c>
      <c r="C13">
        <v>0.10104440897703171</v>
      </c>
      <c r="D13" s="11">
        <v>1.363512419629842E-4</v>
      </c>
      <c r="E13" s="11">
        <v>1.6362150199711323E-4</v>
      </c>
      <c r="F13"/>
      <c r="G13"/>
      <c r="H13"/>
      <c r="I13"/>
      <c r="J13" s="15">
        <v>1.2299295514822006E-2</v>
      </c>
      <c r="K13" s="22">
        <v>7.0321992971003056E-3</v>
      </c>
      <c r="L13"/>
      <c r="M13" s="214">
        <v>0.205195352435112</v>
      </c>
      <c r="N13" s="12">
        <v>5.487772636115551E-3</v>
      </c>
      <c r="O13"/>
      <c r="P13"/>
      <c r="Q13" s="215">
        <v>9.9417440593242645E-2</v>
      </c>
      <c r="R13"/>
      <c r="S13" s="232">
        <v>0.76522350311279297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0.69900000095367432</v>
      </c>
      <c r="C14">
        <v>5.9386696666479111E-2</v>
      </c>
      <c r="D14"/>
      <c r="E14"/>
      <c r="F14"/>
      <c r="G14" s="195">
        <v>6.2355663627386093E-2</v>
      </c>
      <c r="H14" s="209">
        <v>0.33442264795303345</v>
      </c>
      <c r="I14"/>
      <c r="J14"/>
      <c r="K14"/>
      <c r="L14"/>
      <c r="M14"/>
      <c r="N14" s="15">
        <v>7.0894015952944756E-3</v>
      </c>
      <c r="O14"/>
      <c r="P14"/>
      <c r="Q14" s="208">
        <v>0.23574559390544891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1.0010000467300415</v>
      </c>
      <c r="C15">
        <v>7.0100367069244385E-2</v>
      </c>
      <c r="D15"/>
      <c r="E15"/>
      <c r="F15"/>
      <c r="G15"/>
      <c r="H15"/>
      <c r="I15"/>
      <c r="J15"/>
      <c r="K15"/>
      <c r="L15"/>
      <c r="M15"/>
      <c r="N15"/>
      <c r="O15"/>
      <c r="P15" s="226">
        <v>0.91049468517303467</v>
      </c>
      <c r="Q15"/>
      <c r="R15"/>
      <c r="S15"/>
      <c r="T15"/>
      <c r="U15" s="20">
        <v>2.040499821305275E-2</v>
      </c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0.49500000476837158</v>
      </c>
      <c r="C16">
        <v>0.45354017615318298</v>
      </c>
      <c r="D16"/>
      <c r="E16"/>
      <c r="F16"/>
      <c r="G16"/>
      <c r="H16" s="16">
        <v>7.9158702865242958E-3</v>
      </c>
      <c r="I16"/>
      <c r="J16"/>
      <c r="K16" s="14">
        <v>7.5640779687091708E-4</v>
      </c>
      <c r="L16"/>
      <c r="M16"/>
      <c r="N16" s="18">
        <v>6.1529586091637611E-3</v>
      </c>
      <c r="O16"/>
      <c r="P16" s="19">
        <v>9.0969465672969818E-3</v>
      </c>
      <c r="Q16" s="24">
        <v>1.7537644132971764E-2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0.92000001668930054</v>
      </c>
      <c r="C17">
        <v>4.6017996966838837E-2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 s="207">
        <v>0.66260707378387451</v>
      </c>
      <c r="V17"/>
      <c r="W17" s="205">
        <v>0.12189000099897385</v>
      </c>
      <c r="X17"/>
      <c r="Y17" s="203">
        <v>8.9484989643096924E-2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2.0920000076293945</v>
      </c>
      <c r="C18">
        <v>0.48252904415130615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 s="198">
        <v>0.31178605556488037</v>
      </c>
      <c r="T18"/>
      <c r="U18"/>
      <c r="V18"/>
      <c r="W18" s="201">
        <v>0.90086531639099121</v>
      </c>
      <c r="X18"/>
      <c r="Y18" s="199">
        <v>0.39681971073150635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3.5999999046325684</v>
      </c>
      <c r="C19">
        <v>0.18027319014072418</v>
      </c>
      <c r="D19"/>
      <c r="E19"/>
      <c r="F19"/>
      <c r="G19"/>
      <c r="H19"/>
      <c r="I19"/>
      <c r="J19"/>
      <c r="K19"/>
      <c r="L19"/>
      <c r="M19"/>
      <c r="N19"/>
      <c r="O19"/>
      <c r="P19"/>
      <c r="Q19" s="218">
        <v>0.68874454498291016</v>
      </c>
      <c r="R19"/>
      <c r="S19" s="237">
        <v>2.7309823036193848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2.6070001125335693</v>
      </c>
      <c r="C20">
        <v>0.61824464797973633</v>
      </c>
      <c r="D20"/>
      <c r="E20"/>
      <c r="F20"/>
      <c r="G20"/>
      <c r="H20" s="211">
        <v>0.1463838517665863</v>
      </c>
      <c r="I20"/>
      <c r="J20" s="217">
        <v>0.47221603989601135</v>
      </c>
      <c r="K20" s="11">
        <v>2.4978278088383377E-4</v>
      </c>
      <c r="L20"/>
      <c r="M20" s="127">
        <v>0.92969006299972534</v>
      </c>
      <c r="N20" s="11">
        <v>1.083650509826839E-3</v>
      </c>
      <c r="O20"/>
      <c r="P20" s="12">
        <v>1.2016060762107372E-2</v>
      </c>
      <c r="Q20" s="216">
        <v>0.28956609964370728</v>
      </c>
      <c r="R20"/>
      <c r="S20"/>
      <c r="T20"/>
      <c r="U20"/>
      <c r="V20"/>
      <c r="W20"/>
      <c r="X20"/>
      <c r="Y20"/>
      <c r="Z20" s="210">
        <v>0.1375499963760376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16.420000076293945</v>
      </c>
      <c r="C21">
        <v>0.82125270366668701</v>
      </c>
      <c r="D21"/>
      <c r="E21"/>
      <c r="F21"/>
      <c r="G21"/>
      <c r="H21"/>
      <c r="I21"/>
      <c r="J21"/>
      <c r="K21"/>
      <c r="L21"/>
      <c r="M21"/>
      <c r="N21"/>
      <c r="O21" s="93">
        <v>9.7112312316894531</v>
      </c>
      <c r="P21" s="19">
        <v>0.28594085574150085</v>
      </c>
      <c r="Q21"/>
      <c r="R21" s="18">
        <v>0.18632815778255463</v>
      </c>
      <c r="S21" s="16">
        <v>0.26519027352333069</v>
      </c>
      <c r="T21"/>
      <c r="U21"/>
      <c r="V21"/>
      <c r="W21"/>
      <c r="X21" s="11">
        <v>3.4236419014632702E-3</v>
      </c>
      <c r="Y21" s="230">
        <v>1.1250526905059814</v>
      </c>
      <c r="Z21"/>
      <c r="AA21"/>
      <c r="AB21"/>
      <c r="AC21" s="12">
        <v>6.2472838908433914E-2</v>
      </c>
      <c r="AD21"/>
      <c r="AE21" s="244">
        <v>3.9591083526611328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2.5360000133514404</v>
      </c>
      <c r="C22">
        <v>0.182547926902771</v>
      </c>
      <c r="D22"/>
      <c r="E22"/>
      <c r="F22"/>
      <c r="G22"/>
      <c r="H22"/>
      <c r="I22"/>
      <c r="J22"/>
      <c r="K22"/>
      <c r="L22"/>
      <c r="M22"/>
      <c r="N22"/>
      <c r="O22"/>
      <c r="P22"/>
      <c r="Q22" s="228">
        <v>1.1467489004135132</v>
      </c>
      <c r="R22"/>
      <c r="S22" s="224">
        <v>0.94570845365524292</v>
      </c>
      <c r="T22"/>
      <c r="U22" s="202">
        <v>0.12378475069999695</v>
      </c>
      <c r="V22"/>
      <c r="W22" s="12">
        <v>1.2144451960921288E-2</v>
      </c>
      <c r="X22"/>
      <c r="Y22"/>
      <c r="Z22" s="202">
        <v>0.12506552040576935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0.13899999856948853</v>
      </c>
      <c r="C23">
        <v>7.8475438058376312E-2</v>
      </c>
      <c r="D23"/>
      <c r="E23"/>
      <c r="F23"/>
      <c r="G23"/>
      <c r="H23" s="200">
        <v>6.0524560511112213E-2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2.244999885559082</v>
      </c>
      <c r="C24">
        <v>0.12053608894348145</v>
      </c>
      <c r="D24"/>
      <c r="E24"/>
      <c r="F24"/>
      <c r="G24"/>
      <c r="H24"/>
      <c r="I24"/>
      <c r="J24"/>
      <c r="K24"/>
      <c r="L24"/>
      <c r="M24"/>
      <c r="N24" s="14">
        <v>4.6496684662997723E-3</v>
      </c>
      <c r="O24"/>
      <c r="P24" s="216">
        <v>0.25206062197685242</v>
      </c>
      <c r="Q24" s="218">
        <v>0.43071752786636353</v>
      </c>
      <c r="R24"/>
      <c r="S24" s="223">
        <v>0.24085260927677155</v>
      </c>
      <c r="T24" s="225">
        <v>0.25577825307846069</v>
      </c>
      <c r="U24" s="238">
        <v>0.58081001043319702</v>
      </c>
      <c r="V24"/>
      <c r="W24"/>
      <c r="X24"/>
      <c r="Y24" s="14">
        <v>3.6063590086996555E-3</v>
      </c>
      <c r="Z24" s="229">
        <v>0.35598883032798767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1.4880000352859497</v>
      </c>
      <c r="C25">
        <v>7.4435673654079437E-2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 s="20">
        <v>2.9421042650938034E-2</v>
      </c>
      <c r="R25"/>
      <c r="S25" s="15">
        <v>1.3479522429406643E-2</v>
      </c>
      <c r="T25"/>
      <c r="U25" s="14">
        <v>3.1758274417370558E-3</v>
      </c>
      <c r="V25" s="245">
        <v>0.62097334861755371</v>
      </c>
      <c r="W25" s="15">
        <v>1.3631565496325493E-2</v>
      </c>
      <c r="X25"/>
      <c r="Y25" s="231">
        <v>0.17155802249908447</v>
      </c>
      <c r="Z25" s="11">
        <v>8.9130201376974583E-4</v>
      </c>
      <c r="AA25"/>
      <c r="AB25"/>
      <c r="AC25"/>
      <c r="AD25" s="242">
        <v>0.56043368577957153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2.8110001087188721</v>
      </c>
      <c r="C26">
        <v>1.0682765245437622</v>
      </c>
      <c r="D26"/>
      <c r="E26"/>
      <c r="F26"/>
      <c r="G26"/>
      <c r="H26"/>
      <c r="I26"/>
      <c r="J26"/>
      <c r="K26" s="21">
        <v>2.4616554379463196E-2</v>
      </c>
      <c r="L26" s="15">
        <v>2.5252446532249451E-2</v>
      </c>
      <c r="M26" s="219">
        <v>1.6361193656921387</v>
      </c>
      <c r="N26" s="20">
        <v>5.6735258549451828E-2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0.99400001764297485</v>
      </c>
      <c r="C27">
        <v>0.34483435750007629</v>
      </c>
      <c r="D27" s="14">
        <v>1.4142049476504326E-3</v>
      </c>
      <c r="E27"/>
      <c r="F27"/>
      <c r="G27"/>
      <c r="H27"/>
      <c r="I27"/>
      <c r="J27"/>
      <c r="K27" s="15">
        <v>9.685322642326355E-3</v>
      </c>
      <c r="L27"/>
      <c r="M27" s="236">
        <v>0.45980507135391235</v>
      </c>
      <c r="N27" s="19">
        <v>1.6614470630884171E-2</v>
      </c>
      <c r="O27"/>
      <c r="P27" s="213">
        <v>0.16164660453796387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2.0799999237060547</v>
      </c>
      <c r="C28">
        <v>1.2927155494689941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s="13">
        <v>7.6878756284713745E-2</v>
      </c>
      <c r="T28" s="14">
        <v>4.2837341316044331E-3</v>
      </c>
      <c r="U28" s="22">
        <v>1.2075287289917469E-2</v>
      </c>
      <c r="V28"/>
      <c r="W28"/>
      <c r="X28"/>
      <c r="Y28"/>
      <c r="Z28" s="213">
        <v>0.33889517188072205</v>
      </c>
      <c r="AA28"/>
      <c r="AB28"/>
      <c r="AC28"/>
      <c r="AD28" s="214">
        <v>0.35515141487121582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23.684000015258789</v>
      </c>
      <c r="C29">
        <v>1.1843795776367188</v>
      </c>
      <c r="D29"/>
      <c r="E29"/>
      <c r="F29"/>
      <c r="G29"/>
      <c r="H29"/>
      <c r="I29"/>
      <c r="J29"/>
      <c r="K29"/>
      <c r="L29"/>
      <c r="M29"/>
      <c r="N29"/>
      <c r="O29" s="248">
        <v>7.6728239059448242</v>
      </c>
      <c r="P29"/>
      <c r="Q29"/>
      <c r="R29" s="22">
        <v>0.14721749722957611</v>
      </c>
      <c r="S29" s="11">
        <v>1.3968420214951038E-2</v>
      </c>
      <c r="T29"/>
      <c r="U29"/>
      <c r="V29"/>
      <c r="W29"/>
      <c r="X29" s="11">
        <v>5.635442677885294E-3</v>
      </c>
      <c r="Y29" s="13">
        <v>0.88890182971954346</v>
      </c>
      <c r="Z29" s="14">
        <v>3.2327022403478622E-2</v>
      </c>
      <c r="AA29" s="249">
        <v>9.0466213226318359</v>
      </c>
      <c r="AB29"/>
      <c r="AC29"/>
      <c r="AD29"/>
      <c r="AE29" s="246">
        <v>4.6921253204345703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0.12200000137090683</v>
      </c>
      <c r="C30">
        <v>1.0724074207246304E-2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122">
        <v>6.248217448592186E-2</v>
      </c>
      <c r="T30"/>
      <c r="U30" s="202">
        <v>5.8884168975055218E-3</v>
      </c>
      <c r="V30"/>
      <c r="W30"/>
      <c r="X30"/>
      <c r="Y30" s="17">
        <v>1.5904596075415611E-3</v>
      </c>
      <c r="Z30" s="121">
        <v>4.1314877569675446E-2</v>
      </c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15.687000274658203</v>
      </c>
      <c r="C31">
        <v>1.1403611898422241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 s="14">
        <v>4.088815301656723E-2</v>
      </c>
      <c r="U31" s="21">
        <v>0.1152583584189415</v>
      </c>
      <c r="V31" s="233">
        <v>0.3756101131439209</v>
      </c>
      <c r="W31"/>
      <c r="X31"/>
      <c r="Y31" s="20">
        <v>0.30508622527122498</v>
      </c>
      <c r="Z31" s="240">
        <v>0.61460202932357788</v>
      </c>
      <c r="AA31"/>
      <c r="AB31" s="247">
        <v>2.4284753799438477</v>
      </c>
      <c r="AC31" s="22">
        <v>9.7958602011203766E-2</v>
      </c>
      <c r="AD31" s="250">
        <v>3.2882153987884521</v>
      </c>
      <c r="AE31"/>
      <c r="AF31" s="12">
        <v>7.111772894859314E-2</v>
      </c>
      <c r="AG31" s="251">
        <v>7.2094264030456543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146.27400207519531</v>
      </c>
      <c r="C32">
        <v>11.854440689086914</v>
      </c>
      <c r="D32"/>
      <c r="E32"/>
      <c r="F32"/>
      <c r="G32"/>
      <c r="H32"/>
      <c r="I32"/>
      <c r="J32"/>
      <c r="K32"/>
      <c r="L32"/>
      <c r="M32"/>
      <c r="N32"/>
      <c r="O32" s="239">
        <v>24.42259407043457</v>
      </c>
      <c r="P32"/>
      <c r="Q32"/>
      <c r="R32" s="18">
        <v>1.8074309825897217</v>
      </c>
      <c r="S32"/>
      <c r="T32"/>
      <c r="U32"/>
      <c r="V32"/>
      <c r="W32"/>
      <c r="X32" s="11">
        <v>7.4261702597141266E-2</v>
      </c>
      <c r="Y32"/>
      <c r="Z32"/>
      <c r="AA32" s="241">
        <v>36.282188415527344</v>
      </c>
      <c r="AB32"/>
      <c r="AC32"/>
      <c r="AD32"/>
      <c r="AE32" s="218">
        <v>28.003185272216797</v>
      </c>
      <c r="AF32"/>
      <c r="AG32"/>
      <c r="AH32"/>
      <c r="AI32" s="243">
        <v>43.829898834228516</v>
      </c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280</v>
      </c>
      <c r="C33">
        <v>14.000003814697266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25">
        <v>8.3115949630737305</v>
      </c>
      <c r="W33" s="11">
        <v>0.1172928661108017</v>
      </c>
      <c r="X33"/>
      <c r="Y33"/>
      <c r="Z33"/>
      <c r="AA33"/>
      <c r="AB33"/>
      <c r="AC33"/>
      <c r="AD33"/>
      <c r="AE33" s="252">
        <v>257.57110595703125</v>
      </c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0.84194457530975342</v>
      </c>
      <c r="D34"/>
      <c r="E34"/>
      <c r="F34"/>
      <c r="G34"/>
      <c r="H34"/>
      <c r="I34"/>
      <c r="J34"/>
      <c r="K34"/>
      <c r="L34"/>
      <c r="M34"/>
      <c r="N34"/>
      <c r="O34"/>
      <c r="P34" s="9">
        <v>22.692329406738281</v>
      </c>
      <c r="Q34" s="9">
        <v>51.038921356201172</v>
      </c>
      <c r="R34"/>
      <c r="S34" s="9">
        <v>85.117591857910156</v>
      </c>
      <c r="T34" s="9">
        <v>11.226382255554199</v>
      </c>
      <c r="U34" s="9">
        <v>36.846534729003906</v>
      </c>
      <c r="V34" s="9">
        <v>19.151107788085938</v>
      </c>
      <c r="W34" s="9">
        <v>2.2701804637908936</v>
      </c>
      <c r="X34" s="9">
        <v>0.2415119856595993</v>
      </c>
      <c r="Y34" s="9">
        <v>142.85508728027344</v>
      </c>
      <c r="Z34" s="9">
        <v>45.149314880371094</v>
      </c>
      <c r="AA34" s="9">
        <v>659.0919189453125</v>
      </c>
      <c r="AB34" s="9">
        <v>61.909931182861328</v>
      </c>
      <c r="AC34"/>
      <c r="AD34" s="9">
        <v>186.66758728027344</v>
      </c>
      <c r="AE34" s="9">
        <v>52.365955352783203</v>
      </c>
      <c r="AF34" s="9">
        <v>43.512672424316406</v>
      </c>
      <c r="AG34" s="9">
        <v>137.84423828125</v>
      </c>
      <c r="AH34" s="9">
        <v>121.35520935058594</v>
      </c>
      <c r="AI34" s="9">
        <v>81.9619140625</v>
      </c>
      <c r="AJ34" s="9">
        <v>50.029739379882812</v>
      </c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/>
      <c r="C35">
        <v>0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6" workbookViewId="0">
      <selection activeCell="E1" sqref="E1:G1048576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6.33203125" bestFit="1" customWidth="1"/>
    <col min="5" max="7" width="8.83203125" customWidth="1"/>
    <col min="8" max="8" width="26.3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7" t="s">
        <v>166</v>
      </c>
    </row>
    <row r="2" spans="1:12" x14ac:dyDescent="0.15">
      <c r="A2" s="1" t="s">
        <v>37</v>
      </c>
      <c r="B2" s="34">
        <v>3</v>
      </c>
      <c r="C2" s="32"/>
      <c r="D2" t="s">
        <v>38</v>
      </c>
      <c r="E2">
        <v>1</v>
      </c>
      <c r="F2">
        <v>1</v>
      </c>
      <c r="G2">
        <v>1</v>
      </c>
      <c r="H2" t="s">
        <v>38</v>
      </c>
      <c r="J2" s="50"/>
      <c r="K2" s="51"/>
      <c r="L2" s="57" t="s">
        <v>167</v>
      </c>
    </row>
    <row r="3" spans="1:12" ht="14" thickBot="1" x14ac:dyDescent="0.2">
      <c r="A3" s="1" t="s">
        <v>39</v>
      </c>
      <c r="B3" s="35">
        <v>0</v>
      </c>
      <c r="C3" s="3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2"/>
      <c r="K3" s="5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2"/>
      <c r="K4" s="53"/>
    </row>
    <row r="5" spans="1:12" x14ac:dyDescent="0.15">
      <c r="D5" s="178" t="s">
        <v>192</v>
      </c>
      <c r="E5">
        <v>4</v>
      </c>
      <c r="F5">
        <v>3.14</v>
      </c>
      <c r="G5">
        <v>4</v>
      </c>
      <c r="H5" s="179" t="s">
        <v>192</v>
      </c>
      <c r="J5" s="52"/>
      <c r="K5" s="53"/>
    </row>
    <row r="6" spans="1:12" ht="14" thickBot="1" x14ac:dyDescent="0.2">
      <c r="A6" s="36" t="s">
        <v>121</v>
      </c>
      <c r="D6" s="178" t="s">
        <v>193</v>
      </c>
      <c r="E6">
        <v>5</v>
      </c>
      <c r="F6">
        <v>3.16</v>
      </c>
      <c r="G6">
        <v>5</v>
      </c>
      <c r="H6" s="179" t="s">
        <v>193</v>
      </c>
      <c r="J6" s="52"/>
      <c r="K6" s="53"/>
    </row>
    <row r="7" spans="1:12" x14ac:dyDescent="0.15">
      <c r="A7" s="31" t="s">
        <v>126</v>
      </c>
      <c r="B7" s="38">
        <v>1</v>
      </c>
      <c r="C7" s="33"/>
      <c r="D7" s="178" t="s">
        <v>194</v>
      </c>
      <c r="E7">
        <v>6</v>
      </c>
      <c r="F7">
        <v>3.14</v>
      </c>
      <c r="G7">
        <v>6</v>
      </c>
      <c r="H7" s="179" t="s">
        <v>194</v>
      </c>
      <c r="J7" s="52"/>
      <c r="K7" s="53"/>
    </row>
    <row r="8" spans="1:12" x14ac:dyDescent="0.15">
      <c r="A8" s="31" t="s">
        <v>38</v>
      </c>
      <c r="B8" s="39">
        <v>1</v>
      </c>
      <c r="C8" s="33"/>
      <c r="D8" s="178" t="s">
        <v>195</v>
      </c>
      <c r="E8">
        <v>7</v>
      </c>
      <c r="F8">
        <v>3.16</v>
      </c>
      <c r="G8">
        <v>7</v>
      </c>
      <c r="H8" s="179" t="s">
        <v>195</v>
      </c>
      <c r="J8" s="52"/>
      <c r="K8" s="53"/>
    </row>
    <row r="9" spans="1:12" x14ac:dyDescent="0.15">
      <c r="A9" s="31" t="s">
        <v>40</v>
      </c>
      <c r="B9" s="39">
        <v>1.1000000000000001</v>
      </c>
      <c r="C9" s="33"/>
      <c r="D9" s="178" t="s">
        <v>196</v>
      </c>
      <c r="E9">
        <v>8</v>
      </c>
      <c r="F9">
        <v>3.16</v>
      </c>
      <c r="G9">
        <v>8</v>
      </c>
      <c r="H9" s="179" t="s">
        <v>196</v>
      </c>
      <c r="J9" s="52"/>
      <c r="K9" s="53"/>
    </row>
    <row r="10" spans="1:12" x14ac:dyDescent="0.15">
      <c r="A10" s="31" t="s">
        <v>41</v>
      </c>
      <c r="B10" s="39">
        <v>1.2</v>
      </c>
      <c r="C10" s="33"/>
      <c r="D10" s="178" t="s">
        <v>197</v>
      </c>
      <c r="E10">
        <v>9</v>
      </c>
      <c r="F10">
        <v>3.14</v>
      </c>
      <c r="G10">
        <v>9</v>
      </c>
      <c r="H10" s="179" t="s">
        <v>197</v>
      </c>
      <c r="J10" s="52"/>
      <c r="K10" s="53"/>
    </row>
    <row r="11" spans="1:12" ht="12" customHeight="1" x14ac:dyDescent="0.15">
      <c r="A11" s="37" t="s">
        <v>127</v>
      </c>
      <c r="B11" s="39">
        <v>2</v>
      </c>
      <c r="C11" s="33"/>
      <c r="D11" s="178" t="s">
        <v>198</v>
      </c>
      <c r="E11">
        <v>10</v>
      </c>
      <c r="F11">
        <v>3.24</v>
      </c>
      <c r="G11">
        <v>10</v>
      </c>
      <c r="H11" s="179" t="s">
        <v>198</v>
      </c>
      <c r="J11" s="52"/>
      <c r="K11" s="53"/>
    </row>
    <row r="12" spans="1:12" x14ac:dyDescent="0.15">
      <c r="A12" s="31" t="s">
        <v>42</v>
      </c>
      <c r="B12" s="39">
        <v>2.1</v>
      </c>
      <c r="C12" s="33"/>
      <c r="D12" s="178" t="s">
        <v>199</v>
      </c>
      <c r="E12">
        <v>11</v>
      </c>
      <c r="F12">
        <v>3.24</v>
      </c>
      <c r="G12">
        <v>11</v>
      </c>
      <c r="H12" s="179" t="s">
        <v>199</v>
      </c>
      <c r="J12" s="52"/>
      <c r="K12" s="53"/>
    </row>
    <row r="13" spans="1:12" x14ac:dyDescent="0.15">
      <c r="A13" s="31" t="s">
        <v>43</v>
      </c>
      <c r="B13" s="39">
        <v>2.2000000000000002</v>
      </c>
      <c r="C13" s="33"/>
      <c r="D13" s="178" t="s">
        <v>200</v>
      </c>
      <c r="E13">
        <v>12</v>
      </c>
      <c r="F13">
        <v>3.24</v>
      </c>
      <c r="G13">
        <v>12</v>
      </c>
      <c r="H13" s="179" t="s">
        <v>200</v>
      </c>
      <c r="J13" s="52"/>
      <c r="K13" s="53"/>
    </row>
    <row r="14" spans="1:12" x14ac:dyDescent="0.15">
      <c r="A14" s="31" t="s">
        <v>67</v>
      </c>
      <c r="B14" s="39">
        <v>2.2999999999999998</v>
      </c>
      <c r="C14" s="33"/>
      <c r="D14" s="178" t="s">
        <v>201</v>
      </c>
      <c r="E14">
        <v>13</v>
      </c>
      <c r="F14">
        <v>3.24</v>
      </c>
      <c r="G14">
        <v>13</v>
      </c>
      <c r="H14" s="179" t="s">
        <v>201</v>
      </c>
      <c r="J14" s="52"/>
      <c r="K14" s="53"/>
    </row>
    <row r="15" spans="1:12" x14ac:dyDescent="0.15">
      <c r="A15" s="37" t="s">
        <v>128</v>
      </c>
      <c r="B15" s="39">
        <v>3</v>
      </c>
      <c r="C15" s="33"/>
      <c r="D15" s="178" t="s">
        <v>202</v>
      </c>
      <c r="E15">
        <v>14</v>
      </c>
      <c r="F15">
        <v>3.24</v>
      </c>
      <c r="G15">
        <v>14</v>
      </c>
      <c r="H15" s="179" t="s">
        <v>202</v>
      </c>
      <c r="J15" s="52"/>
      <c r="K15" s="53"/>
    </row>
    <row r="16" spans="1:12" x14ac:dyDescent="0.15">
      <c r="A16" s="31" t="s">
        <v>62</v>
      </c>
      <c r="B16" s="39">
        <v>3.11</v>
      </c>
      <c r="C16" s="33"/>
      <c r="D16" s="178" t="s">
        <v>203</v>
      </c>
      <c r="E16">
        <v>15</v>
      </c>
      <c r="F16">
        <v>3.24</v>
      </c>
      <c r="G16">
        <v>15</v>
      </c>
      <c r="H16" s="179" t="s">
        <v>203</v>
      </c>
      <c r="J16" s="52"/>
      <c r="K16" s="53"/>
    </row>
    <row r="17" spans="1:12" x14ac:dyDescent="0.15">
      <c r="A17" s="31" t="s">
        <v>61</v>
      </c>
      <c r="B17" s="39">
        <v>3.12</v>
      </c>
      <c r="C17" s="33"/>
      <c r="D17" s="178" t="s">
        <v>204</v>
      </c>
      <c r="E17">
        <v>16</v>
      </c>
      <c r="F17">
        <v>3.21</v>
      </c>
      <c r="G17">
        <v>16</v>
      </c>
      <c r="H17" s="179" t="s">
        <v>204</v>
      </c>
      <c r="J17" s="52"/>
      <c r="K17" s="53"/>
    </row>
    <row r="18" spans="1:12" x14ac:dyDescent="0.15">
      <c r="A18" s="31" t="s">
        <v>68</v>
      </c>
      <c r="B18" s="39">
        <v>3.13</v>
      </c>
      <c r="C18" s="33"/>
      <c r="D18" s="178" t="s">
        <v>205</v>
      </c>
      <c r="E18">
        <v>17</v>
      </c>
      <c r="F18">
        <v>3.02</v>
      </c>
      <c r="G18">
        <v>17</v>
      </c>
      <c r="H18" s="179" t="s">
        <v>205</v>
      </c>
      <c r="J18" s="52"/>
      <c r="K18" s="53"/>
    </row>
    <row r="19" spans="1:12" x14ac:dyDescent="0.15">
      <c r="A19" s="31" t="s">
        <v>66</v>
      </c>
      <c r="B19" s="39">
        <v>3.21</v>
      </c>
      <c r="C19" s="33"/>
      <c r="D19" s="178" t="s">
        <v>206</v>
      </c>
      <c r="E19">
        <v>18</v>
      </c>
      <c r="F19">
        <v>3.24</v>
      </c>
      <c r="G19">
        <v>18</v>
      </c>
      <c r="H19" s="179" t="s">
        <v>206</v>
      </c>
      <c r="J19" s="52"/>
      <c r="K19" s="53"/>
    </row>
    <row r="20" spans="1:12" x14ac:dyDescent="0.15">
      <c r="A20" s="31" t="s">
        <v>63</v>
      </c>
      <c r="B20" s="39">
        <v>3.22</v>
      </c>
      <c r="C20" s="33"/>
      <c r="D20" s="178" t="s">
        <v>207</v>
      </c>
      <c r="E20">
        <v>19</v>
      </c>
      <c r="F20">
        <v>3.21</v>
      </c>
      <c r="G20">
        <v>19</v>
      </c>
      <c r="H20" s="179" t="s">
        <v>207</v>
      </c>
      <c r="J20" s="52"/>
      <c r="K20" s="53"/>
    </row>
    <row r="21" spans="1:12" ht="14" thickBot="1" x14ac:dyDescent="0.2">
      <c r="A21" s="31" t="s">
        <v>69</v>
      </c>
      <c r="B21" s="39">
        <v>3.23</v>
      </c>
      <c r="C21" s="33"/>
      <c r="D21" s="178" t="s">
        <v>208</v>
      </c>
      <c r="E21">
        <v>20</v>
      </c>
      <c r="F21">
        <v>3.21</v>
      </c>
      <c r="G21">
        <v>20</v>
      </c>
      <c r="H21" s="179" t="s">
        <v>208</v>
      </c>
      <c r="J21" s="54"/>
      <c r="K21" s="55"/>
      <c r="L21" s="57" t="s">
        <v>152</v>
      </c>
    </row>
    <row r="22" spans="1:12" x14ac:dyDescent="0.15">
      <c r="A22" s="31" t="s">
        <v>64</v>
      </c>
      <c r="B22" s="39">
        <v>8</v>
      </c>
      <c r="C22" s="33"/>
      <c r="D22" s="178" t="s">
        <v>209</v>
      </c>
      <c r="E22">
        <v>21</v>
      </c>
      <c r="F22">
        <v>3.21</v>
      </c>
      <c r="G22">
        <v>21</v>
      </c>
      <c r="H22" s="179" t="s">
        <v>209</v>
      </c>
    </row>
    <row r="23" spans="1:12" x14ac:dyDescent="0.15">
      <c r="A23" s="31" t="s">
        <v>129</v>
      </c>
      <c r="B23" s="39">
        <v>4</v>
      </c>
      <c r="C23" s="33"/>
      <c r="D23" s="178" t="s">
        <v>210</v>
      </c>
      <c r="E23">
        <v>22</v>
      </c>
      <c r="F23">
        <v>3.24</v>
      </c>
      <c r="G23">
        <v>22</v>
      </c>
      <c r="H23" s="179" t="s">
        <v>210</v>
      </c>
    </row>
    <row r="24" spans="1:12" x14ac:dyDescent="0.15">
      <c r="A24" s="31" t="s">
        <v>122</v>
      </c>
      <c r="B24" s="39">
        <v>4.0999999999999996</v>
      </c>
      <c r="C24" s="33"/>
      <c r="D24" s="178" t="s">
        <v>211</v>
      </c>
      <c r="E24">
        <v>23</v>
      </c>
      <c r="F24">
        <v>3.11</v>
      </c>
      <c r="G24">
        <v>23</v>
      </c>
      <c r="H24" s="179" t="s">
        <v>211</v>
      </c>
    </row>
    <row r="25" spans="1:12" x14ac:dyDescent="0.15">
      <c r="A25" s="31" t="s">
        <v>70</v>
      </c>
      <c r="B25" s="39">
        <v>4.2</v>
      </c>
      <c r="C25" s="33"/>
      <c r="D25" s="178" t="s">
        <v>212</v>
      </c>
      <c r="E25">
        <v>24</v>
      </c>
      <c r="F25">
        <v>3.21</v>
      </c>
      <c r="G25">
        <v>24</v>
      </c>
      <c r="H25" s="179" t="s">
        <v>212</v>
      </c>
    </row>
    <row r="26" spans="1:12" x14ac:dyDescent="0.15">
      <c r="A26" s="31" t="s">
        <v>123</v>
      </c>
      <c r="B26" s="39">
        <v>4.3</v>
      </c>
      <c r="C26" s="33"/>
      <c r="D26" s="178" t="s">
        <v>213</v>
      </c>
      <c r="E26">
        <v>25</v>
      </c>
      <c r="F26">
        <v>3.15</v>
      </c>
      <c r="G26">
        <v>25</v>
      </c>
      <c r="H26" s="179" t="s">
        <v>213</v>
      </c>
    </row>
    <row r="27" spans="1:12" x14ac:dyDescent="0.15">
      <c r="A27" s="31" t="s">
        <v>125</v>
      </c>
      <c r="B27" s="39">
        <v>6.1</v>
      </c>
      <c r="D27" s="178" t="s">
        <v>214</v>
      </c>
      <c r="E27">
        <v>26</v>
      </c>
      <c r="F27">
        <v>3.21</v>
      </c>
      <c r="G27">
        <v>26</v>
      </c>
      <c r="H27" s="179" t="s">
        <v>214</v>
      </c>
    </row>
    <row r="28" spans="1:12" x14ac:dyDescent="0.15">
      <c r="A28" s="31" t="s">
        <v>124</v>
      </c>
      <c r="B28" s="39">
        <v>6.2</v>
      </c>
      <c r="D28" s="178" t="s">
        <v>215</v>
      </c>
      <c r="E28">
        <v>27</v>
      </c>
      <c r="F28">
        <v>3.21</v>
      </c>
      <c r="G28">
        <v>27</v>
      </c>
      <c r="H28" s="179" t="s">
        <v>215</v>
      </c>
    </row>
    <row r="29" spans="1:12" x14ac:dyDescent="0.15">
      <c r="A29" s="31" t="s">
        <v>44</v>
      </c>
      <c r="B29" s="39">
        <v>5</v>
      </c>
      <c r="D29" s="178" t="s">
        <v>216</v>
      </c>
      <c r="E29">
        <v>28</v>
      </c>
      <c r="F29">
        <v>3.14</v>
      </c>
      <c r="G29">
        <v>28</v>
      </c>
      <c r="H29" s="179" t="s">
        <v>216</v>
      </c>
    </row>
    <row r="30" spans="1:12" x14ac:dyDescent="0.15">
      <c r="A30" s="31" t="s">
        <v>73</v>
      </c>
      <c r="B30" s="39">
        <v>7</v>
      </c>
      <c r="D30" s="178" t="s">
        <v>217</v>
      </c>
      <c r="E30">
        <v>29</v>
      </c>
      <c r="F30">
        <v>3.24</v>
      </c>
      <c r="G30">
        <v>29</v>
      </c>
      <c r="H30" s="179" t="s">
        <v>217</v>
      </c>
    </row>
    <row r="31" spans="1:12" x14ac:dyDescent="0.15">
      <c r="A31" s="31" t="s">
        <v>169</v>
      </c>
      <c r="B31" s="39">
        <v>3.14</v>
      </c>
      <c r="D31" s="178" t="s">
        <v>218</v>
      </c>
      <c r="E31">
        <v>30</v>
      </c>
      <c r="F31">
        <v>3.21</v>
      </c>
      <c r="G31">
        <v>30</v>
      </c>
      <c r="H31" s="179" t="s">
        <v>218</v>
      </c>
    </row>
    <row r="32" spans="1:12" ht="12" customHeight="1" thickBot="1" x14ac:dyDescent="0.2">
      <c r="A32" s="37" t="s">
        <v>170</v>
      </c>
      <c r="B32" s="40">
        <v>9</v>
      </c>
      <c r="D32" s="178" t="s">
        <v>219</v>
      </c>
      <c r="E32">
        <v>31</v>
      </c>
      <c r="F32">
        <v>3.11</v>
      </c>
      <c r="G32">
        <v>31</v>
      </c>
      <c r="H32" s="179" t="s">
        <v>219</v>
      </c>
    </row>
    <row r="33" spans="4:8" customFormat="1" ht="12" customHeight="1" x14ac:dyDescent="0.15">
      <c r="D33" s="178" t="s">
        <v>220</v>
      </c>
      <c r="E33">
        <v>32</v>
      </c>
      <c r="F33">
        <v>3.21</v>
      </c>
      <c r="G33">
        <v>32</v>
      </c>
      <c r="H33" s="179" t="s">
        <v>220</v>
      </c>
    </row>
    <row r="34" spans="4:8" customFormat="1" ht="12" customHeight="1" x14ac:dyDescent="0.15">
      <c r="D34" s="178" t="s">
        <v>221</v>
      </c>
      <c r="E34">
        <v>33</v>
      </c>
      <c r="F34">
        <v>2.2200000000000002</v>
      </c>
      <c r="G34">
        <v>33</v>
      </c>
      <c r="H34" s="179" t="s">
        <v>221</v>
      </c>
    </row>
    <row r="35" spans="4:8" customFormat="1" x14ac:dyDescent="0.15">
      <c r="D35" s="178" t="s">
        <v>222</v>
      </c>
      <c r="E35">
        <v>34</v>
      </c>
      <c r="F35">
        <v>2.1</v>
      </c>
      <c r="G35">
        <v>34</v>
      </c>
      <c r="H35" s="179" t="s">
        <v>222</v>
      </c>
    </row>
    <row r="36" spans="4:8" customFormat="1" x14ac:dyDescent="0.15">
      <c r="D36" s="178" t="s">
        <v>223</v>
      </c>
      <c r="E36">
        <v>35</v>
      </c>
      <c r="F36">
        <v>2.21</v>
      </c>
      <c r="G36">
        <v>35</v>
      </c>
      <c r="H36" s="179" t="s">
        <v>223</v>
      </c>
    </row>
    <row r="37" spans="4:8" customFormat="1" ht="12" customHeight="1" x14ac:dyDescent="0.15">
      <c r="D37" s="178" t="s">
        <v>224</v>
      </c>
      <c r="E37">
        <v>36</v>
      </c>
      <c r="F37">
        <v>4.0999999999999996</v>
      </c>
      <c r="G37">
        <v>36</v>
      </c>
      <c r="H37" s="179" t="s">
        <v>224</v>
      </c>
    </row>
    <row r="38" spans="4:8" customFormat="1" x14ac:dyDescent="0.15">
      <c r="D38" s="178" t="s">
        <v>225</v>
      </c>
      <c r="E38">
        <v>37</v>
      </c>
      <c r="F38">
        <v>4.3</v>
      </c>
      <c r="G38">
        <v>37</v>
      </c>
      <c r="H38" s="179" t="s">
        <v>225</v>
      </c>
    </row>
    <row r="39" spans="4:8" customFormat="1" x14ac:dyDescent="0.15">
      <c r="D39" s="178" t="s">
        <v>226</v>
      </c>
      <c r="E39">
        <v>38</v>
      </c>
      <c r="F39">
        <v>5</v>
      </c>
      <c r="G39">
        <v>38</v>
      </c>
      <c r="H39" s="179" t="s">
        <v>226</v>
      </c>
    </row>
    <row r="40" spans="4:8" customFormat="1" x14ac:dyDescent="0.15">
      <c r="D40" s="178" t="s">
        <v>227</v>
      </c>
      <c r="E40">
        <v>39</v>
      </c>
      <c r="F40">
        <v>5</v>
      </c>
      <c r="G40">
        <v>39</v>
      </c>
      <c r="H40" s="179" t="s">
        <v>227</v>
      </c>
    </row>
    <row r="41" spans="4:8" customFormat="1" x14ac:dyDescent="0.15">
      <c r="D41" s="178" t="s">
        <v>228</v>
      </c>
      <c r="E41">
        <v>40</v>
      </c>
      <c r="F41">
        <v>5</v>
      </c>
      <c r="G41">
        <v>40</v>
      </c>
      <c r="H41" s="179" t="s">
        <v>228</v>
      </c>
    </row>
    <row r="42" spans="4:8" customFormat="1" x14ac:dyDescent="0.15">
      <c r="D42" s="178" t="s">
        <v>229</v>
      </c>
      <c r="E42">
        <v>41</v>
      </c>
      <c r="F42">
        <v>5</v>
      </c>
      <c r="G42">
        <v>41</v>
      </c>
      <c r="H42" s="179" t="s">
        <v>229</v>
      </c>
    </row>
    <row r="43" spans="4:8" customFormat="1" x14ac:dyDescent="0.15">
      <c r="D43" s="178" t="s">
        <v>138</v>
      </c>
      <c r="E43">
        <v>42</v>
      </c>
      <c r="F43">
        <v>6.1</v>
      </c>
      <c r="G43">
        <v>42</v>
      </c>
      <c r="H43" s="179" t="s">
        <v>138</v>
      </c>
    </row>
    <row r="44" spans="4:8" customFormat="1" x14ac:dyDescent="0.15">
      <c r="D44" s="178" t="s">
        <v>45</v>
      </c>
      <c r="E44">
        <v>43</v>
      </c>
      <c r="F44">
        <v>6.2</v>
      </c>
      <c r="G44">
        <v>43</v>
      </c>
      <c r="H44" s="179" t="s">
        <v>45</v>
      </c>
    </row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15" activePane="bottomLeft" state="frozen"/>
      <selection pane="bottomLeft" activeCell="B38" sqref="A38:XFD39"/>
    </sheetView>
  </sheetViews>
  <sheetFormatPr baseColWidth="10" defaultColWidth="11.5" defaultRowHeight="15" customHeight="1" x14ac:dyDescent="0.15"/>
  <cols>
    <col min="1" max="1" width="13.1640625" style="68" bestFit="1" customWidth="1"/>
    <col min="2" max="2" width="13.83203125" style="67" customWidth="1"/>
    <col min="3" max="3" width="13.1640625" style="67" customWidth="1"/>
    <col min="4" max="4" width="10.83203125" style="67" customWidth="1"/>
    <col min="5" max="5" width="13.83203125" style="67" customWidth="1"/>
    <col min="6" max="6" width="26.33203125" style="67" bestFit="1" customWidth="1"/>
    <col min="7" max="15" width="15" style="67" customWidth="1"/>
    <col min="16" max="16" width="15" style="60" customWidth="1"/>
    <col min="17" max="17" width="15" style="67" customWidth="1"/>
    <col min="18" max="18" width="15" style="61" customWidth="1"/>
    <col min="19" max="16384" width="11.5" style="67"/>
  </cols>
  <sheetData>
    <row r="1" spans="1:23" ht="15" customHeight="1" thickBot="1" x14ac:dyDescent="0.2">
      <c r="F1" s="1"/>
      <c r="G1" s="59" t="s">
        <v>46</v>
      </c>
      <c r="H1" s="59" t="s">
        <v>47</v>
      </c>
      <c r="I1" s="59" t="s">
        <v>120</v>
      </c>
      <c r="J1" s="59" t="s">
        <v>132</v>
      </c>
      <c r="K1" s="69" t="s">
        <v>48</v>
      </c>
      <c r="L1" s="61"/>
      <c r="M1" s="69" t="s">
        <v>119</v>
      </c>
      <c r="N1" s="61"/>
      <c r="O1" s="69" t="s">
        <v>49</v>
      </c>
      <c r="P1" s="62"/>
      <c r="Q1" s="69" t="s">
        <v>50</v>
      </c>
      <c r="R1" s="59" t="s">
        <v>154</v>
      </c>
    </row>
    <row r="2" spans="1:23" ht="15" customHeight="1" x14ac:dyDescent="0.15">
      <c r="A2" s="69" t="s">
        <v>51</v>
      </c>
      <c r="B2" s="70">
        <v>0.5</v>
      </c>
      <c r="C2" s="68" t="s">
        <v>52</v>
      </c>
      <c r="D2" s="71"/>
      <c r="F2" s="1"/>
      <c r="G2" s="72"/>
      <c r="H2" s="72"/>
      <c r="I2" s="72" t="s">
        <v>133</v>
      </c>
      <c r="J2" s="72" t="s">
        <v>133</v>
      </c>
      <c r="K2" s="72" t="s">
        <v>52</v>
      </c>
      <c r="L2" s="72" t="s">
        <v>53</v>
      </c>
      <c r="M2" s="72" t="s">
        <v>52</v>
      </c>
      <c r="N2" s="72" t="s">
        <v>53</v>
      </c>
      <c r="O2" s="72" t="s">
        <v>52</v>
      </c>
      <c r="P2" s="73" t="s">
        <v>53</v>
      </c>
      <c r="Q2" s="72"/>
      <c r="R2" s="74" t="s">
        <v>155</v>
      </c>
    </row>
    <row r="3" spans="1:23" ht="15" customHeight="1" thickBot="1" x14ac:dyDescent="0.2">
      <c r="A3" s="69" t="s">
        <v>54</v>
      </c>
      <c r="B3" s="75">
        <v>0.5</v>
      </c>
      <c r="C3" s="68" t="s">
        <v>53</v>
      </c>
      <c r="D3" s="7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0">
        <v>0</v>
      </c>
      <c r="R3" s="3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0">
        <v>0</v>
      </c>
      <c r="R4" s="94">
        <v>0</v>
      </c>
    </row>
    <row r="5" spans="1:23" ht="15" customHeight="1" x14ac:dyDescent="0.15">
      <c r="A5" s="69" t="s">
        <v>55</v>
      </c>
      <c r="B5" s="76">
        <v>0.5</v>
      </c>
      <c r="C5" s="68" t="s">
        <v>52</v>
      </c>
      <c r="D5" s="7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0">
        <v>0</v>
      </c>
      <c r="R5" s="94">
        <v>0</v>
      </c>
    </row>
    <row r="6" spans="1:23" ht="15" customHeight="1" thickBot="1" x14ac:dyDescent="0.2">
      <c r="A6" s="69"/>
      <c r="B6" s="77">
        <v>0.5</v>
      </c>
      <c r="C6" s="68" t="s">
        <v>53</v>
      </c>
      <c r="D6" s="71"/>
      <c r="F6" s="180" t="s">
        <v>192</v>
      </c>
      <c r="G6" s="67">
        <v>0</v>
      </c>
      <c r="H6" s="67">
        <v>0</v>
      </c>
      <c r="I6" s="67">
        <v>0</v>
      </c>
      <c r="J6" s="67">
        <v>0</v>
      </c>
      <c r="K6" s="67">
        <v>1</v>
      </c>
      <c r="L6" s="67">
        <v>0</v>
      </c>
      <c r="M6" s="67">
        <v>1</v>
      </c>
      <c r="N6" s="67">
        <v>0</v>
      </c>
      <c r="O6" s="67">
        <v>1</v>
      </c>
      <c r="P6" s="60">
        <v>0</v>
      </c>
      <c r="Q6" s="67">
        <v>0</v>
      </c>
      <c r="R6" s="61">
        <v>1</v>
      </c>
      <c r="S6"/>
      <c r="T6"/>
    </row>
    <row r="7" spans="1:23" ht="15" customHeight="1" thickBot="1" x14ac:dyDescent="0.2">
      <c r="F7" s="180" t="s">
        <v>193</v>
      </c>
      <c r="G7" s="67">
        <v>0</v>
      </c>
      <c r="H7" s="67">
        <v>0</v>
      </c>
      <c r="I7" s="67">
        <v>0</v>
      </c>
      <c r="J7" s="67">
        <v>0</v>
      </c>
      <c r="K7" s="67">
        <v>1</v>
      </c>
      <c r="L7" s="67">
        <v>0</v>
      </c>
      <c r="M7" s="67">
        <v>1</v>
      </c>
      <c r="N7" s="67">
        <v>0</v>
      </c>
      <c r="O7" s="67">
        <v>1</v>
      </c>
      <c r="P7" s="60">
        <v>0</v>
      </c>
      <c r="Q7" s="67">
        <v>0</v>
      </c>
      <c r="R7" s="61">
        <v>1</v>
      </c>
      <c r="S7"/>
      <c r="T7"/>
    </row>
    <row r="8" spans="1:23" ht="15" customHeight="1" x14ac:dyDescent="0.15">
      <c r="A8" s="69" t="s">
        <v>56</v>
      </c>
      <c r="B8" s="76">
        <v>0.35195894787176274</v>
      </c>
      <c r="C8" s="181" t="s">
        <v>221</v>
      </c>
      <c r="D8" s="71" t="s">
        <v>160</v>
      </c>
      <c r="F8" s="180" t="s">
        <v>194</v>
      </c>
      <c r="G8" s="67">
        <v>0</v>
      </c>
      <c r="H8" s="67">
        <v>0</v>
      </c>
      <c r="I8" s="67">
        <v>0</v>
      </c>
      <c r="J8" s="67">
        <v>0</v>
      </c>
      <c r="K8" s="67">
        <v>1</v>
      </c>
      <c r="L8" s="67">
        <v>0</v>
      </c>
      <c r="M8" s="67">
        <v>1</v>
      </c>
      <c r="N8" s="67">
        <v>0</v>
      </c>
      <c r="O8" s="67">
        <v>1</v>
      </c>
      <c r="P8" s="60">
        <v>0</v>
      </c>
      <c r="Q8" s="67">
        <v>0</v>
      </c>
      <c r="R8" s="61">
        <v>1</v>
      </c>
      <c r="S8"/>
      <c r="T8"/>
      <c r="W8"/>
    </row>
    <row r="9" spans="1:23" ht="15" customHeight="1" x14ac:dyDescent="0.15">
      <c r="A9" s="108" t="s">
        <v>168</v>
      </c>
      <c r="B9" s="78">
        <v>8.02440757531514E-2</v>
      </c>
      <c r="C9" s="181" t="s">
        <v>222</v>
      </c>
      <c r="D9" s="71" t="s">
        <v>160</v>
      </c>
      <c r="F9" s="180" t="s">
        <v>195</v>
      </c>
      <c r="G9" s="67">
        <v>0</v>
      </c>
      <c r="H9" s="67">
        <v>0</v>
      </c>
      <c r="I9" s="67">
        <v>0</v>
      </c>
      <c r="J9" s="67">
        <v>0</v>
      </c>
      <c r="K9" s="67">
        <v>1</v>
      </c>
      <c r="L9" s="67">
        <v>0</v>
      </c>
      <c r="M9" s="67">
        <v>1</v>
      </c>
      <c r="N9" s="67">
        <v>0</v>
      </c>
      <c r="O9" s="67">
        <v>1</v>
      </c>
      <c r="P9" s="60">
        <v>0</v>
      </c>
      <c r="Q9" s="67">
        <v>0</v>
      </c>
      <c r="R9" s="61">
        <v>1</v>
      </c>
      <c r="S9"/>
      <c r="T9"/>
      <c r="W9"/>
    </row>
    <row r="10" spans="1:23" ht="15" customHeight="1" x14ac:dyDescent="0.15">
      <c r="B10" s="78">
        <v>0.56779697637508575</v>
      </c>
      <c r="C10" s="181" t="s">
        <v>223</v>
      </c>
      <c r="D10" s="71" t="s">
        <v>160</v>
      </c>
      <c r="F10" s="180" t="s">
        <v>196</v>
      </c>
      <c r="G10" s="67">
        <v>0</v>
      </c>
      <c r="H10" s="67">
        <v>0</v>
      </c>
      <c r="I10" s="67">
        <v>0</v>
      </c>
      <c r="J10" s="67">
        <v>0</v>
      </c>
      <c r="K10" s="67">
        <v>1</v>
      </c>
      <c r="L10" s="67">
        <v>0</v>
      </c>
      <c r="M10" s="67">
        <v>1</v>
      </c>
      <c r="N10" s="67">
        <v>0</v>
      </c>
      <c r="O10" s="67">
        <v>1</v>
      </c>
      <c r="P10" s="60">
        <v>0</v>
      </c>
      <c r="Q10" s="67">
        <v>0</v>
      </c>
      <c r="R10" s="61">
        <v>1</v>
      </c>
      <c r="S10"/>
      <c r="T10"/>
      <c r="W10"/>
    </row>
    <row r="11" spans="1:23" ht="15" customHeight="1" x14ac:dyDescent="0.15">
      <c r="A11" s="69"/>
      <c r="B11" s="78"/>
      <c r="C11" s="81"/>
      <c r="D11" s="71" t="s">
        <v>160</v>
      </c>
      <c r="F11" s="180" t="s">
        <v>197</v>
      </c>
      <c r="G11" s="67">
        <v>0</v>
      </c>
      <c r="H11" s="67">
        <v>0</v>
      </c>
      <c r="I11" s="67">
        <v>0</v>
      </c>
      <c r="J11" s="67">
        <v>0</v>
      </c>
      <c r="K11" s="67">
        <v>1</v>
      </c>
      <c r="L11" s="67">
        <v>0</v>
      </c>
      <c r="M11" s="67">
        <v>1</v>
      </c>
      <c r="N11" s="67">
        <v>0</v>
      </c>
      <c r="O11" s="67">
        <v>1</v>
      </c>
      <c r="P11" s="60">
        <v>0</v>
      </c>
      <c r="Q11" s="67">
        <v>0</v>
      </c>
      <c r="R11" s="61">
        <v>1</v>
      </c>
      <c r="S11"/>
      <c r="T11"/>
      <c r="W11"/>
    </row>
    <row r="12" spans="1:23" ht="15" customHeight="1" x14ac:dyDescent="0.15">
      <c r="B12" s="78"/>
      <c r="C12" s="82"/>
      <c r="D12" s="71" t="s">
        <v>160</v>
      </c>
      <c r="F12" s="180" t="s">
        <v>198</v>
      </c>
      <c r="G12" s="67">
        <v>0</v>
      </c>
      <c r="H12" s="67">
        <v>0</v>
      </c>
      <c r="I12" s="67">
        <v>0</v>
      </c>
      <c r="J12" s="67">
        <v>0</v>
      </c>
      <c r="K12" s="67">
        <v>1</v>
      </c>
      <c r="L12" s="67">
        <v>0</v>
      </c>
      <c r="M12" s="67">
        <v>1</v>
      </c>
      <c r="N12" s="67">
        <v>0</v>
      </c>
      <c r="O12" s="67">
        <v>1</v>
      </c>
      <c r="P12" s="60">
        <v>0</v>
      </c>
      <c r="Q12" s="67">
        <v>0</v>
      </c>
      <c r="R12" s="61">
        <v>1</v>
      </c>
      <c r="S12"/>
      <c r="T12"/>
      <c r="W12"/>
    </row>
    <row r="13" spans="1:23" ht="15" customHeight="1" x14ac:dyDescent="0.15">
      <c r="B13" s="78"/>
      <c r="C13" s="82"/>
      <c r="D13" s="71" t="s">
        <v>160</v>
      </c>
      <c r="F13" s="180" t="s">
        <v>199</v>
      </c>
      <c r="G13" s="67">
        <v>0</v>
      </c>
      <c r="H13" s="67">
        <v>0</v>
      </c>
      <c r="I13" s="67">
        <v>0</v>
      </c>
      <c r="J13" s="67">
        <v>0</v>
      </c>
      <c r="K13" s="67">
        <v>1</v>
      </c>
      <c r="L13" s="67">
        <v>0</v>
      </c>
      <c r="M13" s="67">
        <v>1</v>
      </c>
      <c r="N13" s="67">
        <v>0</v>
      </c>
      <c r="O13" s="67">
        <v>1</v>
      </c>
      <c r="P13" s="60">
        <v>0</v>
      </c>
      <c r="Q13" s="67">
        <v>0</v>
      </c>
      <c r="R13" s="61">
        <v>1</v>
      </c>
      <c r="S13"/>
      <c r="T13"/>
      <c r="W13"/>
    </row>
    <row r="14" spans="1:23" ht="15" customHeight="1" x14ac:dyDescent="0.15">
      <c r="B14" s="78"/>
      <c r="C14" s="66"/>
      <c r="D14" s="71" t="s">
        <v>160</v>
      </c>
      <c r="F14" s="180" t="s">
        <v>200</v>
      </c>
      <c r="G14" s="67">
        <v>0</v>
      </c>
      <c r="H14" s="67">
        <v>0</v>
      </c>
      <c r="I14" s="67">
        <v>0</v>
      </c>
      <c r="J14" s="67">
        <v>0</v>
      </c>
      <c r="K14" s="67">
        <v>1</v>
      </c>
      <c r="L14" s="67">
        <v>0</v>
      </c>
      <c r="M14" s="67">
        <v>1</v>
      </c>
      <c r="N14" s="67">
        <v>0</v>
      </c>
      <c r="O14" s="67">
        <v>1</v>
      </c>
      <c r="P14" s="60">
        <v>0</v>
      </c>
      <c r="Q14" s="67">
        <v>0</v>
      </c>
      <c r="R14" s="61">
        <v>1</v>
      </c>
      <c r="S14"/>
      <c r="T14"/>
      <c r="W14"/>
    </row>
    <row r="15" spans="1:23" ht="15" customHeight="1" x14ac:dyDescent="0.15">
      <c r="B15" s="78"/>
      <c r="C15" s="66"/>
      <c r="D15" s="71" t="s">
        <v>160</v>
      </c>
      <c r="F15" s="180" t="s">
        <v>201</v>
      </c>
      <c r="G15" s="67">
        <v>0</v>
      </c>
      <c r="H15" s="67">
        <v>0</v>
      </c>
      <c r="I15" s="67">
        <v>0</v>
      </c>
      <c r="J15" s="67">
        <v>0</v>
      </c>
      <c r="K15" s="67">
        <v>1</v>
      </c>
      <c r="L15" s="67">
        <v>0</v>
      </c>
      <c r="M15" s="67">
        <v>1</v>
      </c>
      <c r="N15" s="67">
        <v>0</v>
      </c>
      <c r="O15" s="67">
        <v>1</v>
      </c>
      <c r="P15" s="60">
        <v>0</v>
      </c>
      <c r="Q15" s="67">
        <v>0</v>
      </c>
      <c r="R15" s="61">
        <v>1</v>
      </c>
      <c r="S15"/>
      <c r="T15"/>
      <c r="W15"/>
    </row>
    <row r="16" spans="1:23" ht="15" customHeight="1" x14ac:dyDescent="0.15">
      <c r="B16" s="78"/>
      <c r="C16" s="66"/>
      <c r="D16" s="71" t="s">
        <v>160</v>
      </c>
      <c r="F16" s="180" t="s">
        <v>202</v>
      </c>
      <c r="G16" s="67">
        <v>0</v>
      </c>
      <c r="H16" s="67">
        <v>0</v>
      </c>
      <c r="I16" s="67">
        <v>0</v>
      </c>
      <c r="J16" s="67">
        <v>0</v>
      </c>
      <c r="K16" s="67">
        <v>1</v>
      </c>
      <c r="L16" s="67">
        <v>0</v>
      </c>
      <c r="M16" s="67">
        <v>1</v>
      </c>
      <c r="N16" s="67">
        <v>0</v>
      </c>
      <c r="O16" s="67">
        <v>1</v>
      </c>
      <c r="P16" s="60">
        <v>0</v>
      </c>
      <c r="Q16" s="67">
        <v>0</v>
      </c>
      <c r="R16" s="61">
        <v>1</v>
      </c>
      <c r="S16"/>
      <c r="T16"/>
    </row>
    <row r="17" spans="1:20" ht="15" customHeight="1" thickBot="1" x14ac:dyDescent="0.2">
      <c r="B17" s="77"/>
      <c r="C17" s="66"/>
      <c r="D17" s="71" t="s">
        <v>160</v>
      </c>
      <c r="F17" s="180" t="s">
        <v>203</v>
      </c>
      <c r="G17" s="67">
        <v>0</v>
      </c>
      <c r="H17" s="67">
        <v>0</v>
      </c>
      <c r="I17" s="67">
        <v>0</v>
      </c>
      <c r="J17" s="67">
        <v>0</v>
      </c>
      <c r="K17" s="67">
        <v>1</v>
      </c>
      <c r="L17" s="67">
        <v>0</v>
      </c>
      <c r="M17" s="67">
        <v>1</v>
      </c>
      <c r="N17" s="67">
        <v>0</v>
      </c>
      <c r="O17" s="67">
        <v>1</v>
      </c>
      <c r="P17" s="60">
        <v>0</v>
      </c>
      <c r="Q17" s="67">
        <v>0</v>
      </c>
      <c r="R17" s="61">
        <v>1</v>
      </c>
      <c r="S17"/>
      <c r="T17"/>
    </row>
    <row r="18" spans="1:20" ht="15" customHeight="1" thickBot="1" x14ac:dyDescent="0.2">
      <c r="B18" s="79"/>
      <c r="F18" s="180" t="s">
        <v>204</v>
      </c>
      <c r="G18" s="67">
        <v>0</v>
      </c>
      <c r="H18" s="67">
        <v>0</v>
      </c>
      <c r="I18" s="67">
        <v>0</v>
      </c>
      <c r="J18" s="67">
        <v>0</v>
      </c>
      <c r="K18" s="67">
        <v>1</v>
      </c>
      <c r="L18" s="67">
        <v>0</v>
      </c>
      <c r="M18" s="67">
        <v>1</v>
      </c>
      <c r="N18" s="67">
        <v>0</v>
      </c>
      <c r="O18" s="67">
        <v>1</v>
      </c>
      <c r="P18" s="60">
        <v>0</v>
      </c>
      <c r="Q18" s="67">
        <v>0</v>
      </c>
      <c r="R18" s="61">
        <v>1</v>
      </c>
      <c r="S18"/>
      <c r="T18"/>
    </row>
    <row r="19" spans="1:20" ht="15" customHeight="1" x14ac:dyDescent="0.15">
      <c r="A19" s="69" t="s">
        <v>57</v>
      </c>
      <c r="B19" s="76">
        <v>0.35195894787176274</v>
      </c>
      <c r="C19" s="182" t="s">
        <v>221</v>
      </c>
      <c r="D19" s="71" t="s">
        <v>160</v>
      </c>
      <c r="F19" s="180" t="s">
        <v>205</v>
      </c>
      <c r="G19" s="67">
        <v>0</v>
      </c>
      <c r="H19" s="67">
        <v>0</v>
      </c>
      <c r="I19" s="67">
        <v>0</v>
      </c>
      <c r="J19" s="67">
        <v>0</v>
      </c>
      <c r="K19" s="67">
        <v>1</v>
      </c>
      <c r="L19" s="67">
        <v>0</v>
      </c>
      <c r="M19" s="67">
        <v>1</v>
      </c>
      <c r="N19" s="67">
        <v>0</v>
      </c>
      <c r="O19" s="67">
        <v>1</v>
      </c>
      <c r="P19" s="60">
        <v>0</v>
      </c>
      <c r="Q19" s="67">
        <v>0</v>
      </c>
      <c r="R19" s="61">
        <v>1</v>
      </c>
      <c r="S19"/>
      <c r="T19"/>
    </row>
    <row r="20" spans="1:20" ht="15" customHeight="1" x14ac:dyDescent="0.15">
      <c r="A20" s="108" t="s">
        <v>168</v>
      </c>
      <c r="B20" s="78">
        <v>8.02440757531514E-2</v>
      </c>
      <c r="C20" s="182" t="s">
        <v>222</v>
      </c>
      <c r="D20" s="71" t="s">
        <v>160</v>
      </c>
      <c r="F20" s="180" t="s">
        <v>206</v>
      </c>
      <c r="G20" s="67">
        <v>0</v>
      </c>
      <c r="H20" s="67">
        <v>0</v>
      </c>
      <c r="I20" s="67">
        <v>0</v>
      </c>
      <c r="J20" s="67">
        <v>0</v>
      </c>
      <c r="K20" s="67">
        <v>1</v>
      </c>
      <c r="L20" s="67">
        <v>0</v>
      </c>
      <c r="M20" s="67">
        <v>1</v>
      </c>
      <c r="N20" s="67">
        <v>0</v>
      </c>
      <c r="O20" s="67">
        <v>1</v>
      </c>
      <c r="P20" s="60">
        <v>0</v>
      </c>
      <c r="Q20" s="67">
        <v>0</v>
      </c>
      <c r="R20" s="61">
        <v>1</v>
      </c>
      <c r="S20"/>
      <c r="T20"/>
    </row>
    <row r="21" spans="1:20" ht="15" customHeight="1" x14ac:dyDescent="0.15">
      <c r="B21" s="78">
        <v>0.56779697637508575</v>
      </c>
      <c r="C21" s="182" t="s">
        <v>223</v>
      </c>
      <c r="D21" s="71" t="s">
        <v>160</v>
      </c>
      <c r="F21" s="180" t="s">
        <v>207</v>
      </c>
      <c r="G21" s="67">
        <v>0</v>
      </c>
      <c r="H21" s="67">
        <v>0</v>
      </c>
      <c r="I21" s="67">
        <v>0</v>
      </c>
      <c r="J21" s="67">
        <v>0</v>
      </c>
      <c r="K21" s="67">
        <v>1</v>
      </c>
      <c r="L21" s="67">
        <v>0</v>
      </c>
      <c r="M21" s="67">
        <v>1</v>
      </c>
      <c r="N21" s="67">
        <v>0</v>
      </c>
      <c r="O21" s="67">
        <v>1</v>
      </c>
      <c r="P21" s="60">
        <v>0</v>
      </c>
      <c r="Q21" s="67">
        <v>0</v>
      </c>
      <c r="R21" s="61">
        <v>1</v>
      </c>
      <c r="S21"/>
      <c r="T21"/>
    </row>
    <row r="22" spans="1:20" ht="15" customHeight="1" x14ac:dyDescent="0.15">
      <c r="A22" s="67"/>
      <c r="B22" s="78"/>
      <c r="C22" s="81"/>
      <c r="D22" s="71" t="s">
        <v>160</v>
      </c>
      <c r="F22" s="180" t="s">
        <v>208</v>
      </c>
      <c r="G22" s="67">
        <v>0</v>
      </c>
      <c r="H22" s="67">
        <v>0</v>
      </c>
      <c r="I22" s="67">
        <v>0</v>
      </c>
      <c r="J22" s="67">
        <v>0</v>
      </c>
      <c r="K22" s="67">
        <v>1</v>
      </c>
      <c r="L22" s="67">
        <v>0</v>
      </c>
      <c r="M22" s="67">
        <v>1</v>
      </c>
      <c r="N22" s="67">
        <v>0</v>
      </c>
      <c r="O22" s="67">
        <v>1</v>
      </c>
      <c r="P22" s="60">
        <v>0</v>
      </c>
      <c r="Q22" s="67">
        <v>0</v>
      </c>
      <c r="R22" s="61">
        <v>1</v>
      </c>
      <c r="S22"/>
      <c r="T22"/>
    </row>
    <row r="23" spans="1:20" ht="15" customHeight="1" x14ac:dyDescent="0.15">
      <c r="A23" s="67"/>
      <c r="B23" s="78"/>
      <c r="C23" s="82"/>
      <c r="D23" s="71" t="s">
        <v>160</v>
      </c>
      <c r="F23" s="180" t="s">
        <v>209</v>
      </c>
      <c r="G23" s="67">
        <v>0</v>
      </c>
      <c r="H23" s="67">
        <v>0</v>
      </c>
      <c r="I23" s="67">
        <v>0</v>
      </c>
      <c r="J23" s="67">
        <v>0</v>
      </c>
      <c r="K23" s="67">
        <v>1</v>
      </c>
      <c r="L23" s="67">
        <v>0</v>
      </c>
      <c r="M23" s="67">
        <v>1</v>
      </c>
      <c r="N23" s="67">
        <v>0</v>
      </c>
      <c r="O23" s="67">
        <v>1</v>
      </c>
      <c r="P23" s="60">
        <v>0</v>
      </c>
      <c r="Q23" s="67">
        <v>0</v>
      </c>
      <c r="R23" s="61">
        <v>1</v>
      </c>
      <c r="S23"/>
      <c r="T23"/>
    </row>
    <row r="24" spans="1:20" ht="15" customHeight="1" x14ac:dyDescent="0.15">
      <c r="A24" s="67"/>
      <c r="B24" s="78"/>
      <c r="C24" s="82"/>
      <c r="D24" s="71" t="s">
        <v>160</v>
      </c>
      <c r="F24" s="180" t="s">
        <v>210</v>
      </c>
      <c r="G24" s="67">
        <v>0</v>
      </c>
      <c r="H24" s="67">
        <v>0</v>
      </c>
      <c r="I24" s="67">
        <v>0</v>
      </c>
      <c r="J24" s="67">
        <v>0</v>
      </c>
      <c r="K24" s="67">
        <v>1</v>
      </c>
      <c r="L24" s="67">
        <v>0</v>
      </c>
      <c r="M24" s="67">
        <v>1</v>
      </c>
      <c r="N24" s="67">
        <v>0</v>
      </c>
      <c r="O24" s="67">
        <v>1</v>
      </c>
      <c r="P24" s="60">
        <v>0</v>
      </c>
      <c r="Q24" s="67">
        <v>0</v>
      </c>
      <c r="R24" s="61">
        <v>1</v>
      </c>
      <c r="S24"/>
      <c r="T24"/>
    </row>
    <row r="25" spans="1:20" ht="15" customHeight="1" x14ac:dyDescent="0.15">
      <c r="A25" s="67"/>
      <c r="B25" s="78"/>
      <c r="C25" s="66"/>
      <c r="D25" s="71" t="s">
        <v>160</v>
      </c>
      <c r="F25" s="180" t="s">
        <v>211</v>
      </c>
      <c r="G25" s="67">
        <v>0</v>
      </c>
      <c r="H25" s="67">
        <v>0</v>
      </c>
      <c r="I25" s="67">
        <v>0</v>
      </c>
      <c r="J25" s="67">
        <v>0</v>
      </c>
      <c r="K25" s="67">
        <v>1</v>
      </c>
      <c r="L25" s="67">
        <v>0</v>
      </c>
      <c r="M25" s="67">
        <v>1</v>
      </c>
      <c r="N25" s="67">
        <v>0</v>
      </c>
      <c r="O25" s="67">
        <v>1</v>
      </c>
      <c r="P25" s="60">
        <v>0</v>
      </c>
      <c r="Q25" s="67">
        <v>0</v>
      </c>
      <c r="R25" s="61">
        <v>1</v>
      </c>
      <c r="S25"/>
      <c r="T25"/>
    </row>
    <row r="26" spans="1:20" ht="15" customHeight="1" x14ac:dyDescent="0.15">
      <c r="B26" s="78"/>
      <c r="C26" s="66"/>
      <c r="D26" s="71" t="s">
        <v>160</v>
      </c>
      <c r="F26" s="180" t="s">
        <v>212</v>
      </c>
      <c r="G26" s="67">
        <v>0</v>
      </c>
      <c r="H26" s="67">
        <v>0</v>
      </c>
      <c r="I26" s="67">
        <v>0</v>
      </c>
      <c r="J26" s="67">
        <v>0</v>
      </c>
      <c r="K26" s="67">
        <v>1</v>
      </c>
      <c r="L26" s="67">
        <v>0</v>
      </c>
      <c r="M26" s="67">
        <v>1</v>
      </c>
      <c r="N26" s="67">
        <v>0</v>
      </c>
      <c r="O26" s="67">
        <v>1</v>
      </c>
      <c r="P26" s="60">
        <v>0</v>
      </c>
      <c r="Q26" s="67">
        <v>0</v>
      </c>
      <c r="R26" s="61">
        <v>1</v>
      </c>
      <c r="S26"/>
      <c r="T26"/>
    </row>
    <row r="27" spans="1:20" ht="15" customHeight="1" x14ac:dyDescent="0.15">
      <c r="B27" s="78"/>
      <c r="C27" s="66"/>
      <c r="D27" s="71" t="s">
        <v>160</v>
      </c>
      <c r="F27" s="180" t="s">
        <v>213</v>
      </c>
      <c r="G27" s="67">
        <v>0</v>
      </c>
      <c r="H27" s="67">
        <v>0</v>
      </c>
      <c r="I27" s="67">
        <v>0</v>
      </c>
      <c r="J27" s="67">
        <v>0</v>
      </c>
      <c r="K27" s="67">
        <v>1</v>
      </c>
      <c r="L27" s="67">
        <v>0</v>
      </c>
      <c r="M27" s="67">
        <v>1</v>
      </c>
      <c r="N27" s="67">
        <v>0</v>
      </c>
      <c r="O27" s="67">
        <v>1</v>
      </c>
      <c r="P27" s="60">
        <v>0</v>
      </c>
      <c r="Q27" s="67">
        <v>0</v>
      </c>
      <c r="R27" s="61">
        <v>1</v>
      </c>
      <c r="S27"/>
      <c r="T27"/>
    </row>
    <row r="28" spans="1:20" ht="15" customHeight="1" thickBot="1" x14ac:dyDescent="0.2">
      <c r="B28" s="77"/>
      <c r="C28" s="66"/>
      <c r="D28" s="71" t="s">
        <v>160</v>
      </c>
      <c r="F28" s="180" t="s">
        <v>214</v>
      </c>
      <c r="G28" s="67">
        <v>0</v>
      </c>
      <c r="H28" s="67">
        <v>0</v>
      </c>
      <c r="I28" s="67">
        <v>0</v>
      </c>
      <c r="J28" s="67">
        <v>0</v>
      </c>
      <c r="K28" s="67">
        <v>1</v>
      </c>
      <c r="L28" s="67">
        <v>0</v>
      </c>
      <c r="M28" s="67">
        <v>1</v>
      </c>
      <c r="N28" s="67">
        <v>0</v>
      </c>
      <c r="O28" s="67">
        <v>1</v>
      </c>
      <c r="P28" s="60">
        <v>0</v>
      </c>
      <c r="Q28" s="67">
        <v>0</v>
      </c>
      <c r="R28" s="61">
        <v>1</v>
      </c>
      <c r="S28"/>
      <c r="T28"/>
    </row>
    <row r="29" spans="1:20" ht="15" customHeight="1" x14ac:dyDescent="0.15">
      <c r="F29" s="180" t="s">
        <v>215</v>
      </c>
      <c r="G29" s="67">
        <v>0</v>
      </c>
      <c r="H29" s="67">
        <v>0</v>
      </c>
      <c r="I29" s="67">
        <v>0</v>
      </c>
      <c r="J29" s="67">
        <v>0</v>
      </c>
      <c r="K29" s="67">
        <v>1</v>
      </c>
      <c r="L29" s="67">
        <v>0</v>
      </c>
      <c r="M29" s="67">
        <v>1</v>
      </c>
      <c r="N29" s="67">
        <v>0</v>
      </c>
      <c r="O29" s="67">
        <v>1</v>
      </c>
      <c r="P29" s="60">
        <v>0</v>
      </c>
      <c r="Q29" s="67">
        <v>0</v>
      </c>
      <c r="R29" s="61">
        <v>1</v>
      </c>
      <c r="S29"/>
      <c r="T29"/>
    </row>
    <row r="30" spans="1:20" ht="15" customHeight="1" x14ac:dyDescent="0.15">
      <c r="F30" s="180" t="s">
        <v>216</v>
      </c>
      <c r="G30" s="67">
        <v>0</v>
      </c>
      <c r="H30" s="67">
        <v>0</v>
      </c>
      <c r="I30" s="67">
        <v>0</v>
      </c>
      <c r="J30" s="67">
        <v>0</v>
      </c>
      <c r="K30" s="67">
        <v>1</v>
      </c>
      <c r="L30" s="67">
        <v>0</v>
      </c>
      <c r="M30" s="67">
        <v>1</v>
      </c>
      <c r="N30" s="67">
        <v>0</v>
      </c>
      <c r="O30" s="67">
        <v>1</v>
      </c>
      <c r="P30" s="60">
        <v>0</v>
      </c>
      <c r="Q30" s="67">
        <v>0</v>
      </c>
      <c r="R30" s="61">
        <v>1</v>
      </c>
      <c r="S30"/>
      <c r="T30"/>
    </row>
    <row r="31" spans="1:20" ht="15" customHeight="1" x14ac:dyDescent="0.15">
      <c r="A31" s="109"/>
      <c r="B31" s="118" t="s">
        <v>17</v>
      </c>
      <c r="C31" s="118" t="s">
        <v>1</v>
      </c>
      <c r="D31" s="118" t="s">
        <v>161</v>
      </c>
      <c r="E31" s="119" t="s">
        <v>163</v>
      </c>
      <c r="F31" s="180" t="s">
        <v>217</v>
      </c>
      <c r="G31" s="67">
        <v>0</v>
      </c>
      <c r="H31" s="67">
        <v>0</v>
      </c>
      <c r="I31" s="67">
        <v>0</v>
      </c>
      <c r="J31" s="67">
        <v>0</v>
      </c>
      <c r="K31" s="67">
        <v>1</v>
      </c>
      <c r="L31" s="67">
        <v>0</v>
      </c>
      <c r="M31" s="67">
        <v>1</v>
      </c>
      <c r="N31" s="67">
        <v>0</v>
      </c>
      <c r="O31" s="67">
        <v>1</v>
      </c>
      <c r="P31" s="60">
        <v>0</v>
      </c>
      <c r="Q31" s="67">
        <v>0</v>
      </c>
      <c r="R31" s="61">
        <v>1</v>
      </c>
      <c r="S31"/>
      <c r="T31"/>
    </row>
    <row r="32" spans="1:20" ht="15" customHeight="1" x14ac:dyDescent="0.15">
      <c r="A32" s="183" t="s">
        <v>221</v>
      </c>
      <c r="B32" s="79">
        <v>76.48</v>
      </c>
      <c r="C32" s="79">
        <v>15.686999999999999</v>
      </c>
      <c r="D32" s="79">
        <v>1199.7417600000001</v>
      </c>
      <c r="E32" s="110">
        <v>0.35195894787176274</v>
      </c>
      <c r="F32" s="180" t="s">
        <v>218</v>
      </c>
      <c r="G32" s="67">
        <v>0</v>
      </c>
      <c r="H32" s="67">
        <v>0</v>
      </c>
      <c r="I32" s="67">
        <v>0</v>
      </c>
      <c r="J32" s="67">
        <v>0</v>
      </c>
      <c r="K32" s="67">
        <v>1</v>
      </c>
      <c r="L32" s="67">
        <v>0</v>
      </c>
      <c r="M32" s="67">
        <v>1</v>
      </c>
      <c r="N32" s="67">
        <v>0</v>
      </c>
      <c r="O32" s="67">
        <v>1</v>
      </c>
      <c r="P32" s="60">
        <v>0</v>
      </c>
      <c r="Q32" s="67">
        <v>0</v>
      </c>
      <c r="R32" s="61">
        <v>1</v>
      </c>
      <c r="S32"/>
      <c r="T32"/>
    </row>
    <row r="33" spans="1:20" ht="15" customHeight="1" x14ac:dyDescent="0.15">
      <c r="A33" s="183" t="s">
        <v>222</v>
      </c>
      <c r="B33" s="79">
        <v>1.87</v>
      </c>
      <c r="C33" s="79">
        <v>146.274</v>
      </c>
      <c r="D33" s="79">
        <v>273.53237999999999</v>
      </c>
      <c r="E33" s="110">
        <v>8.02440757531514E-2</v>
      </c>
      <c r="F33" s="180" t="s">
        <v>219</v>
      </c>
      <c r="G33" s="67">
        <v>0</v>
      </c>
      <c r="H33" s="67">
        <v>0</v>
      </c>
      <c r="I33" s="67">
        <v>0</v>
      </c>
      <c r="J33" s="67">
        <v>0</v>
      </c>
      <c r="K33" s="67">
        <v>1</v>
      </c>
      <c r="L33" s="67">
        <v>0</v>
      </c>
      <c r="M33" s="67">
        <v>1</v>
      </c>
      <c r="N33" s="67">
        <v>0</v>
      </c>
      <c r="O33" s="67">
        <v>1</v>
      </c>
      <c r="P33" s="60">
        <v>0</v>
      </c>
      <c r="Q33" s="67">
        <v>0</v>
      </c>
      <c r="R33" s="61">
        <v>1</v>
      </c>
      <c r="S33"/>
      <c r="T33"/>
    </row>
    <row r="34" spans="1:20" ht="15" customHeight="1" x14ac:dyDescent="0.15">
      <c r="A34" s="183" t="s">
        <v>223</v>
      </c>
      <c r="B34" s="79">
        <v>6.9124309999999998</v>
      </c>
      <c r="C34" s="79">
        <v>280</v>
      </c>
      <c r="D34" s="79">
        <v>1935.4806799999999</v>
      </c>
      <c r="E34" s="110">
        <v>0.56779697637508575</v>
      </c>
      <c r="F34" s="180" t="s">
        <v>220</v>
      </c>
      <c r="G34" s="67">
        <v>0</v>
      </c>
      <c r="H34" s="67">
        <v>0</v>
      </c>
      <c r="I34" s="67">
        <v>0</v>
      </c>
      <c r="J34" s="67">
        <v>0</v>
      </c>
      <c r="K34" s="67">
        <v>1</v>
      </c>
      <c r="L34" s="67">
        <v>0</v>
      </c>
      <c r="M34" s="67">
        <v>1</v>
      </c>
      <c r="N34" s="67">
        <v>0</v>
      </c>
      <c r="O34" s="67">
        <v>1</v>
      </c>
      <c r="P34" s="60">
        <v>0</v>
      </c>
      <c r="Q34" s="67">
        <v>0</v>
      </c>
      <c r="R34" s="61">
        <v>1</v>
      </c>
      <c r="S34"/>
      <c r="T34"/>
    </row>
    <row r="35" spans="1:20" ht="15" customHeight="1" x14ac:dyDescent="0.15">
      <c r="A35" s="111"/>
      <c r="B35" s="79"/>
      <c r="C35" s="79"/>
      <c r="D35" s="79"/>
      <c r="E35" s="110"/>
      <c r="F35" s="180" t="s">
        <v>221</v>
      </c>
      <c r="G35" s="67">
        <v>0</v>
      </c>
      <c r="H35" s="67">
        <v>0</v>
      </c>
      <c r="I35" s="67">
        <v>0</v>
      </c>
      <c r="J35" s="67">
        <v>0</v>
      </c>
      <c r="K35" s="67">
        <v>0</v>
      </c>
      <c r="L35" s="67">
        <v>0</v>
      </c>
      <c r="M35" s="67">
        <v>1</v>
      </c>
      <c r="N35" s="67">
        <v>0</v>
      </c>
      <c r="O35" s="67">
        <v>0</v>
      </c>
      <c r="P35" s="60">
        <v>0</v>
      </c>
      <c r="Q35" s="67">
        <v>0</v>
      </c>
      <c r="R35" s="61">
        <v>1</v>
      </c>
      <c r="S35"/>
      <c r="T35"/>
    </row>
    <row r="36" spans="1:20" ht="15" customHeight="1" x14ac:dyDescent="0.15">
      <c r="A36" s="112"/>
      <c r="B36" s="79"/>
      <c r="C36" s="79"/>
      <c r="D36" s="79"/>
      <c r="E36" s="110"/>
      <c r="F36" s="180" t="s">
        <v>222</v>
      </c>
      <c r="G36" s="67">
        <v>0</v>
      </c>
      <c r="H36" s="67">
        <v>0</v>
      </c>
      <c r="I36" s="67">
        <v>0</v>
      </c>
      <c r="J36" s="67">
        <v>0</v>
      </c>
      <c r="K36" s="67">
        <v>0</v>
      </c>
      <c r="L36" s="67">
        <v>0</v>
      </c>
      <c r="M36" s="67">
        <v>1</v>
      </c>
      <c r="N36" s="67">
        <v>0</v>
      </c>
      <c r="O36" s="67">
        <v>0</v>
      </c>
      <c r="P36" s="60">
        <v>0</v>
      </c>
      <c r="Q36" s="67">
        <v>0</v>
      </c>
      <c r="R36" s="61">
        <v>1</v>
      </c>
      <c r="S36"/>
      <c r="T36"/>
    </row>
    <row r="37" spans="1:20" ht="15" customHeight="1" x14ac:dyDescent="0.15">
      <c r="A37" s="112"/>
      <c r="B37" s="79"/>
      <c r="C37" s="79"/>
      <c r="D37" s="79"/>
      <c r="E37" s="110"/>
      <c r="F37" s="180" t="s">
        <v>223</v>
      </c>
      <c r="G37" s="67">
        <v>0</v>
      </c>
      <c r="H37" s="67">
        <v>0</v>
      </c>
      <c r="I37" s="67">
        <v>0</v>
      </c>
      <c r="J37" s="67">
        <v>0</v>
      </c>
      <c r="K37" s="67">
        <v>0</v>
      </c>
      <c r="L37" s="67">
        <v>0</v>
      </c>
      <c r="M37" s="67">
        <v>1</v>
      </c>
      <c r="N37" s="67">
        <v>0</v>
      </c>
      <c r="O37" s="67">
        <v>0</v>
      </c>
      <c r="P37" s="60">
        <v>0</v>
      </c>
      <c r="Q37" s="67">
        <v>0</v>
      </c>
      <c r="R37" s="61">
        <v>1</v>
      </c>
      <c r="S37"/>
      <c r="T37"/>
    </row>
    <row r="38" spans="1:20" ht="15" customHeight="1" x14ac:dyDescent="0.15">
      <c r="A38" s="113"/>
      <c r="B38" s="79"/>
      <c r="C38" s="79"/>
      <c r="D38" s="79"/>
      <c r="E38" s="110"/>
      <c r="F38" s="180" t="s">
        <v>224</v>
      </c>
      <c r="G38" s="67">
        <v>0</v>
      </c>
      <c r="H38" s="67">
        <v>0</v>
      </c>
      <c r="I38" s="67">
        <v>0</v>
      </c>
      <c r="J38" s="67">
        <v>0</v>
      </c>
      <c r="K38" s="67">
        <v>0</v>
      </c>
      <c r="L38" s="67">
        <v>1</v>
      </c>
      <c r="M38" s="67">
        <v>0</v>
      </c>
      <c r="N38" s="67">
        <v>1</v>
      </c>
      <c r="O38" s="67">
        <v>0</v>
      </c>
      <c r="P38" s="60">
        <v>1</v>
      </c>
      <c r="Q38" s="67">
        <v>0</v>
      </c>
      <c r="R38" s="61">
        <v>1</v>
      </c>
      <c r="S38"/>
      <c r="T38"/>
    </row>
    <row r="39" spans="1:20" ht="15" customHeight="1" x14ac:dyDescent="0.15">
      <c r="A39" s="113"/>
      <c r="B39" s="79"/>
      <c r="C39" s="79"/>
      <c r="D39" s="79"/>
      <c r="E39" s="110"/>
      <c r="F39" s="180" t="s">
        <v>225</v>
      </c>
      <c r="G39" s="67">
        <v>0</v>
      </c>
      <c r="H39" s="67">
        <v>0</v>
      </c>
      <c r="I39" s="67">
        <v>0</v>
      </c>
      <c r="J39" s="67">
        <v>0</v>
      </c>
      <c r="K39" s="67">
        <v>0</v>
      </c>
      <c r="L39" s="67">
        <v>1</v>
      </c>
      <c r="M39" s="67">
        <v>0</v>
      </c>
      <c r="N39" s="67">
        <v>1</v>
      </c>
      <c r="O39" s="67">
        <v>0</v>
      </c>
      <c r="P39" s="60">
        <v>1</v>
      </c>
      <c r="Q39" s="67">
        <v>0</v>
      </c>
      <c r="R39" s="61">
        <v>1</v>
      </c>
      <c r="S39"/>
      <c r="T39"/>
    </row>
    <row r="40" spans="1:20" ht="15" customHeight="1" x14ac:dyDescent="0.15">
      <c r="A40" s="113"/>
      <c r="B40" s="79"/>
      <c r="C40" s="79"/>
      <c r="D40" s="79"/>
      <c r="E40" s="110"/>
      <c r="F40" s="180" t="s">
        <v>226</v>
      </c>
      <c r="G40" s="67">
        <v>0</v>
      </c>
      <c r="H40" s="67">
        <v>0</v>
      </c>
      <c r="I40" s="67">
        <v>0</v>
      </c>
      <c r="J40" s="67">
        <v>0</v>
      </c>
      <c r="K40" s="67">
        <v>0</v>
      </c>
      <c r="L40" s="67">
        <v>1</v>
      </c>
      <c r="M40" s="67">
        <v>0</v>
      </c>
      <c r="N40" s="67">
        <v>0</v>
      </c>
      <c r="O40" s="67">
        <v>0</v>
      </c>
      <c r="P40" s="60">
        <v>0</v>
      </c>
      <c r="Q40" s="67">
        <v>0</v>
      </c>
      <c r="R40" s="61">
        <v>1</v>
      </c>
      <c r="S40"/>
      <c r="T40"/>
    </row>
    <row r="41" spans="1:20" ht="15" customHeight="1" thickBot="1" x14ac:dyDescent="0.2">
      <c r="A41" s="113"/>
      <c r="B41" s="79"/>
      <c r="C41" s="79"/>
      <c r="D41" s="80"/>
      <c r="E41" s="114"/>
      <c r="F41" s="180" t="s">
        <v>227</v>
      </c>
      <c r="G41" s="67">
        <v>0</v>
      </c>
      <c r="H41" s="67">
        <v>0</v>
      </c>
      <c r="I41" s="67">
        <v>0</v>
      </c>
      <c r="J41" s="67">
        <v>0</v>
      </c>
      <c r="K41" s="67">
        <v>0</v>
      </c>
      <c r="L41" s="67">
        <v>1</v>
      </c>
      <c r="M41" s="67">
        <v>0</v>
      </c>
      <c r="N41" s="67">
        <v>0</v>
      </c>
      <c r="O41" s="67">
        <v>0</v>
      </c>
      <c r="P41" s="60">
        <v>0</v>
      </c>
      <c r="Q41" s="67">
        <v>0</v>
      </c>
      <c r="R41" s="61">
        <v>1</v>
      </c>
      <c r="S41"/>
      <c r="T41"/>
    </row>
    <row r="42" spans="1:20" ht="15" customHeight="1" x14ac:dyDescent="0.15">
      <c r="A42" s="115"/>
      <c r="B42" s="116"/>
      <c r="C42" s="116" t="s">
        <v>162</v>
      </c>
      <c r="D42" s="116">
        <f>SUM(D32:D41)</f>
        <v>3408.7548200000001</v>
      </c>
      <c r="E42" s="117">
        <f>SUM(E32:E41)</f>
        <v>0.99999999999999989</v>
      </c>
      <c r="F42" s="180" t="s">
        <v>228</v>
      </c>
      <c r="G42" s="67">
        <v>0</v>
      </c>
      <c r="H42" s="67">
        <v>0</v>
      </c>
      <c r="I42" s="67">
        <v>0</v>
      </c>
      <c r="J42" s="67">
        <v>0</v>
      </c>
      <c r="K42" s="67">
        <v>0</v>
      </c>
      <c r="L42" s="67">
        <v>1</v>
      </c>
      <c r="M42" s="67">
        <v>0</v>
      </c>
      <c r="N42" s="67">
        <v>0</v>
      </c>
      <c r="O42" s="67">
        <v>0</v>
      </c>
      <c r="P42" s="60">
        <v>0</v>
      </c>
      <c r="Q42" s="67">
        <v>0</v>
      </c>
      <c r="R42" s="61">
        <v>1</v>
      </c>
      <c r="S42"/>
      <c r="T42"/>
    </row>
    <row r="43" spans="1:20" ht="15" customHeight="1" x14ac:dyDescent="0.15">
      <c r="A43" s="67"/>
      <c r="F43" s="180" t="s">
        <v>229</v>
      </c>
      <c r="G43" s="67">
        <v>0</v>
      </c>
      <c r="H43" s="67">
        <v>0</v>
      </c>
      <c r="I43" s="67">
        <v>0</v>
      </c>
      <c r="J43" s="67">
        <v>0</v>
      </c>
      <c r="K43" s="67">
        <v>0</v>
      </c>
      <c r="L43" s="67">
        <v>1</v>
      </c>
      <c r="M43" s="67">
        <v>0</v>
      </c>
      <c r="N43" s="67">
        <v>0</v>
      </c>
      <c r="O43" s="67">
        <v>0</v>
      </c>
      <c r="P43" s="60">
        <v>0</v>
      </c>
      <c r="Q43" s="67">
        <v>0</v>
      </c>
      <c r="R43" s="61">
        <v>1</v>
      </c>
      <c r="S43"/>
      <c r="T43"/>
    </row>
    <row r="44" spans="1:20" ht="15" customHeight="1" x14ac:dyDescent="0.15">
      <c r="A44" s="6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T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6.33203125" bestFit="1" customWidth="1"/>
    <col min="2" max="2" width="2.33203125" style="94" customWidth="1"/>
    <col min="3" max="5" width="7.83203125" style="94" customWidth="1"/>
    <col min="6" max="8" width="8.83203125" style="6"/>
    <col min="9" max="9" width="7.1640625" style="6" customWidth="1"/>
    <col min="10" max="10" width="8.5" style="6" customWidth="1"/>
    <col min="11" max="11" width="18.5" style="6" customWidth="1"/>
    <col min="12" max="12" width="24.1640625" style="6" customWidth="1"/>
    <col min="13" max="13" width="8.5" style="6" customWidth="1"/>
    <col min="14" max="14" width="19.1640625" style="6" customWidth="1"/>
    <col min="15" max="15" width="8.83203125" style="6" customWidth="1"/>
    <col min="16" max="16" width="21.33203125" style="6" customWidth="1"/>
    <col min="17" max="17" width="5.5" style="6" customWidth="1"/>
    <col min="18" max="18" width="21.33203125" style="6" customWidth="1"/>
    <col min="19" max="20" width="26.33203125" style="6" customWidth="1"/>
    <col min="21" max="21" width="8.5" style="6" customWidth="1"/>
    <col min="22" max="22" width="24.83203125" style="6" customWidth="1"/>
    <col min="23" max="23" width="11.1640625" style="6" customWidth="1"/>
    <col min="24" max="24" width="24" style="6" customWidth="1"/>
    <col min="25" max="25" width="22.33203125" style="6" customWidth="1"/>
    <col min="26" max="26" width="21.83203125" style="6" customWidth="1"/>
    <col min="27" max="27" width="22.83203125" style="6" customWidth="1"/>
    <col min="28" max="28" width="19.83203125" style="6" customWidth="1"/>
    <col min="29" max="29" width="25.5" style="6" customWidth="1"/>
    <col min="30" max="30" width="10.33203125" style="6" customWidth="1"/>
    <col min="31" max="31" width="23" style="6" customWidth="1"/>
    <col min="32" max="32" width="11.6640625" style="6" customWidth="1"/>
    <col min="33" max="33" width="7.33203125" style="6" customWidth="1"/>
    <col min="34" max="34" width="22.83203125" style="6" customWidth="1"/>
    <col min="35" max="35" width="22.6640625" style="6" customWidth="1"/>
    <col min="36" max="36" width="21.5" style="6" customWidth="1"/>
    <col min="37" max="37" width="14.33203125" style="6" customWidth="1"/>
    <col min="38" max="38" width="10.83203125" style="6" customWidth="1"/>
    <col min="39" max="39" width="13.1640625" customWidth="1"/>
    <col min="40" max="40" width="11.6640625" customWidth="1"/>
    <col min="41" max="41" width="7.6640625" customWidth="1"/>
    <col min="42" max="42" width="21.6640625" customWidth="1"/>
    <col min="43" max="43" width="8.5" customWidth="1"/>
    <col min="44" max="44" width="15.1640625" customWidth="1"/>
    <col min="45" max="45" width="15.33203125" customWidth="1"/>
    <col min="46" max="46" width="13" customWidth="1"/>
    <col min="81" max="81" width="22.1640625" bestFit="1" customWidth="1"/>
  </cols>
  <sheetData>
    <row r="1" spans="1:46" x14ac:dyDescent="0.15">
      <c r="A1" s="4" t="s">
        <v>156</v>
      </c>
      <c r="B1" s="32" t="s">
        <v>157</v>
      </c>
      <c r="C1" s="32" t="s">
        <v>17</v>
      </c>
      <c r="D1" s="32" t="s">
        <v>158</v>
      </c>
      <c r="E1" s="32" t="s">
        <v>159</v>
      </c>
      <c r="F1" t="s">
        <v>38</v>
      </c>
      <c r="G1" t="s">
        <v>40</v>
      </c>
      <c r="H1" t="s">
        <v>41</v>
      </c>
      <c r="I1" s="185" t="s">
        <v>192</v>
      </c>
      <c r="J1" s="185" t="s">
        <v>193</v>
      </c>
      <c r="K1" s="185" t="s">
        <v>194</v>
      </c>
      <c r="L1" s="185" t="s">
        <v>195</v>
      </c>
      <c r="M1" s="185" t="s">
        <v>196</v>
      </c>
      <c r="N1" s="185" t="s">
        <v>197</v>
      </c>
      <c r="O1" s="185" t="s">
        <v>198</v>
      </c>
      <c r="P1" s="185" t="s">
        <v>199</v>
      </c>
      <c r="Q1" s="185" t="s">
        <v>200</v>
      </c>
      <c r="R1" s="185" t="s">
        <v>201</v>
      </c>
      <c r="S1" s="185" t="s">
        <v>202</v>
      </c>
      <c r="T1" s="185" t="s">
        <v>203</v>
      </c>
      <c r="U1" s="185" t="s">
        <v>204</v>
      </c>
      <c r="V1" s="185" t="s">
        <v>205</v>
      </c>
      <c r="W1" s="185" t="s">
        <v>206</v>
      </c>
      <c r="X1" s="185" t="s">
        <v>207</v>
      </c>
      <c r="Y1" s="185" t="s">
        <v>208</v>
      </c>
      <c r="Z1" s="185" t="s">
        <v>209</v>
      </c>
      <c r="AA1" s="185" t="s">
        <v>210</v>
      </c>
      <c r="AB1" s="185" t="s">
        <v>211</v>
      </c>
      <c r="AC1" s="185" t="s">
        <v>212</v>
      </c>
      <c r="AD1" s="185" t="s">
        <v>213</v>
      </c>
      <c r="AE1" s="185" t="s">
        <v>214</v>
      </c>
      <c r="AF1" s="185" t="s">
        <v>215</v>
      </c>
      <c r="AG1" s="185" t="s">
        <v>216</v>
      </c>
      <c r="AH1" s="185" t="s">
        <v>217</v>
      </c>
      <c r="AI1" s="185" t="s">
        <v>218</v>
      </c>
      <c r="AJ1" s="185" t="s">
        <v>219</v>
      </c>
      <c r="AK1" s="185" t="s">
        <v>220</v>
      </c>
      <c r="AL1" s="185" t="s">
        <v>221</v>
      </c>
      <c r="AM1" s="185" t="s">
        <v>222</v>
      </c>
      <c r="AN1" s="185" t="s">
        <v>223</v>
      </c>
      <c r="AO1" s="185" t="s">
        <v>224</v>
      </c>
      <c r="AP1" s="185" t="s">
        <v>225</v>
      </c>
      <c r="AQ1" s="185" t="s">
        <v>226</v>
      </c>
      <c r="AR1" s="185" t="s">
        <v>227</v>
      </c>
      <c r="AS1" s="185" t="s">
        <v>228</v>
      </c>
      <c r="AT1" s="185" t="s">
        <v>229</v>
      </c>
    </row>
    <row r="2" spans="1:46" x14ac:dyDescent="0.15">
      <c r="A2" t="s">
        <v>38</v>
      </c>
      <c r="B2" s="9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6" x14ac:dyDescent="0.15">
      <c r="A3" t="s">
        <v>40</v>
      </c>
      <c r="B3" s="9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6" x14ac:dyDescent="0.15">
      <c r="A4" t="s">
        <v>41</v>
      </c>
      <c r="B4" s="9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6" x14ac:dyDescent="0.15">
      <c r="A5" s="184" t="s">
        <v>192</v>
      </c>
      <c r="B5" s="9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6" x14ac:dyDescent="0.15">
      <c r="A6" s="184" t="s">
        <v>193</v>
      </c>
      <c r="B6" s="9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6" x14ac:dyDescent="0.15">
      <c r="A7" s="184" t="s">
        <v>194</v>
      </c>
      <c r="B7" s="9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6" x14ac:dyDescent="0.15">
      <c r="A8" s="184" t="s">
        <v>195</v>
      </c>
      <c r="B8" s="9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6" x14ac:dyDescent="0.15">
      <c r="A9" s="184" t="s">
        <v>196</v>
      </c>
      <c r="B9" s="9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6" x14ac:dyDescent="0.15">
      <c r="A10" s="184" t="s">
        <v>197</v>
      </c>
      <c r="B10" s="9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6" x14ac:dyDescent="0.15">
      <c r="A11" s="184" t="s">
        <v>198</v>
      </c>
      <c r="B11" s="9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6" x14ac:dyDescent="0.15">
      <c r="A12" s="184" t="s">
        <v>199</v>
      </c>
      <c r="B12" s="9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6" x14ac:dyDescent="0.15">
      <c r="A13" s="184" t="s">
        <v>200</v>
      </c>
      <c r="B13" s="9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6" x14ac:dyDescent="0.15">
      <c r="A14" s="184" t="s">
        <v>201</v>
      </c>
      <c r="B14" s="9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6" x14ac:dyDescent="0.15">
      <c r="A15" s="184" t="s">
        <v>202</v>
      </c>
      <c r="B15" s="9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6" x14ac:dyDescent="0.15">
      <c r="A16" s="184" t="s">
        <v>203</v>
      </c>
      <c r="B16" s="9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4" t="s">
        <v>204</v>
      </c>
      <c r="B17" s="9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4" t="s">
        <v>205</v>
      </c>
      <c r="B18" s="9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4" t="s">
        <v>206</v>
      </c>
      <c r="B19" s="9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4" t="s">
        <v>207</v>
      </c>
      <c r="B20" s="9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4" t="s">
        <v>208</v>
      </c>
      <c r="B21" s="9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4" t="s">
        <v>209</v>
      </c>
      <c r="B22" s="9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4" t="s">
        <v>210</v>
      </c>
      <c r="B23" s="9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4" t="s">
        <v>211</v>
      </c>
      <c r="B24" s="9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4" t="s">
        <v>212</v>
      </c>
      <c r="B25" s="9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4" t="s">
        <v>213</v>
      </c>
      <c r="B26" s="9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4" t="s">
        <v>214</v>
      </c>
      <c r="B27" s="9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84" t="s">
        <v>215</v>
      </c>
      <c r="B28" s="9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84" t="s">
        <v>216</v>
      </c>
      <c r="B29" s="9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84" t="s">
        <v>217</v>
      </c>
      <c r="B30" s="9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84" t="s">
        <v>218</v>
      </c>
      <c r="B31" s="9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84" t="s">
        <v>219</v>
      </c>
      <c r="B32" s="9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84" t="s">
        <v>220</v>
      </c>
      <c r="B33" s="9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84" t="s">
        <v>221</v>
      </c>
      <c r="B34" s="9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84" t="s">
        <v>222</v>
      </c>
      <c r="B35" s="9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84" t="s">
        <v>223</v>
      </c>
      <c r="B36" s="94">
        <v>0</v>
      </c>
      <c r="C36"/>
      <c r="D36"/>
    </row>
    <row r="37" spans="1:38" ht="15" customHeight="1" x14ac:dyDescent="0.15">
      <c r="A37" s="184" t="s">
        <v>224</v>
      </c>
      <c r="B37" s="94">
        <v>0</v>
      </c>
      <c r="C37"/>
      <c r="D37"/>
    </row>
    <row r="38" spans="1:38" ht="15" customHeight="1" x14ac:dyDescent="0.15">
      <c r="A38" s="184" t="s">
        <v>225</v>
      </c>
      <c r="B38" s="9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84" t="s">
        <v>226</v>
      </c>
      <c r="B39" s="94">
        <v>0</v>
      </c>
      <c r="C39"/>
      <c r="D39"/>
    </row>
    <row r="40" spans="1:38" ht="15" customHeight="1" x14ac:dyDescent="0.15">
      <c r="A40" s="184" t="s">
        <v>227</v>
      </c>
      <c r="B40" s="94">
        <v>0</v>
      </c>
      <c r="C40"/>
      <c r="D40"/>
    </row>
    <row r="41" spans="1:38" ht="15" customHeight="1" x14ac:dyDescent="0.15">
      <c r="A41" s="184" t="s">
        <v>228</v>
      </c>
      <c r="B41" s="94">
        <v>0</v>
      </c>
      <c r="C41"/>
      <c r="D41"/>
    </row>
    <row r="42" spans="1:38" ht="15" customHeight="1" x14ac:dyDescent="0.15">
      <c r="A42" s="184" t="s">
        <v>229</v>
      </c>
      <c r="B42" s="94">
        <v>0</v>
      </c>
    </row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2022-10-23T23:30:26Z</dcterms:modified>
</cp:coreProperties>
</file>