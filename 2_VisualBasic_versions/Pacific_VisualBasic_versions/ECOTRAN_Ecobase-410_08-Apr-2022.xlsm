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02146BB6-884B-1A4F-ABC8-A4064FAD3AD8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Main!$C$2:$N$41</definedName>
    <definedName name="matDetritus">Detritus!$C$2:$E$41</definedName>
    <definedName name="matDiet">Diets!$B$2:$AL$41</definedName>
    <definedName name="matDiscards">Discards!$C$2:$C$40</definedName>
    <definedName name="matFishery">Fishing!$C$2:$C$40</definedName>
    <definedName name="matFishing">Fishing!#REF!</definedName>
    <definedName name="matMort">Mortalities!$A$1:$AQ$40</definedName>
    <definedName name="matOut">MainOutputs!$A$2:$I$41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<sst xmlns="http://schemas.openxmlformats.org/spreadsheetml/2006/main" count="1124" uniqueCount="237">
  <si>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</si>
  <si>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</si>
  <si>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</si>
  <si>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</si>
  <si>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</si>
  <si>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</si>
  <si>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</si>
  <si>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</si>
  <si>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</si>
  <si>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</si>
  <si>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</si>
  <si>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</si>
  <si>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</si>
  <si>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</si>
  <si>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</si>
  <si>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</si>
  <si>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</si>
  <si>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</si>
  <si>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</si>
  <si>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</si>
  <si>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</si>
  <si>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</si>
  <si>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</si>
  <si>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</si>
  <si>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</si>
  <si>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</si>
  <si>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</si>
  <si>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</si>
  <si>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</si>
  <si>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</si>
  <si>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</si>
  <si>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</si>
  <si>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</si>
  <si>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</si>
  <si>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</si>
  <si>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</si>
  <si>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</si>
  <si>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</si>
  <si>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</si>
  <si>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</si>
  <si>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</si>
  <si>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</si>
  <si>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</si>
  <si>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</si>
  <si>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</si>
  <si>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</si>
  <si>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</si>
  <si>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</si>
  <si>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</si>
  <si>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</si>
  <si>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</si>
  <si>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</si>
  <si>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</si>
  <si>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</si>
  <si>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</si>
  <si>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</si>
  <si>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</si>
  <si>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</si>
  <si>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</si>
  <si>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</si>
  <si>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</si>
  <si>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</si>
  <si>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</si>
  <si>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</si>
  <si>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</si>
  <si>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</si>
  <si>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</si>
  <si>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</si>
  <si>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</si>
  <si>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</si>
  <si>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</si>
  <si>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</si>
  <si>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</si>
  <si>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</si>
  <si>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</si>
  <si>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</si>
  <si>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</si>
  <si>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</si>
  <si>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</si>
  <si>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</si>
  <si>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</si>
  <si>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</si>
  <si>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</si>
  <si>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</si>
  <si>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</si>
  <si>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</si>
  <si>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</si>
  <si>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</si>
  <si>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</si>
  <si>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</si>
  <si>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</si>
  <si>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</si>
  <si>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</si>
  <si>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</si>
  <si>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</si>
  <si>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</si>
  <si>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</si>
  <si>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</si>
  <si>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</si>
  <si>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</si>
  <si>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</si>
  <si>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</si>
  <si>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</si>
  <si>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</si>
  <si>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</si>
  <si>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</si>
  <si>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</si>
  <si>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</si>
  <si>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</si>
  <si>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</si>
  <si>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</si>
  <si>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</si>
  <si>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</si>
  <si>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</si>
  <si>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</si>
  <si>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</si>
  <si>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</si>
  <si>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</si>
  <si>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</si>
  <si>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</si>
  <si>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</si>
  <si>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</si>
  <si>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</si>
  <si>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</si>
  <si>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</si>
  <si>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</si>
  <si>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</si>
  <si>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</si>
  <si>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</si>
  <si>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</si>
  <si>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</si>
  <si>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</si>
  <si>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</si>
  <si>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</si>
  <si>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</si>
  <si>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</si>
  <si>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</si>
  <si>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</si>
  <si>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</si>
  <si>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</si>
  <si>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</si>
  <si>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</si>
  <si>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</si>
  <si>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</si>
  <si>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</si>
  <si>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</si>
  <si>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</si>
  <si>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</si>
  <si>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</si>
  <si>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</si>
  <si>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</si>
  <si>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</si>
  <si>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</si>
  <si>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</si>
  <si>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</si>
  <si>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</si>
  <si>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</si>
  <si>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</si>
  <si>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</si>
  <si>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</si>
  <si>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</si>
  <si>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</si>
  <si>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</si>
  <si>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</si>
  <si>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</si>
  <si>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</si>
  <si>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</si>
  <si>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</si>
  <si>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</si>
  <si>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</si>
  <si>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</si>
  <si>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</si>
  <si>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</si>
  <si>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</si>
  <si>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</si>
  <si>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</si>
  <si>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</si>
  <si>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</si>
  <si>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</si>
  <si>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</si>
  <si>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</si>
  <si>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</si>
  <si>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</si>
  <si>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</si>
  <si>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</si>
  <si>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 South of China Sea</t>
  </si>
  <si>
    <t>China,Viet Nam</t>
  </si>
  <si>
    <t>BOX(106.16022050699 17.124546464391,122.027697564613 27.9101423562622)</t>
  </si>
  <si>
    <t>continental shelf</t>
  </si>
  <si>
    <t>WetWeight</t>
  </si>
  <si>
    <t>; 11/20/2006 6:23:52 PM</t>
  </si>
  <si>
    <t xml:space="preserve">Cheung W.L.(2007). Vulnerability of marine fishes to fishing: from global overview to the Northern South China Sea </t>
  </si>
  <si>
    <t>Phytoplanktons</t>
  </si>
  <si>
    <t>Benthic producers</t>
  </si>
  <si>
    <t>Zooplanktons</t>
  </si>
  <si>
    <t>Jellyfish</t>
  </si>
  <si>
    <t>Polychaetes</t>
  </si>
  <si>
    <t>Echinoderms</t>
  </si>
  <si>
    <t>Benthic crustaceans</t>
  </si>
  <si>
    <t>Non-ceph molluscs</t>
  </si>
  <si>
    <t>Sessile/other invertebrates</t>
  </si>
  <si>
    <t>Shrimps</t>
  </si>
  <si>
    <t>Crabs</t>
  </si>
  <si>
    <t>Cephalopods</t>
  </si>
  <si>
    <t>Threadfin bream (Nemipterids)</t>
  </si>
  <si>
    <t>Bigeyes (Priacanthids)</t>
  </si>
  <si>
    <t>Lizard fish (Synodontids)</t>
  </si>
  <si>
    <t>Juv Hairtail (Trichiurids)</t>
  </si>
  <si>
    <t>Adult hairtail (Trichiurids)</t>
  </si>
  <si>
    <t>Pomfret (Stromateids)</t>
  </si>
  <si>
    <t>Snappers</t>
  </si>
  <si>
    <t>Adult groupers</t>
  </si>
  <si>
    <t>Croakers (less than 30cm)</t>
  </si>
  <si>
    <t>Juv large croakers</t>
  </si>
  <si>
    <t>Croakers (30+cm)</t>
  </si>
  <si>
    <t>Demesral fish (less than 30 cm)</t>
  </si>
  <si>
    <t>Juv demersal fish (30+cm)</t>
  </si>
  <si>
    <t>Adult demersal fish (30+cm)</t>
  </si>
  <si>
    <t>Benthopelagic fish</t>
  </si>
  <si>
    <t>Melon seed</t>
  </si>
  <si>
    <t>Pelagic fish (less than 30cm)</t>
  </si>
  <si>
    <t>Juvenile large pelagic fish</t>
  </si>
  <si>
    <t>Pelagic fish (30+cm)</t>
  </si>
  <si>
    <t>Demersal sharks and rays</t>
  </si>
  <si>
    <t>Pelagic sharks and rays</t>
  </si>
  <si>
    <t>Seabirds</t>
  </si>
  <si>
    <t>Pinnipeds</t>
  </si>
  <si>
    <t>Other mammals</t>
  </si>
  <si>
    <t>Seaturtles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</si>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</sst>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D4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9" borderId="0" xfId="0" applyFill="1"/>
    <xf numFmtId="0" fontId="0" fillId="5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95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7" t="s">
        <v>171</v>
      </c>
      <c r="C53" s="113">
        <v>410</v>
      </c>
      <c r="D53" s="113"/>
    </row>
    <row r="54" spans="2:4" x14ac:dyDescent="0.15">
      <c r="B54" s="177" t="s">
        <v>172</v>
      </c>
      <c r="C54" s="177" t="s">
        <v>185</v>
      </c>
      <c r="D54" s="113"/>
    </row>
    <row r="55" spans="2:4" x14ac:dyDescent="0.15">
      <c r="B55" s="177" t="s">
        <v>173</v>
      </c>
      <c r="C55" s="177" t="s">
        <v>186</v>
      </c>
      <c r="D55" s="113"/>
    </row>
    <row r="56" spans="2:4" x14ac:dyDescent="0.15">
      <c r="B56" s="177" t="s">
        <v>174</v>
      </c>
      <c r="C56" s="113">
        <v>1</v>
      </c>
      <c r="D56" s="113"/>
    </row>
    <row r="57" spans="2:4" x14ac:dyDescent="0.15">
      <c r="B57" s="177" t="s">
        <v>175</v>
      </c>
      <c r="C57" s="177" t="s">
        <v>187</v>
      </c>
      <c r="D57" s="113"/>
    </row>
    <row r="58" spans="2:4" x14ac:dyDescent="0.15">
      <c r="B58" s="177" t="s">
        <v>176</v>
      </c>
      <c r="C58" s="177" t="s">
        <v>188</v>
      </c>
      <c r="D58" s="113"/>
    </row>
    <row r="59" spans="2:4" x14ac:dyDescent="0.15">
      <c r="B59" s="177" t="s">
        <v>177</v>
      </c>
      <c r="C59" s="177" t="s">
        <v>189</v>
      </c>
      <c r="D59" s="113"/>
    </row>
    <row r="60" spans="2:4" x14ac:dyDescent="0.15">
      <c r="B60" s="177" t="s">
        <v>178</v>
      </c>
      <c r="C60" s="177" t="s">
        <v>190</v>
      </c>
      <c r="D60" s="113"/>
    </row>
    <row r="61" spans="2:4" x14ac:dyDescent="0.15">
      <c r="B61" s="177" t="s">
        <v>179</v>
      </c>
      <c r="C61" s="113">
        <v>38</v>
      </c>
      <c r="D61" s="113"/>
    </row>
    <row r="62" spans="2:4" x14ac:dyDescent="0.15">
      <c r="B62" s="177" t="s">
        <v>180</v>
      </c>
      <c r="C62" s="113">
        <v>1</v>
      </c>
      <c r="D62" s="113"/>
    </row>
    <row r="63" spans="2:4" x14ac:dyDescent="0.15">
      <c r="B63" s="177" t="s">
        <v>181</v>
      </c>
      <c r="C63" s="113">
        <v>1970</v>
      </c>
      <c r="D63" s="113"/>
    </row>
    <row r="64" spans="2:4" x14ac:dyDescent="0.15">
      <c r="B64" s="177" t="s">
        <v>182</v>
      </c>
      <c r="C64" s="113">
        <v>1</v>
      </c>
      <c r="D64" s="113"/>
    </row>
    <row r="65" spans="2:4" x14ac:dyDescent="0.15">
      <c r="B65" s="177" t="s">
        <v>183</v>
      </c>
      <c r="C65" s="177" t="s">
        <v>191</v>
      </c>
      <c r="D65" s="113"/>
    </row>
    <row r="66" spans="2:4" x14ac:dyDescent="0.15">
      <c r="B66" s="177" t="s">
        <v>184</v>
      </c>
      <c r="D66" s="113"/>
    </row>
    <row r="67" spans="2:4" x14ac:dyDescent="0.15">
      <c r="B67" s="113"/>
      <c r="C67" s="113"/>
      <c r="D67" s="113"/>
    </row>
    <row r="68" spans="2:4" x14ac:dyDescent="0.15">
      <c r="B68" s="113"/>
      <c r="C68" s="113"/>
      <c r="D68" s="11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10" sqref="P10"/>
    </sheetView>
  </sheetViews>
  <sheetFormatPr baseColWidth="10" defaultColWidth="8.83203125" defaultRowHeight="15" customHeight="1" x14ac:dyDescent="0.15"/>
  <cols>
    <col min="1" max="1" width="22.5" style="83" customWidth="1"/>
    <col min="2" max="3" width="3.33203125" style="83" customWidth="1"/>
    <col min="4" max="4" width="14.33203125" style="83" customWidth="1"/>
    <col min="5" max="5" width="27.5" style="83" bestFit="1" customWidth="1"/>
    <col min="6" max="6" width="2.33203125" style="83" bestFit="1" customWidth="1"/>
    <col min="7" max="7" width="12.83203125" style="83" bestFit="1" customWidth="1"/>
    <col min="8" max="9" width="10.83203125" style="83" customWidth="1"/>
    <col min="10" max="10" width="12.83203125" style="83" customWidth="1"/>
    <col min="11" max="11" width="14.83203125" style="83" customWidth="1"/>
    <col min="12" max="12" width="12.5" style="83" customWidth="1"/>
    <col min="13" max="13" width="3.83203125" style="83" customWidth="1"/>
    <col min="14" max="14" width="2.3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100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0">
        <v>1</v>
      </c>
      <c r="D2"/>
      <c r="E2" s="178" t="s">
        <v>192</v>
      </c>
      <c r="F2" s="83">
        <v>1</v>
      </c>
      <c r="G2" s="83">
        <v>323</v>
      </c>
      <c r="H2" s="83">
        <v>399</v>
      </c>
      <c r="I2" s="6">
        <v>0</v>
      </c>
      <c r="J2" s="6">
        <v>3.5373397199999997E-2</v>
      </c>
      <c r="K2" s="6">
        <v>0</v>
      </c>
      <c r="L2" s="6">
        <v>0</v>
      </c>
      <c r="M2" s="83">
        <v>0</v>
      </c>
      <c r="N2" s="83">
        <v>0</v>
      </c>
    </row>
    <row r="3" spans="1:46" ht="15" customHeight="1" x14ac:dyDescent="0.15">
      <c r="A3" s="1" t="s">
        <v>9</v>
      </c>
      <c r="B3" s="4">
        <v>37</v>
      </c>
      <c r="C3" s="83">
        <v>2</v>
      </c>
      <c r="D3"/>
      <c r="E3" s="178" t="s">
        <v>193</v>
      </c>
      <c r="F3" s="83">
        <v>1</v>
      </c>
      <c r="G3" s="83">
        <v>153</v>
      </c>
      <c r="H3" s="83">
        <v>11.89</v>
      </c>
      <c r="I3" s="83">
        <v>0</v>
      </c>
      <c r="J3" s="83">
        <v>2.01404281E-2</v>
      </c>
      <c r="K3" s="83">
        <v>0</v>
      </c>
      <c r="L3" s="83">
        <v>0</v>
      </c>
      <c r="M3" s="83">
        <v>0</v>
      </c>
      <c r="N3" s="83">
        <v>0</v>
      </c>
    </row>
    <row r="4" spans="1:46" ht="15" customHeight="1" x14ac:dyDescent="0.15">
      <c r="A4" s="1" t="s">
        <v>10</v>
      </c>
      <c r="B4" s="4">
        <v>2</v>
      </c>
      <c r="C4" s="83">
        <v>3</v>
      </c>
      <c r="D4"/>
      <c r="E4" s="178" t="s">
        <v>194</v>
      </c>
      <c r="F4" s="83">
        <v>0</v>
      </c>
      <c r="G4" s="83">
        <v>33.799999999999997</v>
      </c>
      <c r="H4" s="83">
        <v>32</v>
      </c>
      <c r="I4" s="83">
        <v>192</v>
      </c>
      <c r="J4" s="83">
        <v>5.2651163199999997E-2</v>
      </c>
      <c r="K4" s="83">
        <v>0.16666667199999999</v>
      </c>
      <c r="L4" s="83">
        <v>0</v>
      </c>
      <c r="M4" s="83">
        <v>0.3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3">
        <v>4</v>
      </c>
      <c r="D5"/>
      <c r="E5" s="178" t="s">
        <v>195</v>
      </c>
      <c r="F5" s="83">
        <v>0</v>
      </c>
      <c r="G5" s="83">
        <v>0.14601702999999999</v>
      </c>
      <c r="H5" s="83">
        <v>5</v>
      </c>
      <c r="I5" s="83">
        <v>20</v>
      </c>
      <c r="J5" s="83">
        <v>0.95</v>
      </c>
      <c r="K5" s="83">
        <v>0.25</v>
      </c>
      <c r="L5" s="83">
        <v>0</v>
      </c>
      <c r="M5" s="83">
        <v>0.2</v>
      </c>
      <c r="N5" s="83">
        <v>0</v>
      </c>
      <c r="P5" s="72"/>
      <c r="Q5" s="72"/>
      <c r="R5" s="72"/>
    </row>
    <row r="6" spans="1:46" ht="15" customHeight="1" thickBot="1" x14ac:dyDescent="0.2">
      <c r="B6" s="1"/>
      <c r="C6" s="83">
        <v>5</v>
      </c>
      <c r="D6"/>
      <c r="E6" s="178" t="s">
        <v>196</v>
      </c>
      <c r="F6" s="83">
        <v>0</v>
      </c>
      <c r="G6" s="83">
        <v>3.43563676</v>
      </c>
      <c r="H6" s="83">
        <v>6.7500004799999997</v>
      </c>
      <c r="I6" s="83">
        <v>22.5</v>
      </c>
      <c r="J6" s="83">
        <v>0.95</v>
      </c>
      <c r="K6" s="83">
        <v>0.3</v>
      </c>
      <c r="L6" s="83">
        <v>0</v>
      </c>
      <c r="M6" s="83">
        <v>0.2</v>
      </c>
      <c r="N6" s="83">
        <v>0</v>
      </c>
      <c r="P6" s="72"/>
      <c r="Q6" s="72"/>
      <c r="R6" s="72"/>
      <c r="W6" s="36" t="s">
        <v>31</v>
      </c>
      <c r="X6" s="52">
        <f>MAX(MainOutputs!G:G)</f>
        <v>0.95002371072769165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474</v>
      </c>
      <c r="C7" s="83">
        <v>6</v>
      </c>
      <c r="D7"/>
      <c r="E7" s="178" t="s">
        <v>197</v>
      </c>
      <c r="F7" s="83">
        <v>0</v>
      </c>
      <c r="G7" s="83">
        <v>3.0649999999999999</v>
      </c>
      <c r="H7" s="83">
        <v>1.2</v>
      </c>
      <c r="I7" s="83">
        <v>3.58</v>
      </c>
      <c r="J7" s="83">
        <v>0.39895096400000002</v>
      </c>
      <c r="K7" s="83">
        <v>0.33519554099999999</v>
      </c>
      <c r="L7" s="83">
        <v>0</v>
      </c>
      <c r="M7" s="83">
        <v>0.2</v>
      </c>
      <c r="N7" s="83">
        <v>0</v>
      </c>
      <c r="P7" s="72"/>
      <c r="Q7" s="72"/>
      <c r="R7" s="72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74</v>
      </c>
      <c r="C8" s="83">
        <v>7</v>
      </c>
      <c r="D8"/>
      <c r="E8" s="178" t="s">
        <v>198</v>
      </c>
      <c r="F8" s="83">
        <v>0</v>
      </c>
      <c r="G8" s="83">
        <v>2.649</v>
      </c>
      <c r="H8" s="83">
        <v>5.65</v>
      </c>
      <c r="I8" s="83">
        <v>26.9</v>
      </c>
      <c r="J8" s="83">
        <v>0.6267935</v>
      </c>
      <c r="K8" s="83">
        <v>0.21003718699999999</v>
      </c>
      <c r="L8" s="83">
        <v>0</v>
      </c>
      <c r="M8" s="83">
        <v>0.2</v>
      </c>
      <c r="N8" s="83">
        <v>0</v>
      </c>
      <c r="P8" s="72"/>
      <c r="Q8" s="72"/>
      <c r="R8" s="72"/>
    </row>
    <row r="9" spans="1:46" ht="15" customHeight="1" x14ac:dyDescent="0.15">
      <c r="B9" s="1"/>
      <c r="C9" s="83">
        <v>8</v>
      </c>
      <c r="D9"/>
      <c r="E9" s="178" t="s">
        <v>199</v>
      </c>
      <c r="F9" s="83">
        <v>0</v>
      </c>
      <c r="G9" s="83">
        <v>13.747</v>
      </c>
      <c r="H9" s="83">
        <v>3</v>
      </c>
      <c r="I9" s="83">
        <v>7</v>
      </c>
      <c r="J9" s="83">
        <v>0.38476294300000002</v>
      </c>
      <c r="K9" s="83">
        <v>0.428571433</v>
      </c>
      <c r="L9" s="83">
        <v>0</v>
      </c>
      <c r="M9" s="83">
        <v>0.2</v>
      </c>
      <c r="N9" s="83">
        <v>0</v>
      </c>
      <c r="P9" s="72"/>
      <c r="Q9" s="72"/>
      <c r="R9" s="72"/>
    </row>
    <row r="10" spans="1:46" ht="15" customHeight="1" x14ac:dyDescent="0.15">
      <c r="B10" s="1"/>
      <c r="C10" s="83">
        <v>9</v>
      </c>
      <c r="D10"/>
      <c r="E10" s="178" t="s">
        <v>200</v>
      </c>
      <c r="F10" s="83">
        <v>0</v>
      </c>
      <c r="G10" s="83">
        <v>3.1139999999999999</v>
      </c>
      <c r="H10" s="83">
        <v>1</v>
      </c>
      <c r="I10" s="83">
        <v>9</v>
      </c>
      <c r="J10" s="83">
        <v>0.84566759999999996</v>
      </c>
      <c r="K10" s="83">
        <v>0.111111112</v>
      </c>
      <c r="L10" s="83">
        <v>0</v>
      </c>
      <c r="M10" s="83">
        <v>0.2</v>
      </c>
      <c r="N10" s="83">
        <v>0</v>
      </c>
    </row>
    <row r="11" spans="1:46" ht="15" customHeight="1" x14ac:dyDescent="0.15">
      <c r="C11" s="83">
        <v>10</v>
      </c>
      <c r="D11"/>
      <c r="E11" s="178" t="s">
        <v>201</v>
      </c>
      <c r="F11" s="83">
        <v>0</v>
      </c>
      <c r="G11" s="83">
        <v>0.42545348399999999</v>
      </c>
      <c r="H11" s="83">
        <v>5.4</v>
      </c>
      <c r="I11" s="83">
        <v>28.94</v>
      </c>
      <c r="J11" s="83">
        <v>0.95</v>
      </c>
      <c r="K11" s="83">
        <v>0.18659295100000001</v>
      </c>
      <c r="L11" s="83">
        <v>0</v>
      </c>
      <c r="M11" s="83">
        <v>0.2</v>
      </c>
      <c r="N11" s="83">
        <v>0</v>
      </c>
    </row>
    <row r="12" spans="1:46" ht="15" customHeight="1" x14ac:dyDescent="0.15">
      <c r="C12" s="83">
        <v>11</v>
      </c>
      <c r="D12"/>
      <c r="E12" s="178" t="s">
        <v>202</v>
      </c>
      <c r="F12" s="83">
        <v>0</v>
      </c>
      <c r="G12" s="83">
        <v>0.75114879999999995</v>
      </c>
      <c r="H12" s="83">
        <v>3</v>
      </c>
      <c r="I12" s="83">
        <v>12</v>
      </c>
      <c r="J12" s="83">
        <v>0.95</v>
      </c>
      <c r="K12" s="83">
        <v>0.25</v>
      </c>
      <c r="L12" s="83">
        <v>0</v>
      </c>
      <c r="M12" s="83">
        <v>0.2</v>
      </c>
      <c r="N12" s="83">
        <v>0</v>
      </c>
    </row>
    <row r="13" spans="1:46" ht="15" customHeight="1" x14ac:dyDescent="0.15">
      <c r="C13" s="83">
        <v>12</v>
      </c>
      <c r="D13"/>
      <c r="E13" s="178" t="s">
        <v>203</v>
      </c>
      <c r="F13" s="83">
        <v>0</v>
      </c>
      <c r="G13" s="83">
        <v>0.46880117100000002</v>
      </c>
      <c r="H13" s="83">
        <v>3.1</v>
      </c>
      <c r="I13" s="83">
        <v>8</v>
      </c>
      <c r="J13" s="83">
        <v>0.5</v>
      </c>
      <c r="K13" s="83">
        <v>0.38750000000000001</v>
      </c>
      <c r="L13" s="83">
        <v>0</v>
      </c>
      <c r="M13" s="83">
        <v>0.2</v>
      </c>
      <c r="N13" s="83">
        <v>0</v>
      </c>
    </row>
    <row r="14" spans="1:46" ht="15" customHeight="1" x14ac:dyDescent="0.15">
      <c r="C14" s="83">
        <v>13</v>
      </c>
      <c r="D14"/>
      <c r="E14" s="178" t="s">
        <v>204</v>
      </c>
      <c r="F14" s="83">
        <v>0</v>
      </c>
      <c r="G14" s="83">
        <v>1.04</v>
      </c>
      <c r="H14" s="83">
        <v>0.74</v>
      </c>
      <c r="I14" s="83">
        <v>8.1</v>
      </c>
      <c r="J14" s="83">
        <v>0.46895940000000003</v>
      </c>
      <c r="K14" s="83">
        <v>9.1358019999999998E-2</v>
      </c>
      <c r="L14" s="83">
        <v>0</v>
      </c>
      <c r="M14" s="83">
        <v>0.2</v>
      </c>
      <c r="N14" s="83">
        <v>0</v>
      </c>
    </row>
    <row r="15" spans="1:46" ht="15" customHeight="1" x14ac:dyDescent="0.15">
      <c r="C15" s="83">
        <v>14</v>
      </c>
      <c r="D15"/>
      <c r="E15" s="178" t="s">
        <v>205</v>
      </c>
      <c r="F15" s="83">
        <v>0</v>
      </c>
      <c r="G15" s="83">
        <v>0.318</v>
      </c>
      <c r="H15" s="83">
        <v>1.21</v>
      </c>
      <c r="I15" s="83">
        <v>11.3</v>
      </c>
      <c r="J15" s="83">
        <v>0.32826945200000002</v>
      </c>
      <c r="K15" s="83">
        <v>0.107079647</v>
      </c>
      <c r="L15" s="83">
        <v>0</v>
      </c>
      <c r="M15" s="83">
        <v>0.2</v>
      </c>
      <c r="N15" s="83">
        <v>0</v>
      </c>
    </row>
    <row r="16" spans="1:46" ht="15" customHeight="1" x14ac:dyDescent="0.15">
      <c r="C16" s="83">
        <v>15</v>
      </c>
      <c r="D16"/>
      <c r="E16" s="178" t="s">
        <v>206</v>
      </c>
      <c r="F16" s="83">
        <v>0</v>
      </c>
      <c r="G16" s="83">
        <v>0.3</v>
      </c>
      <c r="H16" s="83">
        <v>2.2999999999999998</v>
      </c>
      <c r="I16" s="83">
        <v>5.407</v>
      </c>
      <c r="J16" s="83">
        <v>0.24056787800000001</v>
      </c>
      <c r="K16" s="83">
        <v>0.42537449999999999</v>
      </c>
      <c r="L16" s="83">
        <v>0</v>
      </c>
      <c r="M16" s="83">
        <v>0.2</v>
      </c>
      <c r="N16" s="83">
        <v>0</v>
      </c>
    </row>
    <row r="17" spans="1:22" ht="15" customHeight="1" x14ac:dyDescent="0.15">
      <c r="C17" s="83">
        <v>16</v>
      </c>
      <c r="D17"/>
      <c r="E17" s="178" t="s">
        <v>207</v>
      </c>
      <c r="F17" s="83">
        <v>0</v>
      </c>
      <c r="G17" s="83">
        <v>3.4021750000000003E-2</v>
      </c>
      <c r="H17" s="83">
        <v>2.2999999999999998</v>
      </c>
      <c r="I17" s="83">
        <v>13.4097948</v>
      </c>
      <c r="J17" s="83">
        <v>0.32881566899999998</v>
      </c>
      <c r="K17" s="83">
        <v>0.171516418</v>
      </c>
      <c r="L17" s="83">
        <v>0</v>
      </c>
      <c r="M17" s="83">
        <v>0.2</v>
      </c>
      <c r="N17" s="83">
        <v>0</v>
      </c>
      <c r="V17" s="1" t="s">
        <v>30</v>
      </c>
    </row>
    <row r="18" spans="1:22" ht="15" customHeight="1" x14ac:dyDescent="0.15">
      <c r="C18" s="83">
        <v>17</v>
      </c>
      <c r="D18"/>
      <c r="E18" s="178" t="s">
        <v>208</v>
      </c>
      <c r="F18" s="83">
        <v>0</v>
      </c>
      <c r="G18" s="83">
        <v>4.2599994699999998E-2</v>
      </c>
      <c r="H18" s="83">
        <v>1.5</v>
      </c>
      <c r="I18" s="83">
        <v>6.20700026</v>
      </c>
      <c r="J18" s="83">
        <v>0.32677704099999999</v>
      </c>
      <c r="K18" s="83">
        <v>0.24166263599999999</v>
      </c>
      <c r="L18" s="83">
        <v>0</v>
      </c>
      <c r="M18" s="83">
        <v>0.2</v>
      </c>
      <c r="N18" s="83">
        <v>0</v>
      </c>
      <c r="V18" s="1"/>
    </row>
    <row r="19" spans="1:22" ht="15" customHeight="1" x14ac:dyDescent="0.15">
      <c r="C19" s="83">
        <v>18</v>
      </c>
      <c r="D19"/>
      <c r="E19" s="178" t="s">
        <v>209</v>
      </c>
      <c r="F19" s="83">
        <v>0</v>
      </c>
      <c r="G19" s="83">
        <v>6.4943210000000001E-2</v>
      </c>
      <c r="H19" s="83">
        <v>1.3</v>
      </c>
      <c r="I19" s="83">
        <v>6.38</v>
      </c>
      <c r="J19" s="83">
        <v>0.95</v>
      </c>
      <c r="K19" s="83">
        <v>0.203761742</v>
      </c>
      <c r="L19" s="83">
        <v>0</v>
      </c>
      <c r="M19" s="83">
        <v>0.2</v>
      </c>
      <c r="N19" s="83">
        <v>0</v>
      </c>
    </row>
    <row r="20" spans="1:22" ht="15" customHeight="1" thickBot="1" x14ac:dyDescent="0.2">
      <c r="C20" s="83">
        <v>19</v>
      </c>
      <c r="D20"/>
      <c r="E20" s="178" t="s">
        <v>210</v>
      </c>
      <c r="F20" s="83">
        <v>0</v>
      </c>
      <c r="G20" s="83">
        <v>1.400712E-2</v>
      </c>
      <c r="H20" s="83">
        <v>1.34</v>
      </c>
      <c r="I20" s="83">
        <v>8.984</v>
      </c>
      <c r="J20" s="83">
        <v>0.95</v>
      </c>
      <c r="K20" s="83">
        <v>0.14915405200000001</v>
      </c>
      <c r="L20" s="83">
        <v>0</v>
      </c>
      <c r="M20" s="83">
        <v>0.2</v>
      </c>
      <c r="N20" s="83">
        <v>0</v>
      </c>
    </row>
    <row r="21" spans="1:22" ht="15" customHeight="1" thickBot="1" x14ac:dyDescent="0.2">
      <c r="A21" s="47" t="s">
        <v>137</v>
      </c>
      <c r="B21" s="101"/>
      <c r="C21" s="83">
        <v>20</v>
      </c>
      <c r="D21"/>
      <c r="E21" s="178" t="s">
        <v>211</v>
      </c>
      <c r="F21" s="83">
        <v>0</v>
      </c>
      <c r="G21" s="83">
        <v>0.04</v>
      </c>
      <c r="H21" s="83">
        <v>0.85</v>
      </c>
      <c r="I21" s="83">
        <v>6.1</v>
      </c>
      <c r="J21" s="83">
        <v>0.37514259999999999</v>
      </c>
      <c r="K21" s="83">
        <v>0.13934427499999999</v>
      </c>
      <c r="L21" s="83">
        <v>0</v>
      </c>
      <c r="M21" s="83">
        <v>0.2</v>
      </c>
      <c r="N21" s="83">
        <v>0</v>
      </c>
    </row>
    <row r="22" spans="1:22" ht="15" customHeight="1" x14ac:dyDescent="0.15">
      <c r="A22" s="102" t="s">
        <v>58</v>
      </c>
      <c r="B22" s="103">
        <v>0</v>
      </c>
      <c r="C22" s="83">
        <v>21</v>
      </c>
      <c r="D22"/>
      <c r="E22" s="178" t="s">
        <v>212</v>
      </c>
      <c r="F22" s="83">
        <v>0</v>
      </c>
      <c r="G22" s="83">
        <v>0.28899999999999998</v>
      </c>
      <c r="H22" s="83">
        <v>2.36</v>
      </c>
      <c r="I22" s="83">
        <v>11.276</v>
      </c>
      <c r="J22" s="83">
        <v>0.78387709999999999</v>
      </c>
      <c r="K22" s="83">
        <v>0.209294066</v>
      </c>
      <c r="L22" s="83">
        <v>0</v>
      </c>
      <c r="M22" s="83">
        <v>0.2</v>
      </c>
      <c r="N22" s="83">
        <v>0</v>
      </c>
    </row>
    <row r="23" spans="1:22" ht="15" customHeight="1" x14ac:dyDescent="0.15">
      <c r="A23" s="102" t="s">
        <v>59</v>
      </c>
      <c r="B23" s="103">
        <v>1</v>
      </c>
      <c r="C23" s="83">
        <v>22</v>
      </c>
      <c r="D23"/>
      <c r="E23" s="178" t="s">
        <v>213</v>
      </c>
      <c r="F23" s="83">
        <v>0</v>
      </c>
      <c r="G23" s="83">
        <v>4.2493265099999997E-2</v>
      </c>
      <c r="H23" s="83">
        <v>2.36</v>
      </c>
      <c r="I23" s="83">
        <v>15.650918000000001</v>
      </c>
      <c r="J23" s="83">
        <v>0.95548933700000005</v>
      </c>
      <c r="K23" s="83">
        <v>0.15078987199999999</v>
      </c>
      <c r="L23" s="83">
        <v>-0.1</v>
      </c>
      <c r="M23" s="83">
        <v>0.2</v>
      </c>
      <c r="N23" s="83">
        <v>0</v>
      </c>
    </row>
    <row r="24" spans="1:22" ht="15" customHeight="1" x14ac:dyDescent="0.15">
      <c r="A24" s="102" t="s">
        <v>60</v>
      </c>
      <c r="B24" s="103">
        <v>2</v>
      </c>
      <c r="C24" s="83">
        <v>23</v>
      </c>
      <c r="D24"/>
      <c r="E24" s="178" t="s">
        <v>214</v>
      </c>
      <c r="F24" s="83">
        <v>0</v>
      </c>
      <c r="G24" s="83">
        <v>9.4999970000000003E-2</v>
      </c>
      <c r="H24" s="83">
        <v>1.43</v>
      </c>
      <c r="I24" s="83">
        <v>6.2320013000000003</v>
      </c>
      <c r="J24" s="83">
        <v>0.61122430000000005</v>
      </c>
      <c r="K24" s="83">
        <v>0.229460791</v>
      </c>
      <c r="L24" s="83">
        <v>-0.100000031</v>
      </c>
      <c r="M24" s="83">
        <v>0.2</v>
      </c>
      <c r="N24" s="83">
        <v>0</v>
      </c>
    </row>
    <row r="25" spans="1:22" ht="15" customHeight="1" thickBot="1" x14ac:dyDescent="0.2">
      <c r="A25" s="104" t="s">
        <v>44</v>
      </c>
      <c r="B25" s="105">
        <v>3</v>
      </c>
      <c r="C25" s="83">
        <v>24</v>
      </c>
      <c r="D25"/>
      <c r="E25" s="178" t="s">
        <v>215</v>
      </c>
      <c r="F25" s="83">
        <v>0</v>
      </c>
      <c r="G25" s="83">
        <v>1.540864</v>
      </c>
      <c r="H25" s="83">
        <v>2.7</v>
      </c>
      <c r="I25" s="83">
        <v>13.026999999999999</v>
      </c>
      <c r="J25" s="83">
        <v>0.95</v>
      </c>
      <c r="K25" s="83">
        <v>0.20726183100000001</v>
      </c>
      <c r="L25" s="83">
        <v>0</v>
      </c>
      <c r="M25" s="83">
        <v>0.2</v>
      </c>
      <c r="N25" s="83">
        <v>0</v>
      </c>
    </row>
    <row r="26" spans="1:22" ht="15" customHeight="1" x14ac:dyDescent="0.15">
      <c r="A26" s="106" t="s">
        <v>140</v>
      </c>
      <c r="C26" s="83">
        <v>25</v>
      </c>
      <c r="D26"/>
      <c r="E26" s="178" t="s">
        <v>216</v>
      </c>
      <c r="F26" s="83">
        <v>0</v>
      </c>
      <c r="G26" s="83">
        <v>0.11159854399999999</v>
      </c>
      <c r="H26" s="83">
        <v>2.6</v>
      </c>
      <c r="I26" s="83">
        <v>15.460701</v>
      </c>
      <c r="J26" s="83">
        <v>0.63760530000000004</v>
      </c>
      <c r="K26" s="83">
        <v>0.16816829999999999</v>
      </c>
      <c r="L26" s="83">
        <v>-0.1</v>
      </c>
      <c r="M26" s="83">
        <v>0.2</v>
      </c>
      <c r="N26" s="83">
        <v>0</v>
      </c>
    </row>
    <row r="27" spans="1:22" ht="15" customHeight="1" x14ac:dyDescent="0.15">
      <c r="C27" s="83">
        <v>26</v>
      </c>
      <c r="D27"/>
      <c r="E27" s="178" t="s">
        <v>217</v>
      </c>
      <c r="F27" s="83">
        <v>0</v>
      </c>
      <c r="G27" s="83">
        <v>0.19499997799999999</v>
      </c>
      <c r="H27" s="83">
        <v>1.44</v>
      </c>
      <c r="I27" s="83">
        <v>6.2070016900000002</v>
      </c>
      <c r="J27" s="83">
        <v>0.42425787399999998</v>
      </c>
      <c r="K27" s="83">
        <v>0.231996074</v>
      </c>
      <c r="L27" s="83">
        <v>-0.100000016</v>
      </c>
      <c r="M27" s="83">
        <v>0.2</v>
      </c>
      <c r="N27" s="83">
        <v>0</v>
      </c>
    </row>
    <row r="28" spans="1:22" ht="15" customHeight="1" x14ac:dyDescent="0.15">
      <c r="C28" s="83">
        <v>27</v>
      </c>
      <c r="D28"/>
      <c r="E28" s="178" t="s">
        <v>218</v>
      </c>
      <c r="F28" s="83">
        <v>0</v>
      </c>
      <c r="G28" s="83">
        <v>0.51554509999999998</v>
      </c>
      <c r="H28" s="83">
        <v>3</v>
      </c>
      <c r="I28" s="83">
        <v>15</v>
      </c>
      <c r="J28" s="83">
        <v>0.95</v>
      </c>
      <c r="K28" s="83">
        <v>0.2</v>
      </c>
      <c r="L28" s="83">
        <v>0</v>
      </c>
      <c r="M28" s="83">
        <v>0.2</v>
      </c>
      <c r="N28" s="83">
        <v>0</v>
      </c>
    </row>
    <row r="29" spans="1:22" customFormat="1" ht="15" customHeight="1" x14ac:dyDescent="0.15">
      <c r="C29" s="83">
        <v>28</v>
      </c>
      <c r="E29" s="178" t="s">
        <v>219</v>
      </c>
      <c r="F29" s="83">
        <v>0</v>
      </c>
      <c r="G29" s="83">
        <v>0.114</v>
      </c>
      <c r="H29" s="83">
        <v>2.2400000000000002</v>
      </c>
      <c r="I29" s="83">
        <v>24.7</v>
      </c>
      <c r="J29" s="83">
        <v>0.51572996400000004</v>
      </c>
      <c r="K29" s="83">
        <v>9.0688260000000007E-2</v>
      </c>
      <c r="L29" s="83">
        <v>0</v>
      </c>
      <c r="M29" s="83">
        <v>0.2</v>
      </c>
      <c r="N29" s="83">
        <v>0</v>
      </c>
    </row>
    <row r="30" spans="1:22" customFormat="1" ht="15" customHeight="1" x14ac:dyDescent="0.15">
      <c r="C30" s="83">
        <v>29</v>
      </c>
      <c r="E30" s="178" t="s">
        <v>220</v>
      </c>
      <c r="F30" s="83">
        <v>0</v>
      </c>
      <c r="G30" s="83">
        <v>1.0352517400000001</v>
      </c>
      <c r="H30" s="83">
        <v>2.87</v>
      </c>
      <c r="I30" s="83">
        <v>12.215999999999999</v>
      </c>
      <c r="J30" s="83">
        <v>0.95</v>
      </c>
      <c r="K30" s="83">
        <v>0.23493778700000001</v>
      </c>
      <c r="L30" s="83">
        <v>0</v>
      </c>
      <c r="M30" s="83">
        <v>0.2</v>
      </c>
      <c r="N30" s="83">
        <v>0</v>
      </c>
    </row>
    <row r="31" spans="1:22" customFormat="1" ht="15" customHeight="1" x14ac:dyDescent="0.15">
      <c r="C31" s="83">
        <v>30</v>
      </c>
      <c r="E31" s="178" t="s">
        <v>221</v>
      </c>
      <c r="F31" s="83">
        <v>0</v>
      </c>
      <c r="G31" s="83">
        <v>0.11786595</v>
      </c>
      <c r="H31" s="83">
        <v>2.87</v>
      </c>
      <c r="I31" s="83">
        <v>14.372629999999999</v>
      </c>
      <c r="J31" s="83">
        <v>0.60702145100000005</v>
      </c>
      <c r="K31" s="83">
        <v>0.19968508200000001</v>
      </c>
      <c r="L31" s="83">
        <v>0</v>
      </c>
      <c r="M31" s="83">
        <v>0.2</v>
      </c>
      <c r="N31" s="83">
        <v>0</v>
      </c>
    </row>
    <row r="32" spans="1:22" customFormat="1" ht="15" customHeight="1" x14ac:dyDescent="0.15">
      <c r="C32" s="83">
        <v>31</v>
      </c>
      <c r="E32" s="178" t="s">
        <v>222</v>
      </c>
      <c r="F32" s="83">
        <v>0</v>
      </c>
      <c r="G32" s="83">
        <v>0.15800002199999999</v>
      </c>
      <c r="H32" s="83">
        <v>0.9</v>
      </c>
      <c r="I32" s="83">
        <v>6.2769979999999999</v>
      </c>
      <c r="J32" s="83">
        <v>0.282511652</v>
      </c>
      <c r="K32" s="83">
        <v>0.143380642</v>
      </c>
      <c r="L32" s="83">
        <v>0</v>
      </c>
      <c r="M32" s="83">
        <v>0.2</v>
      </c>
      <c r="N32" s="83">
        <v>0</v>
      </c>
    </row>
    <row r="33" spans="3:14" customFormat="1" ht="15" customHeight="1" x14ac:dyDescent="0.15">
      <c r="C33" s="83">
        <v>32</v>
      </c>
      <c r="E33" s="178" t="s">
        <v>223</v>
      </c>
      <c r="F33" s="83">
        <v>0</v>
      </c>
      <c r="G33" s="83">
        <v>0.04</v>
      </c>
      <c r="H33" s="83">
        <v>1.26</v>
      </c>
      <c r="I33" s="83">
        <v>6.2999997099999998</v>
      </c>
      <c r="J33" s="83">
        <v>0.36406904499999998</v>
      </c>
      <c r="K33" s="83">
        <v>0.2</v>
      </c>
      <c r="L33" s="83">
        <v>0</v>
      </c>
      <c r="M33" s="83">
        <v>0.2</v>
      </c>
      <c r="N33" s="83">
        <v>0</v>
      </c>
    </row>
    <row r="34" spans="3:14" customFormat="1" ht="15" customHeight="1" x14ac:dyDescent="0.15">
      <c r="C34" s="83">
        <v>33</v>
      </c>
      <c r="E34" s="178" t="s">
        <v>224</v>
      </c>
      <c r="F34" s="83">
        <v>0</v>
      </c>
      <c r="G34" s="83">
        <v>2.8412014199999999E-2</v>
      </c>
      <c r="H34" s="83">
        <v>0.39</v>
      </c>
      <c r="I34" s="83">
        <v>1.9499999299999999</v>
      </c>
      <c r="J34" s="83">
        <v>0.5</v>
      </c>
      <c r="K34" s="83">
        <v>0.2</v>
      </c>
      <c r="L34" s="83">
        <v>0</v>
      </c>
      <c r="M34" s="83">
        <v>0.2</v>
      </c>
      <c r="N34" s="83">
        <v>0</v>
      </c>
    </row>
    <row r="35" spans="3:14" customFormat="1" ht="15" customHeight="1" x14ac:dyDescent="0.15">
      <c r="C35" s="83">
        <v>34</v>
      </c>
      <c r="E35" s="178" t="s">
        <v>225</v>
      </c>
      <c r="F35" s="83">
        <v>0</v>
      </c>
      <c r="G35" s="83">
        <v>2.1979999999999999E-3</v>
      </c>
      <c r="H35" s="83">
        <v>0.06</v>
      </c>
      <c r="I35" s="83">
        <v>67.759</v>
      </c>
      <c r="J35" s="83">
        <v>4.6176304999999999E-3</v>
      </c>
      <c r="K35" s="83">
        <v>8.8549114300000005E-4</v>
      </c>
      <c r="L35" s="83">
        <v>0</v>
      </c>
      <c r="M35" s="83">
        <v>0.2</v>
      </c>
      <c r="N35" s="83">
        <v>0</v>
      </c>
    </row>
    <row r="36" spans="3:14" customFormat="1" ht="15" customHeight="1" x14ac:dyDescent="0.15">
      <c r="C36" s="83">
        <v>35</v>
      </c>
      <c r="E36" s="178" t="s">
        <v>226</v>
      </c>
      <c r="F36" s="83">
        <v>0</v>
      </c>
      <c r="G36" s="83">
        <v>4.5999999999999999E-3</v>
      </c>
      <c r="H36" s="83">
        <v>4.4999999999999998E-2</v>
      </c>
      <c r="I36" s="83">
        <v>14.768000000000001</v>
      </c>
      <c r="J36" s="83">
        <v>0.67927040000000005</v>
      </c>
      <c r="K36" s="83">
        <v>3.0471291399999999E-3</v>
      </c>
      <c r="L36" s="83">
        <v>0</v>
      </c>
      <c r="M36" s="83">
        <v>0.2</v>
      </c>
      <c r="N36" s="83">
        <v>0</v>
      </c>
    </row>
    <row r="37" spans="3:14" customFormat="1" ht="15" customHeight="1" x14ac:dyDescent="0.15">
      <c r="C37" s="83">
        <v>36</v>
      </c>
      <c r="E37" s="178" t="s">
        <v>227</v>
      </c>
      <c r="F37" s="83">
        <v>0</v>
      </c>
      <c r="G37" s="83">
        <v>1.5800000000000002E-2</v>
      </c>
      <c r="H37" s="83">
        <v>0.112</v>
      </c>
      <c r="I37" s="83">
        <v>10.523</v>
      </c>
      <c r="J37" s="83">
        <v>6.8124779999999996E-2</v>
      </c>
      <c r="K37" s="83">
        <v>1.06433537E-2</v>
      </c>
      <c r="L37" s="83">
        <v>0</v>
      </c>
      <c r="M37" s="83">
        <v>0.2</v>
      </c>
      <c r="N37" s="83">
        <v>0</v>
      </c>
    </row>
    <row r="38" spans="3:14" customFormat="1" ht="15" customHeight="1" x14ac:dyDescent="0.15">
      <c r="C38" s="83">
        <v>37</v>
      </c>
      <c r="E38" s="178" t="s">
        <v>228</v>
      </c>
      <c r="F38" s="83">
        <v>0</v>
      </c>
      <c r="G38" s="83">
        <v>2.0000000000000001E-4</v>
      </c>
      <c r="H38" s="83">
        <v>0.1</v>
      </c>
      <c r="I38" s="83">
        <v>3.5</v>
      </c>
      <c r="J38" s="83">
        <v>0.50304484400000005</v>
      </c>
      <c r="K38" s="83">
        <v>2.8571428699999998E-2</v>
      </c>
      <c r="L38" s="83">
        <v>0</v>
      </c>
      <c r="M38" s="83">
        <v>0.2</v>
      </c>
      <c r="N38" s="83">
        <v>0</v>
      </c>
    </row>
    <row r="39" spans="3:14" customFormat="1" ht="15" customHeight="1" x14ac:dyDescent="0.15">
      <c r="C39" s="83">
        <v>38</v>
      </c>
      <c r="E39" s="178" t="s">
        <v>229</v>
      </c>
      <c r="F39" s="83">
        <v>2</v>
      </c>
      <c r="G39" s="83">
        <v>100</v>
      </c>
      <c r="H39" s="83">
        <v>0</v>
      </c>
      <c r="I39" s="83">
        <v>0</v>
      </c>
      <c r="J39" s="83">
        <v>0</v>
      </c>
      <c r="K39" s="83">
        <v>0</v>
      </c>
      <c r="L39" s="83">
        <v>0</v>
      </c>
      <c r="M39" s="83">
        <v>0</v>
      </c>
      <c r="N39" s="83">
        <v>0</v>
      </c>
    </row>
    <row r="40" spans="3:14" customFormat="1" ht="15" customHeight="1" x14ac:dyDescent="0.15">
      <c r="C40" s="83">
        <v>39</v>
      </c>
      <c r="E40" s="178" t="s">
        <v>230</v>
      </c>
      <c r="F40" s="83">
        <v>2</v>
      </c>
      <c r="G40" s="83">
        <v>5</v>
      </c>
      <c r="H40" s="83">
        <v>0</v>
      </c>
      <c r="I40" s="83">
        <v>0</v>
      </c>
      <c r="J40" s="83">
        <v>0</v>
      </c>
      <c r="K40" s="83">
        <v>0</v>
      </c>
      <c r="L40" s="83">
        <v>0</v>
      </c>
      <c r="M40" s="83">
        <v>0</v>
      </c>
      <c r="N40" s="83">
        <v>0</v>
      </c>
    </row>
    <row r="41" spans="3:14" customFormat="1" ht="15" customHeight="1" x14ac:dyDescent="0.15">
      <c r="C41" s="83">
        <v>40</v>
      </c>
      <c r="E41" s="178" t="s">
        <v>231</v>
      </c>
      <c r="F41" s="83">
        <v>3</v>
      </c>
      <c r="G41" s="83">
        <v>0</v>
      </c>
      <c r="H41" s="83">
        <v>0</v>
      </c>
      <c r="I41" s="83">
        <v>0</v>
      </c>
      <c r="J41" s="83">
        <v>0</v>
      </c>
      <c r="K41" s="83">
        <v>0</v>
      </c>
      <c r="L41" s="83">
        <v>0</v>
      </c>
      <c r="M41" s="83">
        <v>0</v>
      </c>
      <c r="N41" s="83">
        <v>0</v>
      </c>
    </row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N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7.5" style="145" bestFit="1" customWidth="1"/>
    <col min="2" max="3" width="2.33203125" style="145" bestFit="1" customWidth="1"/>
    <col min="4" max="5" width="3.83203125" style="145" bestFit="1" customWidth="1"/>
    <col min="6" max="6" width="2.33203125" style="145" bestFit="1" customWidth="1"/>
    <col min="7" max="8" width="14.83203125" style="145" bestFit="1" customWidth="1"/>
    <col min="9" max="9" width="5.83203125" style="145" bestFit="1" customWidth="1"/>
    <col min="10" max="10" width="3.83203125" style="145" bestFit="1" customWidth="1"/>
    <col min="11" max="12" width="13.83203125" style="145" bestFit="1" customWidth="1"/>
    <col min="13" max="14" width="15.83203125" style="145" bestFit="1" customWidth="1"/>
    <col min="15" max="15" width="14.83203125" style="145" bestFit="1" customWidth="1"/>
    <col min="16" max="16" width="15.83203125" style="145" bestFit="1" customWidth="1"/>
    <col min="17" max="18" width="5.83203125" style="145" bestFit="1" customWidth="1"/>
    <col min="19" max="19" width="15.83203125" style="145" bestFit="1" customWidth="1"/>
    <col min="20" max="20" width="14.83203125" style="145" bestFit="1" customWidth="1"/>
    <col min="21" max="21" width="15.83203125" style="145" bestFit="1" customWidth="1"/>
    <col min="22" max="23" width="14.83203125" style="145" bestFit="1" customWidth="1"/>
    <col min="24" max="28" width="15.83203125" style="145" bestFit="1" customWidth="1"/>
    <col min="29" max="29" width="5.83203125" style="145" bestFit="1" customWidth="1"/>
    <col min="30" max="30" width="14.83203125" style="145" customWidth="1"/>
    <col min="31" max="34" width="15.83203125" style="145" customWidth="1"/>
    <col min="35" max="36" width="14.83203125" style="145" customWidth="1"/>
    <col min="37" max="38" width="15.83203125" style="145" customWidth="1"/>
    <col min="39" max="40" width="2.33203125" style="145" customWidth="1"/>
    <col min="41" max="16384" width="8.83203125" style="145"/>
  </cols>
  <sheetData>
    <row r="1" spans="1:40" x14ac:dyDescent="0.15">
      <c r="A1" s="144" t="s">
        <v>19</v>
      </c>
      <c r="B1" s="180" t="s">
        <v>192</v>
      </c>
      <c r="C1" s="180" t="s">
        <v>193</v>
      </c>
      <c r="D1" s="180" t="s">
        <v>194</v>
      </c>
      <c r="E1" s="180" t="s">
        <v>195</v>
      </c>
      <c r="F1" s="180" t="s">
        <v>196</v>
      </c>
      <c r="G1" s="180" t="s">
        <v>197</v>
      </c>
      <c r="H1" s="180" t="s">
        <v>198</v>
      </c>
      <c r="I1" s="180" t="s">
        <v>199</v>
      </c>
      <c r="J1" s="180" t="s">
        <v>200</v>
      </c>
      <c r="K1" s="180" t="s">
        <v>201</v>
      </c>
      <c r="L1" s="180" t="s">
        <v>202</v>
      </c>
      <c r="M1" s="180" t="s">
        <v>203</v>
      </c>
      <c r="N1" s="180" t="s">
        <v>204</v>
      </c>
      <c r="O1" s="180" t="s">
        <v>205</v>
      </c>
      <c r="P1" s="180" t="s">
        <v>206</v>
      </c>
      <c r="Q1" s="180" t="s">
        <v>207</v>
      </c>
      <c r="R1" s="180" t="s">
        <v>208</v>
      </c>
      <c r="S1" s="180" t="s">
        <v>209</v>
      </c>
      <c r="T1" s="180" t="s">
        <v>210</v>
      </c>
      <c r="U1" s="180" t="s">
        <v>211</v>
      </c>
      <c r="V1" s="180" t="s">
        <v>212</v>
      </c>
      <c r="W1" s="180" t="s">
        <v>213</v>
      </c>
      <c r="X1" s="180" t="s">
        <v>214</v>
      </c>
      <c r="Y1" s="180" t="s">
        <v>215</v>
      </c>
      <c r="Z1" s="180" t="s">
        <v>216</v>
      </c>
      <c r="AA1" s="180" t="s">
        <v>217</v>
      </c>
      <c r="AB1" s="180" t="s">
        <v>218</v>
      </c>
      <c r="AC1" s="180" t="s">
        <v>219</v>
      </c>
      <c r="AD1" s="180" t="s">
        <v>220</v>
      </c>
      <c r="AE1" s="180" t="s">
        <v>221</v>
      </c>
      <c r="AF1" s="180" t="s">
        <v>222</v>
      </c>
      <c r="AG1" s="180" t="s">
        <v>223</v>
      </c>
      <c r="AH1" s="180" t="s">
        <v>224</v>
      </c>
      <c r="AI1" s="180" t="s">
        <v>225</v>
      </c>
      <c r="AJ1" s="180" t="s">
        <v>226</v>
      </c>
      <c r="AK1" s="180" t="s">
        <v>227</v>
      </c>
      <c r="AL1" s="180" t="s">
        <v>228</v>
      </c>
      <c r="AM1" s="180" t="s">
        <v>229</v>
      </c>
      <c r="AN1" s="180" t="s">
        <v>230</v>
      </c>
    </row>
    <row r="2" spans="1:40" customFormat="1" x14ac:dyDescent="0.15">
      <c r="A2" s="179" t="s">
        <v>192</v>
      </c>
      <c r="B2" s="145">
        <v>0</v>
      </c>
      <c r="C2" s="145">
        <v>0</v>
      </c>
      <c r="D2" s="145">
        <v>0.7</v>
      </c>
      <c r="E2" s="145">
        <v>0</v>
      </c>
      <c r="F2" s="145">
        <v>0</v>
      </c>
      <c r="G2" s="145">
        <v>2.9999998393599858E-3</v>
      </c>
      <c r="H2" s="145">
        <v>7.000000478779965E-2</v>
      </c>
      <c r="I2" s="145">
        <v>7.0000000000000007E-2</v>
      </c>
      <c r="J2" s="145">
        <v>0</v>
      </c>
      <c r="K2" s="145">
        <v>2.7486257731534246E-2</v>
      </c>
      <c r="L2" s="145">
        <v>0</v>
      </c>
      <c r="M2" s="145">
        <v>0</v>
      </c>
      <c r="N2" s="145">
        <v>1.499999944905004E-2</v>
      </c>
      <c r="O2" s="145">
        <v>0</v>
      </c>
      <c r="P2" s="145">
        <v>0</v>
      </c>
      <c r="Q2" s="145">
        <v>0</v>
      </c>
      <c r="R2" s="145">
        <v>0</v>
      </c>
      <c r="S2" s="145">
        <v>9.9999995014000576E-3</v>
      </c>
      <c r="T2" s="145">
        <v>0</v>
      </c>
      <c r="U2" s="145">
        <v>0</v>
      </c>
      <c r="V2" s="145">
        <v>0</v>
      </c>
      <c r="W2" s="145">
        <v>0</v>
      </c>
      <c r="X2" s="145">
        <v>0</v>
      </c>
      <c r="Y2" s="145">
        <v>1.3011788732574948E-2</v>
      </c>
      <c r="Z2" s="145">
        <v>1.3013143350193686E-2</v>
      </c>
      <c r="AA2" s="145">
        <v>0</v>
      </c>
      <c r="AB2" s="145">
        <v>0.14558866509465226</v>
      </c>
      <c r="AC2" s="145">
        <v>1.9E-2</v>
      </c>
      <c r="AD2" s="145">
        <v>0.1811835283454758</v>
      </c>
      <c r="AE2" s="145">
        <v>6.2962413736779355E-2</v>
      </c>
      <c r="AF2" s="145">
        <v>1.1003790908845191E-2</v>
      </c>
      <c r="AG2" s="145">
        <v>0</v>
      </c>
      <c r="AH2" s="145">
        <v>0</v>
      </c>
      <c r="AI2" s="145">
        <v>0</v>
      </c>
      <c r="AJ2" s="145">
        <v>0</v>
      </c>
      <c r="AK2" s="145">
        <v>0</v>
      </c>
      <c r="AL2" s="145">
        <v>4.6021076673000638E-4</v>
      </c>
      <c r="AM2" s="145">
        <v>0</v>
      </c>
      <c r="AN2" s="145">
        <v>0</v>
      </c>
    </row>
    <row r="3" spans="1:40" customFormat="1" x14ac:dyDescent="0.15">
      <c r="A3" s="179" t="s">
        <v>193</v>
      </c>
      <c r="B3" s="145">
        <v>0</v>
      </c>
      <c r="C3" s="145">
        <v>0</v>
      </c>
      <c r="D3" s="145">
        <v>0</v>
      </c>
      <c r="E3" s="145">
        <v>0</v>
      </c>
      <c r="F3" s="145">
        <v>0</v>
      </c>
      <c r="G3" s="145">
        <v>0.55400001158848111</v>
      </c>
      <c r="H3" s="145">
        <v>0.15099999675654024</v>
      </c>
      <c r="I3" s="145">
        <v>0.151</v>
      </c>
      <c r="J3" s="145">
        <v>0</v>
      </c>
      <c r="K3" s="145">
        <v>0.12493753596151931</v>
      </c>
      <c r="L3" s="145">
        <v>0.19999998359999913</v>
      </c>
      <c r="M3" s="145">
        <v>0</v>
      </c>
      <c r="N3" s="145">
        <v>0</v>
      </c>
      <c r="O3" s="145">
        <v>0</v>
      </c>
      <c r="P3" s="145">
        <v>0</v>
      </c>
      <c r="Q3" s="145">
        <v>0</v>
      </c>
      <c r="R3" s="145">
        <v>0</v>
      </c>
      <c r="S3" s="145">
        <v>0</v>
      </c>
      <c r="T3" s="145">
        <v>0</v>
      </c>
      <c r="U3" s="145">
        <v>0</v>
      </c>
      <c r="V3" s="145">
        <v>0</v>
      </c>
      <c r="W3" s="145">
        <v>0</v>
      </c>
      <c r="X3" s="145">
        <v>0</v>
      </c>
      <c r="Y3" s="145">
        <v>3.0027204390551527E-2</v>
      </c>
      <c r="Z3" s="145">
        <v>3.0030330592754687E-2</v>
      </c>
      <c r="AA3" s="145">
        <v>0</v>
      </c>
      <c r="AB3" s="145">
        <v>0.14558866509465226</v>
      </c>
      <c r="AC3" s="145">
        <v>0</v>
      </c>
      <c r="AD3" s="145">
        <v>0</v>
      </c>
      <c r="AE3" s="145">
        <v>7.5954657803100317E-2</v>
      </c>
      <c r="AF3" s="145">
        <v>0</v>
      </c>
      <c r="AG3" s="145">
        <v>0</v>
      </c>
      <c r="AH3" s="145">
        <v>0</v>
      </c>
      <c r="AI3" s="145">
        <v>8.8095497800370445E-2</v>
      </c>
      <c r="AJ3" s="145">
        <v>0</v>
      </c>
      <c r="AK3" s="145">
        <v>0</v>
      </c>
      <c r="AL3" s="145">
        <v>0.40018328846087475</v>
      </c>
      <c r="AM3" s="145">
        <v>0</v>
      </c>
      <c r="AN3" s="145">
        <v>0</v>
      </c>
    </row>
    <row r="4" spans="1:40" customFormat="1" x14ac:dyDescent="0.15">
      <c r="A4" s="179" t="s">
        <v>194</v>
      </c>
      <c r="B4" s="145">
        <v>0</v>
      </c>
      <c r="C4" s="145">
        <v>0</v>
      </c>
      <c r="D4" s="145">
        <v>0</v>
      </c>
      <c r="E4" s="145">
        <v>0.9</v>
      </c>
      <c r="F4" s="145">
        <v>0</v>
      </c>
      <c r="G4" s="145">
        <v>2.9999998393599858E-3</v>
      </c>
      <c r="H4" s="145">
        <v>5.0000000776999946E-2</v>
      </c>
      <c r="I4" s="145">
        <v>0.05</v>
      </c>
      <c r="J4" s="145">
        <v>0.6</v>
      </c>
      <c r="K4" s="145">
        <v>0.19290356602858599</v>
      </c>
      <c r="L4" s="145">
        <v>0</v>
      </c>
      <c r="M4" s="145">
        <v>0.46625056800467185</v>
      </c>
      <c r="N4" s="145">
        <v>0.11999999579240031</v>
      </c>
      <c r="O4" s="145">
        <v>0.32199999670302032</v>
      </c>
      <c r="P4" s="145">
        <v>0</v>
      </c>
      <c r="Q4" s="145">
        <v>0.107</v>
      </c>
      <c r="R4" s="145">
        <v>0.04</v>
      </c>
      <c r="S4" s="145">
        <v>0.37500001505249814</v>
      </c>
      <c r="T4" s="145">
        <v>4.9999834935544926E-2</v>
      </c>
      <c r="U4" s="145">
        <v>0</v>
      </c>
      <c r="V4" s="145">
        <v>0.31434611331146389</v>
      </c>
      <c r="W4" s="145">
        <v>0.31431431585401409</v>
      </c>
      <c r="X4" s="145">
        <v>0.19994003002449201</v>
      </c>
      <c r="Y4" s="145">
        <v>0.30227384901808213</v>
      </c>
      <c r="Z4" s="145">
        <v>0.4244286771909323</v>
      </c>
      <c r="AA4" s="145">
        <v>8.3971220431619614E-2</v>
      </c>
      <c r="AB4" s="145">
        <v>0.41250121760156333</v>
      </c>
      <c r="AC4" s="145">
        <v>0.88600000000000001</v>
      </c>
      <c r="AD4" s="145">
        <v>0.56657395282678757</v>
      </c>
      <c r="AE4" s="145">
        <v>0.58864860547374986</v>
      </c>
      <c r="AF4" s="145">
        <v>0.45415646361964646</v>
      </c>
      <c r="AG4" s="145">
        <v>8.2895334533609699E-2</v>
      </c>
      <c r="AH4" s="145">
        <v>0</v>
      </c>
      <c r="AI4" s="145">
        <v>2.0021704509214067E-3</v>
      </c>
      <c r="AJ4" s="145">
        <v>0</v>
      </c>
      <c r="AK4" s="145">
        <v>3.9989603408075889E-3</v>
      </c>
      <c r="AL4" s="145">
        <v>0.2381090601342204</v>
      </c>
      <c r="AM4" s="145">
        <v>0</v>
      </c>
      <c r="AN4" s="145">
        <v>0</v>
      </c>
    </row>
    <row r="5" spans="1:40" customFormat="1" x14ac:dyDescent="0.15">
      <c r="A5" s="179" t="s">
        <v>195</v>
      </c>
      <c r="B5" s="145">
        <v>0</v>
      </c>
      <c r="C5" s="145">
        <v>0</v>
      </c>
      <c r="D5" s="145">
        <v>0</v>
      </c>
      <c r="E5" s="145">
        <v>0.1</v>
      </c>
      <c r="F5" s="145">
        <v>0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0</v>
      </c>
      <c r="P5" s="145">
        <v>0</v>
      </c>
      <c r="Q5" s="145">
        <v>0</v>
      </c>
      <c r="R5" s="145">
        <v>0</v>
      </c>
      <c r="S5" s="145">
        <v>0.47799998770692137</v>
      </c>
      <c r="T5" s="145">
        <v>0</v>
      </c>
      <c r="U5" s="145">
        <v>0</v>
      </c>
      <c r="V5" s="145">
        <v>0</v>
      </c>
      <c r="W5" s="145">
        <v>0</v>
      </c>
      <c r="X5" s="145">
        <v>7.9976005609797146E-3</v>
      </c>
      <c r="Y5" s="145">
        <v>9.0081605071524636E-3</v>
      </c>
      <c r="Z5" s="145">
        <v>9.0090988578264471E-3</v>
      </c>
      <c r="AA5" s="145">
        <v>9.8966077651561879E-4</v>
      </c>
      <c r="AB5" s="145">
        <v>0</v>
      </c>
      <c r="AC5" s="145">
        <v>0</v>
      </c>
      <c r="AD5" s="145">
        <v>0</v>
      </c>
      <c r="AE5" s="145">
        <v>0</v>
      </c>
      <c r="AF5" s="145">
        <v>0</v>
      </c>
      <c r="AG5" s="145">
        <v>0</v>
      </c>
      <c r="AH5" s="145">
        <v>0</v>
      </c>
      <c r="AI5" s="145">
        <v>0</v>
      </c>
      <c r="AJ5" s="145">
        <v>0</v>
      </c>
      <c r="AK5" s="145">
        <v>0</v>
      </c>
      <c r="AL5" s="145">
        <v>0</v>
      </c>
      <c r="AM5" s="145">
        <v>0</v>
      </c>
      <c r="AN5" s="145">
        <v>0</v>
      </c>
    </row>
    <row r="6" spans="1:40" customFormat="1" x14ac:dyDescent="0.15">
      <c r="A6" s="179" t="s">
        <v>196</v>
      </c>
      <c r="B6" s="145">
        <v>0</v>
      </c>
      <c r="C6" s="145">
        <v>0</v>
      </c>
      <c r="D6" s="145">
        <v>0</v>
      </c>
      <c r="E6" s="145">
        <v>0</v>
      </c>
      <c r="F6" s="145">
        <v>0</v>
      </c>
      <c r="G6" s="145">
        <v>2.2000000048640007E-2</v>
      </c>
      <c r="H6" s="145">
        <v>5.4000001079159921E-2</v>
      </c>
      <c r="I6" s="145">
        <v>0.1</v>
      </c>
      <c r="J6" s="145">
        <v>0</v>
      </c>
      <c r="K6" s="145">
        <v>0.12093953189875065</v>
      </c>
      <c r="L6" s="145">
        <v>0.24000001272000065</v>
      </c>
      <c r="M6" s="145">
        <v>0</v>
      </c>
      <c r="N6" s="145">
        <v>0.1729999947257104</v>
      </c>
      <c r="O6" s="145">
        <v>8.6000001908259821E-2</v>
      </c>
      <c r="P6" s="145">
        <v>0</v>
      </c>
      <c r="Q6" s="145">
        <v>8.0000000000000002E-3</v>
      </c>
      <c r="R6" s="145">
        <v>0</v>
      </c>
      <c r="S6" s="145">
        <v>1.9999999002800115E-2</v>
      </c>
      <c r="T6" s="145">
        <v>1.0003268276210439E-2</v>
      </c>
      <c r="U6" s="145">
        <v>0</v>
      </c>
      <c r="V6" s="145">
        <v>5.5060621889278911E-2</v>
      </c>
      <c r="W6" s="145">
        <v>5.5055054776976968E-2</v>
      </c>
      <c r="X6" s="145">
        <v>0.10496850523785888</v>
      </c>
      <c r="Y6" s="145">
        <v>8.9080709015345469E-2</v>
      </c>
      <c r="Z6" s="145">
        <v>9.0090993578263834E-2</v>
      </c>
      <c r="AA6" s="145">
        <v>4.6983895955790562E-2</v>
      </c>
      <c r="AB6" s="145">
        <v>2.9117731919250791E-2</v>
      </c>
      <c r="AC6" s="145">
        <v>3.7999999999999999E-2</v>
      </c>
      <c r="AD6" s="145">
        <v>1.7017238844620551E-2</v>
      </c>
      <c r="AE6" s="145">
        <v>1.5990454958522107E-2</v>
      </c>
      <c r="AF6" s="145">
        <v>1.1003790908845191E-2</v>
      </c>
      <c r="AG6" s="145">
        <v>0</v>
      </c>
      <c r="AH6" s="145">
        <v>0</v>
      </c>
      <c r="AI6" s="145">
        <v>0.15316602142896948</v>
      </c>
      <c r="AJ6" s="145">
        <v>0</v>
      </c>
      <c r="AK6" s="145">
        <v>0</v>
      </c>
      <c r="AL6" s="145">
        <v>0</v>
      </c>
      <c r="AM6" s="145">
        <v>0</v>
      </c>
      <c r="AN6" s="145">
        <v>0</v>
      </c>
    </row>
    <row r="7" spans="1:40" customFormat="1" x14ac:dyDescent="0.15">
      <c r="A7" s="179" t="s">
        <v>197</v>
      </c>
      <c r="B7" s="145">
        <v>0</v>
      </c>
      <c r="C7" s="145">
        <v>0</v>
      </c>
      <c r="D7" s="145">
        <v>0</v>
      </c>
      <c r="E7" s="145">
        <v>0</v>
      </c>
      <c r="F7" s="145">
        <v>0</v>
      </c>
      <c r="G7" s="145">
        <v>5.8999998394079857E-2</v>
      </c>
      <c r="H7" s="145">
        <v>0</v>
      </c>
      <c r="I7" s="145">
        <v>0</v>
      </c>
      <c r="J7" s="145">
        <v>0</v>
      </c>
      <c r="K7" s="145">
        <v>0</v>
      </c>
      <c r="L7" s="145">
        <v>1.0000000530000028E-2</v>
      </c>
      <c r="M7" s="145">
        <v>6.2033337794616165E-2</v>
      </c>
      <c r="N7" s="145">
        <v>2.999999889810008E-2</v>
      </c>
      <c r="O7" s="145">
        <v>0</v>
      </c>
      <c r="P7" s="145">
        <v>0</v>
      </c>
      <c r="Q7" s="145">
        <v>1.4999999999999999E-2</v>
      </c>
      <c r="R7" s="145">
        <v>0</v>
      </c>
      <c r="S7" s="145">
        <v>2.0000000902799888E-3</v>
      </c>
      <c r="T7" s="145">
        <v>0</v>
      </c>
      <c r="U7" s="145">
        <v>0</v>
      </c>
      <c r="V7" s="145">
        <v>4.204629046791266E-2</v>
      </c>
      <c r="W7" s="145">
        <v>4.2042042120600608E-2</v>
      </c>
      <c r="X7" s="145">
        <v>0</v>
      </c>
      <c r="Y7" s="145">
        <v>2.0018138327067502E-3</v>
      </c>
      <c r="Z7" s="145">
        <v>2.0020222061836244E-3</v>
      </c>
      <c r="AA7" s="145">
        <v>1.4994860719932277E-2</v>
      </c>
      <c r="AB7" s="145">
        <v>0</v>
      </c>
      <c r="AC7" s="145">
        <v>0</v>
      </c>
      <c r="AD7" s="145">
        <v>0</v>
      </c>
      <c r="AE7" s="145">
        <v>0</v>
      </c>
      <c r="AF7" s="145">
        <v>0</v>
      </c>
      <c r="AG7" s="145">
        <v>0</v>
      </c>
      <c r="AH7" s="145">
        <v>0</v>
      </c>
      <c r="AI7" s="145">
        <v>2.0021704509214067E-3</v>
      </c>
      <c r="AJ7" s="145">
        <v>0</v>
      </c>
      <c r="AK7" s="145">
        <v>3.4990902744566406E-2</v>
      </c>
      <c r="AL7" s="145">
        <v>1.1005039682674078E-2</v>
      </c>
      <c r="AM7" s="145">
        <v>0</v>
      </c>
      <c r="AN7" s="145">
        <v>0</v>
      </c>
    </row>
    <row r="8" spans="1:40" customFormat="1" x14ac:dyDescent="0.15">
      <c r="A8" s="179" t="s">
        <v>198</v>
      </c>
      <c r="B8" s="145">
        <v>0</v>
      </c>
      <c r="C8" s="145">
        <v>0</v>
      </c>
      <c r="D8" s="145">
        <v>0</v>
      </c>
      <c r="E8" s="145">
        <v>0</v>
      </c>
      <c r="F8" s="145">
        <v>0</v>
      </c>
      <c r="G8" s="145">
        <v>2.9999998393599858E-3</v>
      </c>
      <c r="H8" s="145">
        <v>0</v>
      </c>
      <c r="I8" s="145">
        <v>0</v>
      </c>
      <c r="J8" s="145">
        <v>0</v>
      </c>
      <c r="K8" s="145">
        <v>0</v>
      </c>
      <c r="L8" s="145">
        <v>1.9999998759999933E-2</v>
      </c>
      <c r="M8" s="145">
        <v>0.12506720813426789</v>
      </c>
      <c r="N8" s="145">
        <v>0.15600000603011951</v>
      </c>
      <c r="O8" s="145">
        <v>8.4000002096439805E-2</v>
      </c>
      <c r="P8" s="145">
        <v>0</v>
      </c>
      <c r="Q8" s="145">
        <v>3.1E-2</v>
      </c>
      <c r="R8" s="145">
        <v>0.01</v>
      </c>
      <c r="S8" s="145">
        <v>2.0000000902799888E-3</v>
      </c>
      <c r="T8" s="145">
        <v>9.9999669871089852E-2</v>
      </c>
      <c r="U8" s="145">
        <v>0.16742909312201285</v>
      </c>
      <c r="V8" s="145">
        <v>0.20222264272739782</v>
      </c>
      <c r="W8" s="145">
        <v>0.2462462464206607</v>
      </c>
      <c r="X8" s="145">
        <v>0.30390880831722988</v>
      </c>
      <c r="Y8" s="145">
        <v>0.2201995113975789</v>
      </c>
      <c r="Z8" s="145">
        <v>0.26426690449624185</v>
      </c>
      <c r="AA8" s="145">
        <v>0.43285166508199097</v>
      </c>
      <c r="AB8" s="145">
        <v>4.8529553365369446E-2</v>
      </c>
      <c r="AC8" s="145">
        <v>0</v>
      </c>
      <c r="AD8" s="145">
        <v>6.006083945155615E-3</v>
      </c>
      <c r="AE8" s="145">
        <v>5.9964199844689285E-3</v>
      </c>
      <c r="AF8" s="145">
        <v>5.8019988401183331E-2</v>
      </c>
      <c r="AG8" s="145">
        <v>0.34256747822831279</v>
      </c>
      <c r="AH8" s="145">
        <v>0</v>
      </c>
      <c r="AI8" s="145">
        <v>1.4015192686410348E-2</v>
      </c>
      <c r="AJ8" s="145">
        <v>0</v>
      </c>
      <c r="AK8" s="145">
        <v>0</v>
      </c>
      <c r="AL8" s="145">
        <v>1.1005039682674078E-2</v>
      </c>
      <c r="AM8" s="145">
        <v>0</v>
      </c>
      <c r="AN8" s="145">
        <v>0</v>
      </c>
    </row>
    <row r="9" spans="1:40" customFormat="1" x14ac:dyDescent="0.15">
      <c r="A9" s="179" t="s">
        <v>199</v>
      </c>
      <c r="B9" s="145">
        <v>0</v>
      </c>
      <c r="C9" s="145">
        <v>0</v>
      </c>
      <c r="D9" s="145">
        <v>0</v>
      </c>
      <c r="E9" s="145">
        <v>0</v>
      </c>
      <c r="F9" s="145">
        <v>0</v>
      </c>
      <c r="G9" s="145">
        <v>5.5999999514719963E-2</v>
      </c>
      <c r="H9" s="145">
        <v>7.9999999743200031E-2</v>
      </c>
      <c r="I9" s="145">
        <v>0.01</v>
      </c>
      <c r="J9" s="145">
        <v>0</v>
      </c>
      <c r="K9" s="145">
        <v>0</v>
      </c>
      <c r="L9" s="145">
        <v>0.14000000742000041</v>
      </c>
      <c r="M9" s="145">
        <v>6.8036573065131001E-2</v>
      </c>
      <c r="N9" s="145">
        <v>0.3840000035356797</v>
      </c>
      <c r="O9" s="145">
        <v>1.4999999188650076E-2</v>
      </c>
      <c r="P9" s="145">
        <v>0</v>
      </c>
      <c r="Q9" s="145">
        <v>0</v>
      </c>
      <c r="R9" s="145">
        <v>0</v>
      </c>
      <c r="S9" s="145">
        <v>2.2999999143220099E-2</v>
      </c>
      <c r="T9" s="145">
        <v>4.9999834935544926E-2</v>
      </c>
      <c r="U9" s="145">
        <v>4.5745654020768529E-2</v>
      </c>
      <c r="V9" s="145">
        <v>7.0077154113524758E-3</v>
      </c>
      <c r="W9" s="145">
        <v>7.0070069134334292E-3</v>
      </c>
      <c r="X9" s="145">
        <v>7.9976005609797146E-3</v>
      </c>
      <c r="Y9" s="145">
        <v>0.12110972981864514</v>
      </c>
      <c r="Z9" s="145">
        <v>5.1051563527682774E-2</v>
      </c>
      <c r="AA9" s="145">
        <v>0.13695305227540705</v>
      </c>
      <c r="AB9" s="145">
        <v>1.9411821246176901E-2</v>
      </c>
      <c r="AC9" s="145">
        <v>0</v>
      </c>
      <c r="AD9" s="145">
        <v>5.8058813469863566E-2</v>
      </c>
      <c r="AE9" s="145">
        <v>5.4967184857570142E-2</v>
      </c>
      <c r="AF9" s="145">
        <v>9.0031012008667793E-3</v>
      </c>
      <c r="AG9" s="145">
        <v>0.11086002759298472</v>
      </c>
      <c r="AH9" s="145">
        <v>5.5947661318673072E-4</v>
      </c>
      <c r="AI9" s="145">
        <v>0.1001085190457762</v>
      </c>
      <c r="AJ9" s="145">
        <v>0</v>
      </c>
      <c r="AK9" s="145">
        <v>3.4990902744566406E-2</v>
      </c>
      <c r="AL9" s="145">
        <v>1.1005039682674078E-2</v>
      </c>
      <c r="AM9" s="145">
        <v>0</v>
      </c>
      <c r="AN9" s="145">
        <v>0</v>
      </c>
    </row>
    <row r="10" spans="1:40" customFormat="1" x14ac:dyDescent="0.15">
      <c r="A10" s="179" t="s">
        <v>200</v>
      </c>
      <c r="B10" s="145">
        <v>0</v>
      </c>
      <c r="C10" s="145">
        <v>0</v>
      </c>
      <c r="D10" s="145">
        <v>0</v>
      </c>
      <c r="E10" s="145">
        <v>0</v>
      </c>
      <c r="F10" s="145">
        <v>0</v>
      </c>
      <c r="G10" s="145">
        <v>9.9999999311999946E-2</v>
      </c>
      <c r="H10" s="145">
        <v>1.0000000855399937E-3</v>
      </c>
      <c r="I10" s="145">
        <v>0.01</v>
      </c>
      <c r="J10" s="145">
        <v>0</v>
      </c>
      <c r="K10" s="145">
        <v>0</v>
      </c>
      <c r="L10" s="145">
        <v>1.0000000530000028E-2</v>
      </c>
      <c r="M10" s="145">
        <v>0</v>
      </c>
      <c r="N10" s="145">
        <v>0</v>
      </c>
      <c r="O10" s="145">
        <v>2.9999999777300022E-3</v>
      </c>
      <c r="P10" s="145">
        <v>0</v>
      </c>
      <c r="Q10" s="145">
        <v>0</v>
      </c>
      <c r="R10" s="145">
        <v>0</v>
      </c>
      <c r="S10" s="145">
        <v>2.4000001023359873E-2</v>
      </c>
      <c r="T10" s="145">
        <v>0</v>
      </c>
      <c r="U10" s="145">
        <v>0</v>
      </c>
      <c r="V10" s="145">
        <v>2.0022044032435649E-3</v>
      </c>
      <c r="W10" s="145">
        <v>2.0020021009809863E-3</v>
      </c>
      <c r="X10" s="145">
        <v>0</v>
      </c>
      <c r="Y10" s="145">
        <v>1.0009068463522524E-2</v>
      </c>
      <c r="Z10" s="145">
        <v>4.1041450996764837E-2</v>
      </c>
      <c r="AA10" s="145">
        <v>0</v>
      </c>
      <c r="AB10" s="145">
        <v>0</v>
      </c>
      <c r="AC10" s="145">
        <v>1.9E-2</v>
      </c>
      <c r="AD10" s="145">
        <v>1.0010140908605671E-3</v>
      </c>
      <c r="AE10" s="145">
        <v>2.298627894037784E-2</v>
      </c>
      <c r="AF10" s="145">
        <v>6.0020681139205719E-3</v>
      </c>
      <c r="AG10" s="145">
        <v>0</v>
      </c>
      <c r="AH10" s="145">
        <v>0</v>
      </c>
      <c r="AI10" s="145">
        <v>0</v>
      </c>
      <c r="AJ10" s="145">
        <v>0</v>
      </c>
      <c r="AK10" s="145">
        <v>0</v>
      </c>
      <c r="AL10" s="145">
        <v>0</v>
      </c>
      <c r="AM10" s="145">
        <v>0</v>
      </c>
      <c r="AN10" s="145">
        <v>0</v>
      </c>
    </row>
    <row r="11" spans="1:40" customFormat="1" x14ac:dyDescent="0.15">
      <c r="A11" s="179" t="s">
        <v>201</v>
      </c>
      <c r="B11" s="145">
        <v>0</v>
      </c>
      <c r="C11" s="145">
        <v>0</v>
      </c>
      <c r="D11" s="145">
        <v>0</v>
      </c>
      <c r="E11" s="145">
        <v>0</v>
      </c>
      <c r="F11" s="145">
        <v>0</v>
      </c>
      <c r="G11" s="145">
        <v>0</v>
      </c>
      <c r="H11" s="145">
        <v>0</v>
      </c>
      <c r="I11" s="145">
        <v>0</v>
      </c>
      <c r="J11" s="145">
        <v>0</v>
      </c>
      <c r="K11" s="145">
        <v>0</v>
      </c>
      <c r="L11" s="145">
        <v>4.9999995949999779E-2</v>
      </c>
      <c r="M11" s="145">
        <v>5.0026887253737315E-3</v>
      </c>
      <c r="N11" s="145">
        <v>4.9999999663500015E-3</v>
      </c>
      <c r="O11" s="145">
        <v>7.0000000213699979E-3</v>
      </c>
      <c r="P11" s="145">
        <v>9.8901097785494399E-2</v>
      </c>
      <c r="Q11" s="145">
        <v>9.1999999999999998E-2</v>
      </c>
      <c r="R11" s="145">
        <v>0.05</v>
      </c>
      <c r="S11" s="145">
        <v>0</v>
      </c>
      <c r="T11" s="145">
        <v>4.9999834935544926E-2</v>
      </c>
      <c r="U11" s="145">
        <v>8.4172006542213976E-2</v>
      </c>
      <c r="V11" s="145">
        <v>0.1301432832105284</v>
      </c>
      <c r="W11" s="145">
        <v>0.10010009804904896</v>
      </c>
      <c r="X11" s="145">
        <v>0</v>
      </c>
      <c r="Y11" s="145">
        <v>2.7024486521537602E-2</v>
      </c>
      <c r="Z11" s="145">
        <v>2.0020222061836244E-3</v>
      </c>
      <c r="AA11" s="145">
        <v>1.9993149959903044E-3</v>
      </c>
      <c r="AB11" s="145">
        <v>0</v>
      </c>
      <c r="AC11" s="145">
        <v>0</v>
      </c>
      <c r="AD11" s="145">
        <v>2.4024336380630246E-2</v>
      </c>
      <c r="AE11" s="145">
        <v>5.5966587854993971E-4</v>
      </c>
      <c r="AF11" s="145">
        <v>0</v>
      </c>
      <c r="AG11" s="145">
        <v>6.691551221377838E-2</v>
      </c>
      <c r="AH11" s="145">
        <v>0</v>
      </c>
      <c r="AI11" s="145">
        <v>3.5037980715941837E-2</v>
      </c>
      <c r="AJ11" s="145">
        <v>3.7999998375480168E-2</v>
      </c>
      <c r="AK11" s="145">
        <v>0</v>
      </c>
      <c r="AL11" s="145">
        <v>9.0041232503697034E-3</v>
      </c>
      <c r="AM11" s="145">
        <v>0</v>
      </c>
      <c r="AN11" s="145">
        <v>0</v>
      </c>
    </row>
    <row r="12" spans="1:40" customFormat="1" x14ac:dyDescent="0.15">
      <c r="A12" s="179" t="s">
        <v>202</v>
      </c>
      <c r="B12" s="145">
        <v>0</v>
      </c>
      <c r="C12" s="145">
        <v>0</v>
      </c>
      <c r="D12" s="145">
        <v>0</v>
      </c>
      <c r="E12" s="145">
        <v>0</v>
      </c>
      <c r="F12" s="145">
        <v>0</v>
      </c>
      <c r="G12" s="145">
        <v>0</v>
      </c>
      <c r="H12" s="145">
        <v>0</v>
      </c>
      <c r="I12" s="145">
        <v>0</v>
      </c>
      <c r="J12" s="145">
        <v>0</v>
      </c>
      <c r="K12" s="145">
        <v>0</v>
      </c>
      <c r="L12" s="145">
        <v>0</v>
      </c>
      <c r="M12" s="145">
        <v>5.0026887253737315E-2</v>
      </c>
      <c r="N12" s="145">
        <v>1.0000000832699936E-3</v>
      </c>
      <c r="O12" s="145">
        <v>0.13600000920375913</v>
      </c>
      <c r="P12" s="145">
        <v>0</v>
      </c>
      <c r="Q12" s="145">
        <v>5.0000000000000001E-3</v>
      </c>
      <c r="R12" s="145">
        <v>0.01</v>
      </c>
      <c r="S12" s="145">
        <v>2.4000001023359873E-2</v>
      </c>
      <c r="T12" s="145">
        <v>4.9999834935544926E-2</v>
      </c>
      <c r="U12" s="145">
        <v>9.1491306241537146E-2</v>
      </c>
      <c r="V12" s="145">
        <v>1.0011022016217824E-3</v>
      </c>
      <c r="W12" s="145">
        <v>1.0010010504904931E-3</v>
      </c>
      <c r="X12" s="145">
        <v>9.9970014512246012E-4</v>
      </c>
      <c r="Y12" s="145">
        <v>2.5022671408810315E-2</v>
      </c>
      <c r="Z12" s="145">
        <v>1.0010111030918122E-3</v>
      </c>
      <c r="AA12" s="145">
        <v>9.8966077651561879E-4</v>
      </c>
      <c r="AB12" s="145">
        <v>6.7941372512157899E-2</v>
      </c>
      <c r="AC12" s="145">
        <v>0</v>
      </c>
      <c r="AD12" s="145">
        <v>2.802839374408549E-2</v>
      </c>
      <c r="AE12" s="145">
        <v>0</v>
      </c>
      <c r="AF12" s="145">
        <v>0</v>
      </c>
      <c r="AG12" s="145">
        <v>4.9936948949126612E-2</v>
      </c>
      <c r="AH12" s="145">
        <v>9.9906530213271006E-4</v>
      </c>
      <c r="AI12" s="145">
        <v>1.0010852204602831E-3</v>
      </c>
      <c r="AJ12" s="145">
        <v>0</v>
      </c>
      <c r="AK12" s="145">
        <v>9.9974009270189747E-5</v>
      </c>
      <c r="AL12" s="145">
        <v>1.1005039682674078E-2</v>
      </c>
      <c r="AM12" s="145">
        <v>0</v>
      </c>
      <c r="AN12" s="145">
        <v>0</v>
      </c>
    </row>
    <row r="13" spans="1:40" customFormat="1" x14ac:dyDescent="0.15">
      <c r="A13" s="179" t="s">
        <v>203</v>
      </c>
      <c r="B13" s="145">
        <v>0</v>
      </c>
      <c r="C13" s="145">
        <v>0</v>
      </c>
      <c r="D13" s="145">
        <v>0</v>
      </c>
      <c r="E13" s="145">
        <v>0</v>
      </c>
      <c r="F13" s="145">
        <v>0</v>
      </c>
      <c r="G13" s="145">
        <v>0</v>
      </c>
      <c r="H13" s="145">
        <v>0</v>
      </c>
      <c r="I13" s="145">
        <v>0</v>
      </c>
      <c r="J13" s="145">
        <v>0</v>
      </c>
      <c r="K13" s="145">
        <v>0</v>
      </c>
      <c r="L13" s="145">
        <v>0</v>
      </c>
      <c r="M13" s="145">
        <v>4.3023124438224647E-2</v>
      </c>
      <c r="N13" s="145">
        <v>0</v>
      </c>
      <c r="O13" s="145">
        <v>4.9999998795500107E-3</v>
      </c>
      <c r="P13" s="145">
        <v>4.7952048574785258E-2</v>
      </c>
      <c r="Q13" s="145">
        <v>0.153</v>
      </c>
      <c r="R13" s="145">
        <v>0.1</v>
      </c>
      <c r="S13" s="145">
        <v>8.000000041119993E-3</v>
      </c>
      <c r="T13" s="145">
        <v>0</v>
      </c>
      <c r="U13" s="145">
        <v>8.4172006542213976E-2</v>
      </c>
      <c r="V13" s="145">
        <v>0</v>
      </c>
      <c r="W13" s="145">
        <v>0</v>
      </c>
      <c r="X13" s="145">
        <v>0</v>
      </c>
      <c r="Y13" s="145">
        <v>4.00362765541334E-3</v>
      </c>
      <c r="Z13" s="145">
        <v>9.0090988578264471E-3</v>
      </c>
      <c r="AA13" s="145">
        <v>9.9965734799558024E-3</v>
      </c>
      <c r="AB13" s="145">
        <v>5.8235466037860903E-3</v>
      </c>
      <c r="AC13" s="145">
        <v>1.9E-2</v>
      </c>
      <c r="AD13" s="145">
        <v>3.0030419725778075E-3</v>
      </c>
      <c r="AE13" s="145">
        <v>2.9982099922344642E-3</v>
      </c>
      <c r="AF13" s="145">
        <v>1.8006202441734138E-2</v>
      </c>
      <c r="AG13" s="145">
        <v>0</v>
      </c>
      <c r="AH13" s="145">
        <v>0.24177380391597789</v>
      </c>
      <c r="AI13" s="145">
        <v>8.4091152218134346E-2</v>
      </c>
      <c r="AJ13" s="145">
        <v>0.27000001169419874</v>
      </c>
      <c r="AK13" s="145">
        <v>7.997919941615185E-2</v>
      </c>
      <c r="AL13" s="145">
        <v>1.8008246480739409E-2</v>
      </c>
      <c r="AM13" s="145">
        <v>0</v>
      </c>
      <c r="AN13" s="145">
        <v>0</v>
      </c>
    </row>
    <row r="14" spans="1:40" customFormat="1" x14ac:dyDescent="0.15">
      <c r="A14" s="179" t="s">
        <v>204</v>
      </c>
      <c r="B14" s="145">
        <v>0</v>
      </c>
      <c r="C14" s="145">
        <v>0</v>
      </c>
      <c r="D14" s="145">
        <v>0</v>
      </c>
      <c r="E14" s="145">
        <v>0</v>
      </c>
      <c r="F14" s="145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5">
        <v>0</v>
      </c>
      <c r="M14" s="145">
        <v>1.00053771507452E-4</v>
      </c>
      <c r="N14" s="145">
        <v>0</v>
      </c>
      <c r="O14" s="145">
        <v>1.4000000082739992E-2</v>
      </c>
      <c r="P14" s="145">
        <v>0.12887112314473481</v>
      </c>
      <c r="Q14" s="145">
        <v>4.5999999999999999E-2</v>
      </c>
      <c r="R14" s="145">
        <v>3.4000000000000002E-2</v>
      </c>
      <c r="S14" s="145">
        <v>0</v>
      </c>
      <c r="T14" s="145">
        <v>9.9999669871089856E-3</v>
      </c>
      <c r="U14" s="145">
        <v>0</v>
      </c>
      <c r="V14" s="145">
        <v>0</v>
      </c>
      <c r="W14" s="145">
        <v>0</v>
      </c>
      <c r="X14" s="145">
        <v>7.9976005609797146E-3</v>
      </c>
      <c r="Y14" s="145">
        <v>0</v>
      </c>
      <c r="Z14" s="145">
        <v>0</v>
      </c>
      <c r="AA14" s="145">
        <v>9.9965734799558024E-3</v>
      </c>
      <c r="AB14" s="145">
        <v>0</v>
      </c>
      <c r="AC14" s="145">
        <v>0</v>
      </c>
      <c r="AD14" s="145">
        <v>0</v>
      </c>
      <c r="AE14" s="145">
        <v>0</v>
      </c>
      <c r="AF14" s="145">
        <v>0</v>
      </c>
      <c r="AG14" s="145">
        <v>2.2970996934563774E-2</v>
      </c>
      <c r="AH14" s="145">
        <v>0</v>
      </c>
      <c r="AI14" s="145">
        <v>0</v>
      </c>
      <c r="AJ14" s="145">
        <v>0</v>
      </c>
      <c r="AK14" s="145">
        <v>1.9994799854037962E-2</v>
      </c>
      <c r="AL14" s="145">
        <v>5.0022908557609417E-3</v>
      </c>
      <c r="AM14" s="145">
        <v>0</v>
      </c>
      <c r="AN14" s="145">
        <v>0</v>
      </c>
    </row>
    <row r="15" spans="1:40" customFormat="1" x14ac:dyDescent="0.15">
      <c r="A15" s="179" t="s">
        <v>205</v>
      </c>
      <c r="B15" s="145">
        <v>0</v>
      </c>
      <c r="C15" s="145">
        <v>0</v>
      </c>
      <c r="D15" s="145">
        <v>0</v>
      </c>
      <c r="E15" s="145">
        <v>0</v>
      </c>
      <c r="F15" s="145">
        <v>0</v>
      </c>
      <c r="G15" s="145">
        <v>0</v>
      </c>
      <c r="H15" s="145">
        <v>0</v>
      </c>
      <c r="I15" s="145">
        <v>0</v>
      </c>
      <c r="J15" s="145">
        <v>0</v>
      </c>
      <c r="K15" s="145">
        <v>0</v>
      </c>
      <c r="L15" s="145">
        <v>0</v>
      </c>
      <c r="M15" s="145">
        <v>0</v>
      </c>
      <c r="N15" s="145">
        <v>1.0000000832699936E-3</v>
      </c>
      <c r="O15" s="145">
        <v>8.0000002472799762E-3</v>
      </c>
      <c r="P15" s="145">
        <v>1.9980020572827217E-2</v>
      </c>
      <c r="Q15" s="145">
        <v>0</v>
      </c>
      <c r="R15" s="145">
        <v>0</v>
      </c>
      <c r="S15" s="145">
        <v>0</v>
      </c>
      <c r="T15" s="145">
        <v>0</v>
      </c>
      <c r="U15" s="145">
        <v>0</v>
      </c>
      <c r="V15" s="145">
        <v>0</v>
      </c>
      <c r="W15" s="145">
        <v>0</v>
      </c>
      <c r="X15" s="145">
        <v>1.9994002102449249E-3</v>
      </c>
      <c r="Y15" s="145">
        <v>0</v>
      </c>
      <c r="Z15" s="145">
        <v>0</v>
      </c>
      <c r="AA15" s="145">
        <v>9.9965734799558024E-3</v>
      </c>
      <c r="AB15" s="145">
        <v>0</v>
      </c>
      <c r="AC15" s="145">
        <v>0</v>
      </c>
      <c r="AD15" s="145">
        <v>0</v>
      </c>
      <c r="AE15" s="145">
        <v>0</v>
      </c>
      <c r="AF15" s="145">
        <v>0</v>
      </c>
      <c r="AG15" s="145">
        <v>2.0973517544716779E-2</v>
      </c>
      <c r="AH15" s="145">
        <v>0</v>
      </c>
      <c r="AI15" s="145">
        <v>0</v>
      </c>
      <c r="AJ15" s="145">
        <v>0</v>
      </c>
      <c r="AK15" s="145">
        <v>1.8995061361336052E-2</v>
      </c>
      <c r="AL15" s="145">
        <v>5.0022908557609417E-3</v>
      </c>
      <c r="AM15" s="145">
        <v>0</v>
      </c>
      <c r="AN15" s="145">
        <v>0</v>
      </c>
    </row>
    <row r="16" spans="1:40" customFormat="1" x14ac:dyDescent="0.15">
      <c r="A16" s="179" t="s">
        <v>206</v>
      </c>
      <c r="B16" s="145">
        <v>0</v>
      </c>
      <c r="C16" s="145">
        <v>0</v>
      </c>
      <c r="D16" s="145">
        <v>0</v>
      </c>
      <c r="E16" s="145">
        <v>0</v>
      </c>
      <c r="F16" s="145">
        <v>0</v>
      </c>
      <c r="G16" s="145">
        <v>0</v>
      </c>
      <c r="H16" s="145">
        <v>0</v>
      </c>
      <c r="I16" s="145">
        <v>0</v>
      </c>
      <c r="J16" s="145">
        <v>0</v>
      </c>
      <c r="K16" s="145">
        <v>0</v>
      </c>
      <c r="L16" s="145">
        <v>0</v>
      </c>
      <c r="M16" s="145">
        <v>1.00053771507452E-4</v>
      </c>
      <c r="N16" s="145">
        <v>3.0000000298099974E-3</v>
      </c>
      <c r="O16" s="145">
        <v>0</v>
      </c>
      <c r="P16" s="145">
        <v>9.9900102664136053E-3</v>
      </c>
      <c r="Q16" s="145">
        <v>3.4000000000000002E-2</v>
      </c>
      <c r="R16" s="145">
        <v>3.5000000000000003E-2</v>
      </c>
      <c r="S16" s="145">
        <v>0</v>
      </c>
      <c r="T16" s="145">
        <v>0</v>
      </c>
      <c r="U16" s="145">
        <v>0</v>
      </c>
      <c r="V16" s="145">
        <v>0</v>
      </c>
      <c r="W16" s="145">
        <v>0</v>
      </c>
      <c r="X16" s="145">
        <v>1.9994002102449249E-3</v>
      </c>
      <c r="Y16" s="145">
        <v>0</v>
      </c>
      <c r="Z16" s="145">
        <v>0</v>
      </c>
      <c r="AA16" s="145">
        <v>9.9965734799558024E-3</v>
      </c>
      <c r="AB16" s="145">
        <v>0</v>
      </c>
      <c r="AC16" s="145">
        <v>0</v>
      </c>
      <c r="AD16" s="145">
        <v>0</v>
      </c>
      <c r="AE16" s="145">
        <v>0</v>
      </c>
      <c r="AF16" s="145">
        <v>0</v>
      </c>
      <c r="AG16" s="145">
        <v>4.9936947049283266E-3</v>
      </c>
      <c r="AH16" s="145">
        <v>0</v>
      </c>
      <c r="AI16" s="145">
        <v>0</v>
      </c>
      <c r="AJ16" s="145">
        <v>0</v>
      </c>
      <c r="AK16" s="145">
        <v>4.9986999635094906E-3</v>
      </c>
      <c r="AL16" s="145">
        <v>9.104169737484902E-4</v>
      </c>
      <c r="AM16" s="145">
        <v>0</v>
      </c>
      <c r="AN16" s="145">
        <v>0</v>
      </c>
    </row>
    <row r="17" spans="1:40" customFormat="1" x14ac:dyDescent="0.15">
      <c r="A17" s="179" t="s">
        <v>207</v>
      </c>
      <c r="B17" s="145">
        <v>0</v>
      </c>
      <c r="C17" s="145">
        <v>0</v>
      </c>
      <c r="D17" s="145">
        <v>0</v>
      </c>
      <c r="E17" s="145">
        <v>0</v>
      </c>
      <c r="F17" s="145">
        <v>0</v>
      </c>
      <c r="G17" s="145">
        <v>0</v>
      </c>
      <c r="H17" s="145">
        <v>0</v>
      </c>
      <c r="I17" s="145">
        <v>0</v>
      </c>
      <c r="J17" s="145">
        <v>0</v>
      </c>
      <c r="K17" s="145">
        <v>0</v>
      </c>
      <c r="L17" s="145">
        <v>0</v>
      </c>
      <c r="M17" s="145">
        <v>1.00053771507452E-4</v>
      </c>
      <c r="N17" s="145">
        <v>0</v>
      </c>
      <c r="O17" s="145">
        <v>0</v>
      </c>
      <c r="P17" s="145">
        <v>0</v>
      </c>
      <c r="Q17" s="145">
        <v>0.01</v>
      </c>
      <c r="R17" s="145">
        <v>0.01</v>
      </c>
      <c r="S17" s="145">
        <v>0</v>
      </c>
      <c r="T17" s="145">
        <v>0</v>
      </c>
      <c r="U17" s="145">
        <v>0</v>
      </c>
      <c r="V17" s="145">
        <v>0</v>
      </c>
      <c r="W17" s="145">
        <v>0</v>
      </c>
      <c r="X17" s="145">
        <v>0</v>
      </c>
      <c r="Y17" s="145">
        <v>0</v>
      </c>
      <c r="Z17" s="145">
        <v>0</v>
      </c>
      <c r="AA17" s="145">
        <v>9.9965734799558024E-3</v>
      </c>
      <c r="AB17" s="145">
        <v>0</v>
      </c>
      <c r="AC17" s="145">
        <v>0</v>
      </c>
      <c r="AD17" s="145">
        <v>0</v>
      </c>
      <c r="AE17" s="145">
        <v>0</v>
      </c>
      <c r="AF17" s="145">
        <v>5.0017235949362292E-4</v>
      </c>
      <c r="AG17" s="145">
        <v>0</v>
      </c>
      <c r="AH17" s="145">
        <v>9.9906530213271006E-4</v>
      </c>
      <c r="AI17" s="145">
        <v>0</v>
      </c>
      <c r="AJ17" s="145">
        <v>0</v>
      </c>
      <c r="AK17" s="145">
        <v>9.9973999270189812E-3</v>
      </c>
      <c r="AL17" s="145">
        <v>5.0022908557609415E-2</v>
      </c>
      <c r="AM17" s="145">
        <v>0</v>
      </c>
      <c r="AN17" s="145">
        <v>0</v>
      </c>
    </row>
    <row r="18" spans="1:40" customFormat="1" x14ac:dyDescent="0.15">
      <c r="A18" s="179" t="s">
        <v>208</v>
      </c>
      <c r="B18" s="145">
        <v>0</v>
      </c>
      <c r="C18" s="145">
        <v>0</v>
      </c>
      <c r="D18" s="145">
        <v>0</v>
      </c>
      <c r="E18" s="145">
        <v>0</v>
      </c>
      <c r="F18" s="145">
        <v>0</v>
      </c>
      <c r="G18" s="145">
        <v>0</v>
      </c>
      <c r="H18" s="145">
        <v>0</v>
      </c>
      <c r="I18" s="145">
        <v>0</v>
      </c>
      <c r="J18" s="145">
        <v>0</v>
      </c>
      <c r="K18" s="145">
        <v>0</v>
      </c>
      <c r="L18" s="145">
        <v>0</v>
      </c>
      <c r="M18" s="145">
        <v>0</v>
      </c>
      <c r="N18" s="145">
        <v>0</v>
      </c>
      <c r="O18" s="145">
        <v>0</v>
      </c>
      <c r="P18" s="145">
        <v>0</v>
      </c>
      <c r="Q18" s="145">
        <v>0</v>
      </c>
      <c r="R18" s="145">
        <v>0.01</v>
      </c>
      <c r="S18" s="145">
        <v>0</v>
      </c>
      <c r="T18" s="145">
        <v>0</v>
      </c>
      <c r="U18" s="145">
        <v>0</v>
      </c>
      <c r="V18" s="145">
        <v>0</v>
      </c>
      <c r="W18" s="145">
        <v>0</v>
      </c>
      <c r="X18" s="145">
        <v>0</v>
      </c>
      <c r="Y18" s="145">
        <v>0</v>
      </c>
      <c r="Z18" s="145">
        <v>0</v>
      </c>
      <c r="AA18" s="145">
        <v>0</v>
      </c>
      <c r="AB18" s="145">
        <v>0</v>
      </c>
      <c r="AC18" s="145">
        <v>0</v>
      </c>
      <c r="AD18" s="145">
        <v>0</v>
      </c>
      <c r="AE18" s="145">
        <v>0</v>
      </c>
      <c r="AF18" s="145">
        <v>2.0006894379744917E-3</v>
      </c>
      <c r="AG18" s="145">
        <v>0</v>
      </c>
      <c r="AH18" s="145">
        <v>9.9906530213271006E-4</v>
      </c>
      <c r="AI18" s="145">
        <v>0</v>
      </c>
      <c r="AJ18" s="145">
        <v>0</v>
      </c>
      <c r="AK18" s="145">
        <v>5.9984405062113852E-3</v>
      </c>
      <c r="AL18" s="145">
        <v>0</v>
      </c>
      <c r="AM18" s="145">
        <v>0</v>
      </c>
      <c r="AN18" s="145">
        <v>0</v>
      </c>
    </row>
    <row r="19" spans="1:40" customFormat="1" x14ac:dyDescent="0.15">
      <c r="A19" s="179" t="s">
        <v>209</v>
      </c>
      <c r="B19" s="145">
        <v>0</v>
      </c>
      <c r="C19" s="145">
        <v>0</v>
      </c>
      <c r="D19" s="145">
        <v>0</v>
      </c>
      <c r="E19" s="145">
        <v>0</v>
      </c>
      <c r="F19" s="145">
        <v>0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5">
        <v>0</v>
      </c>
      <c r="M19" s="145">
        <v>1.0005377250745955E-2</v>
      </c>
      <c r="N19" s="145">
        <v>0</v>
      </c>
      <c r="O19" s="145">
        <v>0</v>
      </c>
      <c r="P19" s="145">
        <v>0</v>
      </c>
      <c r="Q19" s="145">
        <v>0</v>
      </c>
      <c r="R19" s="145">
        <v>0</v>
      </c>
      <c r="S19" s="145">
        <v>0</v>
      </c>
      <c r="T19" s="145">
        <v>0</v>
      </c>
      <c r="U19" s="145">
        <v>0</v>
      </c>
      <c r="V19" s="145">
        <v>0</v>
      </c>
      <c r="W19" s="145">
        <v>0</v>
      </c>
      <c r="X19" s="145">
        <v>2.4992503728061499E-2</v>
      </c>
      <c r="Y19" s="145">
        <v>0</v>
      </c>
      <c r="Z19" s="145">
        <v>0</v>
      </c>
      <c r="AA19" s="145">
        <v>0</v>
      </c>
      <c r="AB19" s="145">
        <v>0</v>
      </c>
      <c r="AC19" s="145">
        <v>3.0000000000000001E-3</v>
      </c>
      <c r="AD19" s="145">
        <v>0</v>
      </c>
      <c r="AE19" s="145">
        <v>0</v>
      </c>
      <c r="AF19" s="145">
        <v>0</v>
      </c>
      <c r="AG19" s="145">
        <v>0</v>
      </c>
      <c r="AH19" s="145">
        <v>6.593831424001742E-2</v>
      </c>
      <c r="AI19" s="145">
        <v>0</v>
      </c>
      <c r="AJ19" s="145">
        <v>0</v>
      </c>
      <c r="AK19" s="145">
        <v>6.2983624140219546E-2</v>
      </c>
      <c r="AL19" s="145">
        <v>1.6007331638434989E-2</v>
      </c>
      <c r="AM19" s="145">
        <v>0</v>
      </c>
      <c r="AN19" s="145">
        <v>0</v>
      </c>
    </row>
    <row r="20" spans="1:40" customFormat="1" x14ac:dyDescent="0.15">
      <c r="A20" s="179" t="s">
        <v>210</v>
      </c>
      <c r="B20" s="145">
        <v>0</v>
      </c>
      <c r="C20" s="145">
        <v>0</v>
      </c>
      <c r="D20" s="145">
        <v>0</v>
      </c>
      <c r="E20" s="145">
        <v>0</v>
      </c>
      <c r="F20" s="145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0</v>
      </c>
      <c r="M20" s="145">
        <v>1.0005376650741429E-5</v>
      </c>
      <c r="N20" s="145">
        <v>0</v>
      </c>
      <c r="O20" s="145">
        <v>0</v>
      </c>
      <c r="P20" s="145">
        <v>0</v>
      </c>
      <c r="Q20" s="145">
        <v>0</v>
      </c>
      <c r="R20" s="145">
        <v>0</v>
      </c>
      <c r="S20" s="145">
        <v>0</v>
      </c>
      <c r="T20" s="145">
        <v>0</v>
      </c>
      <c r="U20" s="145">
        <v>4.5745654920768489E-3</v>
      </c>
      <c r="V20" s="145">
        <v>0</v>
      </c>
      <c r="W20" s="145">
        <v>0</v>
      </c>
      <c r="X20" s="145">
        <v>0</v>
      </c>
      <c r="Y20" s="145">
        <v>1.0009068263519314E-4</v>
      </c>
      <c r="Z20" s="145">
        <v>1.0010111030918122E-3</v>
      </c>
      <c r="AA20" s="145">
        <v>4.9982867399779012E-3</v>
      </c>
      <c r="AB20" s="145">
        <v>0</v>
      </c>
      <c r="AC20" s="145">
        <v>0</v>
      </c>
      <c r="AD20" s="145">
        <v>0</v>
      </c>
      <c r="AE20" s="145">
        <v>0</v>
      </c>
      <c r="AF20" s="145">
        <v>0</v>
      </c>
      <c r="AG20" s="145">
        <v>4.9936947049283266E-3</v>
      </c>
      <c r="AH20" s="145">
        <v>0</v>
      </c>
      <c r="AI20" s="145">
        <v>0</v>
      </c>
      <c r="AJ20" s="145">
        <v>0</v>
      </c>
      <c r="AK20" s="145">
        <v>1.9994801654037949E-3</v>
      </c>
      <c r="AL20" s="145">
        <v>5.9027028297979221E-4</v>
      </c>
      <c r="AM20" s="145">
        <v>0</v>
      </c>
      <c r="AN20" s="145">
        <v>0</v>
      </c>
    </row>
    <row r="21" spans="1:40" customFormat="1" x14ac:dyDescent="0.15">
      <c r="A21" s="179" t="s">
        <v>211</v>
      </c>
      <c r="B21" s="145">
        <v>0</v>
      </c>
      <c r="C21" s="145">
        <v>0</v>
      </c>
      <c r="D21" s="145">
        <v>0</v>
      </c>
      <c r="E21" s="145">
        <v>0</v>
      </c>
      <c r="F21" s="145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5">
        <v>0</v>
      </c>
      <c r="M21" s="145">
        <v>1.0005376650741429E-5</v>
      </c>
      <c r="N21" s="145">
        <v>0</v>
      </c>
      <c r="O21" s="145">
        <v>0</v>
      </c>
      <c r="P21" s="145">
        <v>9.990010786413647E-4</v>
      </c>
      <c r="Q21" s="145">
        <v>0</v>
      </c>
      <c r="R21" s="145">
        <v>0</v>
      </c>
      <c r="S21" s="145">
        <v>0</v>
      </c>
      <c r="T21" s="145">
        <v>0</v>
      </c>
      <c r="U21" s="145">
        <v>9.1491316241536723E-4</v>
      </c>
      <c r="V21" s="145">
        <v>0</v>
      </c>
      <c r="W21" s="145">
        <v>0</v>
      </c>
      <c r="X21" s="145">
        <v>0</v>
      </c>
      <c r="Y21" s="145">
        <v>0</v>
      </c>
      <c r="Z21" s="145">
        <v>0</v>
      </c>
      <c r="AA21" s="145">
        <v>4.9982867399779012E-3</v>
      </c>
      <c r="AB21" s="145">
        <v>0</v>
      </c>
      <c r="AC21" s="145">
        <v>0</v>
      </c>
      <c r="AD21" s="145">
        <v>0</v>
      </c>
      <c r="AE21" s="145">
        <v>0</v>
      </c>
      <c r="AF21" s="145">
        <v>0</v>
      </c>
      <c r="AG21" s="145">
        <v>4.9936947049283266E-3</v>
      </c>
      <c r="AH21" s="145">
        <v>0</v>
      </c>
      <c r="AI21" s="145">
        <v>0</v>
      </c>
      <c r="AJ21" s="145">
        <v>0</v>
      </c>
      <c r="AK21" s="145">
        <v>3.9989603408075889E-3</v>
      </c>
      <c r="AL21" s="145">
        <v>6.3028868182587767E-4</v>
      </c>
      <c r="AM21" s="145">
        <v>0</v>
      </c>
      <c r="AN21" s="145">
        <v>0</v>
      </c>
    </row>
    <row r="22" spans="1:40" customFormat="1" x14ac:dyDescent="0.15">
      <c r="A22" s="179" t="s">
        <v>212</v>
      </c>
      <c r="B22" s="145">
        <v>0</v>
      </c>
      <c r="C22" s="145">
        <v>0</v>
      </c>
      <c r="D22" s="145">
        <v>0</v>
      </c>
      <c r="E22" s="145">
        <v>0</v>
      </c>
      <c r="F22" s="145">
        <v>0</v>
      </c>
      <c r="G22" s="145">
        <v>0</v>
      </c>
      <c r="H22" s="145">
        <v>0</v>
      </c>
      <c r="I22" s="145">
        <v>0</v>
      </c>
      <c r="J22" s="145">
        <v>0</v>
      </c>
      <c r="K22" s="145">
        <v>0</v>
      </c>
      <c r="L22" s="145">
        <v>0</v>
      </c>
      <c r="M22" s="145">
        <v>0</v>
      </c>
      <c r="N22" s="145">
        <v>0</v>
      </c>
      <c r="O22" s="145">
        <v>7.0000003413699677E-2</v>
      </c>
      <c r="P22" s="145">
        <v>4.9950053932068243E-2</v>
      </c>
      <c r="Q22" s="145">
        <v>9.6000000000000002E-2</v>
      </c>
      <c r="R22" s="145">
        <v>7.0000000000000007E-2</v>
      </c>
      <c r="S22" s="145">
        <v>0</v>
      </c>
      <c r="T22" s="145">
        <v>0</v>
      </c>
      <c r="U22" s="145">
        <v>0</v>
      </c>
      <c r="V22" s="145">
        <v>0</v>
      </c>
      <c r="W22" s="145">
        <v>0.10010009804904896</v>
      </c>
      <c r="X22" s="145">
        <v>5.9982006707347719E-3</v>
      </c>
      <c r="Y22" s="145">
        <v>0</v>
      </c>
      <c r="Z22" s="145">
        <v>0</v>
      </c>
      <c r="AA22" s="145">
        <v>9.9965734799558024E-3</v>
      </c>
      <c r="AB22" s="145">
        <v>0</v>
      </c>
      <c r="AC22" s="145">
        <v>0</v>
      </c>
      <c r="AD22" s="145">
        <v>0</v>
      </c>
      <c r="AE22" s="145">
        <v>0</v>
      </c>
      <c r="AF22" s="145">
        <v>5.0017232549312944E-3</v>
      </c>
      <c r="AG22" s="145">
        <v>1.5979823819707653E-2</v>
      </c>
      <c r="AH22" s="145">
        <v>1.2987850127518314E-2</v>
      </c>
      <c r="AI22" s="145">
        <v>8.4091152218134346E-2</v>
      </c>
      <c r="AJ22" s="145">
        <v>0.25000000286499963</v>
      </c>
      <c r="AK22" s="145">
        <v>1.3996361697826561E-2</v>
      </c>
      <c r="AL22" s="145">
        <v>4.0018328846087477E-3</v>
      </c>
      <c r="AM22" s="145">
        <v>0</v>
      </c>
      <c r="AN22" s="145">
        <v>0</v>
      </c>
    </row>
    <row r="23" spans="1:40" customFormat="1" x14ac:dyDescent="0.15">
      <c r="A23" s="179" t="s">
        <v>213</v>
      </c>
      <c r="B23" s="145">
        <v>0</v>
      </c>
      <c r="C23" s="145">
        <v>0</v>
      </c>
      <c r="D23" s="145">
        <v>0</v>
      </c>
      <c r="E23" s="145">
        <v>0</v>
      </c>
      <c r="F23" s="145">
        <v>0</v>
      </c>
      <c r="G23" s="145">
        <v>0</v>
      </c>
      <c r="H23" s="145">
        <v>0</v>
      </c>
      <c r="I23" s="145">
        <v>0</v>
      </c>
      <c r="J23" s="145">
        <v>0</v>
      </c>
      <c r="K23" s="145">
        <v>0</v>
      </c>
      <c r="L23" s="145">
        <v>0</v>
      </c>
      <c r="M23" s="145">
        <v>0</v>
      </c>
      <c r="N23" s="145">
        <v>0</v>
      </c>
      <c r="O23" s="145">
        <v>1.9999999518200043E-2</v>
      </c>
      <c r="P23" s="145">
        <v>1.9980021572827294E-3</v>
      </c>
      <c r="Q23" s="145">
        <v>8.0000000000000002E-3</v>
      </c>
      <c r="R23" s="145">
        <v>0</v>
      </c>
      <c r="S23" s="145">
        <v>0</v>
      </c>
      <c r="T23" s="145">
        <v>0</v>
      </c>
      <c r="U23" s="145">
        <v>0</v>
      </c>
      <c r="V23" s="145">
        <v>1.0011022016217824E-3</v>
      </c>
      <c r="W23" s="145">
        <v>0</v>
      </c>
      <c r="X23" s="145">
        <v>0</v>
      </c>
      <c r="Y23" s="145">
        <v>1.0009068763527335E-5</v>
      </c>
      <c r="Z23" s="145">
        <v>9.9100087436090911E-4</v>
      </c>
      <c r="AA23" s="145">
        <v>3.5987665527838041E-4</v>
      </c>
      <c r="AB23" s="145">
        <v>0</v>
      </c>
      <c r="AC23" s="145">
        <v>0</v>
      </c>
      <c r="AD23" s="145">
        <v>0</v>
      </c>
      <c r="AE23" s="145">
        <v>0</v>
      </c>
      <c r="AF23" s="145">
        <v>1.700585942277157E-4</v>
      </c>
      <c r="AG23" s="145">
        <v>1.7977302609604117E-4</v>
      </c>
      <c r="AH23" s="145">
        <v>1.5985045434019904E-4</v>
      </c>
      <c r="AI23" s="145">
        <v>0</v>
      </c>
      <c r="AJ23" s="145">
        <v>2.9999999343800067E-3</v>
      </c>
      <c r="AK23" s="145">
        <v>1.5995839883230369E-4</v>
      </c>
      <c r="AL23" s="145">
        <v>4.2019243388391905E-5</v>
      </c>
      <c r="AM23" s="145">
        <v>0</v>
      </c>
      <c r="AN23" s="145">
        <v>0</v>
      </c>
    </row>
    <row r="24" spans="1:40" customFormat="1" x14ac:dyDescent="0.15">
      <c r="A24" s="179" t="s">
        <v>214</v>
      </c>
      <c r="B24" s="145">
        <v>0</v>
      </c>
      <c r="C24" s="145">
        <v>0</v>
      </c>
      <c r="D24" s="145">
        <v>0</v>
      </c>
      <c r="E24" s="145">
        <v>0</v>
      </c>
      <c r="F24" s="145">
        <v>0</v>
      </c>
      <c r="G24" s="145">
        <v>0</v>
      </c>
      <c r="H24" s="145">
        <v>0</v>
      </c>
      <c r="I24" s="145">
        <v>0</v>
      </c>
      <c r="J24" s="145">
        <v>0</v>
      </c>
      <c r="K24" s="145">
        <v>0</v>
      </c>
      <c r="L24" s="145">
        <v>0</v>
      </c>
      <c r="M24" s="145">
        <v>0</v>
      </c>
      <c r="N24" s="145">
        <v>0</v>
      </c>
      <c r="O24" s="145">
        <v>0</v>
      </c>
      <c r="P24" s="145">
        <v>0</v>
      </c>
      <c r="Q24" s="145">
        <v>0</v>
      </c>
      <c r="R24" s="145">
        <v>0</v>
      </c>
      <c r="S24" s="145">
        <v>0</v>
      </c>
      <c r="T24" s="145">
        <v>0</v>
      </c>
      <c r="U24" s="145">
        <v>0</v>
      </c>
      <c r="V24" s="145">
        <v>0</v>
      </c>
      <c r="W24" s="145">
        <v>0</v>
      </c>
      <c r="X24" s="145">
        <v>0</v>
      </c>
      <c r="Y24" s="145">
        <v>0</v>
      </c>
      <c r="Z24" s="145">
        <v>0</v>
      </c>
      <c r="AA24" s="145">
        <v>2.9989721339864838E-2</v>
      </c>
      <c r="AB24" s="145">
        <v>0</v>
      </c>
      <c r="AC24" s="145">
        <v>0</v>
      </c>
      <c r="AD24" s="145">
        <v>0</v>
      </c>
      <c r="AE24" s="145">
        <v>0</v>
      </c>
      <c r="AF24" s="145">
        <v>0</v>
      </c>
      <c r="AG24" s="145">
        <v>4.9936947049283266E-3</v>
      </c>
      <c r="AH24" s="145">
        <v>1.098971902333911E-2</v>
      </c>
      <c r="AI24" s="145">
        <v>0</v>
      </c>
      <c r="AJ24" s="145">
        <v>2.9999999343800067E-3</v>
      </c>
      <c r="AK24" s="145">
        <v>3.9989603408075889E-3</v>
      </c>
      <c r="AL24" s="145">
        <v>0</v>
      </c>
      <c r="AM24" s="145">
        <v>0</v>
      </c>
      <c r="AN24" s="145">
        <v>0</v>
      </c>
    </row>
    <row r="25" spans="1:40" customFormat="1" x14ac:dyDescent="0.15">
      <c r="A25" s="179" t="s">
        <v>215</v>
      </c>
      <c r="B25" s="145">
        <v>0</v>
      </c>
      <c r="C25" s="145">
        <v>0</v>
      </c>
      <c r="D25" s="145">
        <v>0</v>
      </c>
      <c r="E25" s="145">
        <v>0</v>
      </c>
      <c r="F25" s="145">
        <v>0</v>
      </c>
      <c r="G25" s="145">
        <v>0</v>
      </c>
      <c r="H25" s="145">
        <v>0</v>
      </c>
      <c r="I25" s="145">
        <v>0</v>
      </c>
      <c r="J25" s="145">
        <v>0</v>
      </c>
      <c r="K25" s="145">
        <v>0</v>
      </c>
      <c r="L25" s="145">
        <v>0</v>
      </c>
      <c r="M25" s="145">
        <v>5.002688725373731E-5</v>
      </c>
      <c r="N25" s="145">
        <v>9.6000002633919779E-2</v>
      </c>
      <c r="O25" s="145">
        <v>0.20999998824110108</v>
      </c>
      <c r="P25" s="145">
        <v>0.42957043381578452</v>
      </c>
      <c r="Q25" s="145">
        <v>0.23599999999999999</v>
      </c>
      <c r="R25" s="145">
        <v>0.14199999999999999</v>
      </c>
      <c r="S25" s="145">
        <v>0</v>
      </c>
      <c r="T25" s="145">
        <v>0.67999775512341099</v>
      </c>
      <c r="U25" s="145">
        <v>0.45745654020768528</v>
      </c>
      <c r="V25" s="145">
        <v>9.4103602952043147E-2</v>
      </c>
      <c r="W25" s="145">
        <v>0.13213213466474488</v>
      </c>
      <c r="X25" s="145">
        <v>0.11196641785371546</v>
      </c>
      <c r="Y25" s="145">
        <v>2.5022671408810315E-2</v>
      </c>
      <c r="Z25" s="145">
        <v>1.0010109830918275E-2</v>
      </c>
      <c r="AA25" s="145">
        <v>0.16494347741922796</v>
      </c>
      <c r="AB25" s="145">
        <v>0</v>
      </c>
      <c r="AC25" s="145">
        <v>3.0000000000000001E-3</v>
      </c>
      <c r="AD25" s="145">
        <v>0</v>
      </c>
      <c r="AE25" s="145">
        <v>0</v>
      </c>
      <c r="AF25" s="145">
        <v>0</v>
      </c>
      <c r="AG25" s="145">
        <v>0.17877427845177316</v>
      </c>
      <c r="AH25" s="145">
        <v>0</v>
      </c>
      <c r="AI25" s="145">
        <v>0</v>
      </c>
      <c r="AJ25" s="145">
        <v>0.30799999456968052</v>
      </c>
      <c r="AK25" s="145">
        <v>2.9992202081056928E-2</v>
      </c>
      <c r="AL25" s="145">
        <v>7.0032074880653095E-3</v>
      </c>
      <c r="AM25" s="145">
        <v>0</v>
      </c>
      <c r="AN25" s="145">
        <v>0</v>
      </c>
    </row>
    <row r="26" spans="1:40" customFormat="1" x14ac:dyDescent="0.15">
      <c r="A26" s="179" t="s">
        <v>216</v>
      </c>
      <c r="B26" s="145">
        <v>0</v>
      </c>
      <c r="C26" s="145">
        <v>0</v>
      </c>
      <c r="D26" s="145">
        <v>0</v>
      </c>
      <c r="E26" s="145">
        <v>0</v>
      </c>
      <c r="F26" s="145">
        <v>0</v>
      </c>
      <c r="G26" s="145">
        <v>0</v>
      </c>
      <c r="H26" s="145">
        <v>0</v>
      </c>
      <c r="I26" s="145">
        <v>0</v>
      </c>
      <c r="J26" s="145">
        <v>0</v>
      </c>
      <c r="K26" s="145">
        <v>0</v>
      </c>
      <c r="L26" s="145">
        <v>0</v>
      </c>
      <c r="M26" s="145">
        <v>0</v>
      </c>
      <c r="N26" s="145">
        <v>0</v>
      </c>
      <c r="O26" s="145">
        <v>1.9999999518200043E-2</v>
      </c>
      <c r="P26" s="145">
        <v>0</v>
      </c>
      <c r="Q26" s="145">
        <v>0</v>
      </c>
      <c r="R26" s="145">
        <v>0</v>
      </c>
      <c r="S26" s="145">
        <v>0</v>
      </c>
      <c r="T26" s="145">
        <v>0</v>
      </c>
      <c r="U26" s="145">
        <v>5.4894784044922262E-2</v>
      </c>
      <c r="V26" s="145">
        <v>0</v>
      </c>
      <c r="W26" s="145">
        <v>0</v>
      </c>
      <c r="X26" s="145">
        <v>2.9991003753673844E-4</v>
      </c>
      <c r="Y26" s="145">
        <v>3.0027206290582005E-3</v>
      </c>
      <c r="Z26" s="145">
        <v>0</v>
      </c>
      <c r="AA26" s="145">
        <v>0</v>
      </c>
      <c r="AB26" s="145">
        <v>0</v>
      </c>
      <c r="AC26" s="145">
        <v>0</v>
      </c>
      <c r="AD26" s="145">
        <v>0</v>
      </c>
      <c r="AE26" s="145">
        <v>0</v>
      </c>
      <c r="AF26" s="145">
        <v>0</v>
      </c>
      <c r="AG26" s="145">
        <v>6.9911731448536497E-3</v>
      </c>
      <c r="AH26" s="145">
        <v>0</v>
      </c>
      <c r="AI26" s="145">
        <v>0</v>
      </c>
      <c r="AJ26" s="145">
        <v>0.11299999273498078</v>
      </c>
      <c r="AK26" s="145">
        <v>5.9984405062113852E-3</v>
      </c>
      <c r="AL26" s="145">
        <v>8.2037573134479361E-2</v>
      </c>
      <c r="AM26" s="145">
        <v>0</v>
      </c>
      <c r="AN26" s="145">
        <v>0</v>
      </c>
    </row>
    <row r="27" spans="1:40" customFormat="1" x14ac:dyDescent="0.15">
      <c r="A27" s="179" t="s">
        <v>217</v>
      </c>
      <c r="B27" s="145">
        <v>0</v>
      </c>
      <c r="C27" s="145">
        <v>0</v>
      </c>
      <c r="D27" s="145">
        <v>0</v>
      </c>
      <c r="E27" s="145">
        <v>0</v>
      </c>
      <c r="F27" s="145">
        <v>0</v>
      </c>
      <c r="G27" s="145">
        <v>0</v>
      </c>
      <c r="H27" s="145">
        <v>0</v>
      </c>
      <c r="I27" s="145">
        <v>0</v>
      </c>
      <c r="J27" s="145">
        <v>0</v>
      </c>
      <c r="K27" s="145">
        <v>0</v>
      </c>
      <c r="L27" s="145">
        <v>0</v>
      </c>
      <c r="M27" s="145">
        <v>0</v>
      </c>
      <c r="N27" s="145">
        <v>0</v>
      </c>
      <c r="O27" s="145">
        <v>0</v>
      </c>
      <c r="P27" s="145">
        <v>0</v>
      </c>
      <c r="Q27" s="145">
        <v>0</v>
      </c>
      <c r="R27" s="145">
        <v>0</v>
      </c>
      <c r="S27" s="145">
        <v>0</v>
      </c>
      <c r="T27" s="145">
        <v>0</v>
      </c>
      <c r="U27" s="145">
        <v>9.1491306241537132E-3</v>
      </c>
      <c r="V27" s="145">
        <v>0</v>
      </c>
      <c r="W27" s="145">
        <v>0</v>
      </c>
      <c r="X27" s="145">
        <v>9.9970014512246012E-4</v>
      </c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45">
        <v>0</v>
      </c>
      <c r="AE27" s="145">
        <v>0</v>
      </c>
      <c r="AF27" s="145">
        <v>0</v>
      </c>
      <c r="AG27" s="145">
        <v>9.9873894498533552E-4</v>
      </c>
      <c r="AH27" s="145">
        <v>0</v>
      </c>
      <c r="AI27" s="145">
        <v>0</v>
      </c>
      <c r="AJ27" s="145">
        <v>1.2999999788980022E-2</v>
      </c>
      <c r="AK27" s="145">
        <v>9.9974009270189742E-4</v>
      </c>
      <c r="AL27" s="145">
        <v>9.0041232503697034E-3</v>
      </c>
      <c r="AM27" s="145">
        <v>0</v>
      </c>
      <c r="AN27" s="145">
        <v>0</v>
      </c>
    </row>
    <row r="28" spans="1:40" customFormat="1" x14ac:dyDescent="0.15">
      <c r="A28" s="179" t="s">
        <v>218</v>
      </c>
      <c r="B28" s="145">
        <v>0</v>
      </c>
      <c r="C28" s="145">
        <v>0</v>
      </c>
      <c r="D28" s="145">
        <v>0</v>
      </c>
      <c r="E28" s="145">
        <v>0</v>
      </c>
      <c r="F28" s="145">
        <v>0</v>
      </c>
      <c r="G28" s="145">
        <v>0</v>
      </c>
      <c r="H28" s="145">
        <v>0</v>
      </c>
      <c r="I28" s="145">
        <v>0</v>
      </c>
      <c r="J28" s="145">
        <v>0</v>
      </c>
      <c r="K28" s="145">
        <v>0</v>
      </c>
      <c r="L28" s="145">
        <v>0</v>
      </c>
      <c r="M28" s="145">
        <v>1.3000098033994077E-2</v>
      </c>
      <c r="N28" s="145">
        <v>1.4999998849050086E-2</v>
      </c>
      <c r="O28" s="145">
        <v>0</v>
      </c>
      <c r="P28" s="145">
        <v>0</v>
      </c>
      <c r="Q28" s="145">
        <v>0.15</v>
      </c>
      <c r="R28" s="145">
        <v>9.9000000000000005E-2</v>
      </c>
      <c r="S28" s="145">
        <v>1.2999998441820185E-2</v>
      </c>
      <c r="T28" s="145">
        <v>0</v>
      </c>
      <c r="U28" s="145">
        <v>0</v>
      </c>
      <c r="V28" s="145">
        <v>0.10001011004202617</v>
      </c>
      <c r="W28" s="145">
        <v>0</v>
      </c>
      <c r="X28" s="145">
        <v>9.9970014512246033E-2</v>
      </c>
      <c r="Y28" s="145">
        <v>1.7000272715056445E-2</v>
      </c>
      <c r="Z28" s="145">
        <v>0</v>
      </c>
      <c r="AA28" s="145">
        <v>6.9999800291829783E-3</v>
      </c>
      <c r="AB28" s="145">
        <v>8.997379067976187E-3</v>
      </c>
      <c r="AC28" s="145">
        <v>8.9999999999999993E-3</v>
      </c>
      <c r="AD28" s="145">
        <v>1.0000129778684228E-2</v>
      </c>
      <c r="AE28" s="145">
        <v>5.9997778601446561E-2</v>
      </c>
      <c r="AF28" s="145">
        <v>4.0000580567786354E-2</v>
      </c>
      <c r="AG28" s="145">
        <v>6.2994805511332352E-2</v>
      </c>
      <c r="AH28" s="145">
        <v>0.19996551413451819</v>
      </c>
      <c r="AI28" s="145">
        <v>7.600638676119488E-2</v>
      </c>
      <c r="AJ28" s="145">
        <v>0</v>
      </c>
      <c r="AK28" s="145">
        <v>0.16895606976662073</v>
      </c>
      <c r="AL28" s="145">
        <v>4.3019703259544045E-2</v>
      </c>
      <c r="AM28" s="145">
        <v>0</v>
      </c>
      <c r="AN28" s="145">
        <v>0</v>
      </c>
    </row>
    <row r="29" spans="1:40" customFormat="1" x14ac:dyDescent="0.15">
      <c r="A29" s="179" t="s">
        <v>219</v>
      </c>
      <c r="B29" s="145">
        <v>0</v>
      </c>
      <c r="C29" s="145">
        <v>0</v>
      </c>
      <c r="D29" s="145">
        <v>0</v>
      </c>
      <c r="E29" s="145">
        <v>0</v>
      </c>
      <c r="F29" s="145">
        <v>0</v>
      </c>
      <c r="G29" s="145">
        <v>0</v>
      </c>
      <c r="H29" s="145">
        <v>0</v>
      </c>
      <c r="I29" s="145">
        <v>0</v>
      </c>
      <c r="J29" s="145">
        <v>0</v>
      </c>
      <c r="K29" s="145">
        <v>0</v>
      </c>
      <c r="L29" s="145">
        <v>0</v>
      </c>
      <c r="M29" s="145">
        <v>1.0000075410764675E-3</v>
      </c>
      <c r="N29" s="145">
        <v>9.999999232700057E-4</v>
      </c>
      <c r="O29" s="145">
        <v>0</v>
      </c>
      <c r="P29" s="145">
        <v>0</v>
      </c>
      <c r="Q29" s="145">
        <v>8.9999999999999993E-3</v>
      </c>
      <c r="R29" s="145">
        <v>1E-3</v>
      </c>
      <c r="S29" s="145">
        <v>9.9999988014001415E-4</v>
      </c>
      <c r="T29" s="145">
        <v>0</v>
      </c>
      <c r="U29" s="145">
        <v>0</v>
      </c>
      <c r="V29" s="145">
        <v>1.0001011004202617E-3</v>
      </c>
      <c r="W29" s="145">
        <v>0</v>
      </c>
      <c r="X29" s="145">
        <v>1.2996101986591978E-2</v>
      </c>
      <c r="Y29" s="145">
        <v>1.0000160420621438E-3</v>
      </c>
      <c r="Z29" s="145">
        <v>0</v>
      </c>
      <c r="AA29" s="145">
        <v>9.9999714702613983E-4</v>
      </c>
      <c r="AB29" s="145">
        <v>9.9970878533068761E-4</v>
      </c>
      <c r="AC29" s="145">
        <v>1E-3</v>
      </c>
      <c r="AD29" s="145">
        <v>3.0000389336052686E-3</v>
      </c>
      <c r="AE29" s="145">
        <v>5.9997778601446564E-3</v>
      </c>
      <c r="AF29" s="145">
        <v>4.0000580567786355E-3</v>
      </c>
      <c r="AG29" s="145">
        <v>6.9994228345924827E-3</v>
      </c>
      <c r="AH29" s="145">
        <v>2.599551683748736E-2</v>
      </c>
      <c r="AI29" s="145">
        <v>8.000672290652093E-3</v>
      </c>
      <c r="AJ29" s="145">
        <v>0</v>
      </c>
      <c r="AK29" s="145">
        <v>3.2991419759162637E-2</v>
      </c>
      <c r="AL29" s="145">
        <v>0</v>
      </c>
      <c r="AM29" s="145">
        <v>0</v>
      </c>
      <c r="AN29" s="145">
        <v>0</v>
      </c>
    </row>
    <row r="30" spans="1:40" customFormat="1" x14ac:dyDescent="0.15">
      <c r="A30" s="179" t="s">
        <v>220</v>
      </c>
      <c r="B30" s="145">
        <v>0</v>
      </c>
      <c r="C30" s="145">
        <v>0</v>
      </c>
      <c r="D30" s="145">
        <v>0</v>
      </c>
      <c r="E30" s="145">
        <v>0</v>
      </c>
      <c r="F30" s="145">
        <v>0</v>
      </c>
      <c r="G30" s="145">
        <v>0</v>
      </c>
      <c r="H30" s="145">
        <v>0</v>
      </c>
      <c r="I30" s="145">
        <v>0</v>
      </c>
      <c r="J30" s="145">
        <v>0</v>
      </c>
      <c r="K30" s="145">
        <v>0</v>
      </c>
      <c r="L30" s="145">
        <v>0</v>
      </c>
      <c r="M30" s="145">
        <v>0.15608387703157595</v>
      </c>
      <c r="N30" s="145">
        <v>0</v>
      </c>
      <c r="O30" s="145">
        <v>0</v>
      </c>
      <c r="P30" s="145">
        <v>0.21178820867196774</v>
      </c>
      <c r="Q30" s="145">
        <v>0</v>
      </c>
      <c r="R30" s="145">
        <v>0.38900000000000001</v>
      </c>
      <c r="S30" s="145">
        <v>1.9999999002800115E-2</v>
      </c>
      <c r="T30" s="145">
        <v>0</v>
      </c>
      <c r="U30" s="145">
        <v>0</v>
      </c>
      <c r="V30" s="145">
        <v>5.0055110081089114E-2</v>
      </c>
      <c r="W30" s="145">
        <v>0</v>
      </c>
      <c r="X30" s="145">
        <v>0.10496850523785888</v>
      </c>
      <c r="Y30" s="145">
        <v>0</v>
      </c>
      <c r="Z30" s="145">
        <v>9.0090988578264471E-3</v>
      </c>
      <c r="AA30" s="145">
        <v>6.9976020359673501E-3</v>
      </c>
      <c r="AB30" s="145">
        <v>8.6382606789833422E-2</v>
      </c>
      <c r="AC30" s="145">
        <v>3.0000000000000001E-3</v>
      </c>
      <c r="AD30" s="145">
        <v>1.3013182481178285E-2</v>
      </c>
      <c r="AE30" s="145">
        <v>2.7983296227411834E-2</v>
      </c>
      <c r="AF30" s="145">
        <v>0.37312855458187111</v>
      </c>
      <c r="AG30" s="145">
        <v>0</v>
      </c>
      <c r="AH30" s="145">
        <v>0.39962614984808359</v>
      </c>
      <c r="AI30" s="145">
        <v>0.26628867604305717</v>
      </c>
      <c r="AJ30" s="145">
        <v>0</v>
      </c>
      <c r="AK30" s="145">
        <v>0.40389499705156656</v>
      </c>
      <c r="AL30" s="145">
        <v>6.6030238096044469E-2</v>
      </c>
      <c r="AM30" s="145">
        <v>0</v>
      </c>
      <c r="AN30" s="145">
        <v>0</v>
      </c>
    </row>
    <row r="31" spans="1:40" customFormat="1" x14ac:dyDescent="0.15">
      <c r="A31" s="179" t="s">
        <v>221</v>
      </c>
      <c r="B31" s="145">
        <v>0</v>
      </c>
      <c r="C31" s="145">
        <v>0</v>
      </c>
      <c r="D31" s="145">
        <v>0</v>
      </c>
      <c r="E31" s="145">
        <v>0</v>
      </c>
      <c r="F31" s="145">
        <v>0</v>
      </c>
      <c r="G31" s="145">
        <v>0</v>
      </c>
      <c r="H31" s="145">
        <v>0</v>
      </c>
      <c r="I31" s="145">
        <v>0</v>
      </c>
      <c r="J31" s="145">
        <v>0</v>
      </c>
      <c r="K31" s="145">
        <v>0</v>
      </c>
      <c r="L31" s="145">
        <v>0</v>
      </c>
      <c r="M31" s="145">
        <v>1.00053771507452E-4</v>
      </c>
      <c r="N31" s="145">
        <v>0</v>
      </c>
      <c r="O31" s="145">
        <v>0</v>
      </c>
      <c r="P31" s="145">
        <v>0</v>
      </c>
      <c r="Q31" s="145">
        <v>0</v>
      </c>
      <c r="R31" s="145">
        <v>0</v>
      </c>
      <c r="S31" s="145">
        <v>0</v>
      </c>
      <c r="T31" s="145">
        <v>0</v>
      </c>
      <c r="U31" s="145">
        <v>0</v>
      </c>
      <c r="V31" s="145">
        <v>0</v>
      </c>
      <c r="W31" s="145">
        <v>0</v>
      </c>
      <c r="X31" s="145">
        <v>0</v>
      </c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45">
        <v>1.3013182481178285E-2</v>
      </c>
      <c r="AE31" s="145">
        <v>1.9988068748150781E-3</v>
      </c>
      <c r="AF31" s="145">
        <v>6.0020681139205719E-3</v>
      </c>
      <c r="AG31" s="145">
        <v>0</v>
      </c>
      <c r="AH31" s="145">
        <v>2.4976634353007378E-2</v>
      </c>
      <c r="AI31" s="145">
        <v>8.4091152218134346E-2</v>
      </c>
      <c r="AJ31" s="145">
        <v>1.0000000514599943E-3</v>
      </c>
      <c r="AK31" s="145">
        <v>4.4988304071585383E-2</v>
      </c>
      <c r="AL31" s="145">
        <v>9.104169737484902E-4</v>
      </c>
      <c r="AM31" s="145">
        <v>0</v>
      </c>
      <c r="AN31" s="145">
        <v>0</v>
      </c>
    </row>
    <row r="32" spans="1:40" customFormat="1" x14ac:dyDescent="0.15">
      <c r="A32" s="179" t="s">
        <v>222</v>
      </c>
      <c r="B32" s="145">
        <v>0</v>
      </c>
      <c r="C32" s="145">
        <v>0</v>
      </c>
      <c r="D32" s="145">
        <v>0</v>
      </c>
      <c r="E32" s="145">
        <v>0</v>
      </c>
      <c r="F32" s="145">
        <v>0</v>
      </c>
      <c r="G32" s="145">
        <v>0</v>
      </c>
      <c r="H32" s="145">
        <v>0</v>
      </c>
      <c r="I32" s="145">
        <v>0</v>
      </c>
      <c r="J32" s="145">
        <v>0</v>
      </c>
      <c r="K32" s="145">
        <v>0</v>
      </c>
      <c r="L32" s="145">
        <v>0</v>
      </c>
      <c r="M32" s="145">
        <v>0</v>
      </c>
      <c r="N32" s="145">
        <v>0</v>
      </c>
      <c r="O32" s="145">
        <v>0</v>
      </c>
      <c r="P32" s="145">
        <v>0</v>
      </c>
      <c r="Q32" s="145">
        <v>0</v>
      </c>
      <c r="R32" s="145">
        <v>0</v>
      </c>
      <c r="S32" s="145">
        <v>0</v>
      </c>
      <c r="T32" s="145">
        <v>0</v>
      </c>
      <c r="U32" s="145">
        <v>0</v>
      </c>
      <c r="V32" s="145">
        <v>0</v>
      </c>
      <c r="W32" s="145">
        <v>0</v>
      </c>
      <c r="X32" s="145">
        <v>0</v>
      </c>
      <c r="Y32" s="145">
        <v>0</v>
      </c>
      <c r="Z32" s="145">
        <v>0</v>
      </c>
      <c r="AA32" s="145">
        <v>0</v>
      </c>
      <c r="AB32" s="145">
        <v>0</v>
      </c>
      <c r="AC32" s="145">
        <v>0</v>
      </c>
      <c r="AD32" s="145">
        <v>0</v>
      </c>
      <c r="AE32" s="145">
        <v>0</v>
      </c>
      <c r="AF32" s="145">
        <v>0</v>
      </c>
      <c r="AG32" s="145">
        <v>0</v>
      </c>
      <c r="AH32" s="145">
        <v>4.995326510663551E-3</v>
      </c>
      <c r="AI32" s="145">
        <v>0</v>
      </c>
      <c r="AJ32" s="145">
        <v>1.0000000514599943E-3</v>
      </c>
      <c r="AK32" s="145">
        <v>1.0997140719720872E-2</v>
      </c>
      <c r="AL32" s="145">
        <v>0</v>
      </c>
      <c r="AM32" s="145">
        <v>0</v>
      </c>
      <c r="AN32" s="145">
        <v>0</v>
      </c>
    </row>
    <row r="33" spans="1:40" customFormat="1" x14ac:dyDescent="0.15">
      <c r="A33" s="179" t="s">
        <v>223</v>
      </c>
      <c r="B33" s="145">
        <v>0</v>
      </c>
      <c r="C33" s="145">
        <v>0</v>
      </c>
      <c r="D33" s="145">
        <v>0</v>
      </c>
      <c r="E33" s="145">
        <v>0</v>
      </c>
      <c r="F33" s="145">
        <v>0</v>
      </c>
      <c r="G33" s="145">
        <v>0</v>
      </c>
      <c r="H33" s="145">
        <v>0</v>
      </c>
      <c r="I33" s="145">
        <v>0</v>
      </c>
      <c r="J33" s="145">
        <v>0</v>
      </c>
      <c r="K33" s="145">
        <v>0</v>
      </c>
      <c r="L33" s="145">
        <v>0</v>
      </c>
      <c r="M33" s="145">
        <v>0</v>
      </c>
      <c r="N33" s="145">
        <v>0</v>
      </c>
      <c r="O33" s="145">
        <v>0</v>
      </c>
      <c r="P33" s="145">
        <v>0</v>
      </c>
      <c r="Q33" s="145">
        <v>0</v>
      </c>
      <c r="R33" s="145">
        <v>0</v>
      </c>
      <c r="S33" s="145">
        <v>0</v>
      </c>
      <c r="T33" s="145">
        <v>0</v>
      </c>
      <c r="U33" s="145">
        <v>0</v>
      </c>
      <c r="V33" s="145">
        <v>0</v>
      </c>
      <c r="W33" s="145">
        <v>0</v>
      </c>
      <c r="X33" s="145">
        <v>0</v>
      </c>
      <c r="Y33" s="145">
        <v>0</v>
      </c>
      <c r="Z33" s="145">
        <v>0</v>
      </c>
      <c r="AA33" s="145">
        <v>0</v>
      </c>
      <c r="AB33" s="145">
        <v>0</v>
      </c>
      <c r="AC33" s="145">
        <v>0</v>
      </c>
      <c r="AD33" s="145">
        <v>0</v>
      </c>
      <c r="AE33" s="145">
        <v>0</v>
      </c>
      <c r="AF33" s="145">
        <v>0</v>
      </c>
      <c r="AG33" s="145">
        <v>9.9873894498533552E-3</v>
      </c>
      <c r="AH33" s="145">
        <v>9.9906530213271009E-6</v>
      </c>
      <c r="AI33" s="145">
        <v>0</v>
      </c>
      <c r="AJ33" s="145">
        <v>0</v>
      </c>
      <c r="AK33" s="145">
        <v>0</v>
      </c>
      <c r="AL33" s="145">
        <v>0</v>
      </c>
      <c r="AM33" s="145">
        <v>0</v>
      </c>
      <c r="AN33" s="145">
        <v>0</v>
      </c>
    </row>
    <row r="34" spans="1:40" customFormat="1" x14ac:dyDescent="0.15">
      <c r="A34" s="179" t="s">
        <v>224</v>
      </c>
      <c r="B34" s="145">
        <v>0</v>
      </c>
      <c r="C34" s="145">
        <v>0</v>
      </c>
      <c r="D34" s="145">
        <v>0</v>
      </c>
      <c r="E34" s="145">
        <v>0</v>
      </c>
      <c r="F34" s="145">
        <v>0</v>
      </c>
      <c r="G34" s="145">
        <v>0</v>
      </c>
      <c r="H34" s="145">
        <v>0</v>
      </c>
      <c r="I34" s="145">
        <v>0</v>
      </c>
      <c r="J34" s="145">
        <v>0</v>
      </c>
      <c r="K34" s="145">
        <v>0</v>
      </c>
      <c r="L34" s="145">
        <v>0</v>
      </c>
      <c r="M34" s="145">
        <v>0</v>
      </c>
      <c r="N34" s="145">
        <v>0</v>
      </c>
      <c r="O34" s="145">
        <v>0</v>
      </c>
      <c r="P34" s="145">
        <v>0</v>
      </c>
      <c r="Q34" s="145">
        <v>0</v>
      </c>
      <c r="R34" s="145">
        <v>0</v>
      </c>
      <c r="S34" s="145">
        <v>0</v>
      </c>
      <c r="T34" s="145">
        <v>0</v>
      </c>
      <c r="U34" s="145">
        <v>0</v>
      </c>
      <c r="V34" s="145">
        <v>0</v>
      </c>
      <c r="W34" s="145">
        <v>0</v>
      </c>
      <c r="X34" s="145">
        <v>0</v>
      </c>
      <c r="Y34" s="145">
        <v>0</v>
      </c>
      <c r="Z34" s="145">
        <v>0</v>
      </c>
      <c r="AA34" s="145">
        <v>0</v>
      </c>
      <c r="AB34" s="145">
        <v>0</v>
      </c>
      <c r="AC34" s="145">
        <v>0</v>
      </c>
      <c r="AD34" s="145">
        <v>0</v>
      </c>
      <c r="AE34" s="145">
        <v>0</v>
      </c>
      <c r="AF34" s="145">
        <v>0</v>
      </c>
      <c r="AG34" s="145">
        <v>0</v>
      </c>
      <c r="AH34" s="145">
        <v>8.9915883190909342E-3</v>
      </c>
      <c r="AI34" s="145">
        <v>0</v>
      </c>
      <c r="AJ34" s="145">
        <v>0</v>
      </c>
      <c r="AK34" s="145">
        <v>0</v>
      </c>
      <c r="AL34" s="145">
        <v>0</v>
      </c>
      <c r="AM34" s="145">
        <v>0</v>
      </c>
      <c r="AN34" s="145">
        <v>0</v>
      </c>
    </row>
    <row r="35" spans="1:40" customFormat="1" x14ac:dyDescent="0.15">
      <c r="A35" s="179" t="s">
        <v>225</v>
      </c>
      <c r="B35" s="145">
        <v>0</v>
      </c>
      <c r="C35" s="145">
        <v>0</v>
      </c>
      <c r="D35" s="145">
        <v>0</v>
      </c>
      <c r="E35" s="145">
        <v>0</v>
      </c>
      <c r="F35" s="145">
        <v>0</v>
      </c>
      <c r="G35" s="145">
        <v>0</v>
      </c>
      <c r="H35" s="145">
        <v>0</v>
      </c>
      <c r="I35" s="145">
        <v>0</v>
      </c>
      <c r="J35" s="145">
        <v>0</v>
      </c>
      <c r="K35" s="145">
        <v>0</v>
      </c>
      <c r="L35" s="145">
        <v>0</v>
      </c>
      <c r="M35" s="145">
        <v>0</v>
      </c>
      <c r="N35" s="145">
        <v>0</v>
      </c>
      <c r="O35" s="145">
        <v>0</v>
      </c>
      <c r="P35" s="145">
        <v>0</v>
      </c>
      <c r="Q35" s="145">
        <v>0</v>
      </c>
      <c r="R35" s="145">
        <v>0</v>
      </c>
      <c r="S35" s="145">
        <v>0</v>
      </c>
      <c r="T35" s="145">
        <v>0</v>
      </c>
      <c r="U35" s="145">
        <v>0</v>
      </c>
      <c r="V35" s="145">
        <v>0</v>
      </c>
      <c r="W35" s="145">
        <v>0</v>
      </c>
      <c r="X35" s="145">
        <v>0</v>
      </c>
      <c r="Y35" s="145">
        <v>0</v>
      </c>
      <c r="Z35" s="145">
        <v>0</v>
      </c>
      <c r="AA35" s="145">
        <v>0</v>
      </c>
      <c r="AB35" s="145">
        <v>0</v>
      </c>
      <c r="AC35" s="145">
        <v>0</v>
      </c>
      <c r="AD35" s="145">
        <v>0</v>
      </c>
      <c r="AE35" s="145">
        <v>0</v>
      </c>
      <c r="AF35" s="145">
        <v>0</v>
      </c>
      <c r="AG35" s="145">
        <v>0</v>
      </c>
      <c r="AH35" s="145">
        <v>1.0989719223304623E-5</v>
      </c>
      <c r="AI35" s="145">
        <v>0</v>
      </c>
      <c r="AJ35" s="145">
        <v>0</v>
      </c>
      <c r="AK35" s="145">
        <v>0</v>
      </c>
      <c r="AL35" s="145">
        <v>0</v>
      </c>
      <c r="AM35" s="145">
        <v>0</v>
      </c>
      <c r="AN35" s="145">
        <v>0</v>
      </c>
    </row>
    <row r="36" spans="1:40" customFormat="1" x14ac:dyDescent="0.15">
      <c r="A36" s="179" t="s">
        <v>226</v>
      </c>
      <c r="B36" s="145">
        <v>0</v>
      </c>
      <c r="C36" s="145">
        <v>0</v>
      </c>
      <c r="D36" s="145">
        <v>0</v>
      </c>
      <c r="E36" s="145">
        <v>0</v>
      </c>
      <c r="F36" s="145">
        <v>0</v>
      </c>
      <c r="G36" s="145">
        <v>0</v>
      </c>
      <c r="H36" s="145">
        <v>0</v>
      </c>
      <c r="I36" s="145">
        <v>0</v>
      </c>
      <c r="J36" s="145">
        <v>0</v>
      </c>
      <c r="K36" s="145">
        <v>0</v>
      </c>
      <c r="L36" s="145">
        <v>0</v>
      </c>
      <c r="M36" s="145">
        <v>0</v>
      </c>
      <c r="N36" s="145">
        <v>0</v>
      </c>
      <c r="O36" s="145">
        <v>0</v>
      </c>
      <c r="P36" s="145">
        <v>0</v>
      </c>
      <c r="Q36" s="145">
        <v>0</v>
      </c>
      <c r="R36" s="145">
        <v>0</v>
      </c>
      <c r="S36" s="145">
        <v>0</v>
      </c>
      <c r="T36" s="145">
        <v>0</v>
      </c>
      <c r="U36" s="145">
        <v>0</v>
      </c>
      <c r="V36" s="145">
        <v>0</v>
      </c>
      <c r="W36" s="145">
        <v>0</v>
      </c>
      <c r="X36" s="145">
        <v>0</v>
      </c>
      <c r="Y36" s="145">
        <v>0</v>
      </c>
      <c r="Z36" s="145">
        <v>0</v>
      </c>
      <c r="AA36" s="145">
        <v>0</v>
      </c>
      <c r="AB36" s="145">
        <v>0</v>
      </c>
      <c r="AC36" s="145">
        <v>0</v>
      </c>
      <c r="AD36" s="145">
        <v>0</v>
      </c>
      <c r="AE36" s="145">
        <v>0</v>
      </c>
      <c r="AF36" s="145">
        <v>0</v>
      </c>
      <c r="AG36" s="145">
        <v>0</v>
      </c>
      <c r="AH36" s="145">
        <v>1.0989719223304623E-5</v>
      </c>
      <c r="AI36" s="145">
        <v>0</v>
      </c>
      <c r="AJ36" s="145">
        <v>0</v>
      </c>
      <c r="AK36" s="145">
        <v>0</v>
      </c>
      <c r="AL36" s="145">
        <v>0</v>
      </c>
      <c r="AM36" s="145">
        <v>0</v>
      </c>
      <c r="AN36" s="145">
        <v>0</v>
      </c>
    </row>
    <row r="37" spans="1:40" customFormat="1" x14ac:dyDescent="0.15">
      <c r="A37" s="179" t="s">
        <v>227</v>
      </c>
      <c r="B37" s="145">
        <v>0</v>
      </c>
      <c r="C37" s="145">
        <v>0</v>
      </c>
      <c r="D37" s="145">
        <v>0</v>
      </c>
      <c r="E37" s="145">
        <v>0</v>
      </c>
      <c r="F37" s="145">
        <v>0</v>
      </c>
      <c r="G37" s="145">
        <v>0</v>
      </c>
      <c r="H37" s="145">
        <v>0</v>
      </c>
      <c r="I37" s="145">
        <v>0</v>
      </c>
      <c r="J37" s="145">
        <v>0</v>
      </c>
      <c r="K37" s="145">
        <v>0</v>
      </c>
      <c r="L37" s="145">
        <v>0</v>
      </c>
      <c r="M37" s="145">
        <v>0</v>
      </c>
      <c r="N37" s="145">
        <v>0</v>
      </c>
      <c r="O37" s="145">
        <v>0</v>
      </c>
      <c r="P37" s="145">
        <v>0</v>
      </c>
      <c r="Q37" s="145">
        <v>0</v>
      </c>
      <c r="R37" s="145">
        <v>0</v>
      </c>
      <c r="S37" s="145">
        <v>0</v>
      </c>
      <c r="T37" s="145">
        <v>0</v>
      </c>
      <c r="U37" s="145">
        <v>0</v>
      </c>
      <c r="V37" s="145">
        <v>0</v>
      </c>
      <c r="W37" s="145">
        <v>0</v>
      </c>
      <c r="X37" s="145">
        <v>0</v>
      </c>
      <c r="Y37" s="145">
        <v>0</v>
      </c>
      <c r="Z37" s="145">
        <v>0</v>
      </c>
      <c r="AA37" s="145">
        <v>0</v>
      </c>
      <c r="AB37" s="145">
        <v>0</v>
      </c>
      <c r="AC37" s="145">
        <v>0</v>
      </c>
      <c r="AD37" s="145">
        <v>0</v>
      </c>
      <c r="AE37" s="145">
        <v>0</v>
      </c>
      <c r="AF37" s="145">
        <v>0</v>
      </c>
      <c r="AG37" s="145">
        <v>0</v>
      </c>
      <c r="AH37" s="145">
        <v>9.9906530213271009E-6</v>
      </c>
      <c r="AI37" s="145">
        <v>0</v>
      </c>
      <c r="AJ37" s="145">
        <v>0</v>
      </c>
      <c r="AK37" s="145">
        <v>0</v>
      </c>
      <c r="AL37" s="145">
        <v>0</v>
      </c>
      <c r="AM37" s="145">
        <v>0</v>
      </c>
      <c r="AN37" s="145">
        <v>0</v>
      </c>
    </row>
    <row r="38" spans="1:40" customFormat="1" x14ac:dyDescent="0.15">
      <c r="A38" s="179" t="s">
        <v>228</v>
      </c>
      <c r="B38" s="145">
        <v>0</v>
      </c>
      <c r="C38" s="145">
        <v>0</v>
      </c>
      <c r="D38" s="145">
        <v>0</v>
      </c>
      <c r="E38" s="145">
        <v>0</v>
      </c>
      <c r="F38" s="145">
        <v>0</v>
      </c>
      <c r="G38" s="145">
        <v>0</v>
      </c>
      <c r="H38" s="145">
        <v>0</v>
      </c>
      <c r="I38" s="145">
        <v>0</v>
      </c>
      <c r="J38" s="145">
        <v>0</v>
      </c>
      <c r="K38" s="145">
        <v>0</v>
      </c>
      <c r="L38" s="145">
        <v>0</v>
      </c>
      <c r="M38" s="145">
        <v>0</v>
      </c>
      <c r="N38" s="145">
        <v>0</v>
      </c>
      <c r="O38" s="145">
        <v>0</v>
      </c>
      <c r="P38" s="145">
        <v>0</v>
      </c>
      <c r="Q38" s="145">
        <v>0</v>
      </c>
      <c r="R38" s="145">
        <v>0</v>
      </c>
      <c r="S38" s="145">
        <v>0</v>
      </c>
      <c r="T38" s="145">
        <v>0</v>
      </c>
      <c r="U38" s="145">
        <v>0</v>
      </c>
      <c r="V38" s="145">
        <v>0</v>
      </c>
      <c r="W38" s="145">
        <v>0</v>
      </c>
      <c r="X38" s="145">
        <v>0</v>
      </c>
      <c r="Y38" s="145">
        <v>0</v>
      </c>
      <c r="Z38" s="145">
        <v>0</v>
      </c>
      <c r="AA38" s="145">
        <v>0</v>
      </c>
      <c r="AB38" s="145">
        <v>0</v>
      </c>
      <c r="AC38" s="145">
        <v>0</v>
      </c>
      <c r="AD38" s="145">
        <v>0</v>
      </c>
      <c r="AE38" s="145">
        <v>0</v>
      </c>
      <c r="AF38" s="145">
        <v>0</v>
      </c>
      <c r="AG38" s="145">
        <v>0</v>
      </c>
      <c r="AH38" s="145">
        <v>1.0989718823373595E-6</v>
      </c>
      <c r="AI38" s="145">
        <v>0</v>
      </c>
      <c r="AJ38" s="145">
        <v>0</v>
      </c>
      <c r="AK38" s="145">
        <v>0</v>
      </c>
      <c r="AL38" s="145">
        <v>0</v>
      </c>
      <c r="AM38" s="145">
        <v>0</v>
      </c>
      <c r="AN38" s="145">
        <v>0</v>
      </c>
    </row>
    <row r="39" spans="1:40" x14ac:dyDescent="0.15">
      <c r="A39" s="179" t="s">
        <v>229</v>
      </c>
      <c r="B39" s="145">
        <v>0</v>
      </c>
      <c r="C39" s="145">
        <v>0</v>
      </c>
      <c r="D39" s="145">
        <v>0.3</v>
      </c>
      <c r="E39" s="145">
        <v>0</v>
      </c>
      <c r="F39" s="145">
        <v>1</v>
      </c>
      <c r="G39" s="145">
        <v>0.19999999162399926</v>
      </c>
      <c r="H39" s="145">
        <v>0.59399999677076032</v>
      </c>
      <c r="I39" s="145">
        <v>0.60899999999999999</v>
      </c>
      <c r="J39" s="145">
        <v>0.4</v>
      </c>
      <c r="K39" s="145">
        <v>0.53373310837960974</v>
      </c>
      <c r="L39" s="145">
        <v>0.33000000049</v>
      </c>
      <c r="M39" s="145">
        <v>0</v>
      </c>
      <c r="N39" s="145">
        <v>0</v>
      </c>
      <c r="O39" s="145">
        <v>0</v>
      </c>
      <c r="P39" s="145">
        <v>0</v>
      </c>
      <c r="Q39" s="145">
        <v>0</v>
      </c>
      <c r="R39" s="145">
        <v>0</v>
      </c>
      <c r="S39" s="145">
        <v>0</v>
      </c>
      <c r="T39" s="145">
        <v>0</v>
      </c>
      <c r="U39" s="145">
        <v>0</v>
      </c>
      <c r="V39" s="145">
        <v>0</v>
      </c>
      <c r="W39" s="145">
        <v>0</v>
      </c>
      <c r="X39" s="145">
        <v>0</v>
      </c>
      <c r="Y39" s="145">
        <v>0.10109159869169314</v>
      </c>
      <c r="Z39" s="145">
        <v>4.204246236985662E-2</v>
      </c>
      <c r="AA39" s="145">
        <v>0</v>
      </c>
      <c r="AB39" s="145">
        <v>2.9117731919250791E-2</v>
      </c>
      <c r="AC39" s="145">
        <v>0</v>
      </c>
      <c r="AD39" s="145">
        <v>7.6077062705296669E-2</v>
      </c>
      <c r="AE39" s="145">
        <v>7.2956448810828842E-2</v>
      </c>
      <c r="AF39" s="145">
        <v>2.0006894379744917E-3</v>
      </c>
      <c r="AG39" s="145">
        <v>0</v>
      </c>
      <c r="AH39" s="145">
        <v>0</v>
      </c>
      <c r="AI39" s="145">
        <v>2.0021704509214067E-3</v>
      </c>
      <c r="AJ39" s="145">
        <v>0</v>
      </c>
      <c r="AK39" s="145">
        <v>0</v>
      </c>
      <c r="AL39" s="145">
        <v>0</v>
      </c>
      <c r="AM39" s="145">
        <v>0</v>
      </c>
      <c r="AN39" s="145">
        <v>0</v>
      </c>
    </row>
    <row r="40" spans="1:40" x14ac:dyDescent="0.15">
      <c r="A40" s="179" t="s">
        <v>230</v>
      </c>
      <c r="B40" s="145">
        <v>0</v>
      </c>
      <c r="C40" s="145">
        <v>0</v>
      </c>
      <c r="D40" s="145">
        <v>0</v>
      </c>
      <c r="E40" s="145">
        <v>0</v>
      </c>
      <c r="F40" s="145">
        <v>0</v>
      </c>
      <c r="G40" s="145">
        <v>0</v>
      </c>
      <c r="H40" s="145">
        <v>0</v>
      </c>
      <c r="I40" s="145">
        <v>0</v>
      </c>
      <c r="J40" s="145">
        <v>0</v>
      </c>
      <c r="K40" s="145">
        <v>0</v>
      </c>
      <c r="L40" s="145">
        <v>0</v>
      </c>
      <c r="M40" s="145">
        <v>0</v>
      </c>
      <c r="N40" s="145">
        <v>0</v>
      </c>
      <c r="O40" s="145">
        <v>0</v>
      </c>
      <c r="P40" s="145">
        <v>0</v>
      </c>
      <c r="Q40" s="145">
        <v>0</v>
      </c>
      <c r="R40" s="145">
        <v>0</v>
      </c>
      <c r="S40" s="145">
        <v>0</v>
      </c>
      <c r="T40" s="145">
        <v>0</v>
      </c>
      <c r="U40" s="145">
        <v>0</v>
      </c>
      <c r="V40" s="145">
        <v>0</v>
      </c>
      <c r="W40" s="145">
        <v>0</v>
      </c>
      <c r="X40" s="145">
        <v>0</v>
      </c>
      <c r="Y40" s="145">
        <v>0</v>
      </c>
      <c r="Z40" s="145">
        <v>0</v>
      </c>
      <c r="AA40" s="145">
        <v>0</v>
      </c>
      <c r="AB40" s="145">
        <v>0</v>
      </c>
      <c r="AC40" s="145">
        <v>0</v>
      </c>
      <c r="AD40" s="145">
        <v>0</v>
      </c>
      <c r="AE40" s="145">
        <v>0</v>
      </c>
      <c r="AF40" s="145">
        <v>0</v>
      </c>
      <c r="AG40" s="145">
        <v>0</v>
      </c>
      <c r="AH40" s="145">
        <v>0</v>
      </c>
      <c r="AI40" s="145">
        <v>0</v>
      </c>
      <c r="AJ40" s="145">
        <v>0</v>
      </c>
      <c r="AK40" s="145">
        <v>0</v>
      </c>
      <c r="AL40" s="145">
        <v>0</v>
      </c>
      <c r="AM40" s="145">
        <v>0</v>
      </c>
      <c r="AN40" s="145">
        <v>0</v>
      </c>
    </row>
    <row r="41" spans="1:40" x14ac:dyDescent="0.15">
      <c r="A41" s="179" t="s">
        <v>232</v>
      </c>
      <c r="B41" s="145">
        <v>0</v>
      </c>
      <c r="C41" s="145">
        <v>0</v>
      </c>
      <c r="D41" s="145">
        <v>0</v>
      </c>
      <c r="E41" s="145">
        <v>0</v>
      </c>
      <c r="F41" s="145">
        <v>0</v>
      </c>
      <c r="G41" s="145">
        <v>0</v>
      </c>
      <c r="H41" s="145">
        <v>0</v>
      </c>
      <c r="I41" s="145">
        <v>0</v>
      </c>
      <c r="J41" s="145">
        <v>0</v>
      </c>
      <c r="K41" s="145">
        <v>0</v>
      </c>
      <c r="L41" s="145">
        <v>0</v>
      </c>
      <c r="M41" s="145">
        <v>0</v>
      </c>
      <c r="N41" s="145">
        <v>0</v>
      </c>
      <c r="O41" s="145">
        <v>0</v>
      </c>
      <c r="P41" s="145">
        <v>0</v>
      </c>
      <c r="Q41" s="145">
        <v>0</v>
      </c>
      <c r="R41" s="145">
        <v>0</v>
      </c>
      <c r="S41" s="145">
        <v>0</v>
      </c>
      <c r="T41" s="145">
        <v>0</v>
      </c>
      <c r="U41" s="145">
        <v>0</v>
      </c>
      <c r="V41" s="145">
        <v>0</v>
      </c>
      <c r="W41" s="145">
        <v>0</v>
      </c>
      <c r="X41" s="145">
        <v>0</v>
      </c>
      <c r="Y41" s="145">
        <v>0</v>
      </c>
      <c r="Z41" s="145">
        <v>0</v>
      </c>
      <c r="AA41" s="145">
        <v>0</v>
      </c>
      <c r="AB41" s="145">
        <v>0</v>
      </c>
      <c r="AC41" s="145">
        <v>0</v>
      </c>
      <c r="AD41" s="145">
        <v>0</v>
      </c>
      <c r="AE41" s="145">
        <v>0</v>
      </c>
      <c r="AF41" s="145">
        <v>0</v>
      </c>
      <c r="AG41" s="145">
        <v>0</v>
      </c>
      <c r="AH41" s="145">
        <v>0</v>
      </c>
      <c r="AI41" s="145">
        <v>0</v>
      </c>
      <c r="AJ41" s="145">
        <v>0</v>
      </c>
      <c r="AK41" s="145">
        <v>0</v>
      </c>
      <c r="AL41" s="145">
        <v>0</v>
      </c>
      <c r="AM41" s="145">
        <v>0</v>
      </c>
      <c r="AN41" s="145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7.5" customWidth="1"/>
    <col min="3" max="4" width="2.33203125" style="115" customWidth="1"/>
    <col min="5" max="6" width="2.33203125" style="114" bestFit="1" customWidth="1"/>
    <col min="7" max="8" width="8.83203125" style="115"/>
  </cols>
  <sheetData>
    <row r="1" spans="1:8" ht="70" x14ac:dyDescent="0.15">
      <c r="A1" s="5" t="s">
        <v>20</v>
      </c>
      <c r="B1" s="1" t="s">
        <v>0</v>
      </c>
      <c r="C1" s="182" t="s">
        <v>229</v>
      </c>
      <c r="D1" s="182" t="s">
        <v>230</v>
      </c>
      <c r="E1" s="182" t="s">
        <v>233</v>
      </c>
      <c r="F1" s="182" t="s">
        <v>234</v>
      </c>
      <c r="G1"/>
      <c r="H1"/>
    </row>
    <row r="2" spans="1:8" x14ac:dyDescent="0.15">
      <c r="A2">
        <v>1</v>
      </c>
      <c r="B2" s="181" t="s">
        <v>192</v>
      </c>
      <c r="C2" s="115">
        <v>1</v>
      </c>
      <c r="D2" s="115">
        <v>0</v>
      </c>
      <c r="E2" s="114">
        <v>0</v>
      </c>
      <c r="F2" s="114">
        <v>1</v>
      </c>
      <c r="G2"/>
      <c r="H2"/>
    </row>
    <row r="3" spans="1:8" x14ac:dyDescent="0.15">
      <c r="A3">
        <v>2</v>
      </c>
      <c r="B3" s="181" t="s">
        <v>193</v>
      </c>
      <c r="C3" s="115">
        <v>1</v>
      </c>
      <c r="D3" s="115">
        <v>0</v>
      </c>
      <c r="E3" s="114">
        <v>0</v>
      </c>
      <c r="F3" s="114">
        <v>1</v>
      </c>
      <c r="G3"/>
      <c r="H3"/>
    </row>
    <row r="4" spans="1:8" x14ac:dyDescent="0.15">
      <c r="A4">
        <v>3</v>
      </c>
      <c r="B4" s="181" t="s">
        <v>194</v>
      </c>
      <c r="C4" s="115">
        <v>1</v>
      </c>
      <c r="D4" s="115">
        <v>0</v>
      </c>
      <c r="E4" s="114">
        <v>0</v>
      </c>
      <c r="F4" s="114">
        <v>1</v>
      </c>
      <c r="G4"/>
      <c r="H4"/>
    </row>
    <row r="5" spans="1:8" x14ac:dyDescent="0.15">
      <c r="A5">
        <v>4</v>
      </c>
      <c r="B5" s="181" t="s">
        <v>195</v>
      </c>
      <c r="C5" s="115">
        <v>1</v>
      </c>
      <c r="D5" s="115">
        <v>0</v>
      </c>
      <c r="E5" s="114">
        <v>0</v>
      </c>
      <c r="F5" s="114">
        <v>1</v>
      </c>
      <c r="G5"/>
      <c r="H5"/>
    </row>
    <row r="6" spans="1:8" x14ac:dyDescent="0.15">
      <c r="A6">
        <v>5</v>
      </c>
      <c r="B6" s="181" t="s">
        <v>196</v>
      </c>
      <c r="C6" s="115">
        <v>1</v>
      </c>
      <c r="D6" s="115">
        <v>0</v>
      </c>
      <c r="E6" s="114">
        <v>0</v>
      </c>
      <c r="F6" s="114">
        <v>1</v>
      </c>
      <c r="G6"/>
      <c r="H6"/>
    </row>
    <row r="7" spans="1:8" x14ac:dyDescent="0.15">
      <c r="A7">
        <v>6</v>
      </c>
      <c r="B7" s="181" t="s">
        <v>197</v>
      </c>
      <c r="C7" s="115">
        <v>1</v>
      </c>
      <c r="D7" s="115">
        <v>0</v>
      </c>
      <c r="E7" s="114">
        <v>0</v>
      </c>
      <c r="F7" s="114">
        <v>1</v>
      </c>
      <c r="G7"/>
      <c r="H7"/>
    </row>
    <row r="8" spans="1:8" x14ac:dyDescent="0.15">
      <c r="A8">
        <v>7</v>
      </c>
      <c r="B8" s="181" t="s">
        <v>198</v>
      </c>
      <c r="C8" s="115">
        <v>1</v>
      </c>
      <c r="D8" s="115">
        <v>0</v>
      </c>
      <c r="E8" s="114">
        <v>0</v>
      </c>
      <c r="F8" s="114">
        <v>1</v>
      </c>
      <c r="G8"/>
      <c r="H8"/>
    </row>
    <row r="9" spans="1:8" x14ac:dyDescent="0.15">
      <c r="A9">
        <v>8</v>
      </c>
      <c r="B9" s="181" t="s">
        <v>199</v>
      </c>
      <c r="C9" s="115">
        <v>1</v>
      </c>
      <c r="D9" s="115">
        <v>0</v>
      </c>
      <c r="E9" s="114">
        <v>0</v>
      </c>
      <c r="F9" s="114">
        <v>1</v>
      </c>
      <c r="G9"/>
      <c r="H9"/>
    </row>
    <row r="10" spans="1:8" x14ac:dyDescent="0.15">
      <c r="A10">
        <v>9</v>
      </c>
      <c r="B10" s="181" t="s">
        <v>200</v>
      </c>
      <c r="C10" s="115">
        <v>1</v>
      </c>
      <c r="D10" s="115">
        <v>0</v>
      </c>
      <c r="E10" s="114">
        <v>0</v>
      </c>
      <c r="F10" s="114">
        <v>1</v>
      </c>
      <c r="G10"/>
      <c r="H10"/>
    </row>
    <row r="11" spans="1:8" x14ac:dyDescent="0.15">
      <c r="A11">
        <v>10</v>
      </c>
      <c r="B11" s="181" t="s">
        <v>201</v>
      </c>
      <c r="C11" s="115">
        <v>1</v>
      </c>
      <c r="D11" s="115">
        <v>0</v>
      </c>
      <c r="E11" s="114">
        <v>0</v>
      </c>
      <c r="F11" s="114">
        <v>1</v>
      </c>
      <c r="G11"/>
      <c r="H11"/>
    </row>
    <row r="12" spans="1:8" x14ac:dyDescent="0.15">
      <c r="A12">
        <v>11</v>
      </c>
      <c r="B12" s="181" t="s">
        <v>202</v>
      </c>
      <c r="C12" s="115">
        <v>1</v>
      </c>
      <c r="D12" s="115">
        <v>0</v>
      </c>
      <c r="E12" s="114">
        <v>0</v>
      </c>
      <c r="F12" s="114">
        <v>1</v>
      </c>
      <c r="G12"/>
      <c r="H12"/>
    </row>
    <row r="13" spans="1:8" x14ac:dyDescent="0.15">
      <c r="A13">
        <v>12</v>
      </c>
      <c r="B13" s="181" t="s">
        <v>203</v>
      </c>
      <c r="C13" s="115">
        <v>1</v>
      </c>
      <c r="D13" s="115">
        <v>0</v>
      </c>
      <c r="E13" s="114">
        <v>0</v>
      </c>
      <c r="F13" s="114">
        <v>1</v>
      </c>
      <c r="G13"/>
      <c r="H13"/>
    </row>
    <row r="14" spans="1:8" x14ac:dyDescent="0.15">
      <c r="A14">
        <v>13</v>
      </c>
      <c r="B14" s="181" t="s">
        <v>204</v>
      </c>
      <c r="C14" s="115">
        <v>1</v>
      </c>
      <c r="D14" s="115">
        <v>0</v>
      </c>
      <c r="E14" s="114">
        <v>0</v>
      </c>
      <c r="F14" s="114">
        <v>1</v>
      </c>
      <c r="G14"/>
      <c r="H14"/>
    </row>
    <row r="15" spans="1:8" x14ac:dyDescent="0.15">
      <c r="A15">
        <v>14</v>
      </c>
      <c r="B15" s="181" t="s">
        <v>205</v>
      </c>
      <c r="C15" s="115">
        <v>1</v>
      </c>
      <c r="D15" s="115">
        <v>0</v>
      </c>
      <c r="E15" s="114">
        <v>0</v>
      </c>
      <c r="F15" s="114">
        <v>1</v>
      </c>
      <c r="G15"/>
      <c r="H15"/>
    </row>
    <row r="16" spans="1:8" x14ac:dyDescent="0.15">
      <c r="A16">
        <v>15</v>
      </c>
      <c r="B16" s="181" t="s">
        <v>206</v>
      </c>
      <c r="C16" s="115">
        <v>1</v>
      </c>
      <c r="D16" s="115">
        <v>0</v>
      </c>
      <c r="E16" s="114">
        <v>0</v>
      </c>
      <c r="F16" s="114">
        <v>1</v>
      </c>
      <c r="G16"/>
      <c r="H16"/>
    </row>
    <row r="17" spans="1:8" ht="15" customHeight="1" x14ac:dyDescent="0.15">
      <c r="A17">
        <v>16</v>
      </c>
      <c r="B17" s="181" t="s">
        <v>207</v>
      </c>
      <c r="C17" s="115">
        <v>1</v>
      </c>
      <c r="D17" s="115">
        <v>0</v>
      </c>
      <c r="E17" s="114">
        <v>0</v>
      </c>
      <c r="F17" s="114">
        <v>1</v>
      </c>
      <c r="G17"/>
      <c r="H17"/>
    </row>
    <row r="18" spans="1:8" ht="15" customHeight="1" x14ac:dyDescent="0.15">
      <c r="A18">
        <v>17</v>
      </c>
      <c r="B18" s="181" t="s">
        <v>208</v>
      </c>
      <c r="C18" s="115">
        <v>1</v>
      </c>
      <c r="D18" s="115">
        <v>0</v>
      </c>
      <c r="E18" s="114">
        <v>0</v>
      </c>
      <c r="F18" s="114">
        <v>1</v>
      </c>
      <c r="G18"/>
      <c r="H18"/>
    </row>
    <row r="19" spans="1:8" ht="15" customHeight="1" x14ac:dyDescent="0.15">
      <c r="A19">
        <v>18</v>
      </c>
      <c r="B19" s="181" t="s">
        <v>209</v>
      </c>
      <c r="C19" s="115">
        <v>1</v>
      </c>
      <c r="D19" s="115">
        <v>0</v>
      </c>
      <c r="E19" s="114">
        <v>0</v>
      </c>
      <c r="F19" s="114">
        <v>1</v>
      </c>
      <c r="G19"/>
      <c r="H19"/>
    </row>
    <row r="20" spans="1:8" ht="15" customHeight="1" x14ac:dyDescent="0.15">
      <c r="A20">
        <v>19</v>
      </c>
      <c r="B20" s="181" t="s">
        <v>210</v>
      </c>
      <c r="C20" s="115">
        <v>1</v>
      </c>
      <c r="D20" s="115">
        <v>0</v>
      </c>
      <c r="E20" s="114">
        <v>0</v>
      </c>
      <c r="F20" s="114">
        <v>1</v>
      </c>
      <c r="G20"/>
      <c r="H20"/>
    </row>
    <row r="21" spans="1:8" ht="15" customHeight="1" x14ac:dyDescent="0.15">
      <c r="A21">
        <v>20</v>
      </c>
      <c r="B21" s="181" t="s">
        <v>211</v>
      </c>
      <c r="C21" s="115">
        <v>1</v>
      </c>
      <c r="D21" s="115">
        <v>0</v>
      </c>
      <c r="E21" s="114">
        <v>0</v>
      </c>
      <c r="F21" s="114">
        <v>1</v>
      </c>
      <c r="G21"/>
      <c r="H21"/>
    </row>
    <row r="22" spans="1:8" ht="15" customHeight="1" x14ac:dyDescent="0.15">
      <c r="A22">
        <v>21</v>
      </c>
      <c r="B22" s="181" t="s">
        <v>212</v>
      </c>
      <c r="C22" s="115">
        <v>1</v>
      </c>
      <c r="D22" s="115">
        <v>0</v>
      </c>
      <c r="E22" s="114">
        <v>0</v>
      </c>
      <c r="F22" s="114">
        <v>1</v>
      </c>
      <c r="G22"/>
      <c r="H22"/>
    </row>
    <row r="23" spans="1:8" ht="15" customHeight="1" x14ac:dyDescent="0.15">
      <c r="A23">
        <v>22</v>
      </c>
      <c r="B23" s="181" t="s">
        <v>213</v>
      </c>
      <c r="C23" s="115">
        <v>1</v>
      </c>
      <c r="D23" s="115">
        <v>0</v>
      </c>
      <c r="E23" s="114">
        <v>0</v>
      </c>
      <c r="F23" s="114">
        <v>1</v>
      </c>
      <c r="G23"/>
      <c r="H23"/>
    </row>
    <row r="24" spans="1:8" ht="15" customHeight="1" x14ac:dyDescent="0.15">
      <c r="A24">
        <v>23</v>
      </c>
      <c r="B24" s="181" t="s">
        <v>214</v>
      </c>
      <c r="C24" s="115">
        <v>1</v>
      </c>
      <c r="D24" s="115">
        <v>0</v>
      </c>
      <c r="E24" s="114">
        <v>0</v>
      </c>
      <c r="F24" s="114">
        <v>1</v>
      </c>
      <c r="G24"/>
      <c r="H24"/>
    </row>
    <row r="25" spans="1:8" ht="15" customHeight="1" x14ac:dyDescent="0.15">
      <c r="A25">
        <v>24</v>
      </c>
      <c r="B25" s="181" t="s">
        <v>215</v>
      </c>
      <c r="C25" s="115">
        <v>1</v>
      </c>
      <c r="D25" s="115">
        <v>0</v>
      </c>
      <c r="E25" s="114">
        <v>0</v>
      </c>
      <c r="F25" s="114">
        <v>1</v>
      </c>
      <c r="G25"/>
      <c r="H25"/>
    </row>
    <row r="26" spans="1:8" ht="15" customHeight="1" x14ac:dyDescent="0.15">
      <c r="A26">
        <v>25</v>
      </c>
      <c r="B26" s="181" t="s">
        <v>216</v>
      </c>
      <c r="C26" s="115">
        <v>1</v>
      </c>
      <c r="D26" s="115">
        <v>0</v>
      </c>
      <c r="E26" s="114">
        <v>0</v>
      </c>
      <c r="F26" s="114">
        <v>1</v>
      </c>
      <c r="G26"/>
      <c r="H26"/>
    </row>
    <row r="27" spans="1:8" ht="15" customHeight="1" x14ac:dyDescent="0.15">
      <c r="A27">
        <v>26</v>
      </c>
      <c r="B27" s="181" t="s">
        <v>217</v>
      </c>
      <c r="C27" s="115">
        <v>1</v>
      </c>
      <c r="D27" s="115">
        <v>0</v>
      </c>
      <c r="E27" s="114">
        <v>0</v>
      </c>
      <c r="F27" s="114">
        <v>1</v>
      </c>
      <c r="G27"/>
      <c r="H27"/>
    </row>
    <row r="28" spans="1:8" ht="15" customHeight="1" x14ac:dyDescent="0.15">
      <c r="A28">
        <v>27</v>
      </c>
      <c r="B28" s="181" t="s">
        <v>218</v>
      </c>
      <c r="C28" s="115">
        <v>1</v>
      </c>
      <c r="D28" s="115">
        <v>0</v>
      </c>
      <c r="E28" s="114">
        <v>0</v>
      </c>
      <c r="F28" s="114">
        <v>1</v>
      </c>
      <c r="G28"/>
      <c r="H28"/>
    </row>
    <row r="29" spans="1:8" ht="15" customHeight="1" x14ac:dyDescent="0.15">
      <c r="A29">
        <v>28</v>
      </c>
      <c r="B29" s="181" t="s">
        <v>219</v>
      </c>
      <c r="C29" s="115">
        <v>1</v>
      </c>
      <c r="D29" s="115">
        <v>0</v>
      </c>
      <c r="E29" s="114">
        <v>0</v>
      </c>
      <c r="F29" s="114">
        <v>1</v>
      </c>
      <c r="G29"/>
      <c r="H29"/>
    </row>
    <row r="30" spans="1:8" ht="15" customHeight="1" x14ac:dyDescent="0.15">
      <c r="A30">
        <v>29</v>
      </c>
      <c r="B30" s="181" t="s">
        <v>220</v>
      </c>
      <c r="C30" s="115">
        <v>1</v>
      </c>
      <c r="D30" s="115">
        <v>0</v>
      </c>
      <c r="E30" s="114">
        <v>0</v>
      </c>
      <c r="F30" s="114">
        <v>1</v>
      </c>
      <c r="G30"/>
      <c r="H30"/>
    </row>
    <row r="31" spans="1:8" ht="15" customHeight="1" x14ac:dyDescent="0.15">
      <c r="A31">
        <v>30</v>
      </c>
      <c r="B31" s="181" t="s">
        <v>221</v>
      </c>
      <c r="C31" s="115">
        <v>1</v>
      </c>
      <c r="D31" s="115">
        <v>0</v>
      </c>
      <c r="E31" s="114">
        <v>0</v>
      </c>
      <c r="F31" s="114">
        <v>1</v>
      </c>
      <c r="G31"/>
      <c r="H31"/>
    </row>
    <row r="32" spans="1:8" ht="15" customHeight="1" x14ac:dyDescent="0.15">
      <c r="A32">
        <v>31</v>
      </c>
      <c r="B32" s="181" t="s">
        <v>222</v>
      </c>
      <c r="C32" s="115">
        <v>1</v>
      </c>
      <c r="D32" s="115">
        <v>0</v>
      </c>
      <c r="E32" s="114">
        <v>0</v>
      </c>
      <c r="F32" s="114">
        <v>1</v>
      </c>
    </row>
    <row r="33" spans="1:8" ht="15" customHeight="1" x14ac:dyDescent="0.15">
      <c r="A33">
        <v>32</v>
      </c>
      <c r="B33" s="181" t="s">
        <v>223</v>
      </c>
      <c r="C33" s="115">
        <v>1</v>
      </c>
      <c r="D33" s="115">
        <v>0</v>
      </c>
      <c r="E33" s="114">
        <v>0</v>
      </c>
      <c r="F33" s="114">
        <v>1</v>
      </c>
    </row>
    <row r="34" spans="1:8" ht="15" customHeight="1" x14ac:dyDescent="0.15">
      <c r="A34">
        <v>33</v>
      </c>
      <c r="B34" s="181" t="s">
        <v>224</v>
      </c>
      <c r="C34" s="115">
        <v>1</v>
      </c>
      <c r="D34" s="115">
        <v>0</v>
      </c>
      <c r="E34" s="114">
        <v>0</v>
      </c>
      <c r="F34" s="114">
        <v>1</v>
      </c>
    </row>
    <row r="35" spans="1:8" ht="15" customHeight="1" x14ac:dyDescent="0.15">
      <c r="A35">
        <v>34</v>
      </c>
      <c r="B35" s="181" t="s">
        <v>225</v>
      </c>
      <c r="C35" s="115">
        <v>1</v>
      </c>
      <c r="D35" s="115">
        <v>0</v>
      </c>
      <c r="E35" s="114">
        <v>0</v>
      </c>
      <c r="F35" s="114">
        <v>1</v>
      </c>
    </row>
    <row r="36" spans="1:8" ht="15" customHeight="1" x14ac:dyDescent="0.15">
      <c r="A36">
        <v>35</v>
      </c>
      <c r="B36" s="181" t="s">
        <v>226</v>
      </c>
      <c r="C36" s="115">
        <v>1</v>
      </c>
      <c r="D36" s="115">
        <v>0</v>
      </c>
      <c r="E36" s="115">
        <v>0</v>
      </c>
      <c r="F36" s="115">
        <v>1</v>
      </c>
      <c r="G36"/>
      <c r="H36"/>
    </row>
    <row r="37" spans="1:8" ht="15" customHeight="1" x14ac:dyDescent="0.15">
      <c r="A37">
        <v>36</v>
      </c>
      <c r="B37" s="181" t="s">
        <v>227</v>
      </c>
      <c r="C37" s="115">
        <v>1</v>
      </c>
      <c r="D37" s="115">
        <v>0</v>
      </c>
      <c r="E37" s="115">
        <v>0</v>
      </c>
      <c r="F37" s="115">
        <v>1</v>
      </c>
      <c r="G37"/>
      <c r="H37"/>
    </row>
    <row r="38" spans="1:8" ht="15" customHeight="1" x14ac:dyDescent="0.15">
      <c r="A38">
        <v>37</v>
      </c>
      <c r="B38" s="181" t="s">
        <v>228</v>
      </c>
      <c r="C38" s="115">
        <v>1</v>
      </c>
      <c r="D38" s="115">
        <v>0</v>
      </c>
      <c r="E38" s="115">
        <v>0</v>
      </c>
      <c r="F38" s="115">
        <v>1</v>
      </c>
      <c r="G38"/>
      <c r="H38"/>
    </row>
    <row r="39" spans="1:8" ht="15" customHeight="1" x14ac:dyDescent="0.15">
      <c r="A39">
        <v>38</v>
      </c>
      <c r="B39" s="181" t="s">
        <v>229</v>
      </c>
      <c r="C39" s="115">
        <v>0</v>
      </c>
      <c r="D39" s="115">
        <v>1</v>
      </c>
      <c r="E39" s="115">
        <v>0</v>
      </c>
      <c r="F39" s="115">
        <v>1</v>
      </c>
      <c r="G39"/>
      <c r="H39"/>
    </row>
    <row r="40" spans="1:8" ht="15" customHeight="1" x14ac:dyDescent="0.15">
      <c r="A40">
        <v>39</v>
      </c>
      <c r="B40" s="181" t="s">
        <v>230</v>
      </c>
      <c r="C40" s="115">
        <v>0</v>
      </c>
      <c r="D40" s="115">
        <v>0</v>
      </c>
      <c r="E40" s="115">
        <v>1</v>
      </c>
      <c r="F40" s="115">
        <v>1</v>
      </c>
      <c r="G40"/>
      <c r="H40"/>
    </row>
    <row r="41" spans="1:8" ht="15" customHeight="1" x14ac:dyDescent="0.15">
      <c r="A41">
        <v>40</v>
      </c>
      <c r="B41" s="181" t="s">
        <v>231</v>
      </c>
      <c r="C41" s="115">
        <v>0</v>
      </c>
      <c r="D41" s="115">
        <v>1</v>
      </c>
      <c r="E41" s="115">
        <v>0</v>
      </c>
      <c r="F41" s="115">
        <v>1</v>
      </c>
      <c r="G41"/>
      <c r="H41"/>
    </row>
    <row r="42" spans="1:8" ht="15" customHeight="1" x14ac:dyDescent="0.15">
      <c r="C42"/>
      <c r="D42"/>
      <c r="E42" s="115"/>
      <c r="F42" s="115"/>
      <c r="G42"/>
      <c r="H42"/>
    </row>
    <row r="43" spans="1:8" ht="15" customHeight="1" x14ac:dyDescent="0.15">
      <c r="C43"/>
      <c r="D43"/>
      <c r="E43" s="115"/>
      <c r="F43" s="115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5"/>
      <c r="F46" s="115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7.5" bestFit="1" customWidth="1"/>
    <col min="3" max="4" width="12.83203125" bestFit="1" customWidth="1"/>
    <col min="5" max="5" width="12.1640625" bestFit="1" customWidth="1"/>
  </cols>
  <sheetData>
    <row r="1" spans="1:5" s="116" customFormat="1" ht="112" x14ac:dyDescent="0.15">
      <c r="A1" s="5" t="s">
        <v>21</v>
      </c>
      <c r="B1" s="3" t="s">
        <v>0</v>
      </c>
      <c r="C1" s="184" t="s">
        <v>231</v>
      </c>
      <c r="D1" s="184" t="s">
        <v>235</v>
      </c>
      <c r="E1"/>
    </row>
    <row r="2" spans="1:5" ht="15" customHeight="1" x14ac:dyDescent="0.15">
      <c r="A2">
        <v>1</v>
      </c>
      <c r="B2" s="183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83" t="s">
        <v>193</v>
      </c>
      <c r="C3">
        <v>5.5743889999999999E-3</v>
      </c>
      <c r="D3">
        <v>5.5743889999999999E-3</v>
      </c>
    </row>
    <row r="4" spans="1:5" ht="15" customHeight="1" x14ac:dyDescent="0.15">
      <c r="A4">
        <v>3</v>
      </c>
      <c r="B4" s="183" t="s">
        <v>194</v>
      </c>
      <c r="C4">
        <v>0.01</v>
      </c>
      <c r="D4">
        <v>0.01</v>
      </c>
    </row>
    <row r="5" spans="1:5" ht="15" customHeight="1" x14ac:dyDescent="0.15">
      <c r="A5">
        <v>4</v>
      </c>
      <c r="B5" s="183" t="s">
        <v>195</v>
      </c>
      <c r="C5">
        <v>1.1999999999999999E-3</v>
      </c>
      <c r="D5">
        <v>1.1999999999999999E-3</v>
      </c>
    </row>
    <row r="6" spans="1:5" ht="15" customHeight="1" x14ac:dyDescent="0.15">
      <c r="A6">
        <v>5</v>
      </c>
      <c r="B6" s="183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83" t="s">
        <v>197</v>
      </c>
      <c r="C7">
        <v>3.8999999999999998E-3</v>
      </c>
      <c r="D7">
        <v>3.8999999999999998E-3</v>
      </c>
    </row>
    <row r="8" spans="1:5" ht="15" customHeight="1" x14ac:dyDescent="0.15">
      <c r="A8">
        <v>7</v>
      </c>
      <c r="B8" s="183" t="s">
        <v>198</v>
      </c>
      <c r="C8">
        <v>1.9E-3</v>
      </c>
      <c r="D8">
        <v>1.9E-3</v>
      </c>
    </row>
    <row r="9" spans="1:5" ht="15" customHeight="1" x14ac:dyDescent="0.15">
      <c r="A9">
        <v>8</v>
      </c>
      <c r="B9" s="183" t="s">
        <v>199</v>
      </c>
      <c r="C9">
        <v>5.5999999999999999E-3</v>
      </c>
      <c r="D9">
        <v>5.5999999999999999E-3</v>
      </c>
    </row>
    <row r="10" spans="1:5" ht="15" customHeight="1" x14ac:dyDescent="0.15">
      <c r="A10">
        <v>9</v>
      </c>
      <c r="B10" s="183" t="s">
        <v>200</v>
      </c>
      <c r="C10">
        <v>1.1000000000000001E-3</v>
      </c>
      <c r="D10">
        <v>1.1000000000000001E-3</v>
      </c>
    </row>
    <row r="11" spans="1:5" ht="15" customHeight="1" x14ac:dyDescent="0.15">
      <c r="A11">
        <v>10</v>
      </c>
      <c r="B11" s="183" t="s">
        <v>201</v>
      </c>
      <c r="C11">
        <v>3.5000000000000003E-2</v>
      </c>
      <c r="D11">
        <v>3.5000000000000003E-2</v>
      </c>
    </row>
    <row r="12" spans="1:5" ht="15" customHeight="1" x14ac:dyDescent="0.15">
      <c r="A12">
        <v>11</v>
      </c>
      <c r="B12" s="183" t="s">
        <v>202</v>
      </c>
      <c r="C12">
        <v>0.01</v>
      </c>
      <c r="D12">
        <v>0.01</v>
      </c>
    </row>
    <row r="13" spans="1:5" ht="15" customHeight="1" x14ac:dyDescent="0.15">
      <c r="A13">
        <v>12</v>
      </c>
      <c r="B13" s="183" t="s">
        <v>203</v>
      </c>
      <c r="C13">
        <v>2.4400000000000002E-2</v>
      </c>
      <c r="D13">
        <v>2.4400000000000002E-2</v>
      </c>
    </row>
    <row r="14" spans="1:5" ht="15" customHeight="1" x14ac:dyDescent="0.15">
      <c r="A14">
        <v>13</v>
      </c>
      <c r="B14" s="183" t="s">
        <v>204</v>
      </c>
      <c r="C14">
        <v>4.3999999999999997E-2</v>
      </c>
      <c r="D14">
        <v>4.3999999999999997E-2</v>
      </c>
    </row>
    <row r="15" spans="1:5" ht="15" customHeight="1" x14ac:dyDescent="0.15">
      <c r="A15">
        <v>14</v>
      </c>
      <c r="B15" s="183" t="s">
        <v>205</v>
      </c>
      <c r="C15">
        <v>3.5000000000000003E-2</v>
      </c>
      <c r="D15">
        <v>3.5000000000000003E-2</v>
      </c>
    </row>
    <row r="16" spans="1:5" ht="15" customHeight="1" x14ac:dyDescent="0.15">
      <c r="A16">
        <v>15</v>
      </c>
      <c r="B16" s="183" t="s">
        <v>206</v>
      </c>
      <c r="C16">
        <v>8.4000000000000005E-2</v>
      </c>
      <c r="D16">
        <v>8.4000000000000005E-2</v>
      </c>
    </row>
    <row r="17" spans="1:4" ht="15" customHeight="1" x14ac:dyDescent="0.15">
      <c r="A17">
        <v>16</v>
      </c>
      <c r="B17" s="183" t="s">
        <v>207</v>
      </c>
      <c r="C17">
        <v>3.8E-3</v>
      </c>
      <c r="D17">
        <v>3.8E-3</v>
      </c>
    </row>
    <row r="18" spans="1:4" ht="15" customHeight="1" x14ac:dyDescent="0.15">
      <c r="A18">
        <v>17</v>
      </c>
      <c r="B18" s="183" t="s">
        <v>208</v>
      </c>
      <c r="C18">
        <v>1.52E-2</v>
      </c>
      <c r="D18">
        <v>1.52E-2</v>
      </c>
    </row>
    <row r="19" spans="1:4" ht="15" customHeight="1" x14ac:dyDescent="0.15">
      <c r="A19">
        <v>18</v>
      </c>
      <c r="B19" s="183" t="s">
        <v>209</v>
      </c>
      <c r="C19">
        <v>5.3E-3</v>
      </c>
      <c r="D19">
        <v>5.3E-3</v>
      </c>
    </row>
    <row r="20" spans="1:4" ht="15" customHeight="1" x14ac:dyDescent="0.15">
      <c r="A20">
        <v>19</v>
      </c>
      <c r="B20" s="183" t="s">
        <v>210</v>
      </c>
      <c r="C20">
        <v>5.3E-3</v>
      </c>
      <c r="D20">
        <v>5.3E-3</v>
      </c>
    </row>
    <row r="21" spans="1:4" ht="15" customHeight="1" x14ac:dyDescent="0.15">
      <c r="A21">
        <v>20</v>
      </c>
      <c r="B21" s="183" t="s">
        <v>211</v>
      </c>
      <c r="C21">
        <v>2.8999999999999998E-3</v>
      </c>
      <c r="D21">
        <v>2.8999999999999998E-3</v>
      </c>
    </row>
    <row r="22" spans="1:4" ht="15" customHeight="1" x14ac:dyDescent="0.15">
      <c r="A22">
        <v>21</v>
      </c>
      <c r="B22" s="183" t="s">
        <v>212</v>
      </c>
      <c r="C22">
        <v>1.6E-2</v>
      </c>
      <c r="D22">
        <v>1.6E-2</v>
      </c>
    </row>
    <row r="23" spans="1:4" ht="15" customHeight="1" x14ac:dyDescent="0.15">
      <c r="A23">
        <v>22</v>
      </c>
      <c r="B23" s="183" t="s">
        <v>213</v>
      </c>
      <c r="C23">
        <v>1.0999999999999999E-2</v>
      </c>
      <c r="D23">
        <v>1.0999999999999999E-2</v>
      </c>
    </row>
    <row r="24" spans="1:4" ht="15" customHeight="1" x14ac:dyDescent="0.15">
      <c r="A24">
        <v>23</v>
      </c>
      <c r="B24" s="183" t="s">
        <v>214</v>
      </c>
      <c r="C24">
        <v>4.3999999999999997E-2</v>
      </c>
      <c r="D24">
        <v>4.3999999999999997E-2</v>
      </c>
    </row>
    <row r="25" spans="1:4" ht="15" customHeight="1" x14ac:dyDescent="0.15">
      <c r="A25">
        <v>24</v>
      </c>
      <c r="B25" s="183" t="s">
        <v>215</v>
      </c>
      <c r="C25">
        <v>9.0203985599999995E-2</v>
      </c>
      <c r="D25">
        <v>9.0203985599999995E-2</v>
      </c>
    </row>
    <row r="26" spans="1:4" ht="15" customHeight="1" x14ac:dyDescent="0.15">
      <c r="A26">
        <v>25</v>
      </c>
      <c r="B26" s="183" t="s">
        <v>216</v>
      </c>
      <c r="C26">
        <v>2.8799999999999999E-2</v>
      </c>
      <c r="D26">
        <v>2.8799999999999999E-2</v>
      </c>
    </row>
    <row r="27" spans="1:4" ht="15" customHeight="1" x14ac:dyDescent="0.15">
      <c r="A27">
        <v>26</v>
      </c>
      <c r="B27" s="183" t="s">
        <v>217</v>
      </c>
      <c r="C27">
        <v>0.115</v>
      </c>
      <c r="D27">
        <v>0.115</v>
      </c>
    </row>
    <row r="28" spans="1:4" ht="15" customHeight="1" x14ac:dyDescent="0.15">
      <c r="A28">
        <v>27</v>
      </c>
      <c r="B28" s="183" t="s">
        <v>218</v>
      </c>
      <c r="C28">
        <v>3.0300000000000001E-2</v>
      </c>
      <c r="D28">
        <v>3.0300000000000001E-2</v>
      </c>
    </row>
    <row r="29" spans="1:4" ht="15" customHeight="1" x14ac:dyDescent="0.15">
      <c r="A29">
        <v>28</v>
      </c>
      <c r="B29" s="183" t="s">
        <v>219</v>
      </c>
      <c r="C29">
        <v>0.01</v>
      </c>
      <c r="D29">
        <v>0.01</v>
      </c>
    </row>
    <row r="30" spans="1:4" ht="15" customHeight="1" x14ac:dyDescent="0.15">
      <c r="A30">
        <v>29</v>
      </c>
      <c r="B30" s="183" t="s">
        <v>220</v>
      </c>
      <c r="C30">
        <v>0.14560957299999999</v>
      </c>
      <c r="D30">
        <v>0.14560957299999999</v>
      </c>
    </row>
    <row r="31" spans="1:4" ht="15" customHeight="1" x14ac:dyDescent="0.15">
      <c r="A31">
        <v>30</v>
      </c>
      <c r="B31" s="183" t="s">
        <v>221</v>
      </c>
      <c r="C31">
        <v>9.5999999999999992E-3</v>
      </c>
      <c r="D31">
        <v>9.5999999999999992E-3</v>
      </c>
    </row>
    <row r="32" spans="1:4" ht="15" customHeight="1" x14ac:dyDescent="0.15">
      <c r="A32">
        <v>31</v>
      </c>
      <c r="B32" s="183" t="s">
        <v>222</v>
      </c>
      <c r="C32">
        <v>3.7999999999999999E-2</v>
      </c>
      <c r="D32">
        <v>3.7999999999999999E-2</v>
      </c>
    </row>
    <row r="33" spans="1:4" ht="15" customHeight="1" x14ac:dyDescent="0.15">
      <c r="A33">
        <v>32</v>
      </c>
      <c r="B33" s="183" t="s">
        <v>223</v>
      </c>
      <c r="C33">
        <v>1.5831496600000002E-2</v>
      </c>
      <c r="D33">
        <v>1.5831496600000002E-2</v>
      </c>
    </row>
    <row r="34" spans="1:4" ht="15" customHeight="1" x14ac:dyDescent="0.15">
      <c r="A34">
        <v>33</v>
      </c>
      <c r="B34" s="183" t="s">
        <v>224</v>
      </c>
      <c r="C34">
        <v>5.0420919999999998E-3</v>
      </c>
      <c r="D34">
        <v>5.0420919999999998E-3</v>
      </c>
    </row>
    <row r="35" spans="1:4" ht="15" customHeight="1" x14ac:dyDescent="0.15">
      <c r="A35">
        <v>34</v>
      </c>
      <c r="B35" s="183" t="s">
        <v>225</v>
      </c>
      <c r="C35">
        <v>0</v>
      </c>
      <c r="D35">
        <v>0</v>
      </c>
    </row>
    <row r="36" spans="1:4" ht="15" customHeight="1" x14ac:dyDescent="0.15">
      <c r="A36">
        <v>35</v>
      </c>
      <c r="B36" s="183" t="s">
        <v>226</v>
      </c>
      <c r="C36">
        <v>1.3999999999999999E-4</v>
      </c>
      <c r="D36">
        <v>1.3999999999999999E-4</v>
      </c>
    </row>
    <row r="37" spans="1:4" ht="15" customHeight="1" x14ac:dyDescent="0.15">
      <c r="A37">
        <v>36</v>
      </c>
      <c r="B37" s="183" t="s">
        <v>227</v>
      </c>
      <c r="C37">
        <v>1.2E-4</v>
      </c>
      <c r="D37">
        <v>1.2E-4</v>
      </c>
    </row>
    <row r="38" spans="1:4" ht="15" customHeight="1" x14ac:dyDescent="0.15">
      <c r="A38">
        <v>37</v>
      </c>
      <c r="B38" s="183" t="s">
        <v>228</v>
      </c>
      <c r="C38">
        <v>1.0000000000000001E-5</v>
      </c>
      <c r="D38">
        <v>1.0000000000000001E-5</v>
      </c>
    </row>
    <row r="39" spans="1:4" ht="15" customHeight="1" x14ac:dyDescent="0.15">
      <c r="A39">
        <v>38</v>
      </c>
      <c r="B39" s="183" t="s">
        <v>229</v>
      </c>
      <c r="C39">
        <v>0</v>
      </c>
      <c r="D39">
        <v>0</v>
      </c>
    </row>
    <row r="40" spans="1:4" ht="15" customHeight="1" x14ac:dyDescent="0.15">
      <c r="A40">
        <v>39</v>
      </c>
      <c r="B40" s="183" t="s">
        <v>230</v>
      </c>
      <c r="C40">
        <v>0</v>
      </c>
      <c r="D40">
        <v>0</v>
      </c>
    </row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4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7.5" bestFit="1" customWidth="1"/>
    <col min="3" max="4" width="2.33203125" bestFit="1" customWidth="1"/>
    <col min="5" max="5" width="12.1640625" bestFit="1" customWidth="1"/>
  </cols>
  <sheetData>
    <row r="1" spans="1:4" s="116" customFormat="1" ht="112" x14ac:dyDescent="0.15">
      <c r="A1" s="5" t="s">
        <v>22</v>
      </c>
      <c r="B1" s="3" t="s">
        <v>0</v>
      </c>
      <c r="C1" s="186" t="s">
        <v>231</v>
      </c>
      <c r="D1" s="186" t="s">
        <v>235</v>
      </c>
    </row>
    <row r="2" spans="1:4" x14ac:dyDescent="0.15">
      <c r="A2">
        <v>1</v>
      </c>
      <c r="B2" s="185" t="s">
        <v>192</v>
      </c>
      <c r="C2">
        <v>0</v>
      </c>
      <c r="D2">
        <v>0</v>
      </c>
    </row>
    <row r="3" spans="1:4" x14ac:dyDescent="0.15">
      <c r="A3">
        <v>2</v>
      </c>
      <c r="B3" s="185" t="s">
        <v>193</v>
      </c>
      <c r="C3">
        <v>0</v>
      </c>
      <c r="D3">
        <v>0</v>
      </c>
    </row>
    <row r="4" spans="1:4" x14ac:dyDescent="0.15">
      <c r="A4">
        <v>3</v>
      </c>
      <c r="B4" s="185" t="s">
        <v>194</v>
      </c>
      <c r="C4">
        <v>0</v>
      </c>
      <c r="D4">
        <v>0</v>
      </c>
    </row>
    <row r="5" spans="1:4" x14ac:dyDescent="0.15">
      <c r="A5">
        <v>4</v>
      </c>
      <c r="B5" s="185" t="s">
        <v>195</v>
      </c>
      <c r="C5">
        <v>0</v>
      </c>
      <c r="D5">
        <v>0</v>
      </c>
    </row>
    <row r="6" spans="1:4" x14ac:dyDescent="0.15">
      <c r="A6">
        <v>5</v>
      </c>
      <c r="B6" s="185" t="s">
        <v>196</v>
      </c>
      <c r="C6">
        <v>0</v>
      </c>
      <c r="D6">
        <v>0</v>
      </c>
    </row>
    <row r="7" spans="1:4" x14ac:dyDescent="0.15">
      <c r="A7">
        <v>6</v>
      </c>
      <c r="B7" s="185" t="s">
        <v>197</v>
      </c>
      <c r="C7">
        <v>0</v>
      </c>
      <c r="D7">
        <v>0</v>
      </c>
    </row>
    <row r="8" spans="1:4" x14ac:dyDescent="0.15">
      <c r="A8">
        <v>7</v>
      </c>
      <c r="B8" s="185" t="s">
        <v>198</v>
      </c>
      <c r="C8">
        <v>0</v>
      </c>
      <c r="D8">
        <v>0</v>
      </c>
    </row>
    <row r="9" spans="1:4" x14ac:dyDescent="0.15">
      <c r="A9">
        <v>8</v>
      </c>
      <c r="B9" s="185" t="s">
        <v>199</v>
      </c>
      <c r="C9">
        <v>0</v>
      </c>
      <c r="D9">
        <v>0</v>
      </c>
    </row>
    <row r="10" spans="1:4" x14ac:dyDescent="0.15">
      <c r="A10">
        <v>9</v>
      </c>
      <c r="B10" s="185" t="s">
        <v>200</v>
      </c>
      <c r="C10">
        <v>0</v>
      </c>
      <c r="D10">
        <v>0</v>
      </c>
    </row>
    <row r="11" spans="1:4" x14ac:dyDescent="0.15">
      <c r="A11">
        <v>10</v>
      </c>
      <c r="B11" s="185" t="s">
        <v>201</v>
      </c>
      <c r="C11">
        <v>0</v>
      </c>
      <c r="D11">
        <v>0</v>
      </c>
    </row>
    <row r="12" spans="1:4" x14ac:dyDescent="0.15">
      <c r="A12">
        <v>11</v>
      </c>
      <c r="B12" s="185" t="s">
        <v>202</v>
      </c>
      <c r="C12">
        <v>0</v>
      </c>
      <c r="D12">
        <v>0</v>
      </c>
    </row>
    <row r="13" spans="1:4" x14ac:dyDescent="0.15">
      <c r="A13">
        <v>12</v>
      </c>
      <c r="B13" s="185" t="s">
        <v>203</v>
      </c>
      <c r="C13">
        <v>0</v>
      </c>
      <c r="D13">
        <v>0</v>
      </c>
    </row>
    <row r="14" spans="1:4" x14ac:dyDescent="0.15">
      <c r="A14">
        <v>13</v>
      </c>
      <c r="B14" s="185" t="s">
        <v>204</v>
      </c>
      <c r="C14">
        <v>0</v>
      </c>
      <c r="D14">
        <v>0</v>
      </c>
    </row>
    <row r="15" spans="1:4" x14ac:dyDescent="0.15">
      <c r="A15">
        <v>14</v>
      </c>
      <c r="B15" s="185" t="s">
        <v>205</v>
      </c>
      <c r="C15">
        <v>0</v>
      </c>
      <c r="D15">
        <v>0</v>
      </c>
    </row>
    <row r="16" spans="1:4" x14ac:dyDescent="0.15">
      <c r="A16">
        <v>15</v>
      </c>
      <c r="B16" s="185" t="s">
        <v>206</v>
      </c>
      <c r="C16">
        <v>0</v>
      </c>
      <c r="D16">
        <v>0</v>
      </c>
    </row>
    <row r="17" spans="1:4" x14ac:dyDescent="0.15">
      <c r="A17">
        <v>16</v>
      </c>
      <c r="B17" s="185" t="s">
        <v>207</v>
      </c>
      <c r="C17">
        <v>0</v>
      </c>
      <c r="D17">
        <v>0</v>
      </c>
    </row>
    <row r="18" spans="1:4" x14ac:dyDescent="0.15">
      <c r="A18">
        <v>17</v>
      </c>
      <c r="B18" s="185" t="s">
        <v>208</v>
      </c>
      <c r="C18">
        <v>0</v>
      </c>
      <c r="D18">
        <v>0</v>
      </c>
    </row>
    <row r="19" spans="1:4" x14ac:dyDescent="0.15">
      <c r="A19">
        <v>18</v>
      </c>
      <c r="B19" s="185" t="s">
        <v>209</v>
      </c>
      <c r="C19">
        <v>0</v>
      </c>
      <c r="D19">
        <v>0</v>
      </c>
    </row>
    <row r="20" spans="1:4" x14ac:dyDescent="0.15">
      <c r="A20">
        <v>19</v>
      </c>
      <c r="B20" s="185" t="s">
        <v>210</v>
      </c>
      <c r="C20">
        <v>0</v>
      </c>
      <c r="D20">
        <v>0</v>
      </c>
    </row>
    <row r="21" spans="1:4" x14ac:dyDescent="0.15">
      <c r="A21">
        <v>20</v>
      </c>
      <c r="B21" s="185" t="s">
        <v>211</v>
      </c>
      <c r="C21">
        <v>0</v>
      </c>
      <c r="D21">
        <v>0</v>
      </c>
    </row>
    <row r="22" spans="1:4" x14ac:dyDescent="0.15">
      <c r="A22">
        <v>21</v>
      </c>
      <c r="B22" s="185" t="s">
        <v>212</v>
      </c>
      <c r="C22">
        <v>0</v>
      </c>
      <c r="D22">
        <v>0</v>
      </c>
    </row>
    <row r="23" spans="1:4" x14ac:dyDescent="0.15">
      <c r="A23">
        <v>22</v>
      </c>
      <c r="B23" s="185" t="s">
        <v>213</v>
      </c>
      <c r="C23">
        <v>0</v>
      </c>
      <c r="D23">
        <v>0</v>
      </c>
    </row>
    <row r="24" spans="1:4" x14ac:dyDescent="0.15">
      <c r="A24">
        <v>23</v>
      </c>
      <c r="B24" s="185" t="s">
        <v>214</v>
      </c>
      <c r="C24">
        <v>0</v>
      </c>
      <c r="D24">
        <v>0</v>
      </c>
    </row>
    <row r="25" spans="1:4" x14ac:dyDescent="0.15">
      <c r="A25">
        <v>24</v>
      </c>
      <c r="B25" s="185" t="s">
        <v>215</v>
      </c>
      <c r="C25">
        <v>0</v>
      </c>
      <c r="D25">
        <v>0</v>
      </c>
    </row>
    <row r="26" spans="1:4" x14ac:dyDescent="0.15">
      <c r="A26">
        <v>25</v>
      </c>
      <c r="B26" s="185" t="s">
        <v>216</v>
      </c>
      <c r="C26">
        <v>0</v>
      </c>
      <c r="D26">
        <v>0</v>
      </c>
    </row>
    <row r="27" spans="1:4" x14ac:dyDescent="0.15">
      <c r="A27">
        <v>26</v>
      </c>
      <c r="B27" s="185" t="s">
        <v>217</v>
      </c>
      <c r="C27">
        <v>0</v>
      </c>
      <c r="D27">
        <v>0</v>
      </c>
    </row>
    <row r="28" spans="1:4" x14ac:dyDescent="0.15">
      <c r="A28">
        <v>27</v>
      </c>
      <c r="B28" s="185" t="s">
        <v>218</v>
      </c>
      <c r="C28">
        <v>0</v>
      </c>
      <c r="D28">
        <v>0</v>
      </c>
    </row>
    <row r="29" spans="1:4" x14ac:dyDescent="0.15">
      <c r="A29">
        <v>28</v>
      </c>
      <c r="B29" s="185" t="s">
        <v>219</v>
      </c>
      <c r="C29">
        <v>0</v>
      </c>
      <c r="D29">
        <v>0</v>
      </c>
    </row>
    <row r="30" spans="1:4" x14ac:dyDescent="0.15">
      <c r="A30">
        <v>29</v>
      </c>
      <c r="B30" s="185" t="s">
        <v>220</v>
      </c>
      <c r="C30">
        <v>0</v>
      </c>
      <c r="D30">
        <v>0</v>
      </c>
    </row>
    <row r="31" spans="1:4" x14ac:dyDescent="0.15">
      <c r="A31">
        <v>30</v>
      </c>
      <c r="B31" s="185" t="s">
        <v>221</v>
      </c>
      <c r="C31">
        <v>0</v>
      </c>
      <c r="D31">
        <v>0</v>
      </c>
    </row>
    <row r="32" spans="1:4" x14ac:dyDescent="0.15">
      <c r="A32">
        <v>31</v>
      </c>
      <c r="B32" s="185" t="s">
        <v>222</v>
      </c>
      <c r="C32">
        <v>0</v>
      </c>
      <c r="D32">
        <v>0</v>
      </c>
    </row>
    <row r="33" spans="1:4" x14ac:dyDescent="0.15">
      <c r="A33">
        <v>32</v>
      </c>
      <c r="B33" s="185" t="s">
        <v>223</v>
      </c>
      <c r="C33">
        <v>0</v>
      </c>
      <c r="D33">
        <v>0</v>
      </c>
    </row>
    <row r="34" spans="1:4" x14ac:dyDescent="0.15">
      <c r="A34">
        <v>33</v>
      </c>
      <c r="B34" s="185" t="s">
        <v>224</v>
      </c>
      <c r="C34">
        <v>0</v>
      </c>
      <c r="D34">
        <v>0</v>
      </c>
    </row>
    <row r="35" spans="1:4" x14ac:dyDescent="0.15">
      <c r="A35">
        <v>34</v>
      </c>
      <c r="B35" s="185" t="s">
        <v>225</v>
      </c>
      <c r="C35">
        <v>0</v>
      </c>
      <c r="D35">
        <v>0</v>
      </c>
    </row>
    <row r="36" spans="1:4" x14ac:dyDescent="0.15">
      <c r="A36">
        <v>35</v>
      </c>
      <c r="B36" s="185" t="s">
        <v>226</v>
      </c>
      <c r="C36">
        <v>0</v>
      </c>
      <c r="D36">
        <v>0</v>
      </c>
    </row>
    <row r="37" spans="1:4" x14ac:dyDescent="0.15">
      <c r="A37">
        <v>36</v>
      </c>
      <c r="B37" s="185" t="s">
        <v>227</v>
      </c>
      <c r="C37">
        <v>0</v>
      </c>
      <c r="D37">
        <v>0</v>
      </c>
    </row>
    <row r="38" spans="1:4" x14ac:dyDescent="0.15">
      <c r="A38">
        <v>37</v>
      </c>
      <c r="B38" s="185" t="s">
        <v>228</v>
      </c>
      <c r="C38">
        <v>0</v>
      </c>
      <c r="D38">
        <v>0</v>
      </c>
    </row>
    <row r="39" spans="1:4" x14ac:dyDescent="0.15">
      <c r="A39">
        <v>38</v>
      </c>
      <c r="B39" s="185" t="s">
        <v>229</v>
      </c>
      <c r="C39">
        <v>0</v>
      </c>
      <c r="D39">
        <v>0</v>
      </c>
    </row>
    <row r="40" spans="1:4" x14ac:dyDescent="0.15">
      <c r="A40">
        <v>39</v>
      </c>
      <c r="B40" s="185" t="s">
        <v>230</v>
      </c>
      <c r="C40">
        <v>0</v>
      </c>
      <c r="D4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7.5" bestFit="1" customWidth="1"/>
    <col min="6" max="6" width="4.83203125" bestFit="1" customWidth="1"/>
    <col min="7" max="9" width="3.83203125" bestFit="1" customWidth="1"/>
    <col min="10" max="11" width="4.83203125" style="11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7" customFormat="1" ht="14" thickBot="1" x14ac:dyDescent="0.2">
      <c r="D1" s="118" t="s">
        <v>8</v>
      </c>
      <c r="E1" s="118" t="s">
        <v>0</v>
      </c>
      <c r="F1" s="119" t="s">
        <v>99</v>
      </c>
      <c r="G1" s="120" t="s">
        <v>84</v>
      </c>
      <c r="H1" s="120" t="s">
        <v>85</v>
      </c>
      <c r="I1" s="120" t="s">
        <v>86</v>
      </c>
      <c r="J1" s="120" t="s">
        <v>87</v>
      </c>
      <c r="K1" s="120" t="s">
        <v>88</v>
      </c>
      <c r="L1" s="121" t="s">
        <v>89</v>
      </c>
      <c r="M1" s="121" t="s">
        <v>93</v>
      </c>
      <c r="N1" s="121" t="s">
        <v>92</v>
      </c>
      <c r="O1" s="121" t="s">
        <v>90</v>
      </c>
      <c r="P1" s="121" t="s">
        <v>91</v>
      </c>
      <c r="Q1" s="122" t="s">
        <v>94</v>
      </c>
      <c r="R1" s="122" t="s">
        <v>95</v>
      </c>
      <c r="S1" s="122" t="s">
        <v>96</v>
      </c>
      <c r="T1" s="122" t="s">
        <v>97</v>
      </c>
      <c r="U1" s="122" t="s">
        <v>98</v>
      </c>
      <c r="V1" s="120" t="s">
        <v>100</v>
      </c>
      <c r="W1" s="120" t="s">
        <v>101</v>
      </c>
      <c r="X1" s="120" t="s">
        <v>102</v>
      </c>
      <c r="Y1" s="120" t="s">
        <v>134</v>
      </c>
      <c r="Z1" s="121" t="s">
        <v>103</v>
      </c>
      <c r="AA1" s="121" t="s">
        <v>104</v>
      </c>
      <c r="AB1" s="121" t="s">
        <v>105</v>
      </c>
      <c r="AC1" s="123" t="s">
        <v>135</v>
      </c>
      <c r="AD1" s="122" t="s">
        <v>106</v>
      </c>
      <c r="AE1" s="122" t="s">
        <v>107</v>
      </c>
      <c r="AF1" s="122" t="s">
        <v>108</v>
      </c>
      <c r="AG1" s="122" t="s">
        <v>136</v>
      </c>
      <c r="AH1" s="120" t="s">
        <v>109</v>
      </c>
      <c r="AI1" s="120" t="s">
        <v>111</v>
      </c>
      <c r="AJ1" s="120" t="s">
        <v>110</v>
      </c>
      <c r="AK1" s="121" t="s">
        <v>115</v>
      </c>
      <c r="AL1" s="121" t="s">
        <v>116</v>
      </c>
      <c r="AM1" s="121" t="s">
        <v>117</v>
      </c>
      <c r="AN1" s="122" t="s">
        <v>112</v>
      </c>
      <c r="AO1" s="122" t="s">
        <v>113</v>
      </c>
      <c r="AP1" s="122" t="s">
        <v>114</v>
      </c>
    </row>
    <row r="2" spans="1:42" x14ac:dyDescent="0.15">
      <c r="A2" s="124" t="s">
        <v>74</v>
      </c>
      <c r="B2" s="125">
        <v>1</v>
      </c>
      <c r="D2">
        <v>1</v>
      </c>
      <c r="E2" s="187" t="s">
        <v>192</v>
      </c>
      <c r="F2">
        <v>0.98</v>
      </c>
      <c r="G2">
        <v>0.8</v>
      </c>
      <c r="H2">
        <v>0.8</v>
      </c>
      <c r="I2">
        <v>0</v>
      </c>
      <c r="J2" s="115">
        <v>0</v>
      </c>
      <c r="K2" s="115">
        <v>0</v>
      </c>
    </row>
    <row r="3" spans="1:42" x14ac:dyDescent="0.15">
      <c r="A3" s="124" t="s">
        <v>75</v>
      </c>
      <c r="B3" s="126">
        <v>1</v>
      </c>
      <c r="D3">
        <v>2</v>
      </c>
      <c r="E3" s="187" t="s">
        <v>193</v>
      </c>
      <c r="F3">
        <v>0.98</v>
      </c>
      <c r="G3">
        <v>0.8</v>
      </c>
      <c r="H3">
        <v>0.8</v>
      </c>
      <c r="I3">
        <v>0</v>
      </c>
      <c r="J3" s="115">
        <v>0</v>
      </c>
      <c r="K3" s="115">
        <v>0</v>
      </c>
    </row>
    <row r="4" spans="1:42" x14ac:dyDescent="0.15">
      <c r="A4" s="124" t="s">
        <v>76</v>
      </c>
      <c r="B4" s="126">
        <v>1</v>
      </c>
      <c r="D4">
        <v>3</v>
      </c>
      <c r="E4" s="187" t="s">
        <v>194</v>
      </c>
      <c r="F4">
        <v>0.98</v>
      </c>
      <c r="G4">
        <v>0.8</v>
      </c>
      <c r="H4">
        <v>0.8</v>
      </c>
      <c r="I4">
        <v>0.8</v>
      </c>
      <c r="J4" s="115">
        <v>0.25</v>
      </c>
      <c r="K4" s="115">
        <v>0.05</v>
      </c>
    </row>
    <row r="5" spans="1:42" x14ac:dyDescent="0.15">
      <c r="A5" s="124" t="s">
        <v>77</v>
      </c>
      <c r="B5" s="126">
        <v>1</v>
      </c>
      <c r="D5">
        <v>4</v>
      </c>
      <c r="E5" s="187" t="s">
        <v>195</v>
      </c>
      <c r="F5">
        <v>0.98</v>
      </c>
      <c r="G5">
        <v>0.8</v>
      </c>
      <c r="H5">
        <v>0.8</v>
      </c>
      <c r="I5">
        <v>0.8</v>
      </c>
      <c r="J5" s="115">
        <v>0.25</v>
      </c>
      <c r="K5" s="115">
        <v>0.05</v>
      </c>
    </row>
    <row r="6" spans="1:42" x14ac:dyDescent="0.15">
      <c r="A6" s="124" t="s">
        <v>78</v>
      </c>
      <c r="B6" s="126">
        <v>1</v>
      </c>
      <c r="D6">
        <v>5</v>
      </c>
      <c r="E6" s="187" t="s">
        <v>196</v>
      </c>
      <c r="F6">
        <v>0.98</v>
      </c>
      <c r="G6">
        <v>0.8</v>
      </c>
      <c r="H6">
        <v>0.8</v>
      </c>
      <c r="I6">
        <v>0.8</v>
      </c>
      <c r="J6" s="115">
        <v>0.25</v>
      </c>
      <c r="K6" s="115">
        <v>0.05</v>
      </c>
    </row>
    <row r="7" spans="1:42" x14ac:dyDescent="0.15">
      <c r="A7" s="124" t="s">
        <v>79</v>
      </c>
      <c r="B7" s="126">
        <v>1</v>
      </c>
      <c r="D7">
        <v>6</v>
      </c>
      <c r="E7" s="187" t="s">
        <v>197</v>
      </c>
      <c r="F7">
        <v>0.98</v>
      </c>
      <c r="G7">
        <v>0.8</v>
      </c>
      <c r="H7">
        <v>0.8</v>
      </c>
      <c r="I7">
        <v>0.8</v>
      </c>
      <c r="J7" s="115">
        <v>0.25</v>
      </c>
      <c r="K7" s="115">
        <v>0.05</v>
      </c>
    </row>
    <row r="8" spans="1:42" x14ac:dyDescent="0.15">
      <c r="A8" s="124" t="s">
        <v>80</v>
      </c>
      <c r="B8" s="126">
        <v>1</v>
      </c>
      <c r="D8">
        <v>7</v>
      </c>
      <c r="E8" s="187" t="s">
        <v>198</v>
      </c>
      <c r="F8">
        <v>0.98</v>
      </c>
      <c r="G8">
        <v>0.8</v>
      </c>
      <c r="H8">
        <v>0.8</v>
      </c>
      <c r="I8">
        <v>0.8</v>
      </c>
      <c r="J8" s="115">
        <v>0.25</v>
      </c>
      <c r="K8" s="115">
        <v>0.05</v>
      </c>
    </row>
    <row r="9" spans="1:42" x14ac:dyDescent="0.15">
      <c r="A9" s="124" t="s">
        <v>81</v>
      </c>
      <c r="B9" s="126">
        <v>0.1</v>
      </c>
      <c r="C9" s="61" t="s">
        <v>150</v>
      </c>
      <c r="D9">
        <v>8</v>
      </c>
      <c r="E9" s="187" t="s">
        <v>199</v>
      </c>
      <c r="F9">
        <v>0.98</v>
      </c>
      <c r="G9">
        <v>0.8</v>
      </c>
      <c r="H9">
        <v>0.8</v>
      </c>
      <c r="I9">
        <v>0.8</v>
      </c>
      <c r="J9" s="115">
        <v>0.25</v>
      </c>
      <c r="K9" s="115">
        <v>0.05</v>
      </c>
    </row>
    <row r="10" spans="1:42" ht="14" thickBot="1" x14ac:dyDescent="0.2">
      <c r="A10" s="124" t="s">
        <v>149</v>
      </c>
      <c r="B10" s="127">
        <f>1/3</f>
        <v>0.33333333333333331</v>
      </c>
      <c r="C10" s="61" t="s">
        <v>150</v>
      </c>
      <c r="D10">
        <v>9</v>
      </c>
      <c r="E10" s="187" t="s">
        <v>200</v>
      </c>
      <c r="F10">
        <v>0.98</v>
      </c>
      <c r="G10">
        <v>0.8</v>
      </c>
      <c r="H10">
        <v>0.8</v>
      </c>
      <c r="I10">
        <v>0.8</v>
      </c>
      <c r="J10" s="115">
        <v>0.25</v>
      </c>
      <c r="K10" s="115">
        <v>0.05</v>
      </c>
    </row>
    <row r="11" spans="1:42" x14ac:dyDescent="0.15">
      <c r="D11">
        <v>10</v>
      </c>
      <c r="E11" s="187" t="s">
        <v>201</v>
      </c>
      <c r="F11">
        <v>0.98</v>
      </c>
      <c r="G11">
        <v>0.8</v>
      </c>
      <c r="H11">
        <v>0.8</v>
      </c>
      <c r="I11">
        <v>0.8</v>
      </c>
      <c r="J11" s="115">
        <v>0.25</v>
      </c>
      <c r="K11" s="115">
        <v>0.05</v>
      </c>
    </row>
    <row r="12" spans="1:42" x14ac:dyDescent="0.15">
      <c r="D12">
        <v>11</v>
      </c>
      <c r="E12" s="187" t="s">
        <v>202</v>
      </c>
      <c r="F12">
        <v>0.98</v>
      </c>
      <c r="G12">
        <v>0.8</v>
      </c>
      <c r="H12">
        <v>0.8</v>
      </c>
      <c r="I12">
        <v>0.8</v>
      </c>
      <c r="J12" s="115">
        <v>0.25</v>
      </c>
      <c r="K12" s="115">
        <v>0.05</v>
      </c>
    </row>
    <row r="13" spans="1:42" x14ac:dyDescent="0.15">
      <c r="D13">
        <v>12</v>
      </c>
      <c r="E13" s="187" t="s">
        <v>203</v>
      </c>
      <c r="F13">
        <v>0.98</v>
      </c>
      <c r="G13">
        <v>0.8</v>
      </c>
      <c r="H13">
        <v>0.8</v>
      </c>
      <c r="I13">
        <v>0.8</v>
      </c>
      <c r="J13" s="115">
        <v>0.25</v>
      </c>
      <c r="K13" s="115">
        <v>0.05</v>
      </c>
    </row>
    <row r="14" spans="1:42" x14ac:dyDescent="0.15">
      <c r="D14">
        <v>13</v>
      </c>
      <c r="E14" s="187" t="s">
        <v>204</v>
      </c>
      <c r="F14">
        <v>0.98</v>
      </c>
      <c r="G14">
        <v>0.8</v>
      </c>
      <c r="H14">
        <v>0.8</v>
      </c>
      <c r="I14">
        <v>0.8</v>
      </c>
      <c r="J14" s="115">
        <v>0.25</v>
      </c>
      <c r="K14" s="115">
        <v>0.05</v>
      </c>
    </row>
    <row r="15" spans="1:42" x14ac:dyDescent="0.15">
      <c r="D15">
        <v>14</v>
      </c>
      <c r="E15" s="187" t="s">
        <v>205</v>
      </c>
      <c r="F15">
        <v>0.98</v>
      </c>
      <c r="G15">
        <v>0.8</v>
      </c>
      <c r="H15">
        <v>0.8</v>
      </c>
      <c r="I15">
        <v>0.8</v>
      </c>
      <c r="J15" s="115">
        <v>0.25</v>
      </c>
      <c r="K15" s="115">
        <v>0.05</v>
      </c>
    </row>
    <row r="16" spans="1:42" x14ac:dyDescent="0.15">
      <c r="D16">
        <v>15</v>
      </c>
      <c r="E16" s="187" t="s">
        <v>206</v>
      </c>
      <c r="F16">
        <v>0.98</v>
      </c>
      <c r="G16">
        <v>0.8</v>
      </c>
      <c r="H16">
        <v>0.8</v>
      </c>
      <c r="I16">
        <v>0.8</v>
      </c>
      <c r="J16" s="115">
        <v>0.25</v>
      </c>
      <c r="K16" s="115">
        <v>0.05</v>
      </c>
    </row>
    <row r="17" spans="4:33" ht="15" customHeight="1" x14ac:dyDescent="0.15">
      <c r="D17">
        <v>16</v>
      </c>
      <c r="E17" s="187" t="s">
        <v>207</v>
      </c>
      <c r="F17">
        <v>0.98</v>
      </c>
      <c r="G17">
        <v>0.8</v>
      </c>
      <c r="H17">
        <v>0.8</v>
      </c>
      <c r="I17">
        <v>0.8</v>
      </c>
      <c r="J17" s="115">
        <v>0.25</v>
      </c>
      <c r="K17" s="115">
        <v>0.05</v>
      </c>
    </row>
    <row r="18" spans="4:33" ht="15" customHeight="1" x14ac:dyDescent="0.15">
      <c r="D18">
        <v>17</v>
      </c>
      <c r="E18" s="187" t="s">
        <v>208</v>
      </c>
      <c r="F18">
        <v>0.98</v>
      </c>
      <c r="G18">
        <v>0.8</v>
      </c>
      <c r="H18">
        <v>0.8</v>
      </c>
      <c r="I18">
        <v>0.8</v>
      </c>
      <c r="J18" s="115">
        <v>0.25</v>
      </c>
      <c r="K18" s="115">
        <v>0.05</v>
      </c>
    </row>
    <row r="19" spans="4:33" ht="15" customHeight="1" x14ac:dyDescent="0.15">
      <c r="D19">
        <v>18</v>
      </c>
      <c r="E19" s="187" t="s">
        <v>209</v>
      </c>
      <c r="F19">
        <v>0.98</v>
      </c>
      <c r="G19">
        <v>0.8</v>
      </c>
      <c r="H19">
        <v>0.8</v>
      </c>
      <c r="I19">
        <v>0.8</v>
      </c>
      <c r="J19" s="115">
        <v>0.25</v>
      </c>
      <c r="K19" s="115">
        <v>0.05</v>
      </c>
    </row>
    <row r="20" spans="4:33" ht="15" customHeight="1" x14ac:dyDescent="0.15">
      <c r="D20">
        <v>19</v>
      </c>
      <c r="E20" s="187" t="s">
        <v>210</v>
      </c>
      <c r="F20">
        <v>0.98</v>
      </c>
      <c r="G20">
        <v>0.8</v>
      </c>
      <c r="H20">
        <v>0.8</v>
      </c>
      <c r="I20">
        <v>0.8</v>
      </c>
      <c r="J20" s="115">
        <v>0.25</v>
      </c>
      <c r="K20" s="115">
        <v>0.05</v>
      </c>
    </row>
    <row r="21" spans="4:33" ht="15" customHeight="1" x14ac:dyDescent="0.15">
      <c r="D21">
        <v>20</v>
      </c>
      <c r="E21" s="187" t="s">
        <v>211</v>
      </c>
      <c r="F21">
        <v>0.98</v>
      </c>
      <c r="G21">
        <v>0.8</v>
      </c>
      <c r="H21">
        <v>0.8</v>
      </c>
      <c r="I21">
        <v>0.8</v>
      </c>
      <c r="J21" s="115">
        <v>0.25</v>
      </c>
      <c r="K21" s="115">
        <v>0.05</v>
      </c>
    </row>
    <row r="22" spans="4:33" ht="15" customHeight="1" x14ac:dyDescent="0.15">
      <c r="D22">
        <v>21</v>
      </c>
      <c r="E22" s="187" t="s">
        <v>212</v>
      </c>
      <c r="F22">
        <v>0.98</v>
      </c>
      <c r="G22">
        <v>0.8</v>
      </c>
      <c r="H22">
        <v>0.8</v>
      </c>
      <c r="I22">
        <v>0.8</v>
      </c>
      <c r="J22" s="115">
        <v>0.25</v>
      </c>
      <c r="K22" s="115">
        <v>0.05</v>
      </c>
    </row>
    <row r="23" spans="4:33" ht="15" customHeight="1" x14ac:dyDescent="0.15">
      <c r="D23">
        <v>22</v>
      </c>
      <c r="E23" s="187" t="s">
        <v>213</v>
      </c>
      <c r="F23">
        <v>0.98</v>
      </c>
      <c r="G23">
        <v>0.8</v>
      </c>
      <c r="H23">
        <v>0.8</v>
      </c>
      <c r="I23">
        <v>0.8</v>
      </c>
      <c r="J23" s="115">
        <v>0.25</v>
      </c>
      <c r="K23" s="115">
        <v>0.05</v>
      </c>
    </row>
    <row r="24" spans="4:33" ht="15" customHeight="1" x14ac:dyDescent="0.15">
      <c r="D24">
        <v>23</v>
      </c>
      <c r="E24" s="187" t="s">
        <v>214</v>
      </c>
      <c r="F24">
        <v>0.98</v>
      </c>
      <c r="G24">
        <v>0.8</v>
      </c>
      <c r="H24">
        <v>0.8</v>
      </c>
      <c r="I24">
        <v>0.8</v>
      </c>
      <c r="J24" s="115">
        <v>0.25</v>
      </c>
      <c r="K24" s="115">
        <v>0.05</v>
      </c>
    </row>
    <row r="25" spans="4:33" ht="15" customHeight="1" x14ac:dyDescent="0.15">
      <c r="D25">
        <v>24</v>
      </c>
      <c r="E25" s="187" t="s">
        <v>215</v>
      </c>
      <c r="F25">
        <v>0.98</v>
      </c>
      <c r="G25">
        <v>0.8</v>
      </c>
      <c r="H25">
        <v>0.8</v>
      </c>
      <c r="I25">
        <v>0.8</v>
      </c>
      <c r="J25" s="115">
        <v>0.25</v>
      </c>
      <c r="K25" s="115">
        <v>0.05</v>
      </c>
    </row>
    <row r="26" spans="4:33" ht="15" customHeight="1" x14ac:dyDescent="0.15">
      <c r="D26">
        <v>25</v>
      </c>
      <c r="E26" s="187" t="s">
        <v>216</v>
      </c>
      <c r="F26">
        <v>0.98</v>
      </c>
      <c r="G26">
        <v>0.8</v>
      </c>
      <c r="H26">
        <v>0.8</v>
      </c>
      <c r="I26">
        <v>0.8</v>
      </c>
      <c r="J26" s="115">
        <v>0.25</v>
      </c>
      <c r="K26" s="115">
        <v>0.05</v>
      </c>
    </row>
    <row r="27" spans="4:33" ht="15" customHeight="1" x14ac:dyDescent="0.15">
      <c r="D27">
        <v>26</v>
      </c>
      <c r="E27" s="187" t="s">
        <v>217</v>
      </c>
      <c r="F27">
        <v>0.98</v>
      </c>
      <c r="G27">
        <v>0.8</v>
      </c>
      <c r="H27">
        <v>0.8</v>
      </c>
      <c r="I27">
        <v>0.8</v>
      </c>
      <c r="J27" s="115">
        <v>0.25</v>
      </c>
      <c r="K27" s="115">
        <v>0.05</v>
      </c>
    </row>
    <row r="28" spans="4:33" ht="15" customHeight="1" x14ac:dyDescent="0.15">
      <c r="D28">
        <v>27</v>
      </c>
      <c r="E28" s="187" t="s">
        <v>218</v>
      </c>
      <c r="F28">
        <v>0.98</v>
      </c>
      <c r="G28">
        <v>0.8</v>
      </c>
      <c r="H28">
        <v>0.8</v>
      </c>
      <c r="I28">
        <v>0.8</v>
      </c>
      <c r="J28" s="115">
        <v>0.25</v>
      </c>
      <c r="K28" s="115">
        <v>0.05</v>
      </c>
    </row>
    <row r="29" spans="4:33" ht="15" customHeight="1" x14ac:dyDescent="0.15">
      <c r="D29">
        <v>28</v>
      </c>
      <c r="E29" s="187" t="s">
        <v>219</v>
      </c>
      <c r="F29">
        <v>0.98</v>
      </c>
      <c r="G29">
        <v>0.8</v>
      </c>
      <c r="H29">
        <v>0.8</v>
      </c>
      <c r="I29">
        <v>0.8</v>
      </c>
      <c r="J29" s="115">
        <v>0.25</v>
      </c>
      <c r="K29" s="115">
        <v>0.05</v>
      </c>
      <c r="Y29"/>
      <c r="AC29"/>
      <c r="AG29"/>
    </row>
    <row r="30" spans="4:33" ht="15" customHeight="1" x14ac:dyDescent="0.15">
      <c r="D30">
        <v>29</v>
      </c>
      <c r="E30" s="187" t="s">
        <v>220</v>
      </c>
      <c r="F30">
        <v>0.98</v>
      </c>
      <c r="G30">
        <v>0.8</v>
      </c>
      <c r="H30">
        <v>0.8</v>
      </c>
      <c r="I30">
        <v>0.8</v>
      </c>
      <c r="J30" s="115">
        <v>0.25</v>
      </c>
      <c r="K30" s="115">
        <v>0.05</v>
      </c>
      <c r="Y30"/>
      <c r="AC30"/>
      <c r="AG30"/>
    </row>
    <row r="31" spans="4:33" ht="15" customHeight="1" x14ac:dyDescent="0.15">
      <c r="D31">
        <v>30</v>
      </c>
      <c r="E31" s="187" t="s">
        <v>221</v>
      </c>
      <c r="F31">
        <v>0.98</v>
      </c>
      <c r="G31">
        <v>0.8</v>
      </c>
      <c r="H31">
        <v>0.8</v>
      </c>
      <c r="I31">
        <v>0.8</v>
      </c>
      <c r="J31" s="115">
        <v>0.25</v>
      </c>
      <c r="K31" s="115">
        <v>0.05</v>
      </c>
      <c r="Y31"/>
      <c r="AC31"/>
      <c r="AG31"/>
    </row>
    <row r="32" spans="4:33" ht="15" customHeight="1" x14ac:dyDescent="0.15">
      <c r="D32">
        <v>31</v>
      </c>
      <c r="E32" s="187" t="s">
        <v>222</v>
      </c>
      <c r="F32">
        <v>0.98</v>
      </c>
      <c r="G32">
        <v>0.8</v>
      </c>
      <c r="H32">
        <v>0.8</v>
      </c>
      <c r="I32">
        <v>0.8</v>
      </c>
      <c r="J32" s="115">
        <v>0.25</v>
      </c>
      <c r="K32" s="115">
        <v>0.05</v>
      </c>
      <c r="Y32"/>
      <c r="AC32"/>
      <c r="AG32"/>
    </row>
    <row r="33" spans="4:33" ht="15" customHeight="1" x14ac:dyDescent="0.15">
      <c r="D33">
        <v>32</v>
      </c>
      <c r="E33" s="187" t="s">
        <v>223</v>
      </c>
      <c r="F33">
        <v>0.98</v>
      </c>
      <c r="G33">
        <v>0.8</v>
      </c>
      <c r="H33">
        <v>0.8</v>
      </c>
      <c r="I33">
        <v>0.8</v>
      </c>
      <c r="J33" s="115">
        <v>0.25</v>
      </c>
      <c r="K33" s="115">
        <v>0.05</v>
      </c>
      <c r="Y33"/>
      <c r="AC33"/>
      <c r="AG33"/>
    </row>
    <row r="34" spans="4:33" ht="15" customHeight="1" x14ac:dyDescent="0.15">
      <c r="D34">
        <v>33</v>
      </c>
      <c r="E34" s="187" t="s">
        <v>224</v>
      </c>
      <c r="F34">
        <v>0.98</v>
      </c>
      <c r="G34">
        <v>0.8</v>
      </c>
      <c r="H34">
        <v>0.8</v>
      </c>
      <c r="I34">
        <v>0.8</v>
      </c>
      <c r="J34" s="115">
        <v>0.25</v>
      </c>
      <c r="K34" s="115">
        <v>0.05</v>
      </c>
      <c r="Y34"/>
      <c r="AC34"/>
      <c r="AG34"/>
    </row>
    <row r="35" spans="4:33" ht="15" customHeight="1" x14ac:dyDescent="0.15">
      <c r="D35">
        <v>34</v>
      </c>
      <c r="E35" s="187" t="s">
        <v>225</v>
      </c>
      <c r="F35">
        <v>0.98</v>
      </c>
      <c r="G35">
        <v>0.8</v>
      </c>
      <c r="H35">
        <v>0.8</v>
      </c>
      <c r="I35">
        <v>0.8</v>
      </c>
      <c r="J35" s="115">
        <v>0.25</v>
      </c>
      <c r="K35" s="115">
        <v>0.05</v>
      </c>
      <c r="Y35"/>
      <c r="AC35"/>
      <c r="AG35"/>
    </row>
    <row r="36" spans="4:33" ht="15" customHeight="1" x14ac:dyDescent="0.15">
      <c r="D36">
        <v>35</v>
      </c>
      <c r="E36" s="187" t="s">
        <v>226</v>
      </c>
      <c r="F36">
        <v>0.98</v>
      </c>
      <c r="G36">
        <v>0.8</v>
      </c>
      <c r="H36">
        <v>0.8</v>
      </c>
      <c r="I36">
        <v>0.8</v>
      </c>
      <c r="J36" s="115">
        <v>0.25</v>
      </c>
      <c r="K36" s="115">
        <v>0.05</v>
      </c>
      <c r="Y36"/>
      <c r="AC36"/>
      <c r="AG36"/>
    </row>
    <row r="37" spans="4:33" ht="15" customHeight="1" x14ac:dyDescent="0.15">
      <c r="D37">
        <v>36</v>
      </c>
      <c r="E37" s="187" t="s">
        <v>227</v>
      </c>
      <c r="F37">
        <v>0.98</v>
      </c>
      <c r="G37">
        <v>0.8</v>
      </c>
      <c r="H37">
        <v>0.8</v>
      </c>
      <c r="I37">
        <v>0.8</v>
      </c>
      <c r="J37" s="115">
        <v>0.25</v>
      </c>
      <c r="K37" s="115">
        <v>0.05</v>
      </c>
      <c r="Y37"/>
      <c r="AC37"/>
      <c r="AG37"/>
    </row>
    <row r="38" spans="4:33" ht="15" customHeight="1" x14ac:dyDescent="0.15">
      <c r="D38">
        <v>37</v>
      </c>
      <c r="E38" s="187" t="s">
        <v>228</v>
      </c>
      <c r="F38">
        <v>0.98</v>
      </c>
      <c r="G38">
        <v>0.8</v>
      </c>
      <c r="H38">
        <v>0.8</v>
      </c>
      <c r="I38">
        <v>0.8</v>
      </c>
      <c r="J38" s="115">
        <v>0.25</v>
      </c>
      <c r="K38" s="115">
        <v>0.05</v>
      </c>
      <c r="Y38"/>
      <c r="AC38"/>
      <c r="AG38"/>
    </row>
    <row r="39" spans="4:33" ht="15" customHeight="1" x14ac:dyDescent="0.15">
      <c r="D39">
        <v>38</v>
      </c>
      <c r="E39" s="187" t="s">
        <v>229</v>
      </c>
      <c r="F39">
        <v>0.98</v>
      </c>
      <c r="G39">
        <v>0.8</v>
      </c>
      <c r="H39">
        <v>0</v>
      </c>
      <c r="I39">
        <v>0</v>
      </c>
      <c r="J39" s="115">
        <v>0</v>
      </c>
      <c r="K39" s="115">
        <v>0</v>
      </c>
    </row>
    <row r="40" spans="4:33" ht="15" customHeight="1" x14ac:dyDescent="0.15">
      <c r="D40">
        <v>39</v>
      </c>
      <c r="E40" s="187" t="s">
        <v>230</v>
      </c>
      <c r="F40">
        <v>0.98</v>
      </c>
      <c r="G40">
        <v>0.8</v>
      </c>
      <c r="H40">
        <v>0</v>
      </c>
      <c r="I40">
        <v>0</v>
      </c>
      <c r="J40" s="115">
        <v>0</v>
      </c>
      <c r="K40" s="115">
        <v>0</v>
      </c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7.5" style="113" bestFit="1" customWidth="1"/>
    <col min="2" max="3" width="2.33203125" style="113" customWidth="1"/>
    <col min="4" max="38" width="3.83203125" style="113" customWidth="1"/>
    <col min="39" max="40" width="2.33203125" style="113" customWidth="1"/>
    <col min="41" max="16384" width="10.83203125" style="113"/>
  </cols>
  <sheetData>
    <row r="1" spans="1:40" x14ac:dyDescent="0.15">
      <c r="A1" s="63" t="s">
        <v>118</v>
      </c>
      <c r="B1" s="189" t="s">
        <v>192</v>
      </c>
      <c r="C1" s="189" t="s">
        <v>193</v>
      </c>
      <c r="D1" s="189" t="s">
        <v>194</v>
      </c>
      <c r="E1" s="189" t="s">
        <v>195</v>
      </c>
      <c r="F1" s="189" t="s">
        <v>196</v>
      </c>
      <c r="G1" s="189" t="s">
        <v>197</v>
      </c>
      <c r="H1" s="189" t="s">
        <v>198</v>
      </c>
      <c r="I1" s="189" t="s">
        <v>199</v>
      </c>
      <c r="J1" s="189" t="s">
        <v>200</v>
      </c>
      <c r="K1" s="189" t="s">
        <v>201</v>
      </c>
      <c r="L1" s="189" t="s">
        <v>202</v>
      </c>
      <c r="M1" s="189" t="s">
        <v>203</v>
      </c>
      <c r="N1" s="189" t="s">
        <v>204</v>
      </c>
      <c r="O1" s="189" t="s">
        <v>205</v>
      </c>
      <c r="P1" s="189" t="s">
        <v>206</v>
      </c>
      <c r="Q1" s="189" t="s">
        <v>207</v>
      </c>
      <c r="R1" s="189" t="s">
        <v>208</v>
      </c>
      <c r="S1" s="189" t="s">
        <v>209</v>
      </c>
      <c r="T1" s="189" t="s">
        <v>210</v>
      </c>
      <c r="U1" s="189" t="s">
        <v>211</v>
      </c>
      <c r="V1" s="189" t="s">
        <v>212</v>
      </c>
      <c r="W1" s="189" t="s">
        <v>213</v>
      </c>
      <c r="X1" s="189" t="s">
        <v>214</v>
      </c>
      <c r="Y1" s="189" t="s">
        <v>215</v>
      </c>
      <c r="Z1" s="189" t="s">
        <v>216</v>
      </c>
      <c r="AA1" s="189" t="s">
        <v>217</v>
      </c>
      <c r="AB1" s="189" t="s">
        <v>218</v>
      </c>
      <c r="AC1" s="189" t="s">
        <v>219</v>
      </c>
      <c r="AD1" s="189" t="s">
        <v>220</v>
      </c>
      <c r="AE1" s="189" t="s">
        <v>221</v>
      </c>
      <c r="AF1" s="189" t="s">
        <v>222</v>
      </c>
      <c r="AG1" s="189" t="s">
        <v>223</v>
      </c>
      <c r="AH1" s="189" t="s">
        <v>224</v>
      </c>
      <c r="AI1" s="189" t="s">
        <v>225</v>
      </c>
      <c r="AJ1" s="189" t="s">
        <v>226</v>
      </c>
      <c r="AK1" s="189" t="s">
        <v>227</v>
      </c>
      <c r="AL1" s="189" t="s">
        <v>228</v>
      </c>
      <c r="AM1" s="189" t="s">
        <v>229</v>
      </c>
      <c r="AN1" s="189" t="s">
        <v>230</v>
      </c>
    </row>
    <row r="2" spans="1:40" customFormat="1" x14ac:dyDescent="0.15">
      <c r="A2" s="188" t="s">
        <v>192</v>
      </c>
      <c r="B2" s="113">
        <v>0</v>
      </c>
      <c r="C2" s="113">
        <v>0</v>
      </c>
      <c r="D2" s="113">
        <v>0.8</v>
      </c>
      <c r="E2" s="113">
        <v>0</v>
      </c>
      <c r="F2" s="113">
        <v>0</v>
      </c>
      <c r="G2" s="113">
        <v>0.8</v>
      </c>
      <c r="H2" s="113">
        <v>0.8</v>
      </c>
      <c r="I2" s="113">
        <v>0.8</v>
      </c>
      <c r="J2" s="113">
        <v>0</v>
      </c>
      <c r="K2" s="113">
        <v>0.8</v>
      </c>
      <c r="L2" s="113">
        <v>0</v>
      </c>
      <c r="M2" s="113">
        <v>0</v>
      </c>
      <c r="N2" s="113">
        <v>0.8</v>
      </c>
      <c r="O2" s="113">
        <v>0</v>
      </c>
      <c r="P2" s="113">
        <v>0</v>
      </c>
      <c r="Q2" s="113">
        <v>0</v>
      </c>
      <c r="R2" s="113">
        <v>0</v>
      </c>
      <c r="S2" s="113">
        <v>0.8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0.8</v>
      </c>
      <c r="Z2" s="113">
        <v>0.8</v>
      </c>
      <c r="AA2" s="113">
        <v>0</v>
      </c>
      <c r="AB2" s="113">
        <v>0.8</v>
      </c>
      <c r="AC2" s="113">
        <v>0.8</v>
      </c>
      <c r="AD2" s="113">
        <v>0.8</v>
      </c>
      <c r="AE2" s="113">
        <v>0.8</v>
      </c>
      <c r="AF2" s="113">
        <v>0.8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0.8</v>
      </c>
      <c r="AM2" s="113">
        <v>0</v>
      </c>
      <c r="AN2" s="113">
        <v>0</v>
      </c>
    </row>
    <row r="3" spans="1:40" customFormat="1" x14ac:dyDescent="0.15">
      <c r="A3" s="188" t="s">
        <v>193</v>
      </c>
      <c r="B3" s="113">
        <v>0</v>
      </c>
      <c r="C3" s="113">
        <v>0</v>
      </c>
      <c r="D3" s="113">
        <v>0</v>
      </c>
      <c r="E3" s="113">
        <v>0</v>
      </c>
      <c r="F3" s="113">
        <v>0</v>
      </c>
      <c r="G3" s="113">
        <v>0.8</v>
      </c>
      <c r="H3" s="113">
        <v>0.8</v>
      </c>
      <c r="I3" s="113">
        <v>0.8</v>
      </c>
      <c r="J3" s="113">
        <v>0</v>
      </c>
      <c r="K3" s="113">
        <v>0.8</v>
      </c>
      <c r="L3" s="113">
        <v>0.8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0.8</v>
      </c>
      <c r="Z3" s="113">
        <v>0.8</v>
      </c>
      <c r="AA3" s="113">
        <v>0</v>
      </c>
      <c r="AB3" s="113">
        <v>0.8</v>
      </c>
      <c r="AC3" s="113">
        <v>0</v>
      </c>
      <c r="AD3" s="113">
        <v>0</v>
      </c>
      <c r="AE3" s="113">
        <v>0.8</v>
      </c>
      <c r="AF3" s="113">
        <v>0</v>
      </c>
      <c r="AG3" s="113">
        <v>0</v>
      </c>
      <c r="AH3" s="113">
        <v>0</v>
      </c>
      <c r="AI3" s="113">
        <v>0.8</v>
      </c>
      <c r="AJ3" s="113">
        <v>0</v>
      </c>
      <c r="AK3" s="113">
        <v>0</v>
      </c>
      <c r="AL3" s="113">
        <v>0.8</v>
      </c>
      <c r="AM3" s="113">
        <v>0</v>
      </c>
      <c r="AN3" s="113">
        <v>0</v>
      </c>
    </row>
    <row r="4" spans="1:40" customFormat="1" x14ac:dyDescent="0.15">
      <c r="A4" s="188" t="s">
        <v>194</v>
      </c>
      <c r="B4" s="113">
        <v>0</v>
      </c>
      <c r="C4" s="113">
        <v>0</v>
      </c>
      <c r="D4" s="113">
        <v>0</v>
      </c>
      <c r="E4" s="113">
        <v>0.8</v>
      </c>
      <c r="F4" s="113">
        <v>0</v>
      </c>
      <c r="G4" s="113">
        <v>0.8</v>
      </c>
      <c r="H4" s="113">
        <v>0.8</v>
      </c>
      <c r="I4" s="113">
        <v>0.8</v>
      </c>
      <c r="J4" s="113">
        <v>0.8</v>
      </c>
      <c r="K4" s="113">
        <v>0.8</v>
      </c>
      <c r="L4" s="113">
        <v>0</v>
      </c>
      <c r="M4" s="113">
        <v>0.8</v>
      </c>
      <c r="N4" s="113">
        <v>0.8</v>
      </c>
      <c r="O4" s="113">
        <v>0.8</v>
      </c>
      <c r="P4" s="113">
        <v>0</v>
      </c>
      <c r="Q4" s="113">
        <v>0.8</v>
      </c>
      <c r="R4" s="113">
        <v>0.8</v>
      </c>
      <c r="S4" s="113">
        <v>0.8</v>
      </c>
      <c r="T4" s="113">
        <v>0.8</v>
      </c>
      <c r="U4" s="113">
        <v>0</v>
      </c>
      <c r="V4" s="113">
        <v>0.8</v>
      </c>
      <c r="W4" s="113">
        <v>0.8</v>
      </c>
      <c r="X4" s="113">
        <v>0.8</v>
      </c>
      <c r="Y4" s="113">
        <v>0.8</v>
      </c>
      <c r="Z4" s="113">
        <v>0.8</v>
      </c>
      <c r="AA4" s="113">
        <v>0.8</v>
      </c>
      <c r="AB4" s="113">
        <v>0.8</v>
      </c>
      <c r="AC4" s="113">
        <v>0.8</v>
      </c>
      <c r="AD4" s="113">
        <v>0.8</v>
      </c>
      <c r="AE4" s="113">
        <v>0.8</v>
      </c>
      <c r="AF4" s="113">
        <v>0.8</v>
      </c>
      <c r="AG4" s="113">
        <v>0.8</v>
      </c>
      <c r="AH4" s="113">
        <v>0</v>
      </c>
      <c r="AI4" s="113">
        <v>0.8</v>
      </c>
      <c r="AJ4" s="113">
        <v>0</v>
      </c>
      <c r="AK4" s="113">
        <v>0.8</v>
      </c>
      <c r="AL4" s="113">
        <v>0.8</v>
      </c>
      <c r="AM4" s="113">
        <v>0</v>
      </c>
      <c r="AN4" s="113">
        <v>0</v>
      </c>
    </row>
    <row r="5" spans="1:40" customFormat="1" x14ac:dyDescent="0.15">
      <c r="A5" s="188" t="s">
        <v>195</v>
      </c>
      <c r="B5" s="113">
        <v>0</v>
      </c>
      <c r="C5" s="113">
        <v>0</v>
      </c>
      <c r="D5" s="113">
        <v>0</v>
      </c>
      <c r="E5" s="113">
        <v>0.8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0.8</v>
      </c>
      <c r="T5" s="113">
        <v>0</v>
      </c>
      <c r="U5" s="113">
        <v>0</v>
      </c>
      <c r="V5" s="113">
        <v>0</v>
      </c>
      <c r="W5" s="113">
        <v>0</v>
      </c>
      <c r="X5" s="113">
        <v>0.8</v>
      </c>
      <c r="Y5" s="113">
        <v>0.8</v>
      </c>
      <c r="Z5" s="113">
        <v>0.8</v>
      </c>
      <c r="AA5" s="113">
        <v>0.8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</row>
    <row r="6" spans="1:40" customFormat="1" x14ac:dyDescent="0.15">
      <c r="A6" s="188" t="s">
        <v>196</v>
      </c>
      <c r="B6" s="113">
        <v>0</v>
      </c>
      <c r="C6" s="113">
        <v>0</v>
      </c>
      <c r="D6" s="113">
        <v>0</v>
      </c>
      <c r="E6" s="113">
        <v>0</v>
      </c>
      <c r="F6" s="113">
        <v>0</v>
      </c>
      <c r="G6" s="113">
        <v>0.8</v>
      </c>
      <c r="H6" s="113">
        <v>0.8</v>
      </c>
      <c r="I6" s="113">
        <v>0.8</v>
      </c>
      <c r="J6" s="113">
        <v>0</v>
      </c>
      <c r="K6" s="113">
        <v>0.8</v>
      </c>
      <c r="L6" s="113">
        <v>0.8</v>
      </c>
      <c r="M6" s="113">
        <v>0</v>
      </c>
      <c r="N6" s="113">
        <v>0.8</v>
      </c>
      <c r="O6" s="113">
        <v>0.8</v>
      </c>
      <c r="P6" s="113">
        <v>0</v>
      </c>
      <c r="Q6" s="113">
        <v>0.8</v>
      </c>
      <c r="R6" s="113">
        <v>0</v>
      </c>
      <c r="S6" s="113">
        <v>0.8</v>
      </c>
      <c r="T6" s="113">
        <v>0.8</v>
      </c>
      <c r="U6" s="113">
        <v>0</v>
      </c>
      <c r="V6" s="113">
        <v>0.8</v>
      </c>
      <c r="W6" s="113">
        <v>0.8</v>
      </c>
      <c r="X6" s="113">
        <v>0.8</v>
      </c>
      <c r="Y6" s="113">
        <v>0.8</v>
      </c>
      <c r="Z6" s="113">
        <v>0.8</v>
      </c>
      <c r="AA6" s="113">
        <v>0.8</v>
      </c>
      <c r="AB6" s="113">
        <v>0.8</v>
      </c>
      <c r="AC6" s="113">
        <v>0.8</v>
      </c>
      <c r="AD6" s="113">
        <v>0.8</v>
      </c>
      <c r="AE6" s="113">
        <v>0.8</v>
      </c>
      <c r="AF6" s="113">
        <v>0.8</v>
      </c>
      <c r="AG6" s="113">
        <v>0</v>
      </c>
      <c r="AH6" s="113">
        <v>0</v>
      </c>
      <c r="AI6" s="113">
        <v>0.8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</row>
    <row r="7" spans="1:40" customFormat="1" x14ac:dyDescent="0.15">
      <c r="A7" s="188" t="s">
        <v>197</v>
      </c>
      <c r="B7" s="113">
        <v>0</v>
      </c>
      <c r="C7" s="113">
        <v>0</v>
      </c>
      <c r="D7" s="113">
        <v>0</v>
      </c>
      <c r="E7" s="113">
        <v>0</v>
      </c>
      <c r="F7" s="113">
        <v>0</v>
      </c>
      <c r="G7" s="113">
        <v>0.8</v>
      </c>
      <c r="H7" s="113">
        <v>0</v>
      </c>
      <c r="I7" s="113">
        <v>0</v>
      </c>
      <c r="J7" s="113">
        <v>0</v>
      </c>
      <c r="K7" s="113">
        <v>0</v>
      </c>
      <c r="L7" s="113">
        <v>0.8</v>
      </c>
      <c r="M7" s="113">
        <v>0.8</v>
      </c>
      <c r="N7" s="113">
        <v>0.8</v>
      </c>
      <c r="O7" s="113">
        <v>0</v>
      </c>
      <c r="P7" s="113">
        <v>0</v>
      </c>
      <c r="Q7" s="113">
        <v>0.8</v>
      </c>
      <c r="R7" s="113">
        <v>0</v>
      </c>
      <c r="S7" s="113">
        <v>0.8</v>
      </c>
      <c r="T7" s="113">
        <v>0</v>
      </c>
      <c r="U7" s="113">
        <v>0</v>
      </c>
      <c r="V7" s="113">
        <v>0.8</v>
      </c>
      <c r="W7" s="113">
        <v>0.8</v>
      </c>
      <c r="X7" s="113">
        <v>0</v>
      </c>
      <c r="Y7" s="113">
        <v>0.8</v>
      </c>
      <c r="Z7" s="113">
        <v>0.8</v>
      </c>
      <c r="AA7" s="113">
        <v>0.8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0.8</v>
      </c>
      <c r="AJ7" s="113">
        <v>0</v>
      </c>
      <c r="AK7" s="113">
        <v>0.8</v>
      </c>
      <c r="AL7" s="113">
        <v>0.8</v>
      </c>
      <c r="AM7" s="113">
        <v>0</v>
      </c>
      <c r="AN7" s="113">
        <v>0</v>
      </c>
    </row>
    <row r="8" spans="1:40" customFormat="1" x14ac:dyDescent="0.15">
      <c r="A8" s="188" t="s">
        <v>198</v>
      </c>
      <c r="B8" s="113">
        <v>0</v>
      </c>
      <c r="C8" s="113">
        <v>0</v>
      </c>
      <c r="D8" s="113">
        <v>0</v>
      </c>
      <c r="E8" s="113">
        <v>0</v>
      </c>
      <c r="F8" s="113">
        <v>0</v>
      </c>
      <c r="G8" s="113">
        <v>0.8</v>
      </c>
      <c r="H8" s="113">
        <v>0</v>
      </c>
      <c r="I8" s="113">
        <v>0</v>
      </c>
      <c r="J8" s="113">
        <v>0</v>
      </c>
      <c r="K8" s="113">
        <v>0</v>
      </c>
      <c r="L8" s="113">
        <v>0.8</v>
      </c>
      <c r="M8" s="113">
        <v>0.8</v>
      </c>
      <c r="N8" s="113">
        <v>0.8</v>
      </c>
      <c r="O8" s="113">
        <v>0.8</v>
      </c>
      <c r="P8" s="113">
        <v>0</v>
      </c>
      <c r="Q8" s="113">
        <v>0.8</v>
      </c>
      <c r="R8" s="113">
        <v>0.8</v>
      </c>
      <c r="S8" s="113">
        <v>0.8</v>
      </c>
      <c r="T8" s="113">
        <v>0.8</v>
      </c>
      <c r="U8" s="113">
        <v>0.8</v>
      </c>
      <c r="V8" s="113">
        <v>0.8</v>
      </c>
      <c r="W8" s="113">
        <v>0.8</v>
      </c>
      <c r="X8" s="113">
        <v>0.8</v>
      </c>
      <c r="Y8" s="113">
        <v>0.8</v>
      </c>
      <c r="Z8" s="113">
        <v>0.8</v>
      </c>
      <c r="AA8" s="113">
        <v>0.8</v>
      </c>
      <c r="AB8" s="113">
        <v>0.8</v>
      </c>
      <c r="AC8" s="113">
        <v>0</v>
      </c>
      <c r="AD8" s="113">
        <v>0.8</v>
      </c>
      <c r="AE8" s="113">
        <v>0.8</v>
      </c>
      <c r="AF8" s="113">
        <v>0.8</v>
      </c>
      <c r="AG8" s="113">
        <v>0.8</v>
      </c>
      <c r="AH8" s="113">
        <v>0</v>
      </c>
      <c r="AI8" s="113">
        <v>0.8</v>
      </c>
      <c r="AJ8" s="113">
        <v>0</v>
      </c>
      <c r="AK8" s="113">
        <v>0</v>
      </c>
      <c r="AL8" s="113">
        <v>0.8</v>
      </c>
      <c r="AM8" s="113">
        <v>0</v>
      </c>
      <c r="AN8" s="113">
        <v>0</v>
      </c>
    </row>
    <row r="9" spans="1:40" customFormat="1" x14ac:dyDescent="0.15">
      <c r="A9" s="188" t="s">
        <v>199</v>
      </c>
      <c r="B9" s="113">
        <v>0</v>
      </c>
      <c r="C9" s="113">
        <v>0</v>
      </c>
      <c r="D9" s="113">
        <v>0</v>
      </c>
      <c r="E9" s="113">
        <v>0</v>
      </c>
      <c r="F9" s="113">
        <v>0</v>
      </c>
      <c r="G9" s="113">
        <v>0.8</v>
      </c>
      <c r="H9" s="113">
        <v>0.8</v>
      </c>
      <c r="I9" s="113">
        <v>0.8</v>
      </c>
      <c r="J9" s="113">
        <v>0</v>
      </c>
      <c r="K9" s="113">
        <v>0</v>
      </c>
      <c r="L9" s="113">
        <v>0.8</v>
      </c>
      <c r="M9" s="113">
        <v>0.8</v>
      </c>
      <c r="N9" s="113">
        <v>0.8</v>
      </c>
      <c r="O9" s="113">
        <v>0.8</v>
      </c>
      <c r="P9" s="113">
        <v>0</v>
      </c>
      <c r="Q9" s="113">
        <v>0</v>
      </c>
      <c r="R9" s="113">
        <v>0</v>
      </c>
      <c r="S9" s="113">
        <v>0.8</v>
      </c>
      <c r="T9" s="113">
        <v>0.8</v>
      </c>
      <c r="U9" s="113">
        <v>0.8</v>
      </c>
      <c r="V9" s="113">
        <v>0.8</v>
      </c>
      <c r="W9" s="113">
        <v>0.8</v>
      </c>
      <c r="X9" s="113">
        <v>0.8</v>
      </c>
      <c r="Y9" s="113">
        <v>0.8</v>
      </c>
      <c r="Z9" s="113">
        <v>0.8</v>
      </c>
      <c r="AA9" s="113">
        <v>0.8</v>
      </c>
      <c r="AB9" s="113">
        <v>0.8</v>
      </c>
      <c r="AC9" s="113">
        <v>0</v>
      </c>
      <c r="AD9" s="113">
        <v>0.8</v>
      </c>
      <c r="AE9" s="113">
        <v>0.8</v>
      </c>
      <c r="AF9" s="113">
        <v>0.8</v>
      </c>
      <c r="AG9" s="113">
        <v>0.8</v>
      </c>
      <c r="AH9" s="113">
        <v>0.8</v>
      </c>
      <c r="AI9" s="113">
        <v>0.8</v>
      </c>
      <c r="AJ9" s="113">
        <v>0</v>
      </c>
      <c r="AK9" s="113">
        <v>0.8</v>
      </c>
      <c r="AL9" s="113">
        <v>0.8</v>
      </c>
      <c r="AM9" s="113">
        <v>0</v>
      </c>
      <c r="AN9" s="113">
        <v>0</v>
      </c>
    </row>
    <row r="10" spans="1:40" customFormat="1" x14ac:dyDescent="0.15">
      <c r="A10" s="188" t="s">
        <v>200</v>
      </c>
      <c r="B10" s="113">
        <v>0</v>
      </c>
      <c r="C10" s="113">
        <v>0</v>
      </c>
      <c r="D10" s="113">
        <v>0</v>
      </c>
      <c r="E10" s="113">
        <v>0</v>
      </c>
      <c r="F10" s="113">
        <v>0</v>
      </c>
      <c r="G10" s="113">
        <v>0.8</v>
      </c>
      <c r="H10" s="113">
        <v>0.8</v>
      </c>
      <c r="I10" s="113">
        <v>0.8</v>
      </c>
      <c r="J10" s="113">
        <v>0</v>
      </c>
      <c r="K10" s="113">
        <v>0</v>
      </c>
      <c r="L10" s="113">
        <v>0.8</v>
      </c>
      <c r="M10" s="113">
        <v>0</v>
      </c>
      <c r="N10" s="113">
        <v>0</v>
      </c>
      <c r="O10" s="113">
        <v>0.8</v>
      </c>
      <c r="P10" s="113">
        <v>0</v>
      </c>
      <c r="Q10" s="113">
        <v>0</v>
      </c>
      <c r="R10" s="113">
        <v>0</v>
      </c>
      <c r="S10" s="113">
        <v>0.8</v>
      </c>
      <c r="T10" s="113">
        <v>0</v>
      </c>
      <c r="U10" s="113">
        <v>0</v>
      </c>
      <c r="V10" s="113">
        <v>0.8</v>
      </c>
      <c r="W10" s="113">
        <v>0.8</v>
      </c>
      <c r="X10" s="113">
        <v>0</v>
      </c>
      <c r="Y10" s="113">
        <v>0.8</v>
      </c>
      <c r="Z10" s="113">
        <v>0.8</v>
      </c>
      <c r="AA10" s="113">
        <v>0</v>
      </c>
      <c r="AB10" s="113">
        <v>0</v>
      </c>
      <c r="AC10" s="113">
        <v>0.8</v>
      </c>
      <c r="AD10" s="113">
        <v>0.8</v>
      </c>
      <c r="AE10" s="113">
        <v>0.8</v>
      </c>
      <c r="AF10" s="113">
        <v>0.8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</row>
    <row r="11" spans="1:40" customFormat="1" x14ac:dyDescent="0.15">
      <c r="A11" s="188" t="s">
        <v>201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0.8</v>
      </c>
      <c r="M11" s="113">
        <v>0.8</v>
      </c>
      <c r="N11" s="113">
        <v>0.8</v>
      </c>
      <c r="O11" s="113">
        <v>0.8</v>
      </c>
      <c r="P11" s="113">
        <v>0.8</v>
      </c>
      <c r="Q11" s="113">
        <v>0.8</v>
      </c>
      <c r="R11" s="113">
        <v>0.8</v>
      </c>
      <c r="S11" s="113">
        <v>0</v>
      </c>
      <c r="T11" s="113">
        <v>0.8</v>
      </c>
      <c r="U11" s="113">
        <v>0.8</v>
      </c>
      <c r="V11" s="113">
        <v>0.8</v>
      </c>
      <c r="W11" s="113">
        <v>0.8</v>
      </c>
      <c r="X11" s="113">
        <v>0</v>
      </c>
      <c r="Y11" s="113">
        <v>0.8</v>
      </c>
      <c r="Z11" s="113">
        <v>0.8</v>
      </c>
      <c r="AA11" s="113">
        <v>0.8</v>
      </c>
      <c r="AB11" s="113">
        <v>0</v>
      </c>
      <c r="AC11" s="113">
        <v>0</v>
      </c>
      <c r="AD11" s="113">
        <v>0.8</v>
      </c>
      <c r="AE11" s="113">
        <v>0.8</v>
      </c>
      <c r="AF11" s="113">
        <v>0</v>
      </c>
      <c r="AG11" s="113">
        <v>0.8</v>
      </c>
      <c r="AH11" s="113">
        <v>0</v>
      </c>
      <c r="AI11" s="113">
        <v>0.8</v>
      </c>
      <c r="AJ11" s="113">
        <v>0.8</v>
      </c>
      <c r="AK11" s="113">
        <v>0</v>
      </c>
      <c r="AL11" s="113">
        <v>0.8</v>
      </c>
      <c r="AM11" s="113">
        <v>0</v>
      </c>
      <c r="AN11" s="113">
        <v>0</v>
      </c>
    </row>
    <row r="12" spans="1:40" customFormat="1" x14ac:dyDescent="0.15">
      <c r="A12" s="188" t="s">
        <v>202</v>
      </c>
      <c r="B12" s="113">
        <v>0</v>
      </c>
      <c r="C12" s="113">
        <v>0</v>
      </c>
      <c r="D12" s="113">
        <v>0</v>
      </c>
      <c r="E12" s="113">
        <v>0</v>
      </c>
      <c r="F12" s="113">
        <v>0</v>
      </c>
      <c r="G12" s="113">
        <v>0</v>
      </c>
      <c r="H12" s="113">
        <v>0</v>
      </c>
      <c r="I12" s="113">
        <v>0</v>
      </c>
      <c r="J12" s="113">
        <v>0</v>
      </c>
      <c r="K12" s="113">
        <v>0</v>
      </c>
      <c r="L12" s="113">
        <v>0</v>
      </c>
      <c r="M12" s="113">
        <v>0.8</v>
      </c>
      <c r="N12" s="113">
        <v>0.8</v>
      </c>
      <c r="O12" s="113">
        <v>0.8</v>
      </c>
      <c r="P12" s="113">
        <v>0</v>
      </c>
      <c r="Q12" s="113">
        <v>0.8</v>
      </c>
      <c r="R12" s="113">
        <v>0.8</v>
      </c>
      <c r="S12" s="113">
        <v>0.8</v>
      </c>
      <c r="T12" s="113">
        <v>0.8</v>
      </c>
      <c r="U12" s="113">
        <v>0.8</v>
      </c>
      <c r="V12" s="113">
        <v>0.8</v>
      </c>
      <c r="W12" s="113">
        <v>0.8</v>
      </c>
      <c r="X12" s="113">
        <v>0.8</v>
      </c>
      <c r="Y12" s="113">
        <v>0.8</v>
      </c>
      <c r="Z12" s="113">
        <v>0.8</v>
      </c>
      <c r="AA12" s="113">
        <v>0.8</v>
      </c>
      <c r="AB12" s="113">
        <v>0.8</v>
      </c>
      <c r="AC12" s="113">
        <v>0</v>
      </c>
      <c r="AD12" s="113">
        <v>0.8</v>
      </c>
      <c r="AE12" s="113">
        <v>0</v>
      </c>
      <c r="AF12" s="113">
        <v>0</v>
      </c>
      <c r="AG12" s="113">
        <v>0.8</v>
      </c>
      <c r="AH12" s="113">
        <v>0.8</v>
      </c>
      <c r="AI12" s="113">
        <v>0.8</v>
      </c>
      <c r="AJ12" s="113">
        <v>0</v>
      </c>
      <c r="AK12" s="113">
        <v>0.8</v>
      </c>
      <c r="AL12" s="113">
        <v>0.8</v>
      </c>
      <c r="AM12" s="113">
        <v>0</v>
      </c>
      <c r="AN12" s="113">
        <v>0</v>
      </c>
    </row>
    <row r="13" spans="1:40" customFormat="1" x14ac:dyDescent="0.15">
      <c r="A13" s="188" t="s">
        <v>203</v>
      </c>
      <c r="B13" s="113">
        <v>0</v>
      </c>
      <c r="C13" s="113">
        <v>0</v>
      </c>
      <c r="D13" s="113">
        <v>0</v>
      </c>
      <c r="E13" s="113">
        <v>0</v>
      </c>
      <c r="F13" s="113">
        <v>0</v>
      </c>
      <c r="G13" s="113">
        <v>0</v>
      </c>
      <c r="H13" s="113">
        <v>0</v>
      </c>
      <c r="I13" s="113">
        <v>0</v>
      </c>
      <c r="J13" s="113">
        <v>0</v>
      </c>
      <c r="K13" s="113">
        <v>0</v>
      </c>
      <c r="L13" s="113">
        <v>0</v>
      </c>
      <c r="M13" s="113">
        <v>0.8</v>
      </c>
      <c r="N13" s="113">
        <v>0</v>
      </c>
      <c r="O13" s="113">
        <v>0.8</v>
      </c>
      <c r="P13" s="113">
        <v>0.8</v>
      </c>
      <c r="Q13" s="113">
        <v>0.8</v>
      </c>
      <c r="R13" s="113">
        <v>0.8</v>
      </c>
      <c r="S13" s="113">
        <v>0.8</v>
      </c>
      <c r="T13" s="113">
        <v>0</v>
      </c>
      <c r="U13" s="113">
        <v>0.8</v>
      </c>
      <c r="V13" s="113">
        <v>0</v>
      </c>
      <c r="W13" s="113">
        <v>0</v>
      </c>
      <c r="X13" s="113">
        <v>0</v>
      </c>
      <c r="Y13" s="113">
        <v>0.8</v>
      </c>
      <c r="Z13" s="113">
        <v>0.8</v>
      </c>
      <c r="AA13" s="113">
        <v>0.8</v>
      </c>
      <c r="AB13" s="113">
        <v>0.8</v>
      </c>
      <c r="AC13" s="113">
        <v>0.8</v>
      </c>
      <c r="AD13" s="113">
        <v>0.8</v>
      </c>
      <c r="AE13" s="113">
        <v>0.8</v>
      </c>
      <c r="AF13" s="113">
        <v>0.8</v>
      </c>
      <c r="AG13" s="113">
        <v>0</v>
      </c>
      <c r="AH13" s="113">
        <v>0.8</v>
      </c>
      <c r="AI13" s="113">
        <v>0.8</v>
      </c>
      <c r="AJ13" s="113">
        <v>0.8</v>
      </c>
      <c r="AK13" s="113">
        <v>0.8</v>
      </c>
      <c r="AL13" s="113">
        <v>0.8</v>
      </c>
      <c r="AM13" s="113">
        <v>0</v>
      </c>
      <c r="AN13" s="113">
        <v>0</v>
      </c>
    </row>
    <row r="14" spans="1:40" customFormat="1" x14ac:dyDescent="0.15">
      <c r="A14" s="188" t="s">
        <v>204</v>
      </c>
      <c r="B14" s="113">
        <v>0</v>
      </c>
      <c r="C14" s="113">
        <v>0</v>
      </c>
      <c r="D14" s="113">
        <v>0</v>
      </c>
      <c r="E14" s="113">
        <v>0</v>
      </c>
      <c r="F14" s="113">
        <v>0</v>
      </c>
      <c r="G14" s="113">
        <v>0</v>
      </c>
      <c r="H14" s="113">
        <v>0</v>
      </c>
      <c r="I14" s="113">
        <v>0</v>
      </c>
      <c r="J14" s="113">
        <v>0</v>
      </c>
      <c r="K14" s="113">
        <v>0</v>
      </c>
      <c r="L14" s="113">
        <v>0</v>
      </c>
      <c r="M14" s="113">
        <v>0.8</v>
      </c>
      <c r="N14" s="113">
        <v>0</v>
      </c>
      <c r="O14" s="113">
        <v>0.8</v>
      </c>
      <c r="P14" s="113">
        <v>0.8</v>
      </c>
      <c r="Q14" s="113">
        <v>0.8</v>
      </c>
      <c r="R14" s="113">
        <v>0.8</v>
      </c>
      <c r="S14" s="113">
        <v>0</v>
      </c>
      <c r="T14" s="113">
        <v>0.8</v>
      </c>
      <c r="U14" s="113">
        <v>0</v>
      </c>
      <c r="V14" s="113">
        <v>0</v>
      </c>
      <c r="W14" s="113">
        <v>0</v>
      </c>
      <c r="X14" s="113">
        <v>0.8</v>
      </c>
      <c r="Y14" s="113">
        <v>0</v>
      </c>
      <c r="Z14" s="113">
        <v>0</v>
      </c>
      <c r="AA14" s="113">
        <v>0.8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3">
        <v>0.8</v>
      </c>
      <c r="AH14" s="113">
        <v>0</v>
      </c>
      <c r="AI14" s="113">
        <v>0</v>
      </c>
      <c r="AJ14" s="113">
        <v>0</v>
      </c>
      <c r="AK14" s="113">
        <v>0.8</v>
      </c>
      <c r="AL14" s="113">
        <v>0.8</v>
      </c>
      <c r="AM14" s="113">
        <v>0</v>
      </c>
      <c r="AN14" s="113">
        <v>0</v>
      </c>
    </row>
    <row r="15" spans="1:40" customFormat="1" x14ac:dyDescent="0.15">
      <c r="A15" s="188" t="s">
        <v>205</v>
      </c>
      <c r="B15" s="113">
        <v>0</v>
      </c>
      <c r="C15" s="113">
        <v>0</v>
      </c>
      <c r="D15" s="113">
        <v>0</v>
      </c>
      <c r="E15" s="113">
        <v>0</v>
      </c>
      <c r="F15" s="113">
        <v>0</v>
      </c>
      <c r="G15" s="113">
        <v>0</v>
      </c>
      <c r="H15" s="113">
        <v>0</v>
      </c>
      <c r="I15" s="113">
        <v>0</v>
      </c>
      <c r="J15" s="113">
        <v>0</v>
      </c>
      <c r="K15" s="113">
        <v>0</v>
      </c>
      <c r="L15" s="113">
        <v>0</v>
      </c>
      <c r="M15" s="113">
        <v>0</v>
      </c>
      <c r="N15" s="113">
        <v>0.8</v>
      </c>
      <c r="O15" s="113">
        <v>0.8</v>
      </c>
      <c r="P15" s="113">
        <v>0.8</v>
      </c>
      <c r="Q15" s="113">
        <v>0</v>
      </c>
      <c r="R15" s="113">
        <v>0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0.8</v>
      </c>
      <c r="Y15" s="113">
        <v>0</v>
      </c>
      <c r="Z15" s="113">
        <v>0</v>
      </c>
      <c r="AA15" s="113">
        <v>0.8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0.8</v>
      </c>
      <c r="AH15" s="113">
        <v>0</v>
      </c>
      <c r="AI15" s="113">
        <v>0</v>
      </c>
      <c r="AJ15" s="113">
        <v>0</v>
      </c>
      <c r="AK15" s="113">
        <v>0.8</v>
      </c>
      <c r="AL15" s="113">
        <v>0.8</v>
      </c>
      <c r="AM15" s="113">
        <v>0</v>
      </c>
      <c r="AN15" s="113">
        <v>0</v>
      </c>
    </row>
    <row r="16" spans="1:40" customFormat="1" x14ac:dyDescent="0.15">
      <c r="A16" s="188" t="s">
        <v>206</v>
      </c>
      <c r="B16" s="113">
        <v>0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0.8</v>
      </c>
      <c r="N16" s="113">
        <v>0.8</v>
      </c>
      <c r="O16" s="113">
        <v>0</v>
      </c>
      <c r="P16" s="113">
        <v>0.8</v>
      </c>
      <c r="Q16" s="113">
        <v>0.8</v>
      </c>
      <c r="R16" s="113">
        <v>0.8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0.8</v>
      </c>
      <c r="Y16" s="113">
        <v>0</v>
      </c>
      <c r="Z16" s="113">
        <v>0</v>
      </c>
      <c r="AA16" s="113">
        <v>0.8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0.8</v>
      </c>
      <c r="AH16" s="113">
        <v>0</v>
      </c>
      <c r="AI16" s="113">
        <v>0</v>
      </c>
      <c r="AJ16" s="113">
        <v>0</v>
      </c>
      <c r="AK16" s="113">
        <v>0.8</v>
      </c>
      <c r="AL16" s="113">
        <v>0.8</v>
      </c>
      <c r="AM16" s="113">
        <v>0</v>
      </c>
      <c r="AN16" s="113">
        <v>0</v>
      </c>
    </row>
    <row r="17" spans="1:40" customFormat="1" x14ac:dyDescent="0.15">
      <c r="A17" s="188" t="s">
        <v>207</v>
      </c>
      <c r="B17" s="113">
        <v>0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0.8</v>
      </c>
      <c r="N17" s="113">
        <v>0</v>
      </c>
      <c r="O17" s="113">
        <v>0</v>
      </c>
      <c r="P17" s="113">
        <v>0</v>
      </c>
      <c r="Q17" s="113">
        <v>0.8</v>
      </c>
      <c r="R17" s="113">
        <v>0.8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0.8</v>
      </c>
      <c r="AB17" s="113">
        <v>0</v>
      </c>
      <c r="AC17" s="113">
        <v>0</v>
      </c>
      <c r="AD17" s="113">
        <v>0</v>
      </c>
      <c r="AE17" s="113">
        <v>0</v>
      </c>
      <c r="AF17" s="113">
        <v>0.8</v>
      </c>
      <c r="AG17" s="113">
        <v>0</v>
      </c>
      <c r="AH17" s="113">
        <v>0.8</v>
      </c>
      <c r="AI17" s="113">
        <v>0</v>
      </c>
      <c r="AJ17" s="113">
        <v>0</v>
      </c>
      <c r="AK17" s="113">
        <v>0.8</v>
      </c>
      <c r="AL17" s="113">
        <v>0.8</v>
      </c>
      <c r="AM17" s="113">
        <v>0</v>
      </c>
      <c r="AN17" s="113">
        <v>0</v>
      </c>
    </row>
    <row r="18" spans="1:40" customFormat="1" x14ac:dyDescent="0.15">
      <c r="A18" s="188" t="s">
        <v>208</v>
      </c>
      <c r="B18" s="113">
        <v>0</v>
      </c>
      <c r="C18" s="113">
        <v>0</v>
      </c>
      <c r="D18" s="113">
        <v>0</v>
      </c>
      <c r="E18" s="113">
        <v>0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0.8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0.8</v>
      </c>
      <c r="AG18" s="113">
        <v>0</v>
      </c>
      <c r="AH18" s="113">
        <v>0.8</v>
      </c>
      <c r="AI18" s="113">
        <v>0</v>
      </c>
      <c r="AJ18" s="113">
        <v>0</v>
      </c>
      <c r="AK18" s="113">
        <v>0.8</v>
      </c>
      <c r="AL18" s="113">
        <v>0</v>
      </c>
      <c r="AM18" s="113">
        <v>0</v>
      </c>
      <c r="AN18" s="113">
        <v>0</v>
      </c>
    </row>
    <row r="19" spans="1:40" customFormat="1" x14ac:dyDescent="0.15">
      <c r="A19" s="188" t="s">
        <v>209</v>
      </c>
      <c r="B19" s="113">
        <v>0</v>
      </c>
      <c r="C19" s="113">
        <v>0</v>
      </c>
      <c r="D19" s="113">
        <v>0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0</v>
      </c>
      <c r="K19" s="113">
        <v>0</v>
      </c>
      <c r="L19" s="113">
        <v>0</v>
      </c>
      <c r="M19" s="113">
        <v>0.8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0</v>
      </c>
      <c r="W19" s="113">
        <v>0</v>
      </c>
      <c r="X19" s="113">
        <v>0.8</v>
      </c>
      <c r="Y19" s="113">
        <v>0</v>
      </c>
      <c r="Z19" s="113">
        <v>0</v>
      </c>
      <c r="AA19" s="113">
        <v>0</v>
      </c>
      <c r="AB19" s="113">
        <v>0</v>
      </c>
      <c r="AC19" s="113">
        <v>0.8</v>
      </c>
      <c r="AD19" s="113">
        <v>0</v>
      </c>
      <c r="AE19" s="113">
        <v>0</v>
      </c>
      <c r="AF19" s="113">
        <v>0</v>
      </c>
      <c r="AG19" s="113">
        <v>0</v>
      </c>
      <c r="AH19" s="113">
        <v>0.8</v>
      </c>
      <c r="AI19" s="113">
        <v>0</v>
      </c>
      <c r="AJ19" s="113">
        <v>0</v>
      </c>
      <c r="AK19" s="113">
        <v>0.8</v>
      </c>
      <c r="AL19" s="113">
        <v>0.8</v>
      </c>
      <c r="AM19" s="113">
        <v>0</v>
      </c>
      <c r="AN19" s="113">
        <v>0</v>
      </c>
    </row>
    <row r="20" spans="1:40" customFormat="1" x14ac:dyDescent="0.15">
      <c r="A20" s="188" t="s">
        <v>210</v>
      </c>
      <c r="B20" s="113">
        <v>0</v>
      </c>
      <c r="C20" s="113">
        <v>0</v>
      </c>
      <c r="D20" s="113">
        <v>0</v>
      </c>
      <c r="E20" s="113">
        <v>0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0.8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0.8</v>
      </c>
      <c r="V20" s="113">
        <v>0</v>
      </c>
      <c r="W20" s="113">
        <v>0</v>
      </c>
      <c r="X20" s="113">
        <v>0</v>
      </c>
      <c r="Y20" s="113">
        <v>0.8</v>
      </c>
      <c r="Z20" s="113">
        <v>0.8</v>
      </c>
      <c r="AA20" s="113">
        <v>0.8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0.8</v>
      </c>
      <c r="AH20" s="113">
        <v>0</v>
      </c>
      <c r="AI20" s="113">
        <v>0</v>
      </c>
      <c r="AJ20" s="113">
        <v>0</v>
      </c>
      <c r="AK20" s="113">
        <v>0.8</v>
      </c>
      <c r="AL20" s="113">
        <v>0.8</v>
      </c>
      <c r="AM20" s="113">
        <v>0</v>
      </c>
      <c r="AN20" s="113">
        <v>0</v>
      </c>
    </row>
    <row r="21" spans="1:40" customFormat="1" x14ac:dyDescent="0.15">
      <c r="A21" s="188" t="s">
        <v>211</v>
      </c>
      <c r="B21" s="113">
        <v>0</v>
      </c>
      <c r="C21" s="113">
        <v>0</v>
      </c>
      <c r="D21" s="113">
        <v>0</v>
      </c>
      <c r="E21" s="113">
        <v>0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0.8</v>
      </c>
      <c r="N21" s="113">
        <v>0</v>
      </c>
      <c r="O21" s="113">
        <v>0</v>
      </c>
      <c r="P21" s="113">
        <v>0.8</v>
      </c>
      <c r="Q21" s="113">
        <v>0</v>
      </c>
      <c r="R21" s="113">
        <v>0</v>
      </c>
      <c r="S21" s="113">
        <v>0</v>
      </c>
      <c r="T21" s="113">
        <v>0</v>
      </c>
      <c r="U21" s="113">
        <v>0.8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0.8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0.8</v>
      </c>
      <c r="AH21" s="113">
        <v>0</v>
      </c>
      <c r="AI21" s="113">
        <v>0</v>
      </c>
      <c r="AJ21" s="113">
        <v>0</v>
      </c>
      <c r="AK21" s="113">
        <v>0.8</v>
      </c>
      <c r="AL21" s="113">
        <v>0.8</v>
      </c>
      <c r="AM21" s="113">
        <v>0</v>
      </c>
      <c r="AN21" s="113">
        <v>0</v>
      </c>
    </row>
    <row r="22" spans="1:40" customFormat="1" x14ac:dyDescent="0.15">
      <c r="A22" s="188" t="s">
        <v>212</v>
      </c>
      <c r="B22" s="113">
        <v>0</v>
      </c>
      <c r="C22" s="113">
        <v>0</v>
      </c>
      <c r="D22" s="113">
        <v>0</v>
      </c>
      <c r="E22" s="113">
        <v>0</v>
      </c>
      <c r="F22" s="113">
        <v>0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0.8</v>
      </c>
      <c r="P22" s="113">
        <v>0.8</v>
      </c>
      <c r="Q22" s="113">
        <v>0.8</v>
      </c>
      <c r="R22" s="113">
        <v>0.8</v>
      </c>
      <c r="S22" s="113">
        <v>0</v>
      </c>
      <c r="T22" s="113">
        <v>0</v>
      </c>
      <c r="U22" s="113">
        <v>0</v>
      </c>
      <c r="V22" s="113">
        <v>0</v>
      </c>
      <c r="W22" s="113">
        <v>0.8</v>
      </c>
      <c r="X22" s="113">
        <v>0.8</v>
      </c>
      <c r="Y22" s="113">
        <v>0</v>
      </c>
      <c r="Z22" s="113">
        <v>0</v>
      </c>
      <c r="AA22" s="113">
        <v>0.8</v>
      </c>
      <c r="AB22" s="113">
        <v>0</v>
      </c>
      <c r="AC22" s="113">
        <v>0</v>
      </c>
      <c r="AD22" s="113">
        <v>0</v>
      </c>
      <c r="AE22" s="113">
        <v>0</v>
      </c>
      <c r="AF22" s="113">
        <v>0.8</v>
      </c>
      <c r="AG22" s="113">
        <v>0.8</v>
      </c>
      <c r="AH22" s="113">
        <v>0.8</v>
      </c>
      <c r="AI22" s="113">
        <v>0.8</v>
      </c>
      <c r="AJ22" s="113">
        <v>0.8</v>
      </c>
      <c r="AK22" s="113">
        <v>0.8</v>
      </c>
      <c r="AL22" s="113">
        <v>0.8</v>
      </c>
      <c r="AM22" s="113">
        <v>0</v>
      </c>
      <c r="AN22" s="113">
        <v>0</v>
      </c>
    </row>
    <row r="23" spans="1:40" customFormat="1" x14ac:dyDescent="0.15">
      <c r="A23" s="188" t="s">
        <v>213</v>
      </c>
      <c r="B23" s="113">
        <v>0</v>
      </c>
      <c r="C23" s="113">
        <v>0</v>
      </c>
      <c r="D23" s="113">
        <v>0</v>
      </c>
      <c r="E23" s="113">
        <v>0</v>
      </c>
      <c r="F23" s="113">
        <v>0</v>
      </c>
      <c r="G23" s="113">
        <v>0</v>
      </c>
      <c r="H23" s="113">
        <v>0</v>
      </c>
      <c r="I23" s="113">
        <v>0</v>
      </c>
      <c r="J23" s="113">
        <v>0</v>
      </c>
      <c r="K23" s="113">
        <v>0</v>
      </c>
      <c r="L23" s="113">
        <v>0</v>
      </c>
      <c r="M23" s="113">
        <v>0</v>
      </c>
      <c r="N23" s="113">
        <v>0</v>
      </c>
      <c r="O23" s="113">
        <v>0.8</v>
      </c>
      <c r="P23" s="113">
        <v>0.8</v>
      </c>
      <c r="Q23" s="113">
        <v>0.8</v>
      </c>
      <c r="R23" s="113">
        <v>0</v>
      </c>
      <c r="S23" s="113">
        <v>0</v>
      </c>
      <c r="T23" s="113">
        <v>0</v>
      </c>
      <c r="U23" s="113">
        <v>0</v>
      </c>
      <c r="V23" s="113">
        <v>0.8</v>
      </c>
      <c r="W23" s="113">
        <v>0</v>
      </c>
      <c r="X23" s="113">
        <v>0</v>
      </c>
      <c r="Y23" s="113">
        <v>0.8</v>
      </c>
      <c r="Z23" s="113">
        <v>0.8</v>
      </c>
      <c r="AA23" s="113">
        <v>0.8</v>
      </c>
      <c r="AB23" s="113">
        <v>0</v>
      </c>
      <c r="AC23" s="113">
        <v>0</v>
      </c>
      <c r="AD23" s="113">
        <v>0</v>
      </c>
      <c r="AE23" s="113">
        <v>0</v>
      </c>
      <c r="AF23" s="113">
        <v>0.8</v>
      </c>
      <c r="AG23" s="113">
        <v>0.8</v>
      </c>
      <c r="AH23" s="113">
        <v>0.8</v>
      </c>
      <c r="AI23" s="113">
        <v>0</v>
      </c>
      <c r="AJ23" s="113">
        <v>0.8</v>
      </c>
      <c r="AK23" s="113">
        <v>0.8</v>
      </c>
      <c r="AL23" s="113">
        <v>0.8</v>
      </c>
      <c r="AM23" s="113">
        <v>0</v>
      </c>
      <c r="AN23" s="113">
        <v>0</v>
      </c>
    </row>
    <row r="24" spans="1:40" customFormat="1" x14ac:dyDescent="0.15">
      <c r="A24" s="188" t="s">
        <v>214</v>
      </c>
      <c r="B24" s="113">
        <v>0</v>
      </c>
      <c r="C24" s="113">
        <v>0</v>
      </c>
      <c r="D24" s="113">
        <v>0</v>
      </c>
      <c r="E24" s="113">
        <v>0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0</v>
      </c>
      <c r="AA24" s="113">
        <v>0.8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0.8</v>
      </c>
      <c r="AH24" s="113">
        <v>0.8</v>
      </c>
      <c r="AI24" s="113">
        <v>0</v>
      </c>
      <c r="AJ24" s="113">
        <v>0.8</v>
      </c>
      <c r="AK24" s="113">
        <v>0.8</v>
      </c>
      <c r="AL24" s="113">
        <v>0</v>
      </c>
      <c r="AM24" s="113">
        <v>0</v>
      </c>
      <c r="AN24" s="113">
        <v>0</v>
      </c>
    </row>
    <row r="25" spans="1:40" customFormat="1" x14ac:dyDescent="0.15">
      <c r="A25" s="188" t="s">
        <v>215</v>
      </c>
      <c r="B25" s="113">
        <v>0</v>
      </c>
      <c r="C25" s="113">
        <v>0</v>
      </c>
      <c r="D25" s="113">
        <v>0</v>
      </c>
      <c r="E25" s="113">
        <v>0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0.8</v>
      </c>
      <c r="N25" s="113">
        <v>0.8</v>
      </c>
      <c r="O25" s="113">
        <v>0.8</v>
      </c>
      <c r="P25" s="113">
        <v>0.8</v>
      </c>
      <c r="Q25" s="113">
        <v>0.8</v>
      </c>
      <c r="R25" s="113">
        <v>0.8</v>
      </c>
      <c r="S25" s="113">
        <v>0</v>
      </c>
      <c r="T25" s="113">
        <v>0.8</v>
      </c>
      <c r="U25" s="113">
        <v>0.8</v>
      </c>
      <c r="V25" s="113">
        <v>0.8</v>
      </c>
      <c r="W25" s="113">
        <v>0.8</v>
      </c>
      <c r="X25" s="113">
        <v>0.8</v>
      </c>
      <c r="Y25" s="113">
        <v>0.8</v>
      </c>
      <c r="Z25" s="113">
        <v>0.8</v>
      </c>
      <c r="AA25" s="113">
        <v>0.8</v>
      </c>
      <c r="AB25" s="113">
        <v>0</v>
      </c>
      <c r="AC25" s="113">
        <v>0.8</v>
      </c>
      <c r="AD25" s="113">
        <v>0</v>
      </c>
      <c r="AE25" s="113">
        <v>0</v>
      </c>
      <c r="AF25" s="113">
        <v>0</v>
      </c>
      <c r="AG25" s="113">
        <v>0.8</v>
      </c>
      <c r="AH25" s="113">
        <v>0</v>
      </c>
      <c r="AI25" s="113">
        <v>0</v>
      </c>
      <c r="AJ25" s="113">
        <v>0.8</v>
      </c>
      <c r="AK25" s="113">
        <v>0.8</v>
      </c>
      <c r="AL25" s="113">
        <v>0.8</v>
      </c>
      <c r="AM25" s="113">
        <v>0</v>
      </c>
      <c r="AN25" s="113">
        <v>0</v>
      </c>
    </row>
    <row r="26" spans="1:40" customFormat="1" x14ac:dyDescent="0.15">
      <c r="A26" s="188" t="s">
        <v>216</v>
      </c>
      <c r="B26" s="113">
        <v>0</v>
      </c>
      <c r="C26" s="113">
        <v>0</v>
      </c>
      <c r="D26" s="113">
        <v>0</v>
      </c>
      <c r="E26" s="113">
        <v>0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0</v>
      </c>
      <c r="M26" s="113">
        <v>0</v>
      </c>
      <c r="N26" s="113">
        <v>0</v>
      </c>
      <c r="O26" s="113">
        <v>0.8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0.8</v>
      </c>
      <c r="V26" s="113">
        <v>0</v>
      </c>
      <c r="W26" s="113">
        <v>0</v>
      </c>
      <c r="X26" s="113">
        <v>0.8</v>
      </c>
      <c r="Y26" s="113">
        <v>0.8</v>
      </c>
      <c r="Z26" s="113">
        <v>0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0.8</v>
      </c>
      <c r="AH26" s="113">
        <v>0</v>
      </c>
      <c r="AI26" s="113">
        <v>0</v>
      </c>
      <c r="AJ26" s="113">
        <v>0.8</v>
      </c>
      <c r="AK26" s="113">
        <v>0.8</v>
      </c>
      <c r="AL26" s="113">
        <v>0.8</v>
      </c>
      <c r="AM26" s="113">
        <v>0</v>
      </c>
      <c r="AN26" s="113">
        <v>0</v>
      </c>
    </row>
    <row r="27" spans="1:40" customFormat="1" x14ac:dyDescent="0.15">
      <c r="A27" s="188" t="s">
        <v>217</v>
      </c>
      <c r="B27" s="113">
        <v>0</v>
      </c>
      <c r="C27" s="113">
        <v>0</v>
      </c>
      <c r="D27" s="113">
        <v>0</v>
      </c>
      <c r="E27" s="113">
        <v>0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0.8</v>
      </c>
      <c r="V27" s="113">
        <v>0</v>
      </c>
      <c r="W27" s="113">
        <v>0</v>
      </c>
      <c r="X27" s="113">
        <v>0.8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113">
        <v>0</v>
      </c>
      <c r="AE27" s="113">
        <v>0</v>
      </c>
      <c r="AF27" s="113">
        <v>0</v>
      </c>
      <c r="AG27" s="113">
        <v>0.8</v>
      </c>
      <c r="AH27" s="113">
        <v>0</v>
      </c>
      <c r="AI27" s="113">
        <v>0</v>
      </c>
      <c r="AJ27" s="113">
        <v>0.8</v>
      </c>
      <c r="AK27" s="113">
        <v>0.8</v>
      </c>
      <c r="AL27" s="113">
        <v>0.8</v>
      </c>
      <c r="AM27" s="113">
        <v>0</v>
      </c>
      <c r="AN27" s="113">
        <v>0</v>
      </c>
    </row>
    <row r="28" spans="1:40" customFormat="1" x14ac:dyDescent="0.15">
      <c r="A28" s="188" t="s">
        <v>218</v>
      </c>
      <c r="B28" s="113">
        <v>0</v>
      </c>
      <c r="C28" s="113">
        <v>0</v>
      </c>
      <c r="D28" s="113">
        <v>0</v>
      </c>
      <c r="E28" s="113">
        <v>0</v>
      </c>
      <c r="F28" s="113">
        <v>0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0.8</v>
      </c>
      <c r="N28" s="113">
        <v>0.8</v>
      </c>
      <c r="O28" s="113">
        <v>0</v>
      </c>
      <c r="P28" s="113">
        <v>0</v>
      </c>
      <c r="Q28" s="113">
        <v>0.8</v>
      </c>
      <c r="R28" s="113">
        <v>0.8</v>
      </c>
      <c r="S28" s="113">
        <v>0.8</v>
      </c>
      <c r="T28" s="113">
        <v>0</v>
      </c>
      <c r="U28" s="113">
        <v>0</v>
      </c>
      <c r="V28" s="113">
        <v>0.8</v>
      </c>
      <c r="W28" s="113">
        <v>0</v>
      </c>
      <c r="X28" s="113">
        <v>0.8</v>
      </c>
      <c r="Y28" s="113">
        <v>0.8</v>
      </c>
      <c r="Z28" s="113">
        <v>0</v>
      </c>
      <c r="AA28" s="113">
        <v>0.8</v>
      </c>
      <c r="AB28" s="113">
        <v>0.8</v>
      </c>
      <c r="AC28" s="113">
        <v>0.8</v>
      </c>
      <c r="AD28" s="113">
        <v>0.8</v>
      </c>
      <c r="AE28" s="113">
        <v>0.8</v>
      </c>
      <c r="AF28" s="113">
        <v>0.8</v>
      </c>
      <c r="AG28" s="113">
        <v>0.8</v>
      </c>
      <c r="AH28" s="113">
        <v>0.8</v>
      </c>
      <c r="AI28" s="113">
        <v>0.8</v>
      </c>
      <c r="AJ28" s="113">
        <v>0</v>
      </c>
      <c r="AK28" s="113">
        <v>0.8</v>
      </c>
      <c r="AL28" s="113">
        <v>0.8</v>
      </c>
      <c r="AM28" s="113">
        <v>0</v>
      </c>
      <c r="AN28" s="113">
        <v>0</v>
      </c>
    </row>
    <row r="29" spans="1:40" customFormat="1" x14ac:dyDescent="0.15">
      <c r="A29" s="188" t="s">
        <v>219</v>
      </c>
      <c r="B29" s="113">
        <v>0</v>
      </c>
      <c r="C29" s="113">
        <v>0</v>
      </c>
      <c r="D29" s="113">
        <v>0</v>
      </c>
      <c r="E29" s="113">
        <v>0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0.8</v>
      </c>
      <c r="N29" s="113">
        <v>0.8</v>
      </c>
      <c r="O29" s="113">
        <v>0</v>
      </c>
      <c r="P29" s="113">
        <v>0</v>
      </c>
      <c r="Q29" s="113">
        <v>0.8</v>
      </c>
      <c r="R29" s="113">
        <v>0.8</v>
      </c>
      <c r="S29" s="113">
        <v>0.8</v>
      </c>
      <c r="T29" s="113">
        <v>0</v>
      </c>
      <c r="U29" s="113">
        <v>0</v>
      </c>
      <c r="V29" s="113">
        <v>0.8</v>
      </c>
      <c r="W29" s="113">
        <v>0</v>
      </c>
      <c r="X29" s="113">
        <v>0.8</v>
      </c>
      <c r="Y29" s="113">
        <v>0.8</v>
      </c>
      <c r="Z29" s="113">
        <v>0</v>
      </c>
      <c r="AA29" s="113">
        <v>0.8</v>
      </c>
      <c r="AB29" s="113">
        <v>0.8</v>
      </c>
      <c r="AC29" s="113">
        <v>0.8</v>
      </c>
      <c r="AD29" s="113">
        <v>0.8</v>
      </c>
      <c r="AE29" s="113">
        <v>0.8</v>
      </c>
      <c r="AF29" s="113">
        <v>0.8</v>
      </c>
      <c r="AG29" s="113">
        <v>0.8</v>
      </c>
      <c r="AH29" s="113">
        <v>0.8</v>
      </c>
      <c r="AI29" s="113">
        <v>0.8</v>
      </c>
      <c r="AJ29" s="113">
        <v>0</v>
      </c>
      <c r="AK29" s="113">
        <v>0.8</v>
      </c>
      <c r="AL29" s="113">
        <v>0</v>
      </c>
      <c r="AM29" s="113">
        <v>0</v>
      </c>
      <c r="AN29" s="113">
        <v>0</v>
      </c>
    </row>
    <row r="30" spans="1:40" customFormat="1" x14ac:dyDescent="0.15">
      <c r="A30" s="188" t="s">
        <v>220</v>
      </c>
      <c r="B30" s="113">
        <v>0</v>
      </c>
      <c r="C30" s="113">
        <v>0</v>
      </c>
      <c r="D30" s="113">
        <v>0</v>
      </c>
      <c r="E30" s="113">
        <v>0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0.8</v>
      </c>
      <c r="N30" s="113">
        <v>0</v>
      </c>
      <c r="O30" s="113">
        <v>0</v>
      </c>
      <c r="P30" s="113">
        <v>0.8</v>
      </c>
      <c r="Q30" s="113">
        <v>0</v>
      </c>
      <c r="R30" s="113">
        <v>0.8</v>
      </c>
      <c r="S30" s="113">
        <v>0.8</v>
      </c>
      <c r="T30" s="113">
        <v>0</v>
      </c>
      <c r="U30" s="113">
        <v>0</v>
      </c>
      <c r="V30" s="113">
        <v>0.8</v>
      </c>
      <c r="W30" s="113">
        <v>0</v>
      </c>
      <c r="X30" s="113">
        <v>0.8</v>
      </c>
      <c r="Y30" s="113">
        <v>0</v>
      </c>
      <c r="Z30" s="113">
        <v>0.8</v>
      </c>
      <c r="AA30" s="113">
        <v>0.8</v>
      </c>
      <c r="AB30" s="113">
        <v>0.8</v>
      </c>
      <c r="AC30" s="113">
        <v>0.8</v>
      </c>
      <c r="AD30" s="113">
        <v>0.8</v>
      </c>
      <c r="AE30" s="113">
        <v>0.8</v>
      </c>
      <c r="AF30" s="113">
        <v>0.8</v>
      </c>
      <c r="AG30" s="113">
        <v>0</v>
      </c>
      <c r="AH30" s="113">
        <v>0.8</v>
      </c>
      <c r="AI30" s="113">
        <v>0.8</v>
      </c>
      <c r="AJ30" s="113">
        <v>0</v>
      </c>
      <c r="AK30" s="113">
        <v>0.8</v>
      </c>
      <c r="AL30" s="113">
        <v>0.8</v>
      </c>
      <c r="AM30" s="113">
        <v>0</v>
      </c>
      <c r="AN30" s="113">
        <v>0</v>
      </c>
    </row>
    <row r="31" spans="1:40" customFormat="1" x14ac:dyDescent="0.15">
      <c r="A31" s="188" t="s">
        <v>221</v>
      </c>
      <c r="B31" s="113">
        <v>0</v>
      </c>
      <c r="C31" s="113">
        <v>0</v>
      </c>
      <c r="D31" s="113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13">
        <v>0</v>
      </c>
      <c r="L31" s="113">
        <v>0</v>
      </c>
      <c r="M31" s="113">
        <v>0.8</v>
      </c>
      <c r="N31" s="113">
        <v>0</v>
      </c>
      <c r="O31" s="113">
        <v>0</v>
      </c>
      <c r="P31" s="113">
        <v>0</v>
      </c>
      <c r="Q31" s="113">
        <v>0</v>
      </c>
      <c r="R31" s="113">
        <v>0</v>
      </c>
      <c r="S31" s="113">
        <v>0</v>
      </c>
      <c r="T31" s="113">
        <v>0</v>
      </c>
      <c r="U31" s="113">
        <v>0</v>
      </c>
      <c r="V31" s="113">
        <v>0</v>
      </c>
      <c r="W31" s="113">
        <v>0</v>
      </c>
      <c r="X31" s="113">
        <v>0</v>
      </c>
      <c r="Y31" s="113">
        <v>0</v>
      </c>
      <c r="Z31" s="113">
        <v>0</v>
      </c>
      <c r="AA31" s="113">
        <v>0</v>
      </c>
      <c r="AB31" s="113">
        <v>0</v>
      </c>
      <c r="AC31" s="113">
        <v>0</v>
      </c>
      <c r="AD31" s="113">
        <v>0.8</v>
      </c>
      <c r="AE31" s="113">
        <v>0.8</v>
      </c>
      <c r="AF31" s="113">
        <v>0.8</v>
      </c>
      <c r="AG31" s="113">
        <v>0</v>
      </c>
      <c r="AH31" s="113">
        <v>0.8</v>
      </c>
      <c r="AI31" s="113">
        <v>0.8</v>
      </c>
      <c r="AJ31" s="113">
        <v>0.8</v>
      </c>
      <c r="AK31" s="113">
        <v>0.8</v>
      </c>
      <c r="AL31" s="113">
        <v>0.8</v>
      </c>
      <c r="AM31" s="113">
        <v>0</v>
      </c>
      <c r="AN31" s="113">
        <v>0</v>
      </c>
    </row>
    <row r="32" spans="1:40" customFormat="1" x14ac:dyDescent="0.15">
      <c r="A32" s="188" t="s">
        <v>222</v>
      </c>
      <c r="B32" s="113">
        <v>0</v>
      </c>
      <c r="C32" s="113">
        <v>0</v>
      </c>
      <c r="D32" s="113">
        <v>0</v>
      </c>
      <c r="E32" s="113">
        <v>0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0</v>
      </c>
      <c r="O32" s="113">
        <v>0</v>
      </c>
      <c r="P32" s="113">
        <v>0</v>
      </c>
      <c r="Q32" s="113">
        <v>0</v>
      </c>
      <c r="R32" s="113">
        <v>0</v>
      </c>
      <c r="S32" s="113">
        <v>0</v>
      </c>
      <c r="T32" s="113">
        <v>0</v>
      </c>
      <c r="U32" s="113">
        <v>0</v>
      </c>
      <c r="V32" s="113">
        <v>0</v>
      </c>
      <c r="W32" s="113">
        <v>0</v>
      </c>
      <c r="X32" s="113">
        <v>0</v>
      </c>
      <c r="Y32" s="113">
        <v>0</v>
      </c>
      <c r="Z32" s="113">
        <v>0</v>
      </c>
      <c r="AA32" s="113">
        <v>0</v>
      </c>
      <c r="AB32" s="113">
        <v>0</v>
      </c>
      <c r="AC32" s="113">
        <v>0</v>
      </c>
      <c r="AD32" s="113">
        <v>0</v>
      </c>
      <c r="AE32" s="113">
        <v>0</v>
      </c>
      <c r="AF32" s="113">
        <v>0</v>
      </c>
      <c r="AG32" s="113">
        <v>0</v>
      </c>
      <c r="AH32" s="113">
        <v>0.8</v>
      </c>
      <c r="AI32" s="113">
        <v>0</v>
      </c>
      <c r="AJ32" s="113">
        <v>0.8</v>
      </c>
      <c r="AK32" s="113">
        <v>0.8</v>
      </c>
      <c r="AL32" s="113">
        <v>0</v>
      </c>
      <c r="AM32" s="113">
        <v>0</v>
      </c>
      <c r="AN32" s="113">
        <v>0</v>
      </c>
    </row>
    <row r="33" spans="1:40" x14ac:dyDescent="0.15">
      <c r="A33" s="188" t="s">
        <v>223</v>
      </c>
      <c r="B33" s="113">
        <v>0</v>
      </c>
      <c r="C33" s="113">
        <v>0</v>
      </c>
      <c r="D33" s="113">
        <v>0</v>
      </c>
      <c r="E33" s="113">
        <v>0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0</v>
      </c>
      <c r="S33" s="113">
        <v>0</v>
      </c>
      <c r="T33" s="113">
        <v>0</v>
      </c>
      <c r="U33" s="113">
        <v>0</v>
      </c>
      <c r="V33" s="113">
        <v>0</v>
      </c>
      <c r="W33" s="113">
        <v>0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0.8</v>
      </c>
      <c r="AH33" s="113">
        <v>0.8</v>
      </c>
      <c r="AI33" s="113">
        <v>0</v>
      </c>
      <c r="AJ33" s="113">
        <v>0</v>
      </c>
      <c r="AK33" s="113">
        <v>0</v>
      </c>
      <c r="AL33" s="113">
        <v>0</v>
      </c>
      <c r="AM33" s="113">
        <v>0</v>
      </c>
      <c r="AN33" s="113">
        <v>0</v>
      </c>
    </row>
    <row r="34" spans="1:40" x14ac:dyDescent="0.15">
      <c r="A34" s="188" t="s">
        <v>224</v>
      </c>
      <c r="B34" s="113">
        <v>0</v>
      </c>
      <c r="C34" s="113">
        <v>0</v>
      </c>
      <c r="D34" s="113">
        <v>0</v>
      </c>
      <c r="E34" s="113">
        <v>0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0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0</v>
      </c>
      <c r="Y34" s="113">
        <v>0</v>
      </c>
      <c r="Z34" s="113">
        <v>0</v>
      </c>
      <c r="AA34" s="113">
        <v>0</v>
      </c>
      <c r="AB34" s="113">
        <v>0</v>
      </c>
      <c r="AC34" s="113">
        <v>0</v>
      </c>
      <c r="AD34" s="113">
        <v>0</v>
      </c>
      <c r="AE34" s="113">
        <v>0</v>
      </c>
      <c r="AF34" s="113">
        <v>0</v>
      </c>
      <c r="AG34" s="113">
        <v>0</v>
      </c>
      <c r="AH34" s="113">
        <v>0.8</v>
      </c>
      <c r="AI34" s="113">
        <v>0</v>
      </c>
      <c r="AJ34" s="113">
        <v>0</v>
      </c>
      <c r="AK34" s="113">
        <v>0</v>
      </c>
      <c r="AL34" s="113">
        <v>0</v>
      </c>
      <c r="AM34" s="113">
        <v>0</v>
      </c>
      <c r="AN34" s="113">
        <v>0</v>
      </c>
    </row>
    <row r="35" spans="1:40" x14ac:dyDescent="0.15">
      <c r="A35" s="188" t="s">
        <v>225</v>
      </c>
      <c r="B35" s="113">
        <v>0</v>
      </c>
      <c r="C35" s="113">
        <v>0</v>
      </c>
      <c r="D35" s="113">
        <v>0</v>
      </c>
      <c r="E35" s="113">
        <v>0</v>
      </c>
      <c r="F35" s="113">
        <v>0</v>
      </c>
      <c r="G35" s="113">
        <v>0</v>
      </c>
      <c r="H35" s="113">
        <v>0</v>
      </c>
      <c r="I35" s="113">
        <v>0</v>
      </c>
      <c r="J35" s="113">
        <v>0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0</v>
      </c>
      <c r="S35" s="113">
        <v>0</v>
      </c>
      <c r="T35" s="113">
        <v>0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0.8</v>
      </c>
      <c r="AI35" s="113">
        <v>0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</row>
    <row r="36" spans="1:40" x14ac:dyDescent="0.15">
      <c r="A36" s="188" t="s">
        <v>226</v>
      </c>
      <c r="B36" s="113">
        <v>0</v>
      </c>
      <c r="C36" s="113">
        <v>0</v>
      </c>
      <c r="D36" s="113">
        <v>0</v>
      </c>
      <c r="E36" s="113">
        <v>0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0.8</v>
      </c>
      <c r="AI36" s="113">
        <v>0</v>
      </c>
      <c r="AJ36" s="113">
        <v>0</v>
      </c>
      <c r="AK36" s="113">
        <v>0</v>
      </c>
      <c r="AL36" s="113">
        <v>0</v>
      </c>
      <c r="AM36" s="113">
        <v>0</v>
      </c>
      <c r="AN36" s="113">
        <v>0</v>
      </c>
    </row>
    <row r="37" spans="1:40" x14ac:dyDescent="0.15">
      <c r="A37" s="188" t="s">
        <v>227</v>
      </c>
      <c r="B37" s="113">
        <v>0</v>
      </c>
      <c r="C37" s="113">
        <v>0</v>
      </c>
      <c r="D37" s="113">
        <v>0</v>
      </c>
      <c r="E37" s="113">
        <v>0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113">
        <v>0</v>
      </c>
      <c r="AE37" s="113">
        <v>0</v>
      </c>
      <c r="AF37" s="113">
        <v>0</v>
      </c>
      <c r="AG37" s="113">
        <v>0</v>
      </c>
      <c r="AH37" s="113">
        <v>0.8</v>
      </c>
      <c r="AI37" s="113">
        <v>0</v>
      </c>
      <c r="AJ37" s="113">
        <v>0</v>
      </c>
      <c r="AK37" s="113">
        <v>0</v>
      </c>
      <c r="AL37" s="113">
        <v>0</v>
      </c>
      <c r="AM37" s="113">
        <v>0</v>
      </c>
      <c r="AN37" s="113">
        <v>0</v>
      </c>
    </row>
    <row r="38" spans="1:40" x14ac:dyDescent="0.15">
      <c r="A38" s="188" t="s">
        <v>228</v>
      </c>
      <c r="B38" s="113">
        <v>0</v>
      </c>
      <c r="C38" s="113">
        <v>0</v>
      </c>
      <c r="D38" s="113">
        <v>0</v>
      </c>
      <c r="E38" s="113">
        <v>0</v>
      </c>
      <c r="F38" s="113">
        <v>0</v>
      </c>
      <c r="G38" s="113">
        <v>0</v>
      </c>
      <c r="H38" s="113">
        <v>0</v>
      </c>
      <c r="I38" s="113">
        <v>0</v>
      </c>
      <c r="J38" s="113">
        <v>0</v>
      </c>
      <c r="K38" s="113">
        <v>0</v>
      </c>
      <c r="L38" s="113">
        <v>0</v>
      </c>
      <c r="M38" s="113">
        <v>0</v>
      </c>
      <c r="N38" s="113">
        <v>0</v>
      </c>
      <c r="O38" s="113">
        <v>0</v>
      </c>
      <c r="P38" s="113">
        <v>0</v>
      </c>
      <c r="Q38" s="113">
        <v>0</v>
      </c>
      <c r="R38" s="113">
        <v>0</v>
      </c>
      <c r="S38" s="113">
        <v>0</v>
      </c>
      <c r="T38" s="113">
        <v>0</v>
      </c>
      <c r="U38" s="113">
        <v>0</v>
      </c>
      <c r="V38" s="113">
        <v>0</v>
      </c>
      <c r="W38" s="113">
        <v>0</v>
      </c>
      <c r="X38" s="113">
        <v>0</v>
      </c>
      <c r="Y38" s="113">
        <v>0</v>
      </c>
      <c r="Z38" s="113">
        <v>0</v>
      </c>
      <c r="AA38" s="113">
        <v>0</v>
      </c>
      <c r="AB38" s="113">
        <v>0</v>
      </c>
      <c r="AC38" s="113">
        <v>0</v>
      </c>
      <c r="AD38" s="113">
        <v>0</v>
      </c>
      <c r="AE38" s="113">
        <v>0</v>
      </c>
      <c r="AF38" s="113">
        <v>0</v>
      </c>
      <c r="AG38" s="113">
        <v>0</v>
      </c>
      <c r="AH38" s="113">
        <v>0.8</v>
      </c>
      <c r="AI38" s="113">
        <v>0</v>
      </c>
      <c r="AJ38" s="113">
        <v>0</v>
      </c>
      <c r="AK38" s="113">
        <v>0</v>
      </c>
      <c r="AL38" s="113">
        <v>0</v>
      </c>
      <c r="AM38" s="113">
        <v>0</v>
      </c>
      <c r="AN38" s="113">
        <v>0</v>
      </c>
    </row>
    <row r="39" spans="1:40" x14ac:dyDescent="0.15">
      <c r="A39" s="188" t="s">
        <v>229</v>
      </c>
      <c r="B39" s="113">
        <v>0</v>
      </c>
      <c r="C39" s="113">
        <v>0</v>
      </c>
      <c r="D39" s="113">
        <v>0.8</v>
      </c>
      <c r="E39" s="113">
        <v>0</v>
      </c>
      <c r="F39" s="113">
        <v>0.8</v>
      </c>
      <c r="G39" s="113">
        <v>0.8</v>
      </c>
      <c r="H39" s="113">
        <v>0.8</v>
      </c>
      <c r="I39" s="113">
        <v>0.8</v>
      </c>
      <c r="J39" s="113">
        <v>0.8</v>
      </c>
      <c r="K39" s="113">
        <v>0.8</v>
      </c>
      <c r="L39" s="113">
        <v>0.8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0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0.8</v>
      </c>
      <c r="Z39" s="113">
        <v>0.8</v>
      </c>
      <c r="AA39" s="113">
        <v>0</v>
      </c>
      <c r="AB39" s="113">
        <v>0.8</v>
      </c>
      <c r="AC39" s="113">
        <v>0</v>
      </c>
      <c r="AD39" s="113">
        <v>0.8</v>
      </c>
      <c r="AE39" s="113">
        <v>0.8</v>
      </c>
      <c r="AF39" s="113">
        <v>0.8</v>
      </c>
      <c r="AG39" s="113">
        <v>0</v>
      </c>
      <c r="AH39" s="113">
        <v>0</v>
      </c>
      <c r="AI39" s="113">
        <v>0.8</v>
      </c>
      <c r="AJ39" s="113">
        <v>0</v>
      </c>
      <c r="AK39" s="113">
        <v>0</v>
      </c>
      <c r="AL39" s="113">
        <v>0</v>
      </c>
      <c r="AM39" s="113">
        <v>0</v>
      </c>
      <c r="AN39" s="113">
        <v>0</v>
      </c>
    </row>
    <row r="40" spans="1:40" x14ac:dyDescent="0.15">
      <c r="A40" s="188" t="s">
        <v>230</v>
      </c>
      <c r="B40" s="113">
        <v>0</v>
      </c>
      <c r="C40" s="113">
        <v>0</v>
      </c>
      <c r="D40" s="113">
        <v>0</v>
      </c>
      <c r="E40" s="113">
        <v>0</v>
      </c>
      <c r="F40" s="113">
        <v>0</v>
      </c>
      <c r="G40" s="113">
        <v>0</v>
      </c>
      <c r="H40" s="113">
        <v>0</v>
      </c>
      <c r="I40" s="113">
        <v>0</v>
      </c>
      <c r="J40" s="113">
        <v>0</v>
      </c>
      <c r="K40" s="113">
        <v>0</v>
      </c>
      <c r="L40" s="113">
        <v>0</v>
      </c>
      <c r="M40" s="113">
        <v>0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113">
        <v>0</v>
      </c>
      <c r="AE40" s="113">
        <v>0</v>
      </c>
      <c r="AF40" s="113">
        <v>0</v>
      </c>
      <c r="AG40" s="113">
        <v>0</v>
      </c>
      <c r="AH40" s="113">
        <v>0</v>
      </c>
      <c r="AI40" s="113">
        <v>0</v>
      </c>
      <c r="AJ40" s="113">
        <v>0</v>
      </c>
      <c r="AK40" s="113">
        <v>0</v>
      </c>
      <c r="AL40" s="113">
        <v>0</v>
      </c>
      <c r="AM40" s="113">
        <v>0</v>
      </c>
      <c r="AN40" s="113">
        <v>0</v>
      </c>
    </row>
    <row r="41" spans="1:40" x14ac:dyDescent="0.15">
      <c r="A41" s="188" t="s">
        <v>232</v>
      </c>
      <c r="B41" s="113">
        <v>0</v>
      </c>
      <c r="C41" s="113">
        <v>0</v>
      </c>
      <c r="D41" s="113">
        <v>0</v>
      </c>
      <c r="E41" s="113">
        <v>0</v>
      </c>
      <c r="F41" s="113">
        <v>0</v>
      </c>
      <c r="G41" s="113">
        <v>0</v>
      </c>
      <c r="H41" s="113">
        <v>0</v>
      </c>
      <c r="I41" s="113">
        <v>0</v>
      </c>
      <c r="J41" s="113">
        <v>0</v>
      </c>
      <c r="K41" s="113">
        <v>0</v>
      </c>
      <c r="L41" s="113">
        <v>0</v>
      </c>
      <c r="M41" s="113">
        <v>0</v>
      </c>
      <c r="N41" s="113">
        <v>0</v>
      </c>
      <c r="O41" s="113">
        <v>0</v>
      </c>
      <c r="P41" s="113">
        <v>0</v>
      </c>
      <c r="Q41" s="113">
        <v>0</v>
      </c>
      <c r="R41" s="113">
        <v>0</v>
      </c>
      <c r="S41" s="113">
        <v>0</v>
      </c>
      <c r="T41" s="113">
        <v>0</v>
      </c>
      <c r="U41" s="113">
        <v>0</v>
      </c>
      <c r="V41" s="113">
        <v>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113">
        <v>0</v>
      </c>
      <c r="AE41" s="113">
        <v>0</v>
      </c>
      <c r="AF41" s="113">
        <v>0</v>
      </c>
      <c r="AG41" s="113">
        <v>0</v>
      </c>
      <c r="AH41" s="113">
        <v>0</v>
      </c>
      <c r="AI41" s="113">
        <v>0</v>
      </c>
      <c r="AJ41" s="113">
        <v>0</v>
      </c>
      <c r="AK41" s="113">
        <v>0</v>
      </c>
      <c r="AL41" s="113">
        <v>0</v>
      </c>
      <c r="AM41" s="113">
        <v>0</v>
      </c>
      <c r="AN41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7.5" style="113" bestFit="1" customWidth="1"/>
    <col min="2" max="40" width="2.33203125" style="113" customWidth="1"/>
    <col min="41" max="16384" width="10.83203125" style="113"/>
  </cols>
  <sheetData>
    <row r="1" spans="1:40" x14ac:dyDescent="0.15">
      <c r="A1" s="63" t="s">
        <v>139</v>
      </c>
      <c r="B1" s="191" t="s">
        <v>192</v>
      </c>
      <c r="C1" s="191" t="s">
        <v>193</v>
      </c>
      <c r="D1" s="191" t="s">
        <v>194</v>
      </c>
      <c r="E1" s="191" t="s">
        <v>195</v>
      </c>
      <c r="F1" s="191" t="s">
        <v>196</v>
      </c>
      <c r="G1" s="191" t="s">
        <v>197</v>
      </c>
      <c r="H1" s="191" t="s">
        <v>198</v>
      </c>
      <c r="I1" s="191" t="s">
        <v>199</v>
      </c>
      <c r="J1" s="191" t="s">
        <v>200</v>
      </c>
      <c r="K1" s="191" t="s">
        <v>201</v>
      </c>
      <c r="L1" s="191" t="s">
        <v>202</v>
      </c>
      <c r="M1" s="191" t="s">
        <v>203</v>
      </c>
      <c r="N1" s="191" t="s">
        <v>204</v>
      </c>
      <c r="O1" s="191" t="s">
        <v>205</v>
      </c>
      <c r="P1" s="191" t="s">
        <v>206</v>
      </c>
      <c r="Q1" s="191" t="s">
        <v>207</v>
      </c>
      <c r="R1" s="191" t="s">
        <v>208</v>
      </c>
      <c r="S1" s="191" t="s">
        <v>209</v>
      </c>
      <c r="T1" s="191" t="s">
        <v>210</v>
      </c>
      <c r="U1" s="191" t="s">
        <v>211</v>
      </c>
      <c r="V1" s="191" t="s">
        <v>212</v>
      </c>
      <c r="W1" s="191" t="s">
        <v>213</v>
      </c>
      <c r="X1" s="191" t="s">
        <v>214</v>
      </c>
      <c r="Y1" s="191" t="s">
        <v>215</v>
      </c>
      <c r="Z1" s="191" t="s">
        <v>216</v>
      </c>
      <c r="AA1" s="191" t="s">
        <v>217</v>
      </c>
      <c r="AB1" s="191" t="s">
        <v>218</v>
      </c>
      <c r="AC1" s="191" t="s">
        <v>219</v>
      </c>
      <c r="AD1" s="191" t="s">
        <v>220</v>
      </c>
      <c r="AE1" s="191" t="s">
        <v>221</v>
      </c>
      <c r="AF1" s="191" t="s">
        <v>222</v>
      </c>
      <c r="AG1" s="191" t="s">
        <v>223</v>
      </c>
      <c r="AH1" s="191" t="s">
        <v>224</v>
      </c>
      <c r="AI1" s="191" t="s">
        <v>225</v>
      </c>
      <c r="AJ1" s="191" t="s">
        <v>226</v>
      </c>
      <c r="AK1" s="191" t="s">
        <v>227</v>
      </c>
      <c r="AL1" s="191" t="s">
        <v>228</v>
      </c>
      <c r="AM1" s="191" t="s">
        <v>229</v>
      </c>
      <c r="AN1" s="191" t="s">
        <v>230</v>
      </c>
    </row>
    <row r="2" spans="1:40" customFormat="1" x14ac:dyDescent="0.15">
      <c r="A2" s="190" t="s">
        <v>192</v>
      </c>
      <c r="B2" s="113">
        <v>0</v>
      </c>
      <c r="C2" s="113">
        <v>0</v>
      </c>
      <c r="D2" s="113">
        <v>1</v>
      </c>
      <c r="E2" s="113">
        <v>0</v>
      </c>
      <c r="F2" s="113">
        <v>0</v>
      </c>
      <c r="G2" s="113">
        <v>1</v>
      </c>
      <c r="H2" s="113">
        <v>1</v>
      </c>
      <c r="I2" s="113">
        <v>1</v>
      </c>
      <c r="J2" s="113">
        <v>0</v>
      </c>
      <c r="K2" s="113">
        <v>1</v>
      </c>
      <c r="L2" s="113">
        <v>0</v>
      </c>
      <c r="M2" s="113">
        <v>0</v>
      </c>
      <c r="N2" s="113">
        <v>1</v>
      </c>
      <c r="O2" s="113">
        <v>0</v>
      </c>
      <c r="P2" s="113">
        <v>0</v>
      </c>
      <c r="Q2" s="113">
        <v>0</v>
      </c>
      <c r="R2" s="113">
        <v>0</v>
      </c>
      <c r="S2" s="113">
        <v>1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1</v>
      </c>
      <c r="Z2" s="113">
        <v>1</v>
      </c>
      <c r="AA2" s="113">
        <v>0</v>
      </c>
      <c r="AB2" s="113">
        <v>1</v>
      </c>
      <c r="AC2" s="113">
        <v>1</v>
      </c>
      <c r="AD2" s="113">
        <v>1</v>
      </c>
      <c r="AE2" s="113">
        <v>1</v>
      </c>
      <c r="AF2" s="113">
        <v>1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1</v>
      </c>
      <c r="AM2" s="113">
        <v>0</v>
      </c>
      <c r="AN2" s="113">
        <v>0</v>
      </c>
    </row>
    <row r="3" spans="1:40" customFormat="1" x14ac:dyDescent="0.15">
      <c r="A3" s="190" t="s">
        <v>193</v>
      </c>
      <c r="B3" s="113">
        <v>0</v>
      </c>
      <c r="C3" s="113">
        <v>0</v>
      </c>
      <c r="D3" s="113">
        <v>0</v>
      </c>
      <c r="E3" s="113">
        <v>0</v>
      </c>
      <c r="F3" s="113">
        <v>0</v>
      </c>
      <c r="G3" s="113">
        <v>1</v>
      </c>
      <c r="H3" s="113">
        <v>1</v>
      </c>
      <c r="I3" s="113">
        <v>1</v>
      </c>
      <c r="J3" s="113">
        <v>0</v>
      </c>
      <c r="K3" s="113">
        <v>1</v>
      </c>
      <c r="L3" s="113">
        <v>1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1</v>
      </c>
      <c r="Z3" s="113">
        <v>1</v>
      </c>
      <c r="AA3" s="113">
        <v>0</v>
      </c>
      <c r="AB3" s="113">
        <v>1</v>
      </c>
      <c r="AC3" s="113">
        <v>0</v>
      </c>
      <c r="AD3" s="113">
        <v>0</v>
      </c>
      <c r="AE3" s="113">
        <v>1</v>
      </c>
      <c r="AF3" s="113">
        <v>0</v>
      </c>
      <c r="AG3" s="113">
        <v>0</v>
      </c>
      <c r="AH3" s="113">
        <v>0</v>
      </c>
      <c r="AI3" s="113">
        <v>1</v>
      </c>
      <c r="AJ3" s="113">
        <v>0</v>
      </c>
      <c r="AK3" s="113">
        <v>0</v>
      </c>
      <c r="AL3" s="113">
        <v>1</v>
      </c>
      <c r="AM3" s="113">
        <v>0</v>
      </c>
      <c r="AN3" s="113">
        <v>0</v>
      </c>
    </row>
    <row r="4" spans="1:40" customFormat="1" x14ac:dyDescent="0.15">
      <c r="A4" s="190" t="s">
        <v>194</v>
      </c>
      <c r="B4" s="113">
        <v>0</v>
      </c>
      <c r="C4" s="113">
        <v>0</v>
      </c>
      <c r="D4" s="113">
        <v>0</v>
      </c>
      <c r="E4" s="113">
        <v>1</v>
      </c>
      <c r="F4" s="113">
        <v>0</v>
      </c>
      <c r="G4" s="113">
        <v>1</v>
      </c>
      <c r="H4" s="113">
        <v>1</v>
      </c>
      <c r="I4" s="113">
        <v>1</v>
      </c>
      <c r="J4" s="113">
        <v>1</v>
      </c>
      <c r="K4" s="113">
        <v>1</v>
      </c>
      <c r="L4" s="113">
        <v>0</v>
      </c>
      <c r="M4" s="113">
        <v>1</v>
      </c>
      <c r="N4" s="113">
        <v>1</v>
      </c>
      <c r="O4" s="113">
        <v>1</v>
      </c>
      <c r="P4" s="113">
        <v>0</v>
      </c>
      <c r="Q4" s="113">
        <v>1</v>
      </c>
      <c r="R4" s="113">
        <v>1</v>
      </c>
      <c r="S4" s="113">
        <v>1</v>
      </c>
      <c r="T4" s="113">
        <v>1</v>
      </c>
      <c r="U4" s="113">
        <v>0</v>
      </c>
      <c r="V4" s="113">
        <v>1</v>
      </c>
      <c r="W4" s="113">
        <v>1</v>
      </c>
      <c r="X4" s="113">
        <v>1</v>
      </c>
      <c r="Y4" s="113">
        <v>1</v>
      </c>
      <c r="Z4" s="113">
        <v>1</v>
      </c>
      <c r="AA4" s="113">
        <v>1</v>
      </c>
      <c r="AB4" s="113">
        <v>1</v>
      </c>
      <c r="AC4" s="113">
        <v>1</v>
      </c>
      <c r="AD4" s="113">
        <v>1</v>
      </c>
      <c r="AE4" s="113">
        <v>1</v>
      </c>
      <c r="AF4" s="113">
        <v>1</v>
      </c>
      <c r="AG4" s="113">
        <v>1</v>
      </c>
      <c r="AH4" s="113">
        <v>0</v>
      </c>
      <c r="AI4" s="113">
        <v>1</v>
      </c>
      <c r="AJ4" s="113">
        <v>0</v>
      </c>
      <c r="AK4" s="113">
        <v>1</v>
      </c>
      <c r="AL4" s="113">
        <v>1</v>
      </c>
      <c r="AM4" s="113">
        <v>0</v>
      </c>
      <c r="AN4" s="113">
        <v>0</v>
      </c>
    </row>
    <row r="5" spans="1:40" customFormat="1" x14ac:dyDescent="0.15">
      <c r="A5" s="190" t="s">
        <v>195</v>
      </c>
      <c r="B5" s="113">
        <v>0</v>
      </c>
      <c r="C5" s="113">
        <v>0</v>
      </c>
      <c r="D5" s="113">
        <v>0</v>
      </c>
      <c r="E5" s="113">
        <v>1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1</v>
      </c>
      <c r="T5" s="113">
        <v>0</v>
      </c>
      <c r="U5" s="113">
        <v>0</v>
      </c>
      <c r="V5" s="113">
        <v>0</v>
      </c>
      <c r="W5" s="113">
        <v>0</v>
      </c>
      <c r="X5" s="113">
        <v>1</v>
      </c>
      <c r="Y5" s="113">
        <v>1</v>
      </c>
      <c r="Z5" s="113">
        <v>1</v>
      </c>
      <c r="AA5" s="113">
        <v>1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</row>
    <row r="6" spans="1:40" customFormat="1" x14ac:dyDescent="0.15">
      <c r="A6" s="190" t="s">
        <v>196</v>
      </c>
      <c r="B6" s="113">
        <v>0</v>
      </c>
      <c r="C6" s="113">
        <v>0</v>
      </c>
      <c r="D6" s="113">
        <v>0</v>
      </c>
      <c r="E6" s="113">
        <v>0</v>
      </c>
      <c r="F6" s="113">
        <v>0</v>
      </c>
      <c r="G6" s="113">
        <v>1</v>
      </c>
      <c r="H6" s="113">
        <v>1</v>
      </c>
      <c r="I6" s="113">
        <v>1</v>
      </c>
      <c r="J6" s="113">
        <v>0</v>
      </c>
      <c r="K6" s="113">
        <v>1</v>
      </c>
      <c r="L6" s="113">
        <v>1</v>
      </c>
      <c r="M6" s="113">
        <v>0</v>
      </c>
      <c r="N6" s="113">
        <v>1</v>
      </c>
      <c r="O6" s="113">
        <v>1</v>
      </c>
      <c r="P6" s="113">
        <v>0</v>
      </c>
      <c r="Q6" s="113">
        <v>1</v>
      </c>
      <c r="R6" s="113">
        <v>0</v>
      </c>
      <c r="S6" s="113">
        <v>1</v>
      </c>
      <c r="T6" s="113">
        <v>1</v>
      </c>
      <c r="U6" s="113">
        <v>0</v>
      </c>
      <c r="V6" s="113">
        <v>1</v>
      </c>
      <c r="W6" s="113">
        <v>1</v>
      </c>
      <c r="X6" s="113">
        <v>1</v>
      </c>
      <c r="Y6" s="113">
        <v>1</v>
      </c>
      <c r="Z6" s="113">
        <v>1</v>
      </c>
      <c r="AA6" s="113">
        <v>1</v>
      </c>
      <c r="AB6" s="113">
        <v>1</v>
      </c>
      <c r="AC6" s="113">
        <v>1</v>
      </c>
      <c r="AD6" s="113">
        <v>1</v>
      </c>
      <c r="AE6" s="113">
        <v>1</v>
      </c>
      <c r="AF6" s="113">
        <v>1</v>
      </c>
      <c r="AG6" s="113">
        <v>0</v>
      </c>
      <c r="AH6" s="113">
        <v>0</v>
      </c>
      <c r="AI6" s="113">
        <v>1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</row>
    <row r="7" spans="1:40" customFormat="1" x14ac:dyDescent="0.15">
      <c r="A7" s="190" t="s">
        <v>197</v>
      </c>
      <c r="B7" s="113">
        <v>0</v>
      </c>
      <c r="C7" s="113">
        <v>0</v>
      </c>
      <c r="D7" s="113">
        <v>0</v>
      </c>
      <c r="E7" s="113">
        <v>0</v>
      </c>
      <c r="F7" s="113">
        <v>0</v>
      </c>
      <c r="G7" s="113">
        <v>1</v>
      </c>
      <c r="H7" s="113">
        <v>0</v>
      </c>
      <c r="I7" s="113">
        <v>0</v>
      </c>
      <c r="J7" s="113">
        <v>0</v>
      </c>
      <c r="K7" s="113">
        <v>0</v>
      </c>
      <c r="L7" s="113">
        <v>1</v>
      </c>
      <c r="M7" s="113">
        <v>1</v>
      </c>
      <c r="N7" s="113">
        <v>1</v>
      </c>
      <c r="O7" s="113">
        <v>0</v>
      </c>
      <c r="P7" s="113">
        <v>0</v>
      </c>
      <c r="Q7" s="113">
        <v>1</v>
      </c>
      <c r="R7" s="113">
        <v>0</v>
      </c>
      <c r="S7" s="113">
        <v>1</v>
      </c>
      <c r="T7" s="113">
        <v>0</v>
      </c>
      <c r="U7" s="113">
        <v>0</v>
      </c>
      <c r="V7" s="113">
        <v>1</v>
      </c>
      <c r="W7" s="113">
        <v>1</v>
      </c>
      <c r="X7" s="113">
        <v>0</v>
      </c>
      <c r="Y7" s="113">
        <v>1</v>
      </c>
      <c r="Z7" s="113">
        <v>1</v>
      </c>
      <c r="AA7" s="113">
        <v>1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1</v>
      </c>
      <c r="AJ7" s="113">
        <v>0</v>
      </c>
      <c r="AK7" s="113">
        <v>1</v>
      </c>
      <c r="AL7" s="113">
        <v>1</v>
      </c>
      <c r="AM7" s="113">
        <v>0</v>
      </c>
      <c r="AN7" s="113">
        <v>0</v>
      </c>
    </row>
    <row r="8" spans="1:40" customFormat="1" x14ac:dyDescent="0.15">
      <c r="A8" s="190" t="s">
        <v>198</v>
      </c>
      <c r="B8" s="113">
        <v>0</v>
      </c>
      <c r="C8" s="113">
        <v>0</v>
      </c>
      <c r="D8" s="113">
        <v>0</v>
      </c>
      <c r="E8" s="113">
        <v>0</v>
      </c>
      <c r="F8" s="113">
        <v>0</v>
      </c>
      <c r="G8" s="113">
        <v>1</v>
      </c>
      <c r="H8" s="113">
        <v>0</v>
      </c>
      <c r="I8" s="113">
        <v>0</v>
      </c>
      <c r="J8" s="113">
        <v>0</v>
      </c>
      <c r="K8" s="113">
        <v>0</v>
      </c>
      <c r="L8" s="113">
        <v>1</v>
      </c>
      <c r="M8" s="113">
        <v>1</v>
      </c>
      <c r="N8" s="113">
        <v>1</v>
      </c>
      <c r="O8" s="113">
        <v>1</v>
      </c>
      <c r="P8" s="113">
        <v>0</v>
      </c>
      <c r="Q8" s="113">
        <v>1</v>
      </c>
      <c r="R8" s="113">
        <v>1</v>
      </c>
      <c r="S8" s="113">
        <v>1</v>
      </c>
      <c r="T8" s="113">
        <v>1</v>
      </c>
      <c r="U8" s="113">
        <v>1</v>
      </c>
      <c r="V8" s="113">
        <v>1</v>
      </c>
      <c r="W8" s="113">
        <v>1</v>
      </c>
      <c r="X8" s="113">
        <v>1</v>
      </c>
      <c r="Y8" s="113">
        <v>1</v>
      </c>
      <c r="Z8" s="113">
        <v>1</v>
      </c>
      <c r="AA8" s="113">
        <v>1</v>
      </c>
      <c r="AB8" s="113">
        <v>1</v>
      </c>
      <c r="AC8" s="113">
        <v>0</v>
      </c>
      <c r="AD8" s="113">
        <v>1</v>
      </c>
      <c r="AE8" s="113">
        <v>1</v>
      </c>
      <c r="AF8" s="113">
        <v>1</v>
      </c>
      <c r="AG8" s="113">
        <v>1</v>
      </c>
      <c r="AH8" s="113">
        <v>0</v>
      </c>
      <c r="AI8" s="113">
        <v>1</v>
      </c>
      <c r="AJ8" s="113">
        <v>0</v>
      </c>
      <c r="AK8" s="113">
        <v>0</v>
      </c>
      <c r="AL8" s="113">
        <v>1</v>
      </c>
      <c r="AM8" s="113">
        <v>0</v>
      </c>
      <c r="AN8" s="113">
        <v>0</v>
      </c>
    </row>
    <row r="9" spans="1:40" customFormat="1" x14ac:dyDescent="0.15">
      <c r="A9" s="190" t="s">
        <v>199</v>
      </c>
      <c r="B9" s="113">
        <v>0</v>
      </c>
      <c r="C9" s="113">
        <v>0</v>
      </c>
      <c r="D9" s="113">
        <v>0</v>
      </c>
      <c r="E9" s="113">
        <v>0</v>
      </c>
      <c r="F9" s="113">
        <v>0</v>
      </c>
      <c r="G9" s="113">
        <v>1</v>
      </c>
      <c r="H9" s="113">
        <v>1</v>
      </c>
      <c r="I9" s="113">
        <v>1</v>
      </c>
      <c r="J9" s="113">
        <v>0</v>
      </c>
      <c r="K9" s="113">
        <v>0</v>
      </c>
      <c r="L9" s="113">
        <v>1</v>
      </c>
      <c r="M9" s="113">
        <v>1</v>
      </c>
      <c r="N9" s="113">
        <v>1</v>
      </c>
      <c r="O9" s="113">
        <v>1</v>
      </c>
      <c r="P9" s="113">
        <v>0</v>
      </c>
      <c r="Q9" s="113">
        <v>0</v>
      </c>
      <c r="R9" s="113">
        <v>0</v>
      </c>
      <c r="S9" s="113">
        <v>1</v>
      </c>
      <c r="T9" s="113">
        <v>1</v>
      </c>
      <c r="U9" s="113">
        <v>1</v>
      </c>
      <c r="V9" s="113">
        <v>1</v>
      </c>
      <c r="W9" s="113">
        <v>1</v>
      </c>
      <c r="X9" s="113">
        <v>1</v>
      </c>
      <c r="Y9" s="113">
        <v>1</v>
      </c>
      <c r="Z9" s="113">
        <v>1</v>
      </c>
      <c r="AA9" s="113">
        <v>1</v>
      </c>
      <c r="AB9" s="113">
        <v>1</v>
      </c>
      <c r="AC9" s="113">
        <v>0</v>
      </c>
      <c r="AD9" s="113">
        <v>1</v>
      </c>
      <c r="AE9" s="113">
        <v>1</v>
      </c>
      <c r="AF9" s="113">
        <v>1</v>
      </c>
      <c r="AG9" s="113">
        <v>1</v>
      </c>
      <c r="AH9" s="113">
        <v>1</v>
      </c>
      <c r="AI9" s="113">
        <v>1</v>
      </c>
      <c r="AJ9" s="113">
        <v>0</v>
      </c>
      <c r="AK9" s="113">
        <v>1</v>
      </c>
      <c r="AL9" s="113">
        <v>1</v>
      </c>
      <c r="AM9" s="113">
        <v>0</v>
      </c>
      <c r="AN9" s="113">
        <v>0</v>
      </c>
    </row>
    <row r="10" spans="1:40" customFormat="1" x14ac:dyDescent="0.15">
      <c r="A10" s="190" t="s">
        <v>200</v>
      </c>
      <c r="B10" s="113">
        <v>0</v>
      </c>
      <c r="C10" s="113">
        <v>0</v>
      </c>
      <c r="D10" s="113">
        <v>0</v>
      </c>
      <c r="E10" s="113">
        <v>0</v>
      </c>
      <c r="F10" s="113">
        <v>0</v>
      </c>
      <c r="G10" s="113">
        <v>1</v>
      </c>
      <c r="H10" s="113">
        <v>1</v>
      </c>
      <c r="I10" s="113">
        <v>1</v>
      </c>
      <c r="J10" s="113">
        <v>0</v>
      </c>
      <c r="K10" s="113">
        <v>0</v>
      </c>
      <c r="L10" s="113">
        <v>1</v>
      </c>
      <c r="M10" s="113">
        <v>0</v>
      </c>
      <c r="N10" s="113">
        <v>0</v>
      </c>
      <c r="O10" s="113">
        <v>1</v>
      </c>
      <c r="P10" s="113">
        <v>0</v>
      </c>
      <c r="Q10" s="113">
        <v>0</v>
      </c>
      <c r="R10" s="113">
        <v>0</v>
      </c>
      <c r="S10" s="113">
        <v>1</v>
      </c>
      <c r="T10" s="113">
        <v>0</v>
      </c>
      <c r="U10" s="113">
        <v>0</v>
      </c>
      <c r="V10" s="113">
        <v>1</v>
      </c>
      <c r="W10" s="113">
        <v>1</v>
      </c>
      <c r="X10" s="113">
        <v>0</v>
      </c>
      <c r="Y10" s="113">
        <v>1</v>
      </c>
      <c r="Z10" s="113">
        <v>1</v>
      </c>
      <c r="AA10" s="113">
        <v>0</v>
      </c>
      <c r="AB10" s="113">
        <v>0</v>
      </c>
      <c r="AC10" s="113">
        <v>1</v>
      </c>
      <c r="AD10" s="113">
        <v>1</v>
      </c>
      <c r="AE10" s="113">
        <v>1</v>
      </c>
      <c r="AF10" s="113">
        <v>1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</row>
    <row r="11" spans="1:40" customFormat="1" x14ac:dyDescent="0.15">
      <c r="A11" s="190" t="s">
        <v>201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1</v>
      </c>
      <c r="M11" s="113">
        <v>1</v>
      </c>
      <c r="N11" s="113">
        <v>1</v>
      </c>
      <c r="O11" s="113">
        <v>1</v>
      </c>
      <c r="P11" s="113">
        <v>1</v>
      </c>
      <c r="Q11" s="113">
        <v>1</v>
      </c>
      <c r="R11" s="113">
        <v>1</v>
      </c>
      <c r="S11" s="113">
        <v>0</v>
      </c>
      <c r="T11" s="113">
        <v>1</v>
      </c>
      <c r="U11" s="113">
        <v>1</v>
      </c>
      <c r="V11" s="113">
        <v>1</v>
      </c>
      <c r="W11" s="113">
        <v>1</v>
      </c>
      <c r="X11" s="113">
        <v>0</v>
      </c>
      <c r="Y11" s="113">
        <v>1</v>
      </c>
      <c r="Z11" s="113">
        <v>1</v>
      </c>
      <c r="AA11" s="113">
        <v>1</v>
      </c>
      <c r="AB11" s="113">
        <v>0</v>
      </c>
      <c r="AC11" s="113">
        <v>0</v>
      </c>
      <c r="AD11" s="113">
        <v>1</v>
      </c>
      <c r="AE11" s="113">
        <v>1</v>
      </c>
      <c r="AF11" s="113">
        <v>0</v>
      </c>
      <c r="AG11" s="113">
        <v>1</v>
      </c>
      <c r="AH11" s="113">
        <v>0</v>
      </c>
      <c r="AI11" s="113">
        <v>1</v>
      </c>
      <c r="AJ11" s="113">
        <v>1</v>
      </c>
      <c r="AK11" s="113">
        <v>0</v>
      </c>
      <c r="AL11" s="113">
        <v>1</v>
      </c>
      <c r="AM11" s="113">
        <v>0</v>
      </c>
      <c r="AN11" s="113">
        <v>0</v>
      </c>
    </row>
    <row r="12" spans="1:40" customFormat="1" x14ac:dyDescent="0.15">
      <c r="A12" s="190" t="s">
        <v>202</v>
      </c>
      <c r="B12" s="113">
        <v>0</v>
      </c>
      <c r="C12" s="113">
        <v>0</v>
      </c>
      <c r="D12" s="113">
        <v>0</v>
      </c>
      <c r="E12" s="113">
        <v>0</v>
      </c>
      <c r="F12" s="113">
        <v>0</v>
      </c>
      <c r="G12" s="113">
        <v>0</v>
      </c>
      <c r="H12" s="113">
        <v>0</v>
      </c>
      <c r="I12" s="113">
        <v>0</v>
      </c>
      <c r="J12" s="113">
        <v>0</v>
      </c>
      <c r="K12" s="113">
        <v>0</v>
      </c>
      <c r="L12" s="113">
        <v>0</v>
      </c>
      <c r="M12" s="113">
        <v>1</v>
      </c>
      <c r="N12" s="113">
        <v>1</v>
      </c>
      <c r="O12" s="113">
        <v>1</v>
      </c>
      <c r="P12" s="113">
        <v>0</v>
      </c>
      <c r="Q12" s="113">
        <v>1</v>
      </c>
      <c r="R12" s="113">
        <v>1</v>
      </c>
      <c r="S12" s="113">
        <v>1</v>
      </c>
      <c r="T12" s="113">
        <v>1</v>
      </c>
      <c r="U12" s="113">
        <v>1</v>
      </c>
      <c r="V12" s="113">
        <v>1</v>
      </c>
      <c r="W12" s="113">
        <v>1</v>
      </c>
      <c r="X12" s="113">
        <v>1</v>
      </c>
      <c r="Y12" s="113">
        <v>1</v>
      </c>
      <c r="Z12" s="113">
        <v>1</v>
      </c>
      <c r="AA12" s="113">
        <v>1</v>
      </c>
      <c r="AB12" s="113">
        <v>1</v>
      </c>
      <c r="AC12" s="113">
        <v>0</v>
      </c>
      <c r="AD12" s="113">
        <v>1</v>
      </c>
      <c r="AE12" s="113">
        <v>0</v>
      </c>
      <c r="AF12" s="113">
        <v>0</v>
      </c>
      <c r="AG12" s="113">
        <v>1</v>
      </c>
      <c r="AH12" s="113">
        <v>1</v>
      </c>
      <c r="AI12" s="113">
        <v>1</v>
      </c>
      <c r="AJ12" s="113">
        <v>0</v>
      </c>
      <c r="AK12" s="113">
        <v>1</v>
      </c>
      <c r="AL12" s="113">
        <v>1</v>
      </c>
      <c r="AM12" s="113">
        <v>0</v>
      </c>
      <c r="AN12" s="113">
        <v>0</v>
      </c>
    </row>
    <row r="13" spans="1:40" customFormat="1" x14ac:dyDescent="0.15">
      <c r="A13" s="190" t="s">
        <v>203</v>
      </c>
      <c r="B13" s="113">
        <v>0</v>
      </c>
      <c r="C13" s="113">
        <v>0</v>
      </c>
      <c r="D13" s="113">
        <v>0</v>
      </c>
      <c r="E13" s="113">
        <v>0</v>
      </c>
      <c r="F13" s="113">
        <v>0</v>
      </c>
      <c r="G13" s="113">
        <v>0</v>
      </c>
      <c r="H13" s="113">
        <v>0</v>
      </c>
      <c r="I13" s="113">
        <v>0</v>
      </c>
      <c r="J13" s="113">
        <v>0</v>
      </c>
      <c r="K13" s="113">
        <v>0</v>
      </c>
      <c r="L13" s="113">
        <v>0</v>
      </c>
      <c r="M13" s="113">
        <v>1</v>
      </c>
      <c r="N13" s="113">
        <v>0</v>
      </c>
      <c r="O13" s="113">
        <v>1</v>
      </c>
      <c r="P13" s="113">
        <v>1</v>
      </c>
      <c r="Q13" s="113">
        <v>1</v>
      </c>
      <c r="R13" s="113">
        <v>1</v>
      </c>
      <c r="S13" s="113">
        <v>1</v>
      </c>
      <c r="T13" s="113">
        <v>0</v>
      </c>
      <c r="U13" s="113">
        <v>1</v>
      </c>
      <c r="V13" s="113">
        <v>0</v>
      </c>
      <c r="W13" s="113">
        <v>0</v>
      </c>
      <c r="X13" s="113">
        <v>0</v>
      </c>
      <c r="Y13" s="113">
        <v>1</v>
      </c>
      <c r="Z13" s="113">
        <v>1</v>
      </c>
      <c r="AA13" s="113">
        <v>1</v>
      </c>
      <c r="AB13" s="113">
        <v>1</v>
      </c>
      <c r="AC13" s="113">
        <v>1</v>
      </c>
      <c r="AD13" s="113">
        <v>1</v>
      </c>
      <c r="AE13" s="113">
        <v>1</v>
      </c>
      <c r="AF13" s="113">
        <v>1</v>
      </c>
      <c r="AG13" s="113">
        <v>0</v>
      </c>
      <c r="AH13" s="113">
        <v>1</v>
      </c>
      <c r="AI13" s="113">
        <v>1</v>
      </c>
      <c r="AJ13" s="113">
        <v>1</v>
      </c>
      <c r="AK13" s="113">
        <v>1</v>
      </c>
      <c r="AL13" s="113">
        <v>1</v>
      </c>
      <c r="AM13" s="113">
        <v>0</v>
      </c>
      <c r="AN13" s="113">
        <v>0</v>
      </c>
    </row>
    <row r="14" spans="1:40" customFormat="1" x14ac:dyDescent="0.15">
      <c r="A14" s="190" t="s">
        <v>204</v>
      </c>
      <c r="B14" s="113">
        <v>0</v>
      </c>
      <c r="C14" s="113">
        <v>0</v>
      </c>
      <c r="D14" s="113">
        <v>0</v>
      </c>
      <c r="E14" s="113">
        <v>0</v>
      </c>
      <c r="F14" s="113">
        <v>0</v>
      </c>
      <c r="G14" s="113">
        <v>0</v>
      </c>
      <c r="H14" s="113">
        <v>0</v>
      </c>
      <c r="I14" s="113">
        <v>0</v>
      </c>
      <c r="J14" s="113">
        <v>0</v>
      </c>
      <c r="K14" s="113">
        <v>0</v>
      </c>
      <c r="L14" s="113">
        <v>0</v>
      </c>
      <c r="M14" s="113">
        <v>1</v>
      </c>
      <c r="N14" s="113">
        <v>0</v>
      </c>
      <c r="O14" s="113">
        <v>1</v>
      </c>
      <c r="P14" s="113">
        <v>1</v>
      </c>
      <c r="Q14" s="113">
        <v>1</v>
      </c>
      <c r="R14" s="113">
        <v>1</v>
      </c>
      <c r="S14" s="113">
        <v>0</v>
      </c>
      <c r="T14" s="113">
        <v>1</v>
      </c>
      <c r="U14" s="113">
        <v>0</v>
      </c>
      <c r="V14" s="113">
        <v>0</v>
      </c>
      <c r="W14" s="113">
        <v>0</v>
      </c>
      <c r="X14" s="113">
        <v>1</v>
      </c>
      <c r="Y14" s="113">
        <v>0</v>
      </c>
      <c r="Z14" s="113">
        <v>0</v>
      </c>
      <c r="AA14" s="113">
        <v>1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3">
        <v>1</v>
      </c>
      <c r="AH14" s="113">
        <v>0</v>
      </c>
      <c r="AI14" s="113">
        <v>0</v>
      </c>
      <c r="AJ14" s="113">
        <v>0</v>
      </c>
      <c r="AK14" s="113">
        <v>1</v>
      </c>
      <c r="AL14" s="113">
        <v>1</v>
      </c>
      <c r="AM14" s="113">
        <v>0</v>
      </c>
      <c r="AN14" s="113">
        <v>0</v>
      </c>
    </row>
    <row r="15" spans="1:40" customFormat="1" x14ac:dyDescent="0.15">
      <c r="A15" s="190" t="s">
        <v>205</v>
      </c>
      <c r="B15" s="113">
        <v>0</v>
      </c>
      <c r="C15" s="113">
        <v>0</v>
      </c>
      <c r="D15" s="113">
        <v>0</v>
      </c>
      <c r="E15" s="113">
        <v>0</v>
      </c>
      <c r="F15" s="113">
        <v>0</v>
      </c>
      <c r="G15" s="113">
        <v>0</v>
      </c>
      <c r="H15" s="113">
        <v>0</v>
      </c>
      <c r="I15" s="113">
        <v>0</v>
      </c>
      <c r="J15" s="113">
        <v>0</v>
      </c>
      <c r="K15" s="113">
        <v>0</v>
      </c>
      <c r="L15" s="113">
        <v>0</v>
      </c>
      <c r="M15" s="113">
        <v>0</v>
      </c>
      <c r="N15" s="113">
        <v>1</v>
      </c>
      <c r="O15" s="113">
        <v>1</v>
      </c>
      <c r="P15" s="113">
        <v>1</v>
      </c>
      <c r="Q15" s="113">
        <v>0</v>
      </c>
      <c r="R15" s="113">
        <v>0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1</v>
      </c>
      <c r="Y15" s="113">
        <v>0</v>
      </c>
      <c r="Z15" s="113">
        <v>0</v>
      </c>
      <c r="AA15" s="113">
        <v>1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1</v>
      </c>
      <c r="AH15" s="113">
        <v>0</v>
      </c>
      <c r="AI15" s="113">
        <v>0</v>
      </c>
      <c r="AJ15" s="113">
        <v>0</v>
      </c>
      <c r="AK15" s="113">
        <v>1</v>
      </c>
      <c r="AL15" s="113">
        <v>1</v>
      </c>
      <c r="AM15" s="113">
        <v>0</v>
      </c>
      <c r="AN15" s="113">
        <v>0</v>
      </c>
    </row>
    <row r="16" spans="1:40" customFormat="1" x14ac:dyDescent="0.15">
      <c r="A16" s="190" t="s">
        <v>206</v>
      </c>
      <c r="B16" s="113">
        <v>0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1</v>
      </c>
      <c r="N16" s="113">
        <v>1</v>
      </c>
      <c r="O16" s="113">
        <v>0</v>
      </c>
      <c r="P16" s="113">
        <v>1</v>
      </c>
      <c r="Q16" s="113">
        <v>1</v>
      </c>
      <c r="R16" s="113">
        <v>1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1</v>
      </c>
      <c r="Y16" s="113">
        <v>0</v>
      </c>
      <c r="Z16" s="113">
        <v>0</v>
      </c>
      <c r="AA16" s="113">
        <v>1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1</v>
      </c>
      <c r="AH16" s="113">
        <v>0</v>
      </c>
      <c r="AI16" s="113">
        <v>0</v>
      </c>
      <c r="AJ16" s="113">
        <v>0</v>
      </c>
      <c r="AK16" s="113">
        <v>1</v>
      </c>
      <c r="AL16" s="113">
        <v>1</v>
      </c>
      <c r="AM16" s="113">
        <v>0</v>
      </c>
      <c r="AN16" s="113">
        <v>0</v>
      </c>
    </row>
    <row r="17" spans="1:40" customFormat="1" x14ac:dyDescent="0.15">
      <c r="A17" s="190" t="s">
        <v>207</v>
      </c>
      <c r="B17" s="113">
        <v>0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1</v>
      </c>
      <c r="N17" s="113">
        <v>0</v>
      </c>
      <c r="O17" s="113">
        <v>0</v>
      </c>
      <c r="P17" s="113">
        <v>0</v>
      </c>
      <c r="Q17" s="113">
        <v>1</v>
      </c>
      <c r="R17" s="113">
        <v>1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1</v>
      </c>
      <c r="AB17" s="113">
        <v>0</v>
      </c>
      <c r="AC17" s="113">
        <v>0</v>
      </c>
      <c r="AD17" s="113">
        <v>0</v>
      </c>
      <c r="AE17" s="113">
        <v>0</v>
      </c>
      <c r="AF17" s="113">
        <v>1</v>
      </c>
      <c r="AG17" s="113">
        <v>0</v>
      </c>
      <c r="AH17" s="113">
        <v>1</v>
      </c>
      <c r="AI17" s="113">
        <v>0</v>
      </c>
      <c r="AJ17" s="113">
        <v>0</v>
      </c>
      <c r="AK17" s="113">
        <v>1</v>
      </c>
      <c r="AL17" s="113">
        <v>1</v>
      </c>
      <c r="AM17" s="113">
        <v>0</v>
      </c>
      <c r="AN17" s="113">
        <v>0</v>
      </c>
    </row>
    <row r="18" spans="1:40" customFormat="1" x14ac:dyDescent="0.15">
      <c r="A18" s="190" t="s">
        <v>208</v>
      </c>
      <c r="B18" s="113">
        <v>0</v>
      </c>
      <c r="C18" s="113">
        <v>0</v>
      </c>
      <c r="D18" s="113">
        <v>0</v>
      </c>
      <c r="E18" s="113">
        <v>0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1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1</v>
      </c>
      <c r="AG18" s="113">
        <v>0</v>
      </c>
      <c r="AH18" s="113">
        <v>1</v>
      </c>
      <c r="AI18" s="113">
        <v>0</v>
      </c>
      <c r="AJ18" s="113">
        <v>0</v>
      </c>
      <c r="AK18" s="113">
        <v>1</v>
      </c>
      <c r="AL18" s="113">
        <v>0</v>
      </c>
      <c r="AM18" s="113">
        <v>0</v>
      </c>
      <c r="AN18" s="113">
        <v>0</v>
      </c>
    </row>
    <row r="19" spans="1:40" customFormat="1" x14ac:dyDescent="0.15">
      <c r="A19" s="190" t="s">
        <v>209</v>
      </c>
      <c r="B19" s="113">
        <v>0</v>
      </c>
      <c r="C19" s="113">
        <v>0</v>
      </c>
      <c r="D19" s="113">
        <v>0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0</v>
      </c>
      <c r="K19" s="113">
        <v>0</v>
      </c>
      <c r="L19" s="113">
        <v>0</v>
      </c>
      <c r="M19" s="113">
        <v>1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0</v>
      </c>
      <c r="W19" s="113">
        <v>0</v>
      </c>
      <c r="X19" s="113">
        <v>1</v>
      </c>
      <c r="Y19" s="113">
        <v>0</v>
      </c>
      <c r="Z19" s="113">
        <v>0</v>
      </c>
      <c r="AA19" s="113">
        <v>0</v>
      </c>
      <c r="AB19" s="113">
        <v>0</v>
      </c>
      <c r="AC19" s="113">
        <v>1</v>
      </c>
      <c r="AD19" s="113">
        <v>0</v>
      </c>
      <c r="AE19" s="113">
        <v>0</v>
      </c>
      <c r="AF19" s="113">
        <v>0</v>
      </c>
      <c r="AG19" s="113">
        <v>0</v>
      </c>
      <c r="AH19" s="113">
        <v>1</v>
      </c>
      <c r="AI19" s="113">
        <v>0</v>
      </c>
      <c r="AJ19" s="113">
        <v>0</v>
      </c>
      <c r="AK19" s="113">
        <v>1</v>
      </c>
      <c r="AL19" s="113">
        <v>1</v>
      </c>
      <c r="AM19" s="113">
        <v>0</v>
      </c>
      <c r="AN19" s="113">
        <v>0</v>
      </c>
    </row>
    <row r="20" spans="1:40" customFormat="1" x14ac:dyDescent="0.15">
      <c r="A20" s="190" t="s">
        <v>210</v>
      </c>
      <c r="B20" s="113">
        <v>0</v>
      </c>
      <c r="C20" s="113">
        <v>0</v>
      </c>
      <c r="D20" s="113">
        <v>0</v>
      </c>
      <c r="E20" s="113">
        <v>0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1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</v>
      </c>
      <c r="V20" s="113">
        <v>0</v>
      </c>
      <c r="W20" s="113">
        <v>0</v>
      </c>
      <c r="X20" s="113">
        <v>0</v>
      </c>
      <c r="Y20" s="113">
        <v>1</v>
      </c>
      <c r="Z20" s="113">
        <v>1</v>
      </c>
      <c r="AA20" s="113">
        <v>1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1</v>
      </c>
      <c r="AH20" s="113">
        <v>0</v>
      </c>
      <c r="AI20" s="113">
        <v>0</v>
      </c>
      <c r="AJ20" s="113">
        <v>0</v>
      </c>
      <c r="AK20" s="113">
        <v>1</v>
      </c>
      <c r="AL20" s="113">
        <v>1</v>
      </c>
      <c r="AM20" s="113">
        <v>0</v>
      </c>
      <c r="AN20" s="113">
        <v>0</v>
      </c>
    </row>
    <row r="21" spans="1:40" customFormat="1" x14ac:dyDescent="0.15">
      <c r="A21" s="190" t="s">
        <v>211</v>
      </c>
      <c r="B21" s="113">
        <v>0</v>
      </c>
      <c r="C21" s="113">
        <v>0</v>
      </c>
      <c r="D21" s="113">
        <v>0</v>
      </c>
      <c r="E21" s="113">
        <v>0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1</v>
      </c>
      <c r="N21" s="113">
        <v>0</v>
      </c>
      <c r="O21" s="113">
        <v>0</v>
      </c>
      <c r="P21" s="113">
        <v>1</v>
      </c>
      <c r="Q21" s="113">
        <v>0</v>
      </c>
      <c r="R21" s="113">
        <v>0</v>
      </c>
      <c r="S21" s="113">
        <v>0</v>
      </c>
      <c r="T21" s="113">
        <v>0</v>
      </c>
      <c r="U21" s="113">
        <v>1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1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1</v>
      </c>
      <c r="AH21" s="113">
        <v>0</v>
      </c>
      <c r="AI21" s="113">
        <v>0</v>
      </c>
      <c r="AJ21" s="113">
        <v>0</v>
      </c>
      <c r="AK21" s="113">
        <v>1</v>
      </c>
      <c r="AL21" s="113">
        <v>1</v>
      </c>
      <c r="AM21" s="113">
        <v>0</v>
      </c>
      <c r="AN21" s="113">
        <v>0</v>
      </c>
    </row>
    <row r="22" spans="1:40" customFormat="1" x14ac:dyDescent="0.15">
      <c r="A22" s="190" t="s">
        <v>212</v>
      </c>
      <c r="B22" s="113">
        <v>0</v>
      </c>
      <c r="C22" s="113">
        <v>0</v>
      </c>
      <c r="D22" s="113">
        <v>0</v>
      </c>
      <c r="E22" s="113">
        <v>0</v>
      </c>
      <c r="F22" s="113">
        <v>0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</v>
      </c>
      <c r="O22" s="113">
        <v>1</v>
      </c>
      <c r="P22" s="113">
        <v>1</v>
      </c>
      <c r="Q22" s="113">
        <v>1</v>
      </c>
      <c r="R22" s="113">
        <v>1</v>
      </c>
      <c r="S22" s="113">
        <v>0</v>
      </c>
      <c r="T22" s="113">
        <v>0</v>
      </c>
      <c r="U22" s="113">
        <v>0</v>
      </c>
      <c r="V22" s="113">
        <v>0</v>
      </c>
      <c r="W22" s="113">
        <v>1</v>
      </c>
      <c r="X22" s="113">
        <v>1</v>
      </c>
      <c r="Y22" s="113">
        <v>0</v>
      </c>
      <c r="Z22" s="113">
        <v>0</v>
      </c>
      <c r="AA22" s="113">
        <v>1</v>
      </c>
      <c r="AB22" s="113">
        <v>0</v>
      </c>
      <c r="AC22" s="113">
        <v>0</v>
      </c>
      <c r="AD22" s="113">
        <v>0</v>
      </c>
      <c r="AE22" s="113">
        <v>0</v>
      </c>
      <c r="AF22" s="113">
        <v>1</v>
      </c>
      <c r="AG22" s="113">
        <v>1</v>
      </c>
      <c r="AH22" s="113">
        <v>1</v>
      </c>
      <c r="AI22" s="113">
        <v>1</v>
      </c>
      <c r="AJ22" s="113">
        <v>1</v>
      </c>
      <c r="AK22" s="113">
        <v>1</v>
      </c>
      <c r="AL22" s="113">
        <v>1</v>
      </c>
      <c r="AM22" s="113">
        <v>0</v>
      </c>
      <c r="AN22" s="113">
        <v>0</v>
      </c>
    </row>
    <row r="23" spans="1:40" customFormat="1" x14ac:dyDescent="0.15">
      <c r="A23" s="190" t="s">
        <v>213</v>
      </c>
      <c r="B23" s="113">
        <v>0</v>
      </c>
      <c r="C23" s="113">
        <v>0</v>
      </c>
      <c r="D23" s="113">
        <v>0</v>
      </c>
      <c r="E23" s="113">
        <v>0</v>
      </c>
      <c r="F23" s="113">
        <v>0</v>
      </c>
      <c r="G23" s="113">
        <v>0</v>
      </c>
      <c r="H23" s="113">
        <v>0</v>
      </c>
      <c r="I23" s="113">
        <v>0</v>
      </c>
      <c r="J23" s="113">
        <v>0</v>
      </c>
      <c r="K23" s="113">
        <v>0</v>
      </c>
      <c r="L23" s="113">
        <v>0</v>
      </c>
      <c r="M23" s="113">
        <v>0</v>
      </c>
      <c r="N23" s="113">
        <v>0</v>
      </c>
      <c r="O23" s="113">
        <v>1</v>
      </c>
      <c r="P23" s="113">
        <v>1</v>
      </c>
      <c r="Q23" s="113">
        <v>1</v>
      </c>
      <c r="R23" s="113">
        <v>0</v>
      </c>
      <c r="S23" s="113">
        <v>0</v>
      </c>
      <c r="T23" s="113">
        <v>0</v>
      </c>
      <c r="U23" s="113">
        <v>0</v>
      </c>
      <c r="V23" s="113">
        <v>1</v>
      </c>
      <c r="W23" s="113">
        <v>0</v>
      </c>
      <c r="X23" s="113">
        <v>0</v>
      </c>
      <c r="Y23" s="113">
        <v>1</v>
      </c>
      <c r="Z23" s="113">
        <v>1</v>
      </c>
      <c r="AA23" s="113">
        <v>1</v>
      </c>
      <c r="AB23" s="113">
        <v>0</v>
      </c>
      <c r="AC23" s="113">
        <v>0</v>
      </c>
      <c r="AD23" s="113">
        <v>0</v>
      </c>
      <c r="AE23" s="113">
        <v>0</v>
      </c>
      <c r="AF23" s="113">
        <v>1</v>
      </c>
      <c r="AG23" s="113">
        <v>1</v>
      </c>
      <c r="AH23" s="113">
        <v>1</v>
      </c>
      <c r="AI23" s="113">
        <v>0</v>
      </c>
      <c r="AJ23" s="113">
        <v>1</v>
      </c>
      <c r="AK23" s="113">
        <v>1</v>
      </c>
      <c r="AL23" s="113">
        <v>1</v>
      </c>
      <c r="AM23" s="113">
        <v>0</v>
      </c>
      <c r="AN23" s="113">
        <v>0</v>
      </c>
    </row>
    <row r="24" spans="1:40" customFormat="1" x14ac:dyDescent="0.15">
      <c r="A24" s="190" t="s">
        <v>214</v>
      </c>
      <c r="B24" s="113">
        <v>0</v>
      </c>
      <c r="C24" s="113">
        <v>0</v>
      </c>
      <c r="D24" s="113">
        <v>0</v>
      </c>
      <c r="E24" s="113">
        <v>0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0</v>
      </c>
      <c r="AA24" s="113">
        <v>1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1</v>
      </c>
      <c r="AH24" s="113">
        <v>1</v>
      </c>
      <c r="AI24" s="113">
        <v>0</v>
      </c>
      <c r="AJ24" s="113">
        <v>1</v>
      </c>
      <c r="AK24" s="113">
        <v>1</v>
      </c>
      <c r="AL24" s="113">
        <v>0</v>
      </c>
      <c r="AM24" s="113">
        <v>0</v>
      </c>
      <c r="AN24" s="113">
        <v>0</v>
      </c>
    </row>
    <row r="25" spans="1:40" customFormat="1" x14ac:dyDescent="0.15">
      <c r="A25" s="190" t="s">
        <v>215</v>
      </c>
      <c r="B25" s="113">
        <v>0</v>
      </c>
      <c r="C25" s="113">
        <v>0</v>
      </c>
      <c r="D25" s="113">
        <v>0</v>
      </c>
      <c r="E25" s="113">
        <v>0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1</v>
      </c>
      <c r="N25" s="113">
        <v>1</v>
      </c>
      <c r="O25" s="113">
        <v>1</v>
      </c>
      <c r="P25" s="113">
        <v>1</v>
      </c>
      <c r="Q25" s="113">
        <v>1</v>
      </c>
      <c r="R25" s="113">
        <v>1</v>
      </c>
      <c r="S25" s="113">
        <v>0</v>
      </c>
      <c r="T25" s="113">
        <v>1</v>
      </c>
      <c r="U25" s="113">
        <v>1</v>
      </c>
      <c r="V25" s="113">
        <v>1</v>
      </c>
      <c r="W25" s="113">
        <v>1</v>
      </c>
      <c r="X25" s="113">
        <v>1</v>
      </c>
      <c r="Y25" s="113">
        <v>1</v>
      </c>
      <c r="Z25" s="113">
        <v>1</v>
      </c>
      <c r="AA25" s="113">
        <v>1</v>
      </c>
      <c r="AB25" s="113">
        <v>0</v>
      </c>
      <c r="AC25" s="113">
        <v>1</v>
      </c>
      <c r="AD25" s="113">
        <v>0</v>
      </c>
      <c r="AE25" s="113">
        <v>0</v>
      </c>
      <c r="AF25" s="113">
        <v>0</v>
      </c>
      <c r="AG25" s="113">
        <v>1</v>
      </c>
      <c r="AH25" s="113">
        <v>0</v>
      </c>
      <c r="AI25" s="113">
        <v>0</v>
      </c>
      <c r="AJ25" s="113">
        <v>1</v>
      </c>
      <c r="AK25" s="113">
        <v>1</v>
      </c>
      <c r="AL25" s="113">
        <v>1</v>
      </c>
      <c r="AM25" s="113">
        <v>0</v>
      </c>
      <c r="AN25" s="113">
        <v>0</v>
      </c>
    </row>
    <row r="26" spans="1:40" customFormat="1" x14ac:dyDescent="0.15">
      <c r="A26" s="190" t="s">
        <v>216</v>
      </c>
      <c r="B26" s="113">
        <v>0</v>
      </c>
      <c r="C26" s="113">
        <v>0</v>
      </c>
      <c r="D26" s="113">
        <v>0</v>
      </c>
      <c r="E26" s="113">
        <v>0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0</v>
      </c>
      <c r="M26" s="113">
        <v>0</v>
      </c>
      <c r="N26" s="113">
        <v>0</v>
      </c>
      <c r="O26" s="113">
        <v>1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1</v>
      </c>
      <c r="V26" s="113">
        <v>0</v>
      </c>
      <c r="W26" s="113">
        <v>0</v>
      </c>
      <c r="X26" s="113">
        <v>1</v>
      </c>
      <c r="Y26" s="113">
        <v>1</v>
      </c>
      <c r="Z26" s="113">
        <v>0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1</v>
      </c>
      <c r="AH26" s="113">
        <v>0</v>
      </c>
      <c r="AI26" s="113">
        <v>0</v>
      </c>
      <c r="AJ26" s="113">
        <v>1</v>
      </c>
      <c r="AK26" s="113">
        <v>1</v>
      </c>
      <c r="AL26" s="113">
        <v>1</v>
      </c>
      <c r="AM26" s="113">
        <v>0</v>
      </c>
      <c r="AN26" s="113">
        <v>0</v>
      </c>
    </row>
    <row r="27" spans="1:40" customFormat="1" x14ac:dyDescent="0.15">
      <c r="A27" s="190" t="s">
        <v>217</v>
      </c>
      <c r="B27" s="113">
        <v>0</v>
      </c>
      <c r="C27" s="113">
        <v>0</v>
      </c>
      <c r="D27" s="113">
        <v>0</v>
      </c>
      <c r="E27" s="113">
        <v>0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1</v>
      </c>
      <c r="V27" s="113">
        <v>0</v>
      </c>
      <c r="W27" s="113">
        <v>0</v>
      </c>
      <c r="X27" s="113">
        <v>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113">
        <v>0</v>
      </c>
      <c r="AE27" s="113">
        <v>0</v>
      </c>
      <c r="AF27" s="113">
        <v>0</v>
      </c>
      <c r="AG27" s="113">
        <v>1</v>
      </c>
      <c r="AH27" s="113">
        <v>0</v>
      </c>
      <c r="AI27" s="113">
        <v>0</v>
      </c>
      <c r="AJ27" s="113">
        <v>1</v>
      </c>
      <c r="AK27" s="113">
        <v>1</v>
      </c>
      <c r="AL27" s="113">
        <v>1</v>
      </c>
      <c r="AM27" s="113">
        <v>0</v>
      </c>
      <c r="AN27" s="113">
        <v>0</v>
      </c>
    </row>
    <row r="28" spans="1:40" customFormat="1" x14ac:dyDescent="0.15">
      <c r="A28" s="190" t="s">
        <v>218</v>
      </c>
      <c r="B28" s="113">
        <v>0</v>
      </c>
      <c r="C28" s="113">
        <v>0</v>
      </c>
      <c r="D28" s="113">
        <v>0</v>
      </c>
      <c r="E28" s="113">
        <v>0</v>
      </c>
      <c r="F28" s="113">
        <v>0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1</v>
      </c>
      <c r="N28" s="113">
        <v>1</v>
      </c>
      <c r="O28" s="113">
        <v>0</v>
      </c>
      <c r="P28" s="113">
        <v>0</v>
      </c>
      <c r="Q28" s="113">
        <v>1</v>
      </c>
      <c r="R28" s="113">
        <v>1</v>
      </c>
      <c r="S28" s="113">
        <v>1</v>
      </c>
      <c r="T28" s="113">
        <v>0</v>
      </c>
      <c r="U28" s="113">
        <v>0</v>
      </c>
      <c r="V28" s="113">
        <v>1</v>
      </c>
      <c r="W28" s="113">
        <v>0</v>
      </c>
      <c r="X28" s="113">
        <v>1</v>
      </c>
      <c r="Y28" s="113">
        <v>1</v>
      </c>
      <c r="Z28" s="113">
        <v>0</v>
      </c>
      <c r="AA28" s="113">
        <v>1</v>
      </c>
      <c r="AB28" s="113">
        <v>1</v>
      </c>
      <c r="AC28" s="113">
        <v>1</v>
      </c>
      <c r="AD28" s="113">
        <v>1</v>
      </c>
      <c r="AE28" s="113">
        <v>1</v>
      </c>
      <c r="AF28" s="113">
        <v>1</v>
      </c>
      <c r="AG28" s="113">
        <v>1</v>
      </c>
      <c r="AH28" s="113">
        <v>1</v>
      </c>
      <c r="AI28" s="113">
        <v>1</v>
      </c>
      <c r="AJ28" s="113">
        <v>0</v>
      </c>
      <c r="AK28" s="113">
        <v>1</v>
      </c>
      <c r="AL28" s="113">
        <v>1</v>
      </c>
      <c r="AM28" s="113">
        <v>0</v>
      </c>
      <c r="AN28" s="113">
        <v>0</v>
      </c>
    </row>
    <row r="29" spans="1:40" customFormat="1" x14ac:dyDescent="0.15">
      <c r="A29" s="190" t="s">
        <v>219</v>
      </c>
      <c r="B29" s="113">
        <v>0</v>
      </c>
      <c r="C29" s="113">
        <v>0</v>
      </c>
      <c r="D29" s="113">
        <v>0</v>
      </c>
      <c r="E29" s="113">
        <v>0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1</v>
      </c>
      <c r="N29" s="113">
        <v>1</v>
      </c>
      <c r="O29" s="113">
        <v>0</v>
      </c>
      <c r="P29" s="113">
        <v>0</v>
      </c>
      <c r="Q29" s="113">
        <v>1</v>
      </c>
      <c r="R29" s="113">
        <v>1</v>
      </c>
      <c r="S29" s="113">
        <v>1</v>
      </c>
      <c r="T29" s="113">
        <v>0</v>
      </c>
      <c r="U29" s="113">
        <v>0</v>
      </c>
      <c r="V29" s="113">
        <v>1</v>
      </c>
      <c r="W29" s="113">
        <v>0</v>
      </c>
      <c r="X29" s="113">
        <v>1</v>
      </c>
      <c r="Y29" s="113">
        <v>1</v>
      </c>
      <c r="Z29" s="113">
        <v>0</v>
      </c>
      <c r="AA29" s="113">
        <v>1</v>
      </c>
      <c r="AB29" s="113">
        <v>1</v>
      </c>
      <c r="AC29" s="113">
        <v>1</v>
      </c>
      <c r="AD29" s="113">
        <v>1</v>
      </c>
      <c r="AE29" s="113">
        <v>1</v>
      </c>
      <c r="AF29" s="113">
        <v>1</v>
      </c>
      <c r="AG29" s="113">
        <v>1</v>
      </c>
      <c r="AH29" s="113">
        <v>1</v>
      </c>
      <c r="AI29" s="113">
        <v>1</v>
      </c>
      <c r="AJ29" s="113">
        <v>0</v>
      </c>
      <c r="AK29" s="113">
        <v>1</v>
      </c>
      <c r="AL29" s="113">
        <v>0</v>
      </c>
      <c r="AM29" s="113">
        <v>0</v>
      </c>
      <c r="AN29" s="113">
        <v>0</v>
      </c>
    </row>
    <row r="30" spans="1:40" customFormat="1" x14ac:dyDescent="0.15">
      <c r="A30" s="190" t="s">
        <v>220</v>
      </c>
      <c r="B30" s="113">
        <v>0</v>
      </c>
      <c r="C30" s="113">
        <v>0</v>
      </c>
      <c r="D30" s="113">
        <v>0</v>
      </c>
      <c r="E30" s="113">
        <v>0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1</v>
      </c>
      <c r="N30" s="113">
        <v>0</v>
      </c>
      <c r="O30" s="113">
        <v>0</v>
      </c>
      <c r="P30" s="113">
        <v>1</v>
      </c>
      <c r="Q30" s="113">
        <v>0</v>
      </c>
      <c r="R30" s="113">
        <v>1</v>
      </c>
      <c r="S30" s="113">
        <v>1</v>
      </c>
      <c r="T30" s="113">
        <v>0</v>
      </c>
      <c r="U30" s="113">
        <v>0</v>
      </c>
      <c r="V30" s="113">
        <v>1</v>
      </c>
      <c r="W30" s="113">
        <v>0</v>
      </c>
      <c r="X30" s="113">
        <v>1</v>
      </c>
      <c r="Y30" s="113">
        <v>0</v>
      </c>
      <c r="Z30" s="113">
        <v>1</v>
      </c>
      <c r="AA30" s="113">
        <v>1</v>
      </c>
      <c r="AB30" s="113">
        <v>1</v>
      </c>
      <c r="AC30" s="113">
        <v>1</v>
      </c>
      <c r="AD30" s="113">
        <v>1</v>
      </c>
      <c r="AE30" s="113">
        <v>1</v>
      </c>
      <c r="AF30" s="113">
        <v>1</v>
      </c>
      <c r="AG30" s="113">
        <v>0</v>
      </c>
      <c r="AH30" s="113">
        <v>1</v>
      </c>
      <c r="AI30" s="113">
        <v>1</v>
      </c>
      <c r="AJ30" s="113">
        <v>0</v>
      </c>
      <c r="AK30" s="113">
        <v>1</v>
      </c>
      <c r="AL30" s="113">
        <v>1</v>
      </c>
      <c r="AM30" s="113">
        <v>0</v>
      </c>
      <c r="AN30" s="113">
        <v>0</v>
      </c>
    </row>
    <row r="31" spans="1:40" customFormat="1" x14ac:dyDescent="0.15">
      <c r="A31" s="190" t="s">
        <v>221</v>
      </c>
      <c r="B31" s="113">
        <v>0</v>
      </c>
      <c r="C31" s="113">
        <v>0</v>
      </c>
      <c r="D31" s="113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13">
        <v>0</v>
      </c>
      <c r="L31" s="113">
        <v>0</v>
      </c>
      <c r="M31" s="113">
        <v>1</v>
      </c>
      <c r="N31" s="113">
        <v>0</v>
      </c>
      <c r="O31" s="113">
        <v>0</v>
      </c>
      <c r="P31" s="113">
        <v>0</v>
      </c>
      <c r="Q31" s="113">
        <v>0</v>
      </c>
      <c r="R31" s="113">
        <v>0</v>
      </c>
      <c r="S31" s="113">
        <v>0</v>
      </c>
      <c r="T31" s="113">
        <v>0</v>
      </c>
      <c r="U31" s="113">
        <v>0</v>
      </c>
      <c r="V31" s="113">
        <v>0</v>
      </c>
      <c r="W31" s="113">
        <v>0</v>
      </c>
      <c r="X31" s="113">
        <v>0</v>
      </c>
      <c r="Y31" s="113">
        <v>0</v>
      </c>
      <c r="Z31" s="113">
        <v>0</v>
      </c>
      <c r="AA31" s="113">
        <v>0</v>
      </c>
      <c r="AB31" s="113">
        <v>0</v>
      </c>
      <c r="AC31" s="113">
        <v>0</v>
      </c>
      <c r="AD31" s="113">
        <v>1</v>
      </c>
      <c r="AE31" s="113">
        <v>1</v>
      </c>
      <c r="AF31" s="113">
        <v>1</v>
      </c>
      <c r="AG31" s="113">
        <v>0</v>
      </c>
      <c r="AH31" s="113">
        <v>1</v>
      </c>
      <c r="AI31" s="113">
        <v>1</v>
      </c>
      <c r="AJ31" s="113">
        <v>1</v>
      </c>
      <c r="AK31" s="113">
        <v>1</v>
      </c>
      <c r="AL31" s="113">
        <v>1</v>
      </c>
      <c r="AM31" s="113">
        <v>0</v>
      </c>
      <c r="AN31" s="113">
        <v>0</v>
      </c>
    </row>
    <row r="32" spans="1:40" x14ac:dyDescent="0.15">
      <c r="A32" s="190" t="s">
        <v>222</v>
      </c>
      <c r="B32" s="113">
        <v>0</v>
      </c>
      <c r="C32" s="113">
        <v>0</v>
      </c>
      <c r="D32" s="113">
        <v>0</v>
      </c>
      <c r="E32" s="113">
        <v>0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0</v>
      </c>
      <c r="O32" s="113">
        <v>0</v>
      </c>
      <c r="P32" s="113">
        <v>0</v>
      </c>
      <c r="Q32" s="113">
        <v>0</v>
      </c>
      <c r="R32" s="113">
        <v>0</v>
      </c>
      <c r="S32" s="113">
        <v>0</v>
      </c>
      <c r="T32" s="113">
        <v>0</v>
      </c>
      <c r="U32" s="113">
        <v>0</v>
      </c>
      <c r="V32" s="113">
        <v>0</v>
      </c>
      <c r="W32" s="113">
        <v>0</v>
      </c>
      <c r="X32" s="113">
        <v>0</v>
      </c>
      <c r="Y32" s="113">
        <v>0</v>
      </c>
      <c r="Z32" s="113">
        <v>0</v>
      </c>
      <c r="AA32" s="113">
        <v>0</v>
      </c>
      <c r="AB32" s="113">
        <v>0</v>
      </c>
      <c r="AC32" s="113">
        <v>0</v>
      </c>
      <c r="AD32" s="113">
        <v>0</v>
      </c>
      <c r="AE32" s="113">
        <v>0</v>
      </c>
      <c r="AF32" s="113">
        <v>0</v>
      </c>
      <c r="AG32" s="113">
        <v>0</v>
      </c>
      <c r="AH32" s="113">
        <v>1</v>
      </c>
      <c r="AI32" s="113">
        <v>0</v>
      </c>
      <c r="AJ32" s="113">
        <v>1</v>
      </c>
      <c r="AK32" s="113">
        <v>1</v>
      </c>
      <c r="AL32" s="113">
        <v>0</v>
      </c>
      <c r="AM32" s="113">
        <v>0</v>
      </c>
      <c r="AN32" s="113">
        <v>0</v>
      </c>
    </row>
    <row r="33" spans="1:40" x14ac:dyDescent="0.15">
      <c r="A33" s="190" t="s">
        <v>223</v>
      </c>
      <c r="B33" s="113">
        <v>0</v>
      </c>
      <c r="C33" s="113">
        <v>0</v>
      </c>
      <c r="D33" s="113">
        <v>0</v>
      </c>
      <c r="E33" s="113">
        <v>0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0</v>
      </c>
      <c r="S33" s="113">
        <v>0</v>
      </c>
      <c r="T33" s="113">
        <v>0</v>
      </c>
      <c r="U33" s="113">
        <v>0</v>
      </c>
      <c r="V33" s="113">
        <v>0</v>
      </c>
      <c r="W33" s="113">
        <v>0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1</v>
      </c>
      <c r="AH33" s="113">
        <v>1</v>
      </c>
      <c r="AI33" s="113">
        <v>0</v>
      </c>
      <c r="AJ33" s="113">
        <v>0</v>
      </c>
      <c r="AK33" s="113">
        <v>0</v>
      </c>
      <c r="AL33" s="113">
        <v>0</v>
      </c>
      <c r="AM33" s="113">
        <v>0</v>
      </c>
      <c r="AN33" s="113">
        <v>0</v>
      </c>
    </row>
    <row r="34" spans="1:40" x14ac:dyDescent="0.15">
      <c r="A34" s="190" t="s">
        <v>224</v>
      </c>
      <c r="B34" s="113">
        <v>0</v>
      </c>
      <c r="C34" s="113">
        <v>0</v>
      </c>
      <c r="D34" s="113">
        <v>0</v>
      </c>
      <c r="E34" s="113">
        <v>0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0</v>
      </c>
      <c r="L34" s="113">
        <v>0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0</v>
      </c>
      <c r="Y34" s="113">
        <v>0</v>
      </c>
      <c r="Z34" s="113">
        <v>0</v>
      </c>
      <c r="AA34" s="113">
        <v>0</v>
      </c>
      <c r="AB34" s="113">
        <v>0</v>
      </c>
      <c r="AC34" s="113">
        <v>0</v>
      </c>
      <c r="AD34" s="113">
        <v>0</v>
      </c>
      <c r="AE34" s="113">
        <v>0</v>
      </c>
      <c r="AF34" s="113">
        <v>0</v>
      </c>
      <c r="AG34" s="113">
        <v>0</v>
      </c>
      <c r="AH34" s="113">
        <v>1</v>
      </c>
      <c r="AI34" s="113">
        <v>0</v>
      </c>
      <c r="AJ34" s="113">
        <v>0</v>
      </c>
      <c r="AK34" s="113">
        <v>0</v>
      </c>
      <c r="AL34" s="113">
        <v>0</v>
      </c>
      <c r="AM34" s="113">
        <v>0</v>
      </c>
      <c r="AN34" s="113">
        <v>0</v>
      </c>
    </row>
    <row r="35" spans="1:40" x14ac:dyDescent="0.15">
      <c r="A35" s="190" t="s">
        <v>225</v>
      </c>
      <c r="B35" s="113">
        <v>0</v>
      </c>
      <c r="C35" s="113">
        <v>0</v>
      </c>
      <c r="D35" s="113">
        <v>0</v>
      </c>
      <c r="E35" s="113">
        <v>0</v>
      </c>
      <c r="F35" s="113">
        <v>0</v>
      </c>
      <c r="G35" s="113">
        <v>0</v>
      </c>
      <c r="H35" s="113">
        <v>0</v>
      </c>
      <c r="I35" s="113">
        <v>0</v>
      </c>
      <c r="J35" s="113">
        <v>0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0</v>
      </c>
      <c r="S35" s="113">
        <v>0</v>
      </c>
      <c r="T35" s="113">
        <v>0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1</v>
      </c>
      <c r="AI35" s="113">
        <v>0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</row>
    <row r="36" spans="1:40" x14ac:dyDescent="0.15">
      <c r="A36" s="190" t="s">
        <v>226</v>
      </c>
      <c r="B36" s="113">
        <v>0</v>
      </c>
      <c r="C36" s="113">
        <v>0</v>
      </c>
      <c r="D36" s="113">
        <v>0</v>
      </c>
      <c r="E36" s="113">
        <v>0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0</v>
      </c>
      <c r="L36" s="113">
        <v>0</v>
      </c>
      <c r="M36" s="113">
        <v>0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113">
        <v>0</v>
      </c>
      <c r="AE36" s="113">
        <v>0</v>
      </c>
      <c r="AF36" s="113">
        <v>0</v>
      </c>
      <c r="AG36" s="113">
        <v>0</v>
      </c>
      <c r="AH36" s="113">
        <v>1</v>
      </c>
      <c r="AI36" s="113">
        <v>0</v>
      </c>
      <c r="AJ36" s="113">
        <v>0</v>
      </c>
      <c r="AK36" s="113">
        <v>0</v>
      </c>
      <c r="AL36" s="113">
        <v>0</v>
      </c>
      <c r="AM36" s="113">
        <v>0</v>
      </c>
      <c r="AN36" s="113">
        <v>0</v>
      </c>
    </row>
    <row r="37" spans="1:40" x14ac:dyDescent="0.15">
      <c r="A37" s="190" t="s">
        <v>227</v>
      </c>
      <c r="B37" s="113">
        <v>0</v>
      </c>
      <c r="C37" s="113">
        <v>0</v>
      </c>
      <c r="D37" s="113">
        <v>0</v>
      </c>
      <c r="E37" s="113">
        <v>0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113">
        <v>0</v>
      </c>
      <c r="AE37" s="113">
        <v>0</v>
      </c>
      <c r="AF37" s="113">
        <v>0</v>
      </c>
      <c r="AG37" s="113">
        <v>0</v>
      </c>
      <c r="AH37" s="113">
        <v>1</v>
      </c>
      <c r="AI37" s="113">
        <v>0</v>
      </c>
      <c r="AJ37" s="113">
        <v>0</v>
      </c>
      <c r="AK37" s="113">
        <v>0</v>
      </c>
      <c r="AL37" s="113">
        <v>0</v>
      </c>
      <c r="AM37" s="113">
        <v>0</v>
      </c>
      <c r="AN37" s="113">
        <v>0</v>
      </c>
    </row>
    <row r="38" spans="1:40" x14ac:dyDescent="0.15">
      <c r="A38" s="190" t="s">
        <v>228</v>
      </c>
      <c r="B38" s="113">
        <v>0</v>
      </c>
      <c r="C38" s="113">
        <v>0</v>
      </c>
      <c r="D38" s="113">
        <v>0</v>
      </c>
      <c r="E38" s="113">
        <v>0</v>
      </c>
      <c r="F38" s="113">
        <v>0</v>
      </c>
      <c r="G38" s="113">
        <v>0</v>
      </c>
      <c r="H38" s="113">
        <v>0</v>
      </c>
      <c r="I38" s="113">
        <v>0</v>
      </c>
      <c r="J38" s="113">
        <v>0</v>
      </c>
      <c r="K38" s="113">
        <v>0</v>
      </c>
      <c r="L38" s="113">
        <v>0</v>
      </c>
      <c r="M38" s="113">
        <v>0</v>
      </c>
      <c r="N38" s="113">
        <v>0</v>
      </c>
      <c r="O38" s="113">
        <v>0</v>
      </c>
      <c r="P38" s="113">
        <v>0</v>
      </c>
      <c r="Q38" s="113">
        <v>0</v>
      </c>
      <c r="R38" s="113">
        <v>0</v>
      </c>
      <c r="S38" s="113">
        <v>0</v>
      </c>
      <c r="T38" s="113">
        <v>0</v>
      </c>
      <c r="U38" s="113">
        <v>0</v>
      </c>
      <c r="V38" s="113">
        <v>0</v>
      </c>
      <c r="W38" s="113">
        <v>0</v>
      </c>
      <c r="X38" s="113">
        <v>0</v>
      </c>
      <c r="Y38" s="113">
        <v>0</v>
      </c>
      <c r="Z38" s="113">
        <v>0</v>
      </c>
      <c r="AA38" s="113">
        <v>0</v>
      </c>
      <c r="AB38" s="113">
        <v>0</v>
      </c>
      <c r="AC38" s="113">
        <v>0</v>
      </c>
      <c r="AD38" s="113">
        <v>0</v>
      </c>
      <c r="AE38" s="113">
        <v>0</v>
      </c>
      <c r="AF38" s="113">
        <v>0</v>
      </c>
      <c r="AG38" s="113">
        <v>0</v>
      </c>
      <c r="AH38" s="113">
        <v>1</v>
      </c>
      <c r="AI38" s="113">
        <v>0</v>
      </c>
      <c r="AJ38" s="113">
        <v>0</v>
      </c>
      <c r="AK38" s="113">
        <v>0</v>
      </c>
      <c r="AL38" s="113">
        <v>0</v>
      </c>
      <c r="AM38" s="113">
        <v>0</v>
      </c>
      <c r="AN38" s="113">
        <v>0</v>
      </c>
    </row>
    <row r="39" spans="1:40" x14ac:dyDescent="0.15">
      <c r="A39" s="190" t="s">
        <v>229</v>
      </c>
      <c r="B39" s="113">
        <v>0</v>
      </c>
      <c r="C39" s="113">
        <v>0</v>
      </c>
      <c r="D39" s="113">
        <v>1</v>
      </c>
      <c r="E39" s="113">
        <v>0</v>
      </c>
      <c r="F39" s="113">
        <v>1</v>
      </c>
      <c r="G39" s="113">
        <v>1</v>
      </c>
      <c r="H39" s="113">
        <v>1</v>
      </c>
      <c r="I39" s="113">
        <v>1</v>
      </c>
      <c r="J39" s="113">
        <v>1</v>
      </c>
      <c r="K39" s="113">
        <v>1</v>
      </c>
      <c r="L39" s="113">
        <v>1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0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1</v>
      </c>
      <c r="Z39" s="113">
        <v>1</v>
      </c>
      <c r="AA39" s="113">
        <v>0</v>
      </c>
      <c r="AB39" s="113">
        <v>1</v>
      </c>
      <c r="AC39" s="113">
        <v>0</v>
      </c>
      <c r="AD39" s="113">
        <v>1</v>
      </c>
      <c r="AE39" s="113">
        <v>1</v>
      </c>
      <c r="AF39" s="113">
        <v>1</v>
      </c>
      <c r="AG39" s="113">
        <v>0</v>
      </c>
      <c r="AH39" s="113">
        <v>0</v>
      </c>
      <c r="AI39" s="113">
        <v>1</v>
      </c>
      <c r="AJ39" s="113">
        <v>0</v>
      </c>
      <c r="AK39" s="113">
        <v>0</v>
      </c>
      <c r="AL39" s="113">
        <v>0</v>
      </c>
      <c r="AM39" s="113">
        <v>0</v>
      </c>
      <c r="AN39" s="113">
        <v>0</v>
      </c>
    </row>
    <row r="40" spans="1:40" x14ac:dyDescent="0.15">
      <c r="A40" s="190" t="s">
        <v>230</v>
      </c>
      <c r="B40" s="113">
        <v>0</v>
      </c>
      <c r="C40" s="113">
        <v>0</v>
      </c>
      <c r="D40" s="113">
        <v>0</v>
      </c>
      <c r="E40" s="113">
        <v>0</v>
      </c>
      <c r="F40" s="113">
        <v>0</v>
      </c>
      <c r="G40" s="113">
        <v>0</v>
      </c>
      <c r="H40" s="113">
        <v>0</v>
      </c>
      <c r="I40" s="113">
        <v>0</v>
      </c>
      <c r="J40" s="113">
        <v>0</v>
      </c>
      <c r="K40" s="113">
        <v>0</v>
      </c>
      <c r="L40" s="113">
        <v>0</v>
      </c>
      <c r="M40" s="113">
        <v>0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113">
        <v>0</v>
      </c>
      <c r="AE40" s="113">
        <v>0</v>
      </c>
      <c r="AF40" s="113">
        <v>0</v>
      </c>
      <c r="AG40" s="113">
        <v>0</v>
      </c>
      <c r="AH40" s="113">
        <v>0</v>
      </c>
      <c r="AI40" s="113">
        <v>0</v>
      </c>
      <c r="AJ40" s="113">
        <v>0</v>
      </c>
      <c r="AK40" s="113">
        <v>0</v>
      </c>
      <c r="AL40" s="113">
        <v>0</v>
      </c>
      <c r="AM40" s="113">
        <v>0</v>
      </c>
      <c r="AN40" s="113">
        <v>0</v>
      </c>
    </row>
    <row r="41" spans="1:40" x14ac:dyDescent="0.15">
      <c r="A41" s="190" t="s">
        <v>232</v>
      </c>
      <c r="B41" s="113">
        <v>0</v>
      </c>
      <c r="C41" s="113">
        <v>0</v>
      </c>
      <c r="D41" s="113">
        <v>0</v>
      </c>
      <c r="E41" s="113">
        <v>0</v>
      </c>
      <c r="F41" s="113">
        <v>0</v>
      </c>
      <c r="G41" s="113">
        <v>0</v>
      </c>
      <c r="H41" s="113">
        <v>0</v>
      </c>
      <c r="I41" s="113">
        <v>0</v>
      </c>
      <c r="J41" s="113">
        <v>0</v>
      </c>
      <c r="K41" s="113">
        <v>0</v>
      </c>
      <c r="L41" s="113">
        <v>0</v>
      </c>
      <c r="M41" s="113">
        <v>0</v>
      </c>
      <c r="N41" s="113">
        <v>0</v>
      </c>
      <c r="O41" s="113">
        <v>0</v>
      </c>
      <c r="P41" s="113">
        <v>0</v>
      </c>
      <c r="Q41" s="113">
        <v>0</v>
      </c>
      <c r="R41" s="113">
        <v>0</v>
      </c>
      <c r="S41" s="113">
        <v>0</v>
      </c>
      <c r="T41" s="113">
        <v>0</v>
      </c>
      <c r="U41" s="113">
        <v>0</v>
      </c>
      <c r="V41" s="113">
        <v>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113">
        <v>0</v>
      </c>
      <c r="AE41" s="113">
        <v>0</v>
      </c>
      <c r="AF41" s="113">
        <v>0</v>
      </c>
      <c r="AG41" s="113">
        <v>0</v>
      </c>
      <c r="AH41" s="113">
        <v>0</v>
      </c>
      <c r="AI41" s="113">
        <v>0</v>
      </c>
      <c r="AJ41" s="113">
        <v>0</v>
      </c>
      <c r="AK41" s="113">
        <v>0</v>
      </c>
      <c r="AL41" s="113">
        <v>0</v>
      </c>
      <c r="AM41" s="113">
        <v>0</v>
      </c>
      <c r="AN41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7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3" t="s">
        <v>231</v>
      </c>
    </row>
    <row r="2" spans="1:3" x14ac:dyDescent="0.15">
      <c r="A2">
        <v>1</v>
      </c>
      <c r="B2" s="192" t="s">
        <v>192</v>
      </c>
      <c r="C2">
        <v>0</v>
      </c>
    </row>
    <row r="3" spans="1:3" x14ac:dyDescent="0.15">
      <c r="A3">
        <v>2</v>
      </c>
      <c r="B3" s="192" t="s">
        <v>193</v>
      </c>
      <c r="C3">
        <v>0.8</v>
      </c>
    </row>
    <row r="4" spans="1:3" x14ac:dyDescent="0.15">
      <c r="A4">
        <v>3</v>
      </c>
      <c r="B4" s="192" t="s">
        <v>194</v>
      </c>
      <c r="C4">
        <v>0.8</v>
      </c>
    </row>
    <row r="5" spans="1:3" x14ac:dyDescent="0.15">
      <c r="A5">
        <v>4</v>
      </c>
      <c r="B5" s="192" t="s">
        <v>195</v>
      </c>
      <c r="C5">
        <v>0.8</v>
      </c>
    </row>
    <row r="6" spans="1:3" x14ac:dyDescent="0.15">
      <c r="A6">
        <v>5</v>
      </c>
      <c r="B6" s="192" t="s">
        <v>196</v>
      </c>
      <c r="C6">
        <v>0</v>
      </c>
    </row>
    <row r="7" spans="1:3" x14ac:dyDescent="0.15">
      <c r="A7">
        <v>6</v>
      </c>
      <c r="B7" s="192" t="s">
        <v>197</v>
      </c>
      <c r="C7">
        <v>0.8</v>
      </c>
    </row>
    <row r="8" spans="1:3" x14ac:dyDescent="0.15">
      <c r="A8">
        <v>7</v>
      </c>
      <c r="B8" s="192" t="s">
        <v>198</v>
      </c>
      <c r="C8">
        <v>0.8</v>
      </c>
    </row>
    <row r="9" spans="1:3" x14ac:dyDescent="0.15">
      <c r="A9">
        <v>8</v>
      </c>
      <c r="B9" s="192" t="s">
        <v>199</v>
      </c>
      <c r="C9">
        <v>0.8</v>
      </c>
    </row>
    <row r="10" spans="1:3" x14ac:dyDescent="0.15">
      <c r="A10">
        <v>9</v>
      </c>
      <c r="B10" s="192" t="s">
        <v>200</v>
      </c>
      <c r="C10">
        <v>0.8</v>
      </c>
    </row>
    <row r="11" spans="1:3" x14ac:dyDescent="0.15">
      <c r="A11">
        <v>10</v>
      </c>
      <c r="B11" s="192" t="s">
        <v>201</v>
      </c>
      <c r="C11">
        <v>0.8</v>
      </c>
    </row>
    <row r="12" spans="1:3" x14ac:dyDescent="0.15">
      <c r="A12">
        <v>11</v>
      </c>
      <c r="B12" s="192" t="s">
        <v>202</v>
      </c>
      <c r="C12">
        <v>0.8</v>
      </c>
    </row>
    <row r="13" spans="1:3" x14ac:dyDescent="0.15">
      <c r="A13">
        <v>12</v>
      </c>
      <c r="B13" s="192" t="s">
        <v>203</v>
      </c>
      <c r="C13">
        <v>0.8</v>
      </c>
    </row>
    <row r="14" spans="1:3" x14ac:dyDescent="0.15">
      <c r="A14">
        <v>13</v>
      </c>
      <c r="B14" s="192" t="s">
        <v>204</v>
      </c>
      <c r="C14">
        <v>0.8</v>
      </c>
    </row>
    <row r="15" spans="1:3" x14ac:dyDescent="0.15">
      <c r="A15">
        <v>14</v>
      </c>
      <c r="B15" s="192" t="s">
        <v>205</v>
      </c>
      <c r="C15">
        <v>0.8</v>
      </c>
    </row>
    <row r="16" spans="1:3" x14ac:dyDescent="0.15">
      <c r="A16">
        <v>15</v>
      </c>
      <c r="B16" s="192" t="s">
        <v>206</v>
      </c>
      <c r="C16">
        <v>0.8</v>
      </c>
    </row>
    <row r="17" spans="1:3" x14ac:dyDescent="0.15">
      <c r="A17">
        <v>16</v>
      </c>
      <c r="B17" s="192" t="s">
        <v>207</v>
      </c>
      <c r="C17">
        <v>0.8</v>
      </c>
    </row>
    <row r="18" spans="1:3" x14ac:dyDescent="0.15">
      <c r="A18">
        <v>17</v>
      </c>
      <c r="B18" s="192" t="s">
        <v>208</v>
      </c>
      <c r="C18">
        <v>0.8</v>
      </c>
    </row>
    <row r="19" spans="1:3" x14ac:dyDescent="0.15">
      <c r="A19">
        <v>18</v>
      </c>
      <c r="B19" s="192" t="s">
        <v>209</v>
      </c>
      <c r="C19">
        <v>0.8</v>
      </c>
    </row>
    <row r="20" spans="1:3" x14ac:dyDescent="0.15">
      <c r="A20">
        <v>19</v>
      </c>
      <c r="B20" s="192" t="s">
        <v>210</v>
      </c>
      <c r="C20">
        <v>0.8</v>
      </c>
    </row>
    <row r="21" spans="1:3" x14ac:dyDescent="0.15">
      <c r="A21">
        <v>20</v>
      </c>
      <c r="B21" s="192" t="s">
        <v>211</v>
      </c>
      <c r="C21">
        <v>0.8</v>
      </c>
    </row>
    <row r="22" spans="1:3" x14ac:dyDescent="0.15">
      <c r="A22">
        <v>21</v>
      </c>
      <c r="B22" s="192" t="s">
        <v>212</v>
      </c>
      <c r="C22">
        <v>0.8</v>
      </c>
    </row>
    <row r="23" spans="1:3" x14ac:dyDescent="0.15">
      <c r="A23">
        <v>22</v>
      </c>
      <c r="B23" s="192" t="s">
        <v>213</v>
      </c>
      <c r="C23">
        <v>0.8</v>
      </c>
    </row>
    <row r="24" spans="1:3" x14ac:dyDescent="0.15">
      <c r="A24">
        <v>23</v>
      </c>
      <c r="B24" s="192" t="s">
        <v>214</v>
      </c>
      <c r="C24">
        <v>0.8</v>
      </c>
    </row>
    <row r="25" spans="1:3" x14ac:dyDescent="0.15">
      <c r="A25">
        <v>24</v>
      </c>
      <c r="B25" s="192" t="s">
        <v>215</v>
      </c>
      <c r="C25">
        <v>0.8</v>
      </c>
    </row>
    <row r="26" spans="1:3" x14ac:dyDescent="0.15">
      <c r="A26">
        <v>25</v>
      </c>
      <c r="B26" s="192" t="s">
        <v>216</v>
      </c>
      <c r="C26">
        <v>0.8</v>
      </c>
    </row>
    <row r="27" spans="1:3" x14ac:dyDescent="0.15">
      <c r="A27">
        <v>26</v>
      </c>
      <c r="B27" s="192" t="s">
        <v>217</v>
      </c>
      <c r="C27">
        <v>0.8</v>
      </c>
    </row>
    <row r="28" spans="1:3" x14ac:dyDescent="0.15">
      <c r="A28">
        <v>27</v>
      </c>
      <c r="B28" s="192" t="s">
        <v>218</v>
      </c>
      <c r="C28">
        <v>0.8</v>
      </c>
    </row>
    <row r="29" spans="1:3" x14ac:dyDescent="0.15">
      <c r="A29">
        <v>28</v>
      </c>
      <c r="B29" s="192" t="s">
        <v>219</v>
      </c>
      <c r="C29">
        <v>0.8</v>
      </c>
    </row>
    <row r="30" spans="1:3" x14ac:dyDescent="0.15">
      <c r="A30">
        <v>29</v>
      </c>
      <c r="B30" s="192" t="s">
        <v>220</v>
      </c>
      <c r="C30">
        <v>0.8</v>
      </c>
    </row>
    <row r="31" spans="1:3" x14ac:dyDescent="0.15">
      <c r="A31">
        <v>30</v>
      </c>
      <c r="B31" s="192" t="s">
        <v>221</v>
      </c>
      <c r="C31">
        <v>0.8</v>
      </c>
    </row>
    <row r="32" spans="1:3" x14ac:dyDescent="0.15">
      <c r="A32">
        <v>31</v>
      </c>
      <c r="B32" s="192" t="s">
        <v>222</v>
      </c>
      <c r="C32">
        <v>0.8</v>
      </c>
    </row>
    <row r="33" spans="1:3" x14ac:dyDescent="0.15">
      <c r="A33">
        <v>32</v>
      </c>
      <c r="B33" s="192" t="s">
        <v>223</v>
      </c>
      <c r="C33">
        <v>0.8</v>
      </c>
    </row>
    <row r="34" spans="1:3" x14ac:dyDescent="0.15">
      <c r="A34">
        <v>33</v>
      </c>
      <c r="B34" s="192" t="s">
        <v>224</v>
      </c>
      <c r="C34">
        <v>0.8</v>
      </c>
    </row>
    <row r="35" spans="1:3" x14ac:dyDescent="0.15">
      <c r="A35">
        <v>34</v>
      </c>
      <c r="B35" s="192" t="s">
        <v>225</v>
      </c>
      <c r="C35">
        <v>0</v>
      </c>
    </row>
    <row r="36" spans="1:3" x14ac:dyDescent="0.15">
      <c r="A36">
        <v>35</v>
      </c>
      <c r="B36" s="192" t="s">
        <v>226</v>
      </c>
      <c r="C36">
        <v>0.8</v>
      </c>
    </row>
    <row r="37" spans="1:3" x14ac:dyDescent="0.15">
      <c r="A37">
        <v>36</v>
      </c>
      <c r="B37" s="192" t="s">
        <v>227</v>
      </c>
      <c r="C37">
        <v>0.8</v>
      </c>
    </row>
    <row r="38" spans="1:3" x14ac:dyDescent="0.15">
      <c r="A38">
        <v>37</v>
      </c>
      <c r="B38" s="192" t="s">
        <v>228</v>
      </c>
      <c r="C38">
        <v>0.8</v>
      </c>
    </row>
    <row r="39" spans="1:3" x14ac:dyDescent="0.15">
      <c r="A39">
        <v>38</v>
      </c>
      <c r="B39" s="192" t="s">
        <v>229</v>
      </c>
      <c r="C39">
        <v>0</v>
      </c>
    </row>
    <row r="40" spans="1:3" x14ac:dyDescent="0.15">
      <c r="A40">
        <v>39</v>
      </c>
      <c r="B40" s="192" t="s">
        <v>230</v>
      </c>
      <c r="C4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4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7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5" t="s">
        <v>231</v>
      </c>
    </row>
    <row r="2" spans="1:3" x14ac:dyDescent="0.15">
      <c r="A2">
        <v>1</v>
      </c>
      <c r="B2" s="194" t="s">
        <v>192</v>
      </c>
      <c r="C2">
        <v>0</v>
      </c>
    </row>
    <row r="3" spans="1:3" x14ac:dyDescent="0.15">
      <c r="A3">
        <v>2</v>
      </c>
      <c r="B3" s="194" t="s">
        <v>193</v>
      </c>
      <c r="C3">
        <v>0.8</v>
      </c>
    </row>
    <row r="4" spans="1:3" x14ac:dyDescent="0.15">
      <c r="A4">
        <v>3</v>
      </c>
      <c r="B4" s="194" t="s">
        <v>194</v>
      </c>
      <c r="C4">
        <v>0.8</v>
      </c>
    </row>
    <row r="5" spans="1:3" x14ac:dyDescent="0.15">
      <c r="A5">
        <v>4</v>
      </c>
      <c r="B5" s="194" t="s">
        <v>195</v>
      </c>
      <c r="C5">
        <v>0.8</v>
      </c>
    </row>
    <row r="6" spans="1:3" x14ac:dyDescent="0.15">
      <c r="A6">
        <v>5</v>
      </c>
      <c r="B6" s="194" t="s">
        <v>196</v>
      </c>
      <c r="C6">
        <v>0</v>
      </c>
    </row>
    <row r="7" spans="1:3" x14ac:dyDescent="0.15">
      <c r="A7">
        <v>6</v>
      </c>
      <c r="B7" s="194" t="s">
        <v>197</v>
      </c>
      <c r="C7">
        <v>0.8</v>
      </c>
    </row>
    <row r="8" spans="1:3" x14ac:dyDescent="0.15">
      <c r="A8">
        <v>7</v>
      </c>
      <c r="B8" s="194" t="s">
        <v>198</v>
      </c>
      <c r="C8">
        <v>0.8</v>
      </c>
    </row>
    <row r="9" spans="1:3" x14ac:dyDescent="0.15">
      <c r="A9">
        <v>8</v>
      </c>
      <c r="B9" s="194" t="s">
        <v>199</v>
      </c>
      <c r="C9">
        <v>0.8</v>
      </c>
    </row>
    <row r="10" spans="1:3" x14ac:dyDescent="0.15">
      <c r="A10">
        <v>9</v>
      </c>
      <c r="B10" s="194" t="s">
        <v>200</v>
      </c>
      <c r="C10">
        <v>0.8</v>
      </c>
    </row>
    <row r="11" spans="1:3" x14ac:dyDescent="0.15">
      <c r="A11">
        <v>10</v>
      </c>
      <c r="B11" s="194" t="s">
        <v>201</v>
      </c>
      <c r="C11">
        <v>0.8</v>
      </c>
    </row>
    <row r="12" spans="1:3" x14ac:dyDescent="0.15">
      <c r="A12">
        <v>11</v>
      </c>
      <c r="B12" s="194" t="s">
        <v>202</v>
      </c>
      <c r="C12">
        <v>0.8</v>
      </c>
    </row>
    <row r="13" spans="1:3" x14ac:dyDescent="0.15">
      <c r="A13">
        <v>12</v>
      </c>
      <c r="B13" s="194" t="s">
        <v>203</v>
      </c>
      <c r="C13">
        <v>0.8</v>
      </c>
    </row>
    <row r="14" spans="1:3" x14ac:dyDescent="0.15">
      <c r="A14">
        <v>13</v>
      </c>
      <c r="B14" s="194" t="s">
        <v>204</v>
      </c>
      <c r="C14">
        <v>0.8</v>
      </c>
    </row>
    <row r="15" spans="1:3" x14ac:dyDescent="0.15">
      <c r="A15">
        <v>14</v>
      </c>
      <c r="B15" s="194" t="s">
        <v>205</v>
      </c>
      <c r="C15">
        <v>0.8</v>
      </c>
    </row>
    <row r="16" spans="1:3" x14ac:dyDescent="0.15">
      <c r="A16">
        <v>15</v>
      </c>
      <c r="B16" s="194" t="s">
        <v>206</v>
      </c>
      <c r="C16">
        <v>0.8</v>
      </c>
    </row>
    <row r="17" spans="1:3" x14ac:dyDescent="0.15">
      <c r="A17">
        <v>16</v>
      </c>
      <c r="B17" s="194" t="s">
        <v>207</v>
      </c>
      <c r="C17">
        <v>0.8</v>
      </c>
    </row>
    <row r="18" spans="1:3" x14ac:dyDescent="0.15">
      <c r="A18">
        <v>17</v>
      </c>
      <c r="B18" s="194" t="s">
        <v>208</v>
      </c>
      <c r="C18">
        <v>0.8</v>
      </c>
    </row>
    <row r="19" spans="1:3" x14ac:dyDescent="0.15">
      <c r="A19">
        <v>18</v>
      </c>
      <c r="B19" s="194" t="s">
        <v>209</v>
      </c>
      <c r="C19">
        <v>0.8</v>
      </c>
    </row>
    <row r="20" spans="1:3" x14ac:dyDescent="0.15">
      <c r="A20">
        <v>19</v>
      </c>
      <c r="B20" s="194" t="s">
        <v>210</v>
      </c>
      <c r="C20">
        <v>0.8</v>
      </c>
    </row>
    <row r="21" spans="1:3" x14ac:dyDescent="0.15">
      <c r="A21">
        <v>20</v>
      </c>
      <c r="B21" s="194" t="s">
        <v>211</v>
      </c>
      <c r="C21">
        <v>0.8</v>
      </c>
    </row>
    <row r="22" spans="1:3" x14ac:dyDescent="0.15">
      <c r="A22">
        <v>21</v>
      </c>
      <c r="B22" s="194" t="s">
        <v>212</v>
      </c>
      <c r="C22">
        <v>0.8</v>
      </c>
    </row>
    <row r="23" spans="1:3" x14ac:dyDescent="0.15">
      <c r="A23">
        <v>22</v>
      </c>
      <c r="B23" s="194" t="s">
        <v>213</v>
      </c>
      <c r="C23">
        <v>0.8</v>
      </c>
    </row>
    <row r="24" spans="1:3" x14ac:dyDescent="0.15">
      <c r="A24">
        <v>23</v>
      </c>
      <c r="B24" s="194" t="s">
        <v>214</v>
      </c>
      <c r="C24">
        <v>0.8</v>
      </c>
    </row>
    <row r="25" spans="1:3" x14ac:dyDescent="0.15">
      <c r="A25">
        <v>24</v>
      </c>
      <c r="B25" s="194" t="s">
        <v>215</v>
      </c>
      <c r="C25">
        <v>0.8</v>
      </c>
    </row>
    <row r="26" spans="1:3" x14ac:dyDescent="0.15">
      <c r="A26">
        <v>25</v>
      </c>
      <c r="B26" s="194" t="s">
        <v>216</v>
      </c>
      <c r="C26">
        <v>0.8</v>
      </c>
    </row>
    <row r="27" spans="1:3" x14ac:dyDescent="0.15">
      <c r="A27">
        <v>26</v>
      </c>
      <c r="B27" s="194" t="s">
        <v>217</v>
      </c>
      <c r="C27">
        <v>0.8</v>
      </c>
    </row>
    <row r="28" spans="1:3" x14ac:dyDescent="0.15">
      <c r="A28">
        <v>27</v>
      </c>
      <c r="B28" s="194" t="s">
        <v>218</v>
      </c>
      <c r="C28">
        <v>0.8</v>
      </c>
    </row>
    <row r="29" spans="1:3" x14ac:dyDescent="0.15">
      <c r="A29">
        <v>28</v>
      </c>
      <c r="B29" s="194" t="s">
        <v>219</v>
      </c>
      <c r="C29">
        <v>0.8</v>
      </c>
    </row>
    <row r="30" spans="1:3" x14ac:dyDescent="0.15">
      <c r="A30">
        <v>29</v>
      </c>
      <c r="B30" s="194" t="s">
        <v>220</v>
      </c>
      <c r="C30">
        <v>0.8</v>
      </c>
    </row>
    <row r="31" spans="1:3" x14ac:dyDescent="0.15">
      <c r="A31">
        <v>30</v>
      </c>
      <c r="B31" s="194" t="s">
        <v>221</v>
      </c>
      <c r="C31">
        <v>0.8</v>
      </c>
    </row>
    <row r="32" spans="1:3" x14ac:dyDescent="0.15">
      <c r="A32">
        <v>31</v>
      </c>
      <c r="B32" s="194" t="s">
        <v>222</v>
      </c>
      <c r="C32">
        <v>0.8</v>
      </c>
    </row>
    <row r="33" spans="1:3" x14ac:dyDescent="0.15">
      <c r="A33">
        <v>32</v>
      </c>
      <c r="B33" s="194" t="s">
        <v>223</v>
      </c>
      <c r="C33">
        <v>0.8</v>
      </c>
    </row>
    <row r="34" spans="1:3" x14ac:dyDescent="0.15">
      <c r="A34">
        <v>33</v>
      </c>
      <c r="B34" s="194" t="s">
        <v>224</v>
      </c>
      <c r="C34">
        <v>0.8</v>
      </c>
    </row>
    <row r="35" spans="1:3" x14ac:dyDescent="0.15">
      <c r="A35">
        <v>34</v>
      </c>
      <c r="B35" s="194" t="s">
        <v>225</v>
      </c>
      <c r="C35">
        <v>0</v>
      </c>
    </row>
    <row r="36" spans="1:3" x14ac:dyDescent="0.15">
      <c r="A36">
        <v>35</v>
      </c>
      <c r="B36" s="194" t="s">
        <v>226</v>
      </c>
      <c r="C36">
        <v>0.8</v>
      </c>
    </row>
    <row r="37" spans="1:3" x14ac:dyDescent="0.15">
      <c r="A37">
        <v>36</v>
      </c>
      <c r="B37" s="194" t="s">
        <v>227</v>
      </c>
      <c r="C37">
        <v>0.8</v>
      </c>
    </row>
    <row r="38" spans="1:3" x14ac:dyDescent="0.15">
      <c r="A38">
        <v>37</v>
      </c>
      <c r="B38" s="194" t="s">
        <v>228</v>
      </c>
      <c r="C38">
        <v>0.8</v>
      </c>
    </row>
    <row r="39" spans="1:3" x14ac:dyDescent="0.15">
      <c r="A39">
        <v>38</v>
      </c>
      <c r="B39" s="194" t="s">
        <v>229</v>
      </c>
      <c r="C39">
        <v>0</v>
      </c>
    </row>
    <row r="40" spans="1:3" x14ac:dyDescent="0.15">
      <c r="A40">
        <v>39</v>
      </c>
      <c r="B40" s="194" t="s">
        <v>230</v>
      </c>
      <c r="C4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9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7">
        <v>1</v>
      </c>
      <c r="B2" s="147" t="s">
        <v>192</v>
      </c>
      <c r="C2" s="8">
        <v>1</v>
      </c>
      <c r="D2" s="9">
        <v>323</v>
      </c>
      <c r="E2" s="9">
        <v>399</v>
      </c>
      <c r="F2" s="10"/>
      <c r="G2" s="9">
        <v>3.5373397171497345E-2</v>
      </c>
      <c r="H2" s="10"/>
      <c r="I2">
        <v>0</v>
      </c>
      <c r="J2"/>
    </row>
    <row r="3" spans="1:10" ht="15" customHeight="1" x14ac:dyDescent="0.15">
      <c r="A3" s="148">
        <v>2</v>
      </c>
      <c r="B3" s="148" t="s">
        <v>193</v>
      </c>
      <c r="C3" s="8">
        <v>1</v>
      </c>
      <c r="D3" s="9">
        <v>153</v>
      </c>
      <c r="E3" s="9">
        <v>11.890000343322754</v>
      </c>
      <c r="F3" s="10"/>
      <c r="G3" s="9">
        <v>2.0140249282121658E-2</v>
      </c>
      <c r="H3" s="10"/>
      <c r="I3">
        <v>5.5743888951838017E-3</v>
      </c>
      <c r="J3"/>
    </row>
    <row r="4" spans="1:10" ht="15" customHeight="1" x14ac:dyDescent="0.15">
      <c r="A4" s="149">
        <v>3</v>
      </c>
      <c r="B4" s="149" t="s">
        <v>194</v>
      </c>
      <c r="C4" s="8">
        <v>2</v>
      </c>
      <c r="D4" s="9">
        <v>33.799999237060547</v>
      </c>
      <c r="E4" s="9">
        <v>32</v>
      </c>
      <c r="F4" s="9">
        <v>192</v>
      </c>
      <c r="G4" s="9">
        <v>5.2650552242994308E-2</v>
      </c>
      <c r="H4" s="9">
        <v>0.1666666716337204</v>
      </c>
      <c r="I4">
        <v>9.9999997764825821E-3</v>
      </c>
      <c r="J4"/>
    </row>
    <row r="5" spans="1:10" ht="15" customHeight="1" x14ac:dyDescent="0.15">
      <c r="A5" s="150">
        <v>4</v>
      </c>
      <c r="B5" s="150" t="s">
        <v>195</v>
      </c>
      <c r="C5" s="8">
        <v>3.1111111640930176</v>
      </c>
      <c r="D5" s="9">
        <v>0.14601702988147736</v>
      </c>
      <c r="E5" s="9">
        <v>5</v>
      </c>
      <c r="F5" s="9">
        <v>20</v>
      </c>
      <c r="G5" s="9">
        <v>0.95000404119491577</v>
      </c>
      <c r="H5" s="9">
        <v>0.25</v>
      </c>
      <c r="I5">
        <v>1.2000000569969416E-3</v>
      </c>
      <c r="J5"/>
    </row>
    <row r="6" spans="1:10" ht="15" customHeight="1" x14ac:dyDescent="0.15">
      <c r="A6" s="151">
        <v>5</v>
      </c>
      <c r="B6" s="151" t="s">
        <v>196</v>
      </c>
      <c r="C6" s="8">
        <v>2</v>
      </c>
      <c r="D6" s="9">
        <v>3.4356367588043213</v>
      </c>
      <c r="E6" s="9">
        <v>6.7500004768371582</v>
      </c>
      <c r="F6" s="9">
        <v>22.5</v>
      </c>
      <c r="G6" s="9">
        <v>0.94999945163726807</v>
      </c>
      <c r="H6" s="9">
        <v>0.30000001192092896</v>
      </c>
      <c r="I6">
        <v>0</v>
      </c>
      <c r="J6"/>
    </row>
    <row r="7" spans="1:10" ht="15" customHeight="1" x14ac:dyDescent="0.15">
      <c r="A7" s="152">
        <v>6</v>
      </c>
      <c r="B7" s="152" t="s">
        <v>197</v>
      </c>
      <c r="C7" s="8">
        <v>2.3332145214080811</v>
      </c>
      <c r="D7" s="9">
        <v>3.065000057220459</v>
      </c>
      <c r="E7" s="9">
        <v>1.2000000476837158</v>
      </c>
      <c r="F7" s="9">
        <v>3.5799999237060547</v>
      </c>
      <c r="G7" s="9">
        <v>0.39895537495613098</v>
      </c>
      <c r="H7" s="9">
        <v>0.33519554138183594</v>
      </c>
      <c r="I7">
        <v>3.8999998942017555E-3</v>
      </c>
      <c r="J7"/>
    </row>
    <row r="8" spans="1:10" ht="15" customHeight="1" x14ac:dyDescent="0.15">
      <c r="A8" s="153">
        <v>7</v>
      </c>
      <c r="B8" s="153" t="s">
        <v>198</v>
      </c>
      <c r="C8" s="8">
        <v>2.1998221874237061</v>
      </c>
      <c r="D8" s="9">
        <v>2.6489999294281006</v>
      </c>
      <c r="E8" s="9">
        <v>5.6500000953674316</v>
      </c>
      <c r="F8" s="9">
        <v>26.899999618530273</v>
      </c>
      <c r="G8" s="9">
        <v>0.62679505348205566</v>
      </c>
      <c r="H8" s="9">
        <v>0.21003718674182892</v>
      </c>
      <c r="I8">
        <v>1.9000000320374966E-3</v>
      </c>
      <c r="J8"/>
    </row>
    <row r="9" spans="1:10" ht="15" customHeight="1" x14ac:dyDescent="0.15">
      <c r="A9" s="154">
        <v>8</v>
      </c>
      <c r="B9" s="154" t="s">
        <v>199</v>
      </c>
      <c r="C9" s="8">
        <v>2.1777780055999756</v>
      </c>
      <c r="D9" s="9">
        <v>13.746999740600586</v>
      </c>
      <c r="E9" s="9">
        <v>3</v>
      </c>
      <c r="F9" s="9">
        <v>7</v>
      </c>
      <c r="G9" s="9">
        <v>0.38476303219795227</v>
      </c>
      <c r="H9" s="9">
        <v>0.4285714328289032</v>
      </c>
      <c r="I9">
        <v>5.59999980032444E-3</v>
      </c>
      <c r="J9"/>
    </row>
    <row r="10" spans="1:10" ht="15" customHeight="1" x14ac:dyDescent="0.15">
      <c r="A10" s="155">
        <v>9</v>
      </c>
      <c r="B10" s="155" t="s">
        <v>200</v>
      </c>
      <c r="C10" s="8">
        <v>2.5999999046325684</v>
      </c>
      <c r="D10" s="9">
        <v>3.1140000820159912</v>
      </c>
      <c r="E10" s="9">
        <v>1</v>
      </c>
      <c r="F10" s="9">
        <v>9</v>
      </c>
      <c r="G10" s="9">
        <v>0.84566837549209595</v>
      </c>
      <c r="H10" s="9">
        <v>0.1111111119389534</v>
      </c>
      <c r="I10">
        <v>1.0999999940395355E-3</v>
      </c>
      <c r="J10"/>
    </row>
    <row r="11" spans="1:10" ht="15" customHeight="1" x14ac:dyDescent="0.15">
      <c r="A11" s="156">
        <v>10</v>
      </c>
      <c r="B11" s="156" t="s">
        <v>201</v>
      </c>
      <c r="C11" s="8">
        <v>2.3138430118560791</v>
      </c>
      <c r="D11" s="9">
        <v>0.42545348405838013</v>
      </c>
      <c r="E11" s="9">
        <v>5.4000000953674316</v>
      </c>
      <c r="F11" s="9">
        <v>28.940000534057617</v>
      </c>
      <c r="G11" s="9">
        <v>0.95002371072769165</v>
      </c>
      <c r="H11" s="9">
        <v>0.1865929514169693</v>
      </c>
      <c r="I11">
        <v>3.5000000149011612E-2</v>
      </c>
      <c r="J11"/>
    </row>
    <row r="12" spans="1:10" ht="15" customHeight="1" x14ac:dyDescent="0.15">
      <c r="A12" s="157">
        <v>11</v>
      </c>
      <c r="B12" s="157" t="s">
        <v>202</v>
      </c>
      <c r="C12" s="8">
        <v>2.5239098072052002</v>
      </c>
      <c r="D12" s="9">
        <v>0.75114881992340088</v>
      </c>
      <c r="E12" s="9">
        <v>3</v>
      </c>
      <c r="F12" s="9">
        <v>12</v>
      </c>
      <c r="G12" s="9">
        <v>0.94993805885314941</v>
      </c>
      <c r="H12" s="9">
        <v>0.25</v>
      </c>
      <c r="I12">
        <v>9.9999997764825821E-3</v>
      </c>
      <c r="J12"/>
    </row>
    <row r="13" spans="1:10" ht="15" customHeight="1" x14ac:dyDescent="0.15">
      <c r="A13" s="158">
        <v>12</v>
      </c>
      <c r="B13" s="158" t="s">
        <v>203</v>
      </c>
      <c r="C13" s="8">
        <v>3.296689510345459</v>
      </c>
      <c r="D13" s="9">
        <v>0.46880117058753967</v>
      </c>
      <c r="E13" s="9">
        <v>3.0999999046325684</v>
      </c>
      <c r="F13" s="9">
        <v>8</v>
      </c>
      <c r="G13" s="9">
        <v>0.49999210238456726</v>
      </c>
      <c r="H13" s="9">
        <v>0.38749998807907104</v>
      </c>
      <c r="I13">
        <v>2.4399999529123306E-2</v>
      </c>
      <c r="J13"/>
    </row>
    <row r="14" spans="1:10" ht="15" customHeight="1" x14ac:dyDescent="0.15">
      <c r="A14" s="159">
        <v>13</v>
      </c>
      <c r="B14" s="159" t="s">
        <v>204</v>
      </c>
      <c r="C14" s="8">
        <v>3.2139904499053955</v>
      </c>
      <c r="D14" s="9">
        <v>1.0399999618530273</v>
      </c>
      <c r="E14" s="9">
        <v>0.74000000953674316</v>
      </c>
      <c r="F14" s="9">
        <v>8.1000003814697266</v>
      </c>
      <c r="G14" s="9">
        <v>0.46895876526832581</v>
      </c>
      <c r="H14" s="9">
        <v>9.1358020901679993E-2</v>
      </c>
      <c r="I14">
        <v>4.3999999761581421E-2</v>
      </c>
      <c r="J14"/>
    </row>
    <row r="15" spans="1:10" ht="15" customHeight="1" x14ac:dyDescent="0.15">
      <c r="A15" s="160">
        <v>14</v>
      </c>
      <c r="B15" s="160" t="s">
        <v>205</v>
      </c>
      <c r="C15" s="8">
        <v>3.4821913242340088</v>
      </c>
      <c r="D15" s="9">
        <v>0.31799998879432678</v>
      </c>
      <c r="E15" s="9">
        <v>1.2100000381469727</v>
      </c>
      <c r="F15" s="9">
        <v>11.300000190734863</v>
      </c>
      <c r="G15" s="9">
        <v>0.32826817035675049</v>
      </c>
      <c r="H15" s="9">
        <v>0.1070796474814415</v>
      </c>
      <c r="I15">
        <v>3.5000000149011612E-2</v>
      </c>
      <c r="J15"/>
    </row>
    <row r="16" spans="1:10" ht="15" customHeight="1" x14ac:dyDescent="0.15">
      <c r="A16" s="161">
        <v>15</v>
      </c>
      <c r="B16" s="161" t="s">
        <v>206</v>
      </c>
      <c r="C16" s="8">
        <v>3.9749643802642822</v>
      </c>
      <c r="D16" s="9">
        <v>0.30000001192092896</v>
      </c>
      <c r="E16" s="9">
        <v>2.2999999523162842</v>
      </c>
      <c r="F16" s="9">
        <v>5.4070000648498535</v>
      </c>
      <c r="G16" s="9">
        <v>0.24056766927242279</v>
      </c>
      <c r="H16" s="9">
        <v>0.42537450790405273</v>
      </c>
      <c r="I16">
        <v>8.3999998867511749E-2</v>
      </c>
      <c r="J16"/>
    </row>
    <row r="17" spans="1:10" ht="15" customHeight="1" x14ac:dyDescent="0.15">
      <c r="A17" s="162">
        <v>16</v>
      </c>
      <c r="B17" s="162" t="s">
        <v>207</v>
      </c>
      <c r="C17" s="8">
        <v>3.8898694515228271</v>
      </c>
      <c r="D17" s="9">
        <v>3.4021750092506409E-2</v>
      </c>
      <c r="E17" s="9">
        <v>2.2999999523162842</v>
      </c>
      <c r="F17" s="9">
        <v>13.409794807434082</v>
      </c>
      <c r="G17" s="9">
        <v>0.32881522178649902</v>
      </c>
      <c r="H17" s="9">
        <v>0.17151641845703125</v>
      </c>
      <c r="I17">
        <v>3.8000000640749931E-3</v>
      </c>
      <c r="J17"/>
    </row>
    <row r="18" spans="1:10" ht="15" customHeight="1" x14ac:dyDescent="0.15">
      <c r="A18" s="163">
        <v>17</v>
      </c>
      <c r="B18" s="163" t="s">
        <v>208</v>
      </c>
      <c r="C18" s="8">
        <v>3.9352073669433594</v>
      </c>
      <c r="D18" s="9">
        <v>4.2599994689226151E-2</v>
      </c>
      <c r="E18" s="9">
        <v>1.5</v>
      </c>
      <c r="F18" s="9">
        <v>6.2070002555847168</v>
      </c>
      <c r="G18" s="9">
        <v>0.32677736878395081</v>
      </c>
      <c r="H18" s="9">
        <v>0.2416626363992691</v>
      </c>
      <c r="I18">
        <v>1.5200000256299973E-2</v>
      </c>
      <c r="J18"/>
    </row>
    <row r="19" spans="1:10" ht="15" customHeight="1" x14ac:dyDescent="0.15">
      <c r="A19" s="164">
        <v>18</v>
      </c>
      <c r="B19" s="164" t="s">
        <v>209</v>
      </c>
      <c r="C19" s="8">
        <v>3.5915305614471436</v>
      </c>
      <c r="D19" s="9">
        <v>6.4943209290504456E-2</v>
      </c>
      <c r="E19" s="9">
        <v>1.2999999523162842</v>
      </c>
      <c r="F19" s="9">
        <v>6.380000114440918</v>
      </c>
      <c r="G19" s="9">
        <v>0.94999593496322632</v>
      </c>
      <c r="H19" s="9">
        <v>0.2037617415189743</v>
      </c>
      <c r="I19">
        <v>5.2999998442828655E-3</v>
      </c>
      <c r="J19"/>
    </row>
    <row r="20" spans="1:10" ht="15" customHeight="1" x14ac:dyDescent="0.15">
      <c r="A20" s="165">
        <v>19</v>
      </c>
      <c r="B20" s="165" t="s">
        <v>210</v>
      </c>
      <c r="C20" s="8">
        <v>3.7685484886169434</v>
      </c>
      <c r="D20" s="9">
        <v>1.400712039321661E-2</v>
      </c>
      <c r="E20" s="9">
        <v>1.3400000333786011</v>
      </c>
      <c r="F20" s="9">
        <v>8.9840002059936523</v>
      </c>
      <c r="G20" s="9">
        <v>0.94999521970748901</v>
      </c>
      <c r="H20" s="9">
        <v>0.14915405213832855</v>
      </c>
      <c r="I20">
        <v>5.2999998442828655E-3</v>
      </c>
      <c r="J20"/>
    </row>
    <row r="21" spans="1:10" ht="15" customHeight="1" x14ac:dyDescent="0.15">
      <c r="A21" s="166">
        <v>20</v>
      </c>
      <c r="B21" s="166" t="s">
        <v>211</v>
      </c>
      <c r="C21" s="8">
        <v>3.7667038440704346</v>
      </c>
      <c r="D21" s="9">
        <v>3.9999999105930328E-2</v>
      </c>
      <c r="E21" s="9">
        <v>0.85000002384185791</v>
      </c>
      <c r="F21" s="9">
        <v>6.0999999046325684</v>
      </c>
      <c r="G21" s="9">
        <v>0.37513905763626099</v>
      </c>
      <c r="H21" s="9">
        <v>0.13934427499771118</v>
      </c>
      <c r="I21">
        <v>2.899999963119626E-3</v>
      </c>
      <c r="J21"/>
    </row>
    <row r="22" spans="1:10" ht="15" customHeight="1" x14ac:dyDescent="0.15">
      <c r="A22" s="167">
        <v>21</v>
      </c>
      <c r="B22" s="167" t="s">
        <v>212</v>
      </c>
      <c r="C22" s="8">
        <v>3.3177716732025146</v>
      </c>
      <c r="D22" s="9">
        <v>0.289000004529953</v>
      </c>
      <c r="E22" s="9">
        <v>2.3599998950958252</v>
      </c>
      <c r="F22" s="9">
        <v>11.276000022888184</v>
      </c>
      <c r="G22" s="9">
        <v>0.78387802839279175</v>
      </c>
      <c r="H22" s="9">
        <v>0.20929406583309174</v>
      </c>
      <c r="I22">
        <v>1.6000000759959221E-2</v>
      </c>
      <c r="J22"/>
    </row>
    <row r="23" spans="1:10" ht="15" customHeight="1" x14ac:dyDescent="0.15">
      <c r="A23" s="168">
        <v>22</v>
      </c>
      <c r="B23" s="168" t="s">
        <v>213</v>
      </c>
      <c r="C23" s="8">
        <v>3.362741231918335</v>
      </c>
      <c r="D23" s="9">
        <v>4.2493265122175217E-2</v>
      </c>
      <c r="E23" s="9">
        <v>2.3599998950958252</v>
      </c>
      <c r="F23" s="9">
        <v>15.650918006896973</v>
      </c>
      <c r="G23" s="10"/>
      <c r="H23" s="9">
        <v>0.15078987181186676</v>
      </c>
      <c r="I23">
        <v>1.0999999940395355E-2</v>
      </c>
      <c r="J23"/>
    </row>
    <row r="24" spans="1:10" ht="15" customHeight="1" x14ac:dyDescent="0.15">
      <c r="A24" s="169">
        <v>23</v>
      </c>
      <c r="B24" s="169" t="s">
        <v>214</v>
      </c>
      <c r="C24" s="8">
        <v>3.4309253692626953</v>
      </c>
      <c r="D24" s="9">
        <v>9.4999969005584717E-2</v>
      </c>
      <c r="E24" s="9">
        <v>1.4299999475479126</v>
      </c>
      <c r="F24" s="9">
        <v>6.2320013046264648</v>
      </c>
      <c r="G24" s="10"/>
      <c r="H24" s="9">
        <v>0.22946079075336456</v>
      </c>
      <c r="I24">
        <v>4.3999999761581421E-2</v>
      </c>
      <c r="J24"/>
    </row>
    <row r="25" spans="1:10" ht="15" customHeight="1" x14ac:dyDescent="0.15">
      <c r="A25" s="170">
        <v>24</v>
      </c>
      <c r="B25" s="170" t="s">
        <v>215</v>
      </c>
      <c r="C25" s="8">
        <v>3.0083122253417969</v>
      </c>
      <c r="D25" s="9">
        <v>1.5408639907836914</v>
      </c>
      <c r="E25" s="9">
        <v>2.7000000476837158</v>
      </c>
      <c r="F25" s="9">
        <v>13.027000427246094</v>
      </c>
      <c r="G25" s="9">
        <v>0.95000827312469482</v>
      </c>
      <c r="H25" s="9">
        <v>0.2072618305683136</v>
      </c>
      <c r="I25">
        <v>9.0203985571861267E-2</v>
      </c>
      <c r="J25"/>
    </row>
    <row r="26" spans="1:10" ht="15" customHeight="1" x14ac:dyDescent="0.15">
      <c r="A26" s="171">
        <v>25</v>
      </c>
      <c r="B26" s="171" t="s">
        <v>216</v>
      </c>
      <c r="C26" s="8">
        <v>3.0454850196838379</v>
      </c>
      <c r="D26" s="9">
        <v>0.11159854382276535</v>
      </c>
      <c r="E26" s="9">
        <v>2.5999999046325684</v>
      </c>
      <c r="F26" s="9">
        <v>15.460700988769531</v>
      </c>
      <c r="G26" s="9">
        <v>0.29296612739562988</v>
      </c>
      <c r="H26" s="9">
        <v>0.16816830635070801</v>
      </c>
      <c r="I26">
        <v>2.8799999505281448E-2</v>
      </c>
      <c r="J26"/>
    </row>
    <row r="27" spans="1:10" ht="15" customHeight="1" x14ac:dyDescent="0.15">
      <c r="A27" s="172">
        <v>26</v>
      </c>
      <c r="B27" s="172" t="s">
        <v>217</v>
      </c>
      <c r="C27" s="8">
        <v>3.4496326446533203</v>
      </c>
      <c r="D27" s="9">
        <v>0.19499997794628143</v>
      </c>
      <c r="E27" s="9">
        <v>1.440000057220459</v>
      </c>
      <c r="F27" s="9">
        <v>6.2070016860961914</v>
      </c>
      <c r="G27" s="9">
        <v>6.8132370710372925E-2</v>
      </c>
      <c r="H27" s="9">
        <v>0.2319960743188858</v>
      </c>
      <c r="I27">
        <v>0.11500000208616257</v>
      </c>
      <c r="J27"/>
    </row>
    <row r="28" spans="1:10" ht="15" customHeight="1" x14ac:dyDescent="0.15">
      <c r="A28" s="173">
        <v>27</v>
      </c>
      <c r="B28" s="173" t="s">
        <v>218</v>
      </c>
      <c r="C28" s="8">
        <v>2.8147239685058594</v>
      </c>
      <c r="D28" s="9">
        <v>0.51554512977600098</v>
      </c>
      <c r="E28" s="9">
        <v>3</v>
      </c>
      <c r="F28" s="9">
        <v>15</v>
      </c>
      <c r="G28" s="9">
        <v>0.95000958442687988</v>
      </c>
      <c r="H28" s="9">
        <v>0.20000000298023224</v>
      </c>
      <c r="I28">
        <v>3.0300000682473183E-2</v>
      </c>
      <c r="J28"/>
    </row>
    <row r="29" spans="1:10" ht="15" customHeight="1" x14ac:dyDescent="0.15">
      <c r="A29" s="174">
        <v>28</v>
      </c>
      <c r="B29" s="174" t="s">
        <v>219</v>
      </c>
      <c r="C29" s="8">
        <v>3.0356478691101074</v>
      </c>
      <c r="D29" s="9">
        <v>0.11400000005960464</v>
      </c>
      <c r="E29" s="9">
        <v>2.2400000095367432</v>
      </c>
      <c r="F29" s="9">
        <v>24.700000762939453</v>
      </c>
      <c r="G29" s="9">
        <v>0.51572334766387939</v>
      </c>
      <c r="H29" s="9">
        <v>9.0688258409500122E-2</v>
      </c>
      <c r="I29">
        <v>9.9999997764825821E-3</v>
      </c>
      <c r="J29"/>
    </row>
    <row r="30" spans="1:10" ht="15" customHeight="1" x14ac:dyDescent="0.15">
      <c r="A30" s="175">
        <v>29</v>
      </c>
      <c r="B30" s="175" t="s">
        <v>220</v>
      </c>
      <c r="C30" s="8">
        <v>2.8145017623901367</v>
      </c>
      <c r="D30" s="9">
        <v>1.0352517366409302</v>
      </c>
      <c r="E30" s="9">
        <v>2.869999885559082</v>
      </c>
      <c r="F30" s="9">
        <v>12.215999603271484</v>
      </c>
      <c r="G30" s="9">
        <v>0.9499434232711792</v>
      </c>
      <c r="H30" s="9">
        <v>0.23493778705596924</v>
      </c>
      <c r="I30">
        <v>0.14560957252979279</v>
      </c>
      <c r="J30"/>
    </row>
    <row r="31" spans="1:10" ht="15" customHeight="1" x14ac:dyDescent="0.15">
      <c r="A31" s="176">
        <v>30</v>
      </c>
      <c r="B31" s="176" t="s">
        <v>221</v>
      </c>
      <c r="C31" s="8">
        <v>2.8966314792633057</v>
      </c>
      <c r="D31" s="9">
        <v>0.11786594986915588</v>
      </c>
      <c r="E31" s="9">
        <v>2.869999885559082</v>
      </c>
      <c r="F31" s="9">
        <v>14.37263011932373</v>
      </c>
      <c r="G31" s="9">
        <v>0.60703009366989136</v>
      </c>
      <c r="H31" s="9">
        <v>0.19968508183956146</v>
      </c>
      <c r="I31">
        <v>9.6000004559755325E-3</v>
      </c>
      <c r="J31"/>
    </row>
    <row r="32" spans="1:10" ht="15" customHeight="1" x14ac:dyDescent="0.15">
      <c r="A32" s="204">
        <v>31</v>
      </c>
      <c r="B32" s="204" t="s">
        <v>222</v>
      </c>
      <c r="C32" s="8">
        <v>3.3848066329956055</v>
      </c>
      <c r="D32" s="9">
        <v>0.15800002217292786</v>
      </c>
      <c r="E32" s="9">
        <v>0.89999997615814209</v>
      </c>
      <c r="F32" s="9">
        <v>6.2769980430603027</v>
      </c>
      <c r="G32" s="9">
        <v>0.28251129388809204</v>
      </c>
      <c r="H32" s="9">
        <v>0.14338064193725586</v>
      </c>
      <c r="I32">
        <v>3.7999998778104782E-2</v>
      </c>
      <c r="J32"/>
    </row>
    <row r="33" spans="1:10" ht="15" customHeight="1" x14ac:dyDescent="0.15">
      <c r="A33" s="205">
        <v>32</v>
      </c>
      <c r="B33" s="205" t="s">
        <v>223</v>
      </c>
      <c r="C33" s="8">
        <v>3.5129630565643311</v>
      </c>
      <c r="D33" s="9">
        <v>3.9999999105930328E-2</v>
      </c>
      <c r="E33" s="9">
        <v>1.2599999904632568</v>
      </c>
      <c r="F33" s="9">
        <v>6.2999997138977051</v>
      </c>
      <c r="G33" s="9">
        <v>0.36406493186950684</v>
      </c>
      <c r="H33" s="9">
        <v>0.20000000298023224</v>
      </c>
      <c r="I33">
        <v>1.5831496566534042E-2</v>
      </c>
      <c r="J33"/>
    </row>
    <row r="34" spans="1:10" ht="15" customHeight="1" x14ac:dyDescent="0.15">
      <c r="A34" s="206">
        <v>33</v>
      </c>
      <c r="B34" s="206" t="s">
        <v>224</v>
      </c>
      <c r="C34" s="8">
        <v>4.018826961517334</v>
      </c>
      <c r="D34" s="9">
        <v>2.8412014245986938E-2</v>
      </c>
      <c r="E34" s="9">
        <v>0.38999998569488525</v>
      </c>
      <c r="F34" s="9">
        <v>1.9499999284744263</v>
      </c>
      <c r="G34" s="9">
        <v>0.4999922513961792</v>
      </c>
      <c r="H34" s="9">
        <v>0.20000000298023224</v>
      </c>
      <c r="I34">
        <v>5.0420919433236122E-3</v>
      </c>
      <c r="J34"/>
    </row>
    <row r="35" spans="1:10" ht="15" customHeight="1" x14ac:dyDescent="0.15">
      <c r="A35" s="207">
        <v>34</v>
      </c>
      <c r="B35" s="207" t="s">
        <v>225</v>
      </c>
      <c r="C35" s="8">
        <v>3.5250422954559326</v>
      </c>
      <c r="D35" s="9">
        <v>2.1979999728500843E-3</v>
      </c>
      <c r="E35" s="9">
        <v>5.9999998658895493E-2</v>
      </c>
      <c r="F35" s="9">
        <v>67.759002685546875</v>
      </c>
      <c r="G35" s="9">
        <v>4.6168346889317036E-3</v>
      </c>
      <c r="H35" s="9">
        <v>8.8549114298075438E-4</v>
      </c>
      <c r="I35">
        <v>0</v>
      </c>
      <c r="J35"/>
    </row>
    <row r="36" spans="1:10" ht="15" customHeight="1" x14ac:dyDescent="0.15">
      <c r="A36" s="208">
        <v>35</v>
      </c>
      <c r="B36" s="208" t="s">
        <v>226</v>
      </c>
      <c r="C36" s="8">
        <v>4.1496829986572266</v>
      </c>
      <c r="D36" s="9">
        <v>4.6000001020729542E-3</v>
      </c>
      <c r="E36" s="9">
        <v>4.5000001788139343E-2</v>
      </c>
      <c r="F36" s="9">
        <v>14.767999649047852</v>
      </c>
      <c r="G36" s="9">
        <v>0.67926985025405884</v>
      </c>
      <c r="H36" s="9">
        <v>3.0471291393041611E-3</v>
      </c>
      <c r="I36">
        <v>1.4000000373926014E-4</v>
      </c>
      <c r="J36"/>
    </row>
    <row r="37" spans="1:10" ht="15" customHeight="1" x14ac:dyDescent="0.15">
      <c r="A37" s="209">
        <v>36</v>
      </c>
      <c r="B37" s="209" t="s">
        <v>227</v>
      </c>
      <c r="C37" s="8">
        <v>3.9439907073974609</v>
      </c>
      <c r="D37" s="9">
        <v>1.5799999237060547E-2</v>
      </c>
      <c r="E37" s="9">
        <v>0.1120000034570694</v>
      </c>
      <c r="F37" s="9">
        <v>10.52299976348877</v>
      </c>
      <c r="G37" s="9">
        <v>6.8124726414680481E-2</v>
      </c>
      <c r="H37" s="9">
        <v>1.0643353685736656E-2</v>
      </c>
      <c r="I37">
        <v>1.1999999696854502E-4</v>
      </c>
      <c r="J37"/>
    </row>
    <row r="38" spans="1:10" ht="15" customHeight="1" x14ac:dyDescent="0.15">
      <c r="A38" s="210">
        <v>37</v>
      </c>
      <c r="B38" s="210" t="s">
        <v>228</v>
      </c>
      <c r="C38" s="8">
        <v>2.9774384498596191</v>
      </c>
      <c r="D38" s="9">
        <v>1.9999999494757503E-4</v>
      </c>
      <c r="E38" s="9">
        <v>0.10000000149011612</v>
      </c>
      <c r="F38" s="9">
        <v>3.5</v>
      </c>
      <c r="G38" s="9">
        <v>0.50304430723190308</v>
      </c>
      <c r="H38" s="9">
        <v>2.857142873108387E-2</v>
      </c>
      <c r="I38">
        <v>9.9999997473787516E-6</v>
      </c>
      <c r="J38"/>
    </row>
    <row r="39" spans="1:10" ht="15" customHeight="1" x14ac:dyDescent="0.15">
      <c r="A39" s="211">
        <v>38</v>
      </c>
      <c r="B39" s="211" t="s">
        <v>229</v>
      </c>
      <c r="C39" s="8">
        <v>1</v>
      </c>
      <c r="D39" s="9">
        <v>100</v>
      </c>
      <c r="E39" s="10"/>
      <c r="F39" s="10"/>
      <c r="G39" s="7">
        <v>1.6653990373015404E-2</v>
      </c>
      <c r="H39" s="10"/>
      <c r="I39">
        <v>0</v>
      </c>
      <c r="J39"/>
    </row>
    <row r="40" spans="1:10" ht="15" customHeight="1" x14ac:dyDescent="0.15">
      <c r="A40" s="212">
        <v>39</v>
      </c>
      <c r="B40" s="212" t="s">
        <v>230</v>
      </c>
      <c r="C40" s="8">
        <v>1</v>
      </c>
      <c r="D40" s="9">
        <v>5</v>
      </c>
      <c r="E40" s="10"/>
      <c r="F40" s="10"/>
      <c r="G40" s="7">
        <v>0</v>
      </c>
      <c r="H40" s="10"/>
      <c r="I40">
        <v>0</v>
      </c>
      <c r="J40"/>
    </row>
    <row r="41" spans="1:10" ht="15" customHeight="1" x14ac:dyDescent="0.15">
      <c r="A41" s="213">
        <v>40</v>
      </c>
      <c r="B41" s="213" t="s">
        <v>231</v>
      </c>
      <c r="C41" s="8">
        <v>4.1876220703125</v>
      </c>
      <c r="D41" s="10"/>
      <c r="E41" s="10"/>
      <c r="F41" s="10"/>
      <c r="G41" s="10"/>
      <c r="H41" s="10"/>
      <c r="I41">
        <v>0.85383147001266479</v>
      </c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236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399</v>
      </c>
      <c r="C2">
        <v>384.88601684570312</v>
      </c>
      <c r="D2"/>
      <c r="E2"/>
      <c r="F2"/>
      <c r="G2" s="28">
        <v>14.06414794921875</v>
      </c>
      <c r="H2"/>
      <c r="I2"/>
      <c r="J2" s="11">
        <v>1.019135961541906E-4</v>
      </c>
      <c r="K2" s="11">
        <v>1.5442932024598122E-2</v>
      </c>
      <c r="L2" s="11">
        <v>2.0854583010077477E-2</v>
      </c>
      <c r="M2"/>
      <c r="N2" s="11">
        <v>1.0477645555511117E-3</v>
      </c>
      <c r="O2"/>
      <c r="P2"/>
      <c r="Q2" s="11">
        <v>3.9120737346820533E-4</v>
      </c>
      <c r="R2"/>
      <c r="S2"/>
      <c r="T2"/>
      <c r="U2"/>
      <c r="V2" s="11">
        <v>1.2827793398173526E-5</v>
      </c>
      <c r="W2"/>
      <c r="X2"/>
      <c r="Y2"/>
      <c r="Z2"/>
      <c r="AA2"/>
      <c r="AB2" s="11">
        <v>8.0861762398853898E-4</v>
      </c>
      <c r="AC2" s="11">
        <v>6.9513218477368355E-5</v>
      </c>
      <c r="AD2"/>
      <c r="AE2" s="11">
        <v>3.4856442362070084E-3</v>
      </c>
      <c r="AF2" s="11">
        <v>1.6563529788982123E-4</v>
      </c>
      <c r="AG2" s="11">
        <v>7.0940000005066395E-3</v>
      </c>
      <c r="AH2" s="11">
        <v>3.3022000570781529E-4</v>
      </c>
      <c r="AI2" s="11">
        <v>3.3786946005420759E-5</v>
      </c>
      <c r="AJ2"/>
      <c r="AK2"/>
      <c r="AL2"/>
      <c r="AM2"/>
      <c r="AN2"/>
      <c r="AO2" s="9">
        <v>9.9736086056623208E-10</v>
      </c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11.890000343322754</v>
      </c>
      <c r="C3">
        <v>11.650532722473145</v>
      </c>
      <c r="D3" s="11">
        <v>3.643391391960904E-5</v>
      </c>
      <c r="E3"/>
      <c r="F3"/>
      <c r="G3"/>
      <c r="H3"/>
      <c r="I3"/>
      <c r="J3" s="12">
        <v>3.9731211960315704E-2</v>
      </c>
      <c r="K3" s="23">
        <v>7.0326618850231171E-2</v>
      </c>
      <c r="L3" s="22">
        <v>9.4971098005771637E-2</v>
      </c>
      <c r="M3"/>
      <c r="N3" s="11">
        <v>1.0054306127130985E-2</v>
      </c>
      <c r="O3" s="14">
        <v>1.1782725341618061E-2</v>
      </c>
      <c r="P3"/>
      <c r="Q3"/>
      <c r="R3"/>
      <c r="S3"/>
      <c r="T3"/>
      <c r="U3"/>
      <c r="V3"/>
      <c r="W3"/>
      <c r="X3"/>
      <c r="Y3"/>
      <c r="Z3"/>
      <c r="AA3"/>
      <c r="AB3" s="11">
        <v>3.9394195191562176E-3</v>
      </c>
      <c r="AC3" s="11">
        <v>3.3865415025502443E-4</v>
      </c>
      <c r="AD3"/>
      <c r="AE3" s="11">
        <v>7.3585822246968746E-3</v>
      </c>
      <c r="AF3"/>
      <c r="AG3"/>
      <c r="AH3" s="11">
        <v>8.4098364459350705E-4</v>
      </c>
      <c r="AI3"/>
      <c r="AJ3"/>
      <c r="AK3"/>
      <c r="AL3" s="11">
        <v>8.5754516476299614E-5</v>
      </c>
      <c r="AM3"/>
      <c r="AN3"/>
      <c r="AO3" s="11">
        <v>1.8309038978259196E-6</v>
      </c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32</v>
      </c>
      <c r="C4">
        <v>30.315181732177734</v>
      </c>
      <c r="D4" s="11">
        <v>2.9585798620246351E-4</v>
      </c>
      <c r="E4"/>
      <c r="F4"/>
      <c r="G4"/>
      <c r="H4" s="14">
        <v>7.7760547399520874E-2</v>
      </c>
      <c r="I4"/>
      <c r="J4" s="11">
        <v>9.7390805603936315E-4</v>
      </c>
      <c r="K4" s="12">
        <v>0.10541138052940369</v>
      </c>
      <c r="L4" s="12">
        <v>0.14235059916973114</v>
      </c>
      <c r="M4" s="16">
        <v>0.49750301241874695</v>
      </c>
      <c r="N4" s="14">
        <v>7.0270679891109467E-2</v>
      </c>
      <c r="O4"/>
      <c r="P4" s="14">
        <v>5.173463374376297E-2</v>
      </c>
      <c r="Q4" s="11">
        <v>2.9907688498497009E-2</v>
      </c>
      <c r="R4" s="14">
        <v>3.4232981503009796E-2</v>
      </c>
      <c r="S4"/>
      <c r="T4" s="11">
        <v>1.4442615211009979E-3</v>
      </c>
      <c r="U4" s="11">
        <v>3.1292095081880689E-4</v>
      </c>
      <c r="V4" s="11">
        <v>4.5969430357217789E-3</v>
      </c>
      <c r="W4" s="11">
        <v>1.861531927715987E-4</v>
      </c>
      <c r="X4"/>
      <c r="Y4" s="11">
        <v>3.0307093635201454E-2</v>
      </c>
      <c r="Z4" s="11">
        <v>6.1845402233302593E-3</v>
      </c>
      <c r="AA4" s="11">
        <v>3.5021449439227581E-3</v>
      </c>
      <c r="AB4" s="23">
        <v>0.17951163649559021</v>
      </c>
      <c r="AC4" s="11">
        <v>2.1665850654244423E-2</v>
      </c>
      <c r="AD4" s="11">
        <v>3.0069772619754076E-3</v>
      </c>
      <c r="AE4" s="12">
        <v>9.4377078115940094E-2</v>
      </c>
      <c r="AF4" s="14">
        <v>7.3810622096061707E-2</v>
      </c>
      <c r="AG4" s="23">
        <v>0.21198980510234833</v>
      </c>
      <c r="AH4" s="11">
        <v>2.9502851888537407E-2</v>
      </c>
      <c r="AI4" s="11">
        <v>1.3325942680239677E-2</v>
      </c>
      <c r="AJ4" s="11">
        <v>6.1803619610145688E-4</v>
      </c>
      <c r="AK4"/>
      <c r="AL4" s="11">
        <v>8.8222441263496876E-6</v>
      </c>
      <c r="AM4"/>
      <c r="AN4" s="11">
        <v>1.9671029804158024E-5</v>
      </c>
      <c r="AO4" s="11">
        <v>4.9312529881717637E-6</v>
      </c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5</v>
      </c>
      <c r="C5">
        <v>0.24997979402542114</v>
      </c>
      <c r="D5" s="14">
        <v>8.2182195037603378E-3</v>
      </c>
      <c r="E5"/>
      <c r="F5"/>
      <c r="G5"/>
      <c r="H5" s="253">
        <v>2</v>
      </c>
      <c r="I5"/>
      <c r="J5"/>
      <c r="K5"/>
      <c r="L5"/>
      <c r="M5"/>
      <c r="N5"/>
      <c r="O5"/>
      <c r="P5"/>
      <c r="Q5"/>
      <c r="R5"/>
      <c r="S5"/>
      <c r="T5"/>
      <c r="U5"/>
      <c r="V5" s="250">
        <v>1.3563721179962158</v>
      </c>
      <c r="W5"/>
      <c r="X5"/>
      <c r="Y5"/>
      <c r="Z5"/>
      <c r="AA5" s="23">
        <v>3.2427038997411728E-2</v>
      </c>
      <c r="AB5" s="244">
        <v>1.2383441925048828</v>
      </c>
      <c r="AC5" s="65">
        <v>0.10645487159490585</v>
      </c>
      <c r="AD5" s="14">
        <v>8.2035008817911148E-3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6.7500004768371582</v>
      </c>
      <c r="C6">
        <v>0.33750373125076294</v>
      </c>
      <c r="D6"/>
      <c r="E6"/>
      <c r="F6"/>
      <c r="G6"/>
      <c r="H6"/>
      <c r="I6"/>
      <c r="J6" s="15">
        <v>7.026335597038269E-2</v>
      </c>
      <c r="K6" s="266">
        <v>1.1200069189071655</v>
      </c>
      <c r="L6" s="271">
        <v>2.8009073734283447</v>
      </c>
      <c r="M6"/>
      <c r="N6" s="77">
        <v>0.43342268466949463</v>
      </c>
      <c r="O6" s="74">
        <v>0.62966746091842651</v>
      </c>
      <c r="P6"/>
      <c r="Q6" s="68">
        <v>0.42418685555458069</v>
      </c>
      <c r="R6" s="17">
        <v>8.9949093759059906E-2</v>
      </c>
      <c r="S6"/>
      <c r="T6" s="11">
        <v>1.0623352136462927E-3</v>
      </c>
      <c r="U6"/>
      <c r="V6" s="11">
        <v>2.4119997397065163E-3</v>
      </c>
      <c r="W6" s="11">
        <v>3.6639819154515862E-4</v>
      </c>
      <c r="X6"/>
      <c r="Y6" s="22">
        <v>5.2225999534130096E-2</v>
      </c>
      <c r="Z6" s="14">
        <v>1.0657367296516895E-2</v>
      </c>
      <c r="AA6" s="14">
        <v>1.8088510259985924E-2</v>
      </c>
      <c r="AB6" s="27">
        <v>0.52045732736587524</v>
      </c>
      <c r="AC6" s="23">
        <v>4.5244086533784866E-2</v>
      </c>
      <c r="AD6" s="14">
        <v>1.6552293673157692E-2</v>
      </c>
      <c r="AE6" s="15">
        <v>6.554027646780014E-2</v>
      </c>
      <c r="AF6" s="12">
        <v>3.1144270673394203E-2</v>
      </c>
      <c r="AG6" s="15">
        <v>6.2640741467475891E-2</v>
      </c>
      <c r="AH6" s="14">
        <v>7.884572260081768E-3</v>
      </c>
      <c r="AI6" s="11">
        <v>3.1764660961925983E-3</v>
      </c>
      <c r="AJ6"/>
      <c r="AK6"/>
      <c r="AL6" s="14">
        <v>6.6397222690284252E-3</v>
      </c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1.2000000476837158</v>
      </c>
      <c r="C7">
        <v>0.72125357389450073</v>
      </c>
      <c r="D7" s="14">
        <v>1.2724306434392929E-3</v>
      </c>
      <c r="E7"/>
      <c r="F7"/>
      <c r="G7"/>
      <c r="H7"/>
      <c r="I7"/>
      <c r="J7" s="264">
        <v>0.21121995151042938</v>
      </c>
      <c r="K7"/>
      <c r="L7"/>
      <c r="M7"/>
      <c r="N7"/>
      <c r="O7" s="221">
        <v>2.9408764094114304E-2</v>
      </c>
      <c r="P7" s="68">
        <v>7.5905516743659973E-2</v>
      </c>
      <c r="Q7" s="230">
        <v>8.2453496754169464E-2</v>
      </c>
      <c r="R7"/>
      <c r="S7"/>
      <c r="T7" s="14">
        <v>2.2327471524477005E-3</v>
      </c>
      <c r="U7"/>
      <c r="V7" s="11">
        <v>2.7036722167395055E-4</v>
      </c>
      <c r="W7"/>
      <c r="X7"/>
      <c r="Y7" s="13">
        <v>4.4704381376504898E-2</v>
      </c>
      <c r="Z7" s="22">
        <v>9.1224880889058113E-3</v>
      </c>
      <c r="AA7"/>
      <c r="AB7" s="18">
        <v>1.310997735708952E-2</v>
      </c>
      <c r="AC7" s="11">
        <v>1.1270057875663042E-3</v>
      </c>
      <c r="AD7" s="23">
        <v>5.9214532375335693E-3</v>
      </c>
      <c r="AE7"/>
      <c r="AF7"/>
      <c r="AG7"/>
      <c r="AH7"/>
      <c r="AI7"/>
      <c r="AJ7"/>
      <c r="AK7"/>
      <c r="AL7" s="11">
        <v>9.7289346740581095E-5</v>
      </c>
      <c r="AM7"/>
      <c r="AN7" s="14">
        <v>1.8981097964569926E-3</v>
      </c>
      <c r="AO7" s="11">
        <v>2.5133856524917064E-6</v>
      </c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5.6500000953674316</v>
      </c>
      <c r="C8">
        <v>2.1086080074310303</v>
      </c>
      <c r="D8" s="11">
        <v>7.1725185262039304E-4</v>
      </c>
      <c r="E8"/>
      <c r="F8"/>
      <c r="G8"/>
      <c r="H8"/>
      <c r="I8"/>
      <c r="J8" s="14">
        <v>1.2426611036062241E-2</v>
      </c>
      <c r="K8"/>
      <c r="L8"/>
      <c r="M8"/>
      <c r="N8"/>
      <c r="O8" s="18">
        <v>6.8054251372814178E-2</v>
      </c>
      <c r="P8" s="25">
        <v>0.17706805467605591</v>
      </c>
      <c r="Q8" s="269">
        <v>0.49609062075614929</v>
      </c>
      <c r="R8" s="21">
        <v>0.11394699662923813</v>
      </c>
      <c r="S8"/>
      <c r="T8" s="11">
        <v>5.3389826789498329E-3</v>
      </c>
      <c r="U8" s="11">
        <v>9.9818117450922728E-4</v>
      </c>
      <c r="V8" s="11">
        <v>3.1282581039704382E-4</v>
      </c>
      <c r="W8" s="11">
        <v>4.7504552640020847E-3</v>
      </c>
      <c r="X8" s="14">
        <v>1.5421931631863117E-2</v>
      </c>
      <c r="Y8" s="20">
        <v>0.24877156317234039</v>
      </c>
      <c r="Z8" s="18">
        <v>6.1822652816772461E-2</v>
      </c>
      <c r="AA8" s="18">
        <v>6.7922301590442657E-2</v>
      </c>
      <c r="AB8" s="110">
        <v>1.668565034866333</v>
      </c>
      <c r="AC8" s="25">
        <v>0.17212681472301483</v>
      </c>
      <c r="AD8" s="28">
        <v>0.19777595996856689</v>
      </c>
      <c r="AE8" s="26">
        <v>0.14167144894599915</v>
      </c>
      <c r="AF8"/>
      <c r="AG8" s="23">
        <v>2.8673749417066574E-2</v>
      </c>
      <c r="AH8" s="11">
        <v>3.834728617221117E-3</v>
      </c>
      <c r="AI8" s="12">
        <v>2.1722251549363136E-2</v>
      </c>
      <c r="AJ8" s="23">
        <v>3.2588526606559753E-2</v>
      </c>
      <c r="AK8"/>
      <c r="AL8" s="11">
        <v>7.8797386959195137E-4</v>
      </c>
      <c r="AM8"/>
      <c r="AN8"/>
      <c r="AO8" s="11">
        <v>2.9080888452881481E-6</v>
      </c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3</v>
      </c>
      <c r="C9">
        <v>1.8457108736038208</v>
      </c>
      <c r="D9" s="11">
        <v>4.0736160008236766E-4</v>
      </c>
      <c r="E9"/>
      <c r="F9"/>
      <c r="G9"/>
      <c r="H9"/>
      <c r="I9"/>
      <c r="J9" s="16">
        <v>4.4698558747768402E-2</v>
      </c>
      <c r="K9" s="270">
        <v>0.41468304395675659</v>
      </c>
      <c r="L9" s="221">
        <v>7.0000000298023224E-2</v>
      </c>
      <c r="M9"/>
      <c r="N9"/>
      <c r="O9" s="25">
        <v>9.1796755790710449E-2</v>
      </c>
      <c r="P9" s="23">
        <v>1.8561504781246185E-2</v>
      </c>
      <c r="Q9" s="75">
        <v>0.23531067371368408</v>
      </c>
      <c r="R9" s="14">
        <v>3.9209276437759399E-3</v>
      </c>
      <c r="S9"/>
      <c r="T9"/>
      <c r="U9"/>
      <c r="V9" s="11">
        <v>6.9322536000981927E-4</v>
      </c>
      <c r="W9" s="11">
        <v>4.5769824646413326E-4</v>
      </c>
      <c r="X9" s="11">
        <v>8.1195449456572533E-4</v>
      </c>
      <c r="Y9" s="11">
        <v>1.661198097281158E-3</v>
      </c>
      <c r="Z9" s="11">
        <v>3.3898820402100682E-4</v>
      </c>
      <c r="AA9" s="11">
        <v>3.4443149343132973E-4</v>
      </c>
      <c r="AB9" s="67">
        <v>0.17683972418308258</v>
      </c>
      <c r="AC9" s="14">
        <v>6.4075030386447906E-3</v>
      </c>
      <c r="AD9" s="12">
        <v>1.205813605338335E-2</v>
      </c>
      <c r="AE9" s="12">
        <v>1.0919841006398201E-2</v>
      </c>
      <c r="AF9"/>
      <c r="AG9" s="19">
        <v>5.3411558270454407E-2</v>
      </c>
      <c r="AH9" s="14">
        <v>6.7736087366938591E-3</v>
      </c>
      <c r="AI9" s="11">
        <v>6.4952118555083871E-4</v>
      </c>
      <c r="AJ9" s="11">
        <v>2.0322054624557495E-3</v>
      </c>
      <c r="AK9" s="11">
        <v>2.254813807667233E-6</v>
      </c>
      <c r="AL9" s="11">
        <v>1.0845705401152372E-3</v>
      </c>
      <c r="AM9"/>
      <c r="AN9" s="11">
        <v>4.2319827480241656E-4</v>
      </c>
      <c r="AO9" s="11">
        <v>5.6037879403447732E-7</v>
      </c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</v>
      </c>
      <c r="C10">
        <v>0.15433162450790405</v>
      </c>
      <c r="D10" s="11">
        <v>3.5324340569786727E-4</v>
      </c>
      <c r="E10"/>
      <c r="F10"/>
      <c r="G10"/>
      <c r="H10"/>
      <c r="I10"/>
      <c r="J10" s="268">
        <v>0.35236668586730957</v>
      </c>
      <c r="K10" s="221">
        <v>2.2883139550685883E-2</v>
      </c>
      <c r="L10" s="267">
        <v>0.30902054905891418</v>
      </c>
      <c r="M10"/>
      <c r="N10"/>
      <c r="O10" s="146">
        <v>2.8946004807949066E-2</v>
      </c>
      <c r="P10"/>
      <c r="Q10"/>
      <c r="R10" s="12">
        <v>3.4618494100868702E-3</v>
      </c>
      <c r="S10"/>
      <c r="T10"/>
      <c r="U10"/>
      <c r="V10" s="12">
        <v>3.1933546997606754E-3</v>
      </c>
      <c r="W10"/>
      <c r="X10"/>
      <c r="Y10" s="14">
        <v>2.0952830091118813E-3</v>
      </c>
      <c r="Z10" s="11">
        <v>4.2756868060678244E-4</v>
      </c>
      <c r="AA10"/>
      <c r="AB10" s="77">
        <v>6.451842188835144E-2</v>
      </c>
      <c r="AC10" s="221">
        <v>2.2740071639418602E-2</v>
      </c>
      <c r="AD10"/>
      <c r="AE10"/>
      <c r="AF10" s="19">
        <v>1.7180539667606354E-2</v>
      </c>
      <c r="AG10" s="12">
        <v>4.0653375908732414E-3</v>
      </c>
      <c r="AH10" s="18">
        <v>1.2504739686846733E-2</v>
      </c>
      <c r="AI10" s="14">
        <v>1.9115754403173923E-3</v>
      </c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5.4000000953674316</v>
      </c>
      <c r="C11">
        <v>0.26987197995185852</v>
      </c>
      <c r="D11" s="16">
        <v>8.2265160977840424E-2</v>
      </c>
      <c r="E11"/>
      <c r="F11"/>
      <c r="G11"/>
      <c r="H11"/>
      <c r="I11"/>
      <c r="J11"/>
      <c r="K11"/>
      <c r="L11"/>
      <c r="M11"/>
      <c r="N11"/>
      <c r="O11" s="259">
        <v>1.0593149662017822</v>
      </c>
      <c r="P11" s="22">
        <v>4.4099137187004089E-2</v>
      </c>
      <c r="Q11" s="19">
        <v>9.9000245332717896E-2</v>
      </c>
      <c r="R11" s="18">
        <v>5.9122323989868164E-2</v>
      </c>
      <c r="S11" s="71">
        <v>0.37707409262657166</v>
      </c>
      <c r="T11" s="19">
        <v>9.865395724773407E-2</v>
      </c>
      <c r="U11" s="23">
        <v>3.1074866652488708E-2</v>
      </c>
      <c r="V11"/>
      <c r="W11" s="14">
        <v>1.4788873493671417E-2</v>
      </c>
      <c r="X11" s="15">
        <v>4.8273123800754547E-2</v>
      </c>
      <c r="Y11" s="258">
        <v>0.9968334436416626</v>
      </c>
      <c r="Z11" s="146">
        <v>0.15647406876087189</v>
      </c>
      <c r="AA11"/>
      <c r="AB11" s="263">
        <v>1.2750115394592285</v>
      </c>
      <c r="AC11" s="14">
        <v>8.1190373748540878E-3</v>
      </c>
      <c r="AD11" s="14">
        <v>5.6878160685300827E-3</v>
      </c>
      <c r="AE11"/>
      <c r="AF11"/>
      <c r="AG11" s="254">
        <v>0.71412515640258789</v>
      </c>
      <c r="AH11" s="11">
        <v>2.2284418810158968E-3</v>
      </c>
      <c r="AI11"/>
      <c r="AJ11" s="22">
        <v>3.9634671062231064E-2</v>
      </c>
      <c r="AK11"/>
      <c r="AL11" s="14">
        <v>1.2265398167073727E-2</v>
      </c>
      <c r="AM11" s="14">
        <v>6.0675167478621006E-3</v>
      </c>
      <c r="AN11"/>
      <c r="AO11" s="11">
        <v>1.4814513633609749E-5</v>
      </c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3</v>
      </c>
      <c r="C12">
        <v>0.15018582344055176</v>
      </c>
      <c r="D12" s="12">
        <v>1.3312940485775471E-2</v>
      </c>
      <c r="E12"/>
      <c r="F12"/>
      <c r="G12"/>
      <c r="H12"/>
      <c r="I12"/>
      <c r="J12"/>
      <c r="K12"/>
      <c r="L12"/>
      <c r="M12"/>
      <c r="N12"/>
      <c r="O12"/>
      <c r="P12" s="247">
        <v>0.24977914988994598</v>
      </c>
      <c r="Q12" s="12">
        <v>1.121482253074646E-2</v>
      </c>
      <c r="R12" s="260">
        <v>0.65060663223266602</v>
      </c>
      <c r="S12"/>
      <c r="T12" s="14">
        <v>3.0368459410965443E-3</v>
      </c>
      <c r="U12" s="14">
        <v>3.520183963701129E-3</v>
      </c>
      <c r="V12" s="12">
        <v>1.3238530606031418E-2</v>
      </c>
      <c r="W12" s="14">
        <v>8.3764726296067238E-3</v>
      </c>
      <c r="X12" s="15">
        <v>2.9719645157456398E-2</v>
      </c>
      <c r="Y12" s="14">
        <v>4.3431548401713371E-3</v>
      </c>
      <c r="Z12" s="11">
        <v>8.8627502555027604E-4</v>
      </c>
      <c r="AA12" s="11">
        <v>7.8794313594698906E-4</v>
      </c>
      <c r="AB12" s="261">
        <v>0.66867703199386597</v>
      </c>
      <c r="AC12" s="11">
        <v>2.2993264719843864E-3</v>
      </c>
      <c r="AD12" s="11">
        <v>1.5946916537359357E-3</v>
      </c>
      <c r="AE12" s="262">
        <v>0.69946557283401489</v>
      </c>
      <c r="AF12"/>
      <c r="AG12" s="108">
        <v>0.47189700603485107</v>
      </c>
      <c r="AH12"/>
      <c r="AI12"/>
      <c r="AJ12" s="23">
        <v>1.6753155738115311E-2</v>
      </c>
      <c r="AK12" s="11">
        <v>7.3689327109605074E-5</v>
      </c>
      <c r="AL12" s="11">
        <v>1.9849052478093654E-4</v>
      </c>
      <c r="AM12"/>
      <c r="AN12" s="11">
        <v>2.2128793716547079E-5</v>
      </c>
      <c r="AO12" s="11">
        <v>1.0255660527036525E-5</v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3.0999999046325684</v>
      </c>
      <c r="C13">
        <v>1.5500243902206421</v>
      </c>
      <c r="D13" s="19">
        <v>5.2047651261091232E-2</v>
      </c>
      <c r="E13"/>
      <c r="F13"/>
      <c r="G13"/>
      <c r="H13"/>
      <c r="I13"/>
      <c r="J13"/>
      <c r="K13"/>
      <c r="L13"/>
      <c r="M13"/>
      <c r="N13"/>
      <c r="O13"/>
      <c r="P13" s="248">
        <v>0.34418502449989319</v>
      </c>
      <c r="Q13"/>
      <c r="R13" s="18">
        <v>3.8325414061546326E-2</v>
      </c>
      <c r="S13" s="246">
        <v>0.1659189909696579</v>
      </c>
      <c r="T13" s="29">
        <v>0.14889547228813171</v>
      </c>
      <c r="U13" s="19">
        <v>5.6403059512376785E-2</v>
      </c>
      <c r="V13" s="14">
        <v>7.0705930702388287E-3</v>
      </c>
      <c r="W13"/>
      <c r="X13" s="17">
        <v>4.3809551745653152E-2</v>
      </c>
      <c r="Y13"/>
      <c r="Z13"/>
      <c r="AA13"/>
      <c r="AB13" s="64">
        <v>0.17142482101917267</v>
      </c>
      <c r="AC13" s="15">
        <v>3.3157393336296082E-2</v>
      </c>
      <c r="AD13" s="22">
        <v>2.5809457525610924E-2</v>
      </c>
      <c r="AE13" s="25">
        <v>9.606315940618515E-2</v>
      </c>
      <c r="AF13" s="13">
        <v>0.11412130296230316</v>
      </c>
      <c r="AG13" s="26">
        <v>8.1011705100536346E-2</v>
      </c>
      <c r="AH13" s="12">
        <v>1.0834226384758949E-2</v>
      </c>
      <c r="AI13" s="18">
        <v>3.8092769682407379E-2</v>
      </c>
      <c r="AJ13"/>
      <c r="AK13" s="15">
        <v>2.8573088347911835E-2</v>
      </c>
      <c r="AL13" s="22">
        <v>2.6715068146586418E-2</v>
      </c>
      <c r="AM13" s="18">
        <v>3.9125021547079086E-2</v>
      </c>
      <c r="AN13" s="15">
        <v>2.8365146368741989E-2</v>
      </c>
      <c r="AO13" s="11">
        <v>2.6889380023931153E-5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0.74000000953674316</v>
      </c>
      <c r="C14">
        <v>0.39297053217887878</v>
      </c>
      <c r="D14" s="214">
        <v>4.2307693511247635E-2</v>
      </c>
      <c r="E14"/>
      <c r="F14"/>
      <c r="G14"/>
      <c r="H14"/>
      <c r="I14"/>
      <c r="J14"/>
      <c r="K14"/>
      <c r="L14"/>
      <c r="M14"/>
      <c r="N14"/>
      <c r="O14"/>
      <c r="P14" s="11">
        <v>3.6081025609746575E-4</v>
      </c>
      <c r="Q14"/>
      <c r="R14" s="77">
        <v>4.8372693359851837E-2</v>
      </c>
      <c r="S14" s="251">
        <v>0.20100179314613342</v>
      </c>
      <c r="T14" s="24">
        <v>2.0179169252514839E-2</v>
      </c>
      <c r="U14" s="18">
        <v>8.6444420740008354E-3</v>
      </c>
      <c r="V14"/>
      <c r="W14" s="14">
        <v>1.2099958257749677E-3</v>
      </c>
      <c r="X14"/>
      <c r="Y14"/>
      <c r="Z14"/>
      <c r="AA14" s="23">
        <v>4.5527885667979717E-3</v>
      </c>
      <c r="AB14"/>
      <c r="AC14"/>
      <c r="AD14" s="16">
        <v>1.1634138412773609E-2</v>
      </c>
      <c r="AE14"/>
      <c r="AF14"/>
      <c r="AG14"/>
      <c r="AH14"/>
      <c r="AI14"/>
      <c r="AJ14" s="22">
        <v>5.5660493671894073E-3</v>
      </c>
      <c r="AK14"/>
      <c r="AL14"/>
      <c r="AM14"/>
      <c r="AN14" s="12">
        <v>3.1965419184416533E-3</v>
      </c>
      <c r="AO14" s="11">
        <v>3.366926648595836E-6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1.2100000381469727</v>
      </c>
      <c r="C15">
        <v>0.81279551982879639</v>
      </c>
      <c r="D15" s="215">
        <v>0.11006289720535278</v>
      </c>
      <c r="E15"/>
      <c r="F15"/>
      <c r="G15"/>
      <c r="H15"/>
      <c r="I15"/>
      <c r="J15"/>
      <c r="K15"/>
      <c r="L15"/>
      <c r="M15"/>
      <c r="N15"/>
      <c r="O15"/>
      <c r="P15"/>
      <c r="Q15" s="65">
        <v>2.6490569114685059E-2</v>
      </c>
      <c r="R15" s="239">
        <v>9.0400002896785736E-2</v>
      </c>
      <c r="S15" s="220">
        <v>0.10191696137189865</v>
      </c>
      <c r="T15"/>
      <c r="U15"/>
      <c r="V15"/>
      <c r="W15"/>
      <c r="X15"/>
      <c r="Y15"/>
      <c r="Z15"/>
      <c r="AA15" s="12">
        <v>3.7224059924483299E-3</v>
      </c>
      <c r="AB15"/>
      <c r="AC15"/>
      <c r="AD15" s="25">
        <v>3.8048755377531052E-2</v>
      </c>
      <c r="AE15"/>
      <c r="AF15"/>
      <c r="AG15"/>
      <c r="AH15"/>
      <c r="AI15"/>
      <c r="AJ15" s="17">
        <v>1.6620524227619171E-2</v>
      </c>
      <c r="AK15"/>
      <c r="AL15"/>
      <c r="AM15"/>
      <c r="AN15" s="22">
        <v>9.9313948303461075E-3</v>
      </c>
      <c r="AO15" s="11">
        <v>1.1011332389898598E-5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2.2999999523162842</v>
      </c>
      <c r="C16">
        <v>1.7466943264007568</v>
      </c>
      <c r="D16" s="216">
        <v>0.27999997138977051</v>
      </c>
      <c r="E16"/>
      <c r="F16"/>
      <c r="G16"/>
      <c r="H16"/>
      <c r="I16"/>
      <c r="J16"/>
      <c r="K16"/>
      <c r="L16"/>
      <c r="M16"/>
      <c r="N16"/>
      <c r="O16"/>
      <c r="P16" s="11">
        <v>1.2508087093010545E-3</v>
      </c>
      <c r="Q16" s="13">
        <v>8.4239989519119263E-2</v>
      </c>
      <c r="R16"/>
      <c r="S16" s="221">
        <v>5.4015986621379852E-2</v>
      </c>
      <c r="T16" s="65">
        <v>5.1705464720726013E-2</v>
      </c>
      <c r="U16" s="17">
        <v>3.084878996014595E-2</v>
      </c>
      <c r="V16"/>
      <c r="W16"/>
      <c r="X16"/>
      <c r="Y16"/>
      <c r="Z16"/>
      <c r="AA16" s="14">
        <v>3.9457501843571663E-3</v>
      </c>
      <c r="AB16"/>
      <c r="AC16"/>
      <c r="AD16" s="19">
        <v>4.0331676602363586E-2</v>
      </c>
      <c r="AE16"/>
      <c r="AF16"/>
      <c r="AG16"/>
      <c r="AH16"/>
      <c r="AI16"/>
      <c r="AJ16" s="14">
        <v>4.1947034187614918E-3</v>
      </c>
      <c r="AK16"/>
      <c r="AL16"/>
      <c r="AM16"/>
      <c r="AN16" s="14">
        <v>2.7703361120074987E-3</v>
      </c>
      <c r="AO16" s="11">
        <v>2.1243060928100022E-6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2.2999999523162842</v>
      </c>
      <c r="C17">
        <v>1.5437250137329102</v>
      </c>
      <c r="D17" s="217">
        <v>0.11169325560331345</v>
      </c>
      <c r="E17"/>
      <c r="F17"/>
      <c r="G17"/>
      <c r="H17"/>
      <c r="I17"/>
      <c r="J17"/>
      <c r="K17"/>
      <c r="L17"/>
      <c r="M17"/>
      <c r="N17"/>
      <c r="O17"/>
      <c r="P17" s="12">
        <v>1.1029493063688278E-2</v>
      </c>
      <c r="Q17"/>
      <c r="R17"/>
      <c r="S17"/>
      <c r="T17" s="67">
        <v>0.13409793376922607</v>
      </c>
      <c r="U17" s="234">
        <v>7.7720336616039276E-2</v>
      </c>
      <c r="V17"/>
      <c r="W17"/>
      <c r="X17"/>
      <c r="Y17"/>
      <c r="Z17"/>
      <c r="AA17"/>
      <c r="AB17"/>
      <c r="AC17"/>
      <c r="AD17" s="237">
        <v>0.3556402325630188</v>
      </c>
      <c r="AE17"/>
      <c r="AF17"/>
      <c r="AG17"/>
      <c r="AH17"/>
      <c r="AI17" s="23">
        <v>1.4580492861568928E-2</v>
      </c>
      <c r="AJ17"/>
      <c r="AK17" s="11">
        <v>1.6269489424303174E-3</v>
      </c>
      <c r="AL17"/>
      <c r="AM17"/>
      <c r="AN17" s="65">
        <v>4.8857033252716064E-2</v>
      </c>
      <c r="AO17" s="11">
        <v>1.029224949888885E-3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1.5</v>
      </c>
      <c r="C18">
        <v>1.0098339319229126</v>
      </c>
      <c r="D18" s="218">
        <v>0.35680755972862244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 s="66">
        <v>6.2070008367300034E-2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 s="25">
        <v>4.6577837318181992E-2</v>
      </c>
      <c r="AJ18"/>
      <c r="AK18" s="11">
        <v>1.2993346899747849E-3</v>
      </c>
      <c r="AL18"/>
      <c r="AM18"/>
      <c r="AN18" s="16">
        <v>2.3411296308040619E-2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1.2999999523162842</v>
      </c>
      <c r="C19">
        <v>6.5005280077457428E-2</v>
      </c>
      <c r="D19" s="68">
        <v>8.1609763205051422E-2</v>
      </c>
      <c r="E19"/>
      <c r="F19"/>
      <c r="G19"/>
      <c r="H19"/>
      <c r="I19"/>
      <c r="J19"/>
      <c r="K19"/>
      <c r="L19"/>
      <c r="M19"/>
      <c r="N19"/>
      <c r="O19"/>
      <c r="P19" s="240">
        <v>0.57780122756958008</v>
      </c>
      <c r="Q19"/>
      <c r="R19"/>
      <c r="S19"/>
      <c r="T19"/>
      <c r="U19"/>
      <c r="V19"/>
      <c r="W19"/>
      <c r="X19"/>
      <c r="Y19"/>
      <c r="Z19"/>
      <c r="AA19" s="238">
        <v>0.22783848643302917</v>
      </c>
      <c r="AB19"/>
      <c r="AC19"/>
      <c r="AD19"/>
      <c r="AE19"/>
      <c r="AF19" s="143">
        <v>0.13007365167140961</v>
      </c>
      <c r="AG19"/>
      <c r="AH19"/>
      <c r="AI19"/>
      <c r="AJ19"/>
      <c r="AK19" s="20">
        <v>5.6252364069223404E-2</v>
      </c>
      <c r="AL19"/>
      <c r="AM19"/>
      <c r="AN19" s="107">
        <v>0.16124661266803741</v>
      </c>
      <c r="AO19" s="11">
        <v>1.7253738769795746E-4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1.3400000333786011</v>
      </c>
      <c r="C20">
        <v>6.7006409168243408E-2</v>
      </c>
      <c r="D20" s="219">
        <v>0.37837898731231689</v>
      </c>
      <c r="E20"/>
      <c r="F20"/>
      <c r="G20"/>
      <c r="H20"/>
      <c r="I20"/>
      <c r="J20"/>
      <c r="K20"/>
      <c r="L20"/>
      <c r="M20"/>
      <c r="N20"/>
      <c r="O20"/>
      <c r="P20" s="14">
        <v>2.678941935300827E-3</v>
      </c>
      <c r="Q20"/>
      <c r="R20"/>
      <c r="S20"/>
      <c r="T20"/>
      <c r="U20"/>
      <c r="V20"/>
      <c r="W20"/>
      <c r="X20" s="67">
        <v>7.9687610268592834E-2</v>
      </c>
      <c r="Y20"/>
      <c r="Z20"/>
      <c r="AA20"/>
      <c r="AB20" s="233">
        <v>0.14343447983264923</v>
      </c>
      <c r="AC20" s="69">
        <v>0.12330416589975357</v>
      </c>
      <c r="AD20" s="236">
        <v>0.43190544843673706</v>
      </c>
      <c r="AE20"/>
      <c r="AF20"/>
      <c r="AG20"/>
      <c r="AH20"/>
      <c r="AI20"/>
      <c r="AJ20" s="109">
        <v>8.9840814471244812E-2</v>
      </c>
      <c r="AK20"/>
      <c r="AL20"/>
      <c r="AM20"/>
      <c r="AN20" s="19">
        <v>2.3733671754598618E-2</v>
      </c>
      <c r="AO20" s="11">
        <v>2.9498509320546873E-5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0.85000002384185791</v>
      </c>
      <c r="C21">
        <v>0.5311318039894104</v>
      </c>
      <c r="D21" s="220">
        <v>7.2499997913837433E-2</v>
      </c>
      <c r="E21"/>
      <c r="F21"/>
      <c r="G21"/>
      <c r="H21"/>
      <c r="I21"/>
      <c r="J21"/>
      <c r="K21"/>
      <c r="L21"/>
      <c r="M21"/>
      <c r="N21"/>
      <c r="O21"/>
      <c r="P21" s="14">
        <v>9.3810661928728223E-4</v>
      </c>
      <c r="Q21"/>
      <c r="R21"/>
      <c r="S21" s="29">
        <v>4.0511995553970337E-2</v>
      </c>
      <c r="T21"/>
      <c r="U21"/>
      <c r="V21"/>
      <c r="W21"/>
      <c r="X21" s="23">
        <v>5.5809700861573219E-3</v>
      </c>
      <c r="Y21"/>
      <c r="Z21"/>
      <c r="AA21"/>
      <c r="AB21"/>
      <c r="AC21"/>
      <c r="AD21" s="235">
        <v>0.15124379098415375</v>
      </c>
      <c r="AE21"/>
      <c r="AF21"/>
      <c r="AG21"/>
      <c r="AH21"/>
      <c r="AI21"/>
      <c r="AJ21" s="13">
        <v>3.1460277736186981E-2</v>
      </c>
      <c r="AK21"/>
      <c r="AL21"/>
      <c r="AM21"/>
      <c r="AN21" s="21">
        <v>1.6622019931674004E-2</v>
      </c>
      <c r="AO21" s="11">
        <v>1.103005251934519E-5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2.3599998950958252</v>
      </c>
      <c r="C22">
        <v>0.51004785299301147</v>
      </c>
      <c r="D22" s="221">
        <v>5.5363323539495468E-2</v>
      </c>
      <c r="E22"/>
      <c r="F22"/>
      <c r="G22"/>
      <c r="H22"/>
      <c r="I22"/>
      <c r="J22"/>
      <c r="K22"/>
      <c r="L22"/>
      <c r="M22"/>
      <c r="N22"/>
      <c r="O22"/>
      <c r="P22"/>
      <c r="Q22"/>
      <c r="R22" s="252">
        <v>0.87037372589111328</v>
      </c>
      <c r="S22" s="142">
        <v>0.28035983443260193</v>
      </c>
      <c r="T22" s="77">
        <v>0.15154868364334106</v>
      </c>
      <c r="U22" s="24">
        <v>6.4045928418636322E-2</v>
      </c>
      <c r="V22"/>
      <c r="W22"/>
      <c r="X22"/>
      <c r="Y22"/>
      <c r="Z22" s="243">
        <v>0.23035444319248199</v>
      </c>
      <c r="AA22" s="23">
        <v>1.2287802062928677E-2</v>
      </c>
      <c r="AB22"/>
      <c r="AC22"/>
      <c r="AD22" s="19">
        <v>4.1866794228553772E-2</v>
      </c>
      <c r="AE22"/>
      <c r="AF22"/>
      <c r="AG22"/>
      <c r="AH22"/>
      <c r="AI22" s="22">
        <v>1.7164492979645729E-2</v>
      </c>
      <c r="AJ22" s="23">
        <v>1.3933965004980564E-2</v>
      </c>
      <c r="AK22" s="14">
        <v>2.4898664560168982E-3</v>
      </c>
      <c r="AL22" s="19">
        <v>4.333583265542984E-2</v>
      </c>
      <c r="AM22" s="26">
        <v>5.8765396475791931E-2</v>
      </c>
      <c r="AN22" s="12">
        <v>8.052188903093338E-3</v>
      </c>
      <c r="AO22" s="11">
        <v>9.6930207291734405E-6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2.3599998950958252</v>
      </c>
      <c r="C23">
        <v>2.4583518505096436</v>
      </c>
      <c r="D23" s="222">
        <v>0.25886455178260803</v>
      </c>
      <c r="E23"/>
      <c r="F23"/>
      <c r="G23"/>
      <c r="H23"/>
      <c r="I23"/>
      <c r="J23"/>
      <c r="K23"/>
      <c r="L23"/>
      <c r="M23"/>
      <c r="N23"/>
      <c r="O23"/>
      <c r="P23"/>
      <c r="Q23"/>
      <c r="R23" s="245">
        <v>1.6912796497344971</v>
      </c>
      <c r="S23" s="25">
        <v>7.6269954442977905E-2</v>
      </c>
      <c r="T23" s="13">
        <v>8.5891202092170715E-2</v>
      </c>
      <c r="U23"/>
      <c r="V23"/>
      <c r="W23"/>
      <c r="X23"/>
      <c r="Y23" s="234">
        <v>7.6773479580879211E-2</v>
      </c>
      <c r="Z23"/>
      <c r="AA23"/>
      <c r="AB23" s="14">
        <v>4.7280527651309967E-3</v>
      </c>
      <c r="AC23" s="19">
        <v>4.0238488465547562E-2</v>
      </c>
      <c r="AD23" s="12">
        <v>1.0250616818666458E-2</v>
      </c>
      <c r="AE23"/>
      <c r="AF23"/>
      <c r="AG23"/>
      <c r="AH23"/>
      <c r="AI23" s="14">
        <v>3.9690597914159298E-3</v>
      </c>
      <c r="AJ23" s="11">
        <v>1.0661171982064843E-3</v>
      </c>
      <c r="AK23" s="11">
        <v>2.0841570221818984E-4</v>
      </c>
      <c r="AL23"/>
      <c r="AM23" s="14">
        <v>4.7960160300135612E-3</v>
      </c>
      <c r="AN23" s="11">
        <v>6.2586920103058219E-4</v>
      </c>
      <c r="AO23" s="11">
        <v>6.9219134957165807E-7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1.4299999475479126</v>
      </c>
      <c r="C24">
        <v>1.6085848808288574</v>
      </c>
      <c r="D24" s="223">
        <v>0.46315804123878479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 s="226">
        <v>0.38208970427513123</v>
      </c>
      <c r="AE24"/>
      <c r="AF24"/>
      <c r="AG24"/>
      <c r="AH24"/>
      <c r="AI24"/>
      <c r="AJ24" s="15">
        <v>1.3246436603367329E-2</v>
      </c>
      <c r="AK24" s="12">
        <v>6.4091403037309647E-3</v>
      </c>
      <c r="AL24"/>
      <c r="AM24" s="14">
        <v>2.1452468354254961E-3</v>
      </c>
      <c r="AN24" s="12">
        <v>6.9987475872039795E-3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2.7000000476837158</v>
      </c>
      <c r="C25">
        <v>0.13497766852378845</v>
      </c>
      <c r="D25" s="65">
        <v>5.8541171252727509E-2</v>
      </c>
      <c r="E25"/>
      <c r="F25"/>
      <c r="G25"/>
      <c r="H25"/>
      <c r="I25"/>
      <c r="J25"/>
      <c r="K25"/>
      <c r="L25"/>
      <c r="M25"/>
      <c r="N25"/>
      <c r="O25"/>
      <c r="P25" s="11">
        <v>1.2176371092209592E-4</v>
      </c>
      <c r="Q25" s="112">
        <v>0.52483797073364258</v>
      </c>
      <c r="R25" s="111">
        <v>0.48973429203033447</v>
      </c>
      <c r="S25" s="266">
        <v>0.45221787691116333</v>
      </c>
      <c r="T25" s="26">
        <v>6.9875746965408325E-2</v>
      </c>
      <c r="U25" s="15">
        <v>2.4367749691009521E-2</v>
      </c>
      <c r="V25"/>
      <c r="W25" s="21">
        <v>5.5534359067678452E-2</v>
      </c>
      <c r="X25" s="24">
        <v>7.2439484298229218E-2</v>
      </c>
      <c r="Y25" s="239">
        <v>0.19901913404464722</v>
      </c>
      <c r="Z25" s="65">
        <v>5.7030096650123596E-2</v>
      </c>
      <c r="AA25" s="16">
        <v>4.3020408600568771E-2</v>
      </c>
      <c r="AB25" s="216">
        <v>0.32597032189369202</v>
      </c>
      <c r="AC25" s="12">
        <v>1.1208880692720413E-2</v>
      </c>
      <c r="AD25" s="29">
        <v>0.12956485152244568</v>
      </c>
      <c r="AE25"/>
      <c r="AF25" s="14">
        <v>5.4822489619255066E-3</v>
      </c>
      <c r="AG25"/>
      <c r="AH25"/>
      <c r="AI25"/>
      <c r="AJ25" s="18">
        <v>2.9237570241093636E-2</v>
      </c>
      <c r="AK25"/>
      <c r="AL25"/>
      <c r="AM25" s="23">
        <v>1.3578941114246845E-2</v>
      </c>
      <c r="AN25" s="14">
        <v>3.2362400088459253E-3</v>
      </c>
      <c r="AO25" s="11">
        <v>3.1814911380934063E-6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2.5999999046325684</v>
      </c>
      <c r="C26">
        <v>1.8382879495620728</v>
      </c>
      <c r="D26" s="143">
        <v>0.25806787610054016</v>
      </c>
      <c r="E26"/>
      <c r="F26"/>
      <c r="G26"/>
      <c r="H26"/>
      <c r="I26"/>
      <c r="J26"/>
      <c r="K26"/>
      <c r="L26"/>
      <c r="M26"/>
      <c r="N26"/>
      <c r="O26"/>
      <c r="P26"/>
      <c r="Q26"/>
      <c r="R26" s="244">
        <v>0.64398688077926636</v>
      </c>
      <c r="S26"/>
      <c r="T26"/>
      <c r="U26"/>
      <c r="V26"/>
      <c r="W26"/>
      <c r="X26" s="29">
        <v>0.12002241611480713</v>
      </c>
      <c r="Y26"/>
      <c r="Z26"/>
      <c r="AA26" s="11">
        <v>1.5910489019006491E-3</v>
      </c>
      <c r="AB26" s="242">
        <v>0.54008877277374268</v>
      </c>
      <c r="AC26"/>
      <c r="AD26"/>
      <c r="AE26"/>
      <c r="AF26"/>
      <c r="AG26"/>
      <c r="AH26"/>
      <c r="AI26"/>
      <c r="AJ26" s="23">
        <v>1.5786726027727127E-2</v>
      </c>
      <c r="AK26"/>
      <c r="AL26"/>
      <c r="AM26" s="26">
        <v>6.8785890936851501E-2</v>
      </c>
      <c r="AN26" s="12">
        <v>8.9366855099797249E-3</v>
      </c>
      <c r="AO26" s="11">
        <v>5.1457929657772183E-4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1.440000057220459</v>
      </c>
      <c r="C27">
        <v>1.3418893814086914</v>
      </c>
      <c r="D27" s="224">
        <v>0.58974367380142212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 s="22">
        <v>1.1448143050074577E-2</v>
      </c>
      <c r="Y27"/>
      <c r="Z27"/>
      <c r="AA27" s="14">
        <v>3.0351928435266018E-3</v>
      </c>
      <c r="AB27"/>
      <c r="AC27"/>
      <c r="AD27"/>
      <c r="AE27"/>
      <c r="AF27"/>
      <c r="AG27"/>
      <c r="AH27"/>
      <c r="AI27"/>
      <c r="AJ27" s="11">
        <v>1.2906781630590558E-3</v>
      </c>
      <c r="AK27"/>
      <c r="AL27"/>
      <c r="AM27" s="12">
        <v>4.5288531109690666E-3</v>
      </c>
      <c r="AN27" s="11">
        <v>8.5241138003766537E-4</v>
      </c>
      <c r="AO27" s="11">
        <v>3.2322499464498833E-5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3</v>
      </c>
      <c r="C28">
        <v>0.14997124671936035</v>
      </c>
      <c r="D28" s="21">
        <v>5.8772742748260498E-2</v>
      </c>
      <c r="E28"/>
      <c r="F28"/>
      <c r="G28"/>
      <c r="H28"/>
      <c r="I28"/>
      <c r="J28"/>
      <c r="K28"/>
      <c r="L28"/>
      <c r="M28"/>
      <c r="N28"/>
      <c r="O28"/>
      <c r="P28" s="25">
        <v>9.4571143388748169E-2</v>
      </c>
      <c r="Q28" s="247">
        <v>0.2450997531414032</v>
      </c>
      <c r="R28"/>
      <c r="S28"/>
      <c r="T28" s="232">
        <v>0.13274048268795013</v>
      </c>
      <c r="U28" s="19">
        <v>5.0776157528162003E-2</v>
      </c>
      <c r="V28" s="12">
        <v>1.0447950102388859E-2</v>
      </c>
      <c r="W28"/>
      <c r="X28"/>
      <c r="Y28" s="255">
        <v>0.63216453790664673</v>
      </c>
      <c r="Z28"/>
      <c r="AA28" s="225">
        <v>0.11480323970317841</v>
      </c>
      <c r="AB28" s="78">
        <v>0.66190844774246216</v>
      </c>
      <c r="AC28"/>
      <c r="AD28" s="23">
        <v>1.6434121876955032E-2</v>
      </c>
      <c r="AE28" s="232">
        <v>0.13496069610118866</v>
      </c>
      <c r="AF28" s="16">
        <v>4.9156121909618378E-2</v>
      </c>
      <c r="AG28" s="247">
        <v>0.24530927836894989</v>
      </c>
      <c r="AH28" s="109">
        <v>0.19714829325675964</v>
      </c>
      <c r="AI28" s="26">
        <v>7.6950021088123322E-2</v>
      </c>
      <c r="AJ28" s="15">
        <v>3.0792053788900375E-2</v>
      </c>
      <c r="AK28" s="22">
        <v>2.148943766951561E-2</v>
      </c>
      <c r="AL28" s="22">
        <v>2.1957257762551308E-2</v>
      </c>
      <c r="AM28"/>
      <c r="AN28" s="19">
        <v>5.4488364607095718E-2</v>
      </c>
      <c r="AO28" s="11">
        <v>5.8411551435710862E-5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2.2400000095367432</v>
      </c>
      <c r="C29">
        <v>1.0847797393798828</v>
      </c>
      <c r="D29" s="225">
        <v>8.7719298899173737E-2</v>
      </c>
      <c r="E29"/>
      <c r="F29"/>
      <c r="G29"/>
      <c r="H29"/>
      <c r="I29"/>
      <c r="J29"/>
      <c r="K29"/>
      <c r="L29"/>
      <c r="M29"/>
      <c r="N29"/>
      <c r="O29"/>
      <c r="P29" s="17">
        <v>3.289857879281044E-2</v>
      </c>
      <c r="Q29" s="234">
        <v>7.3894739151000977E-2</v>
      </c>
      <c r="R29"/>
      <c r="S29"/>
      <c r="T29" s="16">
        <v>3.6017734557390213E-2</v>
      </c>
      <c r="U29" s="14">
        <v>2.3194581735879183E-3</v>
      </c>
      <c r="V29" s="14">
        <v>3.6345417611300945E-3</v>
      </c>
      <c r="W29"/>
      <c r="X29"/>
      <c r="Y29" s="17">
        <v>2.8588538989424706E-2</v>
      </c>
      <c r="Z29"/>
      <c r="AA29" s="146">
        <v>6.749308854341507E-2</v>
      </c>
      <c r="AB29" s="75">
        <v>0.17608031630516052</v>
      </c>
      <c r="AC29"/>
      <c r="AD29" s="12">
        <v>1.0617206804454327E-2</v>
      </c>
      <c r="AE29" s="146">
        <v>6.7815139889717102E-2</v>
      </c>
      <c r="AF29" s="18">
        <v>2.4700002744793892E-2</v>
      </c>
      <c r="AG29" s="241">
        <v>0.33281055092811584</v>
      </c>
      <c r="AH29" s="225">
        <v>8.9156880974769592E-2</v>
      </c>
      <c r="AI29" s="16">
        <v>3.4799303859472275E-2</v>
      </c>
      <c r="AJ29" s="22">
        <v>1.5472409315407276E-2</v>
      </c>
      <c r="AK29" s="23">
        <v>1.2633690610527992E-2</v>
      </c>
      <c r="AL29" s="12">
        <v>1.0452406480908394E-2</v>
      </c>
      <c r="AM29"/>
      <c r="AN29" s="65">
        <v>4.8116367310285568E-2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2.869999885559082</v>
      </c>
      <c r="C30">
        <v>0.14366236329078674</v>
      </c>
      <c r="D30" s="217">
        <v>0.14065136015415192</v>
      </c>
      <c r="E30"/>
      <c r="F30"/>
      <c r="G30"/>
      <c r="H30"/>
      <c r="I30"/>
      <c r="J30"/>
      <c r="K30"/>
      <c r="L30"/>
      <c r="M30"/>
      <c r="N30"/>
      <c r="O30"/>
      <c r="P30" s="259">
        <v>0.56544560194015503</v>
      </c>
      <c r="Q30"/>
      <c r="R30"/>
      <c r="S30" s="256">
        <v>0.33184361457824707</v>
      </c>
      <c r="T30"/>
      <c r="U30" s="28">
        <v>9.9356196820735931E-2</v>
      </c>
      <c r="V30" s="14">
        <v>8.0045796930789948E-3</v>
      </c>
      <c r="W30"/>
      <c r="X30"/>
      <c r="Y30" s="64">
        <v>0.15756340324878693</v>
      </c>
      <c r="Z30"/>
      <c r="AA30" s="65">
        <v>6.0029413551092148E-2</v>
      </c>
      <c r="AB30"/>
      <c r="AC30" s="23">
        <v>1.5014922246336937E-2</v>
      </c>
      <c r="AD30" s="14">
        <v>8.1812487915158272E-3</v>
      </c>
      <c r="AE30" s="265">
        <v>0.64526528120040894</v>
      </c>
      <c r="AF30" s="14">
        <v>8.1597547978162766E-3</v>
      </c>
      <c r="AG30" s="64">
        <v>0.15896904468536377</v>
      </c>
      <c r="AH30" s="16">
        <v>4.5790720731019974E-2</v>
      </c>
      <c r="AI30" s="257">
        <v>0.35745522379875183</v>
      </c>
      <c r="AJ30"/>
      <c r="AK30" s="22">
        <v>2.1386738866567612E-2</v>
      </c>
      <c r="AL30" s="17">
        <v>3.8309052586555481E-2</v>
      </c>
      <c r="AM30"/>
      <c r="AN30" s="221">
        <v>6.4866304397583008E-2</v>
      </c>
      <c r="AO30" s="11">
        <v>4.4647273170994595E-5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2.869999885559082</v>
      </c>
      <c r="C31">
        <v>1.1278235912322998</v>
      </c>
      <c r="D31" s="24">
        <v>8.1448465585708618E-2</v>
      </c>
      <c r="E31"/>
      <c r="F31"/>
      <c r="G31"/>
      <c r="H31"/>
      <c r="I31"/>
      <c r="J31"/>
      <c r="K31"/>
      <c r="L31"/>
      <c r="M31"/>
      <c r="N31"/>
      <c r="O31"/>
      <c r="P31" s="14">
        <v>3.1836391426622868E-3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 s="249">
        <v>1.3962725400924683</v>
      </c>
      <c r="AH31" s="15">
        <v>2.872810885310173E-2</v>
      </c>
      <c r="AI31" s="19">
        <v>5.0503525882959366E-2</v>
      </c>
      <c r="AJ31"/>
      <c r="AK31" s="12">
        <v>1.1740381829440594E-2</v>
      </c>
      <c r="AL31" s="13">
        <v>0.10625676810741425</v>
      </c>
      <c r="AM31" s="11">
        <v>5.763564258813858E-4</v>
      </c>
      <c r="AN31" s="65">
        <v>6.3461147248744965E-2</v>
      </c>
      <c r="AO31" s="11">
        <v>5.4069209909357596E-6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0.89999997615814209</v>
      </c>
      <c r="C32">
        <v>0.64573979377746582</v>
      </c>
      <c r="D32" s="226">
        <v>0.24050629138946533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 s="14">
        <v>1.7516340594738722E-3</v>
      </c>
      <c r="AL32"/>
      <c r="AM32" s="11">
        <v>4.2995437979698181E-4</v>
      </c>
      <c r="AN32" s="17">
        <v>1.157229021191597E-2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1.2599999904632568</v>
      </c>
      <c r="C33">
        <v>0.80127817392349243</v>
      </c>
      <c r="D33" s="227">
        <v>0.39578741788864136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 s="217">
        <v>6.2920555472373962E-2</v>
      </c>
      <c r="AK33" s="11">
        <v>1.3837910955771804E-5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0.38999998569488525</v>
      </c>
      <c r="C34">
        <v>0.19500301778316498</v>
      </c>
      <c r="D34" s="228">
        <v>0.17746338248252869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 s="232">
        <v>1.7533598467707634E-2</v>
      </c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5.9999998658895493E-2</v>
      </c>
      <c r="C35">
        <v>5.9722989797592163E-2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 s="12">
        <v>2.7701008366420865E-4</v>
      </c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4.5000001788139343E-2</v>
      </c>
      <c r="C36">
        <v>1.4432857744395733E-2</v>
      </c>
      <c r="D36" s="229">
        <v>3.0434783548116684E-2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 s="12">
        <v>1.3236263475846499E-4</v>
      </c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0.1120000034570694</v>
      </c>
      <c r="C37">
        <v>0.10437003523111343</v>
      </c>
      <c r="D37" s="230">
        <v>7.5949369929730892E-3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 s="11">
        <v>3.5032688174396753E-5</v>
      </c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0.10000000149011612</v>
      </c>
      <c r="C38">
        <v>4.9695570021867752E-2</v>
      </c>
      <c r="D38" s="231">
        <v>5.000000074505806E-2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 s="12">
        <v>3.0443407013081014E-4</v>
      </c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1.6653990373015404E-2</v>
      </c>
      <c r="D39"/>
      <c r="E39"/>
      <c r="F39"/>
      <c r="G39" s="9">
        <v>1946.8800048828125</v>
      </c>
      <c r="H39"/>
      <c r="I39" s="9">
        <v>77.301826477050781</v>
      </c>
      <c r="J39" s="9">
        <v>2.1945395469665527</v>
      </c>
      <c r="K39" s="9">
        <v>42.327308654785156</v>
      </c>
      <c r="L39" s="9">
        <v>58.603462219238281</v>
      </c>
      <c r="M39" s="9">
        <v>11.210400581359863</v>
      </c>
      <c r="N39" s="9">
        <v>6.5716552734375</v>
      </c>
      <c r="O39" s="9">
        <v>2.9745495319366455</v>
      </c>
      <c r="P39"/>
      <c r="Q39"/>
      <c r="R39"/>
      <c r="S39"/>
      <c r="T39"/>
      <c r="U39"/>
      <c r="V39"/>
      <c r="W39"/>
      <c r="X39"/>
      <c r="Y39"/>
      <c r="Z39"/>
      <c r="AA39"/>
      <c r="AB39" s="9">
        <v>2.0291950702667236</v>
      </c>
      <c r="AC39" s="9">
        <v>7.2539716958999634E-2</v>
      </c>
      <c r="AD39"/>
      <c r="AE39" s="9">
        <v>0.22517257928848267</v>
      </c>
      <c r="AF39"/>
      <c r="AG39" s="9">
        <v>0.96211898326873779</v>
      </c>
      <c r="AH39" s="9">
        <v>0.12359140068292618</v>
      </c>
      <c r="AI39" s="9">
        <v>1.9842155743390322E-3</v>
      </c>
      <c r="AJ39"/>
      <c r="AK39"/>
      <c r="AL39" s="9">
        <v>2.9819185147061944E-4</v>
      </c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7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7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6" t="s">
        <v>192</v>
      </c>
      <c r="E5">
        <v>4</v>
      </c>
      <c r="F5">
        <v>2</v>
      </c>
      <c r="G5">
        <v>4</v>
      </c>
      <c r="H5" s="197" t="s">
        <v>192</v>
      </c>
      <c r="J5" s="57"/>
      <c r="K5" s="58"/>
    </row>
    <row r="6" spans="1:12" ht="14" thickBot="1" x14ac:dyDescent="0.2">
      <c r="A6" s="41" t="s">
        <v>121</v>
      </c>
      <c r="D6" s="196" t="s">
        <v>193</v>
      </c>
      <c r="E6">
        <v>5</v>
      </c>
      <c r="F6">
        <v>2</v>
      </c>
      <c r="G6">
        <v>5</v>
      </c>
      <c r="H6" s="197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6" t="s">
        <v>194</v>
      </c>
      <c r="E7">
        <v>6</v>
      </c>
      <c r="F7">
        <v>3.11</v>
      </c>
      <c r="G7">
        <v>6</v>
      </c>
      <c r="H7" s="197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6" t="s">
        <v>195</v>
      </c>
      <c r="E8">
        <v>7</v>
      </c>
      <c r="F8">
        <v>3.11</v>
      </c>
      <c r="G8">
        <v>7</v>
      </c>
      <c r="H8" s="197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6" t="s">
        <v>196</v>
      </c>
      <c r="E9">
        <v>8</v>
      </c>
      <c r="F9">
        <v>3.21</v>
      </c>
      <c r="G9">
        <v>8</v>
      </c>
      <c r="H9" s="197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6" t="s">
        <v>197</v>
      </c>
      <c r="E10">
        <v>9</v>
      </c>
      <c r="F10">
        <v>3.21</v>
      </c>
      <c r="G10">
        <v>9</v>
      </c>
      <c r="H10" s="197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6" t="s">
        <v>198</v>
      </c>
      <c r="E11">
        <v>10</v>
      </c>
      <c r="F11">
        <v>3.21</v>
      </c>
      <c r="G11">
        <v>10</v>
      </c>
      <c r="H11" s="197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6" t="s">
        <v>199</v>
      </c>
      <c r="E12">
        <v>11</v>
      </c>
      <c r="F12">
        <v>3.21</v>
      </c>
      <c r="G12">
        <v>11</v>
      </c>
      <c r="H12" s="197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6" t="s">
        <v>200</v>
      </c>
      <c r="E13">
        <v>12</v>
      </c>
      <c r="F13">
        <v>3.21</v>
      </c>
      <c r="G13">
        <v>12</v>
      </c>
      <c r="H13" s="197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6" t="s">
        <v>201</v>
      </c>
      <c r="E14">
        <v>13</v>
      </c>
      <c r="F14">
        <v>3</v>
      </c>
      <c r="G14">
        <v>13</v>
      </c>
      <c r="H14" s="197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6" t="s">
        <v>202</v>
      </c>
      <c r="E15">
        <v>14</v>
      </c>
      <c r="F15">
        <v>3.21</v>
      </c>
      <c r="G15">
        <v>14</v>
      </c>
      <c r="H15" s="197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6" t="s">
        <v>203</v>
      </c>
      <c r="E16">
        <v>15</v>
      </c>
      <c r="F16">
        <v>3.12</v>
      </c>
      <c r="G16">
        <v>15</v>
      </c>
      <c r="H16" s="197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6" t="s">
        <v>204</v>
      </c>
      <c r="E17">
        <v>16</v>
      </c>
      <c r="F17">
        <v>3.22</v>
      </c>
      <c r="G17">
        <v>16</v>
      </c>
      <c r="H17" s="197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6" t="s">
        <v>205</v>
      </c>
      <c r="E18">
        <v>17</v>
      </c>
      <c r="F18">
        <v>3.22</v>
      </c>
      <c r="G18">
        <v>17</v>
      </c>
      <c r="H18" s="197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6" t="s">
        <v>206</v>
      </c>
      <c r="E19">
        <v>18</v>
      </c>
      <c r="F19">
        <v>3.22</v>
      </c>
      <c r="G19">
        <v>18</v>
      </c>
      <c r="H19" s="197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6" t="s">
        <v>207</v>
      </c>
      <c r="E20">
        <v>19</v>
      </c>
      <c r="F20">
        <v>3.22</v>
      </c>
      <c r="G20">
        <v>19</v>
      </c>
      <c r="H20" s="197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6" t="s">
        <v>208</v>
      </c>
      <c r="E21">
        <v>20</v>
      </c>
      <c r="F21">
        <v>3.22</v>
      </c>
      <c r="G21">
        <v>20</v>
      </c>
      <c r="H21" s="197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6" t="s">
        <v>209</v>
      </c>
      <c r="E22">
        <v>21</v>
      </c>
      <c r="F22">
        <v>3.12</v>
      </c>
      <c r="G22">
        <v>21</v>
      </c>
      <c r="H22" s="197" t="s">
        <v>209</v>
      </c>
    </row>
    <row r="23" spans="1:12" x14ac:dyDescent="0.15">
      <c r="A23" s="36" t="s">
        <v>129</v>
      </c>
      <c r="B23" s="44">
        <v>4</v>
      </c>
      <c r="C23" s="38"/>
      <c r="D23" s="196" t="s">
        <v>210</v>
      </c>
      <c r="E23">
        <v>22</v>
      </c>
      <c r="F23">
        <v>3.22</v>
      </c>
      <c r="G23">
        <v>22</v>
      </c>
      <c r="H23" s="197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6" t="s">
        <v>211</v>
      </c>
      <c r="E24">
        <v>23</v>
      </c>
      <c r="F24">
        <v>3.22</v>
      </c>
      <c r="G24">
        <v>23</v>
      </c>
      <c r="H24" s="197" t="s">
        <v>211</v>
      </c>
    </row>
    <row r="25" spans="1:12" x14ac:dyDescent="0.15">
      <c r="A25" s="36" t="s">
        <v>70</v>
      </c>
      <c r="B25" s="44">
        <v>4.2</v>
      </c>
      <c r="C25" s="38"/>
      <c r="D25" s="196" t="s">
        <v>212</v>
      </c>
      <c r="E25">
        <v>24</v>
      </c>
      <c r="F25">
        <v>3.22</v>
      </c>
      <c r="G25">
        <v>24</v>
      </c>
      <c r="H25" s="197" t="s">
        <v>212</v>
      </c>
    </row>
    <row r="26" spans="1:12" x14ac:dyDescent="0.15">
      <c r="A26" s="36" t="s">
        <v>123</v>
      </c>
      <c r="B26" s="44">
        <v>4.3</v>
      </c>
      <c r="C26" s="38"/>
      <c r="D26" s="196" t="s">
        <v>213</v>
      </c>
      <c r="E26">
        <v>25</v>
      </c>
      <c r="F26">
        <v>3.22</v>
      </c>
      <c r="G26">
        <v>25</v>
      </c>
      <c r="H26" s="197" t="s">
        <v>213</v>
      </c>
    </row>
    <row r="27" spans="1:12" x14ac:dyDescent="0.15">
      <c r="A27" s="36" t="s">
        <v>125</v>
      </c>
      <c r="B27" s="44">
        <v>6.1</v>
      </c>
      <c r="D27" s="196" t="s">
        <v>214</v>
      </c>
      <c r="E27">
        <v>26</v>
      </c>
      <c r="F27">
        <v>3.22</v>
      </c>
      <c r="G27">
        <v>26</v>
      </c>
      <c r="H27" s="197" t="s">
        <v>214</v>
      </c>
    </row>
    <row r="28" spans="1:12" x14ac:dyDescent="0.15">
      <c r="A28" s="36" t="s">
        <v>124</v>
      </c>
      <c r="B28" s="44">
        <v>6.2</v>
      </c>
      <c r="D28" s="196" t="s">
        <v>215</v>
      </c>
      <c r="E28">
        <v>27</v>
      </c>
      <c r="F28">
        <v>3.22</v>
      </c>
      <c r="G28">
        <v>27</v>
      </c>
      <c r="H28" s="197" t="s">
        <v>215</v>
      </c>
    </row>
    <row r="29" spans="1:12" x14ac:dyDescent="0.15">
      <c r="A29" s="36" t="s">
        <v>44</v>
      </c>
      <c r="B29" s="44">
        <v>5</v>
      </c>
      <c r="D29" s="196" t="s">
        <v>216</v>
      </c>
      <c r="E29">
        <v>28</v>
      </c>
      <c r="F29">
        <v>3.22</v>
      </c>
      <c r="G29">
        <v>28</v>
      </c>
      <c r="H29" s="197" t="s">
        <v>216</v>
      </c>
    </row>
    <row r="30" spans="1:12" x14ac:dyDescent="0.15">
      <c r="A30" s="36" t="s">
        <v>73</v>
      </c>
      <c r="B30" s="44">
        <v>7</v>
      </c>
      <c r="D30" s="196" t="s">
        <v>217</v>
      </c>
      <c r="E30">
        <v>29</v>
      </c>
      <c r="F30">
        <v>3.22</v>
      </c>
      <c r="G30">
        <v>29</v>
      </c>
      <c r="H30" s="197" t="s">
        <v>217</v>
      </c>
    </row>
    <row r="31" spans="1:12" x14ac:dyDescent="0.15">
      <c r="A31" s="36" t="s">
        <v>169</v>
      </c>
      <c r="B31" s="44">
        <v>3.14</v>
      </c>
      <c r="D31" s="196" t="s">
        <v>218</v>
      </c>
      <c r="E31">
        <v>30</v>
      </c>
      <c r="F31">
        <v>3.22</v>
      </c>
      <c r="G31">
        <v>30</v>
      </c>
      <c r="H31" s="197" t="s">
        <v>218</v>
      </c>
    </row>
    <row r="32" spans="1:12" ht="12" customHeight="1" thickBot="1" x14ac:dyDescent="0.2">
      <c r="A32" s="42" t="s">
        <v>170</v>
      </c>
      <c r="B32" s="45">
        <v>9</v>
      </c>
      <c r="D32" s="196" t="s">
        <v>219</v>
      </c>
      <c r="E32">
        <v>31</v>
      </c>
      <c r="F32">
        <v>3.22</v>
      </c>
      <c r="G32">
        <v>31</v>
      </c>
      <c r="H32" s="197" t="s">
        <v>219</v>
      </c>
    </row>
    <row r="33" spans="4:8" customFormat="1" ht="12" customHeight="1" x14ac:dyDescent="0.15">
      <c r="D33" s="196" t="s">
        <v>220</v>
      </c>
      <c r="E33">
        <v>32</v>
      </c>
      <c r="F33">
        <v>3.12</v>
      </c>
      <c r="G33">
        <v>32</v>
      </c>
      <c r="H33" s="197" t="s">
        <v>220</v>
      </c>
    </row>
    <row r="34" spans="4:8" customFormat="1" ht="12" customHeight="1" x14ac:dyDescent="0.15">
      <c r="D34" s="196" t="s">
        <v>221</v>
      </c>
      <c r="E34">
        <v>33</v>
      </c>
      <c r="F34">
        <v>3.12</v>
      </c>
      <c r="G34">
        <v>33</v>
      </c>
      <c r="H34" s="197" t="s">
        <v>221</v>
      </c>
    </row>
    <row r="35" spans="4:8" customFormat="1" x14ac:dyDescent="0.15">
      <c r="D35" s="196" t="s">
        <v>222</v>
      </c>
      <c r="E35">
        <v>34</v>
      </c>
      <c r="F35">
        <v>3.12</v>
      </c>
      <c r="G35">
        <v>34</v>
      </c>
      <c r="H35" s="197" t="s">
        <v>222</v>
      </c>
    </row>
    <row r="36" spans="4:8" customFormat="1" x14ac:dyDescent="0.15">
      <c r="D36" s="196" t="s">
        <v>223</v>
      </c>
      <c r="E36">
        <v>35</v>
      </c>
      <c r="F36">
        <v>3.12</v>
      </c>
      <c r="G36">
        <v>35</v>
      </c>
      <c r="H36" s="197" t="s">
        <v>223</v>
      </c>
    </row>
    <row r="37" spans="4:8" customFormat="1" ht="12" customHeight="1" x14ac:dyDescent="0.15">
      <c r="D37" s="196" t="s">
        <v>224</v>
      </c>
      <c r="E37">
        <v>36</v>
      </c>
      <c r="F37">
        <v>3.12</v>
      </c>
      <c r="G37">
        <v>36</v>
      </c>
      <c r="H37" s="197" t="s">
        <v>224</v>
      </c>
    </row>
    <row r="38" spans="4:8" customFormat="1" x14ac:dyDescent="0.15">
      <c r="D38" s="196" t="s">
        <v>225</v>
      </c>
      <c r="E38">
        <v>37</v>
      </c>
      <c r="F38">
        <v>3.13</v>
      </c>
      <c r="G38">
        <v>37</v>
      </c>
      <c r="H38" s="197" t="s">
        <v>225</v>
      </c>
    </row>
    <row r="39" spans="4:8" customFormat="1" x14ac:dyDescent="0.15">
      <c r="D39" s="196" t="s">
        <v>226</v>
      </c>
      <c r="E39">
        <v>38</v>
      </c>
      <c r="F39">
        <v>3.13</v>
      </c>
      <c r="G39">
        <v>38</v>
      </c>
      <c r="H39" s="197" t="s">
        <v>226</v>
      </c>
    </row>
    <row r="40" spans="4:8" customFormat="1" x14ac:dyDescent="0.15">
      <c r="D40" s="196" t="s">
        <v>227</v>
      </c>
      <c r="E40">
        <v>39</v>
      </c>
      <c r="F40">
        <v>3.13</v>
      </c>
      <c r="G40">
        <v>39</v>
      </c>
      <c r="H40" s="197" t="s">
        <v>227</v>
      </c>
    </row>
    <row r="41" spans="4:8" customFormat="1" x14ac:dyDescent="0.15">
      <c r="D41" s="196" t="s">
        <v>228</v>
      </c>
      <c r="E41">
        <v>40</v>
      </c>
      <c r="F41">
        <v>3.12</v>
      </c>
      <c r="G41">
        <v>40</v>
      </c>
      <c r="H41" s="197" t="s">
        <v>228</v>
      </c>
    </row>
    <row r="42" spans="4:8" customFormat="1" x14ac:dyDescent="0.15">
      <c r="D42" s="196" t="s">
        <v>229</v>
      </c>
      <c r="E42">
        <v>41</v>
      </c>
      <c r="F42">
        <v>4.0999999999999996</v>
      </c>
      <c r="G42">
        <v>41</v>
      </c>
      <c r="H42" s="197" t="s">
        <v>229</v>
      </c>
    </row>
    <row r="43" spans="4:8" customFormat="1" x14ac:dyDescent="0.15">
      <c r="D43" s="196" t="s">
        <v>230</v>
      </c>
      <c r="E43">
        <v>42</v>
      </c>
      <c r="F43">
        <v>4.3</v>
      </c>
      <c r="G43">
        <v>42</v>
      </c>
      <c r="H43" s="197" t="s">
        <v>230</v>
      </c>
    </row>
    <row r="44" spans="4:8" customFormat="1" x14ac:dyDescent="0.15">
      <c r="D44" s="196" t="s">
        <v>231</v>
      </c>
      <c r="E44">
        <v>43</v>
      </c>
      <c r="F44">
        <v>5</v>
      </c>
      <c r="G44">
        <v>43</v>
      </c>
      <c r="H44" s="197" t="s">
        <v>231</v>
      </c>
    </row>
    <row r="45" spans="4:8" customFormat="1" x14ac:dyDescent="0.15">
      <c r="D45" s="196" t="s">
        <v>138</v>
      </c>
      <c r="E45">
        <v>44</v>
      </c>
      <c r="F45">
        <v>6.1</v>
      </c>
      <c r="G45">
        <v>44</v>
      </c>
      <c r="H45" s="197" t="s">
        <v>138</v>
      </c>
    </row>
    <row r="46" spans="4:8" customFormat="1" x14ac:dyDescent="0.15">
      <c r="D46" s="196" t="s">
        <v>45</v>
      </c>
      <c r="E46">
        <v>45</v>
      </c>
      <c r="F46">
        <v>6.2</v>
      </c>
      <c r="G46">
        <v>45</v>
      </c>
      <c r="H46" s="197" t="s">
        <v>45</v>
      </c>
    </row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4.1640625" style="84" bestFit="1" customWidth="1"/>
    <col min="2" max="2" width="12.83203125" style="83" customWidth="1"/>
    <col min="3" max="3" width="14.1640625" style="83" customWidth="1"/>
    <col min="4" max="4" width="7.33203125" style="83" customWidth="1"/>
    <col min="5" max="5" width="12.83203125" style="83" customWidth="1"/>
    <col min="6" max="6" width="27.5" style="83" bestFit="1" customWidth="1"/>
    <col min="7" max="9" width="2.33203125" style="83" customWidth="1"/>
    <col min="10" max="10" width="2.33203125" style="83" bestFit="1" customWidth="1"/>
    <col min="11" max="15" width="2.33203125" style="83" customWidth="1"/>
    <col min="16" max="16" width="2.33203125" style="72" customWidth="1"/>
    <col min="17" max="17" width="2.33203125" style="83" customWidth="1"/>
    <col min="18" max="18" width="2.33203125" style="73" customWidth="1"/>
    <col min="19" max="16384" width="11.5" style="83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5" t="s">
        <v>48</v>
      </c>
      <c r="L1" s="73"/>
      <c r="M1" s="85" t="s">
        <v>119</v>
      </c>
      <c r="N1" s="73"/>
      <c r="O1" s="85" t="s">
        <v>49</v>
      </c>
      <c r="P1" s="76"/>
      <c r="Q1" s="85" t="s">
        <v>50</v>
      </c>
      <c r="R1" s="70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1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1">
        <v>0</v>
      </c>
      <c r="R4" s="114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1">
        <v>0</v>
      </c>
      <c r="R5" s="114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198" t="s">
        <v>192</v>
      </c>
      <c r="G6" s="83">
        <v>0</v>
      </c>
      <c r="H6" s="83">
        <v>0</v>
      </c>
      <c r="I6" s="83">
        <v>0</v>
      </c>
      <c r="J6" s="83">
        <v>0</v>
      </c>
      <c r="K6" s="83">
        <v>0</v>
      </c>
      <c r="L6" s="83">
        <v>0</v>
      </c>
      <c r="M6" s="83">
        <v>1</v>
      </c>
      <c r="N6" s="83">
        <v>0</v>
      </c>
      <c r="O6" s="83">
        <v>0</v>
      </c>
      <c r="P6" s="72">
        <v>0</v>
      </c>
      <c r="Q6" s="83">
        <v>0</v>
      </c>
      <c r="R6" s="73">
        <v>1</v>
      </c>
      <c r="S6"/>
      <c r="T6"/>
    </row>
    <row r="7" spans="1:23" ht="15" customHeight="1" thickBot="1" x14ac:dyDescent="0.2">
      <c r="F7" s="198" t="s">
        <v>193</v>
      </c>
      <c r="G7" s="83">
        <v>0</v>
      </c>
      <c r="H7" s="83">
        <v>0</v>
      </c>
      <c r="I7" s="83">
        <v>0</v>
      </c>
      <c r="J7" s="83">
        <v>0</v>
      </c>
      <c r="K7" s="83">
        <v>0</v>
      </c>
      <c r="L7" s="83">
        <v>0</v>
      </c>
      <c r="M7" s="83">
        <v>1</v>
      </c>
      <c r="N7" s="83">
        <v>0</v>
      </c>
      <c r="O7" s="83">
        <v>0</v>
      </c>
      <c r="P7" s="72">
        <v>0</v>
      </c>
      <c r="Q7" s="83">
        <v>0</v>
      </c>
      <c r="R7" s="73">
        <v>1</v>
      </c>
      <c r="S7"/>
      <c r="T7"/>
    </row>
    <row r="8" spans="1:23" ht="15" customHeight="1" x14ac:dyDescent="0.15">
      <c r="A8" s="85" t="s">
        <v>56</v>
      </c>
      <c r="B8" s="92">
        <v>0.98608092341191023</v>
      </c>
      <c r="C8" s="199" t="s">
        <v>192</v>
      </c>
      <c r="D8" s="87" t="s">
        <v>160</v>
      </c>
      <c r="F8" s="198" t="s">
        <v>194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2">
        <v>0</v>
      </c>
      <c r="Q8" s="83">
        <v>0</v>
      </c>
      <c r="R8" s="73">
        <v>1</v>
      </c>
      <c r="S8"/>
      <c r="T8"/>
      <c r="W8"/>
    </row>
    <row r="9" spans="1:23" ht="15" customHeight="1" x14ac:dyDescent="0.15">
      <c r="A9" s="128" t="s">
        <v>168</v>
      </c>
      <c r="B9" s="94">
        <v>1.3919076588089767E-2</v>
      </c>
      <c r="C9" s="199" t="s">
        <v>193</v>
      </c>
      <c r="D9" s="87" t="s">
        <v>160</v>
      </c>
      <c r="F9" s="198" t="s">
        <v>195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2">
        <v>0</v>
      </c>
      <c r="Q9" s="83">
        <v>0</v>
      </c>
      <c r="R9" s="73">
        <v>1</v>
      </c>
      <c r="S9"/>
      <c r="T9"/>
      <c r="W9"/>
    </row>
    <row r="10" spans="1:23" ht="15" customHeight="1" x14ac:dyDescent="0.15">
      <c r="B10" s="94"/>
      <c r="C10" s="82"/>
      <c r="D10" s="87" t="s">
        <v>160</v>
      </c>
      <c r="F10" s="198" t="s">
        <v>196</v>
      </c>
      <c r="G10" s="83">
        <v>0</v>
      </c>
      <c r="H10" s="83">
        <v>0</v>
      </c>
      <c r="I10" s="83">
        <v>0</v>
      </c>
      <c r="J10" s="83">
        <v>0</v>
      </c>
      <c r="K10" s="83">
        <v>1</v>
      </c>
      <c r="L10" s="83">
        <v>0</v>
      </c>
      <c r="M10" s="83">
        <v>1</v>
      </c>
      <c r="N10" s="83">
        <v>0</v>
      </c>
      <c r="O10" s="83">
        <v>1</v>
      </c>
      <c r="P10" s="72">
        <v>0</v>
      </c>
      <c r="Q10" s="83">
        <v>0</v>
      </c>
      <c r="R10" s="73">
        <v>1</v>
      </c>
      <c r="S10"/>
      <c r="T10"/>
      <c r="W10"/>
    </row>
    <row r="11" spans="1:23" ht="15" customHeight="1" x14ac:dyDescent="0.15">
      <c r="A11" s="85"/>
      <c r="B11" s="94"/>
      <c r="C11" s="97"/>
      <c r="D11" s="87" t="s">
        <v>160</v>
      </c>
      <c r="F11" s="198" t="s">
        <v>197</v>
      </c>
      <c r="G11" s="83">
        <v>0</v>
      </c>
      <c r="H11" s="83">
        <v>0</v>
      </c>
      <c r="I11" s="83">
        <v>0</v>
      </c>
      <c r="J11" s="83">
        <v>0</v>
      </c>
      <c r="K11" s="83">
        <v>1</v>
      </c>
      <c r="L11" s="83">
        <v>0</v>
      </c>
      <c r="M11" s="83">
        <v>1</v>
      </c>
      <c r="N11" s="83">
        <v>0</v>
      </c>
      <c r="O11" s="83">
        <v>1</v>
      </c>
      <c r="P11" s="72">
        <v>0</v>
      </c>
      <c r="Q11" s="83">
        <v>0</v>
      </c>
      <c r="R11" s="73">
        <v>1</v>
      </c>
      <c r="S11"/>
      <c r="T11"/>
      <c r="W11"/>
    </row>
    <row r="12" spans="1:23" ht="15" customHeight="1" x14ac:dyDescent="0.15">
      <c r="B12" s="94"/>
      <c r="C12" s="98"/>
      <c r="D12" s="87" t="s">
        <v>160</v>
      </c>
      <c r="F12" s="198" t="s">
        <v>198</v>
      </c>
      <c r="G12" s="83">
        <v>0</v>
      </c>
      <c r="H12" s="83">
        <v>0</v>
      </c>
      <c r="I12" s="83">
        <v>0</v>
      </c>
      <c r="J12" s="83">
        <v>0</v>
      </c>
      <c r="K12" s="83">
        <v>1</v>
      </c>
      <c r="L12" s="83">
        <v>0</v>
      </c>
      <c r="M12" s="83">
        <v>1</v>
      </c>
      <c r="N12" s="83">
        <v>0</v>
      </c>
      <c r="O12" s="83">
        <v>1</v>
      </c>
      <c r="P12" s="72">
        <v>0</v>
      </c>
      <c r="Q12" s="83">
        <v>0</v>
      </c>
      <c r="R12" s="73">
        <v>1</v>
      </c>
      <c r="S12"/>
      <c r="T12"/>
      <c r="W12"/>
    </row>
    <row r="13" spans="1:23" ht="15" customHeight="1" x14ac:dyDescent="0.15">
      <c r="B13" s="94"/>
      <c r="C13" s="98"/>
      <c r="D13" s="87" t="s">
        <v>160</v>
      </c>
      <c r="F13" s="198" t="s">
        <v>199</v>
      </c>
      <c r="G13" s="83">
        <v>0</v>
      </c>
      <c r="H13" s="83">
        <v>0</v>
      </c>
      <c r="I13" s="83">
        <v>0</v>
      </c>
      <c r="J13" s="83">
        <v>0</v>
      </c>
      <c r="K13" s="83">
        <v>1</v>
      </c>
      <c r="L13" s="83">
        <v>0</v>
      </c>
      <c r="M13" s="83">
        <v>1</v>
      </c>
      <c r="N13" s="83">
        <v>0</v>
      </c>
      <c r="O13" s="83">
        <v>1</v>
      </c>
      <c r="P13" s="72">
        <v>0</v>
      </c>
      <c r="Q13" s="83">
        <v>0</v>
      </c>
      <c r="R13" s="73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198" t="s">
        <v>200</v>
      </c>
      <c r="G14" s="83">
        <v>0</v>
      </c>
      <c r="H14" s="83">
        <v>0</v>
      </c>
      <c r="I14" s="83">
        <v>0</v>
      </c>
      <c r="J14" s="83">
        <v>0</v>
      </c>
      <c r="K14" s="83">
        <v>1</v>
      </c>
      <c r="L14" s="83">
        <v>0</v>
      </c>
      <c r="M14" s="83">
        <v>1</v>
      </c>
      <c r="N14" s="83">
        <v>0</v>
      </c>
      <c r="O14" s="83">
        <v>1</v>
      </c>
      <c r="P14" s="72">
        <v>0</v>
      </c>
      <c r="Q14" s="83">
        <v>0</v>
      </c>
      <c r="R14" s="73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198" t="s">
        <v>201</v>
      </c>
      <c r="G15" s="83">
        <v>0</v>
      </c>
      <c r="H15" s="83">
        <v>0</v>
      </c>
      <c r="I15" s="83">
        <v>0</v>
      </c>
      <c r="J15" s="83">
        <v>0</v>
      </c>
      <c r="K15" s="83">
        <v>1</v>
      </c>
      <c r="L15" s="83">
        <v>0</v>
      </c>
      <c r="M15" s="83">
        <v>1</v>
      </c>
      <c r="N15" s="83">
        <v>0</v>
      </c>
      <c r="O15" s="83">
        <v>1</v>
      </c>
      <c r="P15" s="72">
        <v>0</v>
      </c>
      <c r="Q15" s="83">
        <v>0</v>
      </c>
      <c r="R15" s="73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198" t="s">
        <v>202</v>
      </c>
      <c r="G16" s="83">
        <v>0</v>
      </c>
      <c r="H16" s="83">
        <v>0</v>
      </c>
      <c r="I16" s="83">
        <v>0</v>
      </c>
      <c r="J16" s="83">
        <v>0</v>
      </c>
      <c r="K16" s="83">
        <v>1</v>
      </c>
      <c r="L16" s="83">
        <v>0</v>
      </c>
      <c r="M16" s="83">
        <v>1</v>
      </c>
      <c r="N16" s="83">
        <v>0</v>
      </c>
      <c r="O16" s="83">
        <v>1</v>
      </c>
      <c r="P16" s="72">
        <v>0</v>
      </c>
      <c r="Q16" s="83">
        <v>0</v>
      </c>
      <c r="R16" s="73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198" t="s">
        <v>203</v>
      </c>
      <c r="G17" s="83">
        <v>0</v>
      </c>
      <c r="H17" s="83">
        <v>0</v>
      </c>
      <c r="I17" s="83">
        <v>0</v>
      </c>
      <c r="J17" s="83">
        <v>0</v>
      </c>
      <c r="K17" s="83">
        <v>1</v>
      </c>
      <c r="L17" s="83">
        <v>0</v>
      </c>
      <c r="M17" s="83">
        <v>1</v>
      </c>
      <c r="N17" s="83">
        <v>0</v>
      </c>
      <c r="O17" s="83">
        <v>1</v>
      </c>
      <c r="P17" s="72">
        <v>0</v>
      </c>
      <c r="Q17" s="83">
        <v>0</v>
      </c>
      <c r="R17" s="73">
        <v>1</v>
      </c>
      <c r="S17"/>
      <c r="T17"/>
    </row>
    <row r="18" spans="1:20" ht="15" customHeight="1" thickBot="1" x14ac:dyDescent="0.2">
      <c r="B18" s="95"/>
      <c r="F18" s="198" t="s">
        <v>204</v>
      </c>
      <c r="G18" s="83">
        <v>0</v>
      </c>
      <c r="H18" s="83">
        <v>0</v>
      </c>
      <c r="I18" s="83">
        <v>0</v>
      </c>
      <c r="J18" s="83">
        <v>0</v>
      </c>
      <c r="K18" s="83">
        <v>1</v>
      </c>
      <c r="L18" s="83">
        <v>0</v>
      </c>
      <c r="M18" s="83">
        <v>1</v>
      </c>
      <c r="N18" s="83">
        <v>0</v>
      </c>
      <c r="O18" s="83">
        <v>1</v>
      </c>
      <c r="P18" s="72">
        <v>0</v>
      </c>
      <c r="Q18" s="83">
        <v>0</v>
      </c>
      <c r="R18" s="73">
        <v>1</v>
      </c>
      <c r="S18"/>
      <c r="T18"/>
    </row>
    <row r="19" spans="1:20" ht="15" customHeight="1" x14ac:dyDescent="0.15">
      <c r="A19" s="85" t="s">
        <v>57</v>
      </c>
      <c r="B19" s="92">
        <v>0.98608092341191023</v>
      </c>
      <c r="C19" s="200" t="s">
        <v>192</v>
      </c>
      <c r="D19" s="87" t="s">
        <v>160</v>
      </c>
      <c r="F19" s="198" t="s">
        <v>205</v>
      </c>
      <c r="G19" s="83">
        <v>0</v>
      </c>
      <c r="H19" s="83">
        <v>0</v>
      </c>
      <c r="I19" s="83">
        <v>0</v>
      </c>
      <c r="J19" s="83">
        <v>0</v>
      </c>
      <c r="K19" s="83">
        <v>1</v>
      </c>
      <c r="L19" s="83">
        <v>0</v>
      </c>
      <c r="M19" s="83">
        <v>1</v>
      </c>
      <c r="N19" s="83">
        <v>0</v>
      </c>
      <c r="O19" s="83">
        <v>1</v>
      </c>
      <c r="P19" s="72">
        <v>0</v>
      </c>
      <c r="Q19" s="83">
        <v>0</v>
      </c>
      <c r="R19" s="73">
        <v>1</v>
      </c>
      <c r="S19"/>
      <c r="T19"/>
    </row>
    <row r="20" spans="1:20" ht="15" customHeight="1" x14ac:dyDescent="0.15">
      <c r="A20" s="128" t="s">
        <v>168</v>
      </c>
      <c r="B20" s="94">
        <v>1.3919076588089767E-2</v>
      </c>
      <c r="C20" s="200" t="s">
        <v>193</v>
      </c>
      <c r="D20" s="87" t="s">
        <v>160</v>
      </c>
      <c r="F20" s="198" t="s">
        <v>206</v>
      </c>
      <c r="G20" s="83">
        <v>0</v>
      </c>
      <c r="H20" s="83">
        <v>0</v>
      </c>
      <c r="I20" s="83">
        <v>0</v>
      </c>
      <c r="J20" s="83">
        <v>0</v>
      </c>
      <c r="K20" s="83">
        <v>1</v>
      </c>
      <c r="L20" s="83">
        <v>0</v>
      </c>
      <c r="M20" s="83">
        <v>1</v>
      </c>
      <c r="N20" s="83">
        <v>0</v>
      </c>
      <c r="O20" s="83">
        <v>1</v>
      </c>
      <c r="P20" s="72">
        <v>0</v>
      </c>
      <c r="Q20" s="83">
        <v>0</v>
      </c>
      <c r="R20" s="73">
        <v>1</v>
      </c>
      <c r="S20"/>
      <c r="T20"/>
    </row>
    <row r="21" spans="1:20" ht="15" customHeight="1" x14ac:dyDescent="0.15">
      <c r="B21" s="94"/>
      <c r="C21" s="82"/>
      <c r="D21" s="87" t="s">
        <v>160</v>
      </c>
      <c r="F21" s="198" t="s">
        <v>207</v>
      </c>
      <c r="G21" s="83">
        <v>0</v>
      </c>
      <c r="H21" s="83">
        <v>0</v>
      </c>
      <c r="I21" s="83">
        <v>0</v>
      </c>
      <c r="J21" s="83">
        <v>0</v>
      </c>
      <c r="K21" s="83">
        <v>1</v>
      </c>
      <c r="L21" s="83">
        <v>0</v>
      </c>
      <c r="M21" s="83">
        <v>1</v>
      </c>
      <c r="N21" s="83">
        <v>0</v>
      </c>
      <c r="O21" s="83">
        <v>1</v>
      </c>
      <c r="P21" s="72">
        <v>0</v>
      </c>
      <c r="Q21" s="83">
        <v>0</v>
      </c>
      <c r="R21" s="73">
        <v>1</v>
      </c>
      <c r="S21"/>
      <c r="T21"/>
    </row>
    <row r="22" spans="1:20" ht="15" customHeight="1" x14ac:dyDescent="0.15">
      <c r="A22" s="83"/>
      <c r="B22" s="94"/>
      <c r="C22" s="97"/>
      <c r="D22" s="87" t="s">
        <v>160</v>
      </c>
      <c r="F22" s="198" t="s">
        <v>208</v>
      </c>
      <c r="G22" s="83">
        <v>0</v>
      </c>
      <c r="H22" s="83">
        <v>0</v>
      </c>
      <c r="I22" s="83">
        <v>0</v>
      </c>
      <c r="J22" s="83">
        <v>0</v>
      </c>
      <c r="K22" s="83">
        <v>1</v>
      </c>
      <c r="L22" s="83">
        <v>0</v>
      </c>
      <c r="M22" s="83">
        <v>1</v>
      </c>
      <c r="N22" s="83">
        <v>0</v>
      </c>
      <c r="O22" s="83">
        <v>1</v>
      </c>
      <c r="P22" s="72">
        <v>0</v>
      </c>
      <c r="Q22" s="83">
        <v>0</v>
      </c>
      <c r="R22" s="73">
        <v>1</v>
      </c>
      <c r="S22"/>
      <c r="T22"/>
    </row>
    <row r="23" spans="1:20" ht="15" customHeight="1" x14ac:dyDescent="0.15">
      <c r="A23" s="83"/>
      <c r="B23" s="94"/>
      <c r="C23" s="98"/>
      <c r="D23" s="87" t="s">
        <v>160</v>
      </c>
      <c r="F23" s="198" t="s">
        <v>209</v>
      </c>
      <c r="G23" s="83">
        <v>0</v>
      </c>
      <c r="H23" s="83">
        <v>0</v>
      </c>
      <c r="I23" s="83">
        <v>0</v>
      </c>
      <c r="J23" s="83">
        <v>0</v>
      </c>
      <c r="K23" s="83">
        <v>1</v>
      </c>
      <c r="L23" s="83">
        <v>0</v>
      </c>
      <c r="M23" s="83">
        <v>1</v>
      </c>
      <c r="N23" s="83">
        <v>0</v>
      </c>
      <c r="O23" s="83">
        <v>1</v>
      </c>
      <c r="P23" s="72">
        <v>0</v>
      </c>
      <c r="Q23" s="83">
        <v>0</v>
      </c>
      <c r="R23" s="73">
        <v>1</v>
      </c>
      <c r="S23"/>
      <c r="T23"/>
    </row>
    <row r="24" spans="1:20" ht="15" customHeight="1" x14ac:dyDescent="0.15">
      <c r="A24" s="83"/>
      <c r="B24" s="94"/>
      <c r="C24" s="98"/>
      <c r="D24" s="87" t="s">
        <v>160</v>
      </c>
      <c r="F24" s="198" t="s">
        <v>210</v>
      </c>
      <c r="G24" s="83">
        <v>0</v>
      </c>
      <c r="H24" s="83">
        <v>0</v>
      </c>
      <c r="I24" s="83">
        <v>0</v>
      </c>
      <c r="J24" s="83">
        <v>0</v>
      </c>
      <c r="K24" s="83">
        <v>1</v>
      </c>
      <c r="L24" s="83">
        <v>0</v>
      </c>
      <c r="M24" s="83">
        <v>1</v>
      </c>
      <c r="N24" s="83">
        <v>0</v>
      </c>
      <c r="O24" s="83">
        <v>1</v>
      </c>
      <c r="P24" s="72">
        <v>0</v>
      </c>
      <c r="Q24" s="83">
        <v>0</v>
      </c>
      <c r="R24" s="73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198" t="s">
        <v>211</v>
      </c>
      <c r="G25" s="83">
        <v>0</v>
      </c>
      <c r="H25" s="83">
        <v>0</v>
      </c>
      <c r="I25" s="83">
        <v>0</v>
      </c>
      <c r="J25" s="83">
        <v>0</v>
      </c>
      <c r="K25" s="83">
        <v>1</v>
      </c>
      <c r="L25" s="83">
        <v>0</v>
      </c>
      <c r="M25" s="83">
        <v>1</v>
      </c>
      <c r="N25" s="83">
        <v>0</v>
      </c>
      <c r="O25" s="83">
        <v>1</v>
      </c>
      <c r="P25" s="72">
        <v>0</v>
      </c>
      <c r="Q25" s="83">
        <v>0</v>
      </c>
      <c r="R25" s="73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198" t="s">
        <v>212</v>
      </c>
      <c r="G26" s="83">
        <v>0</v>
      </c>
      <c r="H26" s="83">
        <v>0</v>
      </c>
      <c r="I26" s="83">
        <v>0</v>
      </c>
      <c r="J26" s="83">
        <v>0</v>
      </c>
      <c r="K26" s="83">
        <v>1</v>
      </c>
      <c r="L26" s="83">
        <v>0</v>
      </c>
      <c r="M26" s="83">
        <v>1</v>
      </c>
      <c r="N26" s="83">
        <v>0</v>
      </c>
      <c r="O26" s="83">
        <v>1</v>
      </c>
      <c r="P26" s="72">
        <v>0</v>
      </c>
      <c r="Q26" s="83">
        <v>0</v>
      </c>
      <c r="R26" s="73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198" t="s">
        <v>213</v>
      </c>
      <c r="G27" s="83">
        <v>0</v>
      </c>
      <c r="H27" s="83">
        <v>0</v>
      </c>
      <c r="I27" s="83">
        <v>0</v>
      </c>
      <c r="J27" s="83">
        <v>0</v>
      </c>
      <c r="K27" s="83">
        <v>1</v>
      </c>
      <c r="L27" s="83">
        <v>0</v>
      </c>
      <c r="M27" s="83">
        <v>1</v>
      </c>
      <c r="N27" s="83">
        <v>0</v>
      </c>
      <c r="O27" s="83">
        <v>1</v>
      </c>
      <c r="P27" s="72">
        <v>0</v>
      </c>
      <c r="Q27" s="83">
        <v>0</v>
      </c>
      <c r="R27" s="73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198" t="s">
        <v>214</v>
      </c>
      <c r="G28" s="83">
        <v>0</v>
      </c>
      <c r="H28" s="83">
        <v>0</v>
      </c>
      <c r="I28" s="83">
        <v>0</v>
      </c>
      <c r="J28" s="83">
        <v>0</v>
      </c>
      <c r="K28" s="83">
        <v>1</v>
      </c>
      <c r="L28" s="83">
        <v>0</v>
      </c>
      <c r="M28" s="83">
        <v>1</v>
      </c>
      <c r="N28" s="83">
        <v>0</v>
      </c>
      <c r="O28" s="83">
        <v>1</v>
      </c>
      <c r="P28" s="72">
        <v>0</v>
      </c>
      <c r="Q28" s="83">
        <v>0</v>
      </c>
      <c r="R28" s="73">
        <v>1</v>
      </c>
      <c r="S28"/>
      <c r="T28"/>
    </row>
    <row r="29" spans="1:20" ht="15" customHeight="1" x14ac:dyDescent="0.15">
      <c r="F29" s="198" t="s">
        <v>215</v>
      </c>
      <c r="G29" s="83">
        <v>0</v>
      </c>
      <c r="H29" s="83">
        <v>0</v>
      </c>
      <c r="I29" s="83">
        <v>0</v>
      </c>
      <c r="J29" s="83">
        <v>0</v>
      </c>
      <c r="K29" s="83">
        <v>1</v>
      </c>
      <c r="L29" s="83">
        <v>0</v>
      </c>
      <c r="M29" s="83">
        <v>1</v>
      </c>
      <c r="N29" s="83">
        <v>0</v>
      </c>
      <c r="O29" s="83">
        <v>1</v>
      </c>
      <c r="P29" s="72">
        <v>0</v>
      </c>
      <c r="Q29" s="83">
        <v>0</v>
      </c>
      <c r="R29" s="73">
        <v>1</v>
      </c>
      <c r="S29"/>
      <c r="T29"/>
    </row>
    <row r="30" spans="1:20" ht="15" customHeight="1" x14ac:dyDescent="0.15">
      <c r="F30" s="198" t="s">
        <v>216</v>
      </c>
      <c r="G30" s="83">
        <v>0</v>
      </c>
      <c r="H30" s="83">
        <v>0</v>
      </c>
      <c r="I30" s="83">
        <v>0</v>
      </c>
      <c r="J30" s="83">
        <v>0</v>
      </c>
      <c r="K30" s="83">
        <v>1</v>
      </c>
      <c r="L30" s="83">
        <v>0</v>
      </c>
      <c r="M30" s="83">
        <v>1</v>
      </c>
      <c r="N30" s="83">
        <v>0</v>
      </c>
      <c r="O30" s="83">
        <v>1</v>
      </c>
      <c r="P30" s="72">
        <v>0</v>
      </c>
      <c r="Q30" s="83">
        <v>0</v>
      </c>
      <c r="R30" s="73">
        <v>1</v>
      </c>
      <c r="S30"/>
      <c r="T30"/>
    </row>
    <row r="31" spans="1:20" ht="15" customHeight="1" x14ac:dyDescent="0.15">
      <c r="A31" s="129"/>
      <c r="B31" s="139" t="s">
        <v>17</v>
      </c>
      <c r="C31" s="139" t="s">
        <v>1</v>
      </c>
      <c r="D31" s="139" t="s">
        <v>161</v>
      </c>
      <c r="E31" s="140" t="s">
        <v>163</v>
      </c>
      <c r="F31" s="198" t="s">
        <v>217</v>
      </c>
      <c r="G31" s="83">
        <v>0</v>
      </c>
      <c r="H31" s="83">
        <v>0</v>
      </c>
      <c r="I31" s="83">
        <v>0</v>
      </c>
      <c r="J31" s="83">
        <v>0</v>
      </c>
      <c r="K31" s="83">
        <v>1</v>
      </c>
      <c r="L31" s="83">
        <v>0</v>
      </c>
      <c r="M31" s="83">
        <v>1</v>
      </c>
      <c r="N31" s="83">
        <v>0</v>
      </c>
      <c r="O31" s="83">
        <v>1</v>
      </c>
      <c r="P31" s="72">
        <v>0</v>
      </c>
      <c r="Q31" s="83">
        <v>0</v>
      </c>
      <c r="R31" s="73">
        <v>1</v>
      </c>
      <c r="S31"/>
      <c r="T31"/>
    </row>
    <row r="32" spans="1:20" ht="15" customHeight="1" x14ac:dyDescent="0.15">
      <c r="A32" s="201" t="s">
        <v>192</v>
      </c>
      <c r="B32" s="95">
        <v>323</v>
      </c>
      <c r="C32" s="95">
        <v>399</v>
      </c>
      <c r="D32" s="95">
        <v>128877</v>
      </c>
      <c r="E32" s="130">
        <v>0.98608092341191023</v>
      </c>
      <c r="F32" s="198" t="s">
        <v>218</v>
      </c>
      <c r="G32" s="83">
        <v>0</v>
      </c>
      <c r="H32" s="83">
        <v>0</v>
      </c>
      <c r="I32" s="83">
        <v>0</v>
      </c>
      <c r="J32" s="83">
        <v>0</v>
      </c>
      <c r="K32" s="83">
        <v>1</v>
      </c>
      <c r="L32" s="83">
        <v>0</v>
      </c>
      <c r="M32" s="83">
        <v>1</v>
      </c>
      <c r="N32" s="83">
        <v>0</v>
      </c>
      <c r="O32" s="83">
        <v>1</v>
      </c>
      <c r="P32" s="72">
        <v>0</v>
      </c>
      <c r="Q32" s="83">
        <v>0</v>
      </c>
      <c r="R32" s="73">
        <v>1</v>
      </c>
      <c r="S32"/>
      <c r="T32"/>
    </row>
    <row r="33" spans="1:20" ht="15" customHeight="1" x14ac:dyDescent="0.15">
      <c r="A33" s="201" t="s">
        <v>193</v>
      </c>
      <c r="B33" s="95">
        <v>153</v>
      </c>
      <c r="C33" s="95">
        <v>11.89</v>
      </c>
      <c r="D33" s="95">
        <v>1819.17</v>
      </c>
      <c r="E33" s="130">
        <v>1.3919076588089767E-2</v>
      </c>
      <c r="F33" s="198" t="s">
        <v>219</v>
      </c>
      <c r="G33" s="83">
        <v>0</v>
      </c>
      <c r="H33" s="83">
        <v>0</v>
      </c>
      <c r="I33" s="83">
        <v>0</v>
      </c>
      <c r="J33" s="83">
        <v>0</v>
      </c>
      <c r="K33" s="83">
        <v>1</v>
      </c>
      <c r="L33" s="83">
        <v>0</v>
      </c>
      <c r="M33" s="83">
        <v>1</v>
      </c>
      <c r="N33" s="83">
        <v>0</v>
      </c>
      <c r="O33" s="83">
        <v>1</v>
      </c>
      <c r="P33" s="72">
        <v>0</v>
      </c>
      <c r="Q33" s="83">
        <v>0</v>
      </c>
      <c r="R33" s="73">
        <v>1</v>
      </c>
      <c r="S33"/>
      <c r="T33"/>
    </row>
    <row r="34" spans="1:20" ht="15" customHeight="1" x14ac:dyDescent="0.15">
      <c r="A34" s="131"/>
      <c r="B34" s="95"/>
      <c r="C34" s="95"/>
      <c r="D34" s="95"/>
      <c r="E34" s="130"/>
      <c r="F34" s="198" t="s">
        <v>220</v>
      </c>
      <c r="G34" s="83">
        <v>0</v>
      </c>
      <c r="H34" s="83">
        <v>0</v>
      </c>
      <c r="I34" s="83">
        <v>0</v>
      </c>
      <c r="J34" s="83">
        <v>0</v>
      </c>
      <c r="K34" s="83">
        <v>1</v>
      </c>
      <c r="L34" s="83">
        <v>0</v>
      </c>
      <c r="M34" s="83">
        <v>1</v>
      </c>
      <c r="N34" s="83">
        <v>0</v>
      </c>
      <c r="O34" s="83">
        <v>1</v>
      </c>
      <c r="P34" s="72">
        <v>0</v>
      </c>
      <c r="Q34" s="83">
        <v>0</v>
      </c>
      <c r="R34" s="73">
        <v>1</v>
      </c>
      <c r="S34"/>
      <c r="T34"/>
    </row>
    <row r="35" spans="1:20" ht="15" customHeight="1" x14ac:dyDescent="0.15">
      <c r="A35" s="132"/>
      <c r="B35" s="95"/>
      <c r="C35" s="95"/>
      <c r="D35" s="95"/>
      <c r="E35" s="130"/>
      <c r="F35" s="198" t="s">
        <v>221</v>
      </c>
      <c r="G35" s="83">
        <v>0</v>
      </c>
      <c r="H35" s="83">
        <v>0</v>
      </c>
      <c r="I35" s="83">
        <v>0</v>
      </c>
      <c r="J35" s="83">
        <v>0</v>
      </c>
      <c r="K35" s="83">
        <v>1</v>
      </c>
      <c r="L35" s="83">
        <v>0</v>
      </c>
      <c r="M35" s="83">
        <v>1</v>
      </c>
      <c r="N35" s="83">
        <v>0</v>
      </c>
      <c r="O35" s="83">
        <v>1</v>
      </c>
      <c r="P35" s="72">
        <v>0</v>
      </c>
      <c r="Q35" s="83">
        <v>0</v>
      </c>
      <c r="R35" s="73">
        <v>1</v>
      </c>
      <c r="S35"/>
      <c r="T35"/>
    </row>
    <row r="36" spans="1:20" ht="15" customHeight="1" x14ac:dyDescent="0.15">
      <c r="A36" s="133"/>
      <c r="B36" s="95"/>
      <c r="C36" s="95"/>
      <c r="D36" s="95"/>
      <c r="E36" s="130"/>
      <c r="F36" s="198" t="s">
        <v>222</v>
      </c>
      <c r="G36" s="83">
        <v>0</v>
      </c>
      <c r="H36" s="83">
        <v>0</v>
      </c>
      <c r="I36" s="83">
        <v>0</v>
      </c>
      <c r="J36" s="83">
        <v>0</v>
      </c>
      <c r="K36" s="83">
        <v>1</v>
      </c>
      <c r="L36" s="83">
        <v>0</v>
      </c>
      <c r="M36" s="83">
        <v>1</v>
      </c>
      <c r="N36" s="83">
        <v>0</v>
      </c>
      <c r="O36" s="83">
        <v>1</v>
      </c>
      <c r="P36" s="72">
        <v>0</v>
      </c>
      <c r="Q36" s="83">
        <v>0</v>
      </c>
      <c r="R36" s="73">
        <v>1</v>
      </c>
      <c r="S36"/>
      <c r="T36"/>
    </row>
    <row r="37" spans="1:20" ht="15" customHeight="1" x14ac:dyDescent="0.15">
      <c r="A37" s="133"/>
      <c r="B37" s="95"/>
      <c r="C37" s="95"/>
      <c r="D37" s="95"/>
      <c r="E37" s="130"/>
      <c r="F37" s="198" t="s">
        <v>223</v>
      </c>
      <c r="G37" s="83">
        <v>0</v>
      </c>
      <c r="H37" s="83">
        <v>0</v>
      </c>
      <c r="I37" s="83">
        <v>0</v>
      </c>
      <c r="J37" s="83">
        <v>0</v>
      </c>
      <c r="K37" s="83">
        <v>1</v>
      </c>
      <c r="L37" s="83">
        <v>0</v>
      </c>
      <c r="M37" s="83">
        <v>1</v>
      </c>
      <c r="N37" s="83">
        <v>0</v>
      </c>
      <c r="O37" s="83">
        <v>1</v>
      </c>
      <c r="P37" s="72">
        <v>0</v>
      </c>
      <c r="Q37" s="83">
        <v>0</v>
      </c>
      <c r="R37" s="73">
        <v>1</v>
      </c>
      <c r="S37"/>
      <c r="T37"/>
    </row>
    <row r="38" spans="1:20" ht="15" customHeight="1" x14ac:dyDescent="0.15">
      <c r="A38" s="134"/>
      <c r="B38" s="95"/>
      <c r="C38" s="95"/>
      <c r="D38" s="95"/>
      <c r="E38" s="130"/>
      <c r="F38" s="198" t="s">
        <v>224</v>
      </c>
      <c r="G38" s="83">
        <v>0</v>
      </c>
      <c r="H38" s="83">
        <v>0</v>
      </c>
      <c r="I38" s="83">
        <v>0</v>
      </c>
      <c r="J38" s="83">
        <v>0</v>
      </c>
      <c r="K38" s="83">
        <v>1</v>
      </c>
      <c r="L38" s="83">
        <v>0</v>
      </c>
      <c r="M38" s="83">
        <v>1</v>
      </c>
      <c r="N38" s="83">
        <v>0</v>
      </c>
      <c r="O38" s="83">
        <v>1</v>
      </c>
      <c r="P38" s="72">
        <v>0</v>
      </c>
      <c r="Q38" s="83">
        <v>0</v>
      </c>
      <c r="R38" s="73">
        <v>1</v>
      </c>
      <c r="S38"/>
      <c r="T38"/>
    </row>
    <row r="39" spans="1:20" ht="15" customHeight="1" x14ac:dyDescent="0.15">
      <c r="A39" s="134"/>
      <c r="B39" s="95"/>
      <c r="C39" s="95"/>
      <c r="D39" s="95"/>
      <c r="E39" s="130"/>
      <c r="F39" s="198" t="s">
        <v>225</v>
      </c>
      <c r="G39" s="83">
        <v>0</v>
      </c>
      <c r="H39" s="83">
        <v>0</v>
      </c>
      <c r="I39" s="83">
        <v>0</v>
      </c>
      <c r="J39" s="83">
        <v>0</v>
      </c>
      <c r="K39" s="83">
        <v>1</v>
      </c>
      <c r="L39" s="83">
        <v>0</v>
      </c>
      <c r="M39" s="83">
        <v>1</v>
      </c>
      <c r="N39" s="83">
        <v>0</v>
      </c>
      <c r="O39" s="83">
        <v>1</v>
      </c>
      <c r="P39" s="72">
        <v>0</v>
      </c>
      <c r="Q39" s="83">
        <v>0</v>
      </c>
      <c r="R39" s="73">
        <v>1</v>
      </c>
      <c r="S39"/>
      <c r="T39"/>
    </row>
    <row r="40" spans="1:20" ht="15" customHeight="1" x14ac:dyDescent="0.15">
      <c r="A40" s="134"/>
      <c r="B40" s="95"/>
      <c r="C40" s="95"/>
      <c r="D40" s="95"/>
      <c r="E40" s="130"/>
      <c r="F40" s="198" t="s">
        <v>226</v>
      </c>
      <c r="G40" s="83">
        <v>0</v>
      </c>
      <c r="H40" s="83">
        <v>0</v>
      </c>
      <c r="I40" s="83">
        <v>0</v>
      </c>
      <c r="J40" s="83">
        <v>0</v>
      </c>
      <c r="K40" s="83">
        <v>1</v>
      </c>
      <c r="L40" s="83">
        <v>0</v>
      </c>
      <c r="M40" s="83">
        <v>1</v>
      </c>
      <c r="N40" s="83">
        <v>0</v>
      </c>
      <c r="O40" s="83">
        <v>1</v>
      </c>
      <c r="P40" s="72">
        <v>0</v>
      </c>
      <c r="Q40" s="83">
        <v>0</v>
      </c>
      <c r="R40" s="73">
        <v>1</v>
      </c>
      <c r="S40"/>
      <c r="T40"/>
    </row>
    <row r="41" spans="1:20" ht="15" customHeight="1" thickBot="1" x14ac:dyDescent="0.2">
      <c r="A41" s="134"/>
      <c r="B41" s="95"/>
      <c r="C41" s="95"/>
      <c r="D41" s="96"/>
      <c r="E41" s="135"/>
      <c r="F41" s="198" t="s">
        <v>227</v>
      </c>
      <c r="G41" s="83">
        <v>0</v>
      </c>
      <c r="H41" s="83">
        <v>0</v>
      </c>
      <c r="I41" s="83">
        <v>0</v>
      </c>
      <c r="J41" s="83">
        <v>0</v>
      </c>
      <c r="K41" s="83">
        <v>1</v>
      </c>
      <c r="L41" s="83">
        <v>0</v>
      </c>
      <c r="M41" s="83">
        <v>1</v>
      </c>
      <c r="N41" s="83">
        <v>0</v>
      </c>
      <c r="O41" s="83">
        <v>1</v>
      </c>
      <c r="P41" s="72">
        <v>0</v>
      </c>
      <c r="Q41" s="83">
        <v>0</v>
      </c>
      <c r="R41" s="73">
        <v>1</v>
      </c>
      <c r="S41"/>
      <c r="T41"/>
    </row>
    <row r="42" spans="1:20" ht="15" customHeight="1" x14ac:dyDescent="0.15">
      <c r="A42" s="136"/>
      <c r="B42" s="137"/>
      <c r="C42" s="137" t="s">
        <v>162</v>
      </c>
      <c r="D42" s="137">
        <f>SUM(D32:D41)</f>
        <v>130696.17</v>
      </c>
      <c r="E42" s="138">
        <f>SUM(E32:E41)</f>
        <v>1</v>
      </c>
      <c r="F42" s="198" t="s">
        <v>228</v>
      </c>
      <c r="G42" s="83">
        <v>0</v>
      </c>
      <c r="H42" s="83">
        <v>0</v>
      </c>
      <c r="I42" s="83">
        <v>0</v>
      </c>
      <c r="J42" s="83">
        <v>0</v>
      </c>
      <c r="K42" s="83">
        <v>1</v>
      </c>
      <c r="L42" s="83">
        <v>0</v>
      </c>
      <c r="M42" s="83">
        <v>1</v>
      </c>
      <c r="N42" s="83">
        <v>0</v>
      </c>
      <c r="O42" s="83">
        <v>1</v>
      </c>
      <c r="P42" s="72">
        <v>0</v>
      </c>
      <c r="Q42" s="83">
        <v>0</v>
      </c>
      <c r="R42" s="73">
        <v>1</v>
      </c>
      <c r="S42"/>
      <c r="T42"/>
    </row>
    <row r="43" spans="1:20" ht="15" customHeight="1" x14ac:dyDescent="0.15">
      <c r="A43" s="83"/>
      <c r="F43" s="198" t="s">
        <v>229</v>
      </c>
      <c r="G43" s="83">
        <v>0</v>
      </c>
      <c r="H43" s="83">
        <v>0</v>
      </c>
      <c r="I43" s="83">
        <v>0</v>
      </c>
      <c r="J43" s="83">
        <v>0</v>
      </c>
      <c r="K43" s="83">
        <v>0</v>
      </c>
      <c r="L43" s="83">
        <v>1</v>
      </c>
      <c r="M43" s="83">
        <v>0</v>
      </c>
      <c r="N43" s="83">
        <v>1</v>
      </c>
      <c r="O43" s="83">
        <v>0</v>
      </c>
      <c r="P43" s="72">
        <v>1</v>
      </c>
      <c r="Q43" s="83">
        <v>0</v>
      </c>
      <c r="R43" s="73">
        <v>1</v>
      </c>
      <c r="S43"/>
      <c r="T43"/>
    </row>
    <row r="44" spans="1:20" ht="15" customHeight="1" x14ac:dyDescent="0.15">
      <c r="A44" s="83"/>
      <c r="F44" s="198" t="s">
        <v>230</v>
      </c>
      <c r="G44" s="83">
        <v>0</v>
      </c>
      <c r="H44" s="83">
        <v>0</v>
      </c>
      <c r="I44" s="83">
        <v>0</v>
      </c>
      <c r="J44" s="83">
        <v>0</v>
      </c>
      <c r="K44" s="83">
        <v>0</v>
      </c>
      <c r="L44" s="83">
        <v>1</v>
      </c>
      <c r="M44" s="83">
        <v>0</v>
      </c>
      <c r="N44" s="83">
        <v>1</v>
      </c>
      <c r="O44" s="83">
        <v>0</v>
      </c>
      <c r="P44" s="72">
        <v>1</v>
      </c>
      <c r="Q44" s="83">
        <v>0</v>
      </c>
      <c r="R44" s="73">
        <v>1</v>
      </c>
    </row>
    <row r="45" spans="1:20" ht="15" customHeight="1" x14ac:dyDescent="0.15">
      <c r="A45" s="83"/>
      <c r="F45" s="198" t="s">
        <v>231</v>
      </c>
      <c r="G45" s="83">
        <v>0</v>
      </c>
      <c r="H45" s="83">
        <v>0</v>
      </c>
      <c r="I45" s="83">
        <v>0</v>
      </c>
      <c r="J45" s="83">
        <v>0</v>
      </c>
      <c r="K45" s="83">
        <v>0</v>
      </c>
      <c r="L45" s="83">
        <v>1</v>
      </c>
      <c r="M45" s="83">
        <v>0</v>
      </c>
      <c r="N45" s="83">
        <v>0</v>
      </c>
      <c r="O45" s="83">
        <v>0</v>
      </c>
      <c r="P45" s="72">
        <v>0</v>
      </c>
      <c r="Q45" s="83">
        <v>0</v>
      </c>
      <c r="R45" s="73">
        <v>1</v>
      </c>
    </row>
    <row r="46" spans="1:20" ht="15" customHeight="1" x14ac:dyDescent="0.15">
      <c r="A46" s="8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V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7.5" bestFit="1" customWidth="1"/>
    <col min="2" max="2" width="2.33203125" style="114" customWidth="1"/>
    <col min="3" max="5" width="7.83203125" style="114" customWidth="1"/>
    <col min="6" max="8" width="8.83203125" style="6"/>
    <col min="9" max="9" width="14.1640625" style="6" customWidth="1"/>
    <col min="10" max="10" width="16.33203125" style="6" customWidth="1"/>
    <col min="11" max="11" width="12.33203125" style="6" customWidth="1"/>
    <col min="12" max="12" width="7.83203125" style="6" customWidth="1"/>
    <col min="13" max="13" width="11.5" style="6" customWidth="1"/>
    <col min="14" max="14" width="12.1640625" style="6" customWidth="1"/>
    <col min="15" max="15" width="18.33203125" style="6" customWidth="1"/>
    <col min="16" max="16" width="17.1640625" style="6" customWidth="1"/>
    <col min="17" max="17" width="23.1640625" style="6" customWidth="1"/>
    <col min="18" max="18" width="8.1640625" style="6" customWidth="1"/>
    <col min="19" max="19" width="6.1640625" style="6" customWidth="1"/>
    <col min="20" max="20" width="12" style="6" customWidth="1"/>
    <col min="21" max="21" width="26" style="6" customWidth="1"/>
    <col min="22" max="22" width="20" style="6" customWidth="1"/>
    <col min="23" max="23" width="21.6640625" style="6" customWidth="1"/>
    <col min="24" max="24" width="20.33203125" style="6" customWidth="1"/>
    <col min="25" max="25" width="21.6640625" style="6" customWidth="1"/>
    <col min="26" max="26" width="19.5" style="6" customWidth="1"/>
    <col min="27" max="27" width="9.1640625" style="6" customWidth="1"/>
    <col min="28" max="28" width="13.33203125" style="6" customWidth="1"/>
    <col min="29" max="29" width="23.1640625" style="6" customWidth="1"/>
    <col min="30" max="31" width="16.1640625" style="6" customWidth="1"/>
    <col min="32" max="32" width="27.5" style="6" customWidth="1"/>
    <col min="33" max="33" width="22.83203125" style="6" customWidth="1"/>
    <col min="34" max="34" width="24.5" style="6" customWidth="1"/>
    <col min="35" max="35" width="16.5" style="6" customWidth="1"/>
    <col min="36" max="36" width="10.83203125" style="6" customWidth="1"/>
    <col min="37" max="37" width="25.33203125" style="6" customWidth="1"/>
    <col min="38" max="38" width="22.1640625" style="6" customWidth="1"/>
    <col min="39" max="39" width="18.33203125" customWidth="1"/>
    <col min="40" max="40" width="23" customWidth="1"/>
    <col min="41" max="41" width="21.33203125" customWidth="1"/>
    <col min="42" max="42" width="8.5" customWidth="1"/>
    <col min="43" max="43" width="9.5" customWidth="1"/>
    <col min="44" max="44" width="14.5" customWidth="1"/>
    <col min="45" max="45" width="9.6640625" customWidth="1"/>
    <col min="46" max="46" width="7.6640625" customWidth="1"/>
    <col min="47" max="47" width="21.6640625" customWidth="1"/>
    <col min="48" max="48" width="6.5" customWidth="1"/>
    <col min="81" max="81" width="22.1640625" bestFit="1" customWidth="1"/>
  </cols>
  <sheetData>
    <row r="1" spans="1:48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3" t="s">
        <v>192</v>
      </c>
      <c r="J1" s="203" t="s">
        <v>193</v>
      </c>
      <c r="K1" s="203" t="s">
        <v>194</v>
      </c>
      <c r="L1" s="203" t="s">
        <v>195</v>
      </c>
      <c r="M1" s="203" t="s">
        <v>196</v>
      </c>
      <c r="N1" s="203" t="s">
        <v>197</v>
      </c>
      <c r="O1" s="203" t="s">
        <v>198</v>
      </c>
      <c r="P1" s="203" t="s">
        <v>199</v>
      </c>
      <c r="Q1" s="203" t="s">
        <v>200</v>
      </c>
      <c r="R1" s="203" t="s">
        <v>201</v>
      </c>
      <c r="S1" s="203" t="s">
        <v>202</v>
      </c>
      <c r="T1" s="203" t="s">
        <v>203</v>
      </c>
      <c r="U1" s="203" t="s">
        <v>204</v>
      </c>
      <c r="V1" s="203" t="s">
        <v>205</v>
      </c>
      <c r="W1" s="203" t="s">
        <v>206</v>
      </c>
      <c r="X1" s="203" t="s">
        <v>207</v>
      </c>
      <c r="Y1" s="203" t="s">
        <v>208</v>
      </c>
      <c r="Z1" s="203" t="s">
        <v>209</v>
      </c>
      <c r="AA1" s="203" t="s">
        <v>210</v>
      </c>
      <c r="AB1" s="203" t="s">
        <v>211</v>
      </c>
      <c r="AC1" s="203" t="s">
        <v>212</v>
      </c>
      <c r="AD1" s="203" t="s">
        <v>213</v>
      </c>
      <c r="AE1" s="203" t="s">
        <v>214</v>
      </c>
      <c r="AF1" s="203" t="s">
        <v>215</v>
      </c>
      <c r="AG1" s="203" t="s">
        <v>216</v>
      </c>
      <c r="AH1" s="203" t="s">
        <v>217</v>
      </c>
      <c r="AI1" s="203" t="s">
        <v>218</v>
      </c>
      <c r="AJ1" s="203" t="s">
        <v>219</v>
      </c>
      <c r="AK1" s="203" t="s">
        <v>220</v>
      </c>
      <c r="AL1" s="203" t="s">
        <v>221</v>
      </c>
      <c r="AM1" s="203" t="s">
        <v>222</v>
      </c>
      <c r="AN1" s="203" t="s">
        <v>223</v>
      </c>
      <c r="AO1" s="203" t="s">
        <v>224</v>
      </c>
      <c r="AP1" s="203" t="s">
        <v>225</v>
      </c>
      <c r="AQ1" s="203" t="s">
        <v>226</v>
      </c>
      <c r="AR1" s="203" t="s">
        <v>227</v>
      </c>
      <c r="AS1" s="203" t="s">
        <v>228</v>
      </c>
      <c r="AT1" s="203" t="s">
        <v>229</v>
      </c>
      <c r="AU1" s="203" t="s">
        <v>230</v>
      </c>
      <c r="AV1" s="203" t="s">
        <v>231</v>
      </c>
    </row>
    <row r="2" spans="1:48" x14ac:dyDescent="0.15">
      <c r="A2" t="s">
        <v>38</v>
      </c>
      <c r="B2" s="11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8" x14ac:dyDescent="0.15">
      <c r="A3" t="s">
        <v>40</v>
      </c>
      <c r="B3" s="11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8" x14ac:dyDescent="0.15">
      <c r="A4" t="s">
        <v>41</v>
      </c>
      <c r="B4" s="11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8" x14ac:dyDescent="0.15">
      <c r="A5" s="202" t="s">
        <v>192</v>
      </c>
      <c r="B5" s="11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8" x14ac:dyDescent="0.15">
      <c r="A6" s="202" t="s">
        <v>193</v>
      </c>
      <c r="B6" s="11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8" x14ac:dyDescent="0.15">
      <c r="A7" s="202" t="s">
        <v>194</v>
      </c>
      <c r="B7" s="11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8" x14ac:dyDescent="0.15">
      <c r="A8" s="202" t="s">
        <v>195</v>
      </c>
      <c r="B8" s="11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8" x14ac:dyDescent="0.15">
      <c r="A9" s="202" t="s">
        <v>196</v>
      </c>
      <c r="B9" s="11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8" x14ac:dyDescent="0.15">
      <c r="A10" s="202" t="s">
        <v>197</v>
      </c>
      <c r="B10" s="11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8" x14ac:dyDescent="0.15">
      <c r="A11" s="202" t="s">
        <v>198</v>
      </c>
      <c r="B11" s="11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8" x14ac:dyDescent="0.15">
      <c r="A12" s="202" t="s">
        <v>199</v>
      </c>
      <c r="B12" s="11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8" x14ac:dyDescent="0.15">
      <c r="A13" s="202" t="s">
        <v>200</v>
      </c>
      <c r="B13" s="11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8" x14ac:dyDescent="0.15">
      <c r="A14" s="202" t="s">
        <v>201</v>
      </c>
      <c r="B14" s="11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8" x14ac:dyDescent="0.15">
      <c r="A15" s="202" t="s">
        <v>202</v>
      </c>
      <c r="B15" s="11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8" x14ac:dyDescent="0.15">
      <c r="A16" s="202" t="s">
        <v>203</v>
      </c>
      <c r="B16" s="11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2" t="s">
        <v>204</v>
      </c>
      <c r="B17" s="11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2" t="s">
        <v>205</v>
      </c>
      <c r="B18" s="11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2" t="s">
        <v>206</v>
      </c>
      <c r="B19" s="11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2" t="s">
        <v>207</v>
      </c>
      <c r="B20" s="11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2" t="s">
        <v>208</v>
      </c>
      <c r="B21" s="11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2" t="s">
        <v>209</v>
      </c>
      <c r="B22" s="11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2" t="s">
        <v>210</v>
      </c>
      <c r="B23" s="11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2" t="s">
        <v>211</v>
      </c>
      <c r="B24" s="11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2" t="s">
        <v>212</v>
      </c>
      <c r="B25" s="11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2" t="s">
        <v>213</v>
      </c>
      <c r="B26" s="11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2" t="s">
        <v>214</v>
      </c>
      <c r="B27" s="11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2" t="s">
        <v>215</v>
      </c>
      <c r="B28" s="11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2" t="s">
        <v>216</v>
      </c>
      <c r="B29" s="11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2" t="s">
        <v>217</v>
      </c>
      <c r="B30" s="11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2" t="s">
        <v>218</v>
      </c>
      <c r="B31" s="11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2" t="s">
        <v>219</v>
      </c>
      <c r="B32" s="11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2" t="s">
        <v>220</v>
      </c>
      <c r="B33" s="11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2" t="s">
        <v>221</v>
      </c>
      <c r="B34" s="11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2" t="s">
        <v>222</v>
      </c>
      <c r="B35" s="11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2" t="s">
        <v>223</v>
      </c>
      <c r="B36" s="114">
        <v>0</v>
      </c>
      <c r="C36"/>
      <c r="D36"/>
    </row>
    <row r="37" spans="1:38" ht="15" customHeight="1" x14ac:dyDescent="0.15">
      <c r="A37" s="202" t="s">
        <v>224</v>
      </c>
      <c r="B37" s="114">
        <v>0</v>
      </c>
      <c r="C37"/>
      <c r="D37"/>
    </row>
    <row r="38" spans="1:38" ht="15" customHeight="1" x14ac:dyDescent="0.15">
      <c r="A38" s="202" t="s">
        <v>225</v>
      </c>
      <c r="B38" s="11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2" t="s">
        <v>226</v>
      </c>
      <c r="B39" s="114">
        <v>0</v>
      </c>
      <c r="C39"/>
      <c r="D39"/>
    </row>
    <row r="40" spans="1:38" ht="15" customHeight="1" x14ac:dyDescent="0.15">
      <c r="A40" s="202" t="s">
        <v>227</v>
      </c>
      <c r="B40" s="114">
        <v>0</v>
      </c>
      <c r="C40"/>
      <c r="D40"/>
    </row>
    <row r="41" spans="1:38" ht="15" customHeight="1" x14ac:dyDescent="0.15">
      <c r="A41" s="202" t="s">
        <v>228</v>
      </c>
      <c r="B41" s="114">
        <v>0</v>
      </c>
      <c r="C41"/>
      <c r="D41"/>
    </row>
    <row r="42" spans="1:38" ht="15" customHeight="1" x14ac:dyDescent="0.15">
      <c r="A42" s="202" t="s">
        <v>229</v>
      </c>
      <c r="B42" s="114">
        <v>0</v>
      </c>
    </row>
    <row r="43" spans="1:38" ht="15" customHeight="1" x14ac:dyDescent="0.15">
      <c r="A43" s="202" t="s">
        <v>230</v>
      </c>
      <c r="B43" s="114">
        <v>0</v>
      </c>
    </row>
    <row r="44" spans="1:38" ht="15" customHeight="1" x14ac:dyDescent="0.15">
      <c r="A44" s="202" t="s">
        <v>231</v>
      </c>
      <c r="B44" s="114">
        <v>0</v>
      </c>
    </row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2022-10-23T22:44:07Z</dcterms:modified>
</cp:coreProperties>
</file>