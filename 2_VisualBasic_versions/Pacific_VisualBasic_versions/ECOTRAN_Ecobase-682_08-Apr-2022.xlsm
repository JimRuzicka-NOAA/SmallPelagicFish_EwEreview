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D0BAB9B8-3D87-604A-A410-E4B3471EE36D}" xr6:coauthVersionLast="45" xr6:coauthVersionMax="45" xr10:uidLastSave="{00000000-0000-0000-0000-000000000000}"/>
  <bookViews>
    <workbookView xWindow="0" yWindow="460" windowWidth="25600" windowHeight="14240" tabRatio="728" firstSheet="8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Main!$C$2:$N$29</definedName>
    <definedName name="matDetritus">Detritus!$C$2:$E$29</definedName>
    <definedName name="matDiet">Diets!$B$2:$Z$29</definedName>
    <definedName name="matDiscards">Discards!$C$2:$C$28</definedName>
    <definedName name="matFishery">Fishing!$C$2:$C$28</definedName>
    <definedName name="matFishing">Fishing!#REF!</definedName>
    <definedName name="matMort">Mortalities!$A$1:$AE$28</definedName>
    <definedName name="matOut">MainOutputs!$A$2:$I$29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<sst xmlns="http://schemas.openxmlformats.org/spreadsheetml/2006/main" count="878" uniqueCount="225">
  <si>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</si>
  <si>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</si>
  <si>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</si>
  <si>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</si>
  <si>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</si>
  <si>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</si>
  <si>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</si>
  <si>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</si>
  <si>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</si>
  <si>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</si>
  <si>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</si>
  <si>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</si>
  <si>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</si>
  <si>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</si>
  <si>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</si>
  <si>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</si>
  <si>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</si>
  <si>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</si>
  <si>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</si>
  <si>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</si>
  <si>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</si>
  <si>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</si>
  <si>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</si>
  <si>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</si>
  <si>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</si>
  <si>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</si>
  <si>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</si>
  <si>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</si>
  <si>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</si>
  <si>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</si>
  <si>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</si>
  <si>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</si>
  <si>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</si>
  <si>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</si>
  <si>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</si>
  <si>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</si>
  <si>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</si>
  <si>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</si>
  <si>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</si>
  <si>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</si>
  <si>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</si>
  <si>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</si>
  <si>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</si>
  <si>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</si>
  <si>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</si>
  <si>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</si>
  <si>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</si>
  <si>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</si>
  <si>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</si>
  <si>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</si>
  <si>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</si>
  <si>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</si>
  <si>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</si>
  <si>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</si>
  <si>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</si>
  <si>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</si>
  <si>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</si>
  <si>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</si>
  <si>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</si>
  <si>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</si>
  <si>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</si>
  <si>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</si>
  <si>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</si>
  <si>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</si>
  <si>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</si>
  <si>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</si>
  <si>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</si>
  <si>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</si>
  <si>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</si>
  <si>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</si>
  <si>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</si>
  <si>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</si>
  <si>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</si>
  <si>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</si>
  <si>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</si>
  <si>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</si>
  <si>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</si>
  <si>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</si>
  <si>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</si>
  <si>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</si>
  <si>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</si>
  <si>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</si>
  <si>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</si>
  <si>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</si>
  <si>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</si>
  <si>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</si>
  <si>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</si>
  <si>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</si>
  <si>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</si>
  <si>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</si>
  <si>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</si>
  <si>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</si>
  <si>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</si>
  <si>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</si>
  <si>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</si>
  <si>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</si>
  <si>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</si>
  <si>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</si>
  <si>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</si>
  <si>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</si>
  <si>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</si>
  <si>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</si>
  <si>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</si>
  <si>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</si>
  <si>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</si>
  <si>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</si>
  <si>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</si>
  <si>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</si>
  <si>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</si>
  <si>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</si>
  <si>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</si>
  <si>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</si>
  <si>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</si>
  <si>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</si>
  <si>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</si>
  <si>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</si>
  <si>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</si>
  <si>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</si>
  <si>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</si>
  <si>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</si>
  <si>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</si>
  <si>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</si>
  <si>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</si>
  <si>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</si>
  <si>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</si>
  <si>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</si>
  <si>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</si>
  <si>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</si>
  <si>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</si>
  <si>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</si>
  <si>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</si>
  <si>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</si>
  <si>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</si>
  <si>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</si>
  <si>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</si>
  <si>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</si>
  <si>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</si>
  <si>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</si>
  <si>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</si>
  <si>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</si>
  <si>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</si>
  <si>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</si>
  <si>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</si>
  <si>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</si>
  <si>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</si>
  <si>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</si>
  <si>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</si>
  <si>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</si>
  <si>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</si>
  <si>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</si>
  <si>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</si>
  <si>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</si>
  <si>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</si>
  <si>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</si>
  <si>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</si>
  <si>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</si>
  <si>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</si>
  <si>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</si>
  <si>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</si>
  <si>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</si>
  <si>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</si>
  <si>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</si>
  <si>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</si>
  <si>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</si>
  <si>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</si>
  <si>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</si>
  <si>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</si>
  <si>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</si>
  <si>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</si>
  <si>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</si>
  <si>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</si>
  <si>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</si>
  <si>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</si>
  <si>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</si>
  <si>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</si>
  <si>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</si>
  <si>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</si>
  <si>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</si>
  <si>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</si>
  <si>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</si>
  <si>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</si>
  <si>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</si>
  <si>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</si>
  <si>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</si>
  <si>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</si>
  <si>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Bolinao Coral Reef</t>
  </si>
  <si>
    <t>Philippines</t>
  </si>
  <si>
    <t>BOX(119.55 16.16194,120.1395 16.25)</t>
  </si>
  <si>
    <t>coastal lagoon</t>
  </si>
  <si>
    <t>WetWeight</t>
  </si>
  <si>
    <t>bolinau version from early 1991; 16/12/2010 10:58:01 AM</t>
  </si>
  <si>
    <t>Aliño P.M.,McManus L.T.,McManus J.W.,Nañola Jr C.L.,Fortes M.D.,Trono Jr. G.C.,Jacinto G.S.,Aliño P.M.,McManus L.T.,McManus J.W.,Nañola Jr C.L.,Fortes M.D.,Trono Jr. G.C.,Jacinto G.S.(1993). Initial parameter estimations of a coral reef flat ecosystem in Bolinao, Pangasinan, Northwestern Philippines . pp 252-258. In Christensen V.,Pauly D.,Christensen V.,Pauly D.,Christensen V.,Pauly D.,Christensen V.,Pauly D.,Christensen V.,Pauly D.,Christensen V.,Pauly D.,Christensen V.,Pauly D.</t>
  </si>
  <si>
    <t>Seagrass</t>
  </si>
  <si>
    <t>Seaweeds</t>
  </si>
  <si>
    <t>Zooplankton</t>
  </si>
  <si>
    <t>Sea cucumber</t>
  </si>
  <si>
    <t>Sea Urchins</t>
  </si>
  <si>
    <t>Siganus fusc.</t>
  </si>
  <si>
    <t>Siganus spinus</t>
  </si>
  <si>
    <t>Groupers (e.m.)</t>
  </si>
  <si>
    <t>Wrasse (c.a.)</t>
  </si>
  <si>
    <t>Moray</t>
  </si>
  <si>
    <t>Damselfishes</t>
  </si>
  <si>
    <t>Gobies</t>
  </si>
  <si>
    <t>Parrotfish</t>
  </si>
  <si>
    <t>Cardinalfishes</t>
  </si>
  <si>
    <t>Squid</t>
  </si>
  <si>
    <t>Ot.planktiv.f.</t>
  </si>
  <si>
    <t>Ot.pisciv.f.</t>
  </si>
  <si>
    <t>Ot.herbiv.f.</t>
  </si>
  <si>
    <t>Ot.omniv.f.</t>
  </si>
  <si>
    <t>Coral.cons.</t>
  </si>
  <si>
    <t>Coral.prod.</t>
  </si>
  <si>
    <t>Ot.invertebr.</t>
  </si>
  <si>
    <t>Crustaceans</t>
  </si>
  <si>
    <t>Molluscs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</si>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</sst>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36FF0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1" borderId="3" xfId="0" applyNumberFormat="1" applyFont="1" applyFill="1" applyBorder="1"/>
    <xf numFmtId="0" fontId="0" fillId="31" borderId="2" xfId="0" applyFont="1" applyFill="1" applyBorder="1"/>
    <xf numFmtId="0" fontId="0" fillId="31" borderId="3" xfId="0" applyFont="1" applyFill="1" applyBorder="1"/>
    <xf numFmtId="0" fontId="0" fillId="3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2" borderId="0" xfId="0" applyFill="1"/>
    <xf numFmtId="0" fontId="0" fillId="3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6" xfId="0" applyFont="1" applyBorder="1"/>
    <xf numFmtId="0" fontId="0" fillId="0" borderId="18" xfId="0" applyFont="1" applyBorder="1"/>
    <xf numFmtId="0" fontId="10" fillId="0" borderId="19" xfId="0" applyFont="1" applyFill="1" applyBorder="1" applyAlignment="1">
      <alignment horizontal="right" wrapText="1"/>
    </xf>
    <xf numFmtId="0" fontId="0" fillId="0" borderId="17" xfId="0" applyFont="1" applyFill="1" applyBorder="1" applyAlignment="1">
      <alignment horizontal="right"/>
    </xf>
    <xf numFmtId="0" fontId="0" fillId="0" borderId="20" xfId="0" applyFont="1" applyBorder="1"/>
    <xf numFmtId="0" fontId="0" fillId="0" borderId="21" xfId="0" applyFont="1" applyBorder="1"/>
    <xf numFmtId="0" fontId="0" fillId="0" borderId="1" xfId="0" applyFont="1" applyBorder="1"/>
    <xf numFmtId="0" fontId="0" fillId="0" borderId="22" xfId="0" applyFont="1" applyBorder="1"/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Border="1" applyAlignme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49" fontId="0" fillId="0" borderId="25" xfId="0" applyNumberFormat="1" applyBorder="1"/>
    <xf numFmtId="49" fontId="0" fillId="0" borderId="26" xfId="0" applyNumberFormat="1" applyBorder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414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4" x14ac:dyDescent="0.15">
      <c r="B49" s="45" t="s">
        <v>44</v>
      </c>
      <c r="C49" s="29">
        <v>5</v>
      </c>
    </row>
    <row r="50" spans="2:4" x14ac:dyDescent="0.15">
      <c r="B50" s="45"/>
      <c r="C50" s="29"/>
    </row>
    <row r="51" spans="2:4" ht="14" thickBot="1" x14ac:dyDescent="0.2">
      <c r="B51" s="46" t="s">
        <v>73</v>
      </c>
      <c r="C51" s="30">
        <v>7</v>
      </c>
    </row>
    <row r="53" spans="2:4" x14ac:dyDescent="0.15">
      <c r="B53" s="159" t="s">
        <v>171</v>
      </c>
      <c r="C53" s="97">
        <v>682</v>
      </c>
      <c r="D53" s="97"/>
    </row>
    <row r="54" spans="2:4" x14ac:dyDescent="0.15">
      <c r="B54" s="159" t="s">
        <v>172</v>
      </c>
      <c r="C54" s="159" t="s">
        <v>185</v>
      </c>
      <c r="D54" s="97"/>
    </row>
    <row r="55" spans="2:4" x14ac:dyDescent="0.15">
      <c r="B55" s="159" t="s">
        <v>173</v>
      </c>
      <c r="C55" s="159" t="s">
        <v>186</v>
      </c>
      <c r="D55" s="97"/>
    </row>
    <row r="56" spans="2:4" x14ac:dyDescent="0.15">
      <c r="B56" s="159" t="s">
        <v>174</v>
      </c>
      <c r="C56" s="97">
        <v>240</v>
      </c>
      <c r="D56" s="97"/>
    </row>
    <row r="57" spans="2:4" x14ac:dyDescent="0.15">
      <c r="B57" s="159" t="s">
        <v>175</v>
      </c>
      <c r="C57" s="159" t="s">
        <v>187</v>
      </c>
      <c r="D57" s="97"/>
    </row>
    <row r="58" spans="2:4" x14ac:dyDescent="0.15">
      <c r="B58" s="159" t="s">
        <v>176</v>
      </c>
      <c r="C58" s="159" t="s">
        <v>188</v>
      </c>
      <c r="D58" s="97"/>
    </row>
    <row r="59" spans="2:4" x14ac:dyDescent="0.15">
      <c r="B59" s="159" t="s">
        <v>177</v>
      </c>
      <c r="C59" s="159" t="s">
        <v>189</v>
      </c>
      <c r="D59" s="97"/>
    </row>
    <row r="60" spans="2:4" x14ac:dyDescent="0.15">
      <c r="B60" s="159" t="s">
        <v>178</v>
      </c>
      <c r="C60" s="159" t="s">
        <v>190</v>
      </c>
      <c r="D60" s="97"/>
    </row>
    <row r="61" spans="2:4" x14ac:dyDescent="0.15">
      <c r="B61" s="159" t="s">
        <v>179</v>
      </c>
      <c r="C61" s="97">
        <v>26</v>
      </c>
      <c r="D61" s="97"/>
    </row>
    <row r="62" spans="2:4" x14ac:dyDescent="0.15">
      <c r="B62" s="159" t="s">
        <v>180</v>
      </c>
      <c r="C62" s="97">
        <v>1</v>
      </c>
      <c r="D62" s="97"/>
    </row>
    <row r="63" spans="2:4" x14ac:dyDescent="0.15">
      <c r="B63" s="159" t="s">
        <v>181</v>
      </c>
      <c r="C63" s="97">
        <v>1980</v>
      </c>
      <c r="D63" s="97"/>
    </row>
    <row r="64" spans="2:4" x14ac:dyDescent="0.15">
      <c r="B64" s="159" t="s">
        <v>182</v>
      </c>
      <c r="C64" s="97">
        <v>1</v>
      </c>
      <c r="D64" s="97"/>
    </row>
    <row r="65" spans="2:4" x14ac:dyDescent="0.15">
      <c r="B65" s="159" t="s">
        <v>183</v>
      </c>
      <c r="C65" s="159" t="s">
        <v>191</v>
      </c>
      <c r="D65" s="97"/>
    </row>
    <row r="66" spans="2:4" x14ac:dyDescent="0.15">
      <c r="B66" s="159" t="s">
        <v>184</v>
      </c>
      <c r="D66" s="97"/>
    </row>
    <row r="67" spans="2:4" x14ac:dyDescent="0.15">
      <c r="B67" s="97"/>
      <c r="C67" s="97"/>
      <c r="D67" s="97"/>
    </row>
    <row r="68" spans="2:4" x14ac:dyDescent="0.15">
      <c r="B68" s="97"/>
      <c r="C68" s="97"/>
      <c r="D68" s="9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72" customWidth="1"/>
    <col min="2" max="3" width="3.33203125" style="72" customWidth="1"/>
    <col min="4" max="4" width="14.33203125" style="72" customWidth="1"/>
    <col min="5" max="5" width="21.6640625" style="72" bestFit="1" customWidth="1"/>
    <col min="6" max="6" width="2.33203125" style="72" bestFit="1" customWidth="1"/>
    <col min="7" max="7" width="9.83203125" style="72" bestFit="1" customWidth="1"/>
    <col min="8" max="8" width="8.83203125" style="72" customWidth="1"/>
    <col min="9" max="9" width="10.83203125" style="72" customWidth="1"/>
    <col min="10" max="11" width="12.83203125" style="72" customWidth="1"/>
    <col min="12" max="12" width="2.33203125" style="72" customWidth="1"/>
    <col min="13" max="13" width="3.83203125" style="72" customWidth="1"/>
    <col min="14" max="14" width="2.33203125" style="72" customWidth="1"/>
    <col min="16" max="25" width="8.83203125" style="7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2"/>
  </cols>
  <sheetData>
    <row r="1" spans="1:46" s="88" customFormat="1" ht="15" customHeight="1" x14ac:dyDescent="0.15">
      <c r="A1" s="68" t="s">
        <v>18</v>
      </c>
      <c r="C1" s="69" t="s">
        <v>8</v>
      </c>
      <c r="D1" s="68" t="s">
        <v>23</v>
      </c>
      <c r="E1" s="68" t="s">
        <v>0</v>
      </c>
      <c r="F1" s="68" t="s">
        <v>7</v>
      </c>
      <c r="G1" s="70" t="s">
        <v>13</v>
      </c>
      <c r="H1" s="68" t="s">
        <v>1</v>
      </c>
      <c r="I1" s="68" t="s">
        <v>2</v>
      </c>
      <c r="J1" s="68" t="s">
        <v>14</v>
      </c>
      <c r="K1" s="68" t="s">
        <v>3</v>
      </c>
      <c r="L1" s="68" t="s">
        <v>4</v>
      </c>
      <c r="M1" s="68" t="s">
        <v>5</v>
      </c>
      <c r="N1" s="6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8">
        <v>1</v>
      </c>
      <c r="D2"/>
      <c r="E2" s="160" t="s">
        <v>192</v>
      </c>
      <c r="F2" s="72">
        <v>1</v>
      </c>
      <c r="G2" s="72">
        <v>702</v>
      </c>
      <c r="H2" s="72">
        <v>8.43</v>
      </c>
      <c r="I2" s="6">
        <v>0</v>
      </c>
      <c r="J2" s="6">
        <v>0.13738799099999999</v>
      </c>
      <c r="K2" s="6">
        <v>0</v>
      </c>
      <c r="L2" s="6">
        <v>0</v>
      </c>
      <c r="M2" s="72">
        <v>0</v>
      </c>
      <c r="N2" s="72">
        <v>0</v>
      </c>
    </row>
    <row r="3" spans="1:46" ht="15" customHeight="1" x14ac:dyDescent="0.15">
      <c r="A3" s="1" t="s">
        <v>9</v>
      </c>
      <c r="B3" s="4">
        <v>25</v>
      </c>
      <c r="C3" s="72">
        <v>2</v>
      </c>
      <c r="D3"/>
      <c r="E3" s="160" t="s">
        <v>193</v>
      </c>
      <c r="F3" s="72">
        <v>1</v>
      </c>
      <c r="G3" s="72">
        <v>832</v>
      </c>
      <c r="H3" s="72">
        <v>15.34</v>
      </c>
      <c r="I3" s="72">
        <v>0</v>
      </c>
      <c r="J3" s="72">
        <v>2.79440247E-2</v>
      </c>
      <c r="K3" s="72">
        <v>0</v>
      </c>
      <c r="L3" s="72">
        <v>0</v>
      </c>
      <c r="M3" s="72">
        <v>0</v>
      </c>
      <c r="N3" s="72">
        <v>0</v>
      </c>
    </row>
    <row r="4" spans="1:46" ht="15" customHeight="1" x14ac:dyDescent="0.15">
      <c r="A4" s="1" t="s">
        <v>10</v>
      </c>
      <c r="B4" s="4">
        <v>2</v>
      </c>
      <c r="C4" s="72">
        <v>3</v>
      </c>
      <c r="D4"/>
      <c r="E4" s="160" t="s">
        <v>194</v>
      </c>
      <c r="F4" s="72">
        <v>0</v>
      </c>
      <c r="G4" s="72">
        <v>2.87</v>
      </c>
      <c r="H4" s="72">
        <v>40</v>
      </c>
      <c r="I4" s="72">
        <v>133.33332799999999</v>
      </c>
      <c r="J4" s="72">
        <v>0.91020274199999995</v>
      </c>
      <c r="K4" s="72">
        <v>0.3</v>
      </c>
      <c r="L4" s="72">
        <v>0</v>
      </c>
      <c r="M4" s="72">
        <v>0.2</v>
      </c>
      <c r="N4" s="7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2">
        <v>4</v>
      </c>
      <c r="D5"/>
      <c r="E5" s="160" t="s">
        <v>195</v>
      </c>
      <c r="F5" s="72">
        <v>0</v>
      </c>
      <c r="G5" s="72">
        <v>0.37137789999999998</v>
      </c>
      <c r="H5" s="72">
        <v>4.45</v>
      </c>
      <c r="I5" s="72">
        <v>22.499998099999999</v>
      </c>
      <c r="J5" s="72">
        <v>0.95000004800000004</v>
      </c>
      <c r="K5" s="72">
        <v>0.1977778</v>
      </c>
      <c r="L5" s="72">
        <v>0</v>
      </c>
      <c r="M5" s="72">
        <v>0.2</v>
      </c>
      <c r="N5" s="72">
        <v>0</v>
      </c>
      <c r="P5" s="65"/>
      <c r="Q5" s="65"/>
      <c r="R5" s="65"/>
    </row>
    <row r="6" spans="1:46" ht="15" customHeight="1" thickBot="1" x14ac:dyDescent="0.2">
      <c r="B6" s="1"/>
      <c r="C6" s="72">
        <v>5</v>
      </c>
      <c r="D6"/>
      <c r="E6" s="160" t="s">
        <v>196</v>
      </c>
      <c r="F6" s="72">
        <v>0</v>
      </c>
      <c r="G6" s="72">
        <v>35.770000000000003</v>
      </c>
      <c r="H6" s="72">
        <v>7.5060000000000002</v>
      </c>
      <c r="I6" s="72">
        <v>25</v>
      </c>
      <c r="J6" s="72">
        <v>0.135018587</v>
      </c>
      <c r="K6" s="72">
        <v>0.30024000000000001</v>
      </c>
      <c r="L6" s="72">
        <v>0</v>
      </c>
      <c r="M6" s="72">
        <v>0.2</v>
      </c>
      <c r="N6" s="72">
        <v>0</v>
      </c>
      <c r="P6" s="65"/>
      <c r="Q6" s="65"/>
      <c r="R6" s="65"/>
      <c r="W6" s="32" t="s">
        <v>31</v>
      </c>
      <c r="X6" s="48">
        <f>MAX(MainOutputs!G:G)</f>
        <v>0.99685615301132202</v>
      </c>
    </row>
    <row r="7" spans="1:46" ht="15" customHeight="1" x14ac:dyDescent="0.15">
      <c r="A7" s="2" t="s">
        <v>27</v>
      </c>
      <c r="B7" s="72">
        <f ca="1">COUNTIF(OFFSET(cornerDiets,1,1,NumLiving+NumDead+1,NumLiving+NumDead),"&gt;0")+NumLiving+NumDead+1</f>
        <v>136</v>
      </c>
      <c r="C7" s="72">
        <v>6</v>
      </c>
      <c r="D7"/>
      <c r="E7" s="160" t="s">
        <v>197</v>
      </c>
      <c r="F7" s="72">
        <v>0</v>
      </c>
      <c r="G7" s="72">
        <v>1.82</v>
      </c>
      <c r="H7" s="72">
        <v>2.214</v>
      </c>
      <c r="I7" s="72">
        <v>124</v>
      </c>
      <c r="J7" s="72">
        <v>0.73418664899999997</v>
      </c>
      <c r="K7" s="72">
        <v>1.7854837700000001E-2</v>
      </c>
      <c r="L7" s="72">
        <v>0</v>
      </c>
      <c r="M7" s="72">
        <v>0.2</v>
      </c>
      <c r="N7" s="72">
        <v>0</v>
      </c>
      <c r="P7" s="65"/>
      <c r="Q7" s="65"/>
      <c r="R7" s="65"/>
    </row>
    <row r="8" spans="1:46" ht="15" customHeight="1" x14ac:dyDescent="0.15">
      <c r="A8" s="2" t="s">
        <v>28</v>
      </c>
      <c r="B8" s="72">
        <f ca="1">COUNTIF(OFFSET(cornerFishing,1,2,NumLiving+NumDead,NumGears),"&gt;0")+NumDead*COUNTIF(OFFSET(cornerDiscards,1,2,NumLiving+NumDead,NumGears),"&gt;0")+NumLiving+NumDead+1</f>
        <v>47</v>
      </c>
      <c r="C8" s="72">
        <v>7</v>
      </c>
      <c r="D8"/>
      <c r="E8" s="160" t="s">
        <v>198</v>
      </c>
      <c r="F8" s="72">
        <v>0</v>
      </c>
      <c r="G8" s="72">
        <v>0.71</v>
      </c>
      <c r="H8" s="72">
        <v>6.5</v>
      </c>
      <c r="I8" s="72">
        <v>47.9</v>
      </c>
      <c r="J8" s="72">
        <v>0.17904008900000001</v>
      </c>
      <c r="K8" s="72">
        <v>0.13569937600000001</v>
      </c>
      <c r="L8" s="72">
        <v>0</v>
      </c>
      <c r="M8" s="72">
        <v>0.2</v>
      </c>
      <c r="N8" s="72">
        <v>0</v>
      </c>
      <c r="P8" s="65"/>
      <c r="Q8" s="65"/>
      <c r="R8" s="65"/>
    </row>
    <row r="9" spans="1:46" ht="15" customHeight="1" x14ac:dyDescent="0.15">
      <c r="B9" s="1"/>
      <c r="C9" s="72">
        <v>8</v>
      </c>
      <c r="D9"/>
      <c r="E9" s="160" t="s">
        <v>199</v>
      </c>
      <c r="F9" s="72">
        <v>0</v>
      </c>
      <c r="G9" s="72">
        <v>0.23799999999999999</v>
      </c>
      <c r="H9" s="72">
        <v>0.8</v>
      </c>
      <c r="I9" s="72">
        <v>4</v>
      </c>
      <c r="J9" s="72">
        <v>0.92436969999999996</v>
      </c>
      <c r="K9" s="72">
        <v>0.2</v>
      </c>
      <c r="L9" s="72">
        <v>0</v>
      </c>
      <c r="M9" s="72">
        <v>0.2</v>
      </c>
      <c r="N9" s="72">
        <v>0</v>
      </c>
      <c r="P9" s="65"/>
      <c r="Q9" s="65"/>
      <c r="R9" s="65"/>
    </row>
    <row r="10" spans="1:46" ht="15" customHeight="1" x14ac:dyDescent="0.15">
      <c r="B10" s="1"/>
      <c r="C10" s="72">
        <v>9</v>
      </c>
      <c r="D10"/>
      <c r="E10" s="160" t="s">
        <v>200</v>
      </c>
      <c r="F10" s="72">
        <v>0</v>
      </c>
      <c r="G10" s="72">
        <v>0.33700000000000002</v>
      </c>
      <c r="H10" s="72">
        <v>1.51</v>
      </c>
      <c r="I10" s="72">
        <v>7.55</v>
      </c>
      <c r="J10" s="72">
        <v>0.99685615299999997</v>
      </c>
      <c r="K10" s="72">
        <v>0.19999998799999999</v>
      </c>
      <c r="L10" s="72">
        <v>0</v>
      </c>
      <c r="M10" s="72">
        <v>0.2</v>
      </c>
      <c r="N10" s="72">
        <v>0</v>
      </c>
    </row>
    <row r="11" spans="1:46" ht="15" customHeight="1" x14ac:dyDescent="0.15">
      <c r="C11" s="72">
        <v>10</v>
      </c>
      <c r="D11"/>
      <c r="E11" s="160" t="s">
        <v>201</v>
      </c>
      <c r="F11" s="72">
        <v>0</v>
      </c>
      <c r="G11" s="72">
        <v>0.1</v>
      </c>
      <c r="H11" s="72">
        <v>1.5</v>
      </c>
      <c r="I11" s="72">
        <v>7.5</v>
      </c>
      <c r="J11" s="72">
        <v>0.8237333</v>
      </c>
      <c r="K11" s="72">
        <v>0.2</v>
      </c>
      <c r="L11" s="72">
        <v>0</v>
      </c>
      <c r="M11" s="72">
        <v>0.2</v>
      </c>
      <c r="N11" s="72">
        <v>0</v>
      </c>
    </row>
    <row r="12" spans="1:46" ht="15" customHeight="1" x14ac:dyDescent="0.15">
      <c r="C12" s="72">
        <v>11</v>
      </c>
      <c r="D12"/>
      <c r="E12" s="160" t="s">
        <v>202</v>
      </c>
      <c r="F12" s="72">
        <v>0</v>
      </c>
      <c r="G12" s="72">
        <v>0.72929999999999995</v>
      </c>
      <c r="H12" s="72">
        <v>3.3</v>
      </c>
      <c r="I12" s="72">
        <v>54.7</v>
      </c>
      <c r="J12" s="72">
        <v>0.40275308500000001</v>
      </c>
      <c r="K12" s="72">
        <v>6.0329064699999997E-2</v>
      </c>
      <c r="L12" s="72">
        <v>0</v>
      </c>
      <c r="M12" s="72">
        <v>0.2</v>
      </c>
      <c r="N12" s="72">
        <v>0</v>
      </c>
    </row>
    <row r="13" spans="1:46" ht="15" customHeight="1" x14ac:dyDescent="0.15">
      <c r="C13" s="72">
        <v>12</v>
      </c>
      <c r="D13"/>
      <c r="E13" s="160" t="s">
        <v>203</v>
      </c>
      <c r="F13" s="72">
        <v>0</v>
      </c>
      <c r="G13" s="72">
        <v>3.6999999999999998E-2</v>
      </c>
      <c r="H13" s="72">
        <v>14.017950000000001</v>
      </c>
      <c r="I13" s="72">
        <v>70.089740000000006</v>
      </c>
      <c r="J13" s="72">
        <v>0.94999975000000003</v>
      </c>
      <c r="K13" s="72">
        <v>0.20000003299999999</v>
      </c>
      <c r="L13" s="72">
        <v>0</v>
      </c>
      <c r="M13" s="72">
        <v>0.2</v>
      </c>
      <c r="N13" s="72">
        <v>0</v>
      </c>
    </row>
    <row r="14" spans="1:46" ht="15" customHeight="1" x14ac:dyDescent="0.15">
      <c r="C14" s="72">
        <v>13</v>
      </c>
      <c r="D14"/>
      <c r="E14" s="160" t="s">
        <v>204</v>
      </c>
      <c r="F14" s="72">
        <v>0</v>
      </c>
      <c r="G14" s="72">
        <v>1.3</v>
      </c>
      <c r="H14" s="72">
        <v>5.6</v>
      </c>
      <c r="I14" s="72">
        <v>28</v>
      </c>
      <c r="J14" s="72">
        <v>0.13379120799999999</v>
      </c>
      <c r="K14" s="72">
        <v>0.2</v>
      </c>
      <c r="L14" s="72">
        <v>0</v>
      </c>
      <c r="M14" s="72">
        <v>0.2</v>
      </c>
      <c r="N14" s="72">
        <v>0</v>
      </c>
    </row>
    <row r="15" spans="1:46" ht="15" customHeight="1" x14ac:dyDescent="0.15">
      <c r="C15" s="72">
        <v>14</v>
      </c>
      <c r="D15"/>
      <c r="E15" s="160" t="s">
        <v>205</v>
      </c>
      <c r="F15" s="72">
        <v>0</v>
      </c>
      <c r="G15" s="72">
        <v>0.40489999999999998</v>
      </c>
      <c r="H15" s="72">
        <v>3.8780000000000001</v>
      </c>
      <c r="I15" s="72">
        <v>19.39</v>
      </c>
      <c r="J15" s="72">
        <v>0.82211804399999999</v>
      </c>
      <c r="K15" s="72">
        <v>0.2</v>
      </c>
      <c r="L15" s="72">
        <v>0</v>
      </c>
      <c r="M15" s="72">
        <v>0.2</v>
      </c>
      <c r="N15" s="72">
        <v>0</v>
      </c>
    </row>
    <row r="16" spans="1:46" ht="15" customHeight="1" x14ac:dyDescent="0.15">
      <c r="C16" s="72">
        <v>15</v>
      </c>
      <c r="D16"/>
      <c r="E16" s="160" t="s">
        <v>206</v>
      </c>
      <c r="F16" s="72">
        <v>0</v>
      </c>
      <c r="G16" s="72">
        <v>0.65261170000000002</v>
      </c>
      <c r="H16" s="72">
        <v>3.1</v>
      </c>
      <c r="I16" s="72">
        <v>16.64</v>
      </c>
      <c r="J16" s="72">
        <v>0.95</v>
      </c>
      <c r="K16" s="72">
        <v>0.18629807200000001</v>
      </c>
      <c r="L16" s="72">
        <v>0</v>
      </c>
      <c r="M16" s="72">
        <v>0.2</v>
      </c>
      <c r="N16" s="72">
        <v>0</v>
      </c>
    </row>
    <row r="17" spans="1:22" ht="15" customHeight="1" x14ac:dyDescent="0.15">
      <c r="C17" s="72">
        <v>16</v>
      </c>
      <c r="D17"/>
      <c r="E17" s="160" t="s">
        <v>207</v>
      </c>
      <c r="F17" s="72">
        <v>0</v>
      </c>
      <c r="G17" s="72">
        <v>8.4000000000000005E-2</v>
      </c>
      <c r="H17" s="72">
        <v>2.73</v>
      </c>
      <c r="I17" s="72">
        <v>13.65</v>
      </c>
      <c r="J17" s="72">
        <v>0.91511719999999996</v>
      </c>
      <c r="K17" s="72">
        <v>0.2</v>
      </c>
      <c r="L17" s="72">
        <v>0</v>
      </c>
      <c r="M17" s="72">
        <v>0.2</v>
      </c>
      <c r="N17" s="72">
        <v>0</v>
      </c>
      <c r="V17" s="1" t="s">
        <v>30</v>
      </c>
    </row>
    <row r="18" spans="1:22" ht="15" customHeight="1" x14ac:dyDescent="0.15">
      <c r="C18" s="72">
        <v>17</v>
      </c>
      <c r="D18"/>
      <c r="E18" s="160" t="s">
        <v>208</v>
      </c>
      <c r="F18" s="72">
        <v>0</v>
      </c>
      <c r="G18" s="72">
        <v>0.33500000000000002</v>
      </c>
      <c r="H18" s="72">
        <v>1</v>
      </c>
      <c r="I18" s="72">
        <v>5</v>
      </c>
      <c r="J18" s="72">
        <v>0.98054200000000002</v>
      </c>
      <c r="K18" s="72">
        <v>0.2</v>
      </c>
      <c r="L18" s="72">
        <v>0</v>
      </c>
      <c r="M18" s="72">
        <v>0.2</v>
      </c>
      <c r="N18" s="72">
        <v>0</v>
      </c>
      <c r="V18" s="1"/>
    </row>
    <row r="19" spans="1:22" ht="15" customHeight="1" x14ac:dyDescent="0.15">
      <c r="C19" s="72">
        <v>18</v>
      </c>
      <c r="D19"/>
      <c r="E19" s="160" t="s">
        <v>209</v>
      </c>
      <c r="F19" s="72">
        <v>0</v>
      </c>
      <c r="G19" s="72">
        <v>1.29E-2</v>
      </c>
      <c r="H19" s="72">
        <v>3</v>
      </c>
      <c r="I19" s="72">
        <v>15</v>
      </c>
      <c r="J19" s="72">
        <v>0.76081395100000004</v>
      </c>
      <c r="K19" s="72">
        <v>0.2</v>
      </c>
      <c r="L19" s="72">
        <v>0</v>
      </c>
      <c r="M19" s="72">
        <v>0.2</v>
      </c>
      <c r="N19" s="72">
        <v>0</v>
      </c>
    </row>
    <row r="20" spans="1:22" ht="15" customHeight="1" thickBot="1" x14ac:dyDescent="0.2">
      <c r="C20" s="72">
        <v>19</v>
      </c>
      <c r="D20"/>
      <c r="E20" s="160" t="s">
        <v>210</v>
      </c>
      <c r="F20" s="72">
        <v>0</v>
      </c>
      <c r="G20" s="72">
        <v>0.71299999999999997</v>
      </c>
      <c r="H20" s="72">
        <v>6.18</v>
      </c>
      <c r="I20" s="72">
        <v>30.9</v>
      </c>
      <c r="J20" s="72">
        <v>0.90915369999999995</v>
      </c>
      <c r="K20" s="72">
        <v>0.2</v>
      </c>
      <c r="L20" s="72">
        <v>0</v>
      </c>
      <c r="M20" s="72">
        <v>0.2</v>
      </c>
      <c r="N20" s="72">
        <v>0</v>
      </c>
    </row>
    <row r="21" spans="1:22" ht="15" customHeight="1" thickBot="1" x14ac:dyDescent="0.2">
      <c r="A21" s="43" t="s">
        <v>137</v>
      </c>
      <c r="B21" s="89"/>
      <c r="C21" s="72">
        <v>20</v>
      </c>
      <c r="D21"/>
      <c r="E21" s="160" t="s">
        <v>211</v>
      </c>
      <c r="F21" s="72">
        <v>0</v>
      </c>
      <c r="G21" s="72">
        <v>200</v>
      </c>
      <c r="H21" s="72">
        <v>0.1</v>
      </c>
      <c r="I21" s="72">
        <v>0.5</v>
      </c>
      <c r="J21" s="72">
        <v>0.119678125</v>
      </c>
      <c r="K21" s="72">
        <v>0.2</v>
      </c>
      <c r="L21" s="72">
        <v>0</v>
      </c>
      <c r="M21" s="72">
        <v>0.2</v>
      </c>
      <c r="N21" s="72">
        <v>0</v>
      </c>
    </row>
    <row r="22" spans="1:22" ht="15" customHeight="1" x14ac:dyDescent="0.15">
      <c r="A22" s="90" t="s">
        <v>58</v>
      </c>
      <c r="B22" s="91">
        <v>0</v>
      </c>
      <c r="C22" s="72">
        <v>21</v>
      </c>
      <c r="D22"/>
      <c r="E22" s="160" t="s">
        <v>212</v>
      </c>
      <c r="F22" s="72">
        <v>1</v>
      </c>
      <c r="G22" s="72">
        <v>90</v>
      </c>
      <c r="H22" s="72">
        <v>3.2</v>
      </c>
      <c r="I22" s="72">
        <v>0</v>
      </c>
      <c r="J22" s="72">
        <v>0.131041661</v>
      </c>
      <c r="K22" s="72">
        <v>0</v>
      </c>
      <c r="L22" s="72">
        <v>0</v>
      </c>
      <c r="M22" s="72">
        <v>0</v>
      </c>
      <c r="N22" s="72">
        <v>0</v>
      </c>
    </row>
    <row r="23" spans="1:22" ht="15" customHeight="1" x14ac:dyDescent="0.15">
      <c r="A23" s="90" t="s">
        <v>59</v>
      </c>
      <c r="B23" s="91">
        <v>1</v>
      </c>
      <c r="C23" s="72">
        <v>22</v>
      </c>
      <c r="D23"/>
      <c r="E23" s="160" t="s">
        <v>213</v>
      </c>
      <c r="F23" s="72">
        <v>0</v>
      </c>
      <c r="G23" s="72">
        <v>15.814399999999999</v>
      </c>
      <c r="H23" s="72">
        <v>3</v>
      </c>
      <c r="I23" s="72">
        <v>15</v>
      </c>
      <c r="J23" s="72">
        <v>0.95002819999999999</v>
      </c>
      <c r="K23" s="72">
        <v>0.2</v>
      </c>
      <c r="L23" s="72">
        <v>0</v>
      </c>
      <c r="M23" s="72">
        <v>0</v>
      </c>
      <c r="N23" s="72">
        <v>0</v>
      </c>
    </row>
    <row r="24" spans="1:22" ht="15" customHeight="1" x14ac:dyDescent="0.15">
      <c r="A24" s="90" t="s">
        <v>60</v>
      </c>
      <c r="B24" s="91">
        <v>2</v>
      </c>
      <c r="C24" s="72">
        <v>23</v>
      </c>
      <c r="D24"/>
      <c r="E24" s="160" t="s">
        <v>214</v>
      </c>
      <c r="F24" s="72">
        <v>0</v>
      </c>
      <c r="G24" s="72">
        <v>6.2412660000000004</v>
      </c>
      <c r="H24" s="72">
        <v>8.4000009999999996</v>
      </c>
      <c r="I24" s="72">
        <v>28</v>
      </c>
      <c r="J24" s="72">
        <v>0.95140695600000003</v>
      </c>
      <c r="K24" s="72">
        <v>0.3</v>
      </c>
      <c r="L24" s="72">
        <v>0</v>
      </c>
      <c r="M24" s="72">
        <v>0.2</v>
      </c>
      <c r="N24" s="72">
        <v>0</v>
      </c>
    </row>
    <row r="25" spans="1:22" ht="15" customHeight="1" thickBot="1" x14ac:dyDescent="0.2">
      <c r="A25" s="92" t="s">
        <v>44</v>
      </c>
      <c r="B25" s="93">
        <v>3</v>
      </c>
      <c r="C25" s="72">
        <v>24</v>
      </c>
      <c r="D25"/>
      <c r="E25" s="160" t="s">
        <v>215</v>
      </c>
      <c r="F25" s="72">
        <v>0</v>
      </c>
      <c r="G25" s="72">
        <v>3.11</v>
      </c>
      <c r="H25" s="72">
        <v>2.8</v>
      </c>
      <c r="I25" s="72">
        <v>5.6</v>
      </c>
      <c r="J25" s="72">
        <v>0.94838303300000004</v>
      </c>
      <c r="K25" s="72">
        <v>0.5</v>
      </c>
      <c r="L25" s="72">
        <v>0</v>
      </c>
      <c r="M25" s="72">
        <v>0.2</v>
      </c>
      <c r="N25" s="72">
        <v>0</v>
      </c>
    </row>
    <row r="26" spans="1:22" ht="15" customHeight="1" x14ac:dyDescent="0.15">
      <c r="A26" s="94" t="s">
        <v>140</v>
      </c>
      <c r="C26" s="72">
        <v>25</v>
      </c>
      <c r="D26"/>
      <c r="E26" s="160" t="s">
        <v>216</v>
      </c>
      <c r="F26" s="72">
        <v>1</v>
      </c>
      <c r="G26" s="72">
        <v>0.3</v>
      </c>
      <c r="H26" s="72">
        <v>30.417000000000002</v>
      </c>
      <c r="I26" s="72">
        <v>0</v>
      </c>
      <c r="J26" s="72">
        <v>0.91505545399999999</v>
      </c>
      <c r="K26" s="72">
        <v>0</v>
      </c>
      <c r="L26" s="72">
        <v>0</v>
      </c>
      <c r="M26" s="72">
        <v>0</v>
      </c>
      <c r="N26" s="72">
        <v>0</v>
      </c>
    </row>
    <row r="27" spans="1:22" ht="15" customHeight="1" x14ac:dyDescent="0.15">
      <c r="C27" s="72">
        <v>26</v>
      </c>
      <c r="D27"/>
      <c r="E27" s="160" t="s">
        <v>217</v>
      </c>
      <c r="F27" s="72">
        <v>2</v>
      </c>
      <c r="G27" s="72">
        <v>1000</v>
      </c>
      <c r="H27" s="72">
        <v>0</v>
      </c>
      <c r="I27" s="72">
        <v>0</v>
      </c>
      <c r="J27" s="72">
        <v>3.9915869999999999E-2</v>
      </c>
      <c r="K27" s="72">
        <v>0</v>
      </c>
      <c r="L27" s="72">
        <v>0</v>
      </c>
      <c r="M27" s="72">
        <v>0</v>
      </c>
      <c r="N27" s="72">
        <v>0</v>
      </c>
    </row>
    <row r="28" spans="1:22" ht="15" customHeight="1" x14ac:dyDescent="0.15">
      <c r="C28" s="72">
        <v>27</v>
      </c>
      <c r="D28"/>
      <c r="E28" s="160" t="s">
        <v>218</v>
      </c>
      <c r="F28" s="72">
        <v>2</v>
      </c>
      <c r="G28" s="72">
        <v>5</v>
      </c>
      <c r="H28" s="72">
        <v>0</v>
      </c>
      <c r="I28" s="72">
        <v>0</v>
      </c>
      <c r="J28" s="72">
        <v>0</v>
      </c>
      <c r="K28" s="72">
        <v>0</v>
      </c>
      <c r="L28" s="72">
        <v>0</v>
      </c>
      <c r="M28" s="72">
        <v>0</v>
      </c>
      <c r="N28" s="72">
        <v>0</v>
      </c>
    </row>
    <row r="29" spans="1:22" customFormat="1" ht="15" customHeight="1" x14ac:dyDescent="0.15">
      <c r="C29" s="72">
        <v>28</v>
      </c>
      <c r="E29" s="160" t="s">
        <v>219</v>
      </c>
      <c r="F29" s="72">
        <v>3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</row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9" bestFit="1" customWidth="1"/>
    <col min="2" max="3" width="2.33203125" style="129" bestFit="1" customWidth="1"/>
    <col min="4" max="4" width="4.83203125" style="129" bestFit="1" customWidth="1"/>
    <col min="5" max="5" width="2.33203125" style="129" bestFit="1" customWidth="1"/>
    <col min="6" max="7" width="4.83203125" style="129" bestFit="1" customWidth="1"/>
    <col min="8" max="8" width="3.83203125" style="129" bestFit="1" customWidth="1"/>
    <col min="9" max="16" width="4.83203125" style="129" bestFit="1" customWidth="1"/>
    <col min="17" max="17" width="3.83203125" style="129" bestFit="1" customWidth="1"/>
    <col min="18" max="21" width="4.83203125" style="129" bestFit="1" customWidth="1"/>
    <col min="22" max="22" width="2.33203125" style="129" bestFit="1" customWidth="1"/>
    <col min="23" max="25" width="4.83203125" style="129" bestFit="1" customWidth="1"/>
    <col min="26" max="28" width="2.33203125" style="129" bestFit="1" customWidth="1"/>
    <col min="29" max="29" width="9" style="129" bestFit="1" customWidth="1"/>
    <col min="30" max="16384" width="8.83203125" style="129"/>
  </cols>
  <sheetData>
    <row r="1" spans="1:34" x14ac:dyDescent="0.15">
      <c r="A1" s="128" t="s">
        <v>19</v>
      </c>
      <c r="B1" s="162" t="s">
        <v>192</v>
      </c>
      <c r="C1" s="162" t="s">
        <v>193</v>
      </c>
      <c r="D1" s="162" t="s">
        <v>194</v>
      </c>
      <c r="E1" s="162" t="s">
        <v>195</v>
      </c>
      <c r="F1" s="162" t="s">
        <v>196</v>
      </c>
      <c r="G1" s="162" t="s">
        <v>197</v>
      </c>
      <c r="H1" s="162" t="s">
        <v>198</v>
      </c>
      <c r="I1" s="162" t="s">
        <v>199</v>
      </c>
      <c r="J1" s="162" t="s">
        <v>200</v>
      </c>
      <c r="K1" s="162" t="s">
        <v>201</v>
      </c>
      <c r="L1" s="162" t="s">
        <v>202</v>
      </c>
      <c r="M1" s="162" t="s">
        <v>203</v>
      </c>
      <c r="N1" s="162" t="s">
        <v>204</v>
      </c>
      <c r="O1" s="162" t="s">
        <v>205</v>
      </c>
      <c r="P1" s="162" t="s">
        <v>206</v>
      </c>
      <c r="Q1" s="162" t="s">
        <v>207</v>
      </c>
      <c r="R1" s="162" t="s">
        <v>208</v>
      </c>
      <c r="S1" s="162" t="s">
        <v>209</v>
      </c>
      <c r="T1" s="162" t="s">
        <v>210</v>
      </c>
      <c r="U1" s="162" t="s">
        <v>211</v>
      </c>
      <c r="V1" s="162" t="s">
        <v>212</v>
      </c>
      <c r="W1" s="162" t="s">
        <v>213</v>
      </c>
      <c r="X1" s="162" t="s">
        <v>214</v>
      </c>
      <c r="Y1" s="162" t="s">
        <v>215</v>
      </c>
      <c r="Z1" s="162" t="s">
        <v>216</v>
      </c>
      <c r="AA1" s="162" t="s">
        <v>217</v>
      </c>
      <c r="AB1" s="162" t="s">
        <v>218</v>
      </c>
      <c r="AC1"/>
      <c r="AD1"/>
      <c r="AE1"/>
      <c r="AF1"/>
      <c r="AG1"/>
      <c r="AH1"/>
    </row>
    <row r="2" spans="1:34" customFormat="1" x14ac:dyDescent="0.15">
      <c r="A2" s="161" t="s">
        <v>192</v>
      </c>
      <c r="B2" s="129">
        <v>0</v>
      </c>
      <c r="C2" s="129">
        <v>0</v>
      </c>
      <c r="D2" s="129">
        <v>0</v>
      </c>
      <c r="E2" s="129">
        <v>0</v>
      </c>
      <c r="F2" s="129">
        <v>0.7</v>
      </c>
      <c r="G2" s="129">
        <v>0.76</v>
      </c>
      <c r="H2" s="129">
        <v>0.20000000000000004</v>
      </c>
      <c r="I2" s="129">
        <v>0</v>
      </c>
      <c r="J2" s="129">
        <v>0</v>
      </c>
      <c r="K2" s="129">
        <v>0</v>
      </c>
      <c r="L2" s="129">
        <v>0</v>
      </c>
      <c r="M2" s="129">
        <v>0</v>
      </c>
      <c r="N2" s="129">
        <v>0</v>
      </c>
      <c r="O2" s="129">
        <v>0</v>
      </c>
      <c r="P2" s="129">
        <v>0</v>
      </c>
      <c r="Q2" s="129">
        <v>0</v>
      </c>
      <c r="R2" s="129">
        <v>0</v>
      </c>
      <c r="S2" s="129">
        <v>0.06</v>
      </c>
      <c r="T2" s="129">
        <v>0</v>
      </c>
      <c r="U2" s="129">
        <v>0</v>
      </c>
      <c r="V2" s="129">
        <v>0</v>
      </c>
      <c r="W2" s="129">
        <v>0</v>
      </c>
      <c r="X2" s="129">
        <v>0.05</v>
      </c>
      <c r="Y2" s="129">
        <v>0</v>
      </c>
      <c r="Z2" s="129">
        <v>0</v>
      </c>
      <c r="AA2" s="129">
        <v>0</v>
      </c>
      <c r="AB2" s="129">
        <v>0</v>
      </c>
    </row>
    <row r="3" spans="1:34" customFormat="1" x14ac:dyDescent="0.15">
      <c r="A3" s="161" t="s">
        <v>193</v>
      </c>
      <c r="B3" s="129">
        <v>0</v>
      </c>
      <c r="C3" s="129">
        <v>0</v>
      </c>
      <c r="D3" s="129">
        <v>0</v>
      </c>
      <c r="E3" s="129">
        <v>0</v>
      </c>
      <c r="F3" s="129">
        <v>0.25</v>
      </c>
      <c r="G3" s="129">
        <v>0.18</v>
      </c>
      <c r="H3" s="129">
        <v>0.50000000000000011</v>
      </c>
      <c r="I3" s="129">
        <v>0</v>
      </c>
      <c r="J3" s="129">
        <v>0</v>
      </c>
      <c r="K3" s="129">
        <v>0</v>
      </c>
      <c r="L3" s="129">
        <v>0.67</v>
      </c>
      <c r="M3" s="129">
        <v>0.05</v>
      </c>
      <c r="N3" s="129">
        <v>0.65</v>
      </c>
      <c r="O3" s="129">
        <v>0</v>
      </c>
      <c r="P3" s="129">
        <v>0</v>
      </c>
      <c r="Q3" s="129">
        <v>0</v>
      </c>
      <c r="R3" s="129">
        <v>0</v>
      </c>
      <c r="S3" s="129">
        <v>0.6</v>
      </c>
      <c r="T3" s="129">
        <v>0.28999999999999998</v>
      </c>
      <c r="U3" s="129">
        <v>0</v>
      </c>
      <c r="V3" s="129">
        <v>0</v>
      </c>
      <c r="W3" s="129">
        <v>0</v>
      </c>
      <c r="X3" s="129">
        <v>0.05</v>
      </c>
      <c r="Y3" s="129">
        <v>0.5</v>
      </c>
      <c r="Z3" s="129">
        <v>0</v>
      </c>
      <c r="AA3" s="129">
        <v>0</v>
      </c>
      <c r="AB3" s="129">
        <v>0</v>
      </c>
    </row>
    <row r="4" spans="1:34" customFormat="1" x14ac:dyDescent="0.15">
      <c r="A4" s="161" t="s">
        <v>194</v>
      </c>
      <c r="B4" s="129">
        <v>0</v>
      </c>
      <c r="C4" s="129">
        <v>0</v>
      </c>
      <c r="D4" s="129">
        <v>0</v>
      </c>
      <c r="E4" s="129">
        <v>0</v>
      </c>
      <c r="F4" s="129">
        <v>0</v>
      </c>
      <c r="G4" s="129">
        <v>0</v>
      </c>
      <c r="H4" s="129">
        <v>0.10000000000000002</v>
      </c>
      <c r="I4" s="129">
        <v>0</v>
      </c>
      <c r="J4" s="129">
        <v>0</v>
      </c>
      <c r="K4" s="129">
        <v>0</v>
      </c>
      <c r="L4" s="129">
        <v>0.04</v>
      </c>
      <c r="M4" s="129">
        <v>0</v>
      </c>
      <c r="N4" s="129">
        <v>0</v>
      </c>
      <c r="O4" s="129">
        <v>0</v>
      </c>
      <c r="P4" s="129">
        <v>0</v>
      </c>
      <c r="Q4" s="129">
        <v>0.70000000000000007</v>
      </c>
      <c r="R4" s="129">
        <v>0</v>
      </c>
      <c r="S4" s="129">
        <v>0.1</v>
      </c>
      <c r="T4" s="129">
        <v>0</v>
      </c>
      <c r="U4" s="129">
        <v>0.4</v>
      </c>
      <c r="V4" s="129">
        <v>0</v>
      </c>
      <c r="W4" s="129">
        <v>0.1</v>
      </c>
      <c r="X4" s="129">
        <v>0.2</v>
      </c>
      <c r="Y4" s="129">
        <v>0</v>
      </c>
      <c r="Z4" s="129">
        <v>0</v>
      </c>
      <c r="AA4" s="129">
        <v>0</v>
      </c>
      <c r="AB4" s="129">
        <v>0</v>
      </c>
    </row>
    <row r="5" spans="1:34" customFormat="1" x14ac:dyDescent="0.15">
      <c r="A5" s="161" t="s">
        <v>195</v>
      </c>
      <c r="B5" s="129">
        <v>0</v>
      </c>
      <c r="C5" s="129">
        <v>0</v>
      </c>
      <c r="D5" s="129">
        <v>0</v>
      </c>
      <c r="E5" s="129">
        <v>0</v>
      </c>
      <c r="F5" s="129">
        <v>0</v>
      </c>
      <c r="G5" s="129">
        <v>0</v>
      </c>
      <c r="H5" s="129">
        <v>0</v>
      </c>
      <c r="I5" s="129">
        <v>0</v>
      </c>
      <c r="J5" s="129">
        <v>0</v>
      </c>
      <c r="K5" s="129">
        <v>0</v>
      </c>
      <c r="L5" s="129">
        <v>0</v>
      </c>
      <c r="M5" s="129">
        <v>0</v>
      </c>
      <c r="N5" s="129">
        <v>0</v>
      </c>
      <c r="O5" s="129">
        <v>0</v>
      </c>
      <c r="P5" s="129">
        <v>0</v>
      </c>
      <c r="Q5" s="129">
        <v>0</v>
      </c>
      <c r="R5" s="129">
        <v>0</v>
      </c>
      <c r="S5" s="129">
        <v>0</v>
      </c>
      <c r="T5" s="129">
        <v>0</v>
      </c>
      <c r="U5" s="129">
        <v>0</v>
      </c>
      <c r="V5" s="129">
        <v>0</v>
      </c>
      <c r="W5" s="129">
        <v>0</v>
      </c>
      <c r="X5" s="129">
        <v>0</v>
      </c>
      <c r="Y5" s="129">
        <v>0</v>
      </c>
      <c r="Z5" s="129">
        <v>0</v>
      </c>
      <c r="AA5" s="129">
        <v>0</v>
      </c>
      <c r="AB5" s="129">
        <v>0</v>
      </c>
    </row>
    <row r="6" spans="1:34" customFormat="1" x14ac:dyDescent="0.15">
      <c r="A6" s="161" t="s">
        <v>196</v>
      </c>
      <c r="B6" s="129">
        <v>0</v>
      </c>
      <c r="C6" s="129">
        <v>0</v>
      </c>
      <c r="D6" s="129">
        <v>0</v>
      </c>
      <c r="E6" s="129">
        <v>0</v>
      </c>
      <c r="F6" s="129">
        <v>0</v>
      </c>
      <c r="G6" s="129">
        <v>0</v>
      </c>
      <c r="H6" s="129">
        <v>0</v>
      </c>
      <c r="I6" s="129">
        <v>0</v>
      </c>
      <c r="J6" s="129">
        <v>0</v>
      </c>
      <c r="K6" s="129">
        <v>0</v>
      </c>
      <c r="L6" s="129">
        <v>0</v>
      </c>
      <c r="M6" s="129">
        <v>0</v>
      </c>
      <c r="N6" s="129">
        <v>0</v>
      </c>
      <c r="O6" s="129">
        <v>0</v>
      </c>
      <c r="P6" s="129">
        <v>0</v>
      </c>
      <c r="Q6" s="129">
        <v>0</v>
      </c>
      <c r="R6" s="129">
        <v>0</v>
      </c>
      <c r="S6" s="129">
        <v>0</v>
      </c>
      <c r="T6" s="129">
        <v>0</v>
      </c>
      <c r="U6" s="129">
        <v>0</v>
      </c>
      <c r="V6" s="129">
        <v>0</v>
      </c>
      <c r="W6" s="129">
        <v>0</v>
      </c>
      <c r="X6" s="129">
        <v>0.2</v>
      </c>
      <c r="Y6" s="129">
        <v>0</v>
      </c>
      <c r="Z6" s="129">
        <v>0</v>
      </c>
      <c r="AA6" s="129">
        <v>0</v>
      </c>
      <c r="AB6" s="129">
        <v>0</v>
      </c>
    </row>
    <row r="7" spans="1:34" customFormat="1" x14ac:dyDescent="0.15">
      <c r="A7" s="161" t="s">
        <v>197</v>
      </c>
      <c r="B7" s="129">
        <v>0</v>
      </c>
      <c r="C7" s="129">
        <v>0</v>
      </c>
      <c r="D7" s="129">
        <v>0</v>
      </c>
      <c r="E7" s="129">
        <v>0</v>
      </c>
      <c r="F7" s="129">
        <v>0</v>
      </c>
      <c r="G7" s="129">
        <v>0</v>
      </c>
      <c r="H7" s="129">
        <v>0</v>
      </c>
      <c r="I7" s="129">
        <v>0.03</v>
      </c>
      <c r="J7" s="129">
        <v>0.03</v>
      </c>
      <c r="K7" s="129">
        <v>0.08</v>
      </c>
      <c r="L7" s="129">
        <v>0</v>
      </c>
      <c r="M7" s="129">
        <v>0</v>
      </c>
      <c r="N7" s="129">
        <v>0</v>
      </c>
      <c r="O7" s="129">
        <v>0</v>
      </c>
      <c r="P7" s="129">
        <v>0</v>
      </c>
      <c r="Q7" s="129">
        <v>0</v>
      </c>
      <c r="R7" s="129">
        <v>0.02</v>
      </c>
      <c r="S7" s="129">
        <v>0</v>
      </c>
      <c r="T7" s="129">
        <v>0</v>
      </c>
      <c r="U7" s="129">
        <v>0</v>
      </c>
      <c r="V7" s="129">
        <v>0</v>
      </c>
      <c r="W7" s="129">
        <v>0</v>
      </c>
      <c r="X7" s="129">
        <v>0</v>
      </c>
      <c r="Y7" s="129">
        <v>0</v>
      </c>
      <c r="Z7" s="129">
        <v>0</v>
      </c>
      <c r="AA7" s="129">
        <v>0</v>
      </c>
      <c r="AB7" s="129">
        <v>0</v>
      </c>
    </row>
    <row r="8" spans="1:34" customFormat="1" x14ac:dyDescent="0.15">
      <c r="A8" s="161" t="s">
        <v>198</v>
      </c>
      <c r="B8" s="129">
        <v>0</v>
      </c>
      <c r="C8" s="129">
        <v>0</v>
      </c>
      <c r="D8" s="129">
        <v>0</v>
      </c>
      <c r="E8" s="129">
        <v>0</v>
      </c>
      <c r="F8" s="129">
        <v>0</v>
      </c>
      <c r="G8" s="129">
        <v>0</v>
      </c>
      <c r="H8" s="129">
        <v>0</v>
      </c>
      <c r="I8" s="129">
        <v>0.01</v>
      </c>
      <c r="J8" s="129">
        <v>0</v>
      </c>
      <c r="K8" s="129">
        <v>0</v>
      </c>
      <c r="L8" s="129">
        <v>0</v>
      </c>
      <c r="M8" s="129">
        <v>0</v>
      </c>
      <c r="N8" s="129">
        <v>0</v>
      </c>
      <c r="O8" s="129">
        <v>0</v>
      </c>
      <c r="P8" s="129">
        <v>0</v>
      </c>
      <c r="Q8" s="129">
        <v>0</v>
      </c>
      <c r="R8" s="129">
        <v>0.01</v>
      </c>
      <c r="S8" s="129">
        <v>0</v>
      </c>
      <c r="T8" s="129">
        <v>0</v>
      </c>
      <c r="U8" s="129">
        <v>0</v>
      </c>
      <c r="V8" s="129">
        <v>0</v>
      </c>
      <c r="W8" s="129">
        <v>0</v>
      </c>
      <c r="X8" s="129">
        <v>0</v>
      </c>
      <c r="Y8" s="129">
        <v>0</v>
      </c>
      <c r="Z8" s="129">
        <v>0</v>
      </c>
      <c r="AA8" s="129">
        <v>0</v>
      </c>
      <c r="AB8" s="129">
        <v>0</v>
      </c>
    </row>
    <row r="9" spans="1:34" customFormat="1" x14ac:dyDescent="0.15">
      <c r="A9" s="161" t="s">
        <v>199</v>
      </c>
      <c r="B9" s="129">
        <v>0</v>
      </c>
      <c r="C9" s="129">
        <v>0</v>
      </c>
      <c r="D9" s="129">
        <v>0</v>
      </c>
      <c r="E9" s="129">
        <v>0</v>
      </c>
      <c r="F9" s="129">
        <v>0</v>
      </c>
      <c r="G9" s="129">
        <v>0</v>
      </c>
      <c r="H9" s="129">
        <v>0</v>
      </c>
      <c r="I9" s="129">
        <v>0</v>
      </c>
      <c r="J9" s="129">
        <v>0</v>
      </c>
      <c r="K9" s="129">
        <v>0</v>
      </c>
      <c r="L9" s="129">
        <v>0</v>
      </c>
      <c r="M9" s="129">
        <v>0</v>
      </c>
      <c r="N9" s="129">
        <v>0</v>
      </c>
      <c r="O9" s="129">
        <v>0</v>
      </c>
      <c r="P9" s="129">
        <v>0</v>
      </c>
      <c r="Q9" s="129">
        <v>0</v>
      </c>
      <c r="R9" s="129">
        <v>0</v>
      </c>
      <c r="S9" s="129">
        <v>0</v>
      </c>
      <c r="T9" s="129">
        <v>0</v>
      </c>
      <c r="U9" s="129">
        <v>0</v>
      </c>
      <c r="V9" s="129">
        <v>0</v>
      </c>
      <c r="W9" s="129">
        <v>0</v>
      </c>
      <c r="X9" s="129">
        <v>0</v>
      </c>
      <c r="Y9" s="129">
        <v>0</v>
      </c>
      <c r="Z9" s="129">
        <v>0</v>
      </c>
      <c r="AA9" s="129">
        <v>0</v>
      </c>
      <c r="AB9" s="129">
        <v>0</v>
      </c>
    </row>
    <row r="10" spans="1:34" customFormat="1" x14ac:dyDescent="0.15">
      <c r="A10" s="161" t="s">
        <v>200</v>
      </c>
      <c r="B10" s="129">
        <v>0</v>
      </c>
      <c r="C10" s="129">
        <v>0</v>
      </c>
      <c r="D10" s="129">
        <v>0</v>
      </c>
      <c r="E10" s="129">
        <v>0</v>
      </c>
      <c r="F10" s="129">
        <v>0</v>
      </c>
      <c r="G10" s="129">
        <v>0</v>
      </c>
      <c r="H10" s="129">
        <v>0</v>
      </c>
      <c r="I10" s="129">
        <v>0</v>
      </c>
      <c r="J10" s="129">
        <v>0</v>
      </c>
      <c r="K10" s="129">
        <v>0</v>
      </c>
      <c r="L10" s="129">
        <v>0</v>
      </c>
      <c r="M10" s="129">
        <v>0</v>
      </c>
      <c r="N10" s="129">
        <v>0</v>
      </c>
      <c r="O10" s="129">
        <v>0.02</v>
      </c>
      <c r="P10" s="129">
        <v>0</v>
      </c>
      <c r="Q10" s="129">
        <v>0</v>
      </c>
      <c r="R10" s="129">
        <v>0.03</v>
      </c>
      <c r="S10" s="129">
        <v>0</v>
      </c>
      <c r="T10" s="129">
        <v>0</v>
      </c>
      <c r="U10" s="129">
        <v>0</v>
      </c>
      <c r="V10" s="129">
        <v>0</v>
      </c>
      <c r="W10" s="129">
        <v>0</v>
      </c>
      <c r="X10" s="129">
        <v>0</v>
      </c>
      <c r="Y10" s="129">
        <v>0</v>
      </c>
      <c r="Z10" s="129">
        <v>0</v>
      </c>
      <c r="AA10" s="129">
        <v>0</v>
      </c>
      <c r="AB10" s="129">
        <v>0</v>
      </c>
    </row>
    <row r="11" spans="1:34" customFormat="1" x14ac:dyDescent="0.15">
      <c r="A11" s="161" t="s">
        <v>201</v>
      </c>
      <c r="B11" s="129">
        <v>0</v>
      </c>
      <c r="C11" s="129">
        <v>0</v>
      </c>
      <c r="D11" s="129">
        <v>0</v>
      </c>
      <c r="E11" s="129">
        <v>0</v>
      </c>
      <c r="F11" s="129">
        <v>0</v>
      </c>
      <c r="G11" s="129">
        <v>0</v>
      </c>
      <c r="H11" s="129">
        <v>0</v>
      </c>
      <c r="I11" s="129">
        <v>0.03</v>
      </c>
      <c r="J11" s="129">
        <v>0</v>
      </c>
      <c r="K11" s="129">
        <v>0</v>
      </c>
      <c r="L11" s="129">
        <v>0</v>
      </c>
      <c r="M11" s="129">
        <v>0</v>
      </c>
      <c r="N11" s="129">
        <v>0</v>
      </c>
      <c r="O11" s="129">
        <v>0</v>
      </c>
      <c r="P11" s="129">
        <v>0</v>
      </c>
      <c r="Q11" s="129">
        <v>0</v>
      </c>
      <c r="R11" s="129">
        <v>0</v>
      </c>
      <c r="S11" s="129">
        <v>0</v>
      </c>
      <c r="T11" s="129">
        <v>0</v>
      </c>
      <c r="U11" s="129">
        <v>0</v>
      </c>
      <c r="V11" s="129">
        <v>0</v>
      </c>
      <c r="W11" s="129">
        <v>0</v>
      </c>
      <c r="X11" s="129">
        <v>0</v>
      </c>
      <c r="Y11" s="129">
        <v>0</v>
      </c>
      <c r="Z11" s="129">
        <v>0</v>
      </c>
      <c r="AA11" s="129">
        <v>0</v>
      </c>
      <c r="AB11" s="129">
        <v>0</v>
      </c>
    </row>
    <row r="12" spans="1:34" customFormat="1" x14ac:dyDescent="0.15">
      <c r="A12" s="161" t="s">
        <v>202</v>
      </c>
      <c r="B12" s="129">
        <v>0</v>
      </c>
      <c r="C12" s="129">
        <v>0</v>
      </c>
      <c r="D12" s="129">
        <v>0</v>
      </c>
      <c r="E12" s="129">
        <v>0</v>
      </c>
      <c r="F12" s="129">
        <v>0</v>
      </c>
      <c r="G12" s="129">
        <v>0</v>
      </c>
      <c r="H12" s="129">
        <v>0</v>
      </c>
      <c r="I12" s="129">
        <v>0.03</v>
      </c>
      <c r="J12" s="129">
        <v>0.06</v>
      </c>
      <c r="K12" s="129">
        <v>0.08</v>
      </c>
      <c r="L12" s="129">
        <v>0</v>
      </c>
      <c r="M12" s="129">
        <v>0</v>
      </c>
      <c r="N12" s="129">
        <v>0</v>
      </c>
      <c r="O12" s="129">
        <v>0.08</v>
      </c>
      <c r="P12" s="129">
        <v>0</v>
      </c>
      <c r="Q12" s="129">
        <v>0</v>
      </c>
      <c r="R12" s="129">
        <v>0</v>
      </c>
      <c r="S12" s="129">
        <v>0</v>
      </c>
      <c r="T12" s="129">
        <v>0</v>
      </c>
      <c r="U12" s="129">
        <v>0</v>
      </c>
      <c r="V12" s="129">
        <v>0</v>
      </c>
      <c r="W12" s="129">
        <v>0</v>
      </c>
      <c r="X12" s="129">
        <v>0</v>
      </c>
      <c r="Y12" s="129">
        <v>0</v>
      </c>
      <c r="Z12" s="129">
        <v>0</v>
      </c>
      <c r="AA12" s="129">
        <v>0</v>
      </c>
      <c r="AB12" s="129">
        <v>0</v>
      </c>
    </row>
    <row r="13" spans="1:34" customFormat="1" x14ac:dyDescent="0.15">
      <c r="A13" s="161" t="s">
        <v>203</v>
      </c>
      <c r="B13" s="129">
        <v>0</v>
      </c>
      <c r="C13" s="129">
        <v>0</v>
      </c>
      <c r="D13" s="129">
        <v>0</v>
      </c>
      <c r="E13" s="129">
        <v>0</v>
      </c>
      <c r="F13" s="129">
        <v>0</v>
      </c>
      <c r="G13" s="129">
        <v>0</v>
      </c>
      <c r="H13" s="129">
        <v>0</v>
      </c>
      <c r="I13" s="129">
        <v>0.06</v>
      </c>
      <c r="J13" s="129">
        <v>0.03</v>
      </c>
      <c r="K13" s="129">
        <v>0</v>
      </c>
      <c r="L13" s="129">
        <v>0</v>
      </c>
      <c r="M13" s="129">
        <v>0</v>
      </c>
      <c r="N13" s="129">
        <v>0</v>
      </c>
      <c r="O13" s="129">
        <v>0.03</v>
      </c>
      <c r="P13" s="129">
        <v>0</v>
      </c>
      <c r="Q13" s="129">
        <v>0</v>
      </c>
      <c r="R13" s="129">
        <v>0.05</v>
      </c>
      <c r="S13" s="129">
        <v>0</v>
      </c>
      <c r="T13" s="129">
        <v>0</v>
      </c>
      <c r="U13" s="129">
        <v>0</v>
      </c>
      <c r="V13" s="129">
        <v>0</v>
      </c>
      <c r="W13" s="129">
        <v>0</v>
      </c>
      <c r="X13" s="129">
        <v>0</v>
      </c>
      <c r="Y13" s="129">
        <v>0</v>
      </c>
      <c r="Z13" s="129">
        <v>0</v>
      </c>
      <c r="AA13" s="129">
        <v>0</v>
      </c>
      <c r="AB13" s="129">
        <v>0</v>
      </c>
    </row>
    <row r="14" spans="1:34" customFormat="1" x14ac:dyDescent="0.15">
      <c r="A14" s="161" t="s">
        <v>204</v>
      </c>
      <c r="B14" s="129">
        <v>0</v>
      </c>
      <c r="C14" s="129">
        <v>0</v>
      </c>
      <c r="D14" s="129">
        <v>0</v>
      </c>
      <c r="E14" s="129">
        <v>0</v>
      </c>
      <c r="F14" s="129">
        <v>0</v>
      </c>
      <c r="G14" s="129">
        <v>0</v>
      </c>
      <c r="H14" s="129">
        <v>0</v>
      </c>
      <c r="I14" s="129">
        <v>0</v>
      </c>
      <c r="J14" s="129">
        <v>0</v>
      </c>
      <c r="K14" s="129">
        <v>0</v>
      </c>
      <c r="L14" s="129">
        <v>0</v>
      </c>
      <c r="M14" s="129">
        <v>0</v>
      </c>
      <c r="N14" s="129">
        <v>0</v>
      </c>
      <c r="O14" s="129">
        <v>0</v>
      </c>
      <c r="P14" s="129">
        <v>0</v>
      </c>
      <c r="Q14" s="129">
        <v>0</v>
      </c>
      <c r="R14" s="129">
        <v>0</v>
      </c>
      <c r="S14" s="129">
        <v>0</v>
      </c>
      <c r="T14" s="129">
        <v>0</v>
      </c>
      <c r="U14" s="129">
        <v>0</v>
      </c>
      <c r="V14" s="129">
        <v>0</v>
      </c>
      <c r="W14" s="129">
        <v>0</v>
      </c>
      <c r="X14" s="129">
        <v>0</v>
      </c>
      <c r="Y14" s="129">
        <v>0</v>
      </c>
      <c r="Z14" s="129">
        <v>0</v>
      </c>
      <c r="AA14" s="129">
        <v>0</v>
      </c>
      <c r="AB14" s="129">
        <v>0</v>
      </c>
    </row>
    <row r="15" spans="1:34" customFormat="1" x14ac:dyDescent="0.15">
      <c r="A15" s="161" t="s">
        <v>205</v>
      </c>
      <c r="B15" s="129">
        <v>0</v>
      </c>
      <c r="C15" s="129">
        <v>0</v>
      </c>
      <c r="D15" s="129">
        <v>0</v>
      </c>
      <c r="E15" s="129">
        <v>0</v>
      </c>
      <c r="F15" s="129">
        <v>0</v>
      </c>
      <c r="G15" s="129">
        <v>0</v>
      </c>
      <c r="H15" s="129">
        <v>0</v>
      </c>
      <c r="I15" s="129">
        <v>0.09</v>
      </c>
      <c r="J15" s="129">
        <v>0.06</v>
      </c>
      <c r="K15" s="129">
        <v>0</v>
      </c>
      <c r="L15" s="129">
        <v>0</v>
      </c>
      <c r="M15" s="129">
        <v>0</v>
      </c>
      <c r="N15" s="129">
        <v>0</v>
      </c>
      <c r="O15" s="129">
        <v>0.05</v>
      </c>
      <c r="P15" s="129">
        <v>0</v>
      </c>
      <c r="Q15" s="129">
        <v>0</v>
      </c>
      <c r="R15" s="129">
        <v>0.2</v>
      </c>
      <c r="S15" s="129">
        <v>0</v>
      </c>
      <c r="T15" s="129">
        <v>0</v>
      </c>
      <c r="U15" s="129">
        <v>0</v>
      </c>
      <c r="V15" s="129">
        <v>0</v>
      </c>
      <c r="W15" s="129">
        <v>0</v>
      </c>
      <c r="X15" s="129">
        <v>0</v>
      </c>
      <c r="Y15" s="129">
        <v>0</v>
      </c>
      <c r="Z15" s="129">
        <v>0</v>
      </c>
      <c r="AA15" s="129">
        <v>0</v>
      </c>
      <c r="AB15" s="129">
        <v>0</v>
      </c>
    </row>
    <row r="16" spans="1:34" customFormat="1" x14ac:dyDescent="0.15">
      <c r="A16" s="161" t="s">
        <v>206</v>
      </c>
      <c r="B16" s="129">
        <v>0</v>
      </c>
      <c r="C16" s="129">
        <v>0</v>
      </c>
      <c r="D16" s="129">
        <v>0</v>
      </c>
      <c r="E16" s="129">
        <v>0</v>
      </c>
      <c r="F16" s="129">
        <v>0</v>
      </c>
      <c r="G16" s="129">
        <v>0</v>
      </c>
      <c r="H16" s="129">
        <v>0</v>
      </c>
      <c r="I16" s="129">
        <v>0</v>
      </c>
      <c r="J16" s="129">
        <v>0</v>
      </c>
      <c r="K16" s="129">
        <v>0</v>
      </c>
      <c r="L16" s="129">
        <v>0</v>
      </c>
      <c r="M16" s="129">
        <v>0</v>
      </c>
      <c r="N16" s="129">
        <v>0</v>
      </c>
      <c r="O16" s="129">
        <v>0</v>
      </c>
      <c r="P16" s="129">
        <v>0.09</v>
      </c>
      <c r="Q16" s="129">
        <v>0</v>
      </c>
      <c r="R16" s="129">
        <v>0.1</v>
      </c>
      <c r="S16" s="129">
        <v>0.14000000000000001</v>
      </c>
      <c r="T16" s="129">
        <v>0</v>
      </c>
      <c r="U16" s="129">
        <v>0</v>
      </c>
      <c r="V16" s="129">
        <v>0</v>
      </c>
      <c r="W16" s="129">
        <v>0</v>
      </c>
      <c r="X16" s="129">
        <v>0</v>
      </c>
      <c r="Y16" s="129">
        <v>0</v>
      </c>
      <c r="Z16" s="129">
        <v>0</v>
      </c>
      <c r="AA16" s="129">
        <v>0</v>
      </c>
      <c r="AB16" s="129">
        <v>0</v>
      </c>
    </row>
    <row r="17" spans="1:28" customFormat="1" x14ac:dyDescent="0.15">
      <c r="A17" s="161" t="s">
        <v>207</v>
      </c>
      <c r="B17" s="129">
        <v>0</v>
      </c>
      <c r="C17" s="129">
        <v>0</v>
      </c>
      <c r="D17" s="129">
        <v>0</v>
      </c>
      <c r="E17" s="129">
        <v>0</v>
      </c>
      <c r="F17" s="129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9">
        <v>0</v>
      </c>
      <c r="M17" s="129">
        <v>0</v>
      </c>
      <c r="N17" s="129">
        <v>0</v>
      </c>
      <c r="O17" s="129">
        <v>0.01</v>
      </c>
      <c r="P17" s="129">
        <v>0.01</v>
      </c>
      <c r="Q17" s="129">
        <v>0</v>
      </c>
      <c r="R17" s="129">
        <v>0.01</v>
      </c>
      <c r="S17" s="129">
        <v>0</v>
      </c>
      <c r="T17" s="129">
        <v>0</v>
      </c>
      <c r="U17" s="129">
        <v>0</v>
      </c>
      <c r="V17" s="129">
        <v>0</v>
      </c>
      <c r="W17" s="129">
        <v>0</v>
      </c>
      <c r="X17" s="129">
        <v>0</v>
      </c>
      <c r="Y17" s="129">
        <v>0</v>
      </c>
      <c r="Z17" s="129">
        <v>0</v>
      </c>
      <c r="AA17" s="129">
        <v>0</v>
      </c>
      <c r="AB17" s="129">
        <v>0</v>
      </c>
    </row>
    <row r="18" spans="1:28" customFormat="1" x14ac:dyDescent="0.15">
      <c r="A18" s="161" t="s">
        <v>208</v>
      </c>
      <c r="B18" s="129">
        <v>0</v>
      </c>
      <c r="C18" s="129">
        <v>0</v>
      </c>
      <c r="D18" s="129">
        <v>0</v>
      </c>
      <c r="E18" s="129">
        <v>0</v>
      </c>
      <c r="F18" s="129">
        <v>0</v>
      </c>
      <c r="G18" s="129">
        <v>0</v>
      </c>
      <c r="H18" s="129">
        <v>0</v>
      </c>
      <c r="I18" s="129">
        <v>0</v>
      </c>
      <c r="J18" s="129">
        <v>0.02</v>
      </c>
      <c r="K18" s="129">
        <v>0</v>
      </c>
      <c r="L18" s="129">
        <v>0</v>
      </c>
      <c r="M18" s="129">
        <v>0</v>
      </c>
      <c r="N18" s="129">
        <v>0</v>
      </c>
      <c r="O18" s="129">
        <v>0</v>
      </c>
      <c r="P18" s="129">
        <v>0.01</v>
      </c>
      <c r="Q18" s="129">
        <v>0</v>
      </c>
      <c r="R18" s="129">
        <v>0</v>
      </c>
      <c r="S18" s="129">
        <v>0</v>
      </c>
      <c r="T18" s="129">
        <v>0</v>
      </c>
      <c r="U18" s="129">
        <v>0</v>
      </c>
      <c r="V18" s="129">
        <v>0</v>
      </c>
      <c r="W18" s="129">
        <v>0</v>
      </c>
      <c r="X18" s="129">
        <v>0</v>
      </c>
      <c r="Y18" s="129">
        <v>0</v>
      </c>
      <c r="Z18" s="129">
        <v>0</v>
      </c>
      <c r="AA18" s="129">
        <v>0</v>
      </c>
      <c r="AB18" s="129">
        <v>0</v>
      </c>
    </row>
    <row r="19" spans="1:28" customFormat="1" x14ac:dyDescent="0.15">
      <c r="A19" s="161" t="s">
        <v>209</v>
      </c>
      <c r="B19" s="129">
        <v>0</v>
      </c>
      <c r="C19" s="129">
        <v>0</v>
      </c>
      <c r="D19" s="129">
        <v>0</v>
      </c>
      <c r="E19" s="129">
        <v>0</v>
      </c>
      <c r="F19" s="129">
        <v>0</v>
      </c>
      <c r="G19" s="129">
        <v>0</v>
      </c>
      <c r="H19" s="129">
        <v>0</v>
      </c>
      <c r="I19" s="129">
        <v>0</v>
      </c>
      <c r="J19" s="129">
        <v>0.01</v>
      </c>
      <c r="K19" s="129">
        <v>0</v>
      </c>
      <c r="L19" s="129">
        <v>0</v>
      </c>
      <c r="M19" s="129">
        <v>0</v>
      </c>
      <c r="N19" s="129">
        <v>0</v>
      </c>
      <c r="O19" s="129">
        <v>0</v>
      </c>
      <c r="P19" s="129">
        <v>0</v>
      </c>
      <c r="Q19" s="129">
        <v>0</v>
      </c>
      <c r="R19" s="129">
        <v>0</v>
      </c>
      <c r="S19" s="129">
        <v>0</v>
      </c>
      <c r="T19" s="129">
        <v>0</v>
      </c>
      <c r="U19" s="129">
        <v>0</v>
      </c>
      <c r="V19" s="129">
        <v>0</v>
      </c>
      <c r="W19" s="129">
        <v>0</v>
      </c>
      <c r="X19" s="129">
        <v>0</v>
      </c>
      <c r="Y19" s="129">
        <v>0</v>
      </c>
      <c r="Z19" s="129">
        <v>0</v>
      </c>
      <c r="AA19" s="129">
        <v>0</v>
      </c>
      <c r="AB19" s="129">
        <v>0</v>
      </c>
    </row>
    <row r="20" spans="1:28" customFormat="1" x14ac:dyDescent="0.15">
      <c r="A20" s="161" t="s">
        <v>210</v>
      </c>
      <c r="B20" s="129">
        <v>0</v>
      </c>
      <c r="C20" s="129">
        <v>0</v>
      </c>
      <c r="D20" s="129">
        <v>0</v>
      </c>
      <c r="E20" s="129">
        <v>0</v>
      </c>
      <c r="F20" s="129">
        <v>0</v>
      </c>
      <c r="G20" s="129">
        <v>0</v>
      </c>
      <c r="H20" s="129">
        <v>0</v>
      </c>
      <c r="I20" s="129">
        <v>0.25</v>
      </c>
      <c r="J20" s="129">
        <v>0.11</v>
      </c>
      <c r="K20" s="129">
        <v>0.04</v>
      </c>
      <c r="L20" s="129">
        <v>0</v>
      </c>
      <c r="M20" s="129">
        <v>0</v>
      </c>
      <c r="N20" s="129">
        <v>0</v>
      </c>
      <c r="O20" s="129">
        <v>0.08</v>
      </c>
      <c r="P20" s="129">
        <v>0.22</v>
      </c>
      <c r="Q20" s="129">
        <v>0</v>
      </c>
      <c r="R20" s="129">
        <v>0.2</v>
      </c>
      <c r="S20" s="129">
        <v>0</v>
      </c>
      <c r="T20" s="129">
        <v>0</v>
      </c>
      <c r="U20" s="129">
        <v>0</v>
      </c>
      <c r="V20" s="129">
        <v>0</v>
      </c>
      <c r="W20" s="129">
        <v>0</v>
      </c>
      <c r="X20" s="129">
        <v>0</v>
      </c>
      <c r="Y20" s="129">
        <v>0</v>
      </c>
      <c r="Z20" s="129">
        <v>0</v>
      </c>
      <c r="AA20" s="129">
        <v>0</v>
      </c>
      <c r="AB20" s="129">
        <v>0</v>
      </c>
    </row>
    <row r="21" spans="1:28" customFormat="1" x14ac:dyDescent="0.15">
      <c r="A21" s="161" t="s">
        <v>211</v>
      </c>
      <c r="B21" s="129">
        <v>0</v>
      </c>
      <c r="C21" s="129">
        <v>0</v>
      </c>
      <c r="D21" s="129">
        <v>0</v>
      </c>
      <c r="E21" s="129">
        <v>0</v>
      </c>
      <c r="F21" s="129">
        <v>0</v>
      </c>
      <c r="G21" s="129">
        <v>0</v>
      </c>
      <c r="H21" s="129">
        <v>0</v>
      </c>
      <c r="I21" s="129">
        <v>0</v>
      </c>
      <c r="J21" s="129">
        <v>0</v>
      </c>
      <c r="K21" s="129">
        <v>0</v>
      </c>
      <c r="L21" s="129">
        <v>0.06</v>
      </c>
      <c r="M21" s="129">
        <v>0</v>
      </c>
      <c r="N21" s="129">
        <v>0</v>
      </c>
      <c r="O21" s="129">
        <v>0</v>
      </c>
      <c r="P21" s="129">
        <v>0</v>
      </c>
      <c r="Q21" s="129">
        <v>0</v>
      </c>
      <c r="R21" s="129">
        <v>0</v>
      </c>
      <c r="S21" s="129">
        <v>0</v>
      </c>
      <c r="T21" s="129">
        <v>0</v>
      </c>
      <c r="U21" s="129">
        <v>0</v>
      </c>
      <c r="V21" s="129">
        <v>0</v>
      </c>
      <c r="W21" s="129">
        <v>0</v>
      </c>
      <c r="X21" s="129">
        <v>0</v>
      </c>
      <c r="Y21" s="129">
        <v>0</v>
      </c>
      <c r="Z21" s="129">
        <v>0</v>
      </c>
      <c r="AA21" s="129">
        <v>0</v>
      </c>
      <c r="AB21" s="129">
        <v>0</v>
      </c>
    </row>
    <row r="22" spans="1:28" customFormat="1" x14ac:dyDescent="0.15">
      <c r="A22" s="161" t="s">
        <v>212</v>
      </c>
      <c r="B22" s="129">
        <v>0</v>
      </c>
      <c r="C22" s="129">
        <v>0</v>
      </c>
      <c r="D22" s="129">
        <v>0</v>
      </c>
      <c r="E22" s="129">
        <v>0</v>
      </c>
      <c r="F22" s="129">
        <v>0</v>
      </c>
      <c r="G22" s="129">
        <v>0</v>
      </c>
      <c r="H22" s="129">
        <v>0</v>
      </c>
      <c r="I22" s="129">
        <v>0</v>
      </c>
      <c r="J22" s="129">
        <v>0</v>
      </c>
      <c r="K22" s="129">
        <v>0</v>
      </c>
      <c r="L22" s="129">
        <v>0</v>
      </c>
      <c r="M22" s="129">
        <v>0</v>
      </c>
      <c r="N22" s="129">
        <v>0.35</v>
      </c>
      <c r="O22" s="129">
        <v>0</v>
      </c>
      <c r="P22" s="129">
        <v>0</v>
      </c>
      <c r="Q22" s="129">
        <v>0</v>
      </c>
      <c r="R22" s="129">
        <v>0</v>
      </c>
      <c r="S22" s="129">
        <v>0</v>
      </c>
      <c r="T22" s="129">
        <v>0</v>
      </c>
      <c r="U22" s="129">
        <v>0.25</v>
      </c>
      <c r="V22" s="129">
        <v>0</v>
      </c>
      <c r="W22" s="129">
        <v>0</v>
      </c>
      <c r="X22" s="129">
        <v>0</v>
      </c>
      <c r="Y22" s="129">
        <v>0</v>
      </c>
      <c r="Z22" s="129">
        <v>0</v>
      </c>
      <c r="AA22" s="129">
        <v>0</v>
      </c>
      <c r="AB22" s="129">
        <v>0</v>
      </c>
    </row>
    <row r="23" spans="1:28" customFormat="1" x14ac:dyDescent="0.15">
      <c r="A23" s="161" t="s">
        <v>213</v>
      </c>
      <c r="B23" s="129">
        <v>0</v>
      </c>
      <c r="C23" s="129">
        <v>0</v>
      </c>
      <c r="D23" s="129">
        <v>0.05</v>
      </c>
      <c r="E23" s="129">
        <v>0</v>
      </c>
      <c r="F23" s="129">
        <v>0</v>
      </c>
      <c r="G23" s="129">
        <v>0.02</v>
      </c>
      <c r="H23" s="129">
        <v>0.10000000000000002</v>
      </c>
      <c r="I23" s="129">
        <v>0</v>
      </c>
      <c r="J23" s="129">
        <v>0.2</v>
      </c>
      <c r="K23" s="129">
        <v>0</v>
      </c>
      <c r="L23" s="129">
        <v>0</v>
      </c>
      <c r="M23" s="129">
        <v>0.1</v>
      </c>
      <c r="N23" s="129">
        <v>0</v>
      </c>
      <c r="O23" s="129">
        <v>0.2</v>
      </c>
      <c r="P23" s="129">
        <v>7.0000000000000007E-2</v>
      </c>
      <c r="Q23" s="129">
        <v>0.10000000000000002</v>
      </c>
      <c r="R23" s="129">
        <v>0.04</v>
      </c>
      <c r="S23" s="129">
        <v>0</v>
      </c>
      <c r="T23" s="129">
        <v>0</v>
      </c>
      <c r="U23" s="129">
        <v>0.1</v>
      </c>
      <c r="V23" s="129">
        <v>0</v>
      </c>
      <c r="W23" s="129">
        <v>0.02</v>
      </c>
      <c r="X23" s="129">
        <v>0</v>
      </c>
      <c r="Y23" s="129">
        <v>0</v>
      </c>
      <c r="Z23" s="129">
        <v>0</v>
      </c>
      <c r="AA23" s="129">
        <v>0</v>
      </c>
      <c r="AB23" s="129">
        <v>0</v>
      </c>
    </row>
    <row r="24" spans="1:28" customFormat="1" x14ac:dyDescent="0.15">
      <c r="A24" s="161" t="s">
        <v>214</v>
      </c>
      <c r="B24" s="129">
        <v>0</v>
      </c>
      <c r="C24" s="129">
        <v>0</v>
      </c>
      <c r="D24" s="129">
        <v>0</v>
      </c>
      <c r="E24" s="129">
        <v>0</v>
      </c>
      <c r="F24" s="129">
        <v>0</v>
      </c>
      <c r="G24" s="129">
        <v>0</v>
      </c>
      <c r="H24" s="129">
        <v>0</v>
      </c>
      <c r="I24" s="129">
        <v>0.5</v>
      </c>
      <c r="J24" s="129">
        <v>0.45</v>
      </c>
      <c r="K24" s="129">
        <v>0.74</v>
      </c>
      <c r="L24" s="129">
        <v>0.2</v>
      </c>
      <c r="M24" s="129">
        <v>0.7</v>
      </c>
      <c r="N24" s="129">
        <v>0</v>
      </c>
      <c r="O24" s="129">
        <v>0.5</v>
      </c>
      <c r="P24" s="129">
        <v>0.6</v>
      </c>
      <c r="Q24" s="129">
        <v>0.10000000000000002</v>
      </c>
      <c r="R24" s="129">
        <v>0.2</v>
      </c>
      <c r="S24" s="129">
        <v>7.0000000000000007E-2</v>
      </c>
      <c r="T24" s="129">
        <v>0.42</v>
      </c>
      <c r="U24" s="129">
        <v>0</v>
      </c>
      <c r="V24" s="129">
        <v>0</v>
      </c>
      <c r="W24" s="129">
        <v>0</v>
      </c>
      <c r="X24" s="129">
        <v>0.1</v>
      </c>
      <c r="Y24" s="129">
        <v>0</v>
      </c>
      <c r="Z24" s="129">
        <v>0</v>
      </c>
      <c r="AA24" s="129">
        <v>0</v>
      </c>
      <c r="AB24" s="129">
        <v>0</v>
      </c>
    </row>
    <row r="25" spans="1:28" customFormat="1" x14ac:dyDescent="0.15">
      <c r="A25" s="161" t="s">
        <v>215</v>
      </c>
      <c r="B25" s="129">
        <v>0</v>
      </c>
      <c r="C25" s="129">
        <v>0</v>
      </c>
      <c r="D25" s="129">
        <v>0</v>
      </c>
      <c r="E25" s="129">
        <v>0</v>
      </c>
      <c r="F25" s="129">
        <v>0</v>
      </c>
      <c r="G25" s="129">
        <v>0</v>
      </c>
      <c r="H25" s="129">
        <v>0</v>
      </c>
      <c r="I25" s="129">
        <v>0</v>
      </c>
      <c r="J25" s="129">
        <v>0.03</v>
      </c>
      <c r="K25" s="129">
        <v>0</v>
      </c>
      <c r="L25" s="129">
        <v>0.03</v>
      </c>
      <c r="M25" s="129">
        <v>0</v>
      </c>
      <c r="N25" s="129">
        <v>0</v>
      </c>
      <c r="O25" s="129">
        <v>0.03</v>
      </c>
      <c r="P25" s="129">
        <v>0</v>
      </c>
      <c r="Q25" s="129">
        <v>0</v>
      </c>
      <c r="R25" s="129">
        <v>0.02</v>
      </c>
      <c r="S25" s="129">
        <v>0</v>
      </c>
      <c r="T25" s="129">
        <v>0.04</v>
      </c>
      <c r="U25" s="129">
        <v>0</v>
      </c>
      <c r="V25" s="129">
        <v>0</v>
      </c>
      <c r="W25" s="129">
        <v>0</v>
      </c>
      <c r="X25" s="129">
        <v>0.02</v>
      </c>
      <c r="Y25" s="129">
        <v>0</v>
      </c>
      <c r="Z25" s="129">
        <v>0</v>
      </c>
      <c r="AA25" s="129">
        <v>0</v>
      </c>
      <c r="AB25" s="129">
        <v>0</v>
      </c>
    </row>
    <row r="26" spans="1:28" customFormat="1" x14ac:dyDescent="0.15">
      <c r="A26" s="161" t="s">
        <v>216</v>
      </c>
      <c r="B26" s="129">
        <v>0</v>
      </c>
      <c r="C26" s="129">
        <v>0</v>
      </c>
      <c r="D26" s="129">
        <v>0.02</v>
      </c>
      <c r="E26" s="129">
        <v>0</v>
      </c>
      <c r="F26" s="129">
        <v>0</v>
      </c>
      <c r="G26" s="129">
        <v>0</v>
      </c>
      <c r="H26" s="129">
        <v>0</v>
      </c>
      <c r="I26" s="129">
        <v>0</v>
      </c>
      <c r="J26" s="129">
        <v>0</v>
      </c>
      <c r="K26" s="129">
        <v>0</v>
      </c>
      <c r="L26" s="129">
        <v>0</v>
      </c>
      <c r="M26" s="129">
        <v>0</v>
      </c>
      <c r="N26" s="129">
        <v>0</v>
      </c>
      <c r="O26" s="129">
        <v>0</v>
      </c>
      <c r="P26" s="129">
        <v>0</v>
      </c>
      <c r="Q26" s="129">
        <v>0</v>
      </c>
      <c r="R26" s="129">
        <v>0</v>
      </c>
      <c r="S26" s="129">
        <v>0</v>
      </c>
      <c r="T26" s="129">
        <v>0</v>
      </c>
      <c r="U26" s="129">
        <v>0</v>
      </c>
      <c r="V26" s="129">
        <v>0</v>
      </c>
      <c r="W26" s="129">
        <v>0</v>
      </c>
      <c r="X26" s="129">
        <v>0</v>
      </c>
      <c r="Y26" s="129">
        <v>0.04</v>
      </c>
      <c r="Z26" s="129">
        <v>0</v>
      </c>
      <c r="AA26" s="129">
        <v>0</v>
      </c>
      <c r="AB26" s="129">
        <v>0</v>
      </c>
    </row>
    <row r="27" spans="1:28" customFormat="1" x14ac:dyDescent="0.15">
      <c r="A27" s="161" t="s">
        <v>217</v>
      </c>
      <c r="B27" s="129">
        <v>0</v>
      </c>
      <c r="C27" s="129">
        <v>0</v>
      </c>
      <c r="D27" s="129">
        <v>0.93</v>
      </c>
      <c r="E27" s="129">
        <v>1</v>
      </c>
      <c r="F27" s="129">
        <v>0.05</v>
      </c>
      <c r="G27" s="129">
        <v>0.04</v>
      </c>
      <c r="H27" s="129">
        <v>0.10000000000000002</v>
      </c>
      <c r="I27" s="129">
        <v>0</v>
      </c>
      <c r="J27" s="129">
        <v>0</v>
      </c>
      <c r="K27" s="129">
        <v>0.06</v>
      </c>
      <c r="L27" s="129">
        <v>0</v>
      </c>
      <c r="M27" s="129">
        <v>0.15</v>
      </c>
      <c r="N27" s="129">
        <v>0</v>
      </c>
      <c r="O27" s="129">
        <v>0</v>
      </c>
      <c r="P27" s="129">
        <v>0</v>
      </c>
      <c r="Q27" s="129">
        <v>0.10000000000000002</v>
      </c>
      <c r="R27" s="129">
        <v>0.12</v>
      </c>
      <c r="S27" s="129">
        <v>0.03</v>
      </c>
      <c r="T27" s="129">
        <v>0.25</v>
      </c>
      <c r="U27" s="129">
        <v>0.25</v>
      </c>
      <c r="V27" s="129">
        <v>0</v>
      </c>
      <c r="W27" s="129">
        <v>0.88</v>
      </c>
      <c r="X27" s="129">
        <v>0.38</v>
      </c>
      <c r="Y27" s="129">
        <v>0.46</v>
      </c>
      <c r="Z27" s="129">
        <v>0</v>
      </c>
      <c r="AA27" s="129">
        <v>0</v>
      </c>
      <c r="AB27" s="129">
        <v>0</v>
      </c>
    </row>
    <row r="28" spans="1:28" customFormat="1" x14ac:dyDescent="0.15">
      <c r="A28" s="161" t="s">
        <v>218</v>
      </c>
      <c r="B28" s="129">
        <v>0</v>
      </c>
      <c r="C28" s="129">
        <v>0</v>
      </c>
      <c r="D28" s="129">
        <v>0</v>
      </c>
      <c r="E28" s="129">
        <v>0</v>
      </c>
      <c r="F28" s="129">
        <v>0</v>
      </c>
      <c r="G28" s="129">
        <v>0</v>
      </c>
      <c r="H28" s="129">
        <v>0</v>
      </c>
      <c r="I28" s="129">
        <v>0</v>
      </c>
      <c r="J28" s="129">
        <v>0</v>
      </c>
      <c r="K28" s="129">
        <v>0</v>
      </c>
      <c r="L28" s="129">
        <v>0</v>
      </c>
      <c r="M28" s="129">
        <v>0</v>
      </c>
      <c r="N28" s="129">
        <v>0</v>
      </c>
      <c r="O28" s="129">
        <v>0</v>
      </c>
      <c r="P28" s="129">
        <v>0</v>
      </c>
      <c r="Q28" s="129">
        <v>0</v>
      </c>
      <c r="R28" s="129">
        <v>0</v>
      </c>
      <c r="S28" s="129">
        <v>0</v>
      </c>
      <c r="T28" s="129">
        <v>0</v>
      </c>
      <c r="U28" s="129">
        <v>0</v>
      </c>
      <c r="V28" s="129">
        <v>0</v>
      </c>
      <c r="W28" s="129">
        <v>0</v>
      </c>
      <c r="X28" s="129">
        <v>0</v>
      </c>
      <c r="Y28" s="129">
        <v>0</v>
      </c>
      <c r="Z28" s="129">
        <v>0</v>
      </c>
      <c r="AA28" s="129">
        <v>0</v>
      </c>
      <c r="AB28" s="129">
        <v>0</v>
      </c>
    </row>
    <row r="29" spans="1:28" customFormat="1" x14ac:dyDescent="0.15">
      <c r="A29" s="161" t="s">
        <v>220</v>
      </c>
      <c r="B29" s="129">
        <v>0</v>
      </c>
      <c r="C29" s="129">
        <v>0</v>
      </c>
      <c r="D29" s="129">
        <v>0</v>
      </c>
      <c r="E29" s="129">
        <v>0</v>
      </c>
      <c r="F29" s="129">
        <v>0</v>
      </c>
      <c r="G29" s="129">
        <v>0</v>
      </c>
      <c r="H29" s="129">
        <v>0</v>
      </c>
      <c r="I29" s="129">
        <v>0</v>
      </c>
      <c r="J29" s="129">
        <v>0</v>
      </c>
      <c r="K29" s="129">
        <v>0</v>
      </c>
      <c r="L29" s="129">
        <v>0</v>
      </c>
      <c r="M29" s="129">
        <v>0</v>
      </c>
      <c r="N29" s="129">
        <v>0</v>
      </c>
      <c r="O29" s="129">
        <v>0</v>
      </c>
      <c r="P29" s="129">
        <v>0</v>
      </c>
      <c r="Q29" s="129">
        <v>0</v>
      </c>
      <c r="R29" s="129">
        <v>0</v>
      </c>
      <c r="S29" s="129">
        <v>0</v>
      </c>
      <c r="T29" s="129">
        <v>0</v>
      </c>
      <c r="U29" s="129">
        <v>0</v>
      </c>
      <c r="V29" s="129">
        <v>0</v>
      </c>
      <c r="W29" s="129">
        <v>0</v>
      </c>
      <c r="X29" s="129">
        <v>0</v>
      </c>
      <c r="Y29" s="129">
        <v>0</v>
      </c>
      <c r="Z29" s="129">
        <v>0</v>
      </c>
      <c r="AA29" s="129">
        <v>0</v>
      </c>
      <c r="AB29" s="129">
        <v>0</v>
      </c>
    </row>
    <row r="30" spans="1:28" customFormat="1" x14ac:dyDescent="0.15"/>
    <row r="31" spans="1:28" customFormat="1" x14ac:dyDescent="0.15"/>
    <row r="32" spans="1:2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9" customWidth="1"/>
    <col min="5" max="6" width="2.33203125" style="98" bestFit="1" customWidth="1"/>
    <col min="7" max="8" width="8.83203125" style="99"/>
  </cols>
  <sheetData>
    <row r="1" spans="1:8" ht="70" x14ac:dyDescent="0.15">
      <c r="A1" s="5" t="s">
        <v>20</v>
      </c>
      <c r="B1" s="1" t="s">
        <v>0</v>
      </c>
      <c r="C1" s="164" t="s">
        <v>217</v>
      </c>
      <c r="D1" s="164" t="s">
        <v>218</v>
      </c>
      <c r="E1" s="164" t="s">
        <v>221</v>
      </c>
      <c r="F1" s="164" t="s">
        <v>222</v>
      </c>
      <c r="G1"/>
      <c r="H1"/>
    </row>
    <row r="2" spans="1:8" x14ac:dyDescent="0.15">
      <c r="A2">
        <v>1</v>
      </c>
      <c r="B2" s="163" t="s">
        <v>192</v>
      </c>
      <c r="C2" s="99">
        <v>1</v>
      </c>
      <c r="D2" s="99">
        <v>0</v>
      </c>
      <c r="E2" s="98">
        <v>0</v>
      </c>
      <c r="F2" s="98">
        <v>1</v>
      </c>
      <c r="G2"/>
      <c r="H2"/>
    </row>
    <row r="3" spans="1:8" x14ac:dyDescent="0.15">
      <c r="A3">
        <v>2</v>
      </c>
      <c r="B3" s="163" t="s">
        <v>193</v>
      </c>
      <c r="C3" s="99">
        <v>1</v>
      </c>
      <c r="D3" s="99">
        <v>0</v>
      </c>
      <c r="E3" s="98">
        <v>0</v>
      </c>
      <c r="F3" s="98">
        <v>1</v>
      </c>
      <c r="G3"/>
      <c r="H3"/>
    </row>
    <row r="4" spans="1:8" x14ac:dyDescent="0.15">
      <c r="A4">
        <v>3</v>
      </c>
      <c r="B4" s="163" t="s">
        <v>194</v>
      </c>
      <c r="C4" s="99">
        <v>1</v>
      </c>
      <c r="D4" s="99">
        <v>0</v>
      </c>
      <c r="E4" s="98">
        <v>0</v>
      </c>
      <c r="F4" s="98">
        <v>1</v>
      </c>
      <c r="G4"/>
      <c r="H4"/>
    </row>
    <row r="5" spans="1:8" x14ac:dyDescent="0.15">
      <c r="A5">
        <v>4</v>
      </c>
      <c r="B5" s="163" t="s">
        <v>195</v>
      </c>
      <c r="C5" s="99">
        <v>1</v>
      </c>
      <c r="D5" s="99">
        <v>0</v>
      </c>
      <c r="E5" s="98">
        <v>0</v>
      </c>
      <c r="F5" s="98">
        <v>1</v>
      </c>
      <c r="G5"/>
      <c r="H5"/>
    </row>
    <row r="6" spans="1:8" x14ac:dyDescent="0.15">
      <c r="A6">
        <v>5</v>
      </c>
      <c r="B6" s="163" t="s">
        <v>196</v>
      </c>
      <c r="C6" s="99">
        <v>1</v>
      </c>
      <c r="D6" s="99">
        <v>0</v>
      </c>
      <c r="E6" s="98">
        <v>0</v>
      </c>
      <c r="F6" s="98">
        <v>1</v>
      </c>
      <c r="G6"/>
      <c r="H6"/>
    </row>
    <row r="7" spans="1:8" x14ac:dyDescent="0.15">
      <c r="A7">
        <v>6</v>
      </c>
      <c r="B7" s="163" t="s">
        <v>197</v>
      </c>
      <c r="C7" s="99">
        <v>1</v>
      </c>
      <c r="D7" s="99">
        <v>0</v>
      </c>
      <c r="E7" s="98">
        <v>0</v>
      </c>
      <c r="F7" s="98">
        <v>1</v>
      </c>
      <c r="G7"/>
      <c r="H7"/>
    </row>
    <row r="8" spans="1:8" x14ac:dyDescent="0.15">
      <c r="A8">
        <v>7</v>
      </c>
      <c r="B8" s="163" t="s">
        <v>198</v>
      </c>
      <c r="C8" s="99">
        <v>1</v>
      </c>
      <c r="D8" s="99">
        <v>0</v>
      </c>
      <c r="E8" s="98">
        <v>0</v>
      </c>
      <c r="F8" s="98">
        <v>1</v>
      </c>
      <c r="G8"/>
      <c r="H8"/>
    </row>
    <row r="9" spans="1:8" x14ac:dyDescent="0.15">
      <c r="A9">
        <v>8</v>
      </c>
      <c r="B9" s="163" t="s">
        <v>199</v>
      </c>
      <c r="C9" s="99">
        <v>1</v>
      </c>
      <c r="D9" s="99">
        <v>0</v>
      </c>
      <c r="E9" s="98">
        <v>0</v>
      </c>
      <c r="F9" s="98">
        <v>1</v>
      </c>
      <c r="G9"/>
      <c r="H9"/>
    </row>
    <row r="10" spans="1:8" x14ac:dyDescent="0.15">
      <c r="A10">
        <v>9</v>
      </c>
      <c r="B10" s="163" t="s">
        <v>200</v>
      </c>
      <c r="C10" s="99">
        <v>1</v>
      </c>
      <c r="D10" s="99">
        <v>0</v>
      </c>
      <c r="E10" s="98">
        <v>0</v>
      </c>
      <c r="F10" s="98">
        <v>1</v>
      </c>
      <c r="G10"/>
      <c r="H10"/>
    </row>
    <row r="11" spans="1:8" x14ac:dyDescent="0.15">
      <c r="A11">
        <v>10</v>
      </c>
      <c r="B11" s="163" t="s">
        <v>201</v>
      </c>
      <c r="C11" s="99">
        <v>1</v>
      </c>
      <c r="D11" s="99">
        <v>0</v>
      </c>
      <c r="E11" s="98">
        <v>0</v>
      </c>
      <c r="F11" s="98">
        <v>1</v>
      </c>
      <c r="G11"/>
      <c r="H11"/>
    </row>
    <row r="12" spans="1:8" x14ac:dyDescent="0.15">
      <c r="A12">
        <v>11</v>
      </c>
      <c r="B12" s="163" t="s">
        <v>202</v>
      </c>
      <c r="C12" s="99">
        <v>1</v>
      </c>
      <c r="D12" s="99">
        <v>0</v>
      </c>
      <c r="E12" s="98">
        <v>0</v>
      </c>
      <c r="F12" s="98">
        <v>1</v>
      </c>
      <c r="G12"/>
      <c r="H12"/>
    </row>
    <row r="13" spans="1:8" x14ac:dyDescent="0.15">
      <c r="A13">
        <v>12</v>
      </c>
      <c r="B13" s="163" t="s">
        <v>203</v>
      </c>
      <c r="C13" s="99">
        <v>1</v>
      </c>
      <c r="D13" s="99">
        <v>0</v>
      </c>
      <c r="E13" s="98">
        <v>0</v>
      </c>
      <c r="F13" s="98">
        <v>1</v>
      </c>
      <c r="G13"/>
      <c r="H13"/>
    </row>
    <row r="14" spans="1:8" x14ac:dyDescent="0.15">
      <c r="A14">
        <v>13</v>
      </c>
      <c r="B14" s="163" t="s">
        <v>204</v>
      </c>
      <c r="C14" s="99">
        <v>1</v>
      </c>
      <c r="D14" s="99">
        <v>0</v>
      </c>
      <c r="E14" s="98">
        <v>0</v>
      </c>
      <c r="F14" s="98">
        <v>1</v>
      </c>
      <c r="G14"/>
      <c r="H14"/>
    </row>
    <row r="15" spans="1:8" x14ac:dyDescent="0.15">
      <c r="A15">
        <v>14</v>
      </c>
      <c r="B15" s="163" t="s">
        <v>205</v>
      </c>
      <c r="C15" s="99">
        <v>1</v>
      </c>
      <c r="D15" s="99">
        <v>0</v>
      </c>
      <c r="E15" s="98">
        <v>0</v>
      </c>
      <c r="F15" s="98">
        <v>1</v>
      </c>
      <c r="G15"/>
      <c r="H15"/>
    </row>
    <row r="16" spans="1:8" x14ac:dyDescent="0.15">
      <c r="A16">
        <v>15</v>
      </c>
      <c r="B16" s="163" t="s">
        <v>206</v>
      </c>
      <c r="C16" s="99">
        <v>1</v>
      </c>
      <c r="D16" s="99">
        <v>0</v>
      </c>
      <c r="E16" s="98">
        <v>0</v>
      </c>
      <c r="F16" s="98">
        <v>1</v>
      </c>
      <c r="G16"/>
      <c r="H16"/>
    </row>
    <row r="17" spans="1:8" ht="15" customHeight="1" x14ac:dyDescent="0.15">
      <c r="A17">
        <v>16</v>
      </c>
      <c r="B17" s="163" t="s">
        <v>207</v>
      </c>
      <c r="C17" s="99">
        <v>1</v>
      </c>
      <c r="D17" s="99">
        <v>0</v>
      </c>
      <c r="E17" s="98">
        <v>0</v>
      </c>
      <c r="F17" s="98">
        <v>1</v>
      </c>
      <c r="G17"/>
      <c r="H17"/>
    </row>
    <row r="18" spans="1:8" ht="15" customHeight="1" x14ac:dyDescent="0.15">
      <c r="A18">
        <v>17</v>
      </c>
      <c r="B18" s="163" t="s">
        <v>208</v>
      </c>
      <c r="C18" s="99">
        <v>1</v>
      </c>
      <c r="D18" s="99">
        <v>0</v>
      </c>
      <c r="E18" s="98">
        <v>0</v>
      </c>
      <c r="F18" s="98">
        <v>1</v>
      </c>
      <c r="G18"/>
      <c r="H18"/>
    </row>
    <row r="19" spans="1:8" ht="15" customHeight="1" x14ac:dyDescent="0.15">
      <c r="A19">
        <v>18</v>
      </c>
      <c r="B19" s="163" t="s">
        <v>209</v>
      </c>
      <c r="C19" s="99">
        <v>1</v>
      </c>
      <c r="D19" s="99">
        <v>0</v>
      </c>
      <c r="E19" s="98">
        <v>0</v>
      </c>
      <c r="F19" s="98">
        <v>1</v>
      </c>
      <c r="G19"/>
      <c r="H19"/>
    </row>
    <row r="20" spans="1:8" ht="15" customHeight="1" x14ac:dyDescent="0.15">
      <c r="A20">
        <v>19</v>
      </c>
      <c r="B20" s="163" t="s">
        <v>210</v>
      </c>
      <c r="C20" s="99">
        <v>1</v>
      </c>
      <c r="D20" s="99">
        <v>0</v>
      </c>
      <c r="E20" s="98">
        <v>0</v>
      </c>
      <c r="F20" s="98">
        <v>1</v>
      </c>
      <c r="G20"/>
      <c r="H20"/>
    </row>
    <row r="21" spans="1:8" ht="15" customHeight="1" x14ac:dyDescent="0.15">
      <c r="A21">
        <v>20</v>
      </c>
      <c r="B21" s="163" t="s">
        <v>211</v>
      </c>
      <c r="C21" s="99">
        <v>1</v>
      </c>
      <c r="D21" s="99">
        <v>0</v>
      </c>
      <c r="E21" s="98">
        <v>0</v>
      </c>
      <c r="F21" s="98">
        <v>1</v>
      </c>
      <c r="G21"/>
      <c r="H21"/>
    </row>
    <row r="22" spans="1:8" ht="15" customHeight="1" x14ac:dyDescent="0.15">
      <c r="A22">
        <v>21</v>
      </c>
      <c r="B22" s="163" t="s">
        <v>212</v>
      </c>
      <c r="C22" s="99">
        <v>1</v>
      </c>
      <c r="D22" s="99">
        <v>0</v>
      </c>
      <c r="E22" s="98">
        <v>0</v>
      </c>
      <c r="F22" s="98">
        <v>1</v>
      </c>
      <c r="G22"/>
      <c r="H22"/>
    </row>
    <row r="23" spans="1:8" ht="15" customHeight="1" x14ac:dyDescent="0.15">
      <c r="A23">
        <v>22</v>
      </c>
      <c r="B23" s="163" t="s">
        <v>213</v>
      </c>
      <c r="C23" s="99">
        <v>1</v>
      </c>
      <c r="D23" s="99">
        <v>0</v>
      </c>
      <c r="E23" s="98">
        <v>0</v>
      </c>
      <c r="F23" s="98">
        <v>1</v>
      </c>
      <c r="G23"/>
      <c r="H23"/>
    </row>
    <row r="24" spans="1:8" ht="15" customHeight="1" x14ac:dyDescent="0.15">
      <c r="A24">
        <v>23</v>
      </c>
      <c r="B24" s="163" t="s">
        <v>214</v>
      </c>
      <c r="C24" s="99">
        <v>1</v>
      </c>
      <c r="D24" s="99">
        <v>0</v>
      </c>
      <c r="E24" s="98">
        <v>0</v>
      </c>
      <c r="F24" s="98">
        <v>1</v>
      </c>
      <c r="G24"/>
      <c r="H24"/>
    </row>
    <row r="25" spans="1:8" ht="15" customHeight="1" x14ac:dyDescent="0.15">
      <c r="A25">
        <v>24</v>
      </c>
      <c r="B25" s="163" t="s">
        <v>215</v>
      </c>
      <c r="C25" s="99">
        <v>1</v>
      </c>
      <c r="D25" s="99">
        <v>0</v>
      </c>
      <c r="E25" s="98">
        <v>0</v>
      </c>
      <c r="F25" s="98">
        <v>1</v>
      </c>
      <c r="G25"/>
      <c r="H25"/>
    </row>
    <row r="26" spans="1:8" ht="15" customHeight="1" x14ac:dyDescent="0.15">
      <c r="A26">
        <v>25</v>
      </c>
      <c r="B26" s="163" t="s">
        <v>216</v>
      </c>
      <c r="C26" s="99">
        <v>1</v>
      </c>
      <c r="D26" s="99">
        <v>0</v>
      </c>
      <c r="E26" s="98">
        <v>0</v>
      </c>
      <c r="F26" s="98">
        <v>1</v>
      </c>
      <c r="G26"/>
      <c r="H26"/>
    </row>
    <row r="27" spans="1:8" ht="15" customHeight="1" x14ac:dyDescent="0.15">
      <c r="A27">
        <v>26</v>
      </c>
      <c r="B27" s="163" t="s">
        <v>217</v>
      </c>
      <c r="C27" s="99">
        <v>0</v>
      </c>
      <c r="D27" s="99">
        <v>1</v>
      </c>
      <c r="E27" s="98">
        <v>0</v>
      </c>
      <c r="F27" s="98">
        <v>1</v>
      </c>
      <c r="G27"/>
      <c r="H27"/>
    </row>
    <row r="28" spans="1:8" ht="15" customHeight="1" x14ac:dyDescent="0.15">
      <c r="A28">
        <v>27</v>
      </c>
      <c r="B28" s="163" t="s">
        <v>218</v>
      </c>
      <c r="C28" s="99">
        <v>0</v>
      </c>
      <c r="D28" s="99">
        <v>0</v>
      </c>
      <c r="E28" s="98">
        <v>1</v>
      </c>
      <c r="F28" s="98">
        <v>1</v>
      </c>
      <c r="G28"/>
      <c r="H28"/>
    </row>
    <row r="29" spans="1:8" ht="15" customHeight="1" x14ac:dyDescent="0.15">
      <c r="A29">
        <v>28</v>
      </c>
      <c r="B29" s="163" t="s">
        <v>219</v>
      </c>
      <c r="C29" s="99">
        <v>0</v>
      </c>
      <c r="D29" s="99">
        <v>1</v>
      </c>
      <c r="E29" s="98">
        <v>0</v>
      </c>
      <c r="F29" s="98">
        <v>1</v>
      </c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9"/>
      <c r="F36" s="99"/>
      <c r="G36"/>
      <c r="H36"/>
    </row>
    <row r="37" spans="3:8" ht="15" customHeight="1" x14ac:dyDescent="0.15">
      <c r="C37"/>
      <c r="D37"/>
      <c r="E37" s="99"/>
      <c r="F37" s="99"/>
      <c r="G37"/>
      <c r="H37"/>
    </row>
    <row r="38" spans="3:8" ht="15" customHeight="1" x14ac:dyDescent="0.15">
      <c r="C38"/>
      <c r="D38"/>
      <c r="E38" s="99"/>
      <c r="F38" s="99"/>
      <c r="G38"/>
      <c r="H38"/>
    </row>
    <row r="39" spans="3:8" ht="15" customHeight="1" x14ac:dyDescent="0.15">
      <c r="C39"/>
      <c r="D39"/>
      <c r="E39" s="99"/>
      <c r="F39" s="99"/>
      <c r="G39"/>
      <c r="H39"/>
    </row>
    <row r="40" spans="3:8" ht="15" customHeight="1" x14ac:dyDescent="0.15">
      <c r="C40"/>
      <c r="D40"/>
      <c r="E40" s="99"/>
      <c r="F40" s="99"/>
      <c r="G40"/>
      <c r="H40"/>
    </row>
    <row r="41" spans="3:8" ht="15" customHeight="1" x14ac:dyDescent="0.15">
      <c r="C41"/>
      <c r="D41"/>
      <c r="E41" s="99"/>
      <c r="F41" s="99"/>
      <c r="G41"/>
      <c r="H41"/>
    </row>
    <row r="42" spans="3:8" ht="15" customHeight="1" x14ac:dyDescent="0.15">
      <c r="C42"/>
      <c r="D42"/>
      <c r="E42" s="99"/>
      <c r="F42" s="99"/>
      <c r="G42"/>
      <c r="H42"/>
    </row>
    <row r="43" spans="3:8" ht="15" customHeight="1" x14ac:dyDescent="0.15">
      <c r="C43"/>
      <c r="D43"/>
      <c r="E43" s="99"/>
      <c r="F43" s="99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9"/>
      <c r="F46" s="99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33203125" bestFit="1" customWidth="1"/>
    <col min="3" max="4" width="5.83203125" bestFit="1" customWidth="1"/>
    <col min="5" max="5" width="12.1640625" bestFit="1" customWidth="1"/>
  </cols>
  <sheetData>
    <row r="1" spans="1:5" s="100" customFormat="1" ht="112" x14ac:dyDescent="0.15">
      <c r="A1" s="5" t="s">
        <v>21</v>
      </c>
      <c r="B1" s="3" t="s">
        <v>0</v>
      </c>
      <c r="C1" s="166" t="s">
        <v>219</v>
      </c>
      <c r="D1" s="166" t="s">
        <v>223</v>
      </c>
      <c r="E1"/>
    </row>
    <row r="2" spans="1:5" ht="15" customHeight="1" x14ac:dyDescent="0.15">
      <c r="A2">
        <v>1</v>
      </c>
      <c r="B2" s="165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65" t="s">
        <v>193</v>
      </c>
      <c r="C3">
        <v>0.98799999999999999</v>
      </c>
      <c r="D3">
        <v>0.98799999999999999</v>
      </c>
    </row>
    <row r="4" spans="1:5" ht="15" customHeight="1" x14ac:dyDescent="0.15">
      <c r="A4">
        <v>3</v>
      </c>
      <c r="B4" s="165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65" t="s">
        <v>195</v>
      </c>
      <c r="C5">
        <v>1.57</v>
      </c>
      <c r="D5">
        <v>1.57</v>
      </c>
    </row>
    <row r="6" spans="1:5" ht="15" customHeight="1" x14ac:dyDescent="0.15">
      <c r="A6">
        <v>5</v>
      </c>
      <c r="B6" s="165" t="s">
        <v>196</v>
      </c>
      <c r="C6">
        <v>1.3</v>
      </c>
      <c r="D6">
        <v>1.3</v>
      </c>
    </row>
    <row r="7" spans="1:5" ht="15" customHeight="1" x14ac:dyDescent="0.15">
      <c r="A7">
        <v>6</v>
      </c>
      <c r="B7" s="165" t="s">
        <v>197</v>
      </c>
      <c r="C7">
        <v>2.76</v>
      </c>
      <c r="D7">
        <v>2.76</v>
      </c>
    </row>
    <row r="8" spans="1:5" ht="15" customHeight="1" x14ac:dyDescent="0.15">
      <c r="A8">
        <v>7</v>
      </c>
      <c r="B8" s="165" t="s">
        <v>198</v>
      </c>
      <c r="C8">
        <v>0.8</v>
      </c>
      <c r="D8">
        <v>0.8</v>
      </c>
    </row>
    <row r="9" spans="1:5" ht="15" customHeight="1" x14ac:dyDescent="0.15">
      <c r="A9">
        <v>8</v>
      </c>
      <c r="B9" s="165" t="s">
        <v>199</v>
      </c>
      <c r="C9">
        <v>0.17599999999999999</v>
      </c>
      <c r="D9">
        <v>0.17599999999999999</v>
      </c>
    </row>
    <row r="10" spans="1:5" ht="15" customHeight="1" x14ac:dyDescent="0.15">
      <c r="A10">
        <v>9</v>
      </c>
      <c r="B10" s="165" t="s">
        <v>200</v>
      </c>
      <c r="C10">
        <v>0.3</v>
      </c>
      <c r="D10">
        <v>0.3</v>
      </c>
    </row>
    <row r="11" spans="1:5" ht="15" customHeight="1" x14ac:dyDescent="0.15">
      <c r="A11">
        <v>10</v>
      </c>
      <c r="B11" s="165" t="s">
        <v>201</v>
      </c>
      <c r="C11">
        <v>9.5000000000000001E-2</v>
      </c>
      <c r="D11">
        <v>9.5000000000000001E-2</v>
      </c>
    </row>
    <row r="12" spans="1:5" ht="15" customHeight="1" x14ac:dyDescent="0.15">
      <c r="A12">
        <v>11</v>
      </c>
      <c r="B12" s="165" t="s">
        <v>202</v>
      </c>
      <c r="C12">
        <v>0.1</v>
      </c>
      <c r="D12">
        <v>0.1</v>
      </c>
    </row>
    <row r="13" spans="1:5" ht="15" customHeight="1" x14ac:dyDescent="0.15">
      <c r="A13">
        <v>12</v>
      </c>
      <c r="B13" s="165" t="s">
        <v>203</v>
      </c>
      <c r="C13">
        <v>0.04</v>
      </c>
      <c r="D13">
        <v>0.04</v>
      </c>
    </row>
    <row r="14" spans="1:5" ht="15" customHeight="1" x14ac:dyDescent="0.15">
      <c r="A14">
        <v>13</v>
      </c>
      <c r="B14" s="165" t="s">
        <v>204</v>
      </c>
      <c r="C14">
        <v>0.97399999999999998</v>
      </c>
      <c r="D14">
        <v>0.97399999999999998</v>
      </c>
    </row>
    <row r="15" spans="1:5" ht="15" customHeight="1" x14ac:dyDescent="0.15">
      <c r="A15">
        <v>14</v>
      </c>
      <c r="B15" s="165" t="s">
        <v>205</v>
      </c>
      <c r="C15">
        <v>0.32500000000000001</v>
      </c>
      <c r="D15">
        <v>0.32500000000000001</v>
      </c>
    </row>
    <row r="16" spans="1:5" ht="15" customHeight="1" x14ac:dyDescent="0.15">
      <c r="A16">
        <v>15</v>
      </c>
      <c r="B16" s="165" t="s">
        <v>206</v>
      </c>
      <c r="C16">
        <v>0.75</v>
      </c>
      <c r="D16">
        <v>0.75</v>
      </c>
    </row>
    <row r="17" spans="1:4" ht="15" customHeight="1" x14ac:dyDescent="0.15">
      <c r="A17">
        <v>16</v>
      </c>
      <c r="B17" s="165" t="s">
        <v>207</v>
      </c>
      <c r="C17">
        <v>6.0000000000000001E-3</v>
      </c>
      <c r="D17">
        <v>6.0000000000000001E-3</v>
      </c>
    </row>
    <row r="18" spans="1:4" ht="15" customHeight="1" x14ac:dyDescent="0.15">
      <c r="A18">
        <v>17</v>
      </c>
      <c r="B18" s="165" t="s">
        <v>208</v>
      </c>
      <c r="C18">
        <v>0.16900000000000001</v>
      </c>
      <c r="D18">
        <v>0.16900000000000001</v>
      </c>
    </row>
    <row r="19" spans="1:4" ht="15" customHeight="1" x14ac:dyDescent="0.15">
      <c r="A19">
        <v>18</v>
      </c>
      <c r="B19" s="165" t="s">
        <v>209</v>
      </c>
      <c r="C19">
        <v>4.0000000000000001E-3</v>
      </c>
      <c r="D19">
        <v>4.0000000000000001E-3</v>
      </c>
    </row>
    <row r="20" spans="1:4" ht="15" customHeight="1" x14ac:dyDescent="0.15">
      <c r="A20">
        <v>19</v>
      </c>
      <c r="B20" s="165" t="s">
        <v>210</v>
      </c>
      <c r="C20">
        <v>0.106</v>
      </c>
      <c r="D20">
        <v>0.106</v>
      </c>
    </row>
    <row r="21" spans="1:4" ht="15" customHeight="1" x14ac:dyDescent="0.15">
      <c r="A21">
        <v>20</v>
      </c>
      <c r="B21" s="165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65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65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65" t="s">
        <v>214</v>
      </c>
      <c r="C24">
        <v>0.27600000000000002</v>
      </c>
      <c r="D24">
        <v>0.27600000000000002</v>
      </c>
    </row>
    <row r="25" spans="1:4" ht="15" customHeight="1" x14ac:dyDescent="0.15">
      <c r="A25">
        <v>24</v>
      </c>
      <c r="B25" s="165" t="s">
        <v>215</v>
      </c>
      <c r="C25">
        <v>2.34</v>
      </c>
      <c r="D25">
        <v>2.34</v>
      </c>
    </row>
    <row r="26" spans="1:4" ht="15" customHeight="1" x14ac:dyDescent="0.15">
      <c r="A26">
        <v>25</v>
      </c>
      <c r="B26" s="165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65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65" t="s">
        <v>218</v>
      </c>
      <c r="C28">
        <v>0</v>
      </c>
      <c r="D28">
        <v>0</v>
      </c>
    </row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33203125" bestFit="1" customWidth="1"/>
    <col min="3" max="4" width="2.33203125" bestFit="1" customWidth="1"/>
    <col min="5" max="5" width="12.1640625" bestFit="1" customWidth="1"/>
  </cols>
  <sheetData>
    <row r="1" spans="1:4" s="100" customFormat="1" ht="112" x14ac:dyDescent="0.15">
      <c r="A1" s="5" t="s">
        <v>22</v>
      </c>
      <c r="B1" s="3" t="s">
        <v>0</v>
      </c>
      <c r="C1" s="168" t="s">
        <v>219</v>
      </c>
      <c r="D1" s="168" t="s">
        <v>223</v>
      </c>
    </row>
    <row r="2" spans="1:4" x14ac:dyDescent="0.15">
      <c r="A2">
        <v>1</v>
      </c>
      <c r="B2" s="167" t="s">
        <v>192</v>
      </c>
      <c r="C2">
        <v>0</v>
      </c>
      <c r="D2">
        <v>0</v>
      </c>
    </row>
    <row r="3" spans="1:4" x14ac:dyDescent="0.15">
      <c r="A3">
        <v>2</v>
      </c>
      <c r="B3" s="167" t="s">
        <v>193</v>
      </c>
      <c r="C3">
        <v>0</v>
      </c>
      <c r="D3">
        <v>0</v>
      </c>
    </row>
    <row r="4" spans="1:4" x14ac:dyDescent="0.15">
      <c r="A4">
        <v>3</v>
      </c>
      <c r="B4" s="167" t="s">
        <v>194</v>
      </c>
      <c r="C4">
        <v>0</v>
      </c>
      <c r="D4">
        <v>0</v>
      </c>
    </row>
    <row r="5" spans="1:4" x14ac:dyDescent="0.15">
      <c r="A5">
        <v>4</v>
      </c>
      <c r="B5" s="167" t="s">
        <v>195</v>
      </c>
      <c r="C5">
        <v>0</v>
      </c>
      <c r="D5">
        <v>0</v>
      </c>
    </row>
    <row r="6" spans="1:4" x14ac:dyDescent="0.15">
      <c r="A6">
        <v>5</v>
      </c>
      <c r="B6" s="167" t="s">
        <v>196</v>
      </c>
      <c r="C6">
        <v>0</v>
      </c>
      <c r="D6">
        <v>0</v>
      </c>
    </row>
    <row r="7" spans="1:4" x14ac:dyDescent="0.15">
      <c r="A7">
        <v>6</v>
      </c>
      <c r="B7" s="167" t="s">
        <v>197</v>
      </c>
      <c r="C7">
        <v>0</v>
      </c>
      <c r="D7">
        <v>0</v>
      </c>
    </row>
    <row r="8" spans="1:4" x14ac:dyDescent="0.15">
      <c r="A8">
        <v>7</v>
      </c>
      <c r="B8" s="167" t="s">
        <v>198</v>
      </c>
      <c r="C8">
        <v>0</v>
      </c>
      <c r="D8">
        <v>0</v>
      </c>
    </row>
    <row r="9" spans="1:4" x14ac:dyDescent="0.15">
      <c r="A9">
        <v>8</v>
      </c>
      <c r="B9" s="167" t="s">
        <v>199</v>
      </c>
      <c r="C9">
        <v>0</v>
      </c>
      <c r="D9">
        <v>0</v>
      </c>
    </row>
    <row r="10" spans="1:4" x14ac:dyDescent="0.15">
      <c r="A10">
        <v>9</v>
      </c>
      <c r="B10" s="167" t="s">
        <v>200</v>
      </c>
      <c r="C10">
        <v>0</v>
      </c>
      <c r="D10">
        <v>0</v>
      </c>
    </row>
    <row r="11" spans="1:4" x14ac:dyDescent="0.15">
      <c r="A11">
        <v>10</v>
      </c>
      <c r="B11" s="167" t="s">
        <v>201</v>
      </c>
      <c r="C11">
        <v>0</v>
      </c>
      <c r="D11">
        <v>0</v>
      </c>
    </row>
    <row r="12" spans="1:4" x14ac:dyDescent="0.15">
      <c r="A12">
        <v>11</v>
      </c>
      <c r="B12" s="167" t="s">
        <v>202</v>
      </c>
      <c r="C12">
        <v>0</v>
      </c>
      <c r="D12">
        <v>0</v>
      </c>
    </row>
    <row r="13" spans="1:4" x14ac:dyDescent="0.15">
      <c r="A13">
        <v>12</v>
      </c>
      <c r="B13" s="167" t="s">
        <v>203</v>
      </c>
      <c r="C13">
        <v>0</v>
      </c>
      <c r="D13">
        <v>0</v>
      </c>
    </row>
    <row r="14" spans="1:4" x14ac:dyDescent="0.15">
      <c r="A14">
        <v>13</v>
      </c>
      <c r="B14" s="167" t="s">
        <v>204</v>
      </c>
      <c r="C14">
        <v>0</v>
      </c>
      <c r="D14">
        <v>0</v>
      </c>
    </row>
    <row r="15" spans="1:4" x14ac:dyDescent="0.15">
      <c r="A15">
        <v>14</v>
      </c>
      <c r="B15" s="167" t="s">
        <v>205</v>
      </c>
      <c r="C15">
        <v>0</v>
      </c>
      <c r="D15">
        <v>0</v>
      </c>
    </row>
    <row r="16" spans="1:4" x14ac:dyDescent="0.15">
      <c r="A16">
        <v>15</v>
      </c>
      <c r="B16" s="167" t="s">
        <v>206</v>
      </c>
      <c r="C16">
        <v>0</v>
      </c>
      <c r="D16">
        <v>0</v>
      </c>
    </row>
    <row r="17" spans="1:4" x14ac:dyDescent="0.15">
      <c r="A17">
        <v>16</v>
      </c>
      <c r="B17" s="167" t="s">
        <v>207</v>
      </c>
      <c r="C17">
        <v>0</v>
      </c>
      <c r="D17">
        <v>0</v>
      </c>
    </row>
    <row r="18" spans="1:4" x14ac:dyDescent="0.15">
      <c r="A18">
        <v>17</v>
      </c>
      <c r="B18" s="167" t="s">
        <v>208</v>
      </c>
      <c r="C18">
        <v>0</v>
      </c>
      <c r="D18">
        <v>0</v>
      </c>
    </row>
    <row r="19" spans="1:4" x14ac:dyDescent="0.15">
      <c r="A19">
        <v>18</v>
      </c>
      <c r="B19" s="167" t="s">
        <v>209</v>
      </c>
      <c r="C19">
        <v>0</v>
      </c>
      <c r="D19">
        <v>0</v>
      </c>
    </row>
    <row r="20" spans="1:4" x14ac:dyDescent="0.15">
      <c r="A20">
        <v>19</v>
      </c>
      <c r="B20" s="167" t="s">
        <v>210</v>
      </c>
      <c r="C20">
        <v>0</v>
      </c>
      <c r="D20">
        <v>0</v>
      </c>
    </row>
    <row r="21" spans="1:4" x14ac:dyDescent="0.15">
      <c r="A21">
        <v>20</v>
      </c>
      <c r="B21" s="167" t="s">
        <v>211</v>
      </c>
      <c r="C21">
        <v>0</v>
      </c>
      <c r="D21">
        <v>0</v>
      </c>
    </row>
    <row r="22" spans="1:4" x14ac:dyDescent="0.15">
      <c r="A22">
        <v>21</v>
      </c>
      <c r="B22" s="167" t="s">
        <v>212</v>
      </c>
      <c r="C22">
        <v>0</v>
      </c>
      <c r="D22">
        <v>0</v>
      </c>
    </row>
    <row r="23" spans="1:4" x14ac:dyDescent="0.15">
      <c r="A23">
        <v>22</v>
      </c>
      <c r="B23" s="167" t="s">
        <v>213</v>
      </c>
      <c r="C23">
        <v>0</v>
      </c>
      <c r="D23">
        <v>0</v>
      </c>
    </row>
    <row r="24" spans="1:4" x14ac:dyDescent="0.15">
      <c r="A24">
        <v>23</v>
      </c>
      <c r="B24" s="167" t="s">
        <v>214</v>
      </c>
      <c r="C24">
        <v>0</v>
      </c>
      <c r="D24">
        <v>0</v>
      </c>
    </row>
    <row r="25" spans="1:4" x14ac:dyDescent="0.15">
      <c r="A25">
        <v>24</v>
      </c>
      <c r="B25" s="167" t="s">
        <v>215</v>
      </c>
      <c r="C25">
        <v>0</v>
      </c>
      <c r="D25">
        <v>0</v>
      </c>
    </row>
    <row r="26" spans="1:4" x14ac:dyDescent="0.15">
      <c r="A26">
        <v>25</v>
      </c>
      <c r="B26" s="167" t="s">
        <v>216</v>
      </c>
      <c r="C26">
        <v>0</v>
      </c>
      <c r="D26">
        <v>0</v>
      </c>
    </row>
    <row r="27" spans="1:4" x14ac:dyDescent="0.15">
      <c r="A27">
        <v>26</v>
      </c>
      <c r="B27" s="167" t="s">
        <v>217</v>
      </c>
      <c r="C27">
        <v>0</v>
      </c>
      <c r="D27">
        <v>0</v>
      </c>
    </row>
    <row r="28" spans="1:4" x14ac:dyDescent="0.15">
      <c r="A28">
        <v>27</v>
      </c>
      <c r="B28" s="167" t="s">
        <v>218</v>
      </c>
      <c r="C28">
        <v>0</v>
      </c>
      <c r="D2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33203125" bestFit="1" customWidth="1"/>
    <col min="6" max="6" width="4.83203125" bestFit="1" customWidth="1"/>
    <col min="7" max="9" width="3.83203125" bestFit="1" customWidth="1"/>
    <col min="10" max="11" width="4.83203125" style="9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1" customFormat="1" ht="14" thickBot="1" x14ac:dyDescent="0.2">
      <c r="D1" s="102" t="s">
        <v>8</v>
      </c>
      <c r="E1" s="102" t="s">
        <v>0</v>
      </c>
      <c r="F1" s="103" t="s">
        <v>99</v>
      </c>
      <c r="G1" s="104" t="s">
        <v>84</v>
      </c>
      <c r="H1" s="104" t="s">
        <v>85</v>
      </c>
      <c r="I1" s="104" t="s">
        <v>86</v>
      </c>
      <c r="J1" s="104" t="s">
        <v>87</v>
      </c>
      <c r="K1" s="104" t="s">
        <v>88</v>
      </c>
      <c r="L1" s="105" t="s">
        <v>89</v>
      </c>
      <c r="M1" s="105" t="s">
        <v>93</v>
      </c>
      <c r="N1" s="105" t="s">
        <v>92</v>
      </c>
      <c r="O1" s="105" t="s">
        <v>90</v>
      </c>
      <c r="P1" s="105" t="s">
        <v>91</v>
      </c>
      <c r="Q1" s="106" t="s">
        <v>94</v>
      </c>
      <c r="R1" s="106" t="s">
        <v>95</v>
      </c>
      <c r="S1" s="106" t="s">
        <v>96</v>
      </c>
      <c r="T1" s="106" t="s">
        <v>97</v>
      </c>
      <c r="U1" s="106" t="s">
        <v>98</v>
      </c>
      <c r="V1" s="104" t="s">
        <v>100</v>
      </c>
      <c r="W1" s="104" t="s">
        <v>101</v>
      </c>
      <c r="X1" s="104" t="s">
        <v>102</v>
      </c>
      <c r="Y1" s="104" t="s">
        <v>134</v>
      </c>
      <c r="Z1" s="105" t="s">
        <v>103</v>
      </c>
      <c r="AA1" s="105" t="s">
        <v>104</v>
      </c>
      <c r="AB1" s="105" t="s">
        <v>105</v>
      </c>
      <c r="AC1" s="107" t="s">
        <v>135</v>
      </c>
      <c r="AD1" s="106" t="s">
        <v>106</v>
      </c>
      <c r="AE1" s="106" t="s">
        <v>107</v>
      </c>
      <c r="AF1" s="106" t="s">
        <v>108</v>
      </c>
      <c r="AG1" s="106" t="s">
        <v>136</v>
      </c>
      <c r="AH1" s="104" t="s">
        <v>109</v>
      </c>
      <c r="AI1" s="104" t="s">
        <v>111</v>
      </c>
      <c r="AJ1" s="104" t="s">
        <v>110</v>
      </c>
      <c r="AK1" s="105" t="s">
        <v>115</v>
      </c>
      <c r="AL1" s="105" t="s">
        <v>116</v>
      </c>
      <c r="AM1" s="105" t="s">
        <v>117</v>
      </c>
      <c r="AN1" s="106" t="s">
        <v>112</v>
      </c>
      <c r="AO1" s="106" t="s">
        <v>113</v>
      </c>
      <c r="AP1" s="106" t="s">
        <v>114</v>
      </c>
    </row>
    <row r="2" spans="1:42" x14ac:dyDescent="0.15">
      <c r="A2" s="108" t="s">
        <v>74</v>
      </c>
      <c r="B2" s="109">
        <v>1</v>
      </c>
      <c r="D2">
        <v>1</v>
      </c>
      <c r="E2" s="169" t="s">
        <v>192</v>
      </c>
      <c r="F2">
        <v>0.98</v>
      </c>
      <c r="G2">
        <v>0.8</v>
      </c>
      <c r="H2">
        <v>0.8</v>
      </c>
      <c r="I2">
        <v>0</v>
      </c>
      <c r="J2" s="99">
        <v>0</v>
      </c>
      <c r="K2" s="99">
        <v>0</v>
      </c>
    </row>
    <row r="3" spans="1:42" x14ac:dyDescent="0.15">
      <c r="A3" s="108" t="s">
        <v>75</v>
      </c>
      <c r="B3" s="110">
        <v>1</v>
      </c>
      <c r="D3">
        <v>2</v>
      </c>
      <c r="E3" s="169" t="s">
        <v>193</v>
      </c>
      <c r="F3">
        <v>0.98</v>
      </c>
      <c r="G3">
        <v>0.8</v>
      </c>
      <c r="H3">
        <v>0.8</v>
      </c>
      <c r="I3">
        <v>0</v>
      </c>
      <c r="J3" s="99">
        <v>0</v>
      </c>
      <c r="K3" s="99">
        <v>0</v>
      </c>
    </row>
    <row r="4" spans="1:42" x14ac:dyDescent="0.15">
      <c r="A4" s="108" t="s">
        <v>76</v>
      </c>
      <c r="B4" s="110">
        <v>1</v>
      </c>
      <c r="D4">
        <v>3</v>
      </c>
      <c r="E4" s="169" t="s">
        <v>194</v>
      </c>
      <c r="F4">
        <v>0.98</v>
      </c>
      <c r="G4">
        <v>0.8</v>
      </c>
      <c r="H4">
        <v>0.8</v>
      </c>
      <c r="I4">
        <v>0.8</v>
      </c>
      <c r="J4" s="99">
        <v>0.25</v>
      </c>
      <c r="K4" s="99">
        <v>0.05</v>
      </c>
    </row>
    <row r="5" spans="1:42" x14ac:dyDescent="0.15">
      <c r="A5" s="108" t="s">
        <v>77</v>
      </c>
      <c r="B5" s="110">
        <v>1</v>
      </c>
      <c r="D5">
        <v>4</v>
      </c>
      <c r="E5" s="169" t="s">
        <v>195</v>
      </c>
      <c r="F5">
        <v>0.98</v>
      </c>
      <c r="G5">
        <v>0.8</v>
      </c>
      <c r="H5">
        <v>0.8</v>
      </c>
      <c r="I5">
        <v>0.8</v>
      </c>
      <c r="J5" s="99">
        <v>0.25</v>
      </c>
      <c r="K5" s="99">
        <v>0.05</v>
      </c>
    </row>
    <row r="6" spans="1:42" x14ac:dyDescent="0.15">
      <c r="A6" s="108" t="s">
        <v>78</v>
      </c>
      <c r="B6" s="110">
        <v>1</v>
      </c>
      <c r="D6">
        <v>5</v>
      </c>
      <c r="E6" s="169" t="s">
        <v>196</v>
      </c>
      <c r="F6">
        <v>0.98</v>
      </c>
      <c r="G6">
        <v>0.8</v>
      </c>
      <c r="H6">
        <v>0.8</v>
      </c>
      <c r="I6">
        <v>0.8</v>
      </c>
      <c r="J6" s="99">
        <v>0.25</v>
      </c>
      <c r="K6" s="99">
        <v>0.05</v>
      </c>
    </row>
    <row r="7" spans="1:42" x14ac:dyDescent="0.15">
      <c r="A7" s="108" t="s">
        <v>79</v>
      </c>
      <c r="B7" s="110">
        <v>1</v>
      </c>
      <c r="D7">
        <v>6</v>
      </c>
      <c r="E7" s="169" t="s">
        <v>197</v>
      </c>
      <c r="F7">
        <v>0.98</v>
      </c>
      <c r="G7">
        <v>0.8</v>
      </c>
      <c r="H7">
        <v>0.8</v>
      </c>
      <c r="I7">
        <v>0.8</v>
      </c>
      <c r="J7" s="99">
        <v>0.25</v>
      </c>
      <c r="K7" s="99">
        <v>0.05</v>
      </c>
    </row>
    <row r="8" spans="1:42" x14ac:dyDescent="0.15">
      <c r="A8" s="108" t="s">
        <v>80</v>
      </c>
      <c r="B8" s="110">
        <v>1</v>
      </c>
      <c r="D8">
        <v>7</v>
      </c>
      <c r="E8" s="169" t="s">
        <v>198</v>
      </c>
      <c r="F8">
        <v>0.98</v>
      </c>
      <c r="G8">
        <v>0.8</v>
      </c>
      <c r="H8">
        <v>0.8</v>
      </c>
      <c r="I8">
        <v>0.8</v>
      </c>
      <c r="J8" s="99">
        <v>0.25</v>
      </c>
      <c r="K8" s="99">
        <v>0.05</v>
      </c>
    </row>
    <row r="9" spans="1:42" x14ac:dyDescent="0.15">
      <c r="A9" s="108" t="s">
        <v>81</v>
      </c>
      <c r="B9" s="110">
        <v>0.1</v>
      </c>
      <c r="C9" s="57" t="s">
        <v>150</v>
      </c>
      <c r="D9">
        <v>8</v>
      </c>
      <c r="E9" s="169" t="s">
        <v>199</v>
      </c>
      <c r="F9">
        <v>0.98</v>
      </c>
      <c r="G9">
        <v>0.8</v>
      </c>
      <c r="H9">
        <v>0.8</v>
      </c>
      <c r="I9">
        <v>0.8</v>
      </c>
      <c r="J9" s="99">
        <v>0.25</v>
      </c>
      <c r="K9" s="99">
        <v>0.05</v>
      </c>
    </row>
    <row r="10" spans="1:42" ht="14" thickBot="1" x14ac:dyDescent="0.2">
      <c r="A10" s="108" t="s">
        <v>149</v>
      </c>
      <c r="B10" s="111">
        <f>1/3</f>
        <v>0.33333333333333331</v>
      </c>
      <c r="C10" s="57" t="s">
        <v>150</v>
      </c>
      <c r="D10">
        <v>9</v>
      </c>
      <c r="E10" s="169" t="s">
        <v>200</v>
      </c>
      <c r="F10">
        <v>0.98</v>
      </c>
      <c r="G10">
        <v>0.8</v>
      </c>
      <c r="H10">
        <v>0.8</v>
      </c>
      <c r="I10">
        <v>0.8</v>
      </c>
      <c r="J10" s="99">
        <v>0.25</v>
      </c>
      <c r="K10" s="99">
        <v>0.05</v>
      </c>
    </row>
    <row r="11" spans="1:42" x14ac:dyDescent="0.15">
      <c r="D11">
        <v>10</v>
      </c>
      <c r="E11" s="169" t="s">
        <v>201</v>
      </c>
      <c r="F11">
        <v>0.98</v>
      </c>
      <c r="G11">
        <v>0.8</v>
      </c>
      <c r="H11">
        <v>0.8</v>
      </c>
      <c r="I11">
        <v>0.8</v>
      </c>
      <c r="J11" s="99">
        <v>0.25</v>
      </c>
      <c r="K11" s="99">
        <v>0.05</v>
      </c>
    </row>
    <row r="12" spans="1:42" x14ac:dyDescent="0.15">
      <c r="D12">
        <v>11</v>
      </c>
      <c r="E12" s="169" t="s">
        <v>202</v>
      </c>
      <c r="F12">
        <v>0.98</v>
      </c>
      <c r="G12">
        <v>0.8</v>
      </c>
      <c r="H12">
        <v>0.8</v>
      </c>
      <c r="I12">
        <v>0.8</v>
      </c>
      <c r="J12" s="99">
        <v>0.25</v>
      </c>
      <c r="K12" s="99">
        <v>0.05</v>
      </c>
    </row>
    <row r="13" spans="1:42" x14ac:dyDescent="0.15">
      <c r="D13">
        <v>12</v>
      </c>
      <c r="E13" s="169" t="s">
        <v>203</v>
      </c>
      <c r="F13">
        <v>0.98</v>
      </c>
      <c r="G13">
        <v>0.8</v>
      </c>
      <c r="H13">
        <v>0.8</v>
      </c>
      <c r="I13">
        <v>0.8</v>
      </c>
      <c r="J13" s="99">
        <v>0.25</v>
      </c>
      <c r="K13" s="99">
        <v>0.05</v>
      </c>
    </row>
    <row r="14" spans="1:42" x14ac:dyDescent="0.15">
      <c r="D14">
        <v>13</v>
      </c>
      <c r="E14" s="169" t="s">
        <v>204</v>
      </c>
      <c r="F14">
        <v>0.98</v>
      </c>
      <c r="G14">
        <v>0.8</v>
      </c>
      <c r="H14">
        <v>0.8</v>
      </c>
      <c r="I14">
        <v>0.8</v>
      </c>
      <c r="J14" s="99">
        <v>0.25</v>
      </c>
      <c r="K14" s="99">
        <v>0.05</v>
      </c>
    </row>
    <row r="15" spans="1:42" x14ac:dyDescent="0.15">
      <c r="D15">
        <v>14</v>
      </c>
      <c r="E15" s="169" t="s">
        <v>205</v>
      </c>
      <c r="F15">
        <v>0.98</v>
      </c>
      <c r="G15">
        <v>0.8</v>
      </c>
      <c r="H15">
        <v>0.8</v>
      </c>
      <c r="I15">
        <v>0.8</v>
      </c>
      <c r="J15" s="99">
        <v>0.25</v>
      </c>
      <c r="K15" s="99">
        <v>0.05</v>
      </c>
    </row>
    <row r="16" spans="1:42" x14ac:dyDescent="0.15">
      <c r="D16">
        <v>15</v>
      </c>
      <c r="E16" s="169" t="s">
        <v>206</v>
      </c>
      <c r="F16">
        <v>0.98</v>
      </c>
      <c r="G16">
        <v>0.8</v>
      </c>
      <c r="H16">
        <v>0.8</v>
      </c>
      <c r="I16">
        <v>0.8</v>
      </c>
      <c r="J16" s="99">
        <v>0.25</v>
      </c>
      <c r="K16" s="99">
        <v>0.05</v>
      </c>
    </row>
    <row r="17" spans="4:33" ht="15" customHeight="1" x14ac:dyDescent="0.15">
      <c r="D17">
        <v>16</v>
      </c>
      <c r="E17" s="169" t="s">
        <v>207</v>
      </c>
      <c r="F17">
        <v>0.98</v>
      </c>
      <c r="G17">
        <v>0.8</v>
      </c>
      <c r="H17">
        <v>0.8</v>
      </c>
      <c r="I17">
        <v>0.8</v>
      </c>
      <c r="J17" s="99">
        <v>0.25</v>
      </c>
      <c r="K17" s="99">
        <v>0.05</v>
      </c>
    </row>
    <row r="18" spans="4:33" ht="15" customHeight="1" x14ac:dyDescent="0.15">
      <c r="D18">
        <v>17</v>
      </c>
      <c r="E18" s="169" t="s">
        <v>208</v>
      </c>
      <c r="F18">
        <v>0.98</v>
      </c>
      <c r="G18">
        <v>0.8</v>
      </c>
      <c r="H18">
        <v>0.8</v>
      </c>
      <c r="I18">
        <v>0.8</v>
      </c>
      <c r="J18" s="99">
        <v>0.25</v>
      </c>
      <c r="K18" s="99">
        <v>0.05</v>
      </c>
    </row>
    <row r="19" spans="4:33" ht="15" customHeight="1" x14ac:dyDescent="0.15">
      <c r="D19">
        <v>18</v>
      </c>
      <c r="E19" s="169" t="s">
        <v>209</v>
      </c>
      <c r="F19">
        <v>0.98</v>
      </c>
      <c r="G19">
        <v>0.8</v>
      </c>
      <c r="H19">
        <v>0.8</v>
      </c>
      <c r="I19">
        <v>0.8</v>
      </c>
      <c r="J19" s="99">
        <v>0.25</v>
      </c>
      <c r="K19" s="99">
        <v>0.05</v>
      </c>
    </row>
    <row r="20" spans="4:33" ht="15" customHeight="1" x14ac:dyDescent="0.15">
      <c r="D20">
        <v>19</v>
      </c>
      <c r="E20" s="169" t="s">
        <v>210</v>
      </c>
      <c r="F20">
        <v>0.98</v>
      </c>
      <c r="G20">
        <v>0.8</v>
      </c>
      <c r="H20">
        <v>0.8</v>
      </c>
      <c r="I20">
        <v>0.8</v>
      </c>
      <c r="J20" s="99">
        <v>0.25</v>
      </c>
      <c r="K20" s="99">
        <v>0.05</v>
      </c>
    </row>
    <row r="21" spans="4:33" ht="15" customHeight="1" x14ac:dyDescent="0.15">
      <c r="D21">
        <v>20</v>
      </c>
      <c r="E21" s="169" t="s">
        <v>211</v>
      </c>
      <c r="F21">
        <v>0.98</v>
      </c>
      <c r="G21">
        <v>0.8</v>
      </c>
      <c r="H21">
        <v>0.8</v>
      </c>
      <c r="I21">
        <v>0.8</v>
      </c>
      <c r="J21" s="99">
        <v>0.25</v>
      </c>
      <c r="K21" s="99">
        <v>0.05</v>
      </c>
    </row>
    <row r="22" spans="4:33" ht="15" customHeight="1" x14ac:dyDescent="0.15">
      <c r="D22">
        <v>21</v>
      </c>
      <c r="E22" s="169" t="s">
        <v>212</v>
      </c>
      <c r="F22">
        <v>0.98</v>
      </c>
      <c r="G22">
        <v>0.8</v>
      </c>
      <c r="H22">
        <v>0.8</v>
      </c>
      <c r="I22">
        <v>0</v>
      </c>
      <c r="J22" s="99">
        <v>0</v>
      </c>
      <c r="K22" s="99">
        <v>0</v>
      </c>
    </row>
    <row r="23" spans="4:33" ht="15" customHeight="1" x14ac:dyDescent="0.15">
      <c r="D23">
        <v>22</v>
      </c>
      <c r="E23" s="169" t="s">
        <v>213</v>
      </c>
      <c r="F23">
        <v>0.98</v>
      </c>
      <c r="G23">
        <v>0.8</v>
      </c>
      <c r="H23">
        <v>0.8</v>
      </c>
      <c r="I23">
        <v>0.8</v>
      </c>
      <c r="J23" s="99">
        <v>0.25</v>
      </c>
      <c r="K23" s="99">
        <v>0.05</v>
      </c>
    </row>
    <row r="24" spans="4:33" ht="15" customHeight="1" x14ac:dyDescent="0.15">
      <c r="D24">
        <v>23</v>
      </c>
      <c r="E24" s="169" t="s">
        <v>214</v>
      </c>
      <c r="F24">
        <v>0.98</v>
      </c>
      <c r="G24">
        <v>0.8</v>
      </c>
      <c r="H24">
        <v>0.8</v>
      </c>
      <c r="I24">
        <v>0.8</v>
      </c>
      <c r="J24" s="99">
        <v>0.25</v>
      </c>
      <c r="K24" s="99">
        <v>0.05</v>
      </c>
    </row>
    <row r="25" spans="4:33" ht="15" customHeight="1" x14ac:dyDescent="0.15">
      <c r="D25">
        <v>24</v>
      </c>
      <c r="E25" s="169" t="s">
        <v>215</v>
      </c>
      <c r="F25">
        <v>0.98</v>
      </c>
      <c r="G25">
        <v>0.8</v>
      </c>
      <c r="H25">
        <v>0.8</v>
      </c>
      <c r="I25">
        <v>0.8</v>
      </c>
      <c r="J25" s="99">
        <v>0.25</v>
      </c>
      <c r="K25" s="99">
        <v>0.05</v>
      </c>
    </row>
    <row r="26" spans="4:33" ht="15" customHeight="1" x14ac:dyDescent="0.15">
      <c r="D26">
        <v>25</v>
      </c>
      <c r="E26" s="169" t="s">
        <v>216</v>
      </c>
      <c r="F26">
        <v>0.98</v>
      </c>
      <c r="G26">
        <v>0.8</v>
      </c>
      <c r="H26">
        <v>0.8</v>
      </c>
      <c r="I26">
        <v>0</v>
      </c>
      <c r="J26" s="99">
        <v>0</v>
      </c>
      <c r="K26" s="99">
        <v>0</v>
      </c>
    </row>
    <row r="27" spans="4:33" ht="15" customHeight="1" x14ac:dyDescent="0.15">
      <c r="D27">
        <v>26</v>
      </c>
      <c r="E27" s="169" t="s">
        <v>217</v>
      </c>
      <c r="F27">
        <v>0.98</v>
      </c>
      <c r="G27">
        <v>0.8</v>
      </c>
      <c r="H27">
        <v>0</v>
      </c>
      <c r="I27">
        <v>0</v>
      </c>
      <c r="J27" s="99">
        <v>0</v>
      </c>
      <c r="K27" s="99">
        <v>0</v>
      </c>
    </row>
    <row r="28" spans="4:33" ht="15" customHeight="1" x14ac:dyDescent="0.15">
      <c r="D28">
        <v>27</v>
      </c>
      <c r="E28" s="169" t="s">
        <v>218</v>
      </c>
      <c r="F28">
        <v>0.98</v>
      </c>
      <c r="G28">
        <v>0.8</v>
      </c>
      <c r="H28">
        <v>0</v>
      </c>
      <c r="I28">
        <v>0</v>
      </c>
      <c r="J28" s="99">
        <v>0</v>
      </c>
      <c r="K28" s="99">
        <v>0</v>
      </c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7" bestFit="1" customWidth="1"/>
    <col min="2" max="3" width="2.33203125" style="97" customWidth="1"/>
    <col min="4" max="21" width="3.83203125" style="97" customWidth="1"/>
    <col min="22" max="22" width="2.33203125" style="97" customWidth="1"/>
    <col min="23" max="25" width="3.83203125" style="97" customWidth="1"/>
    <col min="26" max="28" width="2.33203125" style="97" customWidth="1"/>
    <col min="29" max="16384" width="10.83203125" style="97"/>
  </cols>
  <sheetData>
    <row r="1" spans="1:30" x14ac:dyDescent="0.15">
      <c r="A1" s="59" t="s">
        <v>118</v>
      </c>
      <c r="B1" s="171" t="s">
        <v>192</v>
      </c>
      <c r="C1" s="171" t="s">
        <v>193</v>
      </c>
      <c r="D1" s="171" t="s">
        <v>194</v>
      </c>
      <c r="E1" s="171" t="s">
        <v>195</v>
      </c>
      <c r="F1" s="171" t="s">
        <v>196</v>
      </c>
      <c r="G1" s="171" t="s">
        <v>197</v>
      </c>
      <c r="H1" s="171" t="s">
        <v>198</v>
      </c>
      <c r="I1" s="171" t="s">
        <v>199</v>
      </c>
      <c r="J1" s="171" t="s">
        <v>200</v>
      </c>
      <c r="K1" s="171" t="s">
        <v>201</v>
      </c>
      <c r="L1" s="171" t="s">
        <v>202</v>
      </c>
      <c r="M1" s="171" t="s">
        <v>203</v>
      </c>
      <c r="N1" s="171" t="s">
        <v>204</v>
      </c>
      <c r="O1" s="171" t="s">
        <v>205</v>
      </c>
      <c r="P1" s="171" t="s">
        <v>206</v>
      </c>
      <c r="Q1" s="171" t="s">
        <v>207</v>
      </c>
      <c r="R1" s="171" t="s">
        <v>208</v>
      </c>
      <c r="S1" s="171" t="s">
        <v>209</v>
      </c>
      <c r="T1" s="171" t="s">
        <v>210</v>
      </c>
      <c r="U1" s="171" t="s">
        <v>211</v>
      </c>
      <c r="V1" s="171" t="s">
        <v>212</v>
      </c>
      <c r="W1" s="171" t="s">
        <v>213</v>
      </c>
      <c r="X1" s="171" t="s">
        <v>214</v>
      </c>
      <c r="Y1" s="171" t="s">
        <v>215</v>
      </c>
      <c r="Z1" s="171" t="s">
        <v>216</v>
      </c>
      <c r="AA1" s="171" t="s">
        <v>217</v>
      </c>
      <c r="AB1" s="171" t="s">
        <v>218</v>
      </c>
      <c r="AC1"/>
      <c r="AD1"/>
    </row>
    <row r="2" spans="1:30" customFormat="1" x14ac:dyDescent="0.15">
      <c r="A2" s="170" t="s">
        <v>192</v>
      </c>
      <c r="B2" s="97">
        <v>0</v>
      </c>
      <c r="C2" s="97">
        <v>0</v>
      </c>
      <c r="D2" s="97">
        <v>0</v>
      </c>
      <c r="E2" s="97">
        <v>0</v>
      </c>
      <c r="F2" s="97">
        <v>0.8</v>
      </c>
      <c r="G2" s="97">
        <v>0.8</v>
      </c>
      <c r="H2" s="97">
        <v>0.8</v>
      </c>
      <c r="I2" s="97">
        <v>0</v>
      </c>
      <c r="J2" s="97">
        <v>0</v>
      </c>
      <c r="K2" s="97">
        <v>0</v>
      </c>
      <c r="L2" s="97">
        <v>0</v>
      </c>
      <c r="M2" s="97">
        <v>0</v>
      </c>
      <c r="N2" s="97">
        <v>0</v>
      </c>
      <c r="O2" s="97">
        <v>0</v>
      </c>
      <c r="P2" s="97">
        <v>0</v>
      </c>
      <c r="Q2" s="97">
        <v>0</v>
      </c>
      <c r="R2" s="97">
        <v>0</v>
      </c>
      <c r="S2" s="97">
        <v>0.8</v>
      </c>
      <c r="T2" s="97">
        <v>0</v>
      </c>
      <c r="U2" s="97">
        <v>0</v>
      </c>
      <c r="V2" s="97">
        <v>0</v>
      </c>
      <c r="W2" s="97">
        <v>0</v>
      </c>
      <c r="X2" s="97">
        <v>0.8</v>
      </c>
      <c r="Y2" s="97">
        <v>0</v>
      </c>
      <c r="Z2" s="97">
        <v>0</v>
      </c>
      <c r="AA2" s="97">
        <v>0</v>
      </c>
      <c r="AB2" s="97">
        <v>0</v>
      </c>
    </row>
    <row r="3" spans="1:30" customFormat="1" x14ac:dyDescent="0.15">
      <c r="A3" s="170" t="s">
        <v>193</v>
      </c>
      <c r="B3" s="97">
        <v>0</v>
      </c>
      <c r="C3" s="97">
        <v>0</v>
      </c>
      <c r="D3" s="97">
        <v>0</v>
      </c>
      <c r="E3" s="97">
        <v>0</v>
      </c>
      <c r="F3" s="97">
        <v>0.8</v>
      </c>
      <c r="G3" s="97">
        <v>0.8</v>
      </c>
      <c r="H3" s="97">
        <v>0.8</v>
      </c>
      <c r="I3" s="97">
        <v>0</v>
      </c>
      <c r="J3" s="97">
        <v>0</v>
      </c>
      <c r="K3" s="97">
        <v>0</v>
      </c>
      <c r="L3" s="97">
        <v>0.8</v>
      </c>
      <c r="M3" s="97">
        <v>0.8</v>
      </c>
      <c r="N3" s="97">
        <v>0.8</v>
      </c>
      <c r="O3" s="97">
        <v>0</v>
      </c>
      <c r="P3" s="97">
        <v>0</v>
      </c>
      <c r="Q3" s="97">
        <v>0</v>
      </c>
      <c r="R3" s="97">
        <v>0</v>
      </c>
      <c r="S3" s="97">
        <v>0.8</v>
      </c>
      <c r="T3" s="97">
        <v>0.8</v>
      </c>
      <c r="U3" s="97">
        <v>0</v>
      </c>
      <c r="V3" s="97">
        <v>0</v>
      </c>
      <c r="W3" s="97">
        <v>0</v>
      </c>
      <c r="X3" s="97">
        <v>0.8</v>
      </c>
      <c r="Y3" s="97">
        <v>0.8</v>
      </c>
      <c r="Z3" s="97">
        <v>0</v>
      </c>
      <c r="AA3" s="97">
        <v>0</v>
      </c>
      <c r="AB3" s="97">
        <v>0</v>
      </c>
    </row>
    <row r="4" spans="1:30" customFormat="1" x14ac:dyDescent="0.15">
      <c r="A4" s="170" t="s">
        <v>194</v>
      </c>
      <c r="B4" s="97">
        <v>0</v>
      </c>
      <c r="C4" s="97">
        <v>0</v>
      </c>
      <c r="D4" s="97">
        <v>0</v>
      </c>
      <c r="E4" s="97">
        <v>0</v>
      </c>
      <c r="F4" s="97">
        <v>0</v>
      </c>
      <c r="G4" s="97">
        <v>0</v>
      </c>
      <c r="H4" s="97">
        <v>0.8</v>
      </c>
      <c r="I4" s="97">
        <v>0</v>
      </c>
      <c r="J4" s="97">
        <v>0</v>
      </c>
      <c r="K4" s="97">
        <v>0</v>
      </c>
      <c r="L4" s="97">
        <v>0.8</v>
      </c>
      <c r="M4" s="97">
        <v>0</v>
      </c>
      <c r="N4" s="97">
        <v>0</v>
      </c>
      <c r="O4" s="97">
        <v>0</v>
      </c>
      <c r="P4" s="97">
        <v>0</v>
      </c>
      <c r="Q4" s="97">
        <v>0.8</v>
      </c>
      <c r="R4" s="97">
        <v>0</v>
      </c>
      <c r="S4" s="97">
        <v>0.8</v>
      </c>
      <c r="T4" s="97">
        <v>0</v>
      </c>
      <c r="U4" s="97">
        <v>0.8</v>
      </c>
      <c r="V4" s="97">
        <v>0</v>
      </c>
      <c r="W4" s="97">
        <v>0.8</v>
      </c>
      <c r="X4" s="97">
        <v>0.8</v>
      </c>
      <c r="Y4" s="97">
        <v>0</v>
      </c>
      <c r="Z4" s="97">
        <v>0</v>
      </c>
      <c r="AA4" s="97">
        <v>0</v>
      </c>
      <c r="AB4" s="97">
        <v>0</v>
      </c>
    </row>
    <row r="5" spans="1:30" customFormat="1" x14ac:dyDescent="0.15">
      <c r="A5" s="170" t="s">
        <v>195</v>
      </c>
      <c r="B5" s="97">
        <v>0</v>
      </c>
      <c r="C5" s="97">
        <v>0</v>
      </c>
      <c r="D5" s="97">
        <v>0</v>
      </c>
      <c r="E5" s="97">
        <v>0</v>
      </c>
      <c r="F5" s="97">
        <v>0</v>
      </c>
      <c r="G5" s="97">
        <v>0</v>
      </c>
      <c r="H5" s="97">
        <v>0</v>
      </c>
      <c r="I5" s="97">
        <v>0</v>
      </c>
      <c r="J5" s="97">
        <v>0</v>
      </c>
      <c r="K5" s="97">
        <v>0</v>
      </c>
      <c r="L5" s="97">
        <v>0</v>
      </c>
      <c r="M5" s="97">
        <v>0</v>
      </c>
      <c r="N5" s="97">
        <v>0</v>
      </c>
      <c r="O5" s="97">
        <v>0</v>
      </c>
      <c r="P5" s="97">
        <v>0</v>
      </c>
      <c r="Q5" s="97">
        <v>0</v>
      </c>
      <c r="R5" s="97">
        <v>0</v>
      </c>
      <c r="S5" s="97">
        <v>0</v>
      </c>
      <c r="T5" s="97">
        <v>0</v>
      </c>
      <c r="U5" s="97">
        <v>0</v>
      </c>
      <c r="V5" s="97">
        <v>0</v>
      </c>
      <c r="W5" s="97">
        <v>0</v>
      </c>
      <c r="X5" s="97">
        <v>0</v>
      </c>
      <c r="Y5" s="97">
        <v>0</v>
      </c>
      <c r="Z5" s="97">
        <v>0</v>
      </c>
      <c r="AA5" s="97">
        <v>0</v>
      </c>
      <c r="AB5" s="97">
        <v>0</v>
      </c>
    </row>
    <row r="6" spans="1:30" customFormat="1" x14ac:dyDescent="0.15">
      <c r="A6" s="170" t="s">
        <v>196</v>
      </c>
      <c r="B6" s="97">
        <v>0</v>
      </c>
      <c r="C6" s="97">
        <v>0</v>
      </c>
      <c r="D6" s="97">
        <v>0</v>
      </c>
      <c r="E6" s="97">
        <v>0</v>
      </c>
      <c r="F6" s="97">
        <v>0</v>
      </c>
      <c r="G6" s="97">
        <v>0</v>
      </c>
      <c r="H6" s="97">
        <v>0</v>
      </c>
      <c r="I6" s="97">
        <v>0</v>
      </c>
      <c r="J6" s="97">
        <v>0</v>
      </c>
      <c r="K6" s="97">
        <v>0</v>
      </c>
      <c r="L6" s="97">
        <v>0</v>
      </c>
      <c r="M6" s="97">
        <v>0</v>
      </c>
      <c r="N6" s="97">
        <v>0</v>
      </c>
      <c r="O6" s="97">
        <v>0</v>
      </c>
      <c r="P6" s="97">
        <v>0</v>
      </c>
      <c r="Q6" s="97">
        <v>0</v>
      </c>
      <c r="R6" s="97">
        <v>0</v>
      </c>
      <c r="S6" s="97">
        <v>0</v>
      </c>
      <c r="T6" s="97">
        <v>0</v>
      </c>
      <c r="U6" s="97">
        <v>0</v>
      </c>
      <c r="V6" s="97">
        <v>0</v>
      </c>
      <c r="W6" s="97">
        <v>0</v>
      </c>
      <c r="X6" s="97">
        <v>0.8</v>
      </c>
      <c r="Y6" s="97">
        <v>0</v>
      </c>
      <c r="Z6" s="97">
        <v>0</v>
      </c>
      <c r="AA6" s="97">
        <v>0</v>
      </c>
      <c r="AB6" s="97">
        <v>0</v>
      </c>
    </row>
    <row r="7" spans="1:30" customFormat="1" x14ac:dyDescent="0.15">
      <c r="A7" s="170" t="s">
        <v>197</v>
      </c>
      <c r="B7" s="97">
        <v>0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0.8</v>
      </c>
      <c r="J7" s="97">
        <v>0.8</v>
      </c>
      <c r="K7" s="97">
        <v>0.8</v>
      </c>
      <c r="L7" s="97">
        <v>0</v>
      </c>
      <c r="M7" s="97">
        <v>0</v>
      </c>
      <c r="N7" s="97">
        <v>0</v>
      </c>
      <c r="O7" s="97">
        <v>0</v>
      </c>
      <c r="P7" s="97">
        <v>0</v>
      </c>
      <c r="Q7" s="97">
        <v>0</v>
      </c>
      <c r="R7" s="97">
        <v>0.8</v>
      </c>
      <c r="S7" s="97">
        <v>0</v>
      </c>
      <c r="T7" s="97">
        <v>0</v>
      </c>
      <c r="U7" s="97">
        <v>0</v>
      </c>
      <c r="V7" s="97">
        <v>0</v>
      </c>
      <c r="W7" s="97">
        <v>0</v>
      </c>
      <c r="X7" s="97">
        <v>0</v>
      </c>
      <c r="Y7" s="97">
        <v>0</v>
      </c>
      <c r="Z7" s="97">
        <v>0</v>
      </c>
      <c r="AA7" s="97">
        <v>0</v>
      </c>
      <c r="AB7" s="97">
        <v>0</v>
      </c>
    </row>
    <row r="8" spans="1:30" customFormat="1" x14ac:dyDescent="0.15">
      <c r="A8" s="170" t="s">
        <v>198</v>
      </c>
      <c r="B8" s="97">
        <v>0</v>
      </c>
      <c r="C8" s="97">
        <v>0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0.8</v>
      </c>
      <c r="J8" s="97">
        <v>0</v>
      </c>
      <c r="K8" s="97">
        <v>0</v>
      </c>
      <c r="L8" s="97">
        <v>0</v>
      </c>
      <c r="M8" s="97">
        <v>0</v>
      </c>
      <c r="N8" s="97">
        <v>0</v>
      </c>
      <c r="O8" s="97">
        <v>0</v>
      </c>
      <c r="P8" s="97">
        <v>0</v>
      </c>
      <c r="Q8" s="97">
        <v>0</v>
      </c>
      <c r="R8" s="97">
        <v>0.8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</row>
    <row r="9" spans="1:30" customFormat="1" x14ac:dyDescent="0.15">
      <c r="A9" s="170" t="s">
        <v>199</v>
      </c>
      <c r="B9" s="97">
        <v>0</v>
      </c>
      <c r="C9" s="97">
        <v>0</v>
      </c>
      <c r="D9" s="97">
        <v>0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  <c r="L9" s="97">
        <v>0</v>
      </c>
      <c r="M9" s="97">
        <v>0</v>
      </c>
      <c r="N9" s="97">
        <v>0</v>
      </c>
      <c r="O9" s="97">
        <v>0</v>
      </c>
      <c r="P9" s="97">
        <v>0</v>
      </c>
      <c r="Q9" s="97">
        <v>0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</row>
    <row r="10" spans="1:30" customFormat="1" x14ac:dyDescent="0.15">
      <c r="A10" s="170" t="s">
        <v>200</v>
      </c>
      <c r="B10" s="97">
        <v>0</v>
      </c>
      <c r="C10" s="97">
        <v>0</v>
      </c>
      <c r="D10" s="97">
        <v>0</v>
      </c>
      <c r="E10" s="97"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97">
        <v>0</v>
      </c>
      <c r="N10" s="97">
        <v>0</v>
      </c>
      <c r="O10" s="97">
        <v>0.8</v>
      </c>
      <c r="P10" s="97">
        <v>0</v>
      </c>
      <c r="Q10" s="97">
        <v>0</v>
      </c>
      <c r="R10" s="97">
        <v>0.8</v>
      </c>
      <c r="S10" s="97">
        <v>0</v>
      </c>
      <c r="T10" s="97">
        <v>0</v>
      </c>
      <c r="U10" s="97">
        <v>0</v>
      </c>
      <c r="V10" s="97">
        <v>0</v>
      </c>
      <c r="W10" s="97">
        <v>0</v>
      </c>
      <c r="X10" s="97">
        <v>0</v>
      </c>
      <c r="Y10" s="97">
        <v>0</v>
      </c>
      <c r="Z10" s="97">
        <v>0</v>
      </c>
      <c r="AA10" s="97">
        <v>0</v>
      </c>
      <c r="AB10" s="97">
        <v>0</v>
      </c>
    </row>
    <row r="11" spans="1:30" customFormat="1" x14ac:dyDescent="0.15">
      <c r="A11" s="170" t="s">
        <v>201</v>
      </c>
      <c r="B11" s="97">
        <v>0</v>
      </c>
      <c r="C11" s="97">
        <v>0</v>
      </c>
      <c r="D11" s="97">
        <v>0</v>
      </c>
      <c r="E11" s="97">
        <v>0</v>
      </c>
      <c r="F11" s="97">
        <v>0</v>
      </c>
      <c r="G11" s="97">
        <v>0</v>
      </c>
      <c r="H11" s="97">
        <v>0</v>
      </c>
      <c r="I11" s="97">
        <v>0.8</v>
      </c>
      <c r="J11" s="97">
        <v>0</v>
      </c>
      <c r="K11" s="97">
        <v>0</v>
      </c>
      <c r="L11" s="97">
        <v>0</v>
      </c>
      <c r="M11" s="97">
        <v>0</v>
      </c>
      <c r="N11" s="97">
        <v>0</v>
      </c>
      <c r="O11" s="97">
        <v>0</v>
      </c>
      <c r="P11" s="97">
        <v>0</v>
      </c>
      <c r="Q11" s="97">
        <v>0</v>
      </c>
      <c r="R11" s="97">
        <v>0</v>
      </c>
      <c r="S11" s="97">
        <v>0</v>
      </c>
      <c r="T11" s="97">
        <v>0</v>
      </c>
      <c r="U11" s="97">
        <v>0</v>
      </c>
      <c r="V11" s="97">
        <v>0</v>
      </c>
      <c r="W11" s="97">
        <v>0</v>
      </c>
      <c r="X11" s="97">
        <v>0</v>
      </c>
      <c r="Y11" s="97">
        <v>0</v>
      </c>
      <c r="Z11" s="97">
        <v>0</v>
      </c>
      <c r="AA11" s="97">
        <v>0</v>
      </c>
      <c r="AB11" s="97">
        <v>0</v>
      </c>
    </row>
    <row r="12" spans="1:30" customFormat="1" x14ac:dyDescent="0.15">
      <c r="A12" s="170" t="s">
        <v>202</v>
      </c>
      <c r="B12" s="97">
        <v>0</v>
      </c>
      <c r="C12" s="97">
        <v>0</v>
      </c>
      <c r="D12" s="97">
        <v>0</v>
      </c>
      <c r="E12" s="97">
        <v>0</v>
      </c>
      <c r="F12" s="97">
        <v>0</v>
      </c>
      <c r="G12" s="97">
        <v>0</v>
      </c>
      <c r="H12" s="97">
        <v>0</v>
      </c>
      <c r="I12" s="97">
        <v>0.8</v>
      </c>
      <c r="J12" s="97">
        <v>0.8</v>
      </c>
      <c r="K12" s="97">
        <v>0.8</v>
      </c>
      <c r="L12" s="97">
        <v>0</v>
      </c>
      <c r="M12" s="97">
        <v>0</v>
      </c>
      <c r="N12" s="97">
        <v>0</v>
      </c>
      <c r="O12" s="97">
        <v>0.8</v>
      </c>
      <c r="P12" s="97">
        <v>0</v>
      </c>
      <c r="Q12" s="97">
        <v>0</v>
      </c>
      <c r="R12" s="97">
        <v>0</v>
      </c>
      <c r="S12" s="97">
        <v>0</v>
      </c>
      <c r="T12" s="97">
        <v>0</v>
      </c>
      <c r="U12" s="97">
        <v>0</v>
      </c>
      <c r="V12" s="97">
        <v>0</v>
      </c>
      <c r="W12" s="97">
        <v>0</v>
      </c>
      <c r="X12" s="97">
        <v>0</v>
      </c>
      <c r="Y12" s="97">
        <v>0</v>
      </c>
      <c r="Z12" s="97">
        <v>0</v>
      </c>
      <c r="AA12" s="97">
        <v>0</v>
      </c>
      <c r="AB12" s="97">
        <v>0</v>
      </c>
    </row>
    <row r="13" spans="1:30" customFormat="1" x14ac:dyDescent="0.15">
      <c r="A13" s="170" t="s">
        <v>203</v>
      </c>
      <c r="B13" s="97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0</v>
      </c>
      <c r="I13" s="97">
        <v>0.8</v>
      </c>
      <c r="J13" s="97">
        <v>0.8</v>
      </c>
      <c r="K13" s="97">
        <v>0</v>
      </c>
      <c r="L13" s="97">
        <v>0</v>
      </c>
      <c r="M13" s="97">
        <v>0</v>
      </c>
      <c r="N13" s="97">
        <v>0</v>
      </c>
      <c r="O13" s="97">
        <v>0.8</v>
      </c>
      <c r="P13" s="97">
        <v>0</v>
      </c>
      <c r="Q13" s="97">
        <v>0</v>
      </c>
      <c r="R13" s="97">
        <v>0.8</v>
      </c>
      <c r="S13" s="97">
        <v>0</v>
      </c>
      <c r="T13" s="97">
        <v>0</v>
      </c>
      <c r="U13" s="97">
        <v>0</v>
      </c>
      <c r="V13" s="97">
        <v>0</v>
      </c>
      <c r="W13" s="97">
        <v>0</v>
      </c>
      <c r="X13" s="97">
        <v>0</v>
      </c>
      <c r="Y13" s="97">
        <v>0</v>
      </c>
      <c r="Z13" s="97">
        <v>0</v>
      </c>
      <c r="AA13" s="97">
        <v>0</v>
      </c>
      <c r="AB13" s="97">
        <v>0</v>
      </c>
    </row>
    <row r="14" spans="1:30" customFormat="1" x14ac:dyDescent="0.15">
      <c r="A14" s="170" t="s">
        <v>204</v>
      </c>
      <c r="B14" s="97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97">
        <v>0</v>
      </c>
      <c r="N14" s="97">
        <v>0</v>
      </c>
      <c r="O14" s="97">
        <v>0</v>
      </c>
      <c r="P14" s="97">
        <v>0</v>
      </c>
      <c r="Q14" s="97">
        <v>0</v>
      </c>
      <c r="R14" s="97">
        <v>0</v>
      </c>
      <c r="S14" s="97">
        <v>0</v>
      </c>
      <c r="T14" s="97">
        <v>0</v>
      </c>
      <c r="U14" s="97">
        <v>0</v>
      </c>
      <c r="V14" s="97">
        <v>0</v>
      </c>
      <c r="W14" s="97">
        <v>0</v>
      </c>
      <c r="X14" s="97">
        <v>0</v>
      </c>
      <c r="Y14" s="97">
        <v>0</v>
      </c>
      <c r="Z14" s="97">
        <v>0</v>
      </c>
      <c r="AA14" s="97">
        <v>0</v>
      </c>
      <c r="AB14" s="97">
        <v>0</v>
      </c>
    </row>
    <row r="15" spans="1:30" customFormat="1" x14ac:dyDescent="0.15">
      <c r="A15" s="170" t="s">
        <v>205</v>
      </c>
      <c r="B15" s="97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0.8</v>
      </c>
      <c r="J15" s="97">
        <v>0.8</v>
      </c>
      <c r="K15" s="97">
        <v>0</v>
      </c>
      <c r="L15" s="97">
        <v>0</v>
      </c>
      <c r="M15" s="97">
        <v>0</v>
      </c>
      <c r="N15" s="97">
        <v>0</v>
      </c>
      <c r="O15" s="97">
        <v>0.8</v>
      </c>
      <c r="P15" s="97">
        <v>0</v>
      </c>
      <c r="Q15" s="97">
        <v>0</v>
      </c>
      <c r="R15" s="97">
        <v>0.8</v>
      </c>
      <c r="S15" s="97">
        <v>0</v>
      </c>
      <c r="T15" s="97">
        <v>0</v>
      </c>
      <c r="U15" s="97">
        <v>0</v>
      </c>
      <c r="V15" s="97">
        <v>0</v>
      </c>
      <c r="W15" s="97">
        <v>0</v>
      </c>
      <c r="X15" s="97">
        <v>0</v>
      </c>
      <c r="Y15" s="97">
        <v>0</v>
      </c>
      <c r="Z15" s="97">
        <v>0</v>
      </c>
      <c r="AA15" s="97">
        <v>0</v>
      </c>
      <c r="AB15" s="97">
        <v>0</v>
      </c>
    </row>
    <row r="16" spans="1:30" customFormat="1" x14ac:dyDescent="0.15">
      <c r="A16" s="170" t="s">
        <v>206</v>
      </c>
      <c r="B16" s="97">
        <v>0</v>
      </c>
      <c r="C16" s="97">
        <v>0</v>
      </c>
      <c r="D16" s="97">
        <v>0</v>
      </c>
      <c r="E16" s="97">
        <v>0</v>
      </c>
      <c r="F16" s="97">
        <v>0</v>
      </c>
      <c r="G16" s="97">
        <v>0</v>
      </c>
      <c r="H16" s="97">
        <v>0</v>
      </c>
      <c r="I16" s="97">
        <v>0</v>
      </c>
      <c r="J16" s="97">
        <v>0</v>
      </c>
      <c r="K16" s="97">
        <v>0</v>
      </c>
      <c r="L16" s="97">
        <v>0</v>
      </c>
      <c r="M16" s="97">
        <v>0</v>
      </c>
      <c r="N16" s="97">
        <v>0</v>
      </c>
      <c r="O16" s="97">
        <v>0</v>
      </c>
      <c r="P16" s="97">
        <v>0.8</v>
      </c>
      <c r="Q16" s="97">
        <v>0</v>
      </c>
      <c r="R16" s="97">
        <v>0.8</v>
      </c>
      <c r="S16" s="97">
        <v>0.8</v>
      </c>
      <c r="T16" s="97">
        <v>0</v>
      </c>
      <c r="U16" s="97">
        <v>0</v>
      </c>
      <c r="V16" s="97">
        <v>0</v>
      </c>
      <c r="W16" s="97">
        <v>0</v>
      </c>
      <c r="X16" s="97">
        <v>0</v>
      </c>
      <c r="Y16" s="97">
        <v>0</v>
      </c>
      <c r="Z16" s="97">
        <v>0</v>
      </c>
      <c r="AA16" s="97">
        <v>0</v>
      </c>
      <c r="AB16" s="97">
        <v>0</v>
      </c>
    </row>
    <row r="17" spans="1:28" customFormat="1" x14ac:dyDescent="0.15">
      <c r="A17" s="170" t="s">
        <v>207</v>
      </c>
      <c r="B17" s="97">
        <v>0</v>
      </c>
      <c r="C17" s="97">
        <v>0</v>
      </c>
      <c r="D17" s="97">
        <v>0</v>
      </c>
      <c r="E17" s="97">
        <v>0</v>
      </c>
      <c r="F17" s="97">
        <v>0</v>
      </c>
      <c r="G17" s="97">
        <v>0</v>
      </c>
      <c r="H17" s="97">
        <v>0</v>
      </c>
      <c r="I17" s="97">
        <v>0</v>
      </c>
      <c r="J17" s="97">
        <v>0</v>
      </c>
      <c r="K17" s="97">
        <v>0</v>
      </c>
      <c r="L17" s="97">
        <v>0</v>
      </c>
      <c r="M17" s="97">
        <v>0</v>
      </c>
      <c r="N17" s="97">
        <v>0</v>
      </c>
      <c r="O17" s="97">
        <v>0.8</v>
      </c>
      <c r="P17" s="97">
        <v>0.8</v>
      </c>
      <c r="Q17" s="97">
        <v>0</v>
      </c>
      <c r="R17" s="97">
        <v>0.8</v>
      </c>
      <c r="S17" s="97">
        <v>0</v>
      </c>
      <c r="T17" s="97">
        <v>0</v>
      </c>
      <c r="U17" s="97">
        <v>0</v>
      </c>
      <c r="V17" s="97">
        <v>0</v>
      </c>
      <c r="W17" s="97">
        <v>0</v>
      </c>
      <c r="X17" s="97">
        <v>0</v>
      </c>
      <c r="Y17" s="97">
        <v>0</v>
      </c>
      <c r="Z17" s="97">
        <v>0</v>
      </c>
      <c r="AA17" s="97">
        <v>0</v>
      </c>
      <c r="AB17" s="97">
        <v>0</v>
      </c>
    </row>
    <row r="18" spans="1:28" customFormat="1" x14ac:dyDescent="0.15">
      <c r="A18" s="170" t="s">
        <v>208</v>
      </c>
      <c r="B18" s="97">
        <v>0</v>
      </c>
      <c r="C18" s="97">
        <v>0</v>
      </c>
      <c r="D18" s="97">
        <v>0</v>
      </c>
      <c r="E18" s="97">
        <v>0</v>
      </c>
      <c r="F18" s="97">
        <v>0</v>
      </c>
      <c r="G18" s="97">
        <v>0</v>
      </c>
      <c r="H18" s="97">
        <v>0</v>
      </c>
      <c r="I18" s="97">
        <v>0</v>
      </c>
      <c r="J18" s="97">
        <v>0.8</v>
      </c>
      <c r="K18" s="97">
        <v>0</v>
      </c>
      <c r="L18" s="97">
        <v>0</v>
      </c>
      <c r="M18" s="97">
        <v>0</v>
      </c>
      <c r="N18" s="97">
        <v>0</v>
      </c>
      <c r="O18" s="97">
        <v>0</v>
      </c>
      <c r="P18" s="97">
        <v>0.8</v>
      </c>
      <c r="Q18" s="97">
        <v>0</v>
      </c>
      <c r="R18" s="97">
        <v>0</v>
      </c>
      <c r="S18" s="97">
        <v>0</v>
      </c>
      <c r="T18" s="97">
        <v>0</v>
      </c>
      <c r="U18" s="97">
        <v>0</v>
      </c>
      <c r="V18" s="97">
        <v>0</v>
      </c>
      <c r="W18" s="97">
        <v>0</v>
      </c>
      <c r="X18" s="97">
        <v>0</v>
      </c>
      <c r="Y18" s="97">
        <v>0</v>
      </c>
      <c r="Z18" s="97">
        <v>0</v>
      </c>
      <c r="AA18" s="97">
        <v>0</v>
      </c>
      <c r="AB18" s="97">
        <v>0</v>
      </c>
    </row>
    <row r="19" spans="1:28" customFormat="1" x14ac:dyDescent="0.15">
      <c r="A19" s="170" t="s">
        <v>209</v>
      </c>
      <c r="B19" s="97">
        <v>0</v>
      </c>
      <c r="C19" s="97">
        <v>0</v>
      </c>
      <c r="D19" s="97">
        <v>0</v>
      </c>
      <c r="E19" s="97">
        <v>0</v>
      </c>
      <c r="F19" s="97">
        <v>0</v>
      </c>
      <c r="G19" s="97">
        <v>0</v>
      </c>
      <c r="H19" s="97">
        <v>0</v>
      </c>
      <c r="I19" s="97">
        <v>0</v>
      </c>
      <c r="J19" s="97">
        <v>0.8</v>
      </c>
      <c r="K19" s="97">
        <v>0</v>
      </c>
      <c r="L19" s="97">
        <v>0</v>
      </c>
      <c r="M19" s="97">
        <v>0</v>
      </c>
      <c r="N19" s="97">
        <v>0</v>
      </c>
      <c r="O19" s="97">
        <v>0</v>
      </c>
      <c r="P19" s="97">
        <v>0</v>
      </c>
      <c r="Q19" s="97">
        <v>0</v>
      </c>
      <c r="R19" s="97">
        <v>0</v>
      </c>
      <c r="S19" s="97">
        <v>0</v>
      </c>
      <c r="T19" s="97">
        <v>0</v>
      </c>
      <c r="U19" s="97">
        <v>0</v>
      </c>
      <c r="V19" s="97">
        <v>0</v>
      </c>
      <c r="W19" s="97">
        <v>0</v>
      </c>
      <c r="X19" s="97">
        <v>0</v>
      </c>
      <c r="Y19" s="97">
        <v>0</v>
      </c>
      <c r="Z19" s="97">
        <v>0</v>
      </c>
      <c r="AA19" s="97">
        <v>0</v>
      </c>
      <c r="AB19" s="97">
        <v>0</v>
      </c>
    </row>
    <row r="20" spans="1:28" customFormat="1" x14ac:dyDescent="0.15">
      <c r="A20" s="170" t="s">
        <v>210</v>
      </c>
      <c r="B20" s="97">
        <v>0</v>
      </c>
      <c r="C20" s="97">
        <v>0</v>
      </c>
      <c r="D20" s="97">
        <v>0</v>
      </c>
      <c r="E20" s="97">
        <v>0</v>
      </c>
      <c r="F20" s="97">
        <v>0</v>
      </c>
      <c r="G20" s="97">
        <v>0</v>
      </c>
      <c r="H20" s="97">
        <v>0</v>
      </c>
      <c r="I20" s="97">
        <v>0.8</v>
      </c>
      <c r="J20" s="97">
        <v>0.8</v>
      </c>
      <c r="K20" s="97">
        <v>0.8</v>
      </c>
      <c r="L20" s="97">
        <v>0</v>
      </c>
      <c r="M20" s="97">
        <v>0</v>
      </c>
      <c r="N20" s="97">
        <v>0</v>
      </c>
      <c r="O20" s="97">
        <v>0.8</v>
      </c>
      <c r="P20" s="97">
        <v>0.8</v>
      </c>
      <c r="Q20" s="97">
        <v>0</v>
      </c>
      <c r="R20" s="97">
        <v>0.8</v>
      </c>
      <c r="S20" s="97">
        <v>0</v>
      </c>
      <c r="T20" s="97">
        <v>0</v>
      </c>
      <c r="U20" s="97">
        <v>0</v>
      </c>
      <c r="V20" s="97">
        <v>0</v>
      </c>
      <c r="W20" s="97">
        <v>0</v>
      </c>
      <c r="X20" s="97">
        <v>0</v>
      </c>
      <c r="Y20" s="97">
        <v>0</v>
      </c>
      <c r="Z20" s="97">
        <v>0</v>
      </c>
      <c r="AA20" s="97">
        <v>0</v>
      </c>
      <c r="AB20" s="97">
        <v>0</v>
      </c>
    </row>
    <row r="21" spans="1:28" customFormat="1" x14ac:dyDescent="0.15">
      <c r="A21" s="170" t="s">
        <v>211</v>
      </c>
      <c r="B21" s="97">
        <v>0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0.8</v>
      </c>
      <c r="M21" s="97">
        <v>0</v>
      </c>
      <c r="N21" s="97">
        <v>0</v>
      </c>
      <c r="O21" s="97">
        <v>0</v>
      </c>
      <c r="P21" s="97">
        <v>0</v>
      </c>
      <c r="Q21" s="97">
        <v>0</v>
      </c>
      <c r="R21" s="97">
        <v>0</v>
      </c>
      <c r="S21" s="97">
        <v>0</v>
      </c>
      <c r="T21" s="97">
        <v>0</v>
      </c>
      <c r="U21" s="97">
        <v>0</v>
      </c>
      <c r="V21" s="97">
        <v>0</v>
      </c>
      <c r="W21" s="97">
        <v>0</v>
      </c>
      <c r="X21" s="97">
        <v>0</v>
      </c>
      <c r="Y21" s="97">
        <v>0</v>
      </c>
      <c r="Z21" s="97">
        <v>0</v>
      </c>
      <c r="AA21" s="97">
        <v>0</v>
      </c>
      <c r="AB21" s="97">
        <v>0</v>
      </c>
    </row>
    <row r="22" spans="1:28" customFormat="1" x14ac:dyDescent="0.15">
      <c r="A22" s="170" t="s">
        <v>212</v>
      </c>
      <c r="B22" s="97">
        <v>0</v>
      </c>
      <c r="C22" s="97">
        <v>0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97">
        <v>0</v>
      </c>
      <c r="N22" s="97">
        <v>0.8</v>
      </c>
      <c r="O22" s="97">
        <v>0</v>
      </c>
      <c r="P22" s="97">
        <v>0</v>
      </c>
      <c r="Q22" s="97">
        <v>0</v>
      </c>
      <c r="R22" s="97">
        <v>0</v>
      </c>
      <c r="S22" s="97">
        <v>0</v>
      </c>
      <c r="T22" s="97">
        <v>0</v>
      </c>
      <c r="U22" s="97">
        <v>0.8</v>
      </c>
      <c r="V22" s="97">
        <v>0</v>
      </c>
      <c r="W22" s="97">
        <v>0</v>
      </c>
      <c r="X22" s="97">
        <v>0</v>
      </c>
      <c r="Y22" s="97">
        <v>0</v>
      </c>
      <c r="Z22" s="97">
        <v>0</v>
      </c>
      <c r="AA22" s="97">
        <v>0</v>
      </c>
      <c r="AB22" s="97">
        <v>0</v>
      </c>
    </row>
    <row r="23" spans="1:28" customFormat="1" x14ac:dyDescent="0.15">
      <c r="A23" s="170" t="s">
        <v>213</v>
      </c>
      <c r="B23" s="97">
        <v>0</v>
      </c>
      <c r="C23" s="97">
        <v>0</v>
      </c>
      <c r="D23" s="97">
        <v>0.8</v>
      </c>
      <c r="E23" s="97">
        <v>0</v>
      </c>
      <c r="F23" s="97">
        <v>0</v>
      </c>
      <c r="G23" s="97">
        <v>0.8</v>
      </c>
      <c r="H23" s="97">
        <v>0.8</v>
      </c>
      <c r="I23" s="97">
        <v>0</v>
      </c>
      <c r="J23" s="97">
        <v>0.8</v>
      </c>
      <c r="K23" s="97">
        <v>0</v>
      </c>
      <c r="L23" s="97">
        <v>0</v>
      </c>
      <c r="M23" s="97">
        <v>0.8</v>
      </c>
      <c r="N23" s="97">
        <v>0</v>
      </c>
      <c r="O23" s="97">
        <v>0.8</v>
      </c>
      <c r="P23" s="97">
        <v>0.8</v>
      </c>
      <c r="Q23" s="97">
        <v>0.8</v>
      </c>
      <c r="R23" s="97">
        <v>0.8</v>
      </c>
      <c r="S23" s="97">
        <v>0</v>
      </c>
      <c r="T23" s="97">
        <v>0</v>
      </c>
      <c r="U23" s="97">
        <v>0.8</v>
      </c>
      <c r="V23" s="97">
        <v>0</v>
      </c>
      <c r="W23" s="97">
        <v>0.8</v>
      </c>
      <c r="X23" s="97">
        <v>0</v>
      </c>
      <c r="Y23" s="97">
        <v>0</v>
      </c>
      <c r="Z23" s="97">
        <v>0</v>
      </c>
      <c r="AA23" s="97">
        <v>0</v>
      </c>
      <c r="AB23" s="97">
        <v>0</v>
      </c>
    </row>
    <row r="24" spans="1:28" customFormat="1" x14ac:dyDescent="0.15">
      <c r="A24" s="170" t="s">
        <v>214</v>
      </c>
      <c r="B24" s="97">
        <v>0</v>
      </c>
      <c r="C24" s="97">
        <v>0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0.8</v>
      </c>
      <c r="J24" s="97">
        <v>0.8</v>
      </c>
      <c r="K24" s="97">
        <v>0.8</v>
      </c>
      <c r="L24" s="97">
        <v>0.8</v>
      </c>
      <c r="M24" s="97">
        <v>0.8</v>
      </c>
      <c r="N24" s="97">
        <v>0</v>
      </c>
      <c r="O24" s="97">
        <v>0.8</v>
      </c>
      <c r="P24" s="97">
        <v>0.8</v>
      </c>
      <c r="Q24" s="97">
        <v>0.8</v>
      </c>
      <c r="R24" s="97">
        <v>0.8</v>
      </c>
      <c r="S24" s="97">
        <v>0.8</v>
      </c>
      <c r="T24" s="97">
        <v>0.8</v>
      </c>
      <c r="U24" s="97">
        <v>0</v>
      </c>
      <c r="V24" s="97">
        <v>0</v>
      </c>
      <c r="W24" s="97">
        <v>0</v>
      </c>
      <c r="X24" s="97">
        <v>0.8</v>
      </c>
      <c r="Y24" s="97">
        <v>0</v>
      </c>
      <c r="Z24" s="97">
        <v>0</v>
      </c>
      <c r="AA24" s="97">
        <v>0</v>
      </c>
      <c r="AB24" s="97">
        <v>0</v>
      </c>
    </row>
    <row r="25" spans="1:28" customFormat="1" x14ac:dyDescent="0.15">
      <c r="A25" s="170" t="s">
        <v>215</v>
      </c>
      <c r="B25" s="97">
        <v>0</v>
      </c>
      <c r="C25" s="97">
        <v>0</v>
      </c>
      <c r="D25" s="97">
        <v>0</v>
      </c>
      <c r="E25" s="97">
        <v>0</v>
      </c>
      <c r="F25" s="97">
        <v>0</v>
      </c>
      <c r="G25" s="97">
        <v>0</v>
      </c>
      <c r="H25" s="97">
        <v>0</v>
      </c>
      <c r="I25" s="97">
        <v>0</v>
      </c>
      <c r="J25" s="97">
        <v>0.8</v>
      </c>
      <c r="K25" s="97">
        <v>0</v>
      </c>
      <c r="L25" s="97">
        <v>0.8</v>
      </c>
      <c r="M25" s="97">
        <v>0</v>
      </c>
      <c r="N25" s="97">
        <v>0</v>
      </c>
      <c r="O25" s="97">
        <v>0.8</v>
      </c>
      <c r="P25" s="97">
        <v>0</v>
      </c>
      <c r="Q25" s="97">
        <v>0</v>
      </c>
      <c r="R25" s="97">
        <v>0.8</v>
      </c>
      <c r="S25" s="97">
        <v>0</v>
      </c>
      <c r="T25" s="97">
        <v>0.8</v>
      </c>
      <c r="U25" s="97">
        <v>0</v>
      </c>
      <c r="V25" s="97">
        <v>0</v>
      </c>
      <c r="W25" s="97">
        <v>0</v>
      </c>
      <c r="X25" s="97">
        <v>0.8</v>
      </c>
      <c r="Y25" s="97">
        <v>0</v>
      </c>
      <c r="Z25" s="97">
        <v>0</v>
      </c>
      <c r="AA25" s="97">
        <v>0</v>
      </c>
      <c r="AB25" s="97">
        <v>0</v>
      </c>
    </row>
    <row r="26" spans="1:28" customFormat="1" x14ac:dyDescent="0.15">
      <c r="A26" s="170" t="s">
        <v>216</v>
      </c>
      <c r="B26" s="97">
        <v>0</v>
      </c>
      <c r="C26" s="97">
        <v>0</v>
      </c>
      <c r="D26" s="97">
        <v>0.8</v>
      </c>
      <c r="E26" s="97"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97">
        <v>0</v>
      </c>
      <c r="P26" s="97">
        <v>0</v>
      </c>
      <c r="Q26" s="97">
        <v>0</v>
      </c>
      <c r="R26" s="97">
        <v>0</v>
      </c>
      <c r="S26" s="97">
        <v>0</v>
      </c>
      <c r="T26" s="97">
        <v>0</v>
      </c>
      <c r="U26" s="97">
        <v>0</v>
      </c>
      <c r="V26" s="97">
        <v>0</v>
      </c>
      <c r="W26" s="97">
        <v>0</v>
      </c>
      <c r="X26" s="97">
        <v>0</v>
      </c>
      <c r="Y26" s="97">
        <v>0.8</v>
      </c>
      <c r="Z26" s="97">
        <v>0</v>
      </c>
      <c r="AA26" s="97">
        <v>0</v>
      </c>
      <c r="AB26" s="97">
        <v>0</v>
      </c>
    </row>
    <row r="27" spans="1:28" customFormat="1" x14ac:dyDescent="0.15">
      <c r="A27" s="170" t="s">
        <v>217</v>
      </c>
      <c r="B27" s="97">
        <v>0</v>
      </c>
      <c r="C27" s="97">
        <v>0</v>
      </c>
      <c r="D27" s="97">
        <v>0.8</v>
      </c>
      <c r="E27" s="97">
        <v>0.8</v>
      </c>
      <c r="F27" s="97">
        <v>0.8</v>
      </c>
      <c r="G27" s="97">
        <v>0.8</v>
      </c>
      <c r="H27" s="97">
        <v>0.8</v>
      </c>
      <c r="I27" s="97">
        <v>0</v>
      </c>
      <c r="J27" s="97">
        <v>0</v>
      </c>
      <c r="K27" s="97">
        <v>0.8</v>
      </c>
      <c r="L27" s="97">
        <v>0</v>
      </c>
      <c r="M27" s="97">
        <v>0.8</v>
      </c>
      <c r="N27" s="97">
        <v>0</v>
      </c>
      <c r="O27" s="97">
        <v>0</v>
      </c>
      <c r="P27" s="97">
        <v>0</v>
      </c>
      <c r="Q27" s="97">
        <v>0.8</v>
      </c>
      <c r="R27" s="97">
        <v>0.8</v>
      </c>
      <c r="S27" s="97">
        <v>0.8</v>
      </c>
      <c r="T27" s="97">
        <v>0.8</v>
      </c>
      <c r="U27" s="97">
        <v>0.8</v>
      </c>
      <c r="V27" s="97">
        <v>0</v>
      </c>
      <c r="W27" s="97">
        <v>0.8</v>
      </c>
      <c r="X27" s="97">
        <v>0.8</v>
      </c>
      <c r="Y27" s="97">
        <v>0.8</v>
      </c>
      <c r="Z27" s="97">
        <v>0</v>
      </c>
      <c r="AA27" s="97">
        <v>0</v>
      </c>
      <c r="AB27" s="97">
        <v>0</v>
      </c>
    </row>
    <row r="28" spans="1:28" customFormat="1" x14ac:dyDescent="0.15">
      <c r="A28" s="170" t="s">
        <v>218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97">
        <v>0</v>
      </c>
      <c r="N28" s="97">
        <v>0</v>
      </c>
      <c r="O28" s="97">
        <v>0</v>
      </c>
      <c r="P28" s="97">
        <v>0</v>
      </c>
      <c r="Q28" s="97">
        <v>0</v>
      </c>
      <c r="R28" s="97">
        <v>0</v>
      </c>
      <c r="S28" s="97">
        <v>0</v>
      </c>
      <c r="T28" s="97">
        <v>0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v>0</v>
      </c>
      <c r="AA28" s="97">
        <v>0</v>
      </c>
      <c r="AB28" s="97">
        <v>0</v>
      </c>
    </row>
    <row r="29" spans="1:28" customFormat="1" x14ac:dyDescent="0.15">
      <c r="A29" s="170" t="s">
        <v>220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97">
        <v>0</v>
      </c>
      <c r="P29" s="97">
        <v>0</v>
      </c>
      <c r="Q29" s="97">
        <v>0</v>
      </c>
      <c r="R29" s="97">
        <v>0</v>
      </c>
      <c r="S29" s="97">
        <v>0</v>
      </c>
      <c r="T29" s="97">
        <v>0</v>
      </c>
      <c r="U29" s="97">
        <v>0</v>
      </c>
      <c r="V29" s="97">
        <v>0</v>
      </c>
      <c r="W29" s="97">
        <v>0</v>
      </c>
      <c r="X29" s="97">
        <v>0</v>
      </c>
      <c r="Y29" s="97">
        <v>0</v>
      </c>
      <c r="Z29" s="97">
        <v>0</v>
      </c>
      <c r="AA29" s="97">
        <v>0</v>
      </c>
      <c r="AB29" s="97">
        <v>0</v>
      </c>
    </row>
    <row r="30" spans="1:28" customFormat="1" x14ac:dyDescent="0.15"/>
    <row r="31" spans="1:28" customFormat="1" x14ac:dyDescent="0.15"/>
    <row r="32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7" bestFit="1" customWidth="1"/>
    <col min="2" max="28" width="2.33203125" style="97" customWidth="1"/>
    <col min="29" max="16384" width="10.83203125" style="97"/>
  </cols>
  <sheetData>
    <row r="1" spans="1:31" x14ac:dyDescent="0.15">
      <c r="A1" s="59" t="s">
        <v>139</v>
      </c>
      <c r="B1" s="173" t="s">
        <v>192</v>
      </c>
      <c r="C1" s="173" t="s">
        <v>193</v>
      </c>
      <c r="D1" s="173" t="s">
        <v>194</v>
      </c>
      <c r="E1" s="173" t="s">
        <v>195</v>
      </c>
      <c r="F1" s="173" t="s">
        <v>196</v>
      </c>
      <c r="G1" s="173" t="s">
        <v>197</v>
      </c>
      <c r="H1" s="173" t="s">
        <v>198</v>
      </c>
      <c r="I1" s="173" t="s">
        <v>199</v>
      </c>
      <c r="J1" s="173" t="s">
        <v>200</v>
      </c>
      <c r="K1" s="173" t="s">
        <v>201</v>
      </c>
      <c r="L1" s="173" t="s">
        <v>202</v>
      </c>
      <c r="M1" s="173" t="s">
        <v>203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 s="173" t="s">
        <v>211</v>
      </c>
      <c r="V1" s="173" t="s">
        <v>212</v>
      </c>
      <c r="W1" s="173" t="s">
        <v>213</v>
      </c>
      <c r="X1" s="173" t="s">
        <v>214</v>
      </c>
      <c r="Y1" s="173" t="s">
        <v>215</v>
      </c>
      <c r="Z1" s="173" t="s">
        <v>216</v>
      </c>
      <c r="AA1" s="173" t="s">
        <v>217</v>
      </c>
      <c r="AB1" s="173" t="s">
        <v>218</v>
      </c>
      <c r="AC1"/>
      <c r="AD1"/>
      <c r="AE1"/>
    </row>
    <row r="2" spans="1:31" customFormat="1" x14ac:dyDescent="0.15">
      <c r="A2" s="172" t="s">
        <v>192</v>
      </c>
      <c r="B2" s="97">
        <v>0</v>
      </c>
      <c r="C2" s="97">
        <v>0</v>
      </c>
      <c r="D2" s="97">
        <v>0</v>
      </c>
      <c r="E2" s="97">
        <v>0</v>
      </c>
      <c r="F2" s="97">
        <v>1</v>
      </c>
      <c r="G2" s="97">
        <v>1</v>
      </c>
      <c r="H2" s="97">
        <v>1</v>
      </c>
      <c r="I2" s="97">
        <v>0</v>
      </c>
      <c r="J2" s="97">
        <v>0</v>
      </c>
      <c r="K2" s="97">
        <v>0</v>
      </c>
      <c r="L2" s="97">
        <v>0</v>
      </c>
      <c r="M2" s="97">
        <v>0</v>
      </c>
      <c r="N2" s="97">
        <v>0</v>
      </c>
      <c r="O2" s="97">
        <v>0</v>
      </c>
      <c r="P2" s="97">
        <v>0</v>
      </c>
      <c r="Q2" s="97">
        <v>0</v>
      </c>
      <c r="R2" s="97">
        <v>0</v>
      </c>
      <c r="S2" s="97">
        <v>1</v>
      </c>
      <c r="T2" s="97">
        <v>0</v>
      </c>
      <c r="U2" s="97">
        <v>0</v>
      </c>
      <c r="V2" s="97">
        <v>0</v>
      </c>
      <c r="W2" s="97">
        <v>0</v>
      </c>
      <c r="X2" s="97">
        <v>1</v>
      </c>
      <c r="Y2" s="97">
        <v>0</v>
      </c>
      <c r="Z2" s="97">
        <v>0</v>
      </c>
      <c r="AA2" s="97">
        <v>0</v>
      </c>
      <c r="AB2" s="97">
        <v>0</v>
      </c>
    </row>
    <row r="3" spans="1:31" customFormat="1" x14ac:dyDescent="0.15">
      <c r="A3" s="172" t="s">
        <v>193</v>
      </c>
      <c r="B3" s="97">
        <v>0</v>
      </c>
      <c r="C3" s="97">
        <v>0</v>
      </c>
      <c r="D3" s="97">
        <v>0</v>
      </c>
      <c r="E3" s="97">
        <v>0</v>
      </c>
      <c r="F3" s="97">
        <v>1</v>
      </c>
      <c r="G3" s="97">
        <v>1</v>
      </c>
      <c r="H3" s="97">
        <v>1</v>
      </c>
      <c r="I3" s="97">
        <v>0</v>
      </c>
      <c r="J3" s="97">
        <v>0</v>
      </c>
      <c r="K3" s="97">
        <v>0</v>
      </c>
      <c r="L3" s="97">
        <v>1</v>
      </c>
      <c r="M3" s="97">
        <v>1</v>
      </c>
      <c r="N3" s="97">
        <v>1</v>
      </c>
      <c r="O3" s="97">
        <v>0</v>
      </c>
      <c r="P3" s="97">
        <v>0</v>
      </c>
      <c r="Q3" s="97">
        <v>0</v>
      </c>
      <c r="R3" s="97">
        <v>0</v>
      </c>
      <c r="S3" s="97">
        <v>1</v>
      </c>
      <c r="T3" s="97">
        <v>1</v>
      </c>
      <c r="U3" s="97">
        <v>0</v>
      </c>
      <c r="V3" s="97">
        <v>0</v>
      </c>
      <c r="W3" s="97">
        <v>0</v>
      </c>
      <c r="X3" s="97">
        <v>1</v>
      </c>
      <c r="Y3" s="97">
        <v>1</v>
      </c>
      <c r="Z3" s="97">
        <v>0</v>
      </c>
      <c r="AA3" s="97">
        <v>0</v>
      </c>
      <c r="AB3" s="97">
        <v>0</v>
      </c>
    </row>
    <row r="4" spans="1:31" customFormat="1" x14ac:dyDescent="0.15">
      <c r="A4" s="172" t="s">
        <v>194</v>
      </c>
      <c r="B4" s="97">
        <v>0</v>
      </c>
      <c r="C4" s="97">
        <v>0</v>
      </c>
      <c r="D4" s="97">
        <v>0</v>
      </c>
      <c r="E4" s="97">
        <v>0</v>
      </c>
      <c r="F4" s="97">
        <v>0</v>
      </c>
      <c r="G4" s="97">
        <v>0</v>
      </c>
      <c r="H4" s="97">
        <v>1</v>
      </c>
      <c r="I4" s="97">
        <v>0</v>
      </c>
      <c r="J4" s="97">
        <v>0</v>
      </c>
      <c r="K4" s="97">
        <v>0</v>
      </c>
      <c r="L4" s="97">
        <v>1</v>
      </c>
      <c r="M4" s="97">
        <v>0</v>
      </c>
      <c r="N4" s="97">
        <v>0</v>
      </c>
      <c r="O4" s="97">
        <v>0</v>
      </c>
      <c r="P4" s="97">
        <v>0</v>
      </c>
      <c r="Q4" s="97">
        <v>1</v>
      </c>
      <c r="R4" s="97">
        <v>0</v>
      </c>
      <c r="S4" s="97">
        <v>1</v>
      </c>
      <c r="T4" s="97">
        <v>0</v>
      </c>
      <c r="U4" s="97">
        <v>1</v>
      </c>
      <c r="V4" s="97">
        <v>0</v>
      </c>
      <c r="W4" s="97">
        <v>1</v>
      </c>
      <c r="X4" s="97">
        <v>1</v>
      </c>
      <c r="Y4" s="97">
        <v>0</v>
      </c>
      <c r="Z4" s="97">
        <v>0</v>
      </c>
      <c r="AA4" s="97">
        <v>0</v>
      </c>
      <c r="AB4" s="97">
        <v>0</v>
      </c>
    </row>
    <row r="5" spans="1:31" customFormat="1" x14ac:dyDescent="0.15">
      <c r="A5" s="172" t="s">
        <v>195</v>
      </c>
      <c r="B5" s="97">
        <v>0</v>
      </c>
      <c r="C5" s="97">
        <v>0</v>
      </c>
      <c r="D5" s="97">
        <v>0</v>
      </c>
      <c r="E5" s="97">
        <v>0</v>
      </c>
      <c r="F5" s="97">
        <v>0</v>
      </c>
      <c r="G5" s="97">
        <v>0</v>
      </c>
      <c r="H5" s="97">
        <v>0</v>
      </c>
      <c r="I5" s="97">
        <v>0</v>
      </c>
      <c r="J5" s="97">
        <v>0</v>
      </c>
      <c r="K5" s="97">
        <v>0</v>
      </c>
      <c r="L5" s="97">
        <v>0</v>
      </c>
      <c r="M5" s="97">
        <v>0</v>
      </c>
      <c r="N5" s="97">
        <v>0</v>
      </c>
      <c r="O5" s="97">
        <v>0</v>
      </c>
      <c r="P5" s="97">
        <v>0</v>
      </c>
      <c r="Q5" s="97">
        <v>0</v>
      </c>
      <c r="R5" s="97">
        <v>0</v>
      </c>
      <c r="S5" s="97">
        <v>0</v>
      </c>
      <c r="T5" s="97">
        <v>0</v>
      </c>
      <c r="U5" s="97">
        <v>0</v>
      </c>
      <c r="V5" s="97">
        <v>0</v>
      </c>
      <c r="W5" s="97">
        <v>0</v>
      </c>
      <c r="X5" s="97">
        <v>0</v>
      </c>
      <c r="Y5" s="97">
        <v>0</v>
      </c>
      <c r="Z5" s="97">
        <v>0</v>
      </c>
      <c r="AA5" s="97">
        <v>0</v>
      </c>
      <c r="AB5" s="97">
        <v>0</v>
      </c>
    </row>
    <row r="6" spans="1:31" customFormat="1" x14ac:dyDescent="0.15">
      <c r="A6" s="172" t="s">
        <v>196</v>
      </c>
      <c r="B6" s="97">
        <v>0</v>
      </c>
      <c r="C6" s="97">
        <v>0</v>
      </c>
      <c r="D6" s="97">
        <v>0</v>
      </c>
      <c r="E6" s="97">
        <v>0</v>
      </c>
      <c r="F6" s="97">
        <v>0</v>
      </c>
      <c r="G6" s="97">
        <v>0</v>
      </c>
      <c r="H6" s="97">
        <v>0</v>
      </c>
      <c r="I6" s="97">
        <v>0</v>
      </c>
      <c r="J6" s="97">
        <v>0</v>
      </c>
      <c r="K6" s="97">
        <v>0</v>
      </c>
      <c r="L6" s="97">
        <v>0</v>
      </c>
      <c r="M6" s="97">
        <v>0</v>
      </c>
      <c r="N6" s="97">
        <v>0</v>
      </c>
      <c r="O6" s="97">
        <v>0</v>
      </c>
      <c r="P6" s="97">
        <v>0</v>
      </c>
      <c r="Q6" s="97">
        <v>0</v>
      </c>
      <c r="R6" s="97">
        <v>0</v>
      </c>
      <c r="S6" s="97">
        <v>0</v>
      </c>
      <c r="T6" s="97">
        <v>0</v>
      </c>
      <c r="U6" s="97">
        <v>0</v>
      </c>
      <c r="V6" s="97">
        <v>0</v>
      </c>
      <c r="W6" s="97">
        <v>0</v>
      </c>
      <c r="X6" s="97">
        <v>1</v>
      </c>
      <c r="Y6" s="97">
        <v>0</v>
      </c>
      <c r="Z6" s="97">
        <v>0</v>
      </c>
      <c r="AA6" s="97">
        <v>0</v>
      </c>
      <c r="AB6" s="97">
        <v>0</v>
      </c>
    </row>
    <row r="7" spans="1:31" customFormat="1" x14ac:dyDescent="0.15">
      <c r="A7" s="172" t="s">
        <v>197</v>
      </c>
      <c r="B7" s="97">
        <v>0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1</v>
      </c>
      <c r="J7" s="97">
        <v>1</v>
      </c>
      <c r="K7" s="97">
        <v>1</v>
      </c>
      <c r="L7" s="97">
        <v>0</v>
      </c>
      <c r="M7" s="97">
        <v>0</v>
      </c>
      <c r="N7" s="97">
        <v>0</v>
      </c>
      <c r="O7" s="97">
        <v>0</v>
      </c>
      <c r="P7" s="97">
        <v>0</v>
      </c>
      <c r="Q7" s="97">
        <v>0</v>
      </c>
      <c r="R7" s="97">
        <v>1</v>
      </c>
      <c r="S7" s="97">
        <v>0</v>
      </c>
      <c r="T7" s="97">
        <v>0</v>
      </c>
      <c r="U7" s="97">
        <v>0</v>
      </c>
      <c r="V7" s="97">
        <v>0</v>
      </c>
      <c r="W7" s="97">
        <v>0</v>
      </c>
      <c r="X7" s="97">
        <v>0</v>
      </c>
      <c r="Y7" s="97">
        <v>0</v>
      </c>
      <c r="Z7" s="97">
        <v>0</v>
      </c>
      <c r="AA7" s="97">
        <v>0</v>
      </c>
      <c r="AB7" s="97">
        <v>0</v>
      </c>
    </row>
    <row r="8" spans="1:31" customFormat="1" x14ac:dyDescent="0.15">
      <c r="A8" s="172" t="s">
        <v>198</v>
      </c>
      <c r="B8" s="97">
        <v>0</v>
      </c>
      <c r="C8" s="97">
        <v>0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1</v>
      </c>
      <c r="J8" s="97">
        <v>0</v>
      </c>
      <c r="K8" s="97">
        <v>0</v>
      </c>
      <c r="L8" s="97">
        <v>0</v>
      </c>
      <c r="M8" s="97">
        <v>0</v>
      </c>
      <c r="N8" s="97">
        <v>0</v>
      </c>
      <c r="O8" s="97">
        <v>0</v>
      </c>
      <c r="P8" s="97">
        <v>0</v>
      </c>
      <c r="Q8" s="97">
        <v>0</v>
      </c>
      <c r="R8" s="97">
        <v>1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</row>
    <row r="9" spans="1:31" customFormat="1" x14ac:dyDescent="0.15">
      <c r="A9" s="172" t="s">
        <v>199</v>
      </c>
      <c r="B9" s="97">
        <v>0</v>
      </c>
      <c r="C9" s="97">
        <v>0</v>
      </c>
      <c r="D9" s="97">
        <v>0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  <c r="L9" s="97">
        <v>0</v>
      </c>
      <c r="M9" s="97">
        <v>0</v>
      </c>
      <c r="N9" s="97">
        <v>0</v>
      </c>
      <c r="O9" s="97">
        <v>0</v>
      </c>
      <c r="P9" s="97">
        <v>0</v>
      </c>
      <c r="Q9" s="97">
        <v>0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</row>
    <row r="10" spans="1:31" customFormat="1" x14ac:dyDescent="0.15">
      <c r="A10" s="172" t="s">
        <v>200</v>
      </c>
      <c r="B10" s="97">
        <v>0</v>
      </c>
      <c r="C10" s="97">
        <v>0</v>
      </c>
      <c r="D10" s="97">
        <v>0</v>
      </c>
      <c r="E10" s="97"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97">
        <v>0</v>
      </c>
      <c r="N10" s="97">
        <v>0</v>
      </c>
      <c r="O10" s="97">
        <v>1</v>
      </c>
      <c r="P10" s="97">
        <v>0</v>
      </c>
      <c r="Q10" s="97">
        <v>0</v>
      </c>
      <c r="R10" s="97">
        <v>1</v>
      </c>
      <c r="S10" s="97">
        <v>0</v>
      </c>
      <c r="T10" s="97">
        <v>0</v>
      </c>
      <c r="U10" s="97">
        <v>0</v>
      </c>
      <c r="V10" s="97">
        <v>0</v>
      </c>
      <c r="W10" s="97">
        <v>0</v>
      </c>
      <c r="X10" s="97">
        <v>0</v>
      </c>
      <c r="Y10" s="97">
        <v>0</v>
      </c>
      <c r="Z10" s="97">
        <v>0</v>
      </c>
      <c r="AA10" s="97">
        <v>0</v>
      </c>
      <c r="AB10" s="97">
        <v>0</v>
      </c>
    </row>
    <row r="11" spans="1:31" customFormat="1" x14ac:dyDescent="0.15">
      <c r="A11" s="172" t="s">
        <v>201</v>
      </c>
      <c r="B11" s="97">
        <v>0</v>
      </c>
      <c r="C11" s="97">
        <v>0</v>
      </c>
      <c r="D11" s="97">
        <v>0</v>
      </c>
      <c r="E11" s="97">
        <v>0</v>
      </c>
      <c r="F11" s="97">
        <v>0</v>
      </c>
      <c r="G11" s="97">
        <v>0</v>
      </c>
      <c r="H11" s="97">
        <v>0</v>
      </c>
      <c r="I11" s="97">
        <v>1</v>
      </c>
      <c r="J11" s="97">
        <v>0</v>
      </c>
      <c r="K11" s="97">
        <v>0</v>
      </c>
      <c r="L11" s="97">
        <v>0</v>
      </c>
      <c r="M11" s="97">
        <v>0</v>
      </c>
      <c r="N11" s="97">
        <v>0</v>
      </c>
      <c r="O11" s="97">
        <v>0</v>
      </c>
      <c r="P11" s="97">
        <v>0</v>
      </c>
      <c r="Q11" s="97">
        <v>0</v>
      </c>
      <c r="R11" s="97">
        <v>0</v>
      </c>
      <c r="S11" s="97">
        <v>0</v>
      </c>
      <c r="T11" s="97">
        <v>0</v>
      </c>
      <c r="U11" s="97">
        <v>0</v>
      </c>
      <c r="V11" s="97">
        <v>0</v>
      </c>
      <c r="W11" s="97">
        <v>0</v>
      </c>
      <c r="X11" s="97">
        <v>0</v>
      </c>
      <c r="Y11" s="97">
        <v>0</v>
      </c>
      <c r="Z11" s="97">
        <v>0</v>
      </c>
      <c r="AA11" s="97">
        <v>0</v>
      </c>
      <c r="AB11" s="97">
        <v>0</v>
      </c>
    </row>
    <row r="12" spans="1:31" customFormat="1" x14ac:dyDescent="0.15">
      <c r="A12" s="172" t="s">
        <v>202</v>
      </c>
      <c r="B12" s="97">
        <v>0</v>
      </c>
      <c r="C12" s="97">
        <v>0</v>
      </c>
      <c r="D12" s="97">
        <v>0</v>
      </c>
      <c r="E12" s="97">
        <v>0</v>
      </c>
      <c r="F12" s="97">
        <v>0</v>
      </c>
      <c r="G12" s="97">
        <v>0</v>
      </c>
      <c r="H12" s="97">
        <v>0</v>
      </c>
      <c r="I12" s="97">
        <v>1</v>
      </c>
      <c r="J12" s="97">
        <v>1</v>
      </c>
      <c r="K12" s="97">
        <v>1</v>
      </c>
      <c r="L12" s="97">
        <v>0</v>
      </c>
      <c r="M12" s="97">
        <v>0</v>
      </c>
      <c r="N12" s="97">
        <v>0</v>
      </c>
      <c r="O12" s="97">
        <v>1</v>
      </c>
      <c r="P12" s="97">
        <v>0</v>
      </c>
      <c r="Q12" s="97">
        <v>0</v>
      </c>
      <c r="R12" s="97">
        <v>0</v>
      </c>
      <c r="S12" s="97">
        <v>0</v>
      </c>
      <c r="T12" s="97">
        <v>0</v>
      </c>
      <c r="U12" s="97">
        <v>0</v>
      </c>
      <c r="V12" s="97">
        <v>0</v>
      </c>
      <c r="W12" s="97">
        <v>0</v>
      </c>
      <c r="X12" s="97">
        <v>0</v>
      </c>
      <c r="Y12" s="97">
        <v>0</v>
      </c>
      <c r="Z12" s="97">
        <v>0</v>
      </c>
      <c r="AA12" s="97">
        <v>0</v>
      </c>
      <c r="AB12" s="97">
        <v>0</v>
      </c>
    </row>
    <row r="13" spans="1:31" customFormat="1" x14ac:dyDescent="0.15">
      <c r="A13" s="172" t="s">
        <v>203</v>
      </c>
      <c r="B13" s="97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0</v>
      </c>
      <c r="I13" s="97">
        <v>1</v>
      </c>
      <c r="J13" s="97">
        <v>1</v>
      </c>
      <c r="K13" s="97">
        <v>0</v>
      </c>
      <c r="L13" s="97">
        <v>0</v>
      </c>
      <c r="M13" s="97">
        <v>0</v>
      </c>
      <c r="N13" s="97">
        <v>0</v>
      </c>
      <c r="O13" s="97">
        <v>1</v>
      </c>
      <c r="P13" s="97">
        <v>0</v>
      </c>
      <c r="Q13" s="97">
        <v>0</v>
      </c>
      <c r="R13" s="97">
        <v>1</v>
      </c>
      <c r="S13" s="97">
        <v>0</v>
      </c>
      <c r="T13" s="97">
        <v>0</v>
      </c>
      <c r="U13" s="97">
        <v>0</v>
      </c>
      <c r="V13" s="97">
        <v>0</v>
      </c>
      <c r="W13" s="97">
        <v>0</v>
      </c>
      <c r="X13" s="97">
        <v>0</v>
      </c>
      <c r="Y13" s="97">
        <v>0</v>
      </c>
      <c r="Z13" s="97">
        <v>0</v>
      </c>
      <c r="AA13" s="97">
        <v>0</v>
      </c>
      <c r="AB13" s="97">
        <v>0</v>
      </c>
    </row>
    <row r="14" spans="1:31" customFormat="1" x14ac:dyDescent="0.15">
      <c r="A14" s="172" t="s">
        <v>204</v>
      </c>
      <c r="B14" s="97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97">
        <v>0</v>
      </c>
      <c r="N14" s="97">
        <v>0</v>
      </c>
      <c r="O14" s="97">
        <v>0</v>
      </c>
      <c r="P14" s="97">
        <v>0</v>
      </c>
      <c r="Q14" s="97">
        <v>0</v>
      </c>
      <c r="R14" s="97">
        <v>0</v>
      </c>
      <c r="S14" s="97">
        <v>0</v>
      </c>
      <c r="T14" s="97">
        <v>0</v>
      </c>
      <c r="U14" s="97">
        <v>0</v>
      </c>
      <c r="V14" s="97">
        <v>0</v>
      </c>
      <c r="W14" s="97">
        <v>0</v>
      </c>
      <c r="X14" s="97">
        <v>0</v>
      </c>
      <c r="Y14" s="97">
        <v>0</v>
      </c>
      <c r="Z14" s="97">
        <v>0</v>
      </c>
      <c r="AA14" s="97">
        <v>0</v>
      </c>
      <c r="AB14" s="97">
        <v>0</v>
      </c>
    </row>
    <row r="15" spans="1:31" customFormat="1" x14ac:dyDescent="0.15">
      <c r="A15" s="172" t="s">
        <v>205</v>
      </c>
      <c r="B15" s="97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1</v>
      </c>
      <c r="J15" s="97">
        <v>1</v>
      </c>
      <c r="K15" s="97">
        <v>0</v>
      </c>
      <c r="L15" s="97">
        <v>0</v>
      </c>
      <c r="M15" s="97">
        <v>0</v>
      </c>
      <c r="N15" s="97">
        <v>0</v>
      </c>
      <c r="O15" s="97">
        <v>1</v>
      </c>
      <c r="P15" s="97">
        <v>0</v>
      </c>
      <c r="Q15" s="97">
        <v>0</v>
      </c>
      <c r="R15" s="97">
        <v>1</v>
      </c>
      <c r="S15" s="97">
        <v>0</v>
      </c>
      <c r="T15" s="97">
        <v>0</v>
      </c>
      <c r="U15" s="97">
        <v>0</v>
      </c>
      <c r="V15" s="97">
        <v>0</v>
      </c>
      <c r="W15" s="97">
        <v>0</v>
      </c>
      <c r="X15" s="97">
        <v>0</v>
      </c>
      <c r="Y15" s="97">
        <v>0</v>
      </c>
      <c r="Z15" s="97">
        <v>0</v>
      </c>
      <c r="AA15" s="97">
        <v>0</v>
      </c>
      <c r="AB15" s="97">
        <v>0</v>
      </c>
    </row>
    <row r="16" spans="1:31" customFormat="1" x14ac:dyDescent="0.15">
      <c r="A16" s="172" t="s">
        <v>206</v>
      </c>
      <c r="B16" s="97">
        <v>0</v>
      </c>
      <c r="C16" s="97">
        <v>0</v>
      </c>
      <c r="D16" s="97">
        <v>0</v>
      </c>
      <c r="E16" s="97">
        <v>0</v>
      </c>
      <c r="F16" s="97">
        <v>0</v>
      </c>
      <c r="G16" s="97">
        <v>0</v>
      </c>
      <c r="H16" s="97">
        <v>0</v>
      </c>
      <c r="I16" s="97">
        <v>0</v>
      </c>
      <c r="J16" s="97">
        <v>0</v>
      </c>
      <c r="K16" s="97">
        <v>0</v>
      </c>
      <c r="L16" s="97">
        <v>0</v>
      </c>
      <c r="M16" s="97">
        <v>0</v>
      </c>
      <c r="N16" s="97">
        <v>0</v>
      </c>
      <c r="O16" s="97">
        <v>0</v>
      </c>
      <c r="P16" s="97">
        <v>1</v>
      </c>
      <c r="Q16" s="97">
        <v>0</v>
      </c>
      <c r="R16" s="97">
        <v>1</v>
      </c>
      <c r="S16" s="97">
        <v>1</v>
      </c>
      <c r="T16" s="97">
        <v>0</v>
      </c>
      <c r="U16" s="97">
        <v>0</v>
      </c>
      <c r="V16" s="97">
        <v>0</v>
      </c>
      <c r="W16" s="97">
        <v>0</v>
      </c>
      <c r="X16" s="97">
        <v>0</v>
      </c>
      <c r="Y16" s="97">
        <v>0</v>
      </c>
      <c r="Z16" s="97">
        <v>0</v>
      </c>
      <c r="AA16" s="97">
        <v>0</v>
      </c>
      <c r="AB16" s="97">
        <v>0</v>
      </c>
    </row>
    <row r="17" spans="1:28" customFormat="1" x14ac:dyDescent="0.15">
      <c r="A17" s="172" t="s">
        <v>207</v>
      </c>
      <c r="B17" s="97">
        <v>0</v>
      </c>
      <c r="C17" s="97">
        <v>0</v>
      </c>
      <c r="D17" s="97">
        <v>0</v>
      </c>
      <c r="E17" s="97">
        <v>0</v>
      </c>
      <c r="F17" s="97">
        <v>0</v>
      </c>
      <c r="G17" s="97">
        <v>0</v>
      </c>
      <c r="H17" s="97">
        <v>0</v>
      </c>
      <c r="I17" s="97">
        <v>0</v>
      </c>
      <c r="J17" s="97">
        <v>0</v>
      </c>
      <c r="K17" s="97">
        <v>0</v>
      </c>
      <c r="L17" s="97">
        <v>0</v>
      </c>
      <c r="M17" s="97">
        <v>0</v>
      </c>
      <c r="N17" s="97">
        <v>0</v>
      </c>
      <c r="O17" s="97">
        <v>1</v>
      </c>
      <c r="P17" s="97">
        <v>1</v>
      </c>
      <c r="Q17" s="97">
        <v>0</v>
      </c>
      <c r="R17" s="97">
        <v>1</v>
      </c>
      <c r="S17" s="97">
        <v>0</v>
      </c>
      <c r="T17" s="97">
        <v>0</v>
      </c>
      <c r="U17" s="97">
        <v>0</v>
      </c>
      <c r="V17" s="97">
        <v>0</v>
      </c>
      <c r="W17" s="97">
        <v>0</v>
      </c>
      <c r="X17" s="97">
        <v>0</v>
      </c>
      <c r="Y17" s="97">
        <v>0</v>
      </c>
      <c r="Z17" s="97">
        <v>0</v>
      </c>
      <c r="AA17" s="97">
        <v>0</v>
      </c>
      <c r="AB17" s="97">
        <v>0</v>
      </c>
    </row>
    <row r="18" spans="1:28" customFormat="1" x14ac:dyDescent="0.15">
      <c r="A18" s="172" t="s">
        <v>208</v>
      </c>
      <c r="B18" s="97">
        <v>0</v>
      </c>
      <c r="C18" s="97">
        <v>0</v>
      </c>
      <c r="D18" s="97">
        <v>0</v>
      </c>
      <c r="E18" s="97">
        <v>0</v>
      </c>
      <c r="F18" s="97">
        <v>0</v>
      </c>
      <c r="G18" s="97">
        <v>0</v>
      </c>
      <c r="H18" s="97">
        <v>0</v>
      </c>
      <c r="I18" s="97">
        <v>0</v>
      </c>
      <c r="J18" s="97">
        <v>1</v>
      </c>
      <c r="K18" s="97">
        <v>0</v>
      </c>
      <c r="L18" s="97">
        <v>0</v>
      </c>
      <c r="M18" s="97">
        <v>0</v>
      </c>
      <c r="N18" s="97">
        <v>0</v>
      </c>
      <c r="O18" s="97">
        <v>0</v>
      </c>
      <c r="P18" s="97">
        <v>1</v>
      </c>
      <c r="Q18" s="97">
        <v>0</v>
      </c>
      <c r="R18" s="97">
        <v>0</v>
      </c>
      <c r="S18" s="97">
        <v>0</v>
      </c>
      <c r="T18" s="97">
        <v>0</v>
      </c>
      <c r="U18" s="97">
        <v>0</v>
      </c>
      <c r="V18" s="97">
        <v>0</v>
      </c>
      <c r="W18" s="97">
        <v>0</v>
      </c>
      <c r="X18" s="97">
        <v>0</v>
      </c>
      <c r="Y18" s="97">
        <v>0</v>
      </c>
      <c r="Z18" s="97">
        <v>0</v>
      </c>
      <c r="AA18" s="97">
        <v>0</v>
      </c>
      <c r="AB18" s="97">
        <v>0</v>
      </c>
    </row>
    <row r="19" spans="1:28" customFormat="1" x14ac:dyDescent="0.15">
      <c r="A19" s="172" t="s">
        <v>209</v>
      </c>
      <c r="B19" s="97">
        <v>0</v>
      </c>
      <c r="C19" s="97">
        <v>0</v>
      </c>
      <c r="D19" s="97">
        <v>0</v>
      </c>
      <c r="E19" s="97">
        <v>0</v>
      </c>
      <c r="F19" s="97">
        <v>0</v>
      </c>
      <c r="G19" s="97">
        <v>0</v>
      </c>
      <c r="H19" s="97">
        <v>0</v>
      </c>
      <c r="I19" s="97">
        <v>0</v>
      </c>
      <c r="J19" s="97">
        <v>1</v>
      </c>
      <c r="K19" s="97">
        <v>0</v>
      </c>
      <c r="L19" s="97">
        <v>0</v>
      </c>
      <c r="M19" s="97">
        <v>0</v>
      </c>
      <c r="N19" s="97">
        <v>0</v>
      </c>
      <c r="O19" s="97">
        <v>0</v>
      </c>
      <c r="P19" s="97">
        <v>0</v>
      </c>
      <c r="Q19" s="97">
        <v>0</v>
      </c>
      <c r="R19" s="97">
        <v>0</v>
      </c>
      <c r="S19" s="97">
        <v>0</v>
      </c>
      <c r="T19" s="97">
        <v>0</v>
      </c>
      <c r="U19" s="97">
        <v>0</v>
      </c>
      <c r="V19" s="97">
        <v>0</v>
      </c>
      <c r="W19" s="97">
        <v>0</v>
      </c>
      <c r="X19" s="97">
        <v>0</v>
      </c>
      <c r="Y19" s="97">
        <v>0</v>
      </c>
      <c r="Z19" s="97">
        <v>0</v>
      </c>
      <c r="AA19" s="97">
        <v>0</v>
      </c>
      <c r="AB19" s="97">
        <v>0</v>
      </c>
    </row>
    <row r="20" spans="1:28" customFormat="1" x14ac:dyDescent="0.15">
      <c r="A20" s="172" t="s">
        <v>210</v>
      </c>
      <c r="B20" s="97">
        <v>0</v>
      </c>
      <c r="C20" s="97">
        <v>0</v>
      </c>
      <c r="D20" s="97">
        <v>0</v>
      </c>
      <c r="E20" s="97">
        <v>0</v>
      </c>
      <c r="F20" s="97">
        <v>0</v>
      </c>
      <c r="G20" s="97">
        <v>0</v>
      </c>
      <c r="H20" s="97">
        <v>0</v>
      </c>
      <c r="I20" s="97">
        <v>1</v>
      </c>
      <c r="J20" s="97">
        <v>1</v>
      </c>
      <c r="K20" s="97">
        <v>1</v>
      </c>
      <c r="L20" s="97">
        <v>0</v>
      </c>
      <c r="M20" s="97">
        <v>0</v>
      </c>
      <c r="N20" s="97">
        <v>0</v>
      </c>
      <c r="O20" s="97">
        <v>1</v>
      </c>
      <c r="P20" s="97">
        <v>1</v>
      </c>
      <c r="Q20" s="97">
        <v>0</v>
      </c>
      <c r="R20" s="97">
        <v>1</v>
      </c>
      <c r="S20" s="97">
        <v>0</v>
      </c>
      <c r="T20" s="97">
        <v>0</v>
      </c>
      <c r="U20" s="97">
        <v>0</v>
      </c>
      <c r="V20" s="97">
        <v>0</v>
      </c>
      <c r="W20" s="97">
        <v>0</v>
      </c>
      <c r="X20" s="97">
        <v>0</v>
      </c>
      <c r="Y20" s="97">
        <v>0</v>
      </c>
      <c r="Z20" s="97">
        <v>0</v>
      </c>
      <c r="AA20" s="97">
        <v>0</v>
      </c>
      <c r="AB20" s="97">
        <v>0</v>
      </c>
    </row>
    <row r="21" spans="1:28" customFormat="1" x14ac:dyDescent="0.15">
      <c r="A21" s="172" t="s">
        <v>211</v>
      </c>
      <c r="B21" s="97">
        <v>0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1</v>
      </c>
      <c r="M21" s="97">
        <v>0</v>
      </c>
      <c r="N21" s="97">
        <v>0</v>
      </c>
      <c r="O21" s="97">
        <v>0</v>
      </c>
      <c r="P21" s="97">
        <v>0</v>
      </c>
      <c r="Q21" s="97">
        <v>0</v>
      </c>
      <c r="R21" s="97">
        <v>0</v>
      </c>
      <c r="S21" s="97">
        <v>0</v>
      </c>
      <c r="T21" s="97">
        <v>0</v>
      </c>
      <c r="U21" s="97">
        <v>0</v>
      </c>
      <c r="V21" s="97">
        <v>0</v>
      </c>
      <c r="W21" s="97">
        <v>0</v>
      </c>
      <c r="X21" s="97">
        <v>0</v>
      </c>
      <c r="Y21" s="97">
        <v>0</v>
      </c>
      <c r="Z21" s="97">
        <v>0</v>
      </c>
      <c r="AA21" s="97">
        <v>0</v>
      </c>
      <c r="AB21" s="97">
        <v>0</v>
      </c>
    </row>
    <row r="22" spans="1:28" customFormat="1" x14ac:dyDescent="0.15">
      <c r="A22" s="172" t="s">
        <v>212</v>
      </c>
      <c r="B22" s="97">
        <v>0</v>
      </c>
      <c r="C22" s="97">
        <v>0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97">
        <v>0</v>
      </c>
      <c r="N22" s="97">
        <v>1</v>
      </c>
      <c r="O22" s="97">
        <v>0</v>
      </c>
      <c r="P22" s="97">
        <v>0</v>
      </c>
      <c r="Q22" s="97">
        <v>0</v>
      </c>
      <c r="R22" s="97">
        <v>0</v>
      </c>
      <c r="S22" s="97">
        <v>0</v>
      </c>
      <c r="T22" s="97">
        <v>0</v>
      </c>
      <c r="U22" s="97">
        <v>1</v>
      </c>
      <c r="V22" s="97">
        <v>0</v>
      </c>
      <c r="W22" s="97">
        <v>0</v>
      </c>
      <c r="X22" s="97">
        <v>0</v>
      </c>
      <c r="Y22" s="97">
        <v>0</v>
      </c>
      <c r="Z22" s="97">
        <v>0</v>
      </c>
      <c r="AA22" s="97">
        <v>0</v>
      </c>
      <c r="AB22" s="97">
        <v>0</v>
      </c>
    </row>
    <row r="23" spans="1:28" customFormat="1" x14ac:dyDescent="0.15">
      <c r="A23" s="172" t="s">
        <v>213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1</v>
      </c>
      <c r="H23" s="97">
        <v>1</v>
      </c>
      <c r="I23" s="97">
        <v>0</v>
      </c>
      <c r="J23" s="97">
        <v>1</v>
      </c>
      <c r="K23" s="97">
        <v>0</v>
      </c>
      <c r="L23" s="97">
        <v>0</v>
      </c>
      <c r="M23" s="97">
        <v>1</v>
      </c>
      <c r="N23" s="97">
        <v>0</v>
      </c>
      <c r="O23" s="97">
        <v>1</v>
      </c>
      <c r="P23" s="97">
        <v>1</v>
      </c>
      <c r="Q23" s="97">
        <v>1</v>
      </c>
      <c r="R23" s="97">
        <v>1</v>
      </c>
      <c r="S23" s="97">
        <v>0</v>
      </c>
      <c r="T23" s="97">
        <v>0</v>
      </c>
      <c r="U23" s="97">
        <v>1</v>
      </c>
      <c r="V23" s="97">
        <v>0</v>
      </c>
      <c r="W23" s="97">
        <v>1</v>
      </c>
      <c r="X23" s="97">
        <v>0</v>
      </c>
      <c r="Y23" s="97">
        <v>0</v>
      </c>
      <c r="Z23" s="97">
        <v>0</v>
      </c>
      <c r="AA23" s="97">
        <v>0</v>
      </c>
      <c r="AB23" s="97">
        <v>0</v>
      </c>
    </row>
    <row r="24" spans="1:28" customFormat="1" x14ac:dyDescent="0.15">
      <c r="A24" s="172" t="s">
        <v>214</v>
      </c>
      <c r="B24" s="97">
        <v>0</v>
      </c>
      <c r="C24" s="97">
        <v>0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1</v>
      </c>
      <c r="J24" s="97">
        <v>1</v>
      </c>
      <c r="K24" s="97">
        <v>1</v>
      </c>
      <c r="L24" s="97">
        <v>1</v>
      </c>
      <c r="M24" s="97">
        <v>1</v>
      </c>
      <c r="N24" s="97">
        <v>0</v>
      </c>
      <c r="O24" s="97">
        <v>1</v>
      </c>
      <c r="P24" s="97">
        <v>1</v>
      </c>
      <c r="Q24" s="97">
        <v>1</v>
      </c>
      <c r="R24" s="97">
        <v>1</v>
      </c>
      <c r="S24" s="97">
        <v>1</v>
      </c>
      <c r="T24" s="97">
        <v>1</v>
      </c>
      <c r="U24" s="97">
        <v>0</v>
      </c>
      <c r="V24" s="97">
        <v>0</v>
      </c>
      <c r="W24" s="97">
        <v>0</v>
      </c>
      <c r="X24" s="97">
        <v>1</v>
      </c>
      <c r="Y24" s="97">
        <v>0</v>
      </c>
      <c r="Z24" s="97">
        <v>0</v>
      </c>
      <c r="AA24" s="97">
        <v>0</v>
      </c>
      <c r="AB24" s="97">
        <v>0</v>
      </c>
    </row>
    <row r="25" spans="1:28" customFormat="1" x14ac:dyDescent="0.15">
      <c r="A25" s="172" t="s">
        <v>215</v>
      </c>
      <c r="B25" s="97">
        <v>0</v>
      </c>
      <c r="C25" s="97">
        <v>0</v>
      </c>
      <c r="D25" s="97">
        <v>0</v>
      </c>
      <c r="E25" s="97">
        <v>0</v>
      </c>
      <c r="F25" s="97">
        <v>0</v>
      </c>
      <c r="G25" s="97">
        <v>0</v>
      </c>
      <c r="H25" s="97">
        <v>0</v>
      </c>
      <c r="I25" s="97">
        <v>0</v>
      </c>
      <c r="J25" s="97">
        <v>1</v>
      </c>
      <c r="K25" s="97">
        <v>0</v>
      </c>
      <c r="L25" s="97">
        <v>1</v>
      </c>
      <c r="M25" s="97">
        <v>0</v>
      </c>
      <c r="N25" s="97">
        <v>0</v>
      </c>
      <c r="O25" s="97">
        <v>1</v>
      </c>
      <c r="P25" s="97">
        <v>0</v>
      </c>
      <c r="Q25" s="97">
        <v>0</v>
      </c>
      <c r="R25" s="97">
        <v>1</v>
      </c>
      <c r="S25" s="97">
        <v>0</v>
      </c>
      <c r="T25" s="97">
        <v>1</v>
      </c>
      <c r="U25" s="97">
        <v>0</v>
      </c>
      <c r="V25" s="97">
        <v>0</v>
      </c>
      <c r="W25" s="97">
        <v>0</v>
      </c>
      <c r="X25" s="97">
        <v>1</v>
      </c>
      <c r="Y25" s="97">
        <v>0</v>
      </c>
      <c r="Z25" s="97">
        <v>0</v>
      </c>
      <c r="AA25" s="97">
        <v>0</v>
      </c>
      <c r="AB25" s="97">
        <v>0</v>
      </c>
    </row>
    <row r="26" spans="1:28" customFormat="1" x14ac:dyDescent="0.15">
      <c r="A26" s="172" t="s">
        <v>216</v>
      </c>
      <c r="B26" s="97">
        <v>0</v>
      </c>
      <c r="C26" s="97">
        <v>0</v>
      </c>
      <c r="D26" s="97">
        <v>1</v>
      </c>
      <c r="E26" s="97"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97">
        <v>0</v>
      </c>
      <c r="P26" s="97">
        <v>0</v>
      </c>
      <c r="Q26" s="97">
        <v>0</v>
      </c>
      <c r="R26" s="97">
        <v>0</v>
      </c>
      <c r="S26" s="97">
        <v>0</v>
      </c>
      <c r="T26" s="97">
        <v>0</v>
      </c>
      <c r="U26" s="97">
        <v>0</v>
      </c>
      <c r="V26" s="97">
        <v>0</v>
      </c>
      <c r="W26" s="97">
        <v>0</v>
      </c>
      <c r="X26" s="97">
        <v>0</v>
      </c>
      <c r="Y26" s="97">
        <v>1</v>
      </c>
      <c r="Z26" s="97">
        <v>0</v>
      </c>
      <c r="AA26" s="97">
        <v>0</v>
      </c>
      <c r="AB26" s="97">
        <v>0</v>
      </c>
    </row>
    <row r="27" spans="1:28" customFormat="1" x14ac:dyDescent="0.15">
      <c r="A27" s="172" t="s">
        <v>217</v>
      </c>
      <c r="B27" s="97">
        <v>0</v>
      </c>
      <c r="C27" s="97">
        <v>0</v>
      </c>
      <c r="D27" s="97">
        <v>1</v>
      </c>
      <c r="E27" s="97">
        <v>1</v>
      </c>
      <c r="F27" s="97">
        <v>1</v>
      </c>
      <c r="G27" s="97">
        <v>1</v>
      </c>
      <c r="H27" s="97">
        <v>1</v>
      </c>
      <c r="I27" s="97">
        <v>0</v>
      </c>
      <c r="J27" s="97">
        <v>0</v>
      </c>
      <c r="K27" s="97">
        <v>1</v>
      </c>
      <c r="L27" s="97">
        <v>0</v>
      </c>
      <c r="M27" s="97">
        <v>1</v>
      </c>
      <c r="N27" s="97">
        <v>0</v>
      </c>
      <c r="O27" s="97">
        <v>0</v>
      </c>
      <c r="P27" s="97">
        <v>0</v>
      </c>
      <c r="Q27" s="97">
        <v>1</v>
      </c>
      <c r="R27" s="97">
        <v>1</v>
      </c>
      <c r="S27" s="97">
        <v>1</v>
      </c>
      <c r="T27" s="97">
        <v>1</v>
      </c>
      <c r="U27" s="97">
        <v>1</v>
      </c>
      <c r="V27" s="97">
        <v>0</v>
      </c>
      <c r="W27" s="97">
        <v>1</v>
      </c>
      <c r="X27" s="97">
        <v>1</v>
      </c>
      <c r="Y27" s="97">
        <v>1</v>
      </c>
      <c r="Z27" s="97">
        <v>0</v>
      </c>
      <c r="AA27" s="97">
        <v>0</v>
      </c>
      <c r="AB27" s="97">
        <v>0</v>
      </c>
    </row>
    <row r="28" spans="1:28" customFormat="1" x14ac:dyDescent="0.15">
      <c r="A28" s="172" t="s">
        <v>218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97">
        <v>0</v>
      </c>
      <c r="N28" s="97">
        <v>0</v>
      </c>
      <c r="O28" s="97">
        <v>0</v>
      </c>
      <c r="P28" s="97">
        <v>0</v>
      </c>
      <c r="Q28" s="97">
        <v>0</v>
      </c>
      <c r="R28" s="97">
        <v>0</v>
      </c>
      <c r="S28" s="97">
        <v>0</v>
      </c>
      <c r="T28" s="97">
        <v>0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v>0</v>
      </c>
      <c r="AA28" s="97">
        <v>0</v>
      </c>
      <c r="AB28" s="97">
        <v>0</v>
      </c>
    </row>
    <row r="29" spans="1:28" customFormat="1" x14ac:dyDescent="0.15">
      <c r="A29" s="172" t="s">
        <v>220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97">
        <v>0</v>
      </c>
      <c r="P29" s="97">
        <v>0</v>
      </c>
      <c r="Q29" s="97">
        <v>0</v>
      </c>
      <c r="R29" s="97">
        <v>0</v>
      </c>
      <c r="S29" s="97">
        <v>0</v>
      </c>
      <c r="T29" s="97">
        <v>0</v>
      </c>
      <c r="U29" s="97">
        <v>0</v>
      </c>
      <c r="V29" s="97">
        <v>0</v>
      </c>
      <c r="W29" s="97">
        <v>0</v>
      </c>
      <c r="X29" s="97">
        <v>0</v>
      </c>
      <c r="Y29" s="97">
        <v>0</v>
      </c>
      <c r="Z29" s="97">
        <v>0</v>
      </c>
      <c r="AA29" s="97">
        <v>0</v>
      </c>
      <c r="AB29" s="97">
        <v>0</v>
      </c>
    </row>
    <row r="30" spans="1:28" customFormat="1" x14ac:dyDescent="0.15"/>
    <row r="31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5" t="s">
        <v>219</v>
      </c>
    </row>
    <row r="2" spans="1:3" x14ac:dyDescent="0.15">
      <c r="A2">
        <v>1</v>
      </c>
      <c r="B2" s="174" t="s">
        <v>192</v>
      </c>
      <c r="C2">
        <v>0</v>
      </c>
    </row>
    <row r="3" spans="1:3" x14ac:dyDescent="0.15">
      <c r="A3">
        <v>2</v>
      </c>
      <c r="B3" s="174" t="s">
        <v>193</v>
      </c>
      <c r="C3">
        <v>0.8</v>
      </c>
    </row>
    <row r="4" spans="1:3" x14ac:dyDescent="0.15">
      <c r="A4">
        <v>3</v>
      </c>
      <c r="B4" s="174" t="s">
        <v>194</v>
      </c>
      <c r="C4">
        <v>0</v>
      </c>
    </row>
    <row r="5" spans="1:3" x14ac:dyDescent="0.15">
      <c r="A5">
        <v>4</v>
      </c>
      <c r="B5" s="174" t="s">
        <v>195</v>
      </c>
      <c r="C5">
        <v>0.8</v>
      </c>
    </row>
    <row r="6" spans="1:3" x14ac:dyDescent="0.15">
      <c r="A6">
        <v>5</v>
      </c>
      <c r="B6" s="174" t="s">
        <v>196</v>
      </c>
      <c r="C6">
        <v>0.8</v>
      </c>
    </row>
    <row r="7" spans="1:3" x14ac:dyDescent="0.15">
      <c r="A7">
        <v>6</v>
      </c>
      <c r="B7" s="174" t="s">
        <v>197</v>
      </c>
      <c r="C7">
        <v>0.8</v>
      </c>
    </row>
    <row r="8" spans="1:3" x14ac:dyDescent="0.15">
      <c r="A8">
        <v>7</v>
      </c>
      <c r="B8" s="174" t="s">
        <v>198</v>
      </c>
      <c r="C8">
        <v>0.8</v>
      </c>
    </row>
    <row r="9" spans="1:3" x14ac:dyDescent="0.15">
      <c r="A9">
        <v>8</v>
      </c>
      <c r="B9" s="174" t="s">
        <v>199</v>
      </c>
      <c r="C9">
        <v>0.8</v>
      </c>
    </row>
    <row r="10" spans="1:3" x14ac:dyDescent="0.15">
      <c r="A10">
        <v>9</v>
      </c>
      <c r="B10" s="174" t="s">
        <v>200</v>
      </c>
      <c r="C10">
        <v>0.8</v>
      </c>
    </row>
    <row r="11" spans="1:3" x14ac:dyDescent="0.15">
      <c r="A11">
        <v>10</v>
      </c>
      <c r="B11" s="174" t="s">
        <v>201</v>
      </c>
      <c r="C11">
        <v>0.8</v>
      </c>
    </row>
    <row r="12" spans="1:3" x14ac:dyDescent="0.15">
      <c r="A12">
        <v>11</v>
      </c>
      <c r="B12" s="174" t="s">
        <v>202</v>
      </c>
      <c r="C12">
        <v>0.8</v>
      </c>
    </row>
    <row r="13" spans="1:3" x14ac:dyDescent="0.15">
      <c r="A13">
        <v>12</v>
      </c>
      <c r="B13" s="174" t="s">
        <v>203</v>
      </c>
      <c r="C13">
        <v>0.8</v>
      </c>
    </row>
    <row r="14" spans="1:3" x14ac:dyDescent="0.15">
      <c r="A14">
        <v>13</v>
      </c>
      <c r="B14" s="174" t="s">
        <v>204</v>
      </c>
      <c r="C14">
        <v>0.8</v>
      </c>
    </row>
    <row r="15" spans="1:3" x14ac:dyDescent="0.15">
      <c r="A15">
        <v>14</v>
      </c>
      <c r="B15" s="174" t="s">
        <v>205</v>
      </c>
      <c r="C15">
        <v>0.8</v>
      </c>
    </row>
    <row r="16" spans="1:3" x14ac:dyDescent="0.15">
      <c r="A16">
        <v>15</v>
      </c>
      <c r="B16" s="174" t="s">
        <v>206</v>
      </c>
      <c r="C16">
        <v>0.8</v>
      </c>
    </row>
    <row r="17" spans="1:3" x14ac:dyDescent="0.15">
      <c r="A17">
        <v>16</v>
      </c>
      <c r="B17" s="174" t="s">
        <v>207</v>
      </c>
      <c r="C17">
        <v>0.8</v>
      </c>
    </row>
    <row r="18" spans="1:3" x14ac:dyDescent="0.15">
      <c r="A18">
        <v>17</v>
      </c>
      <c r="B18" s="174" t="s">
        <v>208</v>
      </c>
      <c r="C18">
        <v>0.8</v>
      </c>
    </row>
    <row r="19" spans="1:3" x14ac:dyDescent="0.15">
      <c r="A19">
        <v>18</v>
      </c>
      <c r="B19" s="174" t="s">
        <v>209</v>
      </c>
      <c r="C19">
        <v>0.8</v>
      </c>
    </row>
    <row r="20" spans="1:3" x14ac:dyDescent="0.15">
      <c r="A20">
        <v>19</v>
      </c>
      <c r="B20" s="174" t="s">
        <v>210</v>
      </c>
      <c r="C20">
        <v>0.8</v>
      </c>
    </row>
    <row r="21" spans="1:3" x14ac:dyDescent="0.15">
      <c r="A21">
        <v>20</v>
      </c>
      <c r="B21" s="174" t="s">
        <v>211</v>
      </c>
      <c r="C21">
        <v>0</v>
      </c>
    </row>
    <row r="22" spans="1:3" x14ac:dyDescent="0.15">
      <c r="A22">
        <v>21</v>
      </c>
      <c r="B22" s="174" t="s">
        <v>212</v>
      </c>
      <c r="C22">
        <v>0</v>
      </c>
    </row>
    <row r="23" spans="1:3" x14ac:dyDescent="0.15">
      <c r="A23">
        <v>22</v>
      </c>
      <c r="B23" s="174" t="s">
        <v>213</v>
      </c>
      <c r="C23">
        <v>0</v>
      </c>
    </row>
    <row r="24" spans="1:3" x14ac:dyDescent="0.15">
      <c r="A24">
        <v>23</v>
      </c>
      <c r="B24" s="174" t="s">
        <v>214</v>
      </c>
      <c r="C24">
        <v>0.8</v>
      </c>
    </row>
    <row r="25" spans="1:3" x14ac:dyDescent="0.15">
      <c r="A25">
        <v>24</v>
      </c>
      <c r="B25" s="174" t="s">
        <v>215</v>
      </c>
      <c r="C25">
        <v>0.8</v>
      </c>
    </row>
    <row r="26" spans="1:3" x14ac:dyDescent="0.15">
      <c r="A26">
        <v>25</v>
      </c>
      <c r="B26" s="174" t="s">
        <v>216</v>
      </c>
      <c r="C26">
        <v>0</v>
      </c>
    </row>
    <row r="27" spans="1:3" x14ac:dyDescent="0.15">
      <c r="A27">
        <v>26</v>
      </c>
      <c r="B27" s="174" t="s">
        <v>217</v>
      </c>
      <c r="C27">
        <v>0</v>
      </c>
    </row>
    <row r="28" spans="1:3" x14ac:dyDescent="0.15">
      <c r="A28">
        <v>27</v>
      </c>
      <c r="B28" s="174" t="s">
        <v>218</v>
      </c>
      <c r="C2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7" t="s">
        <v>219</v>
      </c>
    </row>
    <row r="2" spans="1:3" x14ac:dyDescent="0.15">
      <c r="A2">
        <v>1</v>
      </c>
      <c r="B2" s="176" t="s">
        <v>192</v>
      </c>
      <c r="C2">
        <v>0</v>
      </c>
    </row>
    <row r="3" spans="1:3" x14ac:dyDescent="0.15">
      <c r="A3">
        <v>2</v>
      </c>
      <c r="B3" s="176" t="s">
        <v>193</v>
      </c>
      <c r="C3">
        <v>0.8</v>
      </c>
    </row>
    <row r="4" spans="1:3" x14ac:dyDescent="0.15">
      <c r="A4">
        <v>3</v>
      </c>
      <c r="B4" s="176" t="s">
        <v>194</v>
      </c>
      <c r="C4">
        <v>0</v>
      </c>
    </row>
    <row r="5" spans="1:3" x14ac:dyDescent="0.15">
      <c r="A5">
        <v>4</v>
      </c>
      <c r="B5" s="176" t="s">
        <v>195</v>
      </c>
      <c r="C5">
        <v>0.8</v>
      </c>
    </row>
    <row r="6" spans="1:3" x14ac:dyDescent="0.15">
      <c r="A6">
        <v>5</v>
      </c>
      <c r="B6" s="176" t="s">
        <v>196</v>
      </c>
      <c r="C6">
        <v>0.8</v>
      </c>
    </row>
    <row r="7" spans="1:3" x14ac:dyDescent="0.15">
      <c r="A7">
        <v>6</v>
      </c>
      <c r="B7" s="176" t="s">
        <v>197</v>
      </c>
      <c r="C7">
        <v>0.8</v>
      </c>
    </row>
    <row r="8" spans="1:3" x14ac:dyDescent="0.15">
      <c r="A8">
        <v>7</v>
      </c>
      <c r="B8" s="176" t="s">
        <v>198</v>
      </c>
      <c r="C8">
        <v>0.8</v>
      </c>
    </row>
    <row r="9" spans="1:3" x14ac:dyDescent="0.15">
      <c r="A9">
        <v>8</v>
      </c>
      <c r="B9" s="176" t="s">
        <v>199</v>
      </c>
      <c r="C9">
        <v>0.8</v>
      </c>
    </row>
    <row r="10" spans="1:3" x14ac:dyDescent="0.15">
      <c r="A10">
        <v>9</v>
      </c>
      <c r="B10" s="176" t="s">
        <v>200</v>
      </c>
      <c r="C10">
        <v>0.8</v>
      </c>
    </row>
    <row r="11" spans="1:3" x14ac:dyDescent="0.15">
      <c r="A11">
        <v>10</v>
      </c>
      <c r="B11" s="176" t="s">
        <v>201</v>
      </c>
      <c r="C11">
        <v>0.8</v>
      </c>
    </row>
    <row r="12" spans="1:3" x14ac:dyDescent="0.15">
      <c r="A12">
        <v>11</v>
      </c>
      <c r="B12" s="176" t="s">
        <v>202</v>
      </c>
      <c r="C12">
        <v>0.8</v>
      </c>
    </row>
    <row r="13" spans="1:3" x14ac:dyDescent="0.15">
      <c r="A13">
        <v>12</v>
      </c>
      <c r="B13" s="176" t="s">
        <v>203</v>
      </c>
      <c r="C13">
        <v>0.8</v>
      </c>
    </row>
    <row r="14" spans="1:3" x14ac:dyDescent="0.15">
      <c r="A14">
        <v>13</v>
      </c>
      <c r="B14" s="176" t="s">
        <v>204</v>
      </c>
      <c r="C14">
        <v>0.8</v>
      </c>
    </row>
    <row r="15" spans="1:3" x14ac:dyDescent="0.15">
      <c r="A15">
        <v>14</v>
      </c>
      <c r="B15" s="176" t="s">
        <v>205</v>
      </c>
      <c r="C15">
        <v>0.8</v>
      </c>
    </row>
    <row r="16" spans="1:3" x14ac:dyDescent="0.15">
      <c r="A16">
        <v>15</v>
      </c>
      <c r="B16" s="176" t="s">
        <v>206</v>
      </c>
      <c r="C16">
        <v>0.8</v>
      </c>
    </row>
    <row r="17" spans="1:3" x14ac:dyDescent="0.15">
      <c r="A17">
        <v>16</v>
      </c>
      <c r="B17" s="176" t="s">
        <v>207</v>
      </c>
      <c r="C17">
        <v>0.8</v>
      </c>
    </row>
    <row r="18" spans="1:3" x14ac:dyDescent="0.15">
      <c r="A18">
        <v>17</v>
      </c>
      <c r="B18" s="176" t="s">
        <v>208</v>
      </c>
      <c r="C18">
        <v>0.8</v>
      </c>
    </row>
    <row r="19" spans="1:3" x14ac:dyDescent="0.15">
      <c r="A19">
        <v>18</v>
      </c>
      <c r="B19" s="176" t="s">
        <v>209</v>
      </c>
      <c r="C19">
        <v>0.8</v>
      </c>
    </row>
    <row r="20" spans="1:3" x14ac:dyDescent="0.15">
      <c r="A20">
        <v>19</v>
      </c>
      <c r="B20" s="176" t="s">
        <v>210</v>
      </c>
      <c r="C20">
        <v>0.8</v>
      </c>
    </row>
    <row r="21" spans="1:3" x14ac:dyDescent="0.15">
      <c r="A21">
        <v>20</v>
      </c>
      <c r="B21" s="176" t="s">
        <v>211</v>
      </c>
      <c r="C21">
        <v>0</v>
      </c>
    </row>
    <row r="22" spans="1:3" x14ac:dyDescent="0.15">
      <c r="A22">
        <v>21</v>
      </c>
      <c r="B22" s="176" t="s">
        <v>212</v>
      </c>
      <c r="C22">
        <v>0</v>
      </c>
    </row>
    <row r="23" spans="1:3" x14ac:dyDescent="0.15">
      <c r="A23">
        <v>22</v>
      </c>
      <c r="B23" s="176" t="s">
        <v>213</v>
      </c>
      <c r="C23">
        <v>0</v>
      </c>
    </row>
    <row r="24" spans="1:3" x14ac:dyDescent="0.15">
      <c r="A24">
        <v>23</v>
      </c>
      <c r="B24" s="176" t="s">
        <v>214</v>
      </c>
      <c r="C24">
        <v>0.8</v>
      </c>
    </row>
    <row r="25" spans="1:3" x14ac:dyDescent="0.15">
      <c r="A25">
        <v>24</v>
      </c>
      <c r="B25" s="176" t="s">
        <v>215</v>
      </c>
      <c r="C25">
        <v>0.8</v>
      </c>
    </row>
    <row r="26" spans="1:3" x14ac:dyDescent="0.15">
      <c r="A26">
        <v>25</v>
      </c>
      <c r="B26" s="176" t="s">
        <v>216</v>
      </c>
      <c r="C26">
        <v>0</v>
      </c>
    </row>
    <row r="27" spans="1:3" x14ac:dyDescent="0.15">
      <c r="A27">
        <v>26</v>
      </c>
      <c r="B27" s="176" t="s">
        <v>217</v>
      </c>
      <c r="C27">
        <v>0</v>
      </c>
    </row>
    <row r="28" spans="1:3" x14ac:dyDescent="0.15">
      <c r="A28">
        <v>27</v>
      </c>
      <c r="B28" s="176" t="s">
        <v>218</v>
      </c>
      <c r="C2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72"/>
    <col min="2" max="2" width="41.83203125" style="72" bestFit="1" customWidth="1"/>
    <col min="3" max="3" width="9.33203125" style="72" bestFit="1" customWidth="1"/>
    <col min="4" max="4" width="13" style="72" bestFit="1" customWidth="1"/>
    <col min="5" max="6" width="9.33203125" style="72" bestFit="1" customWidth="1"/>
    <col min="7" max="7" width="9.33203125" style="87" bestFit="1" customWidth="1"/>
    <col min="8" max="8" width="9.33203125" style="72" bestFit="1" customWidth="1"/>
    <col min="9" max="9" width="11" style="72" customWidth="1"/>
    <col min="10" max="10" width="8.83203125" style="72"/>
    <col min="15" max="16384" width="8.83203125" style="7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31">
        <v>1</v>
      </c>
      <c r="B2" s="131" t="s">
        <v>192</v>
      </c>
      <c r="C2" s="8">
        <v>1</v>
      </c>
      <c r="D2" s="9">
        <v>702</v>
      </c>
      <c r="E2" s="9">
        <v>8.4300003051757812</v>
      </c>
      <c r="F2" s="10"/>
      <c r="G2" s="9">
        <v>0.13738799095153809</v>
      </c>
      <c r="H2" s="10"/>
      <c r="I2">
        <v>0</v>
      </c>
      <c r="J2"/>
    </row>
    <row r="3" spans="1:10" ht="15" customHeight="1" x14ac:dyDescent="0.15">
      <c r="A3" s="132">
        <v>2</v>
      </c>
      <c r="B3" s="132" t="s">
        <v>193</v>
      </c>
      <c r="C3" s="8">
        <v>1</v>
      </c>
      <c r="D3" s="9">
        <v>832</v>
      </c>
      <c r="E3" s="9">
        <v>15.340000152587891</v>
      </c>
      <c r="F3" s="10"/>
      <c r="G3" s="9">
        <v>2.7944024652242661E-2</v>
      </c>
      <c r="H3" s="10"/>
      <c r="I3">
        <v>0.98799997568130493</v>
      </c>
      <c r="J3"/>
    </row>
    <row r="4" spans="1:10" ht="15" customHeight="1" x14ac:dyDescent="0.15">
      <c r="A4" s="133">
        <v>3</v>
      </c>
      <c r="B4" s="133" t="s">
        <v>194</v>
      </c>
      <c r="C4" s="8">
        <v>2.0564103126525879</v>
      </c>
      <c r="D4" s="9">
        <v>2.869999885559082</v>
      </c>
      <c r="E4" s="9">
        <v>40</v>
      </c>
      <c r="F4" s="9">
        <v>133.33332824707031</v>
      </c>
      <c r="G4" s="9">
        <v>0.9102027416229248</v>
      </c>
      <c r="H4" s="9">
        <v>0.30000001192092896</v>
      </c>
      <c r="I4">
        <v>0</v>
      </c>
      <c r="J4"/>
    </row>
    <row r="5" spans="1:10" ht="15" customHeight="1" x14ac:dyDescent="0.15">
      <c r="A5" s="134">
        <v>4</v>
      </c>
      <c r="B5" s="134" t="s">
        <v>195</v>
      </c>
      <c r="C5" s="8">
        <v>2</v>
      </c>
      <c r="D5" s="9">
        <v>0.37137788534164429</v>
      </c>
      <c r="E5" s="9">
        <v>4.4499998092651367</v>
      </c>
      <c r="F5" s="9">
        <v>22.499998092651367</v>
      </c>
      <c r="G5" s="9">
        <v>0.95000004768371582</v>
      </c>
      <c r="H5" s="9">
        <v>0.19777779281139374</v>
      </c>
      <c r="I5">
        <v>1.5700000524520874</v>
      </c>
      <c r="J5"/>
    </row>
    <row r="6" spans="1:10" ht="15" customHeight="1" x14ac:dyDescent="0.15">
      <c r="A6" s="135">
        <v>5</v>
      </c>
      <c r="B6" s="135" t="s">
        <v>196</v>
      </c>
      <c r="C6" s="8">
        <v>2</v>
      </c>
      <c r="D6" s="9">
        <v>35.770000457763672</v>
      </c>
      <c r="E6" s="9">
        <v>7.5060000419616699</v>
      </c>
      <c r="F6" s="9">
        <v>25</v>
      </c>
      <c r="G6" s="9">
        <v>0.13501858711242676</v>
      </c>
      <c r="H6" s="9">
        <v>0.30024001002311707</v>
      </c>
      <c r="I6">
        <v>1.2999999523162842</v>
      </c>
      <c r="J6"/>
    </row>
    <row r="7" spans="1:10" ht="15" customHeight="1" x14ac:dyDescent="0.15">
      <c r="A7" s="136">
        <v>6</v>
      </c>
      <c r="B7" s="136" t="s">
        <v>197</v>
      </c>
      <c r="C7" s="8">
        <v>2.022564172744751</v>
      </c>
      <c r="D7" s="9">
        <v>1.8200000524520874</v>
      </c>
      <c r="E7" s="9">
        <v>2.2139999866485596</v>
      </c>
      <c r="F7" s="9">
        <v>124</v>
      </c>
      <c r="G7" s="9">
        <v>0.73418664932250977</v>
      </c>
      <c r="H7" s="9">
        <v>1.7854837700724602E-2</v>
      </c>
      <c r="I7">
        <v>2.7599999904632568</v>
      </c>
      <c r="J7"/>
    </row>
    <row r="8" spans="1:10" ht="15" customHeight="1" x14ac:dyDescent="0.15">
      <c r="A8" s="137">
        <v>7</v>
      </c>
      <c r="B8" s="137" t="s">
        <v>198</v>
      </c>
      <c r="C8" s="8">
        <v>2.2184617519378662</v>
      </c>
      <c r="D8" s="9">
        <v>0.70999997854232788</v>
      </c>
      <c r="E8" s="9">
        <v>6.5</v>
      </c>
      <c r="F8" s="9">
        <v>47.900001525878906</v>
      </c>
      <c r="G8" s="9">
        <v>0.1790400892496109</v>
      </c>
      <c r="H8" s="9">
        <v>0.13569937646389008</v>
      </c>
      <c r="I8">
        <v>0.80000001192092896</v>
      </c>
      <c r="J8"/>
    </row>
    <row r="9" spans="1:10" ht="15" customHeight="1" x14ac:dyDescent="0.15">
      <c r="A9" s="138">
        <v>8</v>
      </c>
      <c r="B9" s="138" t="s">
        <v>199</v>
      </c>
      <c r="C9" s="8">
        <v>3.7479720115661621</v>
      </c>
      <c r="D9" s="9">
        <v>0.23800000548362732</v>
      </c>
      <c r="E9" s="9">
        <v>0.80000001192092896</v>
      </c>
      <c r="F9" s="9">
        <v>4</v>
      </c>
      <c r="G9" s="9">
        <v>0.9243696928024292</v>
      </c>
      <c r="H9" s="9">
        <v>0.20000000298023224</v>
      </c>
      <c r="I9">
        <v>0.17599999904632568</v>
      </c>
      <c r="J9"/>
    </row>
    <row r="10" spans="1:10" ht="15" customHeight="1" x14ac:dyDescent="0.15">
      <c r="A10" s="139">
        <v>9</v>
      </c>
      <c r="B10" s="139" t="s">
        <v>200</v>
      </c>
      <c r="C10" s="8">
        <v>3.5708973407745361</v>
      </c>
      <c r="D10" s="9">
        <v>0.33700001239776611</v>
      </c>
      <c r="E10" s="9">
        <v>1.5099999904632568</v>
      </c>
      <c r="F10" s="9">
        <v>7.5500001907348633</v>
      </c>
      <c r="G10" s="9">
        <v>0.99685615301132202</v>
      </c>
      <c r="H10" s="9">
        <v>0.19999998807907104</v>
      </c>
      <c r="I10">
        <v>0.30000001192092896</v>
      </c>
      <c r="J10"/>
    </row>
    <row r="11" spans="1:10" ht="15" customHeight="1" x14ac:dyDescent="0.15">
      <c r="A11" s="140">
        <v>10</v>
      </c>
      <c r="B11" s="140" t="s">
        <v>201</v>
      </c>
      <c r="C11" s="8">
        <v>3.4455492496490479</v>
      </c>
      <c r="D11" s="9">
        <v>0.10000000149011612</v>
      </c>
      <c r="E11" s="9">
        <v>1.5</v>
      </c>
      <c r="F11" s="9">
        <v>7.5</v>
      </c>
      <c r="G11" s="9">
        <v>0.82373332977294922</v>
      </c>
      <c r="H11" s="9">
        <v>0.20000000298023224</v>
      </c>
      <c r="I11">
        <v>9.4999998807907104E-2</v>
      </c>
      <c r="J11"/>
    </row>
    <row r="12" spans="1:10" ht="15" customHeight="1" x14ac:dyDescent="0.15">
      <c r="A12" s="141">
        <v>11</v>
      </c>
      <c r="B12" s="141" t="s">
        <v>202</v>
      </c>
      <c r="C12" s="8">
        <v>2.4824421405792236</v>
      </c>
      <c r="D12" s="9">
        <v>0.72930002212524414</v>
      </c>
      <c r="E12" s="9">
        <v>3.2999999523162842</v>
      </c>
      <c r="F12" s="9">
        <v>54.700000762939453</v>
      </c>
      <c r="G12" s="9">
        <v>0.402753084897995</v>
      </c>
      <c r="H12" s="9">
        <v>6.0329064726829529E-2</v>
      </c>
      <c r="I12">
        <v>0.10000000149011612</v>
      </c>
      <c r="J12"/>
    </row>
    <row r="13" spans="1:10" ht="15" customHeight="1" x14ac:dyDescent="0.15">
      <c r="A13" s="142">
        <v>12</v>
      </c>
      <c r="B13" s="142" t="s">
        <v>203</v>
      </c>
      <c r="C13" s="8">
        <v>3.2260396480560303</v>
      </c>
      <c r="D13" s="9">
        <v>3.7000000476837158E-2</v>
      </c>
      <c r="E13" s="9">
        <v>14.017950057983398</v>
      </c>
      <c r="F13" s="9">
        <v>70.089736938476562</v>
      </c>
      <c r="G13" s="9">
        <v>0.94999974966049194</v>
      </c>
      <c r="H13" s="9">
        <v>0.20000003278255463</v>
      </c>
      <c r="I13">
        <v>3.9999999105930328E-2</v>
      </c>
      <c r="J13"/>
    </row>
    <row r="14" spans="1:10" ht="15" customHeight="1" x14ac:dyDescent="0.15">
      <c r="A14" s="143">
        <v>13</v>
      </c>
      <c r="B14" s="143" t="s">
        <v>204</v>
      </c>
      <c r="C14" s="8">
        <v>2</v>
      </c>
      <c r="D14" s="9">
        <v>1.2999999523162842</v>
      </c>
      <c r="E14" s="9">
        <v>5.5999999046325684</v>
      </c>
      <c r="F14" s="9">
        <v>28</v>
      </c>
      <c r="G14" s="9">
        <v>0.13379120826721191</v>
      </c>
      <c r="H14" s="9">
        <v>0.20000000298023224</v>
      </c>
      <c r="I14">
        <v>0.97399997711181641</v>
      </c>
      <c r="J14"/>
    </row>
    <row r="15" spans="1:10" ht="15" customHeight="1" x14ac:dyDescent="0.15">
      <c r="A15" s="144">
        <v>14</v>
      </c>
      <c r="B15" s="144" t="s">
        <v>205</v>
      </c>
      <c r="C15" s="8">
        <v>3.5729901790618896</v>
      </c>
      <c r="D15" s="9">
        <v>0.40490001440048218</v>
      </c>
      <c r="E15" s="9">
        <v>3.878000020980835</v>
      </c>
      <c r="F15" s="9">
        <v>19.389999389648438</v>
      </c>
      <c r="G15" s="9">
        <v>0.82211804389953613</v>
      </c>
      <c r="H15" s="9">
        <v>0.20000000298023224</v>
      </c>
      <c r="I15">
        <v>0.32499998807907104</v>
      </c>
      <c r="J15"/>
    </row>
    <row r="16" spans="1:10" ht="15" customHeight="1" x14ac:dyDescent="0.15">
      <c r="A16" s="145">
        <v>15</v>
      </c>
      <c r="B16" s="145" t="s">
        <v>206</v>
      </c>
      <c r="C16" s="8">
        <v>3.6994788646697998</v>
      </c>
      <c r="D16" s="9">
        <v>0.65261167287826538</v>
      </c>
      <c r="E16" s="9">
        <v>3.0999999046325684</v>
      </c>
      <c r="F16" s="9">
        <v>16.639999389648438</v>
      </c>
      <c r="G16" s="9">
        <v>0.94999992847442627</v>
      </c>
      <c r="H16" s="9">
        <v>0.18629807233810425</v>
      </c>
      <c r="I16">
        <v>0.75</v>
      </c>
      <c r="J16"/>
    </row>
    <row r="17" spans="1:10" ht="15" customHeight="1" x14ac:dyDescent="0.15">
      <c r="A17" s="146">
        <v>16</v>
      </c>
      <c r="B17" s="146" t="s">
        <v>207</v>
      </c>
      <c r="C17" s="8">
        <v>3.0113389492034912</v>
      </c>
      <c r="D17" s="9">
        <v>8.3999998867511749E-2</v>
      </c>
      <c r="E17" s="9">
        <v>2.7300000190734863</v>
      </c>
      <c r="F17" s="9">
        <v>13.649999618530273</v>
      </c>
      <c r="G17" s="9">
        <v>0.91511720418930054</v>
      </c>
      <c r="H17" s="9">
        <v>0.20000000298023224</v>
      </c>
      <c r="I17">
        <v>6.0000000521540642E-3</v>
      </c>
      <c r="J17"/>
    </row>
    <row r="18" spans="1:10" ht="15" customHeight="1" x14ac:dyDescent="0.15">
      <c r="A18" s="147">
        <v>17</v>
      </c>
      <c r="B18" s="147" t="s">
        <v>208</v>
      </c>
      <c r="C18" s="8">
        <v>3.7505016326904297</v>
      </c>
      <c r="D18" s="9">
        <v>0.33500000834465027</v>
      </c>
      <c r="E18" s="9">
        <v>1</v>
      </c>
      <c r="F18" s="9">
        <v>5</v>
      </c>
      <c r="G18" s="9">
        <v>0.98054200410842896</v>
      </c>
      <c r="H18" s="9">
        <v>0.20000000298023224</v>
      </c>
      <c r="I18">
        <v>0.16899999976158142</v>
      </c>
      <c r="J18"/>
    </row>
    <row r="19" spans="1:10" ht="15" customHeight="1" x14ac:dyDescent="0.15">
      <c r="A19" s="148">
        <v>18</v>
      </c>
      <c r="B19" s="148" t="s">
        <v>209</v>
      </c>
      <c r="C19" s="8">
        <v>2.5948898792266846</v>
      </c>
      <c r="D19" s="9">
        <v>1.2900000438094139E-2</v>
      </c>
      <c r="E19" s="9">
        <v>3</v>
      </c>
      <c r="F19" s="9">
        <v>15</v>
      </c>
      <c r="G19" s="9">
        <v>0.76081401109695435</v>
      </c>
      <c r="H19" s="9">
        <v>0.20000000298023224</v>
      </c>
      <c r="I19">
        <v>4.0000001899898052E-3</v>
      </c>
      <c r="J19"/>
    </row>
    <row r="20" spans="1:10" ht="15" customHeight="1" x14ac:dyDescent="0.15">
      <c r="A20" s="149">
        <v>19</v>
      </c>
      <c r="B20" s="149" t="s">
        <v>210</v>
      </c>
      <c r="C20" s="8">
        <v>2.7079312801361084</v>
      </c>
      <c r="D20" s="9">
        <v>0.71299999952316284</v>
      </c>
      <c r="E20" s="9">
        <v>6.179999828338623</v>
      </c>
      <c r="F20" s="9">
        <v>30.899999618530273</v>
      </c>
      <c r="G20" s="9">
        <v>0.90915369987487793</v>
      </c>
      <c r="H20" s="9">
        <v>0.20000000298023224</v>
      </c>
      <c r="I20">
        <v>0.10599999874830246</v>
      </c>
      <c r="J20"/>
    </row>
    <row r="21" spans="1:10" ht="15" customHeight="1" x14ac:dyDescent="0.15">
      <c r="A21" s="150">
        <v>20</v>
      </c>
      <c r="B21" s="150" t="s">
        <v>211</v>
      </c>
      <c r="C21" s="8">
        <v>2.5353846549987793</v>
      </c>
      <c r="D21" s="9">
        <v>200</v>
      </c>
      <c r="E21" s="9">
        <v>0.10000000149011612</v>
      </c>
      <c r="F21" s="9">
        <v>0.5</v>
      </c>
      <c r="G21" s="9">
        <v>0.11967812478542328</v>
      </c>
      <c r="H21" s="9">
        <v>0.20000000298023224</v>
      </c>
      <c r="I21">
        <v>0</v>
      </c>
      <c r="J21"/>
    </row>
    <row r="22" spans="1:10" ht="15" customHeight="1" x14ac:dyDescent="0.15">
      <c r="A22" s="151">
        <v>21</v>
      </c>
      <c r="B22" s="151" t="s">
        <v>212</v>
      </c>
      <c r="C22" s="8">
        <v>1</v>
      </c>
      <c r="D22" s="9">
        <v>90</v>
      </c>
      <c r="E22" s="9">
        <v>3.2000000476837158</v>
      </c>
      <c r="F22" s="10"/>
      <c r="G22" s="9">
        <v>0.13104166090488434</v>
      </c>
      <c r="H22" s="10"/>
      <c r="I22">
        <v>0</v>
      </c>
      <c r="J22"/>
    </row>
    <row r="23" spans="1:10" ht="15" customHeight="1" x14ac:dyDescent="0.15">
      <c r="A23" s="152">
        <v>22</v>
      </c>
      <c r="B23" s="152" t="s">
        <v>213</v>
      </c>
      <c r="C23" s="8">
        <v>2.1282050609588623</v>
      </c>
      <c r="D23" s="9">
        <v>15.814399719238281</v>
      </c>
      <c r="E23" s="9">
        <v>3</v>
      </c>
      <c r="F23" s="9">
        <v>15</v>
      </c>
      <c r="G23" s="9">
        <v>0.9500281810760498</v>
      </c>
      <c r="H23" s="9">
        <v>0.20000000298023224</v>
      </c>
      <c r="I23">
        <v>0</v>
      </c>
      <c r="J23"/>
    </row>
    <row r="24" spans="1:10" ht="15" customHeight="1" x14ac:dyDescent="0.15">
      <c r="A24" s="153">
        <v>23</v>
      </c>
      <c r="B24" s="153" t="s">
        <v>214</v>
      </c>
      <c r="C24" s="8">
        <v>2.590313196182251</v>
      </c>
      <c r="D24" s="9">
        <v>6.2412657737731934</v>
      </c>
      <c r="E24" s="9">
        <v>8.4000005722045898</v>
      </c>
      <c r="F24" s="9">
        <v>28</v>
      </c>
      <c r="G24" s="9">
        <v>0.95140695571899414</v>
      </c>
      <c r="H24" s="9">
        <v>0.30000001192092896</v>
      </c>
      <c r="I24">
        <v>0.27599999308586121</v>
      </c>
      <c r="J24"/>
    </row>
    <row r="25" spans="1:10" ht="15" customHeight="1" x14ac:dyDescent="0.15">
      <c r="A25" s="154">
        <v>24</v>
      </c>
      <c r="B25" s="154" t="s">
        <v>215</v>
      </c>
      <c r="C25" s="8">
        <v>2</v>
      </c>
      <c r="D25" s="9">
        <v>3.1099998950958252</v>
      </c>
      <c r="E25" s="9">
        <v>2.7999999523162842</v>
      </c>
      <c r="F25" s="9">
        <v>5.5999999046325684</v>
      </c>
      <c r="G25" s="9">
        <v>0.94838297367095947</v>
      </c>
      <c r="H25" s="9">
        <v>0.5</v>
      </c>
      <c r="I25">
        <v>2.3399999141693115</v>
      </c>
      <c r="J25"/>
    </row>
    <row r="26" spans="1:10" ht="15" customHeight="1" x14ac:dyDescent="0.15">
      <c r="A26" s="155">
        <v>25</v>
      </c>
      <c r="B26" s="155" t="s">
        <v>216</v>
      </c>
      <c r="C26" s="8">
        <v>1</v>
      </c>
      <c r="D26" s="9">
        <v>0.30000001192092896</v>
      </c>
      <c r="E26" s="9">
        <v>30.416999816894531</v>
      </c>
      <c r="F26" s="10"/>
      <c r="G26" s="9">
        <v>0.91505545377731323</v>
      </c>
      <c r="H26" s="10"/>
      <c r="I26">
        <v>0</v>
      </c>
      <c r="J26"/>
    </row>
    <row r="27" spans="1:10" ht="15" customHeight="1" x14ac:dyDescent="0.15">
      <c r="A27" s="156">
        <v>26</v>
      </c>
      <c r="B27" s="156" t="s">
        <v>217</v>
      </c>
      <c r="C27" s="8">
        <v>1</v>
      </c>
      <c r="D27" s="9">
        <v>1000</v>
      </c>
      <c r="E27" s="10"/>
      <c r="F27" s="10"/>
      <c r="G27" s="9">
        <v>3.9915870875120163E-2</v>
      </c>
      <c r="H27" s="10"/>
      <c r="I27">
        <v>0</v>
      </c>
      <c r="J27"/>
    </row>
    <row r="28" spans="1:10" ht="15" customHeight="1" x14ac:dyDescent="0.15">
      <c r="A28" s="157">
        <v>27</v>
      </c>
      <c r="B28" s="157" t="s">
        <v>218</v>
      </c>
      <c r="C28" s="8">
        <v>1</v>
      </c>
      <c r="D28" s="9">
        <v>5</v>
      </c>
      <c r="E28" s="10"/>
      <c r="F28" s="10"/>
      <c r="G28" s="7">
        <v>0</v>
      </c>
      <c r="H28" s="10"/>
      <c r="I28">
        <v>0</v>
      </c>
      <c r="J28"/>
    </row>
    <row r="29" spans="1:10" ht="15" customHeight="1" x14ac:dyDescent="0.15">
      <c r="A29" s="158">
        <v>28</v>
      </c>
      <c r="B29" s="158" t="s">
        <v>219</v>
      </c>
      <c r="C29" s="8">
        <v>3.1980772018432617</v>
      </c>
      <c r="D29" s="10"/>
      <c r="E29" s="10"/>
      <c r="F29" s="10"/>
      <c r="G29" s="10"/>
      <c r="H29" s="10"/>
      <c r="I29">
        <v>13.078999519348145</v>
      </c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2" bestFit="1" customWidth="1"/>
    <col min="2" max="4" width="9.5" style="72" bestFit="1" customWidth="1"/>
    <col min="5" max="7" width="9" style="72" bestFit="1" customWidth="1"/>
    <col min="8" max="16" width="12.6640625" style="72" bestFit="1" customWidth="1"/>
    <col min="17" max="17" width="12.33203125" style="72" bestFit="1" customWidth="1"/>
    <col min="18" max="18" width="8.83203125" style="72"/>
    <col min="19" max="21" width="9.33203125" style="72" bestFit="1" customWidth="1"/>
    <col min="22" max="23" width="8.83203125" style="72"/>
    <col min="24" max="24" width="9.33203125" style="72" bestFit="1" customWidth="1"/>
    <col min="25" max="27" width="8.83203125" style="72"/>
    <col min="28" max="58" width="9" style="72" bestFit="1" customWidth="1"/>
    <col min="59" max="59" width="12.33203125" style="72" bestFit="1" customWidth="1"/>
    <col min="60" max="60" width="9" style="72" bestFit="1" customWidth="1"/>
    <col min="61" max="61" width="11.33203125" style="72" bestFit="1" customWidth="1"/>
    <col min="62" max="77" width="9" style="72" bestFit="1" customWidth="1"/>
    <col min="78" max="78" width="12.33203125" style="72" bestFit="1" customWidth="1"/>
    <col min="79" max="79" width="9" style="72" bestFit="1" customWidth="1"/>
    <col min="80" max="80" width="12.33203125" style="72" bestFit="1" customWidth="1"/>
    <col min="81" max="107" width="9" style="72" bestFit="1" customWidth="1"/>
    <col min="108" max="108" width="11.33203125" style="72" bestFit="1" customWidth="1"/>
    <col min="109" max="124" width="9" style="72" bestFit="1" customWidth="1"/>
    <col min="125" max="125" width="10.33203125" style="72" bestFit="1" customWidth="1"/>
    <col min="126" max="129" width="9.33203125" style="72" bestFit="1" customWidth="1"/>
    <col min="130" max="130" width="9" style="72" bestFit="1" customWidth="1"/>
    <col min="131" max="134" width="9.33203125" style="72" bestFit="1" customWidth="1"/>
    <col min="135" max="165" width="9" style="72" bestFit="1" customWidth="1"/>
    <col min="166" max="166" width="12.33203125" style="72" bestFit="1" customWidth="1"/>
    <col min="167" max="170" width="9" style="72" bestFit="1" customWidth="1"/>
    <col min="171" max="176" width="8.83203125" style="72"/>
    <col min="177" max="177" width="13.83203125" style="72" bestFit="1" customWidth="1"/>
    <col min="178" max="16384" width="8.83203125" style="7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224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8.4300003051757812</v>
      </c>
      <c r="C2">
        <v>7.2718195915222168</v>
      </c>
      <c r="D2"/>
      <c r="E2"/>
      <c r="F2"/>
      <c r="G2"/>
      <c r="H2"/>
      <c r="I2" s="234">
        <v>0.89170223474502563</v>
      </c>
      <c r="J2" s="130">
        <v>0.2443259209394455</v>
      </c>
      <c r="K2" s="13">
        <v>9.6891745924949646E-3</v>
      </c>
      <c r="L2"/>
      <c r="M2"/>
      <c r="N2"/>
      <c r="O2"/>
      <c r="P2"/>
      <c r="Q2"/>
      <c r="R2"/>
      <c r="S2"/>
      <c r="T2"/>
      <c r="U2"/>
      <c r="V2" s="11">
        <v>1.6538462659809738E-5</v>
      </c>
      <c r="W2"/>
      <c r="X2"/>
      <c r="Y2"/>
      <c r="Z2"/>
      <c r="AA2" s="13">
        <v>1.244696881622076E-2</v>
      </c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15.340000152587891</v>
      </c>
      <c r="C3">
        <v>14.911338806152344</v>
      </c>
      <c r="D3" s="11">
        <v>1.1874999618157744E-3</v>
      </c>
      <c r="E3"/>
      <c r="F3"/>
      <c r="G3"/>
      <c r="H3"/>
      <c r="I3" s="18">
        <v>0.26870492100715637</v>
      </c>
      <c r="J3" s="12">
        <v>4.8825003206729889E-2</v>
      </c>
      <c r="K3" s="13">
        <v>2.0438101142644882E-2</v>
      </c>
      <c r="L3"/>
      <c r="M3"/>
      <c r="N3"/>
      <c r="O3" s="13">
        <v>3.2125141471624374E-2</v>
      </c>
      <c r="P3" s="11">
        <v>1.5584858192596585E-4</v>
      </c>
      <c r="Q3" s="13">
        <v>2.8437497094273567E-2</v>
      </c>
      <c r="R3"/>
      <c r="S3"/>
      <c r="T3"/>
      <c r="U3"/>
      <c r="V3" s="11">
        <v>1.3954327732790262E-4</v>
      </c>
      <c r="W3" s="11">
        <v>7.6793180778622627E-3</v>
      </c>
      <c r="X3"/>
      <c r="Y3"/>
      <c r="Z3"/>
      <c r="AA3" s="11">
        <v>1.0502129793167114E-2</v>
      </c>
      <c r="AB3" s="11">
        <v>1.0466345585882664E-2</v>
      </c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40</v>
      </c>
      <c r="C4">
        <v>3.5918903350830078</v>
      </c>
      <c r="D4"/>
      <c r="E4"/>
      <c r="F4"/>
      <c r="G4"/>
      <c r="H4"/>
      <c r="I4"/>
      <c r="J4"/>
      <c r="K4" s="130">
        <v>1.1849826574325562</v>
      </c>
      <c r="L4"/>
      <c r="M4"/>
      <c r="N4"/>
      <c r="O4" s="16">
        <v>0.55599600076675415</v>
      </c>
      <c r="P4"/>
      <c r="Q4"/>
      <c r="R4"/>
      <c r="S4"/>
      <c r="T4" s="20">
        <v>0.27965852618217468</v>
      </c>
      <c r="U4"/>
      <c r="V4" s="11">
        <v>6.7421612329781055E-3</v>
      </c>
      <c r="W4"/>
      <c r="X4" s="233">
        <v>13.937282562255859</v>
      </c>
      <c r="Y4"/>
      <c r="Z4" s="230">
        <v>8.2653656005859375</v>
      </c>
      <c r="AA4" s="232">
        <v>12.178079605102539</v>
      </c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4.4499998092651367</v>
      </c>
      <c r="C5">
        <v>0.22249977290630341</v>
      </c>
      <c r="D5" s="186">
        <v>4.2274999618530273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7.5060000419616699</v>
      </c>
      <c r="C6">
        <v>6.4925503730773926</v>
      </c>
      <c r="D6" s="12">
        <v>3.6343302577733994E-2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 s="124">
        <v>0.97710615396499634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2.2139999866485596</v>
      </c>
      <c r="C7">
        <v>0.58851075172424316</v>
      </c>
      <c r="D7" s="187">
        <v>1.5164834260940552</v>
      </c>
      <c r="E7"/>
      <c r="F7"/>
      <c r="G7"/>
      <c r="H7"/>
      <c r="I7"/>
      <c r="J7"/>
      <c r="K7"/>
      <c r="L7" s="20">
        <v>1.5692306682467461E-2</v>
      </c>
      <c r="M7" s="19">
        <v>4.1939835995435715E-2</v>
      </c>
      <c r="N7" s="15">
        <v>3.2967031002044678E-2</v>
      </c>
      <c r="O7"/>
      <c r="P7"/>
      <c r="Q7"/>
      <c r="R7"/>
      <c r="S7"/>
      <c r="T7"/>
      <c r="U7" s="20">
        <v>1.8406594172120094E-2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6.5</v>
      </c>
      <c r="C8">
        <v>5.3362393379211426</v>
      </c>
      <c r="D8" s="96">
        <v>1.1267606019973755</v>
      </c>
      <c r="E8"/>
      <c r="F8"/>
      <c r="G8"/>
      <c r="H8"/>
      <c r="I8"/>
      <c r="J8"/>
      <c r="K8"/>
      <c r="L8" s="13">
        <v>1.3408451341092587E-2</v>
      </c>
      <c r="M8"/>
      <c r="N8"/>
      <c r="O8"/>
      <c r="P8"/>
      <c r="Q8"/>
      <c r="R8"/>
      <c r="S8"/>
      <c r="T8"/>
      <c r="U8" s="12">
        <v>2.3591550067067146E-2</v>
      </c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0.80000001192092896</v>
      </c>
      <c r="C9">
        <v>6.05042465031147E-2</v>
      </c>
      <c r="D9" s="188">
        <v>0.73949575424194336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1.5099999904632568</v>
      </c>
      <c r="C10">
        <v>4.7472091391682625E-3</v>
      </c>
      <c r="D10" s="189">
        <v>0.89020770788192749</v>
      </c>
      <c r="E10"/>
      <c r="F10"/>
      <c r="G10"/>
      <c r="H10"/>
      <c r="I10"/>
      <c r="J10"/>
      <c r="K10"/>
      <c r="L10"/>
      <c r="M10"/>
      <c r="N10"/>
      <c r="O10"/>
      <c r="P10"/>
      <c r="Q10"/>
      <c r="R10" s="209">
        <v>0.46593531966209412</v>
      </c>
      <c r="S10"/>
      <c r="T10"/>
      <c r="U10" s="201">
        <v>0.14910979568958282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1.5</v>
      </c>
      <c r="C11">
        <v>0.26440000534057617</v>
      </c>
      <c r="D11" s="190">
        <v>0.94999998807907104</v>
      </c>
      <c r="E11"/>
      <c r="F11"/>
      <c r="G11"/>
      <c r="H11"/>
      <c r="I11"/>
      <c r="J11"/>
      <c r="K11"/>
      <c r="L11" s="200">
        <v>0.2855999767780304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3.2999999523162842</v>
      </c>
      <c r="C12">
        <v>1.9709148406982422</v>
      </c>
      <c r="D12" s="62">
        <v>0.13711778819561005</v>
      </c>
      <c r="E12"/>
      <c r="F12"/>
      <c r="G12"/>
      <c r="H12"/>
      <c r="I12"/>
      <c r="J12"/>
      <c r="K12"/>
      <c r="L12" s="17">
        <v>3.9160836488008499E-2</v>
      </c>
      <c r="M12" s="63">
        <v>0.2093253880739212</v>
      </c>
      <c r="N12" s="23">
        <v>8.227066695690155E-2</v>
      </c>
      <c r="O12"/>
      <c r="P12"/>
      <c r="Q12"/>
      <c r="R12" s="214">
        <v>0.86121052503585815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14.017950057983398</v>
      </c>
      <c r="C13">
        <v>0.70090103149414062</v>
      </c>
      <c r="D13" s="24">
        <v>1.0810810327529907</v>
      </c>
      <c r="E13"/>
      <c r="F13"/>
      <c r="G13"/>
      <c r="H13"/>
      <c r="I13"/>
      <c r="J13"/>
      <c r="K13"/>
      <c r="L13" s="203">
        <v>1.5437837839126587</v>
      </c>
      <c r="M13" s="204">
        <v>2.0629866123199463</v>
      </c>
      <c r="N13"/>
      <c r="O13"/>
      <c r="P13"/>
      <c r="Q13"/>
      <c r="R13" s="211">
        <v>6.3656840324401855</v>
      </c>
      <c r="S13"/>
      <c r="T13"/>
      <c r="U13" s="206">
        <v>2.2635135650634766</v>
      </c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5.5999999046325684</v>
      </c>
      <c r="C14">
        <v>4.85076904296875</v>
      </c>
      <c r="D14" s="191">
        <v>0.74923080205917358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3.878000020980835</v>
      </c>
      <c r="C15">
        <v>0.68982625007629395</v>
      </c>
      <c r="D15" s="192">
        <v>0.80266726016998291</v>
      </c>
      <c r="E15"/>
      <c r="F15"/>
      <c r="G15"/>
      <c r="H15"/>
      <c r="I15"/>
      <c r="J15"/>
      <c r="K15"/>
      <c r="L15" s="60">
        <v>0.21160781383514404</v>
      </c>
      <c r="M15" s="201">
        <v>0.37703385949134827</v>
      </c>
      <c r="N15"/>
      <c r="O15"/>
      <c r="P15"/>
      <c r="Q15"/>
      <c r="R15" s="213">
        <v>0.96949988603591919</v>
      </c>
      <c r="S15"/>
      <c r="T15"/>
      <c r="U15" s="212">
        <v>0.82736480236053467</v>
      </c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3.0999999046325684</v>
      </c>
      <c r="C16">
        <v>0.15500020980834961</v>
      </c>
      <c r="D16" s="193">
        <v>1.149228572845459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217">
        <v>1.4975999593734741</v>
      </c>
      <c r="T16"/>
      <c r="U16" s="210">
        <v>0.256661057472229</v>
      </c>
      <c r="V16" s="16">
        <v>4.1510138660669327E-2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2.7300000190734863</v>
      </c>
      <c r="C17">
        <v>0.23173002898693085</v>
      </c>
      <c r="D17" s="23">
        <v>7.1428574621677399E-2</v>
      </c>
      <c r="E17"/>
      <c r="F17"/>
      <c r="G17"/>
      <c r="H17"/>
      <c r="I17"/>
      <c r="J17"/>
      <c r="K17"/>
      <c r="L17"/>
      <c r="M17"/>
      <c r="N17"/>
      <c r="O17"/>
      <c r="P17"/>
      <c r="Q17"/>
      <c r="R17" s="205">
        <v>0.93464410305023193</v>
      </c>
      <c r="S17" s="207">
        <v>1.2927925586700439</v>
      </c>
      <c r="T17"/>
      <c r="U17" s="198">
        <v>0.19940477609634399</v>
      </c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</v>
      </c>
      <c r="C18">
        <v>1.9457995891571045E-2</v>
      </c>
      <c r="D18" s="194">
        <v>0.50447762012481689</v>
      </c>
      <c r="E18"/>
      <c r="F18"/>
      <c r="G18"/>
      <c r="H18"/>
      <c r="I18"/>
      <c r="J18"/>
      <c r="K18"/>
      <c r="L18"/>
      <c r="M18" s="202">
        <v>0.15190151333808899</v>
      </c>
      <c r="N18"/>
      <c r="O18"/>
      <c r="P18"/>
      <c r="Q18"/>
      <c r="R18"/>
      <c r="S18" s="208">
        <v>0.32416290044784546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</v>
      </c>
      <c r="C19">
        <v>0.71755796670913696</v>
      </c>
      <c r="D19" s="195">
        <v>0.31007751822471619</v>
      </c>
      <c r="E19"/>
      <c r="F19"/>
      <c r="G19"/>
      <c r="H19"/>
      <c r="I19"/>
      <c r="J19"/>
      <c r="K19"/>
      <c r="L19"/>
      <c r="M19" s="199">
        <v>1.9723645448684692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6.179999828338623</v>
      </c>
      <c r="C20">
        <v>0.56143009662628174</v>
      </c>
      <c r="D20" s="196">
        <v>0.1486676037311554</v>
      </c>
      <c r="E20"/>
      <c r="F20"/>
      <c r="G20"/>
      <c r="H20"/>
      <c r="I20"/>
      <c r="J20"/>
      <c r="K20"/>
      <c r="L20" s="60">
        <v>0.33380085229873657</v>
      </c>
      <c r="M20" s="63">
        <v>0.39253649115562439</v>
      </c>
      <c r="N20" s="21">
        <v>4.2075734585523605E-2</v>
      </c>
      <c r="O20"/>
      <c r="P20"/>
      <c r="Q20"/>
      <c r="R20" s="215">
        <v>0.88089877367019653</v>
      </c>
      <c r="S20" s="126">
        <v>3.3507444858551025</v>
      </c>
      <c r="T20"/>
      <c r="U20" s="24">
        <v>0.46984574198722839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0.10000000149011612</v>
      </c>
      <c r="C21">
        <v>8.8032186031341553E-2</v>
      </c>
      <c r="D21"/>
      <c r="E21"/>
      <c r="F21"/>
      <c r="G21"/>
      <c r="H21"/>
      <c r="I21"/>
      <c r="J21"/>
      <c r="K21"/>
      <c r="L21"/>
      <c r="M21"/>
      <c r="N21"/>
      <c r="O21" s="125">
        <v>1.1967812664806843E-2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3.2000000476837158</v>
      </c>
      <c r="C22">
        <v>2.7806668281555176</v>
      </c>
      <c r="D22"/>
      <c r="E22"/>
      <c r="F22"/>
      <c r="G22"/>
      <c r="H22"/>
      <c r="I22"/>
      <c r="J22"/>
      <c r="K22"/>
      <c r="L22"/>
      <c r="M22"/>
      <c r="N22"/>
      <c r="O22"/>
      <c r="P22"/>
      <c r="Q22" s="227">
        <v>0.1415555477142334</v>
      </c>
      <c r="R22"/>
      <c r="S22"/>
      <c r="T22"/>
      <c r="U22"/>
      <c r="V22"/>
      <c r="W22"/>
      <c r="X22" s="231">
        <v>0.27777779102325439</v>
      </c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3</v>
      </c>
      <c r="C23">
        <v>0.14991545677185059</v>
      </c>
      <c r="D23"/>
      <c r="E23"/>
      <c r="F23"/>
      <c r="G23" s="229">
        <v>1.2098677158355713</v>
      </c>
      <c r="H23"/>
      <c r="I23"/>
      <c r="J23" s="222">
        <v>0.28541076183319092</v>
      </c>
      <c r="K23" s="198">
        <v>0.21505084633827209</v>
      </c>
      <c r="L23"/>
      <c r="M23" s="14">
        <v>3.2177641987800598E-2</v>
      </c>
      <c r="N23"/>
      <c r="O23"/>
      <c r="P23" s="21">
        <v>1.639847457408905E-2</v>
      </c>
      <c r="Q23"/>
      <c r="R23" s="219">
        <v>9.9289387464523315E-2</v>
      </c>
      <c r="S23" s="15">
        <v>4.8067715018987656E-2</v>
      </c>
      <c r="T23" s="13">
        <v>7.2503536939620972E-3</v>
      </c>
      <c r="U23" s="13">
        <v>4.2366450652480125E-3</v>
      </c>
      <c r="V23"/>
      <c r="W23"/>
      <c r="X23" s="226">
        <v>0.6323351263999939</v>
      </c>
      <c r="Y23"/>
      <c r="Z23" s="127">
        <v>0.30000001192092896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8.4000005722045898</v>
      </c>
      <c r="C24">
        <v>0.40818160772323608</v>
      </c>
      <c r="D24" s="21">
        <v>4.4221796095371246E-2</v>
      </c>
      <c r="E24"/>
      <c r="F24"/>
      <c r="G24"/>
      <c r="H24"/>
      <c r="I24"/>
      <c r="J24"/>
      <c r="K24"/>
      <c r="L24" s="14">
        <v>7.6266579329967499E-2</v>
      </c>
      <c r="M24" s="61">
        <v>0.18344959616661072</v>
      </c>
      <c r="N24" s="14">
        <v>8.892427384853363E-2</v>
      </c>
      <c r="O24" s="224">
        <v>1.278353214263916</v>
      </c>
      <c r="P24" s="25">
        <v>0.29085832834243774</v>
      </c>
      <c r="Q24"/>
      <c r="R24" s="221">
        <v>0.62895983457565308</v>
      </c>
      <c r="S24" s="95">
        <v>1.0439668893814087</v>
      </c>
      <c r="T24" s="13">
        <v>1.8371272832155228E-2</v>
      </c>
      <c r="U24" s="21">
        <v>5.3675010800361633E-2</v>
      </c>
      <c r="V24" s="11">
        <v>2.1702330559492111E-3</v>
      </c>
      <c r="W24" s="225">
        <v>1.4826021194458008</v>
      </c>
      <c r="X24"/>
      <c r="Y24"/>
      <c r="Z24"/>
      <c r="AA24" s="228">
        <v>2.7999999523162842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2.7999999523162842</v>
      </c>
      <c r="C25">
        <v>0.14452767372131348</v>
      </c>
      <c r="D25" s="197">
        <v>0.75241154432296753</v>
      </c>
      <c r="E25"/>
      <c r="F25"/>
      <c r="G25"/>
      <c r="H25"/>
      <c r="I25"/>
      <c r="J25"/>
      <c r="K25"/>
      <c r="L25"/>
      <c r="M25" s="20">
        <v>2.4543572217226028E-2</v>
      </c>
      <c r="N25"/>
      <c r="O25" s="218">
        <v>0.38481715321540833</v>
      </c>
      <c r="P25"/>
      <c r="Q25"/>
      <c r="R25" s="22">
        <v>7.573322206735611E-2</v>
      </c>
      <c r="S25"/>
      <c r="T25"/>
      <c r="U25" s="12">
        <v>1.0771704837679863E-2</v>
      </c>
      <c r="V25"/>
      <c r="W25" s="216">
        <v>0.28336590528488159</v>
      </c>
      <c r="X25"/>
      <c r="Y25"/>
      <c r="Z25"/>
      <c r="AA25" s="220">
        <v>1.1238292455673218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30.416999816894531</v>
      </c>
      <c r="C26">
        <v>2.5837583541870117</v>
      </c>
      <c r="D26"/>
      <c r="E26"/>
      <c r="F26"/>
      <c r="G26" s="223">
        <v>25.5111083984375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 s="24">
        <v>2.3221330642700195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/>
      <c r="C27">
        <v>3.9915870875120163E-2</v>
      </c>
      <c r="D27"/>
      <c r="E27"/>
      <c r="F27"/>
      <c r="G27" s="9">
        <v>355.87997436523438</v>
      </c>
      <c r="H27" s="9">
        <v>8.3560018539428711</v>
      </c>
      <c r="I27" s="9">
        <v>44.712501525878906</v>
      </c>
      <c r="J27" s="9">
        <v>9.0271997451782227</v>
      </c>
      <c r="K27" s="9">
        <v>3.40090012550354</v>
      </c>
      <c r="L27"/>
      <c r="M27"/>
      <c r="N27" s="9">
        <v>4.4999998062849045E-2</v>
      </c>
      <c r="O27"/>
      <c r="P27" s="9">
        <v>0.38899806141853333</v>
      </c>
      <c r="Q27"/>
      <c r="R27"/>
      <c r="S27"/>
      <c r="T27" s="9">
        <v>0.11465999484062195</v>
      </c>
      <c r="U27" s="9">
        <v>0.20100000500679016</v>
      </c>
      <c r="V27" s="9">
        <v>5.8050001971423626E-3</v>
      </c>
      <c r="W27" s="9">
        <v>5.5079250335693359</v>
      </c>
      <c r="X27" s="9">
        <v>25</v>
      </c>
      <c r="Y27"/>
      <c r="Z27" s="9">
        <v>208.75007629394531</v>
      </c>
      <c r="AA27" s="9">
        <v>66.407066345214844</v>
      </c>
      <c r="AB27" s="9">
        <v>8.0113601684570312</v>
      </c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/>
      <c r="C28">
        <v>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workbookViewId="0">
      <selection activeCell="F26" sqref="F26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166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167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78" t="s">
        <v>192</v>
      </c>
      <c r="E5">
        <v>4</v>
      </c>
      <c r="F5">
        <v>2.2999999999999998</v>
      </c>
      <c r="G5">
        <v>4</v>
      </c>
      <c r="H5" s="179" t="s">
        <v>192</v>
      </c>
      <c r="J5" s="53"/>
      <c r="K5" s="54"/>
    </row>
    <row r="6" spans="1:12" ht="14" thickBot="1" x14ac:dyDescent="0.2">
      <c r="A6" s="37" t="s">
        <v>121</v>
      </c>
      <c r="D6" s="178" t="s">
        <v>193</v>
      </c>
      <c r="E6">
        <v>5</v>
      </c>
      <c r="F6">
        <v>2.2999999999999998</v>
      </c>
      <c r="G6">
        <v>5</v>
      </c>
      <c r="H6" s="179" t="s">
        <v>193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78" t="s">
        <v>194</v>
      </c>
      <c r="E7">
        <v>6</v>
      </c>
      <c r="F7">
        <v>3.11</v>
      </c>
      <c r="G7">
        <v>6</v>
      </c>
      <c r="H7" s="179" t="s">
        <v>194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78" t="s">
        <v>195</v>
      </c>
      <c r="E8">
        <v>7</v>
      </c>
      <c r="F8">
        <v>3.21</v>
      </c>
      <c r="G8">
        <v>7</v>
      </c>
      <c r="H8" s="179" t="s">
        <v>195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78" t="s">
        <v>196</v>
      </c>
      <c r="E9">
        <v>8</v>
      </c>
      <c r="F9">
        <v>3.21</v>
      </c>
      <c r="G9">
        <v>8</v>
      </c>
      <c r="H9" s="179" t="s">
        <v>196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78" t="s">
        <v>197</v>
      </c>
      <c r="E10">
        <v>9</v>
      </c>
      <c r="F10">
        <v>3</v>
      </c>
      <c r="G10">
        <v>9</v>
      </c>
      <c r="H10" s="179" t="s">
        <v>197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78" t="s">
        <v>198</v>
      </c>
      <c r="E11">
        <v>10</v>
      </c>
      <c r="F11">
        <v>3</v>
      </c>
      <c r="G11">
        <v>10</v>
      </c>
      <c r="H11" s="179" t="s">
        <v>198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78" t="s">
        <v>199</v>
      </c>
      <c r="E12">
        <v>11</v>
      </c>
      <c r="F12">
        <v>3.22</v>
      </c>
      <c r="G12">
        <v>11</v>
      </c>
      <c r="H12" s="179" t="s">
        <v>199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78" t="s">
        <v>200</v>
      </c>
      <c r="E13">
        <v>12</v>
      </c>
      <c r="F13">
        <v>3</v>
      </c>
      <c r="G13">
        <v>12</v>
      </c>
      <c r="H13" s="179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78" t="s">
        <v>201</v>
      </c>
      <c r="E14">
        <v>13</v>
      </c>
      <c r="F14">
        <v>3.22</v>
      </c>
      <c r="G14">
        <v>13</v>
      </c>
      <c r="H14" s="179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78" t="s">
        <v>202</v>
      </c>
      <c r="E15">
        <v>14</v>
      </c>
      <c r="F15">
        <v>3</v>
      </c>
      <c r="G15">
        <v>14</v>
      </c>
      <c r="H15" s="179" t="s">
        <v>202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78" t="s">
        <v>203</v>
      </c>
      <c r="E16">
        <v>15</v>
      </c>
      <c r="F16">
        <v>3.22</v>
      </c>
      <c r="G16">
        <v>15</v>
      </c>
      <c r="H16" s="179" t="s">
        <v>203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78" t="s">
        <v>204</v>
      </c>
      <c r="E17">
        <v>16</v>
      </c>
      <c r="F17">
        <v>3</v>
      </c>
      <c r="G17">
        <v>16</v>
      </c>
      <c r="H17" s="179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78" t="s">
        <v>205</v>
      </c>
      <c r="E18">
        <v>17</v>
      </c>
      <c r="F18">
        <v>3</v>
      </c>
      <c r="G18">
        <v>17</v>
      </c>
      <c r="H18" s="179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78" t="s">
        <v>206</v>
      </c>
      <c r="E19">
        <v>18</v>
      </c>
      <c r="F19">
        <v>3.12</v>
      </c>
      <c r="G19">
        <v>18</v>
      </c>
      <c r="H19" s="179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78" t="s">
        <v>207</v>
      </c>
      <c r="E20">
        <v>19</v>
      </c>
      <c r="F20">
        <v>3</v>
      </c>
      <c r="G20">
        <v>19</v>
      </c>
      <c r="H20" s="179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78" t="s">
        <v>208</v>
      </c>
      <c r="E21">
        <v>20</v>
      </c>
      <c r="F21">
        <v>3</v>
      </c>
      <c r="G21">
        <v>20</v>
      </c>
      <c r="H21" s="179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78" t="s">
        <v>209</v>
      </c>
      <c r="E22">
        <v>21</v>
      </c>
      <c r="F22">
        <v>3</v>
      </c>
      <c r="G22">
        <v>21</v>
      </c>
      <c r="H22" s="179" t="s">
        <v>209</v>
      </c>
    </row>
    <row r="23" spans="1:12" x14ac:dyDescent="0.15">
      <c r="A23" s="32" t="s">
        <v>129</v>
      </c>
      <c r="B23" s="40">
        <v>4</v>
      </c>
      <c r="C23" s="34"/>
      <c r="D23" s="178" t="s">
        <v>210</v>
      </c>
      <c r="E23">
        <v>22</v>
      </c>
      <c r="F23">
        <v>3</v>
      </c>
      <c r="G23">
        <v>22</v>
      </c>
      <c r="H23" s="179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78" t="s">
        <v>211</v>
      </c>
      <c r="E24">
        <v>23</v>
      </c>
      <c r="F24">
        <v>3.21</v>
      </c>
      <c r="G24">
        <v>23</v>
      </c>
      <c r="H24" s="179" t="s">
        <v>211</v>
      </c>
    </row>
    <row r="25" spans="1:12" x14ac:dyDescent="0.15">
      <c r="A25" s="32" t="s">
        <v>70</v>
      </c>
      <c r="B25" s="40">
        <v>4.2</v>
      </c>
      <c r="C25" s="34"/>
      <c r="D25" s="178" t="s">
        <v>212</v>
      </c>
      <c r="E25">
        <v>24</v>
      </c>
      <c r="F25">
        <v>2.2999999999999998</v>
      </c>
      <c r="G25">
        <v>24</v>
      </c>
      <c r="H25" s="179" t="s">
        <v>212</v>
      </c>
    </row>
    <row r="26" spans="1:12" x14ac:dyDescent="0.15">
      <c r="A26" s="32" t="s">
        <v>123</v>
      </c>
      <c r="B26" s="40">
        <v>4.3</v>
      </c>
      <c r="C26" s="34"/>
      <c r="D26" s="178" t="s">
        <v>213</v>
      </c>
      <c r="E26">
        <v>25</v>
      </c>
      <c r="F26">
        <v>3</v>
      </c>
      <c r="G26">
        <v>25</v>
      </c>
      <c r="H26" s="179" t="s">
        <v>213</v>
      </c>
    </row>
    <row r="27" spans="1:12" x14ac:dyDescent="0.15">
      <c r="A27" s="32" t="s">
        <v>125</v>
      </c>
      <c r="B27" s="40">
        <v>6.1</v>
      </c>
      <c r="D27" s="178" t="s">
        <v>214</v>
      </c>
      <c r="E27">
        <v>26</v>
      </c>
      <c r="F27">
        <v>3</v>
      </c>
      <c r="G27">
        <v>26</v>
      </c>
      <c r="H27" s="179" t="s">
        <v>214</v>
      </c>
    </row>
    <row r="28" spans="1:12" x14ac:dyDescent="0.15">
      <c r="A28" s="32" t="s">
        <v>124</v>
      </c>
      <c r="B28" s="40">
        <v>6.2</v>
      </c>
      <c r="D28" s="178" t="s">
        <v>215</v>
      </c>
      <c r="E28">
        <v>27</v>
      </c>
      <c r="F28">
        <v>3</v>
      </c>
      <c r="G28">
        <v>27</v>
      </c>
      <c r="H28" s="179" t="s">
        <v>215</v>
      </c>
    </row>
    <row r="29" spans="1:12" x14ac:dyDescent="0.15">
      <c r="A29" s="32" t="s">
        <v>44</v>
      </c>
      <c r="B29" s="40">
        <v>5</v>
      </c>
      <c r="D29" s="178" t="s">
        <v>216</v>
      </c>
      <c r="E29">
        <v>28</v>
      </c>
      <c r="F29">
        <v>2</v>
      </c>
      <c r="G29">
        <v>28</v>
      </c>
      <c r="H29" s="179" t="s">
        <v>216</v>
      </c>
    </row>
    <row r="30" spans="1:12" x14ac:dyDescent="0.15">
      <c r="A30" s="32" t="s">
        <v>73</v>
      </c>
      <c r="B30" s="40">
        <v>7</v>
      </c>
      <c r="D30" s="178" t="s">
        <v>217</v>
      </c>
      <c r="E30">
        <v>29</v>
      </c>
      <c r="F30">
        <v>4.0999999999999996</v>
      </c>
      <c r="G30">
        <v>29</v>
      </c>
      <c r="H30" s="179" t="s">
        <v>217</v>
      </c>
    </row>
    <row r="31" spans="1:12" x14ac:dyDescent="0.15">
      <c r="A31" s="32" t="s">
        <v>169</v>
      </c>
      <c r="B31" s="40">
        <v>3.14</v>
      </c>
      <c r="D31" s="178" t="s">
        <v>218</v>
      </c>
      <c r="E31">
        <v>30</v>
      </c>
      <c r="F31">
        <v>4.3</v>
      </c>
      <c r="G31">
        <v>30</v>
      </c>
      <c r="H31" s="179" t="s">
        <v>218</v>
      </c>
    </row>
    <row r="32" spans="1:12" ht="12" customHeight="1" thickBot="1" x14ac:dyDescent="0.2">
      <c r="A32" s="38" t="s">
        <v>170</v>
      </c>
      <c r="B32" s="41">
        <v>9</v>
      </c>
      <c r="D32" s="178" t="s">
        <v>219</v>
      </c>
      <c r="E32">
        <v>31</v>
      </c>
      <c r="F32">
        <v>5</v>
      </c>
      <c r="G32">
        <v>31</v>
      </c>
      <c r="H32" s="179" t="s">
        <v>219</v>
      </c>
    </row>
    <row r="33" spans="4:8" customFormat="1" ht="12" customHeight="1" x14ac:dyDescent="0.15">
      <c r="D33" s="178" t="s">
        <v>138</v>
      </c>
      <c r="E33">
        <v>32</v>
      </c>
      <c r="F33">
        <v>6.1</v>
      </c>
      <c r="G33">
        <v>32</v>
      </c>
      <c r="H33" s="179" t="s">
        <v>138</v>
      </c>
    </row>
    <row r="34" spans="4:8" customFormat="1" ht="12" customHeight="1" x14ac:dyDescent="0.15">
      <c r="D34" s="178" t="s">
        <v>45</v>
      </c>
      <c r="E34">
        <v>33</v>
      </c>
      <c r="F34">
        <v>6.2</v>
      </c>
      <c r="G34">
        <v>33</v>
      </c>
      <c r="H34" s="179" t="s">
        <v>45</v>
      </c>
    </row>
    <row r="35" spans="4:8" customFormat="1" x14ac:dyDescent="0.15"/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17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0.33203125" style="73" bestFit="1" customWidth="1"/>
    <col min="2" max="2" width="12.83203125" style="72" customWidth="1"/>
    <col min="3" max="3" width="10.33203125" style="72" customWidth="1"/>
    <col min="4" max="4" width="8.83203125" style="72" customWidth="1"/>
    <col min="5" max="5" width="12.83203125" style="72" customWidth="1"/>
    <col min="6" max="6" width="21.6640625" style="72" bestFit="1" customWidth="1"/>
    <col min="7" max="9" width="2.33203125" style="72" customWidth="1"/>
    <col min="10" max="10" width="2.33203125" style="72" bestFit="1" customWidth="1"/>
    <col min="11" max="15" width="2.33203125" style="72" customWidth="1"/>
    <col min="16" max="16" width="2.33203125" style="65" customWidth="1"/>
    <col min="17" max="17" width="2.33203125" style="72" customWidth="1"/>
    <col min="18" max="18" width="2.33203125" style="66" customWidth="1"/>
    <col min="19" max="16384" width="11.5" style="72"/>
  </cols>
  <sheetData>
    <row r="1" spans="1:23" ht="15" customHeight="1" thickBot="1" x14ac:dyDescent="0.2">
      <c r="F1" s="1"/>
      <c r="G1" s="64" t="s">
        <v>46</v>
      </c>
      <c r="H1" s="64" t="s">
        <v>47</v>
      </c>
      <c r="I1" s="64" t="s">
        <v>120</v>
      </c>
      <c r="J1" s="64" t="s">
        <v>132</v>
      </c>
      <c r="K1" s="74" t="s">
        <v>48</v>
      </c>
      <c r="L1" s="66"/>
      <c r="M1" s="74" t="s">
        <v>119</v>
      </c>
      <c r="N1" s="66"/>
      <c r="O1" s="74" t="s">
        <v>49</v>
      </c>
      <c r="P1" s="67"/>
      <c r="Q1" s="74" t="s">
        <v>50</v>
      </c>
      <c r="R1" s="64" t="s">
        <v>154</v>
      </c>
    </row>
    <row r="2" spans="1:23" ht="15" customHeight="1" x14ac:dyDescent="0.15">
      <c r="A2" s="74" t="s">
        <v>51</v>
      </c>
      <c r="B2" s="75">
        <v>0.5</v>
      </c>
      <c r="C2" s="73" t="s">
        <v>52</v>
      </c>
      <c r="D2" s="76"/>
      <c r="F2" s="1"/>
      <c r="G2" s="77"/>
      <c r="H2" s="77"/>
      <c r="I2" s="77" t="s">
        <v>133</v>
      </c>
      <c r="J2" s="77" t="s">
        <v>133</v>
      </c>
      <c r="K2" s="77" t="s">
        <v>52</v>
      </c>
      <c r="L2" s="77" t="s">
        <v>53</v>
      </c>
      <c r="M2" s="77" t="s">
        <v>52</v>
      </c>
      <c r="N2" s="77" t="s">
        <v>53</v>
      </c>
      <c r="O2" s="77" t="s">
        <v>52</v>
      </c>
      <c r="P2" s="78" t="s">
        <v>53</v>
      </c>
      <c r="Q2" s="77"/>
      <c r="R2" s="79" t="s">
        <v>155</v>
      </c>
    </row>
    <row r="3" spans="1:23" ht="15" customHeight="1" thickBot="1" x14ac:dyDescent="0.2">
      <c r="A3" s="74" t="s">
        <v>54</v>
      </c>
      <c r="B3" s="80">
        <v>0.5</v>
      </c>
      <c r="C3" s="73" t="s">
        <v>53</v>
      </c>
      <c r="D3" s="7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3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3">
        <v>0</v>
      </c>
      <c r="R4" s="98">
        <v>0</v>
      </c>
    </row>
    <row r="5" spans="1:23" ht="15" customHeight="1" x14ac:dyDescent="0.15">
      <c r="A5" s="74" t="s">
        <v>55</v>
      </c>
      <c r="B5" s="81">
        <v>0.5</v>
      </c>
      <c r="C5" s="73" t="s">
        <v>52</v>
      </c>
      <c r="D5" s="7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3">
        <v>0</v>
      </c>
      <c r="R5" s="98">
        <v>0</v>
      </c>
    </row>
    <row r="6" spans="1:23" ht="15" customHeight="1" thickBot="1" x14ac:dyDescent="0.2">
      <c r="A6" s="74"/>
      <c r="B6" s="82">
        <v>0.5</v>
      </c>
      <c r="C6" s="73" t="s">
        <v>53</v>
      </c>
      <c r="D6" s="76"/>
      <c r="F6" s="180" t="s">
        <v>192</v>
      </c>
      <c r="G6" s="72">
        <v>0</v>
      </c>
      <c r="H6" s="72">
        <v>0</v>
      </c>
      <c r="I6" s="72">
        <v>0</v>
      </c>
      <c r="J6" s="72">
        <v>0</v>
      </c>
      <c r="K6" s="72">
        <v>0</v>
      </c>
      <c r="L6" s="72">
        <v>0</v>
      </c>
      <c r="M6" s="72">
        <v>1</v>
      </c>
      <c r="N6" s="72">
        <v>0</v>
      </c>
      <c r="O6" s="72">
        <v>0</v>
      </c>
      <c r="P6" s="65">
        <v>0</v>
      </c>
      <c r="Q6" s="72">
        <v>0</v>
      </c>
      <c r="R6" s="66">
        <v>1</v>
      </c>
      <c r="S6"/>
      <c r="T6"/>
    </row>
    <row r="7" spans="1:23" ht="15" customHeight="1" thickBot="1" x14ac:dyDescent="0.2">
      <c r="F7" s="180" t="s">
        <v>193</v>
      </c>
      <c r="G7" s="72">
        <v>0</v>
      </c>
      <c r="H7" s="72">
        <v>0</v>
      </c>
      <c r="I7" s="72">
        <v>0</v>
      </c>
      <c r="J7" s="72">
        <v>0</v>
      </c>
      <c r="K7" s="72">
        <v>0</v>
      </c>
      <c r="L7" s="72">
        <v>0</v>
      </c>
      <c r="M7" s="72">
        <v>1</v>
      </c>
      <c r="N7" s="72">
        <v>0</v>
      </c>
      <c r="O7" s="72">
        <v>0</v>
      </c>
      <c r="P7" s="65">
        <v>0</v>
      </c>
      <c r="Q7" s="72">
        <v>0</v>
      </c>
      <c r="R7" s="66">
        <v>1</v>
      </c>
      <c r="S7"/>
      <c r="T7"/>
    </row>
    <row r="8" spans="1:23" ht="15" customHeight="1" x14ac:dyDescent="0.15">
      <c r="A8" s="74" t="s">
        <v>56</v>
      </c>
      <c r="B8" s="81">
        <v>0.31182959562717094</v>
      </c>
      <c r="C8" s="181" t="s">
        <v>192</v>
      </c>
      <c r="D8" s="76" t="s">
        <v>160</v>
      </c>
      <c r="F8" s="180" t="s">
        <v>194</v>
      </c>
      <c r="G8" s="72">
        <v>0</v>
      </c>
      <c r="H8" s="72">
        <v>0</v>
      </c>
      <c r="I8" s="72">
        <v>0</v>
      </c>
      <c r="J8" s="72">
        <v>0</v>
      </c>
      <c r="K8" s="72">
        <v>1</v>
      </c>
      <c r="L8" s="72">
        <v>0</v>
      </c>
      <c r="M8" s="72">
        <v>1</v>
      </c>
      <c r="N8" s="72">
        <v>0</v>
      </c>
      <c r="O8" s="72">
        <v>1</v>
      </c>
      <c r="P8" s="65">
        <v>0</v>
      </c>
      <c r="Q8" s="72">
        <v>0</v>
      </c>
      <c r="R8" s="66">
        <v>1</v>
      </c>
      <c r="S8"/>
      <c r="T8"/>
      <c r="W8"/>
    </row>
    <row r="9" spans="1:23" ht="15" customHeight="1" x14ac:dyDescent="0.15">
      <c r="A9" s="112" t="s">
        <v>168</v>
      </c>
      <c r="B9" s="83">
        <v>0.67251400158809227</v>
      </c>
      <c r="C9" s="181" t="s">
        <v>193</v>
      </c>
      <c r="D9" s="76" t="s">
        <v>160</v>
      </c>
      <c r="F9" s="180" t="s">
        <v>195</v>
      </c>
      <c r="G9" s="72">
        <v>0</v>
      </c>
      <c r="H9" s="72">
        <v>0</v>
      </c>
      <c r="I9" s="72">
        <v>0</v>
      </c>
      <c r="J9" s="72">
        <v>0</v>
      </c>
      <c r="K9" s="72">
        <v>1</v>
      </c>
      <c r="L9" s="72">
        <v>0</v>
      </c>
      <c r="M9" s="72">
        <v>1</v>
      </c>
      <c r="N9" s="72">
        <v>0</v>
      </c>
      <c r="O9" s="72">
        <v>1</v>
      </c>
      <c r="P9" s="65">
        <v>0</v>
      </c>
      <c r="Q9" s="72">
        <v>0</v>
      </c>
      <c r="R9" s="66">
        <v>1</v>
      </c>
      <c r="S9"/>
      <c r="T9"/>
      <c r="W9"/>
    </row>
    <row r="10" spans="1:23" ht="15" customHeight="1" x14ac:dyDescent="0.15">
      <c r="B10" s="83">
        <v>1.5175574200914728E-2</v>
      </c>
      <c r="C10" s="181" t="s">
        <v>212</v>
      </c>
      <c r="D10" s="76" t="s">
        <v>160</v>
      </c>
      <c r="F10" s="180" t="s">
        <v>196</v>
      </c>
      <c r="G10" s="72">
        <v>0</v>
      </c>
      <c r="H10" s="72">
        <v>0</v>
      </c>
      <c r="I10" s="72">
        <v>0</v>
      </c>
      <c r="J10" s="72">
        <v>0</v>
      </c>
      <c r="K10" s="72">
        <v>1</v>
      </c>
      <c r="L10" s="72">
        <v>0</v>
      </c>
      <c r="M10" s="72">
        <v>1</v>
      </c>
      <c r="N10" s="72">
        <v>0</v>
      </c>
      <c r="O10" s="72">
        <v>1</v>
      </c>
      <c r="P10" s="65">
        <v>0</v>
      </c>
      <c r="Q10" s="72">
        <v>0</v>
      </c>
      <c r="R10" s="66">
        <v>1</v>
      </c>
      <c r="S10"/>
      <c r="T10"/>
      <c r="W10"/>
    </row>
    <row r="11" spans="1:23" ht="15" customHeight="1" x14ac:dyDescent="0.15">
      <c r="A11" s="74"/>
      <c r="B11" s="83">
        <v>4.8082858382210761E-4</v>
      </c>
      <c r="C11" s="181" t="s">
        <v>216</v>
      </c>
      <c r="D11" s="76" t="s">
        <v>160</v>
      </c>
      <c r="F11" s="180" t="s">
        <v>197</v>
      </c>
      <c r="G11" s="72">
        <v>0</v>
      </c>
      <c r="H11" s="72">
        <v>0</v>
      </c>
      <c r="I11" s="72">
        <v>0</v>
      </c>
      <c r="J11" s="72">
        <v>0</v>
      </c>
      <c r="K11" s="72">
        <v>1</v>
      </c>
      <c r="L11" s="72">
        <v>0</v>
      </c>
      <c r="M11" s="72">
        <v>1</v>
      </c>
      <c r="N11" s="72">
        <v>0</v>
      </c>
      <c r="O11" s="72">
        <v>1</v>
      </c>
      <c r="P11" s="65">
        <v>0</v>
      </c>
      <c r="Q11" s="72">
        <v>0</v>
      </c>
      <c r="R11" s="66">
        <v>1</v>
      </c>
      <c r="S11"/>
      <c r="T11"/>
      <c r="W11"/>
    </row>
    <row r="12" spans="1:23" ht="15" customHeight="1" x14ac:dyDescent="0.15">
      <c r="B12" s="83"/>
      <c r="C12" s="86"/>
      <c r="D12" s="76" t="s">
        <v>160</v>
      </c>
      <c r="F12" s="180" t="s">
        <v>198</v>
      </c>
      <c r="G12" s="72">
        <v>0</v>
      </c>
      <c r="H12" s="72">
        <v>0</v>
      </c>
      <c r="I12" s="72">
        <v>0</v>
      </c>
      <c r="J12" s="72">
        <v>0</v>
      </c>
      <c r="K12" s="72">
        <v>1</v>
      </c>
      <c r="L12" s="72">
        <v>0</v>
      </c>
      <c r="M12" s="72">
        <v>1</v>
      </c>
      <c r="N12" s="72">
        <v>0</v>
      </c>
      <c r="O12" s="72">
        <v>1</v>
      </c>
      <c r="P12" s="65">
        <v>0</v>
      </c>
      <c r="Q12" s="72">
        <v>0</v>
      </c>
      <c r="R12" s="66">
        <v>1</v>
      </c>
      <c r="S12"/>
      <c r="T12"/>
      <c r="W12"/>
    </row>
    <row r="13" spans="1:23" ht="15" customHeight="1" x14ac:dyDescent="0.15">
      <c r="B13" s="83"/>
      <c r="C13" s="86"/>
      <c r="D13" s="76" t="s">
        <v>160</v>
      </c>
      <c r="F13" s="180" t="s">
        <v>199</v>
      </c>
      <c r="G13" s="72">
        <v>0</v>
      </c>
      <c r="H13" s="72">
        <v>0</v>
      </c>
      <c r="I13" s="72">
        <v>0</v>
      </c>
      <c r="J13" s="72">
        <v>0</v>
      </c>
      <c r="K13" s="72">
        <v>1</v>
      </c>
      <c r="L13" s="72">
        <v>0</v>
      </c>
      <c r="M13" s="72">
        <v>1</v>
      </c>
      <c r="N13" s="72">
        <v>0</v>
      </c>
      <c r="O13" s="72">
        <v>1</v>
      </c>
      <c r="P13" s="65">
        <v>0</v>
      </c>
      <c r="Q13" s="72">
        <v>0</v>
      </c>
      <c r="R13" s="66">
        <v>1</v>
      </c>
      <c r="S13"/>
      <c r="T13"/>
      <c r="W13"/>
    </row>
    <row r="14" spans="1:23" ht="15" customHeight="1" x14ac:dyDescent="0.15">
      <c r="B14" s="83"/>
      <c r="C14" s="71"/>
      <c r="D14" s="76" t="s">
        <v>160</v>
      </c>
      <c r="F14" s="180" t="s">
        <v>200</v>
      </c>
      <c r="G14" s="72">
        <v>0</v>
      </c>
      <c r="H14" s="72">
        <v>0</v>
      </c>
      <c r="I14" s="72">
        <v>0</v>
      </c>
      <c r="J14" s="72">
        <v>0</v>
      </c>
      <c r="K14" s="72">
        <v>1</v>
      </c>
      <c r="L14" s="72">
        <v>0</v>
      </c>
      <c r="M14" s="72">
        <v>1</v>
      </c>
      <c r="N14" s="72">
        <v>0</v>
      </c>
      <c r="O14" s="72">
        <v>1</v>
      </c>
      <c r="P14" s="65">
        <v>0</v>
      </c>
      <c r="Q14" s="72">
        <v>0</v>
      </c>
      <c r="R14" s="66">
        <v>1</v>
      </c>
      <c r="S14"/>
      <c r="T14"/>
      <c r="W14"/>
    </row>
    <row r="15" spans="1:23" ht="15" customHeight="1" x14ac:dyDescent="0.15">
      <c r="B15" s="83"/>
      <c r="C15" s="71"/>
      <c r="D15" s="76" t="s">
        <v>160</v>
      </c>
      <c r="F15" s="180" t="s">
        <v>201</v>
      </c>
      <c r="G15" s="72">
        <v>0</v>
      </c>
      <c r="H15" s="72">
        <v>0</v>
      </c>
      <c r="I15" s="72">
        <v>0</v>
      </c>
      <c r="J15" s="72">
        <v>0</v>
      </c>
      <c r="K15" s="72">
        <v>1</v>
      </c>
      <c r="L15" s="72">
        <v>0</v>
      </c>
      <c r="M15" s="72">
        <v>1</v>
      </c>
      <c r="N15" s="72">
        <v>0</v>
      </c>
      <c r="O15" s="72">
        <v>1</v>
      </c>
      <c r="P15" s="65">
        <v>0</v>
      </c>
      <c r="Q15" s="72">
        <v>0</v>
      </c>
      <c r="R15" s="66">
        <v>1</v>
      </c>
      <c r="S15"/>
      <c r="T15"/>
      <c r="W15"/>
    </row>
    <row r="16" spans="1:23" ht="15" customHeight="1" x14ac:dyDescent="0.15">
      <c r="B16" s="83"/>
      <c r="C16" s="71"/>
      <c r="D16" s="76" t="s">
        <v>160</v>
      </c>
      <c r="F16" s="180" t="s">
        <v>202</v>
      </c>
      <c r="G16" s="72">
        <v>0</v>
      </c>
      <c r="H16" s="72">
        <v>0</v>
      </c>
      <c r="I16" s="72">
        <v>0</v>
      </c>
      <c r="J16" s="72">
        <v>0</v>
      </c>
      <c r="K16" s="72">
        <v>1</v>
      </c>
      <c r="L16" s="72">
        <v>0</v>
      </c>
      <c r="M16" s="72">
        <v>1</v>
      </c>
      <c r="N16" s="72">
        <v>0</v>
      </c>
      <c r="O16" s="72">
        <v>1</v>
      </c>
      <c r="P16" s="65">
        <v>0</v>
      </c>
      <c r="Q16" s="72">
        <v>0</v>
      </c>
      <c r="R16" s="66">
        <v>1</v>
      </c>
      <c r="S16"/>
      <c r="T16"/>
    </row>
    <row r="17" spans="1:20" ht="15" customHeight="1" thickBot="1" x14ac:dyDescent="0.2">
      <c r="B17" s="82"/>
      <c r="C17" s="71"/>
      <c r="D17" s="76" t="s">
        <v>160</v>
      </c>
      <c r="F17" s="180" t="s">
        <v>203</v>
      </c>
      <c r="G17" s="72">
        <v>0</v>
      </c>
      <c r="H17" s="72">
        <v>0</v>
      </c>
      <c r="I17" s="72">
        <v>0</v>
      </c>
      <c r="J17" s="72">
        <v>0</v>
      </c>
      <c r="K17" s="72">
        <v>1</v>
      </c>
      <c r="L17" s="72">
        <v>0</v>
      </c>
      <c r="M17" s="72">
        <v>1</v>
      </c>
      <c r="N17" s="72">
        <v>0</v>
      </c>
      <c r="O17" s="72">
        <v>1</v>
      </c>
      <c r="P17" s="65">
        <v>0</v>
      </c>
      <c r="Q17" s="72">
        <v>0</v>
      </c>
      <c r="R17" s="66">
        <v>1</v>
      </c>
      <c r="S17"/>
      <c r="T17"/>
    </row>
    <row r="18" spans="1:20" ht="15" customHeight="1" thickBot="1" x14ac:dyDescent="0.2">
      <c r="B18" s="84"/>
      <c r="F18" s="180" t="s">
        <v>204</v>
      </c>
      <c r="G18" s="72">
        <v>0</v>
      </c>
      <c r="H18" s="72">
        <v>0</v>
      </c>
      <c r="I18" s="72">
        <v>0</v>
      </c>
      <c r="J18" s="72">
        <v>0</v>
      </c>
      <c r="K18" s="72">
        <v>1</v>
      </c>
      <c r="L18" s="72">
        <v>0</v>
      </c>
      <c r="M18" s="72">
        <v>1</v>
      </c>
      <c r="N18" s="72">
        <v>0</v>
      </c>
      <c r="O18" s="72">
        <v>1</v>
      </c>
      <c r="P18" s="65">
        <v>0</v>
      </c>
      <c r="Q18" s="72">
        <v>0</v>
      </c>
      <c r="R18" s="66">
        <v>1</v>
      </c>
      <c r="S18"/>
      <c r="T18"/>
    </row>
    <row r="19" spans="1:20" ht="15" customHeight="1" x14ac:dyDescent="0.15">
      <c r="A19" s="74" t="s">
        <v>57</v>
      </c>
      <c r="B19" s="81">
        <v>0.31182959562717094</v>
      </c>
      <c r="C19" s="182" t="s">
        <v>192</v>
      </c>
      <c r="D19" s="76" t="s">
        <v>160</v>
      </c>
      <c r="F19" s="180" t="s">
        <v>205</v>
      </c>
      <c r="G19" s="72">
        <v>0</v>
      </c>
      <c r="H19" s="72">
        <v>0</v>
      </c>
      <c r="I19" s="72">
        <v>0</v>
      </c>
      <c r="J19" s="72">
        <v>0</v>
      </c>
      <c r="K19" s="72">
        <v>1</v>
      </c>
      <c r="L19" s="72">
        <v>0</v>
      </c>
      <c r="M19" s="72">
        <v>1</v>
      </c>
      <c r="N19" s="72">
        <v>0</v>
      </c>
      <c r="O19" s="72">
        <v>1</v>
      </c>
      <c r="P19" s="65">
        <v>0</v>
      </c>
      <c r="Q19" s="72">
        <v>0</v>
      </c>
      <c r="R19" s="66">
        <v>1</v>
      </c>
      <c r="S19"/>
      <c r="T19"/>
    </row>
    <row r="20" spans="1:20" ht="15" customHeight="1" x14ac:dyDescent="0.15">
      <c r="A20" s="112" t="s">
        <v>168</v>
      </c>
      <c r="B20" s="83">
        <v>0.67251400158809227</v>
      </c>
      <c r="C20" s="182" t="s">
        <v>193</v>
      </c>
      <c r="D20" s="76" t="s">
        <v>160</v>
      </c>
      <c r="F20" s="180" t="s">
        <v>206</v>
      </c>
      <c r="G20" s="72">
        <v>0</v>
      </c>
      <c r="H20" s="72">
        <v>0</v>
      </c>
      <c r="I20" s="72">
        <v>0</v>
      </c>
      <c r="J20" s="72">
        <v>0</v>
      </c>
      <c r="K20" s="72">
        <v>1</v>
      </c>
      <c r="L20" s="72">
        <v>0</v>
      </c>
      <c r="M20" s="72">
        <v>1</v>
      </c>
      <c r="N20" s="72">
        <v>0</v>
      </c>
      <c r="O20" s="72">
        <v>1</v>
      </c>
      <c r="P20" s="65">
        <v>0</v>
      </c>
      <c r="Q20" s="72">
        <v>0</v>
      </c>
      <c r="R20" s="66">
        <v>1</v>
      </c>
      <c r="S20"/>
      <c r="T20"/>
    </row>
    <row r="21" spans="1:20" ht="15" customHeight="1" x14ac:dyDescent="0.15">
      <c r="B21" s="83">
        <v>1.5175574200914728E-2</v>
      </c>
      <c r="C21" s="182" t="s">
        <v>212</v>
      </c>
      <c r="D21" s="76" t="s">
        <v>160</v>
      </c>
      <c r="F21" s="180" t="s">
        <v>207</v>
      </c>
      <c r="G21" s="72">
        <v>0</v>
      </c>
      <c r="H21" s="72">
        <v>0</v>
      </c>
      <c r="I21" s="72">
        <v>0</v>
      </c>
      <c r="J21" s="72">
        <v>0</v>
      </c>
      <c r="K21" s="72">
        <v>1</v>
      </c>
      <c r="L21" s="72">
        <v>0</v>
      </c>
      <c r="M21" s="72">
        <v>1</v>
      </c>
      <c r="N21" s="72">
        <v>0</v>
      </c>
      <c r="O21" s="72">
        <v>1</v>
      </c>
      <c r="P21" s="65">
        <v>0</v>
      </c>
      <c r="Q21" s="72">
        <v>0</v>
      </c>
      <c r="R21" s="66">
        <v>1</v>
      </c>
      <c r="S21"/>
      <c r="T21"/>
    </row>
    <row r="22" spans="1:20" ht="15" customHeight="1" x14ac:dyDescent="0.15">
      <c r="A22" s="72"/>
      <c r="B22" s="83">
        <v>4.8082858382210761E-4</v>
      </c>
      <c r="C22" s="182" t="s">
        <v>216</v>
      </c>
      <c r="D22" s="76" t="s">
        <v>160</v>
      </c>
      <c r="F22" s="180" t="s">
        <v>208</v>
      </c>
      <c r="G22" s="72">
        <v>0</v>
      </c>
      <c r="H22" s="72">
        <v>0</v>
      </c>
      <c r="I22" s="72">
        <v>0</v>
      </c>
      <c r="J22" s="72">
        <v>0</v>
      </c>
      <c r="K22" s="72">
        <v>1</v>
      </c>
      <c r="L22" s="72">
        <v>0</v>
      </c>
      <c r="M22" s="72">
        <v>1</v>
      </c>
      <c r="N22" s="72">
        <v>0</v>
      </c>
      <c r="O22" s="72">
        <v>1</v>
      </c>
      <c r="P22" s="65">
        <v>0</v>
      </c>
      <c r="Q22" s="72">
        <v>0</v>
      </c>
      <c r="R22" s="66">
        <v>1</v>
      </c>
      <c r="S22"/>
      <c r="T22"/>
    </row>
    <row r="23" spans="1:20" ht="15" customHeight="1" x14ac:dyDescent="0.15">
      <c r="A23" s="72"/>
      <c r="B23" s="83"/>
      <c r="C23" s="86"/>
      <c r="D23" s="76" t="s">
        <v>160</v>
      </c>
      <c r="F23" s="180" t="s">
        <v>209</v>
      </c>
      <c r="G23" s="72">
        <v>0</v>
      </c>
      <c r="H23" s="72">
        <v>0</v>
      </c>
      <c r="I23" s="72">
        <v>0</v>
      </c>
      <c r="J23" s="72">
        <v>0</v>
      </c>
      <c r="K23" s="72">
        <v>1</v>
      </c>
      <c r="L23" s="72">
        <v>0</v>
      </c>
      <c r="M23" s="72">
        <v>1</v>
      </c>
      <c r="N23" s="72">
        <v>0</v>
      </c>
      <c r="O23" s="72">
        <v>1</v>
      </c>
      <c r="P23" s="65">
        <v>0</v>
      </c>
      <c r="Q23" s="72">
        <v>0</v>
      </c>
      <c r="R23" s="66">
        <v>1</v>
      </c>
      <c r="S23"/>
      <c r="T23"/>
    </row>
    <row r="24" spans="1:20" ht="15" customHeight="1" x14ac:dyDescent="0.15">
      <c r="A24" s="72"/>
      <c r="B24" s="83"/>
      <c r="C24" s="86"/>
      <c r="D24" s="76" t="s">
        <v>160</v>
      </c>
      <c r="F24" s="180" t="s">
        <v>210</v>
      </c>
      <c r="G24" s="72">
        <v>0</v>
      </c>
      <c r="H24" s="72">
        <v>0</v>
      </c>
      <c r="I24" s="72">
        <v>0</v>
      </c>
      <c r="J24" s="72">
        <v>0</v>
      </c>
      <c r="K24" s="72">
        <v>1</v>
      </c>
      <c r="L24" s="72">
        <v>0</v>
      </c>
      <c r="M24" s="72">
        <v>1</v>
      </c>
      <c r="N24" s="72">
        <v>0</v>
      </c>
      <c r="O24" s="72">
        <v>1</v>
      </c>
      <c r="P24" s="65">
        <v>0</v>
      </c>
      <c r="Q24" s="72">
        <v>0</v>
      </c>
      <c r="R24" s="66">
        <v>1</v>
      </c>
      <c r="S24"/>
      <c r="T24"/>
    </row>
    <row r="25" spans="1:20" ht="15" customHeight="1" x14ac:dyDescent="0.15">
      <c r="A25" s="72"/>
      <c r="B25" s="83"/>
      <c r="C25" s="71"/>
      <c r="D25" s="76" t="s">
        <v>160</v>
      </c>
      <c r="F25" s="180" t="s">
        <v>211</v>
      </c>
      <c r="G25" s="72">
        <v>0</v>
      </c>
      <c r="H25" s="72">
        <v>0</v>
      </c>
      <c r="I25" s="72">
        <v>0</v>
      </c>
      <c r="J25" s="72">
        <v>0</v>
      </c>
      <c r="K25" s="72">
        <v>1</v>
      </c>
      <c r="L25" s="72">
        <v>0</v>
      </c>
      <c r="M25" s="72">
        <v>1</v>
      </c>
      <c r="N25" s="72">
        <v>0</v>
      </c>
      <c r="O25" s="72">
        <v>1</v>
      </c>
      <c r="P25" s="65">
        <v>0</v>
      </c>
      <c r="Q25" s="72">
        <v>0</v>
      </c>
      <c r="R25" s="66">
        <v>1</v>
      </c>
      <c r="S25"/>
      <c r="T25"/>
    </row>
    <row r="26" spans="1:20" ht="15" customHeight="1" x14ac:dyDescent="0.15">
      <c r="B26" s="83"/>
      <c r="C26" s="71"/>
      <c r="D26" s="76" t="s">
        <v>160</v>
      </c>
      <c r="F26" s="180" t="s">
        <v>212</v>
      </c>
      <c r="G26" s="72">
        <v>0</v>
      </c>
      <c r="H26" s="72">
        <v>0</v>
      </c>
      <c r="I26" s="72">
        <v>0</v>
      </c>
      <c r="J26" s="72">
        <v>0</v>
      </c>
      <c r="K26" s="72">
        <v>0</v>
      </c>
      <c r="L26" s="72">
        <v>0</v>
      </c>
      <c r="M26" s="72">
        <v>1</v>
      </c>
      <c r="N26" s="72">
        <v>0</v>
      </c>
      <c r="O26" s="72">
        <v>0</v>
      </c>
      <c r="P26" s="65">
        <v>0</v>
      </c>
      <c r="Q26" s="72">
        <v>0</v>
      </c>
      <c r="R26" s="66">
        <v>1</v>
      </c>
      <c r="S26"/>
      <c r="T26"/>
    </row>
    <row r="27" spans="1:20" ht="15" customHeight="1" x14ac:dyDescent="0.15">
      <c r="B27" s="83"/>
      <c r="C27" s="71"/>
      <c r="D27" s="76" t="s">
        <v>160</v>
      </c>
      <c r="F27" s="180" t="s">
        <v>213</v>
      </c>
      <c r="G27" s="72">
        <v>0</v>
      </c>
      <c r="H27" s="72">
        <v>0</v>
      </c>
      <c r="I27" s="72">
        <v>0</v>
      </c>
      <c r="J27" s="72">
        <v>0</v>
      </c>
      <c r="K27" s="72">
        <v>1</v>
      </c>
      <c r="L27" s="72">
        <v>0</v>
      </c>
      <c r="M27" s="72">
        <v>1</v>
      </c>
      <c r="N27" s="72">
        <v>0</v>
      </c>
      <c r="O27" s="72">
        <v>1</v>
      </c>
      <c r="P27" s="65">
        <v>0</v>
      </c>
      <c r="Q27" s="72">
        <v>0</v>
      </c>
      <c r="R27" s="66">
        <v>1</v>
      </c>
      <c r="S27"/>
      <c r="T27"/>
    </row>
    <row r="28" spans="1:20" ht="15" customHeight="1" thickBot="1" x14ac:dyDescent="0.2">
      <c r="B28" s="82"/>
      <c r="C28" s="71"/>
      <c r="D28" s="76" t="s">
        <v>160</v>
      </c>
      <c r="F28" s="180" t="s">
        <v>214</v>
      </c>
      <c r="G28" s="72">
        <v>0</v>
      </c>
      <c r="H28" s="72">
        <v>0</v>
      </c>
      <c r="I28" s="72">
        <v>0</v>
      </c>
      <c r="J28" s="72">
        <v>0</v>
      </c>
      <c r="K28" s="72">
        <v>1</v>
      </c>
      <c r="L28" s="72">
        <v>0</v>
      </c>
      <c r="M28" s="72">
        <v>1</v>
      </c>
      <c r="N28" s="72">
        <v>0</v>
      </c>
      <c r="O28" s="72">
        <v>1</v>
      </c>
      <c r="P28" s="65">
        <v>0</v>
      </c>
      <c r="Q28" s="72">
        <v>0</v>
      </c>
      <c r="R28" s="66">
        <v>1</v>
      </c>
      <c r="S28"/>
      <c r="T28"/>
    </row>
    <row r="29" spans="1:20" ht="15" customHeight="1" x14ac:dyDescent="0.15">
      <c r="F29" s="180" t="s">
        <v>215</v>
      </c>
      <c r="G29" s="72">
        <v>0</v>
      </c>
      <c r="H29" s="72">
        <v>0</v>
      </c>
      <c r="I29" s="72">
        <v>0</v>
      </c>
      <c r="J29" s="72">
        <v>0</v>
      </c>
      <c r="K29" s="72">
        <v>1</v>
      </c>
      <c r="L29" s="72">
        <v>0</v>
      </c>
      <c r="M29" s="72">
        <v>1</v>
      </c>
      <c r="N29" s="72">
        <v>0</v>
      </c>
      <c r="O29" s="72">
        <v>1</v>
      </c>
      <c r="P29" s="65">
        <v>0</v>
      </c>
      <c r="Q29" s="72">
        <v>0</v>
      </c>
      <c r="R29" s="66">
        <v>1</v>
      </c>
      <c r="S29"/>
      <c r="T29"/>
    </row>
    <row r="30" spans="1:20" ht="15" customHeight="1" x14ac:dyDescent="0.15">
      <c r="F30" s="180" t="s">
        <v>216</v>
      </c>
      <c r="G30" s="72">
        <v>0</v>
      </c>
      <c r="H30" s="72">
        <v>0</v>
      </c>
      <c r="I30" s="72">
        <v>0</v>
      </c>
      <c r="J30" s="72">
        <v>0</v>
      </c>
      <c r="K30" s="72">
        <v>0</v>
      </c>
      <c r="L30" s="72">
        <v>0</v>
      </c>
      <c r="M30" s="72">
        <v>1</v>
      </c>
      <c r="N30" s="72">
        <v>0</v>
      </c>
      <c r="O30" s="72">
        <v>0</v>
      </c>
      <c r="P30" s="65">
        <v>0</v>
      </c>
      <c r="Q30" s="72">
        <v>0</v>
      </c>
      <c r="R30" s="66">
        <v>1</v>
      </c>
      <c r="S30"/>
      <c r="T30"/>
    </row>
    <row r="31" spans="1:20" ht="15" customHeight="1" x14ac:dyDescent="0.15">
      <c r="A31" s="113"/>
      <c r="B31" s="121" t="s">
        <v>17</v>
      </c>
      <c r="C31" s="121" t="s">
        <v>1</v>
      </c>
      <c r="D31" s="121" t="s">
        <v>161</v>
      </c>
      <c r="E31" s="122" t="s">
        <v>163</v>
      </c>
      <c r="F31" s="180" t="s">
        <v>217</v>
      </c>
      <c r="G31" s="72">
        <v>0</v>
      </c>
      <c r="H31" s="72">
        <v>0</v>
      </c>
      <c r="I31" s="72">
        <v>0</v>
      </c>
      <c r="J31" s="72">
        <v>0</v>
      </c>
      <c r="K31" s="72">
        <v>0</v>
      </c>
      <c r="L31" s="72">
        <v>1</v>
      </c>
      <c r="M31" s="72">
        <v>0</v>
      </c>
      <c r="N31" s="72">
        <v>1</v>
      </c>
      <c r="O31" s="72">
        <v>0</v>
      </c>
      <c r="P31" s="65">
        <v>1</v>
      </c>
      <c r="Q31" s="72">
        <v>0</v>
      </c>
      <c r="R31" s="66">
        <v>1</v>
      </c>
      <c r="S31"/>
      <c r="T31"/>
    </row>
    <row r="32" spans="1:20" ht="15" customHeight="1" x14ac:dyDescent="0.15">
      <c r="A32" s="183" t="s">
        <v>192</v>
      </c>
      <c r="B32" s="84">
        <v>702</v>
      </c>
      <c r="C32" s="84">
        <v>8.43</v>
      </c>
      <c r="D32" s="84">
        <v>5917.86</v>
      </c>
      <c r="E32" s="114">
        <v>0.31182959562717094</v>
      </c>
      <c r="F32" s="180" t="s">
        <v>218</v>
      </c>
      <c r="G32" s="72">
        <v>0</v>
      </c>
      <c r="H32" s="72">
        <v>0</v>
      </c>
      <c r="I32" s="72">
        <v>0</v>
      </c>
      <c r="J32" s="72">
        <v>0</v>
      </c>
      <c r="K32" s="72">
        <v>0</v>
      </c>
      <c r="L32" s="72">
        <v>1</v>
      </c>
      <c r="M32" s="72">
        <v>0</v>
      </c>
      <c r="N32" s="72">
        <v>1</v>
      </c>
      <c r="O32" s="72">
        <v>0</v>
      </c>
      <c r="P32" s="65">
        <v>1</v>
      </c>
      <c r="Q32" s="72">
        <v>0</v>
      </c>
      <c r="R32" s="66">
        <v>1</v>
      </c>
      <c r="S32"/>
      <c r="T32"/>
    </row>
    <row r="33" spans="1:20" ht="15" customHeight="1" x14ac:dyDescent="0.15">
      <c r="A33" s="183" t="s">
        <v>193</v>
      </c>
      <c r="B33" s="84">
        <v>832</v>
      </c>
      <c r="C33" s="84">
        <v>15.34</v>
      </c>
      <c r="D33" s="84">
        <v>12762.88</v>
      </c>
      <c r="E33" s="114">
        <v>0.67251400158809227</v>
      </c>
      <c r="F33" s="180" t="s">
        <v>219</v>
      </c>
      <c r="G33" s="72">
        <v>0</v>
      </c>
      <c r="H33" s="72">
        <v>0</v>
      </c>
      <c r="I33" s="72">
        <v>0</v>
      </c>
      <c r="J33" s="72">
        <v>0</v>
      </c>
      <c r="K33" s="72">
        <v>0</v>
      </c>
      <c r="L33" s="72">
        <v>1</v>
      </c>
      <c r="M33" s="72">
        <v>0</v>
      </c>
      <c r="N33" s="72">
        <v>0</v>
      </c>
      <c r="O33" s="72">
        <v>0</v>
      </c>
      <c r="P33" s="65">
        <v>0</v>
      </c>
      <c r="Q33" s="72">
        <v>0</v>
      </c>
      <c r="R33" s="66">
        <v>1</v>
      </c>
      <c r="S33"/>
      <c r="T33"/>
    </row>
    <row r="34" spans="1:20" ht="15" customHeight="1" x14ac:dyDescent="0.15">
      <c r="A34" s="183" t="s">
        <v>212</v>
      </c>
      <c r="B34" s="84">
        <v>90</v>
      </c>
      <c r="C34" s="84">
        <v>3.2</v>
      </c>
      <c r="D34" s="84">
        <v>288</v>
      </c>
      <c r="E34" s="114">
        <v>1.5175574200914728E-2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83" t="s">
        <v>216</v>
      </c>
      <c r="B35" s="84">
        <v>0.3</v>
      </c>
      <c r="C35" s="84">
        <v>30.417000000000002</v>
      </c>
      <c r="D35" s="84">
        <v>9.1250999999999998</v>
      </c>
      <c r="E35" s="114">
        <v>4.8082858382210761E-4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5"/>
      <c r="B36" s="84"/>
      <c r="C36" s="84"/>
      <c r="D36" s="84"/>
      <c r="E36" s="11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5"/>
      <c r="B37" s="84"/>
      <c r="C37" s="84"/>
      <c r="D37" s="84"/>
      <c r="E37" s="11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6"/>
      <c r="B38" s="84"/>
      <c r="C38" s="84"/>
      <c r="D38" s="84"/>
      <c r="E38" s="11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6"/>
      <c r="B39" s="84"/>
      <c r="C39" s="84"/>
      <c r="D39" s="84"/>
      <c r="E39" s="11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6"/>
      <c r="B40" s="84"/>
      <c r="C40" s="84"/>
      <c r="D40" s="84"/>
      <c r="E40" s="11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6"/>
      <c r="B41" s="84"/>
      <c r="C41" s="84"/>
      <c r="D41" s="85"/>
      <c r="E41" s="11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8"/>
      <c r="B42" s="119"/>
      <c r="C42" s="119" t="s">
        <v>162</v>
      </c>
      <c r="D42" s="119">
        <f>SUM(D32:D41)</f>
        <v>18977.865099999999</v>
      </c>
      <c r="E42" s="120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2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2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2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2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2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2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8" customWidth="1"/>
    <col min="3" max="5" width="7.83203125" style="98" customWidth="1"/>
    <col min="6" max="8" width="8.83203125" style="6"/>
    <col min="9" max="9" width="9.1640625" style="6" customWidth="1"/>
    <col min="10" max="10" width="9.83203125" style="6" customWidth="1"/>
    <col min="11" max="11" width="11.33203125" style="6" customWidth="1"/>
    <col min="12" max="12" width="13.33203125" style="6" customWidth="1"/>
    <col min="13" max="13" width="11.5" style="6" customWidth="1"/>
    <col min="14" max="14" width="12.5" style="6" customWidth="1"/>
    <col min="15" max="15" width="14" style="6" customWidth="1"/>
    <col min="16" max="16" width="14.33203125" style="6" customWidth="1"/>
    <col min="17" max="17" width="12.5" style="6" customWidth="1"/>
    <col min="18" max="18" width="6.5" style="6" customWidth="1"/>
    <col min="19" max="19" width="12.5" style="6" customWidth="1"/>
    <col min="20" max="20" width="7.1640625" style="6" customWidth="1"/>
    <col min="21" max="21" width="9.1640625" style="6" customWidth="1"/>
    <col min="22" max="22" width="12.83203125" style="6" customWidth="1"/>
    <col min="23" max="23" width="6" style="6" customWidth="1"/>
    <col min="24" max="24" width="11.5" style="6" customWidth="1"/>
    <col min="25" max="25" width="10" style="6" customWidth="1"/>
    <col min="26" max="27" width="10.1640625" style="6" customWidth="1"/>
    <col min="28" max="28" width="10.6640625" style="6" customWidth="1"/>
    <col min="29" max="29" width="10.33203125" style="6" customWidth="1"/>
    <col min="30" max="30" width="11.33203125" style="6" customWidth="1"/>
    <col min="31" max="31" width="11.6640625" style="6" customWidth="1"/>
    <col min="32" max="32" width="8.6640625" style="6" customWidth="1"/>
    <col min="33" max="33" width="13.1640625" style="6" customWidth="1"/>
    <col min="34" max="34" width="7.6640625" style="6" customWidth="1"/>
    <col min="35" max="35" width="21.6640625" style="6" customWidth="1"/>
    <col min="36" max="36" width="6.5" style="6" customWidth="1"/>
    <col min="37" max="38" width="8.83203125" style="6"/>
    <col min="81" max="81" width="22.1640625" bestFit="1" customWidth="1"/>
  </cols>
  <sheetData>
    <row r="1" spans="1:38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 t="s">
        <v>38</v>
      </c>
      <c r="G1" t="s">
        <v>40</v>
      </c>
      <c r="H1" t="s">
        <v>41</v>
      </c>
      <c r="I1" s="185" t="s">
        <v>192</v>
      </c>
      <c r="J1" s="185" t="s">
        <v>193</v>
      </c>
      <c r="K1" s="185" t="s">
        <v>194</v>
      </c>
      <c r="L1" s="185" t="s">
        <v>195</v>
      </c>
      <c r="M1" s="185" t="s">
        <v>196</v>
      </c>
      <c r="N1" s="185" t="s">
        <v>197</v>
      </c>
      <c r="O1" s="185" t="s">
        <v>198</v>
      </c>
      <c r="P1" s="185" t="s">
        <v>199</v>
      </c>
      <c r="Q1" s="185" t="s">
        <v>200</v>
      </c>
      <c r="R1" s="185" t="s">
        <v>201</v>
      </c>
      <c r="S1" s="185" t="s">
        <v>202</v>
      </c>
      <c r="T1" s="185" t="s">
        <v>203</v>
      </c>
      <c r="U1" s="185" t="s">
        <v>204</v>
      </c>
      <c r="V1" s="185" t="s">
        <v>205</v>
      </c>
      <c r="W1" s="185" t="s">
        <v>206</v>
      </c>
      <c r="X1" s="185" t="s">
        <v>207</v>
      </c>
      <c r="Y1" s="185" t="s">
        <v>208</v>
      </c>
      <c r="Z1" s="185" t="s">
        <v>209</v>
      </c>
      <c r="AA1" s="185" t="s">
        <v>210</v>
      </c>
      <c r="AB1" s="185" t="s">
        <v>211</v>
      </c>
      <c r="AC1" s="185" t="s">
        <v>212</v>
      </c>
      <c r="AD1" s="185" t="s">
        <v>213</v>
      </c>
      <c r="AE1" s="185" t="s">
        <v>214</v>
      </c>
      <c r="AF1" s="185" t="s">
        <v>215</v>
      </c>
      <c r="AG1" s="185" t="s">
        <v>216</v>
      </c>
      <c r="AH1" s="185" t="s">
        <v>217</v>
      </c>
      <c r="AI1" s="185" t="s">
        <v>218</v>
      </c>
      <c r="AJ1" s="185" t="s">
        <v>219</v>
      </c>
      <c r="AK1"/>
      <c r="AL1"/>
    </row>
    <row r="2" spans="1:38" x14ac:dyDescent="0.15">
      <c r="A2" t="s">
        <v>38</v>
      </c>
      <c r="B2" s="9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4" t="s">
        <v>192</v>
      </c>
      <c r="B5" s="9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4" t="s">
        <v>193</v>
      </c>
      <c r="B6" s="9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4" t="s">
        <v>194</v>
      </c>
      <c r="B7" s="9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4" t="s">
        <v>195</v>
      </c>
      <c r="B8" s="9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4" t="s">
        <v>196</v>
      </c>
      <c r="B9" s="9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4" t="s">
        <v>197</v>
      </c>
      <c r="B10" s="9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4" t="s">
        <v>198</v>
      </c>
      <c r="B11" s="9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4" t="s">
        <v>199</v>
      </c>
      <c r="B12" s="9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4" t="s">
        <v>200</v>
      </c>
      <c r="B13" s="9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4" t="s">
        <v>201</v>
      </c>
      <c r="B14" s="9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4" t="s">
        <v>202</v>
      </c>
      <c r="B15" s="9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4" t="s">
        <v>203</v>
      </c>
      <c r="B16" s="9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4" t="s">
        <v>204</v>
      </c>
      <c r="B17" s="9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4" t="s">
        <v>205</v>
      </c>
      <c r="B18" s="9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4" t="s">
        <v>206</v>
      </c>
      <c r="B19" s="9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4" t="s">
        <v>207</v>
      </c>
      <c r="B20" s="9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4" t="s">
        <v>208</v>
      </c>
      <c r="B21" s="9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4" t="s">
        <v>209</v>
      </c>
      <c r="B22" s="9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4" t="s">
        <v>210</v>
      </c>
      <c r="B23" s="9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4" t="s">
        <v>211</v>
      </c>
      <c r="B24" s="9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4" t="s">
        <v>212</v>
      </c>
      <c r="B25" s="9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4" t="s">
        <v>213</v>
      </c>
      <c r="B26" s="9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4" t="s">
        <v>214</v>
      </c>
      <c r="B27" s="9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84" t="s">
        <v>215</v>
      </c>
      <c r="B28" s="9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84" t="s">
        <v>216</v>
      </c>
      <c r="B29" s="9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84" t="s">
        <v>217</v>
      </c>
      <c r="B30" s="9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84" t="s">
        <v>218</v>
      </c>
      <c r="B31" s="9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84" t="s">
        <v>219</v>
      </c>
      <c r="B32" s="9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2022-10-24T23:41:10Z</dcterms:modified>
</cp:coreProperties>
</file>