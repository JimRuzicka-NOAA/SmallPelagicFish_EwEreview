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634420B9-ACE5-9C42-9AA8-AD4596C44E92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Main!$C$2:$N$46</definedName>
    <definedName name="matDetritus">Detritus!$C$2:$E$46</definedName>
    <definedName name="matDiet">Diets!$B$2:$AJ$39</definedName>
    <definedName name="matDiscards">Discards!$C$2:$J$38</definedName>
    <definedName name="matFishery">Fishing!$C$2:$J$38</definedName>
    <definedName name="matFishing">Fishing!#REF!</definedName>
    <definedName name="matMort">Mortalities!$A$1:$AV$38</definedName>
    <definedName name="matOut">MainOutputs!$A$2:$I$46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<sst xmlns="http://schemas.openxmlformats.org/spreadsheetml/2006/main" count="1173" uniqueCount="249">
  <si>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</si>
  <si>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</si>
  <si>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</si>
  <si>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</si>
  <si>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</si>
  <si>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</si>
  <si>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</si>
  <si>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</si>
  <si>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</si>
  <si>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</si>
  <si>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</si>
  <si>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</si>
  <si>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</si>
  <si>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</si>
  <si>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</si>
  <si>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</si>
  <si>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</si>
  <si>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</si>
  <si>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</si>
  <si>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</si>
  <si>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</si>
  <si>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</si>
  <si>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</si>
  <si>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</si>
  <si>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</si>
  <si>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</si>
  <si>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</si>
  <si>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</si>
  <si>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</si>
  <si>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</si>
  <si>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</si>
  <si>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</si>
  <si>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</si>
  <si>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</si>
  <si>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</si>
  <si>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</si>
  <si>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</si>
  <si>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</si>
  <si>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</si>
  <si>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</si>
  <si>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</si>
  <si>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</si>
  <si>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</si>
  <si>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</si>
  <si>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</si>
  <si>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</si>
  <si>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</si>
  <si>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</si>
  <si>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</si>
  <si>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</si>
  <si>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</si>
  <si>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</si>
  <si>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</si>
  <si>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</si>
  <si>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</si>
  <si>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</si>
  <si>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</si>
  <si>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</si>
  <si>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</si>
  <si>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</si>
  <si>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</si>
  <si>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</si>
  <si>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</si>
  <si>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</si>
  <si>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</si>
  <si>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</si>
  <si>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</si>
  <si>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</si>
  <si>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</si>
  <si>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</si>
  <si>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</si>
  <si>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</si>
  <si>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</si>
  <si>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</si>
  <si>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</si>
  <si>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</si>
  <si>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</si>
  <si>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</si>
  <si>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</si>
  <si>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</si>
  <si>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</si>
  <si>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</si>
  <si>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</si>
  <si>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</si>
  <si>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</si>
  <si>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</si>
  <si>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</si>
  <si>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</si>
  <si>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</si>
  <si>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</si>
  <si>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</si>
  <si>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</si>
  <si>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</si>
  <si>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</si>
  <si>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</si>
  <si>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</si>
  <si>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</si>
  <si>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</si>
  <si>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</si>
  <si>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</si>
  <si>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</si>
  <si>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</si>
  <si>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</si>
  <si>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</si>
  <si>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</si>
  <si>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</si>
  <si>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</si>
  <si>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</si>
  <si>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</si>
  <si>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</si>
  <si>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</si>
  <si>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</si>
  <si>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</si>
  <si>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</si>
  <si>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</si>
  <si>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</si>
  <si>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</si>
  <si>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</si>
  <si>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</si>
  <si>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</si>
  <si>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</si>
  <si>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</si>
  <si>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</si>
  <si>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</si>
  <si>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</si>
  <si>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</si>
  <si>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</si>
  <si>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</si>
  <si>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</si>
  <si>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</si>
  <si>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</si>
  <si>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</si>
  <si>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</si>
  <si>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</si>
  <si>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</si>
  <si>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</si>
  <si>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</si>
  <si>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</si>
  <si>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</si>
  <si>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</si>
  <si>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</si>
  <si>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</si>
  <si>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</si>
  <si>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</si>
  <si>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</si>
  <si>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</si>
  <si>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</si>
  <si>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</si>
  <si>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</si>
  <si>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</si>
  <si>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</si>
  <si>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</si>
  <si>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</si>
  <si>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</si>
  <si>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</si>
  <si>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</si>
  <si>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</si>
  <si>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</si>
  <si>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</si>
  <si>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</si>
  <si>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</si>
  <si>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</si>
  <si>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</si>
  <si>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</si>
  <si>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</si>
  <si>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</si>
  <si>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cephalopods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</si>
  <si>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</si>
  <si>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</si>
  <si>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</si>
  <si>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</si>
  <si>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</si>
  <si>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</si>
  <si>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</si>
  <si>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</si>
  <si>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</si>
  <si>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</si>
  <si>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</si>
  <si>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</si>
  <si>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</si>
  <si>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</si>
  <si>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</si>
  <si>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</si>
  <si>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</si>
  <si>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</si>
  <si>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</si>
  <si>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Northern Californian Current</t>
  </si>
  <si>
    <t>United States of America</t>
  </si>
  <si>
    <t>BOX(-123 36,-122 38)</t>
  </si>
  <si>
    <t>upwelling</t>
  </si>
  <si>
    <t>WetWeight</t>
  </si>
  <si>
    <t>Created: 6/22/2007 2:56:51 PM; 6/22/2007 2:57:22 PM; 6/22/2007 3:33:00 PM; 6/22/2007 4:06:36 PM; 6/22/2007 4:27:21 PM; 6/22/2007 4:28:20 PM; 6/22/2007 4:57:25 PM; 6/28/2007 6:41:51 AM; 6/30/2007 2:53:21 PM; 7/22/2007 10:59:13 AM; 7/22/2007 3:09:55 PM; 7/24/2007 8:49:25 AM; 7/24/2007 10:26:45 AM; 8/4/2007 1:34:05 PM; 8/4/2007 1:36:20 PM; 8/12/2007 3:00:28 PM; 10/15/2007 11:12:05 AM; 10/15/2007 11:12:46 AM; 10/15/2007 11:25:38 AM; 10/15/2007 12:12:48 PM; 11/4/2007 12:17:06 PM</t>
  </si>
  <si>
    <t>Walters C.,Christensen V.,Walters W.,Rose K.(2010). Representation of multistanza life histories in Ecospace models for spatial organization of ecosystem trophic interaction patterns Bulletin of Marine Science. pp 439-459</t>
  </si>
  <si>
    <t>seals and sealions</t>
  </si>
  <si>
    <t>lingcod larvae</t>
  </si>
  <si>
    <t>lingcod juvenile</t>
  </si>
  <si>
    <t>lingcod adult</t>
  </si>
  <si>
    <t>cabezon larvae</t>
  </si>
  <si>
    <t>cabezon juvenile</t>
  </si>
  <si>
    <t>cabezon adult</t>
  </si>
  <si>
    <t>shortbelly rockfish larvae</t>
  </si>
  <si>
    <t>shortbelly rockfish juvenile</t>
  </si>
  <si>
    <t>shortbelly rockfish adult</t>
  </si>
  <si>
    <t>nearshore rockfish larvae</t>
  </si>
  <si>
    <t>nearshore rockfish juvenile</t>
  </si>
  <si>
    <t>nearshore rockfish adult</t>
  </si>
  <si>
    <t>widow rockfish larvae</t>
  </si>
  <si>
    <t>widow rockfish juvenile</t>
  </si>
  <si>
    <t>widow rockfish adult</t>
  </si>
  <si>
    <t>flatfish</t>
  </si>
  <si>
    <t>sablefish</t>
  </si>
  <si>
    <t>dogfish</t>
  </si>
  <si>
    <t>hake</t>
  </si>
  <si>
    <t>salmon</t>
  </si>
  <si>
    <t>mackarel</t>
  </si>
  <si>
    <t>sardine</t>
  </si>
  <si>
    <t>benthic fish</t>
  </si>
  <si>
    <t>forage fish and mesopels</t>
  </si>
  <si>
    <t>crabs</t>
  </si>
  <si>
    <t>shrimps</t>
  </si>
  <si>
    <t>jellyfish</t>
  </si>
  <si>
    <t>zooplankton</t>
  </si>
  <si>
    <t>abalone juvenile</t>
  </si>
  <si>
    <t>abalone adult</t>
  </si>
  <si>
    <t>benthic invertebrates</t>
  </si>
  <si>
    <t>Macroalgae</t>
  </si>
  <si>
    <t>Phytoplankton</t>
  </si>
  <si>
    <t>Detritus</t>
  </si>
  <si>
    <t>detritus_TerminalBenthic</t>
  </si>
  <si>
    <t>CommBottomfish</t>
  </si>
  <si>
    <t>RecBottomFish</t>
  </si>
  <si>
    <t>Hake</t>
  </si>
  <si>
    <t>Salmon</t>
  </si>
  <si>
    <t>Crab</t>
  </si>
  <si>
    <t>Shrimp</t>
  </si>
  <si>
    <t>Abalone</t>
  </si>
  <si>
    <t>Squid</t>
  </si>
  <si>
    <t>Import</t>
  </si>
  <si>
    <t>export</t>
  </si>
  <si>
    <t>sum</t>
  </si>
  <si>
    <t>TOTAL</t>
  </si>
  <si>
    <t>F CommBottomfish</t>
  </si>
  <si>
    <t>F RecBottomFish</t>
  </si>
  <si>
    <t>F Hake</t>
  </si>
  <si>
    <t>F Salmon</t>
  </si>
  <si>
    <t>F Crab</t>
  </si>
  <si>
    <t>F Shrimp</t>
  </si>
  <si>
    <t>F Abalone</t>
  </si>
  <si>
    <t>F Squid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</si>
</sst>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1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FF68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91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4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2" borderId="2" xfId="0" applyFont="1" applyFill="1" applyBorder="1" applyAlignment="1">
      <alignment horizontal="center"/>
    </xf>
    <xf numFmtId="0" fontId="1" fillId="22" borderId="4" xfId="0" applyFont="1" applyFill="1" applyBorder="1" applyAlignment="1">
      <alignment horizontal="center"/>
    </xf>
    <xf numFmtId="0" fontId="1" fillId="22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2" borderId="5" xfId="0" applyFill="1" applyBorder="1"/>
    <xf numFmtId="0" fontId="0" fillId="22" borderId="6" xfId="0" applyFill="1" applyBorder="1"/>
    <xf numFmtId="0" fontId="0" fillId="22" borderId="7" xfId="0" applyFill="1" applyBorder="1"/>
    <xf numFmtId="0" fontId="0" fillId="22" borderId="8" xfId="0" applyFill="1" applyBorder="1"/>
    <xf numFmtId="0" fontId="0" fillId="22" borderId="9" xfId="0" applyFill="1" applyBorder="1"/>
    <xf numFmtId="0" fontId="0" fillId="22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 applyAlignment="1">
      <alignment horizontal="center"/>
    </xf>
    <xf numFmtId="0" fontId="0" fillId="3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2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2" borderId="3" xfId="0" applyNumberFormat="1" applyFont="1" applyFill="1" applyBorder="1"/>
    <xf numFmtId="0" fontId="0" fillId="32" borderId="2" xfId="0" applyFont="1" applyFill="1" applyBorder="1"/>
    <xf numFmtId="0" fontId="0" fillId="32" borderId="3" xfId="0" applyFont="1" applyFill="1" applyBorder="1"/>
    <xf numFmtId="0" fontId="0" fillId="32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5" borderId="0" xfId="0" applyFill="1"/>
    <xf numFmtId="0" fontId="0" fillId="3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2" borderId="2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2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7" borderId="0" xfId="0" applyFill="1"/>
    <xf numFmtId="0" fontId="0" fillId="38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424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9" t="s">
        <v>164</v>
      </c>
    </row>
    <row r="6" spans="2:4" ht="14" thickBot="1" x14ac:dyDescent="0.2">
      <c r="B6" s="43" t="s">
        <v>141</v>
      </c>
    </row>
    <row r="7" spans="2:4" x14ac:dyDescent="0.15">
      <c r="B7" s="59" t="s">
        <v>143</v>
      </c>
    </row>
    <row r="8" spans="2:4" x14ac:dyDescent="0.15">
      <c r="B8" s="59" t="s">
        <v>142</v>
      </c>
    </row>
    <row r="9" spans="2:4" x14ac:dyDescent="0.15">
      <c r="B9" s="59" t="s">
        <v>144</v>
      </c>
    </row>
    <row r="10" spans="2:4" x14ac:dyDescent="0.15">
      <c r="B10" s="59" t="s">
        <v>147</v>
      </c>
    </row>
    <row r="11" spans="2:4" x14ac:dyDescent="0.15">
      <c r="B11" s="59" t="s">
        <v>151</v>
      </c>
    </row>
    <row r="12" spans="2:4" x14ac:dyDescent="0.15">
      <c r="B12" s="59" t="s">
        <v>153</v>
      </c>
    </row>
    <row r="13" spans="2:4" x14ac:dyDescent="0.15">
      <c r="B13" s="59" t="s">
        <v>165</v>
      </c>
    </row>
    <row r="15" spans="2:4" ht="14" thickBot="1" x14ac:dyDescent="0.2"/>
    <row r="16" spans="2:4" ht="14" thickBot="1" x14ac:dyDescent="0.2">
      <c r="B16" s="44" t="s">
        <v>137</v>
      </c>
      <c r="C16" s="45"/>
      <c r="D16" s="27">
        <v>41373</v>
      </c>
    </row>
    <row r="17" spans="2:4" x14ac:dyDescent="0.15">
      <c r="B17" s="46" t="s">
        <v>58</v>
      </c>
      <c r="C17" s="30">
        <v>0</v>
      </c>
    </row>
    <row r="18" spans="2:4" x14ac:dyDescent="0.15">
      <c r="B18" s="46" t="s">
        <v>59</v>
      </c>
      <c r="C18" s="30">
        <v>1</v>
      </c>
    </row>
    <row r="19" spans="2:4" x14ac:dyDescent="0.15">
      <c r="B19" s="46" t="s">
        <v>60</v>
      </c>
      <c r="C19" s="30">
        <v>2</v>
      </c>
    </row>
    <row r="20" spans="2:4" ht="14" thickBot="1" x14ac:dyDescent="0.2">
      <c r="B20" s="47" t="s">
        <v>44</v>
      </c>
      <c r="C20" s="31">
        <v>3</v>
      </c>
    </row>
    <row r="21" spans="2:4" x14ac:dyDescent="0.15">
      <c r="B21" s="48" t="s">
        <v>140</v>
      </c>
    </row>
    <row r="22" spans="2:4" ht="14" thickBot="1" x14ac:dyDescent="0.2"/>
    <row r="23" spans="2:4" ht="14" thickBot="1" x14ac:dyDescent="0.2">
      <c r="B23" s="44" t="s">
        <v>65</v>
      </c>
      <c r="C23" s="45"/>
      <c r="D23" s="27" t="s">
        <v>148</v>
      </c>
    </row>
    <row r="24" spans="2:4" x14ac:dyDescent="0.15">
      <c r="B24" s="50" t="s">
        <v>38</v>
      </c>
      <c r="C24" s="28">
        <v>1</v>
      </c>
    </row>
    <row r="25" spans="2:4" x14ac:dyDescent="0.15">
      <c r="B25" s="46" t="s">
        <v>40</v>
      </c>
      <c r="C25" s="30">
        <v>1.1000000000000001</v>
      </c>
    </row>
    <row r="26" spans="2:4" x14ac:dyDescent="0.15">
      <c r="B26" s="46" t="s">
        <v>41</v>
      </c>
      <c r="C26" s="30">
        <v>1.2</v>
      </c>
    </row>
    <row r="27" spans="2:4" x14ac:dyDescent="0.15">
      <c r="B27" s="46"/>
      <c r="C27" s="30"/>
    </row>
    <row r="28" spans="2:4" x14ac:dyDescent="0.15">
      <c r="B28" s="46" t="s">
        <v>42</v>
      </c>
      <c r="C28" s="30">
        <v>2.1</v>
      </c>
    </row>
    <row r="29" spans="2:4" x14ac:dyDescent="0.15">
      <c r="B29" s="46" t="s">
        <v>43</v>
      </c>
      <c r="C29" s="30">
        <v>2.2000000000000002</v>
      </c>
    </row>
    <row r="30" spans="2:4" x14ac:dyDescent="0.15">
      <c r="B30" s="46" t="s">
        <v>67</v>
      </c>
      <c r="C30" s="30">
        <v>2.2999999999999998</v>
      </c>
    </row>
    <row r="31" spans="2:4" x14ac:dyDescent="0.15">
      <c r="B31" s="46"/>
      <c r="C31" s="30"/>
    </row>
    <row r="32" spans="2:4" x14ac:dyDescent="0.15">
      <c r="B32" s="46" t="s">
        <v>62</v>
      </c>
      <c r="C32" s="30">
        <v>3.11</v>
      </c>
    </row>
    <row r="33" spans="2:3" x14ac:dyDescent="0.15">
      <c r="B33" s="46" t="s">
        <v>61</v>
      </c>
      <c r="C33" s="30">
        <v>3.12</v>
      </c>
    </row>
    <row r="34" spans="2:3" x14ac:dyDescent="0.15">
      <c r="B34" s="46" t="s">
        <v>68</v>
      </c>
      <c r="C34" s="30">
        <v>3.13</v>
      </c>
    </row>
    <row r="35" spans="2:3" x14ac:dyDescent="0.15">
      <c r="B35" s="46"/>
      <c r="C35" s="30"/>
    </row>
    <row r="36" spans="2:3" x14ac:dyDescent="0.15">
      <c r="B36" s="46" t="s">
        <v>66</v>
      </c>
      <c r="C36" s="30">
        <v>3.21</v>
      </c>
    </row>
    <row r="37" spans="2:3" x14ac:dyDescent="0.15">
      <c r="B37" s="46" t="s">
        <v>63</v>
      </c>
      <c r="C37" s="30">
        <v>3.22</v>
      </c>
    </row>
    <row r="38" spans="2:3" x14ac:dyDescent="0.15">
      <c r="B38" s="46" t="s">
        <v>69</v>
      </c>
      <c r="C38" s="30">
        <v>3.23</v>
      </c>
    </row>
    <row r="39" spans="2:3" x14ac:dyDescent="0.15">
      <c r="B39" s="46"/>
      <c r="C39" s="30"/>
    </row>
    <row r="40" spans="2:3" x14ac:dyDescent="0.15">
      <c r="B40" s="46" t="s">
        <v>64</v>
      </c>
      <c r="C40" s="30">
        <v>8</v>
      </c>
    </row>
    <row r="41" spans="2:3" x14ac:dyDescent="0.15">
      <c r="B41" s="46"/>
      <c r="C41" s="30"/>
    </row>
    <row r="42" spans="2:3" x14ac:dyDescent="0.15">
      <c r="B42" s="46" t="s">
        <v>71</v>
      </c>
      <c r="C42" s="30">
        <v>4.0999999999999996</v>
      </c>
    </row>
    <row r="43" spans="2:3" x14ac:dyDescent="0.15">
      <c r="B43" s="46" t="s">
        <v>70</v>
      </c>
      <c r="C43" s="30">
        <v>4.2</v>
      </c>
    </row>
    <row r="44" spans="2:3" x14ac:dyDescent="0.15">
      <c r="B44" s="46" t="s">
        <v>72</v>
      </c>
      <c r="C44" s="30">
        <v>4.3</v>
      </c>
    </row>
    <row r="45" spans="2:3" x14ac:dyDescent="0.15">
      <c r="B45" s="29"/>
      <c r="C45" s="30"/>
    </row>
    <row r="46" spans="2:3" x14ac:dyDescent="0.15">
      <c r="B46" s="46" t="s">
        <v>138</v>
      </c>
      <c r="C46" s="30">
        <v>6.1</v>
      </c>
    </row>
    <row r="47" spans="2:3" x14ac:dyDescent="0.15">
      <c r="B47" s="46" t="s">
        <v>45</v>
      </c>
      <c r="C47" s="30">
        <v>6.2</v>
      </c>
    </row>
    <row r="48" spans="2:3" x14ac:dyDescent="0.15">
      <c r="B48" s="46"/>
      <c r="C48" s="30"/>
    </row>
    <row r="49" spans="2:4" x14ac:dyDescent="0.15">
      <c r="B49" s="46" t="s">
        <v>44</v>
      </c>
      <c r="C49" s="30">
        <v>5</v>
      </c>
    </row>
    <row r="50" spans="2:4" x14ac:dyDescent="0.15">
      <c r="B50" s="46"/>
      <c r="C50" s="30"/>
    </row>
    <row r="51" spans="2:4" ht="14" thickBot="1" x14ac:dyDescent="0.2">
      <c r="B51" s="47" t="s">
        <v>73</v>
      </c>
      <c r="C51" s="31">
        <v>7</v>
      </c>
    </row>
    <row r="53" spans="2:4" x14ac:dyDescent="0.15">
      <c r="B53" s="165" t="s">
        <v>172</v>
      </c>
      <c r="C53" s="101">
        <v>519</v>
      </c>
      <c r="D53" s="101"/>
    </row>
    <row r="54" spans="2:4" x14ac:dyDescent="0.15">
      <c r="B54" s="165" t="s">
        <v>173</v>
      </c>
      <c r="C54" s="165" t="s">
        <v>186</v>
      </c>
      <c r="D54" s="101"/>
    </row>
    <row r="55" spans="2:4" x14ac:dyDescent="0.15">
      <c r="B55" s="165" t="s">
        <v>174</v>
      </c>
      <c r="C55" s="165" t="s">
        <v>187</v>
      </c>
      <c r="D55" s="101"/>
    </row>
    <row r="56" spans="2:4" x14ac:dyDescent="0.15">
      <c r="B56" s="165" t="s">
        <v>175</v>
      </c>
      <c r="C56" s="101">
        <v>70000</v>
      </c>
      <c r="D56" s="101"/>
    </row>
    <row r="57" spans="2:4" x14ac:dyDescent="0.15">
      <c r="B57" s="165" t="s">
        <v>176</v>
      </c>
      <c r="C57" s="165" t="s">
        <v>188</v>
      </c>
      <c r="D57" s="101"/>
    </row>
    <row r="58" spans="2:4" x14ac:dyDescent="0.15">
      <c r="B58" s="165" t="s">
        <v>177</v>
      </c>
      <c r="C58" s="165" t="s">
        <v>189</v>
      </c>
      <c r="D58" s="101"/>
    </row>
    <row r="59" spans="2:4" x14ac:dyDescent="0.15">
      <c r="B59" s="165" t="s">
        <v>178</v>
      </c>
      <c r="C59" s="165" t="s">
        <v>190</v>
      </c>
      <c r="D59" s="101"/>
    </row>
    <row r="60" spans="2:4" x14ac:dyDescent="0.15">
      <c r="B60" s="165" t="s">
        <v>179</v>
      </c>
      <c r="C60" s="165" t="s">
        <v>191</v>
      </c>
      <c r="D60" s="101"/>
    </row>
    <row r="61" spans="2:4" x14ac:dyDescent="0.15">
      <c r="B61" s="165" t="s">
        <v>180</v>
      </c>
      <c r="C61" s="101">
        <v>36</v>
      </c>
      <c r="D61" s="101"/>
    </row>
    <row r="62" spans="2:4" x14ac:dyDescent="0.15">
      <c r="B62" s="165" t="s">
        <v>181</v>
      </c>
      <c r="C62" s="101">
        <v>8</v>
      </c>
      <c r="D62" s="101"/>
    </row>
    <row r="63" spans="2:4" x14ac:dyDescent="0.15">
      <c r="B63" s="165" t="s">
        <v>182</v>
      </c>
      <c r="C63" s="101">
        <v>1960</v>
      </c>
      <c r="D63" s="101"/>
    </row>
    <row r="64" spans="2:4" x14ac:dyDescent="0.15">
      <c r="B64" s="165" t="s">
        <v>183</v>
      </c>
      <c r="C64" s="101">
        <v>9</v>
      </c>
      <c r="D64" s="101"/>
    </row>
    <row r="65" spans="2:4" x14ac:dyDescent="0.15">
      <c r="B65" s="165" t="s">
        <v>184</v>
      </c>
      <c r="C65" s="165" t="s">
        <v>192</v>
      </c>
      <c r="D65" s="101"/>
    </row>
    <row r="66" spans="2:4" x14ac:dyDescent="0.15">
      <c r="B66" s="165" t="s">
        <v>185</v>
      </c>
      <c r="D66" s="101"/>
    </row>
    <row r="67" spans="2:4" x14ac:dyDescent="0.15">
      <c r="B67" s="101"/>
      <c r="C67" s="101"/>
      <c r="D67" s="101"/>
    </row>
    <row r="68" spans="2:4" x14ac:dyDescent="0.15">
      <c r="B68" s="101"/>
      <c r="C68" s="101"/>
      <c r="D68" s="10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10" sqref="P10"/>
    </sheetView>
  </sheetViews>
  <sheetFormatPr baseColWidth="10" defaultColWidth="8.83203125" defaultRowHeight="15" customHeight="1" x14ac:dyDescent="0.15"/>
  <cols>
    <col min="1" max="1" width="22.5" style="75" customWidth="1"/>
    <col min="2" max="3" width="3.33203125" style="75" customWidth="1"/>
    <col min="4" max="4" width="14.33203125" style="75" customWidth="1"/>
    <col min="5" max="5" width="23" style="75" bestFit="1" customWidth="1"/>
    <col min="6" max="6" width="2.33203125" style="75" bestFit="1" customWidth="1"/>
    <col min="7" max="7" width="14.5" style="75" bestFit="1" customWidth="1"/>
    <col min="8" max="8" width="4.83203125" style="75" customWidth="1"/>
    <col min="9" max="9" width="10.83203125" style="75" customWidth="1"/>
    <col min="10" max="10" width="13.83203125" style="75" customWidth="1"/>
    <col min="11" max="11" width="12.83203125" style="75" customWidth="1"/>
    <col min="12" max="12" width="2.33203125" style="75" customWidth="1"/>
    <col min="13" max="13" width="3.83203125" style="75" customWidth="1"/>
    <col min="14" max="14" width="2.33203125" style="75" customWidth="1"/>
    <col min="16" max="25" width="8.83203125" style="7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5"/>
  </cols>
  <sheetData>
    <row r="1" spans="1:46" s="92" customFormat="1" ht="15" customHeight="1" x14ac:dyDescent="0.15">
      <c r="A1" s="71" t="s">
        <v>18</v>
      </c>
      <c r="C1" s="72" t="s">
        <v>8</v>
      </c>
      <c r="D1" s="71" t="s">
        <v>23</v>
      </c>
      <c r="E1" s="71" t="s">
        <v>0</v>
      </c>
      <c r="F1" s="71" t="s">
        <v>7</v>
      </c>
      <c r="G1" s="73" t="s">
        <v>13</v>
      </c>
      <c r="H1" s="71" t="s">
        <v>1</v>
      </c>
      <c r="I1" s="71" t="s">
        <v>2</v>
      </c>
      <c r="J1" s="71" t="s">
        <v>14</v>
      </c>
      <c r="K1" s="71" t="s">
        <v>3</v>
      </c>
      <c r="L1" s="71" t="s">
        <v>4</v>
      </c>
      <c r="M1" s="71" t="s">
        <v>5</v>
      </c>
      <c r="N1" s="7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2">
        <v>1</v>
      </c>
      <c r="D2"/>
      <c r="E2" s="166" t="s">
        <v>193</v>
      </c>
      <c r="F2" s="75">
        <v>0</v>
      </c>
      <c r="G2" s="75">
        <v>1.6E-2</v>
      </c>
      <c r="H2" s="75">
        <v>0.08</v>
      </c>
      <c r="I2" s="6">
        <v>16</v>
      </c>
      <c r="J2" s="6">
        <v>0</v>
      </c>
      <c r="K2" s="6">
        <v>5.0000000000000001E-3</v>
      </c>
      <c r="L2" s="6">
        <v>0</v>
      </c>
      <c r="M2" s="75">
        <v>0.2</v>
      </c>
      <c r="N2" s="75">
        <v>0</v>
      </c>
    </row>
    <row r="3" spans="1:46" ht="15" customHeight="1" x14ac:dyDescent="0.15">
      <c r="A3" s="1" t="s">
        <v>9</v>
      </c>
      <c r="B3" s="4">
        <v>35</v>
      </c>
      <c r="C3" s="75">
        <v>2</v>
      </c>
      <c r="D3"/>
      <c r="E3" s="166" t="s">
        <v>194</v>
      </c>
      <c r="F3" s="75">
        <v>0</v>
      </c>
      <c r="G3" s="75">
        <v>3.6195495299999997E-5</v>
      </c>
      <c r="H3" s="75">
        <v>3</v>
      </c>
      <c r="I3" s="75">
        <v>44.971092200000001</v>
      </c>
      <c r="J3" s="75">
        <v>0</v>
      </c>
      <c r="K3" s="75">
        <v>6.6709519999999994E-2</v>
      </c>
      <c r="L3" s="75">
        <v>0</v>
      </c>
      <c r="M3" s="75">
        <v>0.2</v>
      </c>
      <c r="N3" s="75">
        <v>0</v>
      </c>
    </row>
    <row r="4" spans="1:46" ht="15" customHeight="1" x14ac:dyDescent="0.15">
      <c r="A4" s="1" t="s">
        <v>10</v>
      </c>
      <c r="B4" s="4">
        <v>2</v>
      </c>
      <c r="C4" s="75">
        <v>3</v>
      </c>
      <c r="D4"/>
      <c r="E4" s="166" t="s">
        <v>195</v>
      </c>
      <c r="F4" s="75">
        <v>0</v>
      </c>
      <c r="G4" s="75">
        <v>7.6393299999999997E-2</v>
      </c>
      <c r="H4" s="75">
        <v>1</v>
      </c>
      <c r="I4" s="75">
        <v>4.9982953099999996</v>
      </c>
      <c r="J4" s="75">
        <v>0</v>
      </c>
      <c r="K4" s="75">
        <v>0.2000682</v>
      </c>
      <c r="L4" s="75">
        <v>0</v>
      </c>
      <c r="M4" s="75">
        <v>0.2</v>
      </c>
      <c r="N4" s="7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8</v>
      </c>
      <c r="C5" s="75">
        <v>4</v>
      </c>
      <c r="D5"/>
      <c r="E5" s="166" t="s">
        <v>196</v>
      </c>
      <c r="F5" s="75">
        <v>0</v>
      </c>
      <c r="G5" s="75">
        <v>0.5</v>
      </c>
      <c r="H5" s="75">
        <v>0.2</v>
      </c>
      <c r="I5" s="75">
        <v>2.2000000000000002</v>
      </c>
      <c r="J5" s="75">
        <v>0.14699999999999999</v>
      </c>
      <c r="K5" s="75">
        <v>9.0909089999999998E-2</v>
      </c>
      <c r="L5" s="75">
        <v>0</v>
      </c>
      <c r="M5" s="75">
        <v>0.2</v>
      </c>
      <c r="N5" s="75">
        <v>0</v>
      </c>
      <c r="P5" s="66"/>
      <c r="Q5" s="66"/>
      <c r="R5" s="66"/>
    </row>
    <row r="6" spans="1:46" ht="15" customHeight="1" thickBot="1" x14ac:dyDescent="0.2">
      <c r="B6" s="1"/>
      <c r="C6" s="75">
        <v>5</v>
      </c>
      <c r="D6"/>
      <c r="E6" s="166" t="s">
        <v>197</v>
      </c>
      <c r="F6" s="75">
        <v>0</v>
      </c>
      <c r="G6" s="75">
        <v>4.4745615900000001E-6</v>
      </c>
      <c r="H6" s="75">
        <v>2</v>
      </c>
      <c r="I6" s="75">
        <v>71.722340000000003</v>
      </c>
      <c r="J6" s="75">
        <v>0</v>
      </c>
      <c r="K6" s="75">
        <v>2.7885312200000002E-2</v>
      </c>
      <c r="L6" s="75">
        <v>0</v>
      </c>
      <c r="M6" s="75">
        <v>0.2</v>
      </c>
      <c r="N6" s="75">
        <v>0</v>
      </c>
      <c r="P6" s="66"/>
      <c r="Q6" s="66"/>
      <c r="R6" s="66"/>
      <c r="W6" s="33" t="s">
        <v>31</v>
      </c>
      <c r="X6" s="49">
        <f>MAX(MainOutputs!G:G)</f>
        <v>0.95521634817123413</v>
      </c>
    </row>
    <row r="7" spans="1:46" ht="15" customHeight="1" x14ac:dyDescent="0.15">
      <c r="A7" s="2" t="s">
        <v>27</v>
      </c>
      <c r="B7" s="75">
        <f ca="1">COUNTIF(OFFSET(cornerDiets,1,1,NumLiving+NumDead+1,NumLiving+NumDead),"&gt;0")+NumLiving+NumDead+1</f>
        <v>157</v>
      </c>
      <c r="C7" s="75">
        <v>6</v>
      </c>
      <c r="D7"/>
      <c r="E7" s="166" t="s">
        <v>198</v>
      </c>
      <c r="F7" s="75">
        <v>0</v>
      </c>
      <c r="G7" s="75">
        <v>0.15579533600000001</v>
      </c>
      <c r="H7" s="75">
        <v>1</v>
      </c>
      <c r="I7" s="75">
        <v>3.6304814799999998</v>
      </c>
      <c r="J7" s="75">
        <v>3.4132241300000002E-3</v>
      </c>
      <c r="K7" s="75">
        <v>0.27544555100000001</v>
      </c>
      <c r="L7" s="75">
        <v>0</v>
      </c>
      <c r="M7" s="75">
        <v>0.2</v>
      </c>
      <c r="N7" s="75">
        <v>0</v>
      </c>
      <c r="P7" s="66"/>
      <c r="Q7" s="66"/>
      <c r="R7" s="66"/>
    </row>
    <row r="8" spans="1:46" ht="15" customHeight="1" x14ac:dyDescent="0.15">
      <c r="A8" s="2" t="s">
        <v>28</v>
      </c>
      <c r="B8" s="75">
        <f ca="1">COUNTIF(OFFSET(cornerFishing,1,2,NumLiving+NumDead,NumGears),"&gt;0")+NumDead*COUNTIF(OFFSET(cornerDiscards,1,2,NumLiving+NumDead,NumGears),"&gt;0")+NumLiving+NumDead+1</f>
        <v>55</v>
      </c>
      <c r="C8" s="75">
        <v>7</v>
      </c>
      <c r="D8"/>
      <c r="E8" s="166" t="s">
        <v>199</v>
      </c>
      <c r="F8" s="75">
        <v>0</v>
      </c>
      <c r="G8" s="75">
        <v>0.4</v>
      </c>
      <c r="H8" s="75">
        <v>0.25</v>
      </c>
      <c r="I8" s="75">
        <v>1.5</v>
      </c>
      <c r="J8" s="75">
        <v>0.06</v>
      </c>
      <c r="K8" s="75">
        <v>0.16666667199999999</v>
      </c>
      <c r="L8" s="75">
        <v>0</v>
      </c>
      <c r="M8" s="75">
        <v>0.2</v>
      </c>
      <c r="N8" s="75">
        <v>0</v>
      </c>
      <c r="P8" s="66"/>
      <c r="Q8" s="66"/>
      <c r="R8" s="66"/>
    </row>
    <row r="9" spans="1:46" ht="15" customHeight="1" x14ac:dyDescent="0.15">
      <c r="B9" s="1"/>
      <c r="C9" s="75">
        <v>8</v>
      </c>
      <c r="D9"/>
      <c r="E9" s="166" t="s">
        <v>200</v>
      </c>
      <c r="F9" s="75">
        <v>0</v>
      </c>
      <c r="G9" s="75">
        <v>1.24528424E-6</v>
      </c>
      <c r="H9" s="75">
        <v>2</v>
      </c>
      <c r="I9" s="75">
        <v>105.7696</v>
      </c>
      <c r="J9" s="75">
        <v>0</v>
      </c>
      <c r="K9" s="75">
        <v>1.8909024100000001E-2</v>
      </c>
      <c r="L9" s="75">
        <v>0</v>
      </c>
      <c r="M9" s="75">
        <v>0.2</v>
      </c>
      <c r="N9" s="75">
        <v>0</v>
      </c>
      <c r="P9" s="66"/>
      <c r="Q9" s="66"/>
      <c r="R9" s="66"/>
    </row>
    <row r="10" spans="1:46" ht="15" customHeight="1" x14ac:dyDescent="0.15">
      <c r="B10" s="1"/>
      <c r="C10" s="75">
        <v>9</v>
      </c>
      <c r="D10"/>
      <c r="E10" s="166" t="s">
        <v>201</v>
      </c>
      <c r="F10" s="75">
        <v>0</v>
      </c>
      <c r="G10" s="75">
        <v>4.3358319999999999E-2</v>
      </c>
      <c r="H10" s="75">
        <v>1</v>
      </c>
      <c r="I10" s="75">
        <v>5.3539060000000003</v>
      </c>
      <c r="J10" s="75">
        <v>0</v>
      </c>
      <c r="K10" s="75">
        <v>0.18677951400000001</v>
      </c>
      <c r="L10" s="75">
        <v>0</v>
      </c>
      <c r="M10" s="75">
        <v>0.2</v>
      </c>
      <c r="N10" s="75">
        <v>0</v>
      </c>
    </row>
    <row r="11" spans="1:46" ht="15" customHeight="1" x14ac:dyDescent="0.15">
      <c r="C11" s="75">
        <v>10</v>
      </c>
      <c r="D11"/>
      <c r="E11" s="166" t="s">
        <v>202</v>
      </c>
      <c r="F11" s="75">
        <v>0</v>
      </c>
      <c r="G11" s="75">
        <v>0.4</v>
      </c>
      <c r="H11" s="75">
        <v>0.1</v>
      </c>
      <c r="I11" s="75">
        <v>1.95</v>
      </c>
      <c r="J11" s="75">
        <v>0.28499996700000002</v>
      </c>
      <c r="K11" s="75">
        <v>5.1282052000000002E-2</v>
      </c>
      <c r="L11" s="75">
        <v>0</v>
      </c>
      <c r="M11" s="75">
        <v>0.2</v>
      </c>
      <c r="N11" s="75">
        <v>0</v>
      </c>
    </row>
    <row r="12" spans="1:46" ht="15" customHeight="1" x14ac:dyDescent="0.15">
      <c r="C12" s="75">
        <v>11</v>
      </c>
      <c r="D12"/>
      <c r="E12" s="166" t="s">
        <v>203</v>
      </c>
      <c r="F12" s="75">
        <v>0</v>
      </c>
      <c r="G12" s="75">
        <v>5.8439283700000003E-5</v>
      </c>
      <c r="H12" s="75">
        <v>2</v>
      </c>
      <c r="I12" s="75">
        <v>48.876179999999998</v>
      </c>
      <c r="J12" s="75">
        <v>0</v>
      </c>
      <c r="K12" s="75">
        <v>4.0919730000000001E-2</v>
      </c>
      <c r="L12" s="75">
        <v>0</v>
      </c>
      <c r="M12" s="75">
        <v>0.2</v>
      </c>
      <c r="N12" s="75">
        <v>0</v>
      </c>
    </row>
    <row r="13" spans="1:46" ht="15" customHeight="1" x14ac:dyDescent="0.15">
      <c r="C13" s="75">
        <v>12</v>
      </c>
      <c r="D13"/>
      <c r="E13" s="166" t="s">
        <v>204</v>
      </c>
      <c r="F13" s="75">
        <v>0</v>
      </c>
      <c r="G13" s="75">
        <v>0.24610269100000001</v>
      </c>
      <c r="H13" s="75">
        <v>1</v>
      </c>
      <c r="I13" s="75">
        <v>4.3379000000000003</v>
      </c>
      <c r="J13" s="75">
        <v>0</v>
      </c>
      <c r="K13" s="75">
        <v>0.230526283</v>
      </c>
      <c r="L13" s="75">
        <v>0</v>
      </c>
      <c r="M13" s="75">
        <v>0.2</v>
      </c>
      <c r="N13" s="75">
        <v>0</v>
      </c>
    </row>
    <row r="14" spans="1:46" ht="15" customHeight="1" x14ac:dyDescent="0.15">
      <c r="C14" s="75">
        <v>13</v>
      </c>
      <c r="D14"/>
      <c r="E14" s="166" t="s">
        <v>205</v>
      </c>
      <c r="F14" s="75">
        <v>0</v>
      </c>
      <c r="G14" s="75">
        <v>2</v>
      </c>
      <c r="H14" s="75">
        <v>0.11</v>
      </c>
      <c r="I14" s="75">
        <v>1.6</v>
      </c>
      <c r="J14" s="75">
        <v>0.25454545000000001</v>
      </c>
      <c r="K14" s="75">
        <v>6.8750000000000006E-2</v>
      </c>
      <c r="L14" s="75">
        <v>0</v>
      </c>
      <c r="M14" s="75">
        <v>0.2</v>
      </c>
      <c r="N14" s="75">
        <v>0</v>
      </c>
    </row>
    <row r="15" spans="1:46" ht="15" customHeight="1" x14ac:dyDescent="0.15">
      <c r="C15" s="75">
        <v>14</v>
      </c>
      <c r="D15"/>
      <c r="E15" s="166" t="s">
        <v>206</v>
      </c>
      <c r="F15" s="75">
        <v>0</v>
      </c>
      <c r="G15" s="75">
        <v>2.90406333E-5</v>
      </c>
      <c r="H15" s="75">
        <v>2</v>
      </c>
      <c r="I15" s="75">
        <v>74.406080000000003</v>
      </c>
      <c r="J15" s="75">
        <v>0</v>
      </c>
      <c r="K15" s="75">
        <v>2.6879522900000001E-2</v>
      </c>
      <c r="L15" s="75">
        <v>0</v>
      </c>
      <c r="M15" s="75">
        <v>0.2</v>
      </c>
      <c r="N15" s="75">
        <v>0</v>
      </c>
    </row>
    <row r="16" spans="1:46" ht="15" customHeight="1" x14ac:dyDescent="0.15">
      <c r="C16" s="75">
        <v>15</v>
      </c>
      <c r="D16"/>
      <c r="E16" s="166" t="s">
        <v>207</v>
      </c>
      <c r="F16" s="75">
        <v>0</v>
      </c>
      <c r="G16" s="75">
        <v>9.7518380000000002E-2</v>
      </c>
      <c r="H16" s="75">
        <v>1</v>
      </c>
      <c r="I16" s="75">
        <v>7.1615060000000001</v>
      </c>
      <c r="J16" s="75">
        <v>7.9984935000000004E-3</v>
      </c>
      <c r="K16" s="75">
        <v>0.13963542900000001</v>
      </c>
      <c r="L16" s="75">
        <v>0</v>
      </c>
      <c r="M16" s="75">
        <v>0.2</v>
      </c>
      <c r="N16" s="75">
        <v>0</v>
      </c>
    </row>
    <row r="17" spans="1:22" ht="15" customHeight="1" x14ac:dyDescent="0.15">
      <c r="C17" s="75">
        <v>16</v>
      </c>
      <c r="D17"/>
      <c r="E17" s="166" t="s">
        <v>208</v>
      </c>
      <c r="F17" s="75">
        <v>0</v>
      </c>
      <c r="G17" s="75">
        <v>2.8</v>
      </c>
      <c r="H17" s="75">
        <v>0.15</v>
      </c>
      <c r="I17" s="75">
        <v>2.1</v>
      </c>
      <c r="J17" s="75">
        <v>0.30952380000000002</v>
      </c>
      <c r="K17" s="75">
        <v>7.1428574600000003E-2</v>
      </c>
      <c r="L17" s="75">
        <v>0</v>
      </c>
      <c r="M17" s="75">
        <v>0.2</v>
      </c>
      <c r="N17" s="75">
        <v>0</v>
      </c>
      <c r="V17" s="1" t="s">
        <v>30</v>
      </c>
    </row>
    <row r="18" spans="1:22" ht="15" customHeight="1" x14ac:dyDescent="0.15">
      <c r="C18" s="75">
        <v>17</v>
      </c>
      <c r="D18"/>
      <c r="E18" s="166" t="s">
        <v>209</v>
      </c>
      <c r="F18" s="75">
        <v>0</v>
      </c>
      <c r="G18" s="75">
        <v>8.6999999999999993</v>
      </c>
      <c r="H18" s="75">
        <v>0.3</v>
      </c>
      <c r="I18" s="75">
        <v>2.5</v>
      </c>
      <c r="J18" s="75">
        <v>0.77625809999999995</v>
      </c>
      <c r="K18" s="75">
        <v>0.12000000500000001</v>
      </c>
      <c r="L18" s="75">
        <v>0</v>
      </c>
      <c r="M18" s="75">
        <v>0.2</v>
      </c>
      <c r="N18" s="75">
        <v>0</v>
      </c>
      <c r="V18" s="1"/>
    </row>
    <row r="19" spans="1:22" ht="15" customHeight="1" x14ac:dyDescent="0.15">
      <c r="C19" s="75">
        <v>18</v>
      </c>
      <c r="D19"/>
      <c r="E19" s="166" t="s">
        <v>210</v>
      </c>
      <c r="F19" s="75">
        <v>0</v>
      </c>
      <c r="G19" s="75">
        <v>2.7</v>
      </c>
      <c r="H19" s="75">
        <v>0.06</v>
      </c>
      <c r="I19" s="75">
        <v>1.95</v>
      </c>
      <c r="J19" s="75">
        <v>0</v>
      </c>
      <c r="K19" s="75">
        <v>3.0769228900000001E-2</v>
      </c>
      <c r="L19" s="75">
        <v>0</v>
      </c>
      <c r="M19" s="75">
        <v>0.2</v>
      </c>
      <c r="N19" s="75">
        <v>0</v>
      </c>
    </row>
    <row r="20" spans="1:22" ht="15" customHeight="1" thickBot="1" x14ac:dyDescent="0.2">
      <c r="C20" s="75">
        <v>19</v>
      </c>
      <c r="D20"/>
      <c r="E20" s="166" t="s">
        <v>211</v>
      </c>
      <c r="F20" s="75">
        <v>0</v>
      </c>
      <c r="G20" s="75">
        <v>1</v>
      </c>
      <c r="H20" s="75">
        <v>0.2</v>
      </c>
      <c r="I20" s="75">
        <v>2.5</v>
      </c>
      <c r="J20" s="75">
        <v>0</v>
      </c>
      <c r="K20" s="75">
        <v>0.08</v>
      </c>
      <c r="L20" s="75">
        <v>0</v>
      </c>
      <c r="M20" s="75">
        <v>0.2</v>
      </c>
      <c r="N20" s="75">
        <v>0</v>
      </c>
    </row>
    <row r="21" spans="1:22" ht="15" customHeight="1" thickBot="1" x14ac:dyDescent="0.2">
      <c r="A21" s="44" t="s">
        <v>137</v>
      </c>
      <c r="B21" s="93"/>
      <c r="C21" s="75">
        <v>20</v>
      </c>
      <c r="D21"/>
      <c r="E21" s="166" t="s">
        <v>212</v>
      </c>
      <c r="F21" s="75">
        <v>0</v>
      </c>
      <c r="G21" s="75">
        <v>25</v>
      </c>
      <c r="H21" s="75">
        <v>0.23</v>
      </c>
      <c r="I21" s="75">
        <v>2.5</v>
      </c>
      <c r="J21" s="75">
        <v>0.78241879999999997</v>
      </c>
      <c r="K21" s="75">
        <v>9.1999999999999998E-2</v>
      </c>
      <c r="L21" s="75">
        <v>0</v>
      </c>
      <c r="M21" s="75">
        <v>0.2</v>
      </c>
      <c r="N21" s="75">
        <v>0</v>
      </c>
    </row>
    <row r="22" spans="1:22" ht="15" customHeight="1" x14ac:dyDescent="0.15">
      <c r="A22" s="94" t="s">
        <v>58</v>
      </c>
      <c r="B22" s="95">
        <v>0</v>
      </c>
      <c r="C22" s="75">
        <v>21</v>
      </c>
      <c r="D22"/>
      <c r="E22" s="166" t="s">
        <v>213</v>
      </c>
      <c r="F22" s="75">
        <v>0</v>
      </c>
      <c r="G22" s="75">
        <v>0.4</v>
      </c>
      <c r="H22" s="75">
        <v>0.93</v>
      </c>
      <c r="I22" s="75">
        <v>5.8</v>
      </c>
      <c r="J22" s="75">
        <v>0.53763443200000005</v>
      </c>
      <c r="K22" s="75">
        <v>0.160344824</v>
      </c>
      <c r="L22" s="75">
        <v>0</v>
      </c>
      <c r="M22" s="75">
        <v>0.2</v>
      </c>
      <c r="N22" s="75">
        <v>0</v>
      </c>
    </row>
    <row r="23" spans="1:22" ht="15" customHeight="1" x14ac:dyDescent="0.15">
      <c r="A23" s="94" t="s">
        <v>59</v>
      </c>
      <c r="B23" s="95">
        <v>1</v>
      </c>
      <c r="C23" s="75">
        <v>22</v>
      </c>
      <c r="D23"/>
      <c r="E23" s="166" t="s">
        <v>214</v>
      </c>
      <c r="F23" s="75">
        <v>0</v>
      </c>
      <c r="G23" s="75">
        <v>0.3</v>
      </c>
      <c r="H23" s="75">
        <v>0.35</v>
      </c>
      <c r="I23" s="75">
        <v>6</v>
      </c>
      <c r="J23" s="75">
        <v>0</v>
      </c>
      <c r="K23" s="75">
        <v>5.8333333600000002E-2</v>
      </c>
      <c r="L23" s="75">
        <v>0</v>
      </c>
      <c r="M23" s="75">
        <v>0.2</v>
      </c>
      <c r="N23" s="75">
        <v>0</v>
      </c>
    </row>
    <row r="24" spans="1:22" ht="15" customHeight="1" x14ac:dyDescent="0.15">
      <c r="A24" s="94" t="s">
        <v>60</v>
      </c>
      <c r="B24" s="95">
        <v>2</v>
      </c>
      <c r="C24" s="75">
        <v>23</v>
      </c>
      <c r="D24"/>
      <c r="E24" s="166" t="s">
        <v>215</v>
      </c>
      <c r="F24" s="75">
        <v>0</v>
      </c>
      <c r="G24" s="75">
        <v>0.7</v>
      </c>
      <c r="H24" s="75">
        <v>0.5</v>
      </c>
      <c r="I24" s="75">
        <v>5</v>
      </c>
      <c r="J24" s="75">
        <v>0.58057150000000002</v>
      </c>
      <c r="K24" s="75">
        <v>0.1</v>
      </c>
      <c r="L24" s="75">
        <v>0</v>
      </c>
      <c r="M24" s="75">
        <v>0.2</v>
      </c>
      <c r="N24" s="75">
        <v>0</v>
      </c>
    </row>
    <row r="25" spans="1:22" ht="15" customHeight="1" thickBot="1" x14ac:dyDescent="0.2">
      <c r="A25" s="96" t="s">
        <v>44</v>
      </c>
      <c r="B25" s="97">
        <v>3</v>
      </c>
      <c r="C25" s="75">
        <v>24</v>
      </c>
      <c r="D25"/>
      <c r="E25" s="166" t="s">
        <v>216</v>
      </c>
      <c r="F25" s="75">
        <v>0</v>
      </c>
      <c r="G25" s="75">
        <v>4.7</v>
      </c>
      <c r="H25" s="75">
        <v>0.4</v>
      </c>
      <c r="I25" s="75">
        <v>2</v>
      </c>
      <c r="J25" s="75">
        <v>0.87809669999999995</v>
      </c>
      <c r="K25" s="75">
        <v>0.2</v>
      </c>
      <c r="L25" s="75">
        <v>0</v>
      </c>
      <c r="M25" s="75">
        <v>0.2</v>
      </c>
      <c r="N25" s="75">
        <v>0</v>
      </c>
    </row>
    <row r="26" spans="1:22" ht="15" customHeight="1" x14ac:dyDescent="0.15">
      <c r="A26" s="98" t="s">
        <v>140</v>
      </c>
      <c r="C26" s="75">
        <v>25</v>
      </c>
      <c r="D26"/>
      <c r="E26" s="166" t="s">
        <v>217</v>
      </c>
      <c r="F26" s="75">
        <v>0</v>
      </c>
      <c r="G26" s="75">
        <v>35</v>
      </c>
      <c r="H26" s="75">
        <v>1</v>
      </c>
      <c r="I26" s="75">
        <v>6</v>
      </c>
      <c r="J26" s="75">
        <v>0.81560814400000003</v>
      </c>
      <c r="K26" s="75">
        <v>0.16666667199999999</v>
      </c>
      <c r="L26" s="75">
        <v>0</v>
      </c>
      <c r="M26" s="75">
        <v>0.2</v>
      </c>
      <c r="N26" s="75">
        <v>0</v>
      </c>
    </row>
    <row r="27" spans="1:22" ht="15" customHeight="1" x14ac:dyDescent="0.15">
      <c r="C27" s="75">
        <v>26</v>
      </c>
      <c r="D27"/>
      <c r="E27" s="166" t="s">
        <v>166</v>
      </c>
      <c r="F27" s="75">
        <v>0</v>
      </c>
      <c r="G27" s="75">
        <v>2</v>
      </c>
      <c r="H27" s="75">
        <v>2</v>
      </c>
      <c r="I27" s="75">
        <v>6</v>
      </c>
      <c r="J27" s="75">
        <v>0.76599159999999999</v>
      </c>
      <c r="K27" s="75">
        <v>0.333333343</v>
      </c>
      <c r="L27" s="75">
        <v>0</v>
      </c>
      <c r="M27" s="75">
        <v>0.2</v>
      </c>
      <c r="N27" s="75">
        <v>0</v>
      </c>
    </row>
    <row r="28" spans="1:22" ht="15" customHeight="1" x14ac:dyDescent="0.15">
      <c r="C28" s="75">
        <v>27</v>
      </c>
      <c r="D28"/>
      <c r="E28" s="166" t="s">
        <v>218</v>
      </c>
      <c r="F28" s="75">
        <v>0</v>
      </c>
      <c r="G28" s="75">
        <v>1.7</v>
      </c>
      <c r="H28" s="75">
        <v>0.5</v>
      </c>
      <c r="I28" s="75">
        <v>3</v>
      </c>
      <c r="J28" s="75">
        <v>0.92132049999999999</v>
      </c>
      <c r="K28" s="75">
        <v>0.16666667199999999</v>
      </c>
      <c r="L28" s="75">
        <v>0</v>
      </c>
      <c r="M28" s="75">
        <v>0.2</v>
      </c>
      <c r="N28" s="75">
        <v>0</v>
      </c>
    </row>
    <row r="29" spans="1:22" customFormat="1" ht="15" customHeight="1" x14ac:dyDescent="0.15">
      <c r="C29" s="75">
        <v>28</v>
      </c>
      <c r="E29" s="166" t="s">
        <v>219</v>
      </c>
      <c r="F29" s="75">
        <v>0</v>
      </c>
      <c r="G29" s="75">
        <v>3.1</v>
      </c>
      <c r="H29" s="75">
        <v>2.5</v>
      </c>
      <c r="I29" s="75">
        <v>11</v>
      </c>
      <c r="J29" s="75">
        <v>0.79698630000000004</v>
      </c>
      <c r="K29" s="75">
        <v>0.227272734</v>
      </c>
      <c r="L29" s="75">
        <v>0</v>
      </c>
      <c r="M29" s="75">
        <v>0.2</v>
      </c>
      <c r="N29" s="75">
        <v>0</v>
      </c>
    </row>
    <row r="30" spans="1:22" customFormat="1" ht="15" customHeight="1" x14ac:dyDescent="0.15">
      <c r="C30" s="75">
        <v>29</v>
      </c>
      <c r="E30" s="166" t="s">
        <v>220</v>
      </c>
      <c r="F30" s="75">
        <v>0</v>
      </c>
      <c r="G30" s="75">
        <v>2.4</v>
      </c>
      <c r="H30" s="75">
        <v>5.5</v>
      </c>
      <c r="I30" s="75">
        <v>20</v>
      </c>
      <c r="J30" s="75">
        <v>0.95521634799999999</v>
      </c>
      <c r="K30" s="75">
        <v>0.27500000000000002</v>
      </c>
      <c r="L30" s="75">
        <v>0</v>
      </c>
      <c r="M30" s="75">
        <v>0.2</v>
      </c>
      <c r="N30" s="75">
        <v>0</v>
      </c>
    </row>
    <row r="31" spans="1:22" customFormat="1" ht="15" customHeight="1" x14ac:dyDescent="0.15">
      <c r="C31" s="75">
        <v>30</v>
      </c>
      <c r="E31" s="166" t="s">
        <v>221</v>
      </c>
      <c r="F31" s="75">
        <v>0</v>
      </c>
      <c r="G31" s="75">
        <v>52</v>
      </c>
      <c r="H31" s="75">
        <v>8</v>
      </c>
      <c r="I31" s="75">
        <v>40</v>
      </c>
      <c r="J31" s="75">
        <v>0.72426796000000004</v>
      </c>
      <c r="K31" s="75">
        <v>0.2</v>
      </c>
      <c r="L31" s="75">
        <v>0</v>
      </c>
      <c r="M31" s="75">
        <v>0.2</v>
      </c>
      <c r="N31" s="75">
        <v>0</v>
      </c>
    </row>
    <row r="32" spans="1:22" customFormat="1" ht="15" customHeight="1" x14ac:dyDescent="0.15">
      <c r="C32" s="75">
        <v>31</v>
      </c>
      <c r="E32" s="166" t="s">
        <v>222</v>
      </c>
      <c r="F32" s="75">
        <v>0</v>
      </c>
      <c r="G32" s="75">
        <v>3.3409551200000001E-6</v>
      </c>
      <c r="H32" s="75">
        <v>3</v>
      </c>
      <c r="I32" s="75">
        <v>104.416016</v>
      </c>
      <c r="J32" s="75">
        <v>0</v>
      </c>
      <c r="K32" s="75">
        <v>2.87312251E-2</v>
      </c>
      <c r="L32" s="75">
        <v>0</v>
      </c>
      <c r="M32" s="75">
        <v>0.2</v>
      </c>
      <c r="N32" s="75">
        <v>0</v>
      </c>
    </row>
    <row r="33" spans="3:14" customFormat="1" ht="15" customHeight="1" x14ac:dyDescent="0.15">
      <c r="C33" s="75">
        <v>32</v>
      </c>
      <c r="E33" s="166" t="s">
        <v>223</v>
      </c>
      <c r="F33" s="75">
        <v>0</v>
      </c>
      <c r="G33" s="75">
        <v>1</v>
      </c>
      <c r="H33" s="75">
        <v>0.2</v>
      </c>
      <c r="I33" s="75">
        <v>4</v>
      </c>
      <c r="J33" s="75">
        <v>0.5</v>
      </c>
      <c r="K33" s="75">
        <v>0.05</v>
      </c>
      <c r="L33" s="75">
        <v>0</v>
      </c>
      <c r="M33" s="75">
        <v>0.2</v>
      </c>
      <c r="N33" s="75">
        <v>0</v>
      </c>
    </row>
    <row r="34" spans="3:14" customFormat="1" ht="15" customHeight="1" x14ac:dyDescent="0.15">
      <c r="C34" s="75">
        <v>33</v>
      </c>
      <c r="E34" s="166" t="s">
        <v>224</v>
      </c>
      <c r="F34" s="75">
        <v>0</v>
      </c>
      <c r="G34" s="75">
        <v>52</v>
      </c>
      <c r="H34" s="75">
        <v>3.5</v>
      </c>
      <c r="I34" s="75">
        <v>15</v>
      </c>
      <c r="J34" s="75">
        <v>0.32598359999999998</v>
      </c>
      <c r="K34" s="75">
        <v>0.233333334</v>
      </c>
      <c r="L34" s="75">
        <v>0</v>
      </c>
      <c r="M34" s="75">
        <v>0.2</v>
      </c>
      <c r="N34" s="75">
        <v>0</v>
      </c>
    </row>
    <row r="35" spans="3:14" customFormat="1" ht="15" customHeight="1" x14ac:dyDescent="0.15">
      <c r="C35" s="75">
        <v>34</v>
      </c>
      <c r="E35" s="166" t="s">
        <v>225</v>
      </c>
      <c r="F35" s="75">
        <v>1</v>
      </c>
      <c r="G35" s="75">
        <v>10</v>
      </c>
      <c r="H35" s="75">
        <v>10</v>
      </c>
      <c r="I35" s="75">
        <v>0</v>
      </c>
      <c r="J35" s="75">
        <v>2.00017449E-2</v>
      </c>
      <c r="K35" s="75">
        <v>0</v>
      </c>
      <c r="L35" s="75">
        <v>0</v>
      </c>
      <c r="M35" s="75">
        <v>0</v>
      </c>
      <c r="N35" s="75">
        <v>0</v>
      </c>
    </row>
    <row r="36" spans="3:14" customFormat="1" ht="15" customHeight="1" x14ac:dyDescent="0.15">
      <c r="C36" s="75">
        <v>35</v>
      </c>
      <c r="E36" s="166" t="s">
        <v>226</v>
      </c>
      <c r="F36" s="75">
        <v>1</v>
      </c>
      <c r="G36" s="75">
        <v>55</v>
      </c>
      <c r="H36" s="75">
        <v>120</v>
      </c>
      <c r="I36" s="75">
        <v>0</v>
      </c>
      <c r="J36" s="75">
        <v>0.319250017</v>
      </c>
      <c r="K36" s="75">
        <v>0</v>
      </c>
      <c r="L36" s="75">
        <v>0</v>
      </c>
      <c r="M36" s="75">
        <v>0</v>
      </c>
      <c r="N36" s="75">
        <v>0</v>
      </c>
    </row>
    <row r="37" spans="3:14" customFormat="1" ht="15" customHeight="1" x14ac:dyDescent="0.15">
      <c r="C37" s="75">
        <v>36</v>
      </c>
      <c r="E37" s="166" t="s">
        <v>227</v>
      </c>
      <c r="F37" s="75">
        <v>2</v>
      </c>
      <c r="G37" s="75">
        <v>50</v>
      </c>
      <c r="H37" s="75">
        <v>0</v>
      </c>
      <c r="I37" s="75">
        <v>0</v>
      </c>
      <c r="J37" s="75">
        <v>0</v>
      </c>
      <c r="K37" s="75">
        <v>0</v>
      </c>
      <c r="L37" s="75">
        <v>0</v>
      </c>
      <c r="M37" s="75">
        <v>0</v>
      </c>
      <c r="N37" s="75">
        <v>0</v>
      </c>
    </row>
    <row r="38" spans="3:14" customFormat="1" ht="15" customHeight="1" x14ac:dyDescent="0.15">
      <c r="C38" s="75">
        <v>37</v>
      </c>
      <c r="E38" s="166" t="s">
        <v>228</v>
      </c>
      <c r="F38" s="75">
        <v>2</v>
      </c>
      <c r="G38" s="75">
        <v>5</v>
      </c>
      <c r="H38" s="75">
        <v>0</v>
      </c>
      <c r="I38" s="75">
        <v>0</v>
      </c>
      <c r="J38" s="75">
        <v>0</v>
      </c>
      <c r="K38" s="75">
        <v>0</v>
      </c>
      <c r="L38" s="75">
        <v>0</v>
      </c>
      <c r="M38" s="75">
        <v>0</v>
      </c>
      <c r="N38" s="75">
        <v>0</v>
      </c>
    </row>
    <row r="39" spans="3:14" customFormat="1" ht="15" customHeight="1" x14ac:dyDescent="0.15">
      <c r="C39" s="75">
        <v>38</v>
      </c>
      <c r="E39" s="166" t="s">
        <v>229</v>
      </c>
      <c r="F39" s="75">
        <v>3</v>
      </c>
      <c r="G39" s="75">
        <v>0</v>
      </c>
      <c r="H39" s="75">
        <v>0</v>
      </c>
      <c r="I39" s="75">
        <v>0</v>
      </c>
      <c r="J39" s="75">
        <v>0</v>
      </c>
      <c r="K39" s="75">
        <v>0</v>
      </c>
      <c r="L39" s="75">
        <v>0</v>
      </c>
      <c r="M39" s="75">
        <v>0</v>
      </c>
      <c r="N39" s="75">
        <v>0</v>
      </c>
    </row>
    <row r="40" spans="3:14" customFormat="1" ht="15" customHeight="1" x14ac:dyDescent="0.15">
      <c r="C40" s="75">
        <v>39</v>
      </c>
      <c r="E40" s="166" t="s">
        <v>230</v>
      </c>
      <c r="F40" s="75">
        <v>3</v>
      </c>
      <c r="G40" s="75">
        <v>0</v>
      </c>
      <c r="H40" s="75">
        <v>0</v>
      </c>
      <c r="I40" s="75">
        <v>0</v>
      </c>
      <c r="J40" s="75">
        <v>0</v>
      </c>
      <c r="K40" s="75">
        <v>0</v>
      </c>
      <c r="L40" s="75">
        <v>0</v>
      </c>
      <c r="M40" s="75">
        <v>0</v>
      </c>
      <c r="N40" s="75">
        <v>0</v>
      </c>
    </row>
    <row r="41" spans="3:14" customFormat="1" ht="15" customHeight="1" x14ac:dyDescent="0.15">
      <c r="C41" s="75">
        <v>40</v>
      </c>
      <c r="E41" s="166" t="s">
        <v>231</v>
      </c>
      <c r="F41" s="75">
        <v>3</v>
      </c>
      <c r="G41" s="75">
        <v>0</v>
      </c>
      <c r="H41" s="75">
        <v>0</v>
      </c>
      <c r="I41" s="75">
        <v>0</v>
      </c>
      <c r="J41" s="75">
        <v>0</v>
      </c>
      <c r="K41" s="75">
        <v>0</v>
      </c>
      <c r="L41" s="75">
        <v>0</v>
      </c>
      <c r="M41" s="75">
        <v>0</v>
      </c>
      <c r="N41" s="75">
        <v>0</v>
      </c>
    </row>
    <row r="42" spans="3:14" customFormat="1" ht="15" customHeight="1" x14ac:dyDescent="0.15">
      <c r="C42" s="75">
        <v>41</v>
      </c>
      <c r="E42" s="166" t="s">
        <v>232</v>
      </c>
      <c r="F42" s="75">
        <v>3</v>
      </c>
      <c r="G42" s="75">
        <v>0</v>
      </c>
      <c r="H42" s="75">
        <v>0</v>
      </c>
      <c r="I42" s="75">
        <v>0</v>
      </c>
      <c r="J42" s="75">
        <v>0</v>
      </c>
      <c r="K42" s="75">
        <v>0</v>
      </c>
      <c r="L42" s="75">
        <v>0</v>
      </c>
      <c r="M42" s="75">
        <v>0</v>
      </c>
      <c r="N42" s="75">
        <v>0</v>
      </c>
    </row>
    <row r="43" spans="3:14" customFormat="1" ht="15" customHeight="1" x14ac:dyDescent="0.15">
      <c r="C43" s="75">
        <v>42</v>
      </c>
      <c r="E43" s="166" t="s">
        <v>233</v>
      </c>
      <c r="F43" s="75">
        <v>3</v>
      </c>
      <c r="G43" s="75">
        <v>0</v>
      </c>
      <c r="H43" s="75">
        <v>0</v>
      </c>
      <c r="I43" s="75">
        <v>0</v>
      </c>
      <c r="J43" s="75">
        <v>0</v>
      </c>
      <c r="K43" s="75">
        <v>0</v>
      </c>
      <c r="L43" s="75">
        <v>0</v>
      </c>
      <c r="M43" s="75">
        <v>0</v>
      </c>
      <c r="N43" s="75">
        <v>0</v>
      </c>
    </row>
    <row r="44" spans="3:14" customFormat="1" ht="15" customHeight="1" x14ac:dyDescent="0.15">
      <c r="C44" s="75">
        <v>43</v>
      </c>
      <c r="E44" s="166" t="s">
        <v>234</v>
      </c>
      <c r="F44" s="75">
        <v>3</v>
      </c>
      <c r="G44" s="75">
        <v>0</v>
      </c>
      <c r="H44" s="75">
        <v>0</v>
      </c>
      <c r="I44" s="75">
        <v>0</v>
      </c>
      <c r="J44" s="75">
        <v>0</v>
      </c>
      <c r="K44" s="75">
        <v>0</v>
      </c>
      <c r="L44" s="75">
        <v>0</v>
      </c>
      <c r="M44" s="75">
        <v>0</v>
      </c>
      <c r="N44" s="75">
        <v>0</v>
      </c>
    </row>
    <row r="45" spans="3:14" customFormat="1" ht="15" customHeight="1" x14ac:dyDescent="0.15">
      <c r="C45" s="75">
        <v>44</v>
      </c>
      <c r="E45" s="166" t="s">
        <v>235</v>
      </c>
      <c r="F45" s="75">
        <v>3</v>
      </c>
      <c r="G45" s="75">
        <v>0</v>
      </c>
      <c r="H45" s="75">
        <v>0</v>
      </c>
      <c r="I45" s="75">
        <v>0</v>
      </c>
      <c r="J45" s="75">
        <v>0</v>
      </c>
      <c r="K45" s="75">
        <v>0</v>
      </c>
      <c r="L45" s="75">
        <v>0</v>
      </c>
      <c r="M45" s="75">
        <v>0</v>
      </c>
      <c r="N45" s="75">
        <v>0</v>
      </c>
    </row>
    <row r="46" spans="3:14" customFormat="1" ht="15" customHeight="1" x14ac:dyDescent="0.15">
      <c r="C46" s="75">
        <v>45</v>
      </c>
      <c r="E46" s="166" t="s">
        <v>236</v>
      </c>
      <c r="F46" s="75">
        <v>3</v>
      </c>
      <c r="G46" s="75">
        <v>0</v>
      </c>
      <c r="H46" s="75">
        <v>0</v>
      </c>
      <c r="I46" s="75">
        <v>0</v>
      </c>
      <c r="J46" s="75">
        <v>0</v>
      </c>
      <c r="K46" s="75">
        <v>0</v>
      </c>
      <c r="L46" s="75">
        <v>0</v>
      </c>
      <c r="M46" s="75">
        <v>0</v>
      </c>
      <c r="N46" s="75">
        <v>0</v>
      </c>
    </row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L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3" style="133" bestFit="1" customWidth="1"/>
    <col min="2" max="2" width="4.83203125" style="133" bestFit="1" customWidth="1"/>
    <col min="3" max="3" width="2.33203125" style="133" bestFit="1" customWidth="1"/>
    <col min="4" max="5" width="3.83203125" style="133" bestFit="1" customWidth="1"/>
    <col min="6" max="6" width="2.33203125" style="133" bestFit="1" customWidth="1"/>
    <col min="7" max="8" width="4.83203125" style="133" bestFit="1" customWidth="1"/>
    <col min="9" max="9" width="2.33203125" style="133" bestFit="1" customWidth="1"/>
    <col min="10" max="10" width="4.83203125" style="133" bestFit="1" customWidth="1"/>
    <col min="11" max="11" width="5.83203125" style="133" bestFit="1" customWidth="1"/>
    <col min="12" max="12" width="2.33203125" style="133" bestFit="1" customWidth="1"/>
    <col min="13" max="14" width="4.83203125" style="133" bestFit="1" customWidth="1"/>
    <col min="15" max="15" width="2.33203125" style="133" bestFit="1" customWidth="1"/>
    <col min="16" max="18" width="4.83203125" style="133" bestFit="1" customWidth="1"/>
    <col min="19" max="19" width="15.83203125" style="133" bestFit="1" customWidth="1"/>
    <col min="20" max="22" width="4.83203125" style="133" bestFit="1" customWidth="1"/>
    <col min="23" max="24" width="3.83203125" style="133" bestFit="1" customWidth="1"/>
    <col min="25" max="28" width="4.83203125" style="133" bestFit="1" customWidth="1"/>
    <col min="29" max="29" width="3.83203125" style="133" bestFit="1" customWidth="1"/>
    <col min="30" max="30" width="2.33203125" style="133" customWidth="1"/>
    <col min="31" max="34" width="3.83203125" style="133" customWidth="1"/>
    <col min="35" max="38" width="2.33203125" style="133" customWidth="1"/>
    <col min="39" max="16384" width="8.83203125" style="133"/>
  </cols>
  <sheetData>
    <row r="1" spans="1:38" x14ac:dyDescent="0.15">
      <c r="A1" s="132" t="s">
        <v>19</v>
      </c>
      <c r="B1" s="168" t="s">
        <v>193</v>
      </c>
      <c r="C1" s="168" t="s">
        <v>194</v>
      </c>
      <c r="D1" s="168" t="s">
        <v>195</v>
      </c>
      <c r="E1" s="168" t="s">
        <v>196</v>
      </c>
      <c r="F1" s="168" t="s">
        <v>197</v>
      </c>
      <c r="G1" s="168" t="s">
        <v>198</v>
      </c>
      <c r="H1" s="168" t="s">
        <v>199</v>
      </c>
      <c r="I1" s="168" t="s">
        <v>200</v>
      </c>
      <c r="J1" s="168" t="s">
        <v>201</v>
      </c>
      <c r="K1" s="168" t="s">
        <v>202</v>
      </c>
      <c r="L1" s="168" t="s">
        <v>203</v>
      </c>
      <c r="M1" s="168" t="s">
        <v>204</v>
      </c>
      <c r="N1" s="168" t="s">
        <v>205</v>
      </c>
      <c r="O1" s="168" t="s">
        <v>206</v>
      </c>
      <c r="P1" s="168" t="s">
        <v>207</v>
      </c>
      <c r="Q1" s="168" t="s">
        <v>208</v>
      </c>
      <c r="R1" s="168" t="s">
        <v>209</v>
      </c>
      <c r="S1" s="168" t="s">
        <v>210</v>
      </c>
      <c r="T1" s="168" t="s">
        <v>211</v>
      </c>
      <c r="U1" s="168" t="s">
        <v>212</v>
      </c>
      <c r="V1" s="168" t="s">
        <v>213</v>
      </c>
      <c r="W1" s="168" t="s">
        <v>214</v>
      </c>
      <c r="X1" s="168" t="s">
        <v>215</v>
      </c>
      <c r="Y1" s="168" t="s">
        <v>216</v>
      </c>
      <c r="Z1" s="168" t="s">
        <v>217</v>
      </c>
      <c r="AA1" s="168" t="s">
        <v>166</v>
      </c>
      <c r="AB1" s="168" t="s">
        <v>218</v>
      </c>
      <c r="AC1" s="168" t="s">
        <v>219</v>
      </c>
      <c r="AD1" s="168" t="s">
        <v>220</v>
      </c>
      <c r="AE1" s="168" t="s">
        <v>221</v>
      </c>
      <c r="AF1" s="168" t="s">
        <v>222</v>
      </c>
      <c r="AG1" s="168" t="s">
        <v>223</v>
      </c>
      <c r="AH1" s="168" t="s">
        <v>224</v>
      </c>
      <c r="AI1" s="168" t="s">
        <v>225</v>
      </c>
      <c r="AJ1" s="168" t="s">
        <v>226</v>
      </c>
      <c r="AK1" s="168" t="s">
        <v>227</v>
      </c>
      <c r="AL1" s="168" t="s">
        <v>228</v>
      </c>
    </row>
    <row r="2" spans="1:38" customFormat="1" x14ac:dyDescent="0.15">
      <c r="A2" s="167" t="s">
        <v>193</v>
      </c>
      <c r="B2" s="133">
        <v>0</v>
      </c>
      <c r="C2" s="133">
        <v>0</v>
      </c>
      <c r="D2" s="133">
        <v>0</v>
      </c>
      <c r="E2" s="133">
        <v>0</v>
      </c>
      <c r="F2" s="133">
        <v>0</v>
      </c>
      <c r="G2" s="133">
        <v>0</v>
      </c>
      <c r="H2" s="133">
        <v>0</v>
      </c>
      <c r="I2" s="133">
        <v>0</v>
      </c>
      <c r="J2" s="133">
        <v>0</v>
      </c>
      <c r="K2" s="133">
        <v>0</v>
      </c>
      <c r="L2" s="133">
        <v>0</v>
      </c>
      <c r="M2" s="133">
        <v>0</v>
      </c>
      <c r="N2" s="133">
        <v>0</v>
      </c>
      <c r="O2" s="133">
        <v>0</v>
      </c>
      <c r="P2" s="133">
        <v>0</v>
      </c>
      <c r="Q2" s="133">
        <v>0</v>
      </c>
      <c r="R2" s="133">
        <v>0</v>
      </c>
      <c r="S2" s="133">
        <v>0</v>
      </c>
      <c r="T2" s="133">
        <v>0</v>
      </c>
      <c r="U2" s="133">
        <v>0</v>
      </c>
      <c r="V2" s="133">
        <v>0</v>
      </c>
      <c r="W2" s="133">
        <v>0</v>
      </c>
      <c r="X2" s="133">
        <v>0</v>
      </c>
      <c r="Y2" s="133">
        <v>0</v>
      </c>
      <c r="Z2" s="133">
        <v>0</v>
      </c>
      <c r="AA2" s="133">
        <v>0</v>
      </c>
      <c r="AB2" s="133">
        <v>0</v>
      </c>
      <c r="AC2" s="133">
        <v>0</v>
      </c>
      <c r="AD2" s="133">
        <v>0</v>
      </c>
      <c r="AE2" s="133">
        <v>0</v>
      </c>
      <c r="AF2" s="133">
        <v>0</v>
      </c>
      <c r="AG2" s="133">
        <v>0</v>
      </c>
      <c r="AH2" s="133">
        <v>0</v>
      </c>
      <c r="AI2" s="133">
        <v>0</v>
      </c>
      <c r="AJ2" s="133">
        <v>0</v>
      </c>
      <c r="AK2" s="133">
        <v>0</v>
      </c>
      <c r="AL2" s="133">
        <v>0</v>
      </c>
    </row>
    <row r="3" spans="1:38" customFormat="1" x14ac:dyDescent="0.15">
      <c r="A3" s="167" t="s">
        <v>194</v>
      </c>
      <c r="B3" s="133">
        <v>0</v>
      </c>
      <c r="C3" s="133">
        <v>0</v>
      </c>
      <c r="D3" s="133">
        <v>0</v>
      </c>
      <c r="E3" s="133">
        <v>0</v>
      </c>
      <c r="F3" s="133">
        <v>0</v>
      </c>
      <c r="G3" s="133">
        <v>0</v>
      </c>
      <c r="H3" s="133">
        <v>0</v>
      </c>
      <c r="I3" s="133">
        <v>0</v>
      </c>
      <c r="J3" s="133">
        <v>0</v>
      </c>
      <c r="K3" s="133">
        <v>0</v>
      </c>
      <c r="L3" s="133">
        <v>0</v>
      </c>
      <c r="M3" s="133">
        <v>0</v>
      </c>
      <c r="N3" s="133">
        <v>0</v>
      </c>
      <c r="O3" s="133">
        <v>0</v>
      </c>
      <c r="P3" s="133">
        <v>0</v>
      </c>
      <c r="Q3" s="133">
        <v>0</v>
      </c>
      <c r="R3" s="133">
        <v>0</v>
      </c>
      <c r="S3" s="133">
        <v>0</v>
      </c>
      <c r="T3" s="133">
        <v>0</v>
      </c>
      <c r="U3" s="133">
        <v>0</v>
      </c>
      <c r="V3" s="133">
        <v>0</v>
      </c>
      <c r="W3" s="133">
        <v>0</v>
      </c>
      <c r="X3" s="133">
        <v>0</v>
      </c>
      <c r="Y3" s="133">
        <v>0</v>
      </c>
      <c r="Z3" s="133">
        <v>0</v>
      </c>
      <c r="AA3" s="133">
        <v>0</v>
      </c>
      <c r="AB3" s="133">
        <v>0</v>
      </c>
      <c r="AC3" s="133">
        <v>0</v>
      </c>
      <c r="AD3" s="133">
        <v>0</v>
      </c>
      <c r="AE3" s="133">
        <v>0</v>
      </c>
      <c r="AF3" s="133">
        <v>0</v>
      </c>
      <c r="AG3" s="133">
        <v>0</v>
      </c>
      <c r="AH3" s="133">
        <v>0</v>
      </c>
      <c r="AI3" s="133">
        <v>0</v>
      </c>
      <c r="AJ3" s="133">
        <v>0</v>
      </c>
      <c r="AK3" s="133">
        <v>0</v>
      </c>
      <c r="AL3" s="133">
        <v>0</v>
      </c>
    </row>
    <row r="4" spans="1:38" customFormat="1" x14ac:dyDescent="0.15">
      <c r="A4" s="167" t="s">
        <v>195</v>
      </c>
      <c r="B4" s="133">
        <v>0</v>
      </c>
      <c r="C4" s="133">
        <v>0</v>
      </c>
      <c r="D4" s="133">
        <v>0</v>
      </c>
      <c r="E4" s="133">
        <v>0</v>
      </c>
      <c r="F4" s="133">
        <v>0</v>
      </c>
      <c r="G4" s="133">
        <v>0</v>
      </c>
      <c r="H4" s="133">
        <v>0</v>
      </c>
      <c r="I4" s="133">
        <v>0</v>
      </c>
      <c r="J4" s="133">
        <v>0</v>
      </c>
      <c r="K4" s="133">
        <v>0</v>
      </c>
      <c r="L4" s="133">
        <v>0</v>
      </c>
      <c r="M4" s="133">
        <v>0</v>
      </c>
      <c r="N4" s="133">
        <v>0</v>
      </c>
      <c r="O4" s="133">
        <v>0</v>
      </c>
      <c r="P4" s="133">
        <v>0</v>
      </c>
      <c r="Q4" s="133">
        <v>0</v>
      </c>
      <c r="R4" s="133">
        <v>0</v>
      </c>
      <c r="S4" s="133">
        <v>0</v>
      </c>
      <c r="T4" s="133">
        <v>0</v>
      </c>
      <c r="U4" s="133">
        <v>0</v>
      </c>
      <c r="V4" s="133">
        <v>0</v>
      </c>
      <c r="W4" s="133">
        <v>0</v>
      </c>
      <c r="X4" s="133">
        <v>0</v>
      </c>
      <c r="Y4" s="133">
        <v>0</v>
      </c>
      <c r="Z4" s="133">
        <v>0</v>
      </c>
      <c r="AA4" s="133">
        <v>0</v>
      </c>
      <c r="AB4" s="133">
        <v>0</v>
      </c>
      <c r="AC4" s="133">
        <v>0</v>
      </c>
      <c r="AD4" s="133">
        <v>0</v>
      </c>
      <c r="AE4" s="133">
        <v>0</v>
      </c>
      <c r="AF4" s="133">
        <v>0</v>
      </c>
      <c r="AG4" s="133">
        <v>0</v>
      </c>
      <c r="AH4" s="133">
        <v>0</v>
      </c>
      <c r="AI4" s="133">
        <v>0</v>
      </c>
      <c r="AJ4" s="133">
        <v>0</v>
      </c>
      <c r="AK4" s="133">
        <v>0</v>
      </c>
      <c r="AL4" s="133">
        <v>0</v>
      </c>
    </row>
    <row r="5" spans="1:38" customFormat="1" x14ac:dyDescent="0.15">
      <c r="A5" s="167" t="s">
        <v>196</v>
      </c>
      <c r="B5" s="133">
        <v>0</v>
      </c>
      <c r="C5" s="133">
        <v>0</v>
      </c>
      <c r="D5" s="133">
        <v>0</v>
      </c>
      <c r="E5" s="133">
        <v>0</v>
      </c>
      <c r="F5" s="133">
        <v>0</v>
      </c>
      <c r="G5" s="133">
        <v>0</v>
      </c>
      <c r="H5" s="133">
        <v>0</v>
      </c>
      <c r="I5" s="133">
        <v>0</v>
      </c>
      <c r="J5" s="133">
        <v>0</v>
      </c>
      <c r="K5" s="133">
        <v>0</v>
      </c>
      <c r="L5" s="133">
        <v>0</v>
      </c>
      <c r="M5" s="133">
        <v>0</v>
      </c>
      <c r="N5" s="133">
        <v>0</v>
      </c>
      <c r="O5" s="133">
        <v>0</v>
      </c>
      <c r="P5" s="133">
        <v>0</v>
      </c>
      <c r="Q5" s="133">
        <v>0</v>
      </c>
      <c r="R5" s="133">
        <v>0</v>
      </c>
      <c r="S5" s="133">
        <v>0</v>
      </c>
      <c r="T5" s="133">
        <v>0</v>
      </c>
      <c r="U5" s="133">
        <v>0</v>
      </c>
      <c r="V5" s="133">
        <v>0</v>
      </c>
      <c r="W5" s="133">
        <v>0</v>
      </c>
      <c r="X5" s="133">
        <v>0</v>
      </c>
      <c r="Y5" s="133">
        <v>0</v>
      </c>
      <c r="Z5" s="133">
        <v>0</v>
      </c>
      <c r="AA5" s="133">
        <v>0</v>
      </c>
      <c r="AB5" s="133">
        <v>0</v>
      </c>
      <c r="AC5" s="133">
        <v>0</v>
      </c>
      <c r="AD5" s="133">
        <v>0</v>
      </c>
      <c r="AE5" s="133">
        <v>0</v>
      </c>
      <c r="AF5" s="133">
        <v>0</v>
      </c>
      <c r="AG5" s="133">
        <v>0</v>
      </c>
      <c r="AH5" s="133">
        <v>0</v>
      </c>
      <c r="AI5" s="133">
        <v>0</v>
      </c>
      <c r="AJ5" s="133">
        <v>0</v>
      </c>
      <c r="AK5" s="133">
        <v>0</v>
      </c>
      <c r="AL5" s="133">
        <v>0</v>
      </c>
    </row>
    <row r="6" spans="1:38" customFormat="1" x14ac:dyDescent="0.15">
      <c r="A6" s="167" t="s">
        <v>197</v>
      </c>
      <c r="B6" s="133">
        <v>0</v>
      </c>
      <c r="C6" s="133">
        <v>0</v>
      </c>
      <c r="D6" s="133">
        <v>0</v>
      </c>
      <c r="E6" s="133">
        <v>0</v>
      </c>
      <c r="F6" s="133">
        <v>0</v>
      </c>
      <c r="G6" s="133">
        <v>0</v>
      </c>
      <c r="H6" s="133">
        <v>0</v>
      </c>
      <c r="I6" s="133">
        <v>0</v>
      </c>
      <c r="J6" s="133">
        <v>0</v>
      </c>
      <c r="K6" s="133">
        <v>0</v>
      </c>
      <c r="L6" s="133">
        <v>0</v>
      </c>
      <c r="M6" s="133">
        <v>0</v>
      </c>
      <c r="N6" s="133">
        <v>0</v>
      </c>
      <c r="O6" s="133">
        <v>0</v>
      </c>
      <c r="P6" s="133">
        <v>0</v>
      </c>
      <c r="Q6" s="133">
        <v>0</v>
      </c>
      <c r="R6" s="133">
        <v>0</v>
      </c>
      <c r="S6" s="133">
        <v>0</v>
      </c>
      <c r="T6" s="133">
        <v>0</v>
      </c>
      <c r="U6" s="133">
        <v>0</v>
      </c>
      <c r="V6" s="133">
        <v>0</v>
      </c>
      <c r="W6" s="133">
        <v>0</v>
      </c>
      <c r="X6" s="133">
        <v>0</v>
      </c>
      <c r="Y6" s="133">
        <v>0</v>
      </c>
      <c r="Z6" s="133">
        <v>0</v>
      </c>
      <c r="AA6" s="133">
        <v>0</v>
      </c>
      <c r="AB6" s="133">
        <v>0</v>
      </c>
      <c r="AC6" s="133">
        <v>0</v>
      </c>
      <c r="AD6" s="133">
        <v>0</v>
      </c>
      <c r="AE6" s="133">
        <v>0</v>
      </c>
      <c r="AF6" s="133">
        <v>0</v>
      </c>
      <c r="AG6" s="133">
        <v>0</v>
      </c>
      <c r="AH6" s="133">
        <v>0</v>
      </c>
      <c r="AI6" s="133">
        <v>0</v>
      </c>
      <c r="AJ6" s="133">
        <v>0</v>
      </c>
      <c r="AK6" s="133">
        <v>0</v>
      </c>
      <c r="AL6" s="133">
        <v>0</v>
      </c>
    </row>
    <row r="7" spans="1:38" customFormat="1" x14ac:dyDescent="0.15">
      <c r="A7" s="167" t="s">
        <v>198</v>
      </c>
      <c r="B7" s="133">
        <v>0</v>
      </c>
      <c r="C7" s="133">
        <v>0</v>
      </c>
      <c r="D7" s="133">
        <v>0</v>
      </c>
      <c r="E7" s="133">
        <v>0</v>
      </c>
      <c r="F7" s="133">
        <v>0</v>
      </c>
      <c r="G7" s="133">
        <v>0</v>
      </c>
      <c r="H7" s="133">
        <v>0</v>
      </c>
      <c r="I7" s="133">
        <v>0</v>
      </c>
      <c r="J7" s="133">
        <v>0</v>
      </c>
      <c r="K7" s="133">
        <v>0</v>
      </c>
      <c r="L7" s="133">
        <v>0</v>
      </c>
      <c r="M7" s="133">
        <v>0</v>
      </c>
      <c r="N7" s="133">
        <v>0</v>
      </c>
      <c r="O7" s="133">
        <v>0</v>
      </c>
      <c r="P7" s="133">
        <v>0</v>
      </c>
      <c r="Q7" s="133">
        <v>0</v>
      </c>
      <c r="R7" s="133">
        <v>0</v>
      </c>
      <c r="S7" s="133">
        <v>1.0099989741440245E-4</v>
      </c>
      <c r="T7" s="133">
        <v>0</v>
      </c>
      <c r="U7" s="133">
        <v>0</v>
      </c>
      <c r="V7" s="133">
        <v>0</v>
      </c>
      <c r="W7" s="133">
        <v>0</v>
      </c>
      <c r="X7" s="133">
        <v>0</v>
      </c>
      <c r="Y7" s="133">
        <v>0</v>
      </c>
      <c r="Z7" s="133">
        <v>0</v>
      </c>
      <c r="AA7" s="133">
        <v>0</v>
      </c>
      <c r="AB7" s="133">
        <v>0</v>
      </c>
      <c r="AC7" s="133">
        <v>0</v>
      </c>
      <c r="AD7" s="133">
        <v>0</v>
      </c>
      <c r="AE7" s="133">
        <v>0</v>
      </c>
      <c r="AF7" s="133">
        <v>0</v>
      </c>
      <c r="AG7" s="133">
        <v>0</v>
      </c>
      <c r="AH7" s="133">
        <v>0</v>
      </c>
      <c r="AI7" s="133">
        <v>0</v>
      </c>
      <c r="AJ7" s="133">
        <v>0</v>
      </c>
      <c r="AK7" s="133">
        <v>0</v>
      </c>
      <c r="AL7" s="133">
        <v>0</v>
      </c>
    </row>
    <row r="8" spans="1:38" customFormat="1" x14ac:dyDescent="0.15">
      <c r="A8" s="167" t="s">
        <v>199</v>
      </c>
      <c r="B8" s="133">
        <v>0</v>
      </c>
      <c r="C8" s="133">
        <v>0</v>
      </c>
      <c r="D8" s="133">
        <v>0</v>
      </c>
      <c r="E8" s="133">
        <v>0</v>
      </c>
      <c r="F8" s="133">
        <v>0</v>
      </c>
      <c r="G8" s="133">
        <v>0</v>
      </c>
      <c r="H8" s="133">
        <v>0</v>
      </c>
      <c r="I8" s="133">
        <v>0</v>
      </c>
      <c r="J8" s="133">
        <v>0</v>
      </c>
      <c r="K8" s="133">
        <v>0</v>
      </c>
      <c r="L8" s="133">
        <v>0</v>
      </c>
      <c r="M8" s="133">
        <v>0</v>
      </c>
      <c r="N8" s="133">
        <v>0</v>
      </c>
      <c r="O8" s="133">
        <v>0</v>
      </c>
      <c r="P8" s="133">
        <v>0</v>
      </c>
      <c r="Q8" s="133">
        <v>0</v>
      </c>
      <c r="R8" s="133">
        <v>0</v>
      </c>
      <c r="S8" s="133">
        <v>0</v>
      </c>
      <c r="T8" s="133">
        <v>0</v>
      </c>
      <c r="U8" s="133">
        <v>0</v>
      </c>
      <c r="V8" s="133">
        <v>0</v>
      </c>
      <c r="W8" s="133">
        <v>0</v>
      </c>
      <c r="X8" s="133">
        <v>0</v>
      </c>
      <c r="Y8" s="133">
        <v>0</v>
      </c>
      <c r="Z8" s="133">
        <v>0</v>
      </c>
      <c r="AA8" s="133">
        <v>0</v>
      </c>
      <c r="AB8" s="133">
        <v>0</v>
      </c>
      <c r="AC8" s="133">
        <v>0</v>
      </c>
      <c r="AD8" s="133">
        <v>0</v>
      </c>
      <c r="AE8" s="133">
        <v>0</v>
      </c>
      <c r="AF8" s="133">
        <v>0</v>
      </c>
      <c r="AG8" s="133">
        <v>0</v>
      </c>
      <c r="AH8" s="133">
        <v>0</v>
      </c>
      <c r="AI8" s="133">
        <v>0</v>
      </c>
      <c r="AJ8" s="133">
        <v>0</v>
      </c>
      <c r="AK8" s="133">
        <v>0</v>
      </c>
      <c r="AL8" s="133">
        <v>0</v>
      </c>
    </row>
    <row r="9" spans="1:38" customFormat="1" x14ac:dyDescent="0.15">
      <c r="A9" s="167" t="s">
        <v>200</v>
      </c>
      <c r="B9" s="133">
        <v>0</v>
      </c>
      <c r="C9" s="133">
        <v>0</v>
      </c>
      <c r="D9" s="133">
        <v>0</v>
      </c>
      <c r="E9" s="133">
        <v>0</v>
      </c>
      <c r="F9" s="133">
        <v>0</v>
      </c>
      <c r="G9" s="133">
        <v>0</v>
      </c>
      <c r="H9" s="133">
        <v>0</v>
      </c>
      <c r="I9" s="133">
        <v>0</v>
      </c>
      <c r="J9" s="133">
        <v>0</v>
      </c>
      <c r="K9" s="133">
        <v>0</v>
      </c>
      <c r="L9" s="133">
        <v>0</v>
      </c>
      <c r="M9" s="133">
        <v>0</v>
      </c>
      <c r="N9" s="133">
        <v>0</v>
      </c>
      <c r="O9" s="133">
        <v>0</v>
      </c>
      <c r="P9" s="133">
        <v>0</v>
      </c>
      <c r="Q9" s="133">
        <v>0</v>
      </c>
      <c r="R9" s="133">
        <v>0</v>
      </c>
      <c r="S9" s="133">
        <v>0</v>
      </c>
      <c r="T9" s="133">
        <v>0</v>
      </c>
      <c r="U9" s="133">
        <v>0</v>
      </c>
      <c r="V9" s="133">
        <v>0</v>
      </c>
      <c r="W9" s="133">
        <v>0</v>
      </c>
      <c r="X9" s="133">
        <v>0</v>
      </c>
      <c r="Y9" s="133">
        <v>0</v>
      </c>
      <c r="Z9" s="133">
        <v>0</v>
      </c>
      <c r="AA9" s="133">
        <v>0</v>
      </c>
      <c r="AB9" s="133">
        <v>0</v>
      </c>
      <c r="AC9" s="133">
        <v>0</v>
      </c>
      <c r="AD9" s="133">
        <v>0</v>
      </c>
      <c r="AE9" s="133">
        <v>0</v>
      </c>
      <c r="AF9" s="133">
        <v>0</v>
      </c>
      <c r="AG9" s="133">
        <v>0</v>
      </c>
      <c r="AH9" s="133">
        <v>0</v>
      </c>
      <c r="AI9" s="133">
        <v>0</v>
      </c>
      <c r="AJ9" s="133">
        <v>0</v>
      </c>
      <c r="AK9" s="133">
        <v>0</v>
      </c>
      <c r="AL9" s="133">
        <v>0</v>
      </c>
    </row>
    <row r="10" spans="1:38" customFormat="1" x14ac:dyDescent="0.15">
      <c r="A10" s="167" t="s">
        <v>201</v>
      </c>
      <c r="B10" s="133">
        <v>0</v>
      </c>
      <c r="C10" s="133">
        <v>0</v>
      </c>
      <c r="D10" s="133">
        <v>0</v>
      </c>
      <c r="E10" s="133">
        <v>0</v>
      </c>
      <c r="F10" s="133">
        <v>0</v>
      </c>
      <c r="G10" s="133">
        <v>0</v>
      </c>
      <c r="H10" s="133">
        <v>0</v>
      </c>
      <c r="I10" s="133">
        <v>0</v>
      </c>
      <c r="J10" s="133">
        <v>0</v>
      </c>
      <c r="K10" s="133">
        <v>0</v>
      </c>
      <c r="L10" s="133">
        <v>0</v>
      </c>
      <c r="M10" s="133">
        <v>0</v>
      </c>
      <c r="N10" s="133">
        <v>0</v>
      </c>
      <c r="O10" s="133">
        <v>0</v>
      </c>
      <c r="P10" s="133">
        <v>0</v>
      </c>
      <c r="Q10" s="133">
        <v>0</v>
      </c>
      <c r="R10" s="133">
        <v>0</v>
      </c>
      <c r="S10" s="133">
        <v>0</v>
      </c>
      <c r="T10" s="133">
        <v>0</v>
      </c>
      <c r="U10" s="133">
        <v>0</v>
      </c>
      <c r="V10" s="133">
        <v>0</v>
      </c>
      <c r="W10" s="133">
        <v>0</v>
      </c>
      <c r="X10" s="133">
        <v>0</v>
      </c>
      <c r="Y10" s="133">
        <v>0</v>
      </c>
      <c r="Z10" s="133">
        <v>0</v>
      </c>
      <c r="AA10" s="133">
        <v>0</v>
      </c>
      <c r="AB10" s="133">
        <v>0</v>
      </c>
      <c r="AC10" s="133">
        <v>0</v>
      </c>
      <c r="AD10" s="133">
        <v>0</v>
      </c>
      <c r="AE10" s="133">
        <v>0</v>
      </c>
      <c r="AF10" s="133">
        <v>0</v>
      </c>
      <c r="AG10" s="133">
        <v>0</v>
      </c>
      <c r="AH10" s="133">
        <v>0</v>
      </c>
      <c r="AI10" s="133">
        <v>0</v>
      </c>
      <c r="AJ10" s="133">
        <v>0</v>
      </c>
      <c r="AK10" s="133">
        <v>0</v>
      </c>
      <c r="AL10" s="133">
        <v>0</v>
      </c>
    </row>
    <row r="11" spans="1:38" customFormat="1" x14ac:dyDescent="0.15">
      <c r="A11" s="167" t="s">
        <v>202</v>
      </c>
      <c r="B11" s="133">
        <v>0</v>
      </c>
      <c r="C11" s="133">
        <v>0</v>
      </c>
      <c r="D11" s="133">
        <v>0</v>
      </c>
      <c r="E11" s="133">
        <v>0</v>
      </c>
      <c r="F11" s="133">
        <v>0</v>
      </c>
      <c r="G11" s="133">
        <v>0</v>
      </c>
      <c r="H11" s="133">
        <v>0</v>
      </c>
      <c r="I11" s="133">
        <v>0</v>
      </c>
      <c r="J11" s="133">
        <v>0</v>
      </c>
      <c r="K11" s="133">
        <v>0</v>
      </c>
      <c r="L11" s="133">
        <v>0</v>
      </c>
      <c r="M11" s="133">
        <v>0</v>
      </c>
      <c r="N11" s="133">
        <v>0</v>
      </c>
      <c r="O11" s="133">
        <v>0</v>
      </c>
      <c r="P11" s="133">
        <v>0</v>
      </c>
      <c r="Q11" s="133">
        <v>0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0</v>
      </c>
      <c r="Z11" s="133">
        <v>0</v>
      </c>
      <c r="AA11" s="133">
        <v>0</v>
      </c>
      <c r="AB11" s="133">
        <v>0</v>
      </c>
      <c r="AC11" s="133">
        <v>0</v>
      </c>
      <c r="AD11" s="133">
        <v>0</v>
      </c>
      <c r="AE11" s="133">
        <v>0</v>
      </c>
      <c r="AF11" s="133">
        <v>0</v>
      </c>
      <c r="AG11" s="133">
        <v>0</v>
      </c>
      <c r="AH11" s="133">
        <v>0</v>
      </c>
      <c r="AI11" s="133">
        <v>0</v>
      </c>
      <c r="AJ11" s="133">
        <v>0</v>
      </c>
      <c r="AK11" s="133">
        <v>0</v>
      </c>
      <c r="AL11" s="133">
        <v>0</v>
      </c>
    </row>
    <row r="12" spans="1:38" customFormat="1" x14ac:dyDescent="0.15">
      <c r="A12" s="167" t="s">
        <v>203</v>
      </c>
      <c r="B12" s="133">
        <v>0</v>
      </c>
      <c r="C12" s="133">
        <v>0</v>
      </c>
      <c r="D12" s="133">
        <v>0</v>
      </c>
      <c r="E12" s="133">
        <v>0</v>
      </c>
      <c r="F12" s="133">
        <v>0</v>
      </c>
      <c r="G12" s="133">
        <v>0</v>
      </c>
      <c r="H12" s="133">
        <v>0</v>
      </c>
      <c r="I12" s="133">
        <v>0</v>
      </c>
      <c r="J12" s="133">
        <v>0</v>
      </c>
      <c r="K12" s="133">
        <v>0</v>
      </c>
      <c r="L12" s="133">
        <v>0</v>
      </c>
      <c r="M12" s="133">
        <v>0</v>
      </c>
      <c r="N12" s="133">
        <v>0</v>
      </c>
      <c r="O12" s="133">
        <v>0</v>
      </c>
      <c r="P12" s="133">
        <v>0</v>
      </c>
      <c r="Q12" s="133">
        <v>0</v>
      </c>
      <c r="R12" s="133">
        <v>0</v>
      </c>
      <c r="S12" s="133">
        <v>0</v>
      </c>
      <c r="T12" s="133">
        <v>0</v>
      </c>
      <c r="U12" s="133">
        <v>0</v>
      </c>
      <c r="V12" s="133">
        <v>0</v>
      </c>
      <c r="W12" s="133">
        <v>0</v>
      </c>
      <c r="X12" s="133">
        <v>0</v>
      </c>
      <c r="Y12" s="133">
        <v>0</v>
      </c>
      <c r="Z12" s="133">
        <v>0</v>
      </c>
      <c r="AA12" s="133">
        <v>0</v>
      </c>
      <c r="AB12" s="133">
        <v>0</v>
      </c>
      <c r="AC12" s="133">
        <v>0</v>
      </c>
      <c r="AD12" s="133">
        <v>0</v>
      </c>
      <c r="AE12" s="133">
        <v>0</v>
      </c>
      <c r="AF12" s="133">
        <v>0</v>
      </c>
      <c r="AG12" s="133">
        <v>0</v>
      </c>
      <c r="AH12" s="133">
        <v>0</v>
      </c>
      <c r="AI12" s="133">
        <v>0</v>
      </c>
      <c r="AJ12" s="133">
        <v>0</v>
      </c>
      <c r="AK12" s="133">
        <v>0</v>
      </c>
      <c r="AL12" s="133">
        <v>0</v>
      </c>
    </row>
    <row r="13" spans="1:38" customFormat="1" x14ac:dyDescent="0.15">
      <c r="A13" s="167" t="s">
        <v>204</v>
      </c>
      <c r="B13" s="133">
        <v>0</v>
      </c>
      <c r="C13" s="133">
        <v>0</v>
      </c>
      <c r="D13" s="133">
        <v>0</v>
      </c>
      <c r="E13" s="133">
        <v>0</v>
      </c>
      <c r="F13" s="133">
        <v>0</v>
      </c>
      <c r="G13" s="133">
        <v>0</v>
      </c>
      <c r="H13" s="133">
        <v>0</v>
      </c>
      <c r="I13" s="133">
        <v>0</v>
      </c>
      <c r="J13" s="133">
        <v>0</v>
      </c>
      <c r="K13" s="133">
        <v>0</v>
      </c>
      <c r="L13" s="133">
        <v>0</v>
      </c>
      <c r="M13" s="133">
        <v>0</v>
      </c>
      <c r="N13" s="133">
        <v>0</v>
      </c>
      <c r="O13" s="133">
        <v>0</v>
      </c>
      <c r="P13" s="133">
        <v>0</v>
      </c>
      <c r="Q13" s="133">
        <v>0</v>
      </c>
      <c r="R13" s="133">
        <v>0</v>
      </c>
      <c r="S13" s="133">
        <v>0</v>
      </c>
      <c r="T13" s="133">
        <v>0</v>
      </c>
      <c r="U13" s="133">
        <v>0</v>
      </c>
      <c r="V13" s="133">
        <v>0</v>
      </c>
      <c r="W13" s="133">
        <v>0</v>
      </c>
      <c r="X13" s="133">
        <v>0</v>
      </c>
      <c r="Y13" s="133">
        <v>0</v>
      </c>
      <c r="Z13" s="133">
        <v>0</v>
      </c>
      <c r="AA13" s="133">
        <v>0</v>
      </c>
      <c r="AB13" s="133">
        <v>0</v>
      </c>
      <c r="AC13" s="133">
        <v>0</v>
      </c>
      <c r="AD13" s="133">
        <v>0</v>
      </c>
      <c r="AE13" s="133">
        <v>0</v>
      </c>
      <c r="AF13" s="133">
        <v>0</v>
      </c>
      <c r="AG13" s="133">
        <v>0</v>
      </c>
      <c r="AH13" s="133">
        <v>0</v>
      </c>
      <c r="AI13" s="133">
        <v>0</v>
      </c>
      <c r="AJ13" s="133">
        <v>0</v>
      </c>
      <c r="AK13" s="133">
        <v>0</v>
      </c>
      <c r="AL13" s="133">
        <v>0</v>
      </c>
    </row>
    <row r="14" spans="1:38" customFormat="1" x14ac:dyDescent="0.15">
      <c r="A14" s="167" t="s">
        <v>205</v>
      </c>
      <c r="B14" s="133">
        <v>0</v>
      </c>
      <c r="C14" s="133">
        <v>0</v>
      </c>
      <c r="D14" s="133">
        <v>0</v>
      </c>
      <c r="E14" s="133">
        <v>0</v>
      </c>
      <c r="F14" s="133">
        <v>0</v>
      </c>
      <c r="G14" s="133">
        <v>0</v>
      </c>
      <c r="H14" s="133">
        <v>0</v>
      </c>
      <c r="I14" s="133">
        <v>0</v>
      </c>
      <c r="J14" s="133">
        <v>0</v>
      </c>
      <c r="K14" s="133">
        <v>0</v>
      </c>
      <c r="L14" s="133">
        <v>0</v>
      </c>
      <c r="M14" s="133">
        <v>0</v>
      </c>
      <c r="N14" s="133">
        <v>0</v>
      </c>
      <c r="O14" s="133">
        <v>0</v>
      </c>
      <c r="P14" s="133">
        <v>0</v>
      </c>
      <c r="Q14" s="133">
        <v>0</v>
      </c>
      <c r="R14" s="133">
        <v>0</v>
      </c>
      <c r="S14" s="133">
        <v>0</v>
      </c>
      <c r="T14" s="133">
        <v>0</v>
      </c>
      <c r="U14" s="133">
        <v>0</v>
      </c>
      <c r="V14" s="133">
        <v>0</v>
      </c>
      <c r="W14" s="133">
        <v>0</v>
      </c>
      <c r="X14" s="133">
        <v>0</v>
      </c>
      <c r="Y14" s="133">
        <v>0</v>
      </c>
      <c r="Z14" s="133">
        <v>0</v>
      </c>
      <c r="AA14" s="133">
        <v>0</v>
      </c>
      <c r="AB14" s="133">
        <v>0</v>
      </c>
      <c r="AC14" s="133">
        <v>0</v>
      </c>
      <c r="AD14" s="133">
        <v>0</v>
      </c>
      <c r="AE14" s="133">
        <v>0</v>
      </c>
      <c r="AF14" s="133">
        <v>0</v>
      </c>
      <c r="AG14" s="133">
        <v>0</v>
      </c>
      <c r="AH14" s="133">
        <v>0</v>
      </c>
      <c r="AI14" s="133">
        <v>0</v>
      </c>
      <c r="AJ14" s="133">
        <v>0</v>
      </c>
      <c r="AK14" s="133">
        <v>0</v>
      </c>
      <c r="AL14" s="133">
        <v>0</v>
      </c>
    </row>
    <row r="15" spans="1:38" customFormat="1" x14ac:dyDescent="0.15">
      <c r="A15" s="167" t="s">
        <v>206</v>
      </c>
      <c r="B15" s="133">
        <v>0</v>
      </c>
      <c r="C15" s="133">
        <v>0</v>
      </c>
      <c r="D15" s="133">
        <v>0</v>
      </c>
      <c r="E15" s="133">
        <v>0</v>
      </c>
      <c r="F15" s="133">
        <v>0</v>
      </c>
      <c r="G15" s="133">
        <v>0</v>
      </c>
      <c r="H15" s="133">
        <v>0</v>
      </c>
      <c r="I15" s="133">
        <v>0</v>
      </c>
      <c r="J15" s="133">
        <v>0</v>
      </c>
      <c r="K15" s="133">
        <v>0</v>
      </c>
      <c r="L15" s="133">
        <v>0</v>
      </c>
      <c r="M15" s="133">
        <v>0</v>
      </c>
      <c r="N15" s="133">
        <v>0</v>
      </c>
      <c r="O15" s="133">
        <v>0</v>
      </c>
      <c r="P15" s="133">
        <v>0</v>
      </c>
      <c r="Q15" s="133">
        <v>0</v>
      </c>
      <c r="R15" s="133">
        <v>0</v>
      </c>
      <c r="S15" s="133">
        <v>0</v>
      </c>
      <c r="T15" s="133">
        <v>0</v>
      </c>
      <c r="U15" s="133">
        <v>0</v>
      </c>
      <c r="V15" s="133">
        <v>0</v>
      </c>
      <c r="W15" s="133">
        <v>0</v>
      </c>
      <c r="X15" s="133">
        <v>0</v>
      </c>
      <c r="Y15" s="133">
        <v>0</v>
      </c>
      <c r="Z15" s="133">
        <v>0</v>
      </c>
      <c r="AA15" s="133">
        <v>0</v>
      </c>
      <c r="AB15" s="133">
        <v>0</v>
      </c>
      <c r="AC15" s="133">
        <v>0</v>
      </c>
      <c r="AD15" s="133">
        <v>0</v>
      </c>
      <c r="AE15" s="133">
        <v>0</v>
      </c>
      <c r="AF15" s="133">
        <v>0</v>
      </c>
      <c r="AG15" s="133">
        <v>0</v>
      </c>
      <c r="AH15" s="133">
        <v>0</v>
      </c>
      <c r="AI15" s="133">
        <v>0</v>
      </c>
      <c r="AJ15" s="133">
        <v>0</v>
      </c>
      <c r="AK15" s="133">
        <v>0</v>
      </c>
      <c r="AL15" s="133">
        <v>0</v>
      </c>
    </row>
    <row r="16" spans="1:38" customFormat="1" x14ac:dyDescent="0.15">
      <c r="A16" s="167" t="s">
        <v>207</v>
      </c>
      <c r="B16" s="133">
        <v>0</v>
      </c>
      <c r="C16" s="133">
        <v>0</v>
      </c>
      <c r="D16" s="133">
        <v>0</v>
      </c>
      <c r="E16" s="133">
        <v>0</v>
      </c>
      <c r="F16" s="133">
        <v>0</v>
      </c>
      <c r="G16" s="133">
        <v>0</v>
      </c>
      <c r="H16" s="133">
        <v>0</v>
      </c>
      <c r="I16" s="133">
        <v>0</v>
      </c>
      <c r="J16" s="133">
        <v>0</v>
      </c>
      <c r="K16" s="133">
        <v>1E-3</v>
      </c>
      <c r="L16" s="133">
        <v>0</v>
      </c>
      <c r="M16" s="133">
        <v>0</v>
      </c>
      <c r="N16" s="133">
        <v>0</v>
      </c>
      <c r="O16" s="133">
        <v>0</v>
      </c>
      <c r="P16" s="133">
        <v>0</v>
      </c>
      <c r="Q16" s="133">
        <v>0</v>
      </c>
      <c r="R16" s="133">
        <v>0</v>
      </c>
      <c r="S16" s="133">
        <v>0</v>
      </c>
      <c r="T16" s="133">
        <v>0</v>
      </c>
      <c r="U16" s="133">
        <v>0</v>
      </c>
      <c r="V16" s="133">
        <v>0</v>
      </c>
      <c r="W16" s="133">
        <v>0</v>
      </c>
      <c r="X16" s="133">
        <v>0</v>
      </c>
      <c r="Y16" s="133">
        <v>0</v>
      </c>
      <c r="Z16" s="133">
        <v>0</v>
      </c>
      <c r="AA16" s="133">
        <v>0</v>
      </c>
      <c r="AB16" s="133">
        <v>0</v>
      </c>
      <c r="AC16" s="133">
        <v>0</v>
      </c>
      <c r="AD16" s="133">
        <v>0</v>
      </c>
      <c r="AE16" s="133">
        <v>0</v>
      </c>
      <c r="AF16" s="133">
        <v>0</v>
      </c>
      <c r="AG16" s="133">
        <v>0</v>
      </c>
      <c r="AH16" s="133">
        <v>0</v>
      </c>
      <c r="AI16" s="133">
        <v>0</v>
      </c>
      <c r="AJ16" s="133">
        <v>0</v>
      </c>
      <c r="AK16" s="133">
        <v>0</v>
      </c>
      <c r="AL16" s="133">
        <v>0</v>
      </c>
    </row>
    <row r="17" spans="1:38" customFormat="1" x14ac:dyDescent="0.15">
      <c r="A17" s="167" t="s">
        <v>208</v>
      </c>
      <c r="B17" s="133">
        <v>0</v>
      </c>
      <c r="C17" s="133">
        <v>0</v>
      </c>
      <c r="D17" s="133">
        <v>0</v>
      </c>
      <c r="E17" s="133">
        <v>0</v>
      </c>
      <c r="F17" s="133">
        <v>0</v>
      </c>
      <c r="G17" s="133">
        <v>0</v>
      </c>
      <c r="H17" s="133">
        <v>0</v>
      </c>
      <c r="I17" s="133">
        <v>0</v>
      </c>
      <c r="J17" s="133">
        <v>0</v>
      </c>
      <c r="K17" s="133">
        <v>0</v>
      </c>
      <c r="L17" s="133">
        <v>0</v>
      </c>
      <c r="M17" s="133">
        <v>0</v>
      </c>
      <c r="N17" s="133">
        <v>0</v>
      </c>
      <c r="O17" s="133">
        <v>0</v>
      </c>
      <c r="P17" s="133">
        <v>0</v>
      </c>
      <c r="Q17" s="133">
        <v>0</v>
      </c>
      <c r="R17" s="133">
        <v>0</v>
      </c>
      <c r="S17" s="133">
        <v>0</v>
      </c>
      <c r="T17" s="133">
        <v>0</v>
      </c>
      <c r="U17" s="133">
        <v>0</v>
      </c>
      <c r="V17" s="133">
        <v>0</v>
      </c>
      <c r="W17" s="133">
        <v>0</v>
      </c>
      <c r="X17" s="133">
        <v>0</v>
      </c>
      <c r="Y17" s="133">
        <v>0</v>
      </c>
      <c r="Z17" s="133">
        <v>0</v>
      </c>
      <c r="AA17" s="133">
        <v>0</v>
      </c>
      <c r="AB17" s="133">
        <v>0</v>
      </c>
      <c r="AC17" s="133">
        <v>0</v>
      </c>
      <c r="AD17" s="133">
        <v>0</v>
      </c>
      <c r="AE17" s="133">
        <v>0</v>
      </c>
      <c r="AF17" s="133">
        <v>0</v>
      </c>
      <c r="AG17" s="133">
        <v>0</v>
      </c>
      <c r="AH17" s="133">
        <v>0</v>
      </c>
      <c r="AI17" s="133">
        <v>0</v>
      </c>
      <c r="AJ17" s="133">
        <v>0</v>
      </c>
      <c r="AK17" s="133">
        <v>0</v>
      </c>
      <c r="AL17" s="133">
        <v>0</v>
      </c>
    </row>
    <row r="18" spans="1:38" customFormat="1" x14ac:dyDescent="0.15">
      <c r="A18" s="167" t="s">
        <v>209</v>
      </c>
      <c r="B18" s="133">
        <v>0.15</v>
      </c>
      <c r="C18" s="133">
        <v>0</v>
      </c>
      <c r="D18" s="133">
        <v>0</v>
      </c>
      <c r="E18" s="133">
        <v>0</v>
      </c>
      <c r="F18" s="133">
        <v>0</v>
      </c>
      <c r="G18" s="133">
        <v>0</v>
      </c>
      <c r="H18" s="133">
        <v>0</v>
      </c>
      <c r="I18" s="133">
        <v>0</v>
      </c>
      <c r="J18" s="133">
        <v>0</v>
      </c>
      <c r="K18" s="133">
        <v>0</v>
      </c>
      <c r="L18" s="133">
        <v>0</v>
      </c>
      <c r="M18" s="133">
        <v>0.02</v>
      </c>
      <c r="N18" s="133">
        <v>0.02</v>
      </c>
      <c r="O18" s="133">
        <v>0</v>
      </c>
      <c r="P18" s="133">
        <v>0</v>
      </c>
      <c r="Q18" s="133">
        <v>0</v>
      </c>
      <c r="R18" s="133">
        <v>0</v>
      </c>
      <c r="S18" s="133">
        <v>5.0499950107201347E-2</v>
      </c>
      <c r="T18" s="133">
        <v>0.1</v>
      </c>
      <c r="U18" s="133">
        <v>0</v>
      </c>
      <c r="V18" s="133">
        <v>0.02</v>
      </c>
      <c r="W18" s="133">
        <v>0</v>
      </c>
      <c r="X18" s="133">
        <v>0</v>
      </c>
      <c r="Y18" s="133">
        <v>0.05</v>
      </c>
      <c r="Z18" s="133">
        <v>0</v>
      </c>
      <c r="AA18" s="133">
        <v>0</v>
      </c>
      <c r="AB18" s="133">
        <v>0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 s="133">
        <v>0</v>
      </c>
      <c r="AI18" s="133">
        <v>0</v>
      </c>
      <c r="AJ18" s="133">
        <v>0</v>
      </c>
      <c r="AK18" s="133">
        <v>0</v>
      </c>
      <c r="AL18" s="133">
        <v>0</v>
      </c>
    </row>
    <row r="19" spans="1:38" customFormat="1" x14ac:dyDescent="0.15">
      <c r="A19" s="167" t="s">
        <v>210</v>
      </c>
      <c r="B19" s="133">
        <v>0</v>
      </c>
      <c r="C19" s="133">
        <v>0</v>
      </c>
      <c r="D19" s="133">
        <v>0</v>
      </c>
      <c r="E19" s="133">
        <v>0</v>
      </c>
      <c r="F19" s="133">
        <v>0</v>
      </c>
      <c r="G19" s="133">
        <v>0</v>
      </c>
      <c r="H19" s="133">
        <v>0</v>
      </c>
      <c r="I19" s="133">
        <v>0</v>
      </c>
      <c r="J19" s="133">
        <v>0</v>
      </c>
      <c r="K19" s="133">
        <v>0</v>
      </c>
      <c r="L19" s="133">
        <v>0</v>
      </c>
      <c r="M19" s="133">
        <v>0</v>
      </c>
      <c r="N19" s="133">
        <v>0</v>
      </c>
      <c r="O19" s="133">
        <v>0</v>
      </c>
      <c r="P19" s="133">
        <v>0</v>
      </c>
      <c r="Q19" s="133">
        <v>0</v>
      </c>
      <c r="R19" s="133">
        <v>0</v>
      </c>
      <c r="S19" s="133">
        <v>0</v>
      </c>
      <c r="T19" s="133">
        <v>0</v>
      </c>
      <c r="U19" s="133">
        <v>0</v>
      </c>
      <c r="V19" s="133">
        <v>0</v>
      </c>
      <c r="W19" s="133">
        <v>0</v>
      </c>
      <c r="X19" s="133">
        <v>0</v>
      </c>
      <c r="Y19" s="133">
        <v>0</v>
      </c>
      <c r="Z19" s="133">
        <v>0</v>
      </c>
      <c r="AA19" s="133">
        <v>0</v>
      </c>
      <c r="AB19" s="133">
        <v>0</v>
      </c>
      <c r="AC19" s="133">
        <v>0</v>
      </c>
      <c r="AD19" s="133">
        <v>0</v>
      </c>
      <c r="AE19" s="133">
        <v>0</v>
      </c>
      <c r="AF19" s="133">
        <v>0</v>
      </c>
      <c r="AG19" s="133">
        <v>0</v>
      </c>
      <c r="AH19" s="133">
        <v>0</v>
      </c>
      <c r="AI19" s="133">
        <v>0</v>
      </c>
      <c r="AJ19" s="133">
        <v>0</v>
      </c>
      <c r="AK19" s="133">
        <v>0</v>
      </c>
      <c r="AL19" s="133">
        <v>0</v>
      </c>
    </row>
    <row r="20" spans="1:38" customFormat="1" x14ac:dyDescent="0.15">
      <c r="A20" s="167" t="s">
        <v>211</v>
      </c>
      <c r="B20" s="133">
        <v>0</v>
      </c>
      <c r="C20" s="133">
        <v>0</v>
      </c>
      <c r="D20" s="133">
        <v>0</v>
      </c>
      <c r="E20" s="133">
        <v>0</v>
      </c>
      <c r="F20" s="133">
        <v>0</v>
      </c>
      <c r="G20" s="133">
        <v>0</v>
      </c>
      <c r="H20" s="133">
        <v>0</v>
      </c>
      <c r="I20" s="133">
        <v>0</v>
      </c>
      <c r="J20" s="133">
        <v>0</v>
      </c>
      <c r="K20" s="133">
        <v>0</v>
      </c>
      <c r="L20" s="133">
        <v>0</v>
      </c>
      <c r="M20" s="133">
        <v>0</v>
      </c>
      <c r="N20" s="133">
        <v>0</v>
      </c>
      <c r="O20" s="133">
        <v>0</v>
      </c>
      <c r="P20" s="133">
        <v>0</v>
      </c>
      <c r="Q20" s="133">
        <v>0</v>
      </c>
      <c r="R20" s="133">
        <v>0</v>
      </c>
      <c r="S20" s="133">
        <v>0</v>
      </c>
      <c r="T20" s="133">
        <v>0</v>
      </c>
      <c r="U20" s="133">
        <v>0</v>
      </c>
      <c r="V20" s="133">
        <v>0</v>
      </c>
      <c r="W20" s="133">
        <v>0</v>
      </c>
      <c r="X20" s="133">
        <v>0</v>
      </c>
      <c r="Y20" s="133">
        <v>0</v>
      </c>
      <c r="Z20" s="133">
        <v>0</v>
      </c>
      <c r="AA20" s="133">
        <v>0</v>
      </c>
      <c r="AB20" s="133">
        <v>0</v>
      </c>
      <c r="AC20" s="133">
        <v>0</v>
      </c>
      <c r="AD20" s="133">
        <v>0</v>
      </c>
      <c r="AE20" s="133">
        <v>0</v>
      </c>
      <c r="AF20" s="133">
        <v>0</v>
      </c>
      <c r="AG20" s="133">
        <v>0</v>
      </c>
      <c r="AH20" s="133">
        <v>0</v>
      </c>
      <c r="AI20" s="133">
        <v>0</v>
      </c>
      <c r="AJ20" s="133">
        <v>0</v>
      </c>
      <c r="AK20" s="133">
        <v>0</v>
      </c>
      <c r="AL20" s="133">
        <v>0</v>
      </c>
    </row>
    <row r="21" spans="1:38" customFormat="1" x14ac:dyDescent="0.15">
      <c r="A21" s="167" t="s">
        <v>212</v>
      </c>
      <c r="B21" s="133">
        <v>0.25</v>
      </c>
      <c r="C21" s="133">
        <v>0</v>
      </c>
      <c r="D21" s="133">
        <v>0</v>
      </c>
      <c r="E21" s="133">
        <v>0.1</v>
      </c>
      <c r="F21" s="133">
        <v>0</v>
      </c>
      <c r="G21" s="133">
        <v>0.15</v>
      </c>
      <c r="H21" s="133">
        <v>0.15</v>
      </c>
      <c r="I21" s="133">
        <v>0</v>
      </c>
      <c r="J21" s="133">
        <v>0</v>
      </c>
      <c r="K21" s="133">
        <v>0</v>
      </c>
      <c r="L21" s="133">
        <v>0</v>
      </c>
      <c r="M21" s="133">
        <v>0.01</v>
      </c>
      <c r="N21" s="133">
        <v>0.01</v>
      </c>
      <c r="O21" s="133">
        <v>0</v>
      </c>
      <c r="P21" s="133">
        <v>0.02</v>
      </c>
      <c r="Q21" s="133">
        <v>0.02</v>
      </c>
      <c r="R21" s="133">
        <v>0</v>
      </c>
      <c r="S21" s="133">
        <v>0.16159982846304333</v>
      </c>
      <c r="T21" s="133">
        <v>0.25</v>
      </c>
      <c r="U21" s="133">
        <v>0</v>
      </c>
      <c r="V21" s="133">
        <v>0</v>
      </c>
      <c r="W21" s="133">
        <v>0</v>
      </c>
      <c r="X21" s="133">
        <v>0</v>
      </c>
      <c r="Y21" s="133">
        <v>0</v>
      </c>
      <c r="Z21" s="133">
        <v>0</v>
      </c>
      <c r="AA21" s="133">
        <v>0</v>
      </c>
      <c r="AB21" s="133">
        <v>0</v>
      </c>
      <c r="AC21" s="133">
        <v>0</v>
      </c>
      <c r="AD21" s="133">
        <v>0</v>
      </c>
      <c r="AE21" s="133">
        <v>0</v>
      </c>
      <c r="AF21" s="133">
        <v>0</v>
      </c>
      <c r="AG21" s="133">
        <v>0</v>
      </c>
      <c r="AH21" s="133">
        <v>0</v>
      </c>
      <c r="AI21" s="133">
        <v>0</v>
      </c>
      <c r="AJ21" s="133">
        <v>0</v>
      </c>
      <c r="AK21" s="133">
        <v>0</v>
      </c>
      <c r="AL21" s="133">
        <v>0</v>
      </c>
    </row>
    <row r="22" spans="1:38" customFormat="1" x14ac:dyDescent="0.15">
      <c r="A22" s="167" t="s">
        <v>213</v>
      </c>
      <c r="B22" s="133">
        <v>0</v>
      </c>
      <c r="C22" s="133">
        <v>0</v>
      </c>
      <c r="D22" s="133">
        <v>0</v>
      </c>
      <c r="E22" s="133">
        <v>0</v>
      </c>
      <c r="F22" s="133">
        <v>0</v>
      </c>
      <c r="G22" s="133">
        <v>0</v>
      </c>
      <c r="H22" s="133">
        <v>0</v>
      </c>
      <c r="I22" s="133">
        <v>0</v>
      </c>
      <c r="J22" s="133">
        <v>0</v>
      </c>
      <c r="K22" s="133">
        <v>0</v>
      </c>
      <c r="L22" s="133">
        <v>0</v>
      </c>
      <c r="M22" s="133">
        <v>0</v>
      </c>
      <c r="N22" s="133">
        <v>0</v>
      </c>
      <c r="O22" s="133">
        <v>0</v>
      </c>
      <c r="P22" s="133">
        <v>0</v>
      </c>
      <c r="Q22" s="133">
        <v>0</v>
      </c>
      <c r="R22" s="133">
        <v>0</v>
      </c>
      <c r="S22" s="133"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  <c r="Z22" s="133">
        <v>0</v>
      </c>
      <c r="AA22" s="133">
        <v>0</v>
      </c>
      <c r="AB22" s="133">
        <v>0</v>
      </c>
      <c r="AC22" s="133">
        <v>0</v>
      </c>
      <c r="AD22" s="133">
        <v>0</v>
      </c>
      <c r="AE22" s="133">
        <v>0</v>
      </c>
      <c r="AF22" s="133">
        <v>0</v>
      </c>
      <c r="AG22" s="133">
        <v>0</v>
      </c>
      <c r="AH22" s="133">
        <v>0</v>
      </c>
      <c r="AI22" s="133">
        <v>0</v>
      </c>
      <c r="AJ22" s="133">
        <v>0</v>
      </c>
      <c r="AK22" s="133">
        <v>0</v>
      </c>
      <c r="AL22" s="133">
        <v>0</v>
      </c>
    </row>
    <row r="23" spans="1:38" customFormat="1" x14ac:dyDescent="0.15">
      <c r="A23" s="167" t="s">
        <v>214</v>
      </c>
      <c r="B23" s="133">
        <v>0</v>
      </c>
      <c r="C23" s="133">
        <v>0</v>
      </c>
      <c r="D23" s="133">
        <v>0</v>
      </c>
      <c r="E23" s="133">
        <v>0</v>
      </c>
      <c r="F23" s="133">
        <v>0</v>
      </c>
      <c r="G23" s="133">
        <v>0</v>
      </c>
      <c r="H23" s="133">
        <v>0</v>
      </c>
      <c r="I23" s="133">
        <v>0</v>
      </c>
      <c r="J23" s="133">
        <v>0</v>
      </c>
      <c r="K23" s="133">
        <v>0</v>
      </c>
      <c r="L23" s="133">
        <v>0</v>
      </c>
      <c r="M23" s="133">
        <v>0</v>
      </c>
      <c r="N23" s="133">
        <v>0</v>
      </c>
      <c r="O23" s="133">
        <v>0</v>
      </c>
      <c r="P23" s="133">
        <v>0</v>
      </c>
      <c r="Q23" s="133">
        <v>0</v>
      </c>
      <c r="R23" s="133">
        <v>0</v>
      </c>
      <c r="S23" s="133">
        <v>0</v>
      </c>
      <c r="T23" s="133">
        <v>0</v>
      </c>
      <c r="U23" s="133">
        <v>0</v>
      </c>
      <c r="V23" s="133">
        <v>0</v>
      </c>
      <c r="W23" s="133">
        <v>0</v>
      </c>
      <c r="X23" s="133">
        <v>0</v>
      </c>
      <c r="Y23" s="133">
        <v>0</v>
      </c>
      <c r="Z23" s="133">
        <v>0</v>
      </c>
      <c r="AA23" s="133">
        <v>0</v>
      </c>
      <c r="AB23" s="133">
        <v>0</v>
      </c>
      <c r="AC23" s="133">
        <v>0</v>
      </c>
      <c r="AD23" s="133">
        <v>0</v>
      </c>
      <c r="AE23" s="133">
        <v>0</v>
      </c>
      <c r="AF23" s="133">
        <v>0</v>
      </c>
      <c r="AG23" s="133">
        <v>0</v>
      </c>
      <c r="AH23" s="133">
        <v>0</v>
      </c>
      <c r="AI23" s="133">
        <v>0</v>
      </c>
      <c r="AJ23" s="133">
        <v>0</v>
      </c>
      <c r="AK23" s="133">
        <v>0</v>
      </c>
      <c r="AL23" s="133">
        <v>0</v>
      </c>
    </row>
    <row r="24" spans="1:38" customFormat="1" x14ac:dyDescent="0.15">
      <c r="A24" s="167" t="s">
        <v>215</v>
      </c>
      <c r="B24" s="133">
        <v>0</v>
      </c>
      <c r="C24" s="133">
        <v>0</v>
      </c>
      <c r="D24" s="133">
        <v>0</v>
      </c>
      <c r="E24" s="133">
        <v>0</v>
      </c>
      <c r="F24" s="133">
        <v>0</v>
      </c>
      <c r="G24" s="133">
        <v>0</v>
      </c>
      <c r="H24" s="133">
        <v>0</v>
      </c>
      <c r="I24" s="133">
        <v>0</v>
      </c>
      <c r="J24" s="133">
        <v>0</v>
      </c>
      <c r="K24" s="133">
        <v>0</v>
      </c>
      <c r="L24" s="133">
        <v>0</v>
      </c>
      <c r="M24" s="133">
        <v>0</v>
      </c>
      <c r="N24" s="133">
        <v>0</v>
      </c>
      <c r="O24" s="133">
        <v>0</v>
      </c>
      <c r="P24" s="133">
        <v>0</v>
      </c>
      <c r="Q24" s="133">
        <v>0</v>
      </c>
      <c r="R24" s="133">
        <v>0</v>
      </c>
      <c r="S24" s="133">
        <v>0</v>
      </c>
      <c r="T24" s="133">
        <v>0</v>
      </c>
      <c r="U24" s="133">
        <v>0</v>
      </c>
      <c r="V24" s="133">
        <v>0.01</v>
      </c>
      <c r="W24" s="133">
        <v>0.1</v>
      </c>
      <c r="X24" s="133">
        <v>0</v>
      </c>
      <c r="Y24" s="133">
        <v>0</v>
      </c>
      <c r="Z24" s="133">
        <v>0</v>
      </c>
      <c r="AA24" s="133">
        <v>0</v>
      </c>
      <c r="AB24" s="133">
        <v>0</v>
      </c>
      <c r="AC24" s="133">
        <v>0</v>
      </c>
      <c r="AD24" s="133">
        <v>0</v>
      </c>
      <c r="AE24" s="133">
        <v>0</v>
      </c>
      <c r="AF24" s="133">
        <v>0</v>
      </c>
      <c r="AG24" s="133">
        <v>0</v>
      </c>
      <c r="AH24" s="133">
        <v>0</v>
      </c>
      <c r="AI24" s="133">
        <v>0</v>
      </c>
      <c r="AJ24" s="133">
        <v>0</v>
      </c>
      <c r="AK24" s="133">
        <v>0</v>
      </c>
      <c r="AL24" s="133">
        <v>0</v>
      </c>
    </row>
    <row r="25" spans="1:38" customFormat="1" x14ac:dyDescent="0.15">
      <c r="A25" s="167" t="s">
        <v>216</v>
      </c>
      <c r="B25" s="133">
        <v>0</v>
      </c>
      <c r="C25" s="133">
        <v>0</v>
      </c>
      <c r="D25" s="133">
        <v>0</v>
      </c>
      <c r="E25" s="133">
        <v>0.4</v>
      </c>
      <c r="F25" s="133">
        <v>0</v>
      </c>
      <c r="G25" s="133">
        <v>0.05</v>
      </c>
      <c r="H25" s="133">
        <v>0.05</v>
      </c>
      <c r="I25" s="133">
        <v>0</v>
      </c>
      <c r="J25" s="133">
        <v>0.05</v>
      </c>
      <c r="K25" s="133">
        <v>4.9000000000000002E-2</v>
      </c>
      <c r="L25" s="133">
        <v>0</v>
      </c>
      <c r="M25" s="133">
        <v>0.02</v>
      </c>
      <c r="N25" s="133">
        <v>0.02</v>
      </c>
      <c r="O25" s="133">
        <v>0</v>
      </c>
      <c r="P25" s="133">
        <v>0.03</v>
      </c>
      <c r="Q25" s="133">
        <v>0.03</v>
      </c>
      <c r="R25" s="133">
        <v>0</v>
      </c>
      <c r="S25" s="133">
        <v>8.079991673152187E-2</v>
      </c>
      <c r="T25" s="133">
        <v>0.13</v>
      </c>
      <c r="U25" s="133">
        <v>0</v>
      </c>
      <c r="V25" s="133">
        <v>0.03</v>
      </c>
      <c r="W25" s="133">
        <v>0</v>
      </c>
      <c r="X25" s="133">
        <v>0</v>
      </c>
      <c r="Y25" s="133">
        <v>0</v>
      </c>
      <c r="Z25" s="133">
        <v>0</v>
      </c>
      <c r="AA25" s="133">
        <v>0</v>
      </c>
      <c r="AB25" s="133">
        <v>0</v>
      </c>
      <c r="AC25" s="133">
        <v>0</v>
      </c>
      <c r="AD25" s="133">
        <v>0</v>
      </c>
      <c r="AE25" s="133">
        <v>0</v>
      </c>
      <c r="AF25" s="133">
        <v>0</v>
      </c>
      <c r="AG25" s="133">
        <v>0</v>
      </c>
      <c r="AH25" s="133">
        <v>0</v>
      </c>
      <c r="AI25" s="133">
        <v>0</v>
      </c>
      <c r="AJ25" s="133">
        <v>0</v>
      </c>
      <c r="AK25" s="133">
        <v>0</v>
      </c>
      <c r="AL25" s="133">
        <v>0</v>
      </c>
    </row>
    <row r="26" spans="1:38" customFormat="1" x14ac:dyDescent="0.15">
      <c r="A26" s="167" t="s">
        <v>217</v>
      </c>
      <c r="B26" s="133">
        <v>0.5</v>
      </c>
      <c r="C26" s="133">
        <v>0</v>
      </c>
      <c r="D26" s="133">
        <v>0.1</v>
      </c>
      <c r="E26" s="133">
        <v>0.5</v>
      </c>
      <c r="F26" s="133">
        <v>0</v>
      </c>
      <c r="G26" s="133">
        <v>0</v>
      </c>
      <c r="H26" s="133">
        <v>0</v>
      </c>
      <c r="I26" s="133">
        <v>0</v>
      </c>
      <c r="J26" s="133">
        <v>0.5</v>
      </c>
      <c r="K26" s="133">
        <v>0.5</v>
      </c>
      <c r="L26" s="133">
        <v>0</v>
      </c>
      <c r="M26" s="133">
        <v>0.25</v>
      </c>
      <c r="N26" s="133">
        <v>0.25</v>
      </c>
      <c r="O26" s="133">
        <v>0</v>
      </c>
      <c r="P26" s="133">
        <v>0.05</v>
      </c>
      <c r="Q26" s="133">
        <v>0.05</v>
      </c>
      <c r="R26" s="133">
        <v>0</v>
      </c>
      <c r="S26" s="133">
        <v>0.33329966476752837</v>
      </c>
      <c r="T26" s="133">
        <v>0.2</v>
      </c>
      <c r="U26" s="133">
        <v>0.35</v>
      </c>
      <c r="V26" s="133">
        <v>0.62</v>
      </c>
      <c r="W26" s="133">
        <v>0.2</v>
      </c>
      <c r="X26" s="133">
        <v>0</v>
      </c>
      <c r="Y26" s="133">
        <v>0</v>
      </c>
      <c r="Z26" s="133">
        <v>0</v>
      </c>
      <c r="AA26" s="133">
        <v>0</v>
      </c>
      <c r="AB26" s="133">
        <v>0</v>
      </c>
      <c r="AC26" s="133">
        <v>0</v>
      </c>
      <c r="AD26" s="133">
        <v>0</v>
      </c>
      <c r="AE26" s="133">
        <v>0</v>
      </c>
      <c r="AF26" s="133">
        <v>0</v>
      </c>
      <c r="AG26" s="133">
        <v>0</v>
      </c>
      <c r="AH26" s="133">
        <v>0</v>
      </c>
      <c r="AI26" s="133">
        <v>0</v>
      </c>
      <c r="AJ26" s="133">
        <v>0</v>
      </c>
      <c r="AK26" s="133">
        <v>0</v>
      </c>
      <c r="AL26" s="133">
        <v>0</v>
      </c>
    </row>
    <row r="27" spans="1:38" customFormat="1" x14ac:dyDescent="0.15">
      <c r="A27" s="167" t="s">
        <v>166</v>
      </c>
      <c r="B27" s="133">
        <v>0.1</v>
      </c>
      <c r="C27" s="133">
        <v>0</v>
      </c>
      <c r="D27" s="133">
        <v>0</v>
      </c>
      <c r="E27" s="133">
        <v>0</v>
      </c>
      <c r="F27" s="133">
        <v>0</v>
      </c>
      <c r="G27" s="133">
        <v>0</v>
      </c>
      <c r="H27" s="133">
        <v>0</v>
      </c>
      <c r="I27" s="133">
        <v>0</v>
      </c>
      <c r="J27" s="133">
        <v>0</v>
      </c>
      <c r="K27" s="133">
        <v>0</v>
      </c>
      <c r="L27" s="133">
        <v>0</v>
      </c>
      <c r="M27" s="133">
        <v>0.05</v>
      </c>
      <c r="N27" s="133">
        <v>0.05</v>
      </c>
      <c r="O27" s="133">
        <v>0</v>
      </c>
      <c r="P27" s="133">
        <v>0</v>
      </c>
      <c r="Q27" s="133">
        <v>0</v>
      </c>
      <c r="R27" s="133">
        <v>0</v>
      </c>
      <c r="S27" s="133">
        <v>9.0899917572963035E-2</v>
      </c>
      <c r="T27" s="133">
        <v>0</v>
      </c>
      <c r="U27" s="133">
        <v>0</v>
      </c>
      <c r="V27" s="133">
        <v>0.02</v>
      </c>
      <c r="W27" s="133">
        <v>0</v>
      </c>
      <c r="X27" s="133">
        <v>0</v>
      </c>
      <c r="Y27" s="133">
        <v>0</v>
      </c>
      <c r="Z27" s="133">
        <v>0.01</v>
      </c>
      <c r="AA27" s="133">
        <v>0</v>
      </c>
      <c r="AB27" s="133">
        <v>0</v>
      </c>
      <c r="AC27" s="133">
        <v>0</v>
      </c>
      <c r="AD27" s="133">
        <v>0</v>
      </c>
      <c r="AE27" s="133">
        <v>0</v>
      </c>
      <c r="AF27" s="133">
        <v>0</v>
      </c>
      <c r="AG27" s="133">
        <v>0</v>
      </c>
      <c r="AH27" s="133">
        <v>0</v>
      </c>
      <c r="AI27" s="133">
        <v>0</v>
      </c>
      <c r="AJ27" s="133">
        <v>0</v>
      </c>
      <c r="AK27" s="133">
        <v>0</v>
      </c>
      <c r="AL27" s="133">
        <v>0</v>
      </c>
    </row>
    <row r="28" spans="1:38" customFormat="1" x14ac:dyDescent="0.15">
      <c r="A28" s="167" t="s">
        <v>218</v>
      </c>
      <c r="B28" s="133">
        <v>0</v>
      </c>
      <c r="C28" s="133">
        <v>0</v>
      </c>
      <c r="D28" s="133">
        <v>0</v>
      </c>
      <c r="E28" s="133">
        <v>0</v>
      </c>
      <c r="F28" s="133">
        <v>0</v>
      </c>
      <c r="G28" s="133">
        <v>0.2</v>
      </c>
      <c r="H28" s="133">
        <v>0.2</v>
      </c>
      <c r="I28" s="133">
        <v>0</v>
      </c>
      <c r="J28" s="133">
        <v>0</v>
      </c>
      <c r="K28" s="133">
        <v>0</v>
      </c>
      <c r="L28" s="133">
        <v>0</v>
      </c>
      <c r="M28" s="133">
        <v>0</v>
      </c>
      <c r="N28" s="133">
        <v>0</v>
      </c>
      <c r="O28" s="133">
        <v>0</v>
      </c>
      <c r="P28" s="133">
        <v>0</v>
      </c>
      <c r="Q28" s="133">
        <v>0</v>
      </c>
      <c r="R28" s="133">
        <v>0</v>
      </c>
      <c r="S28" s="133">
        <v>0</v>
      </c>
      <c r="T28" s="133">
        <v>0.02</v>
      </c>
      <c r="U28" s="133">
        <v>0</v>
      </c>
      <c r="V28" s="133">
        <v>0</v>
      </c>
      <c r="W28" s="133">
        <v>0</v>
      </c>
      <c r="X28" s="133">
        <v>0</v>
      </c>
      <c r="Y28" s="133">
        <v>0</v>
      </c>
      <c r="Z28" s="133">
        <v>0</v>
      </c>
      <c r="AA28" s="133">
        <v>0</v>
      </c>
      <c r="AB28" s="133">
        <v>0</v>
      </c>
      <c r="AC28" s="133">
        <v>0</v>
      </c>
      <c r="AD28" s="133">
        <v>0</v>
      </c>
      <c r="AE28" s="133">
        <v>0</v>
      </c>
      <c r="AF28" s="133">
        <v>0</v>
      </c>
      <c r="AG28" s="133">
        <v>0</v>
      </c>
      <c r="AH28" s="133">
        <v>0</v>
      </c>
      <c r="AI28" s="133">
        <v>0</v>
      </c>
      <c r="AJ28" s="133">
        <v>0</v>
      </c>
      <c r="AK28" s="133">
        <v>0</v>
      </c>
      <c r="AL28" s="133">
        <v>0</v>
      </c>
    </row>
    <row r="29" spans="1:38" customFormat="1" x14ac:dyDescent="0.15">
      <c r="A29" s="167" t="s">
        <v>219</v>
      </c>
      <c r="B29" s="133">
        <v>0</v>
      </c>
      <c r="C29" s="133">
        <v>0</v>
      </c>
      <c r="D29" s="133">
        <v>0</v>
      </c>
      <c r="E29" s="133">
        <v>0</v>
      </c>
      <c r="F29" s="133">
        <v>0</v>
      </c>
      <c r="G29" s="133">
        <v>0.3</v>
      </c>
      <c r="H29" s="133">
        <v>0.3</v>
      </c>
      <c r="I29" s="133">
        <v>0</v>
      </c>
      <c r="J29" s="133">
        <v>0.05</v>
      </c>
      <c r="K29" s="133">
        <v>0.05</v>
      </c>
      <c r="L29" s="133">
        <v>0</v>
      </c>
      <c r="M29" s="133">
        <v>0</v>
      </c>
      <c r="N29" s="133">
        <v>0</v>
      </c>
      <c r="O29" s="133">
        <v>0</v>
      </c>
      <c r="P29" s="133">
        <v>0</v>
      </c>
      <c r="Q29" s="133">
        <v>0</v>
      </c>
      <c r="R29" s="133">
        <v>0.02</v>
      </c>
      <c r="S29" s="133">
        <v>2.0199978582880414E-2</v>
      </c>
      <c r="T29" s="133">
        <v>0.05</v>
      </c>
      <c r="U29" s="133">
        <v>0.03</v>
      </c>
      <c r="V29" s="133">
        <v>0</v>
      </c>
      <c r="W29" s="133">
        <v>0</v>
      </c>
      <c r="X29" s="133">
        <v>0</v>
      </c>
      <c r="Y29" s="133">
        <v>0.05</v>
      </c>
      <c r="Z29" s="133">
        <v>0</v>
      </c>
      <c r="AA29" s="133">
        <v>0</v>
      </c>
      <c r="AB29" s="133">
        <v>0.15</v>
      </c>
      <c r="AC29" s="133">
        <v>0</v>
      </c>
      <c r="AD29" s="133">
        <v>0</v>
      </c>
      <c r="AE29" s="133">
        <v>0</v>
      </c>
      <c r="AF29" s="133">
        <v>0</v>
      </c>
      <c r="AG29" s="133">
        <v>0</v>
      </c>
      <c r="AH29" s="133">
        <v>0</v>
      </c>
      <c r="AI29" s="133">
        <v>0</v>
      </c>
      <c r="AJ29" s="133">
        <v>0</v>
      </c>
      <c r="AK29" s="133">
        <v>0</v>
      </c>
      <c r="AL29" s="133">
        <v>0</v>
      </c>
    </row>
    <row r="30" spans="1:38" customFormat="1" x14ac:dyDescent="0.15">
      <c r="A30" s="167" t="s">
        <v>220</v>
      </c>
      <c r="B30" s="133">
        <v>0</v>
      </c>
      <c r="C30" s="133">
        <v>0</v>
      </c>
      <c r="D30" s="133">
        <v>0</v>
      </c>
      <c r="E30" s="133">
        <v>0</v>
      </c>
      <c r="F30" s="133">
        <v>0</v>
      </c>
      <c r="G30" s="133">
        <v>0</v>
      </c>
      <c r="H30" s="133">
        <v>0</v>
      </c>
      <c r="I30" s="133">
        <v>0</v>
      </c>
      <c r="J30" s="133">
        <v>0.1</v>
      </c>
      <c r="K30" s="133">
        <v>0.1</v>
      </c>
      <c r="L30" s="133">
        <v>0</v>
      </c>
      <c r="M30" s="133">
        <v>0.05</v>
      </c>
      <c r="N30" s="133">
        <v>0.05</v>
      </c>
      <c r="O30" s="133">
        <v>0</v>
      </c>
      <c r="P30" s="133">
        <v>0.2</v>
      </c>
      <c r="Q30" s="133">
        <v>0.2</v>
      </c>
      <c r="R30" s="133">
        <v>0</v>
      </c>
      <c r="S30" s="133">
        <v>9.0899917572963035E-2</v>
      </c>
      <c r="T30" s="133">
        <v>0</v>
      </c>
      <c r="U30" s="133">
        <v>0</v>
      </c>
      <c r="V30" s="133">
        <v>0</v>
      </c>
      <c r="W30" s="133">
        <v>0</v>
      </c>
      <c r="X30" s="133">
        <v>0</v>
      </c>
      <c r="Y30" s="133">
        <v>0</v>
      </c>
      <c r="Z30" s="133">
        <v>0.05</v>
      </c>
      <c r="AA30" s="133">
        <v>0</v>
      </c>
      <c r="AB30" s="133">
        <v>0</v>
      </c>
      <c r="AC30" s="133">
        <v>0</v>
      </c>
      <c r="AD30" s="133">
        <v>0</v>
      </c>
      <c r="AE30" s="133">
        <v>0</v>
      </c>
      <c r="AF30" s="133">
        <v>0</v>
      </c>
      <c r="AG30" s="133">
        <v>0</v>
      </c>
      <c r="AH30" s="133">
        <v>0</v>
      </c>
      <c r="AI30" s="133">
        <v>0</v>
      </c>
      <c r="AJ30" s="133">
        <v>0</v>
      </c>
      <c r="AK30" s="133">
        <v>0</v>
      </c>
      <c r="AL30" s="133">
        <v>0</v>
      </c>
    </row>
    <row r="31" spans="1:38" customFormat="1" x14ac:dyDescent="0.15">
      <c r="A31" s="167" t="s">
        <v>221</v>
      </c>
      <c r="B31" s="133">
        <v>0</v>
      </c>
      <c r="C31" s="133">
        <v>1</v>
      </c>
      <c r="D31" s="133">
        <v>0</v>
      </c>
      <c r="E31" s="133">
        <v>0</v>
      </c>
      <c r="F31" s="133">
        <v>1</v>
      </c>
      <c r="G31" s="133">
        <v>0</v>
      </c>
      <c r="H31" s="133">
        <v>0</v>
      </c>
      <c r="I31" s="133">
        <v>1</v>
      </c>
      <c r="J31" s="133">
        <v>0.3</v>
      </c>
      <c r="K31" s="133">
        <v>0.3</v>
      </c>
      <c r="L31" s="133">
        <v>1</v>
      </c>
      <c r="M31" s="133">
        <v>0.6</v>
      </c>
      <c r="N31" s="133">
        <v>0.6</v>
      </c>
      <c r="O31" s="133">
        <v>1</v>
      </c>
      <c r="P31" s="133">
        <v>0.65</v>
      </c>
      <c r="Q31" s="133">
        <v>0.65</v>
      </c>
      <c r="R31" s="133">
        <v>0</v>
      </c>
      <c r="S31" s="133">
        <v>7.0699925890081519E-2</v>
      </c>
      <c r="T31" s="133">
        <v>0.2</v>
      </c>
      <c r="U31" s="133">
        <v>0.62</v>
      </c>
      <c r="V31" s="133">
        <v>0.3</v>
      </c>
      <c r="W31" s="133">
        <v>0.7</v>
      </c>
      <c r="X31" s="133">
        <v>0.7</v>
      </c>
      <c r="Y31" s="133">
        <v>0</v>
      </c>
      <c r="Z31" s="133">
        <v>0.91</v>
      </c>
      <c r="AA31" s="133">
        <v>0.35000000000000003</v>
      </c>
      <c r="AB31" s="133">
        <v>0</v>
      </c>
      <c r="AC31" s="133">
        <v>0.2</v>
      </c>
      <c r="AD31" s="133">
        <v>1</v>
      </c>
      <c r="AE31" s="133">
        <v>0</v>
      </c>
      <c r="AF31" s="133">
        <v>0</v>
      </c>
      <c r="AG31" s="133">
        <v>0</v>
      </c>
      <c r="AH31" s="133">
        <v>0</v>
      </c>
      <c r="AI31" s="133">
        <v>0</v>
      </c>
      <c r="AJ31" s="133">
        <v>0</v>
      </c>
      <c r="AK31" s="133">
        <v>0</v>
      </c>
      <c r="AL31" s="133">
        <v>0</v>
      </c>
    </row>
    <row r="32" spans="1:38" customFormat="1" x14ac:dyDescent="0.15">
      <c r="A32" s="167" t="s">
        <v>222</v>
      </c>
      <c r="B32" s="133">
        <v>0</v>
      </c>
      <c r="C32" s="133">
        <v>0</v>
      </c>
      <c r="D32" s="133">
        <v>0</v>
      </c>
      <c r="E32" s="133">
        <v>0</v>
      </c>
      <c r="F32" s="133">
        <v>0</v>
      </c>
      <c r="G32" s="133">
        <v>0</v>
      </c>
      <c r="H32" s="133">
        <v>0</v>
      </c>
      <c r="I32" s="133">
        <v>0</v>
      </c>
      <c r="J32" s="133">
        <v>0</v>
      </c>
      <c r="K32" s="133">
        <v>0</v>
      </c>
      <c r="L32" s="133">
        <v>0</v>
      </c>
      <c r="M32" s="133">
        <v>0</v>
      </c>
      <c r="N32" s="133">
        <v>0</v>
      </c>
      <c r="O32" s="133">
        <v>0</v>
      </c>
      <c r="P32" s="133">
        <v>0</v>
      </c>
      <c r="Q32" s="133">
        <v>0</v>
      </c>
      <c r="R32" s="133">
        <v>0</v>
      </c>
      <c r="S32" s="133">
        <v>0</v>
      </c>
      <c r="T32" s="133">
        <v>0</v>
      </c>
      <c r="U32" s="133">
        <v>0</v>
      </c>
      <c r="V32" s="133">
        <v>0</v>
      </c>
      <c r="W32" s="133">
        <v>0</v>
      </c>
      <c r="X32" s="133">
        <v>0</v>
      </c>
      <c r="Y32" s="133">
        <v>0</v>
      </c>
      <c r="Z32" s="133">
        <v>0</v>
      </c>
      <c r="AA32" s="133">
        <v>0</v>
      </c>
      <c r="AB32" s="133">
        <v>0</v>
      </c>
      <c r="AC32" s="133">
        <v>0</v>
      </c>
      <c r="AD32" s="133">
        <v>0</v>
      </c>
      <c r="AE32" s="133">
        <v>0</v>
      </c>
      <c r="AF32" s="133">
        <v>0</v>
      </c>
      <c r="AG32" s="133">
        <v>0</v>
      </c>
      <c r="AH32" s="133">
        <v>0</v>
      </c>
      <c r="AI32" s="133">
        <v>0</v>
      </c>
      <c r="AJ32" s="133">
        <v>0</v>
      </c>
      <c r="AK32" s="133">
        <v>0</v>
      </c>
      <c r="AL32" s="133">
        <v>0</v>
      </c>
    </row>
    <row r="33" spans="1:38" customFormat="1" x14ac:dyDescent="0.15">
      <c r="A33" s="167" t="s">
        <v>223</v>
      </c>
      <c r="B33" s="133">
        <v>0</v>
      </c>
      <c r="C33" s="133">
        <v>0</v>
      </c>
      <c r="D33" s="133">
        <v>0</v>
      </c>
      <c r="E33" s="133">
        <v>0</v>
      </c>
      <c r="F33" s="133">
        <v>0</v>
      </c>
      <c r="G33" s="133">
        <v>0</v>
      </c>
      <c r="H33" s="133">
        <v>0</v>
      </c>
      <c r="I33" s="133">
        <v>0</v>
      </c>
      <c r="J33" s="133">
        <v>0</v>
      </c>
      <c r="K33" s="133">
        <v>0</v>
      </c>
      <c r="L33" s="133">
        <v>0</v>
      </c>
      <c r="M33" s="133">
        <v>0</v>
      </c>
      <c r="N33" s="133">
        <v>0</v>
      </c>
      <c r="O33" s="133">
        <v>0</v>
      </c>
      <c r="P33" s="133">
        <v>0</v>
      </c>
      <c r="Q33" s="133">
        <v>0</v>
      </c>
      <c r="R33" s="133">
        <v>0</v>
      </c>
      <c r="S33" s="133">
        <v>0</v>
      </c>
      <c r="T33" s="133">
        <v>0</v>
      </c>
      <c r="U33" s="133">
        <v>0</v>
      </c>
      <c r="V33" s="133">
        <v>0</v>
      </c>
      <c r="W33" s="133">
        <v>0</v>
      </c>
      <c r="X33" s="133">
        <v>0</v>
      </c>
      <c r="Y33" s="133">
        <v>0</v>
      </c>
      <c r="Z33" s="133">
        <v>0</v>
      </c>
      <c r="AA33" s="133">
        <v>0</v>
      </c>
      <c r="AB33" s="133">
        <v>0</v>
      </c>
      <c r="AC33" s="133">
        <v>0</v>
      </c>
      <c r="AD33" s="133">
        <v>0</v>
      </c>
      <c r="AE33" s="133">
        <v>0</v>
      </c>
      <c r="AF33" s="133">
        <v>0</v>
      </c>
      <c r="AG33" s="133">
        <v>0</v>
      </c>
      <c r="AH33" s="133">
        <v>0</v>
      </c>
      <c r="AI33" s="133">
        <v>0</v>
      </c>
      <c r="AJ33" s="133">
        <v>0</v>
      </c>
      <c r="AK33" s="133">
        <v>0</v>
      </c>
      <c r="AL33" s="133">
        <v>0</v>
      </c>
    </row>
    <row r="34" spans="1:38" customFormat="1" x14ac:dyDescent="0.15">
      <c r="A34" s="167" t="s">
        <v>224</v>
      </c>
      <c r="B34" s="133">
        <v>0</v>
      </c>
      <c r="C34" s="133">
        <v>0</v>
      </c>
      <c r="D34" s="133">
        <v>0.9</v>
      </c>
      <c r="E34" s="133">
        <v>0</v>
      </c>
      <c r="F34" s="133">
        <v>0</v>
      </c>
      <c r="G34" s="133">
        <v>0.3</v>
      </c>
      <c r="H34" s="133">
        <v>0.3</v>
      </c>
      <c r="I34" s="133">
        <v>0</v>
      </c>
      <c r="J34" s="133">
        <v>0</v>
      </c>
      <c r="K34" s="133">
        <v>0</v>
      </c>
      <c r="L34" s="133">
        <v>0</v>
      </c>
      <c r="M34" s="133">
        <v>0</v>
      </c>
      <c r="N34" s="133">
        <v>0</v>
      </c>
      <c r="O34" s="133">
        <v>0</v>
      </c>
      <c r="P34" s="133">
        <v>0.05</v>
      </c>
      <c r="Q34" s="133">
        <v>0.05</v>
      </c>
      <c r="R34" s="133">
        <v>0.98</v>
      </c>
      <c r="S34" s="133">
        <v>0.1009999004144027</v>
      </c>
      <c r="T34" s="133">
        <v>0.05</v>
      </c>
      <c r="U34" s="133">
        <v>0</v>
      </c>
      <c r="V34" s="133">
        <v>0</v>
      </c>
      <c r="W34" s="133">
        <v>0</v>
      </c>
      <c r="X34" s="133">
        <v>0</v>
      </c>
      <c r="Y34" s="133">
        <v>0.9</v>
      </c>
      <c r="Z34" s="133">
        <v>0.03</v>
      </c>
      <c r="AA34" s="133">
        <v>0.30000000000000004</v>
      </c>
      <c r="AB34" s="133">
        <v>0.85</v>
      </c>
      <c r="AC34" s="133">
        <v>0.4</v>
      </c>
      <c r="AD34" s="133">
        <v>0</v>
      </c>
      <c r="AE34" s="133">
        <v>0</v>
      </c>
      <c r="AF34" s="133">
        <v>0</v>
      </c>
      <c r="AG34" s="133">
        <v>0</v>
      </c>
      <c r="AH34" s="133">
        <v>0</v>
      </c>
      <c r="AI34" s="133">
        <v>0</v>
      </c>
      <c r="AJ34" s="133">
        <v>0</v>
      </c>
      <c r="AK34" s="133">
        <v>0</v>
      </c>
      <c r="AL34" s="133">
        <v>0</v>
      </c>
    </row>
    <row r="35" spans="1:38" customFormat="1" x14ac:dyDescent="0.15">
      <c r="A35" s="167" t="s">
        <v>225</v>
      </c>
      <c r="B35" s="133">
        <v>0</v>
      </c>
      <c r="C35" s="133">
        <v>0</v>
      </c>
      <c r="D35" s="133">
        <v>0</v>
      </c>
      <c r="E35" s="133">
        <v>0</v>
      </c>
      <c r="F35" s="133">
        <v>0</v>
      </c>
      <c r="G35" s="133">
        <v>0</v>
      </c>
      <c r="H35" s="133">
        <v>0</v>
      </c>
      <c r="I35" s="133">
        <v>0</v>
      </c>
      <c r="J35" s="133">
        <v>0</v>
      </c>
      <c r="K35" s="133">
        <v>0</v>
      </c>
      <c r="L35" s="133">
        <v>0</v>
      </c>
      <c r="M35" s="133">
        <v>0</v>
      </c>
      <c r="N35" s="133">
        <v>0</v>
      </c>
      <c r="O35" s="133">
        <v>0</v>
      </c>
      <c r="P35" s="133">
        <v>0</v>
      </c>
      <c r="Q35" s="133">
        <v>0</v>
      </c>
      <c r="R35" s="133">
        <v>0</v>
      </c>
      <c r="S35" s="133">
        <v>0</v>
      </c>
      <c r="T35" s="133">
        <v>0</v>
      </c>
      <c r="U35" s="133">
        <v>0</v>
      </c>
      <c r="V35" s="133">
        <v>0</v>
      </c>
      <c r="W35" s="133">
        <v>0</v>
      </c>
      <c r="X35" s="133">
        <v>0</v>
      </c>
      <c r="Y35" s="133">
        <v>0</v>
      </c>
      <c r="Z35" s="133">
        <v>0</v>
      </c>
      <c r="AA35" s="133">
        <v>0</v>
      </c>
      <c r="AB35" s="133">
        <v>0</v>
      </c>
      <c r="AC35" s="133">
        <v>0</v>
      </c>
      <c r="AD35" s="133">
        <v>0</v>
      </c>
      <c r="AE35" s="133">
        <v>0</v>
      </c>
      <c r="AF35" s="133">
        <v>0.5</v>
      </c>
      <c r="AG35" s="133">
        <v>0.5</v>
      </c>
      <c r="AH35" s="133">
        <v>0</v>
      </c>
      <c r="AI35" s="133">
        <v>0</v>
      </c>
      <c r="AJ35" s="133">
        <v>0</v>
      </c>
      <c r="AK35" s="133">
        <v>0</v>
      </c>
      <c r="AL35" s="133">
        <v>0</v>
      </c>
    </row>
    <row r="36" spans="1:38" customFormat="1" x14ac:dyDescent="0.15">
      <c r="A36" s="167" t="s">
        <v>226</v>
      </c>
      <c r="B36" s="133">
        <v>0</v>
      </c>
      <c r="C36" s="133">
        <v>0</v>
      </c>
      <c r="D36" s="133">
        <v>0</v>
      </c>
      <c r="E36" s="133">
        <v>0</v>
      </c>
      <c r="F36" s="133">
        <v>0</v>
      </c>
      <c r="G36" s="133">
        <v>0</v>
      </c>
      <c r="H36" s="133">
        <v>0</v>
      </c>
      <c r="I36" s="133">
        <v>0</v>
      </c>
      <c r="J36" s="133">
        <v>0</v>
      </c>
      <c r="K36" s="133">
        <v>0</v>
      </c>
      <c r="L36" s="133">
        <v>0</v>
      </c>
      <c r="M36" s="133">
        <v>0</v>
      </c>
      <c r="N36" s="133">
        <v>0</v>
      </c>
      <c r="O36" s="133">
        <v>0</v>
      </c>
      <c r="P36" s="133">
        <v>0</v>
      </c>
      <c r="Q36" s="133">
        <v>0</v>
      </c>
      <c r="R36" s="133">
        <v>0</v>
      </c>
      <c r="S36" s="133">
        <v>0</v>
      </c>
      <c r="T36" s="133">
        <v>0</v>
      </c>
      <c r="U36" s="133">
        <v>0</v>
      </c>
      <c r="V36" s="133">
        <v>0</v>
      </c>
      <c r="W36" s="133">
        <v>0</v>
      </c>
      <c r="X36" s="133">
        <v>0.3</v>
      </c>
      <c r="Y36" s="133">
        <v>0</v>
      </c>
      <c r="Z36" s="133">
        <v>0</v>
      </c>
      <c r="AA36" s="133">
        <v>0</v>
      </c>
      <c r="AB36" s="133">
        <v>0</v>
      </c>
      <c r="AC36" s="133">
        <v>0</v>
      </c>
      <c r="AD36" s="133">
        <v>0</v>
      </c>
      <c r="AE36" s="133">
        <v>0.9</v>
      </c>
      <c r="AF36" s="133">
        <v>0</v>
      </c>
      <c r="AG36" s="133">
        <v>0</v>
      </c>
      <c r="AH36" s="133">
        <v>0.3</v>
      </c>
      <c r="AI36" s="133">
        <v>0</v>
      </c>
      <c r="AJ36" s="133">
        <v>0</v>
      </c>
      <c r="AK36" s="133">
        <v>0</v>
      </c>
      <c r="AL36" s="133">
        <v>0</v>
      </c>
    </row>
    <row r="37" spans="1:38" customFormat="1" x14ac:dyDescent="0.15">
      <c r="A37" s="167" t="s">
        <v>227</v>
      </c>
      <c r="B37" s="133">
        <v>0</v>
      </c>
      <c r="C37" s="133">
        <v>0</v>
      </c>
      <c r="D37" s="133">
        <v>0</v>
      </c>
      <c r="E37" s="133">
        <v>0</v>
      </c>
      <c r="F37" s="133">
        <v>0</v>
      </c>
      <c r="G37" s="133">
        <v>0</v>
      </c>
      <c r="H37" s="133">
        <v>0</v>
      </c>
      <c r="I37" s="133">
        <v>0</v>
      </c>
      <c r="J37" s="133">
        <v>0</v>
      </c>
      <c r="K37" s="133">
        <v>0</v>
      </c>
      <c r="L37" s="133">
        <v>0</v>
      </c>
      <c r="M37" s="133">
        <v>0</v>
      </c>
      <c r="N37" s="133">
        <v>0</v>
      </c>
      <c r="O37" s="133">
        <v>0</v>
      </c>
      <c r="P37" s="133">
        <v>0</v>
      </c>
      <c r="Q37" s="133">
        <v>0</v>
      </c>
      <c r="R37" s="133">
        <v>0</v>
      </c>
      <c r="S37" s="133">
        <v>0</v>
      </c>
      <c r="T37" s="133">
        <v>0</v>
      </c>
      <c r="U37" s="133">
        <v>0</v>
      </c>
      <c r="V37" s="133">
        <v>0</v>
      </c>
      <c r="W37" s="133">
        <v>0</v>
      </c>
      <c r="X37" s="133">
        <v>0</v>
      </c>
      <c r="Y37" s="133">
        <v>0</v>
      </c>
      <c r="Z37" s="133">
        <v>0</v>
      </c>
      <c r="AA37" s="133">
        <v>0.35000000000000003</v>
      </c>
      <c r="AB37" s="133">
        <v>0</v>
      </c>
      <c r="AC37" s="133">
        <v>0.4</v>
      </c>
      <c r="AD37" s="133">
        <v>0</v>
      </c>
      <c r="AE37" s="133">
        <v>0.1</v>
      </c>
      <c r="AF37" s="133">
        <v>0.5</v>
      </c>
      <c r="AG37" s="133">
        <v>0.5</v>
      </c>
      <c r="AH37" s="133">
        <v>0.7</v>
      </c>
      <c r="AI37" s="133">
        <v>0</v>
      </c>
      <c r="AJ37" s="133">
        <v>0</v>
      </c>
      <c r="AK37" s="133">
        <v>0</v>
      </c>
      <c r="AL37" s="133">
        <v>0</v>
      </c>
    </row>
    <row r="38" spans="1:38" customFormat="1" x14ac:dyDescent="0.15">
      <c r="A38" s="167" t="s">
        <v>228</v>
      </c>
      <c r="B38" s="133">
        <v>0</v>
      </c>
      <c r="C38" s="133">
        <v>0</v>
      </c>
      <c r="D38" s="133">
        <v>0</v>
      </c>
      <c r="E38" s="133">
        <v>0</v>
      </c>
      <c r="F38" s="133">
        <v>0</v>
      </c>
      <c r="G38" s="133">
        <v>0</v>
      </c>
      <c r="H38" s="133">
        <v>0</v>
      </c>
      <c r="I38" s="133">
        <v>0</v>
      </c>
      <c r="J38" s="133">
        <v>0</v>
      </c>
      <c r="K38" s="133">
        <v>0</v>
      </c>
      <c r="L38" s="133">
        <v>0</v>
      </c>
      <c r="M38" s="133">
        <v>0</v>
      </c>
      <c r="N38" s="133">
        <v>0</v>
      </c>
      <c r="O38" s="133">
        <v>0</v>
      </c>
      <c r="P38" s="133">
        <v>0</v>
      </c>
      <c r="Q38" s="133">
        <v>0</v>
      </c>
      <c r="R38" s="133">
        <v>0</v>
      </c>
      <c r="S38" s="133">
        <v>0</v>
      </c>
      <c r="T38" s="133">
        <v>0</v>
      </c>
      <c r="U38" s="133">
        <v>0</v>
      </c>
      <c r="V38" s="133">
        <v>0</v>
      </c>
      <c r="W38" s="133">
        <v>0</v>
      </c>
      <c r="X38" s="133">
        <v>0</v>
      </c>
      <c r="Y38" s="133">
        <v>0</v>
      </c>
      <c r="Z38" s="133">
        <v>0</v>
      </c>
      <c r="AA38" s="133">
        <v>0</v>
      </c>
      <c r="AB38" s="133">
        <v>0</v>
      </c>
      <c r="AC38" s="133">
        <v>0</v>
      </c>
      <c r="AD38" s="133">
        <v>0</v>
      </c>
      <c r="AE38" s="133">
        <v>0</v>
      </c>
      <c r="AF38" s="133">
        <v>0</v>
      </c>
      <c r="AG38" s="133">
        <v>0</v>
      </c>
      <c r="AH38" s="133">
        <v>0</v>
      </c>
      <c r="AI38" s="133">
        <v>0</v>
      </c>
      <c r="AJ38" s="133">
        <v>0</v>
      </c>
      <c r="AK38" s="133">
        <v>0</v>
      </c>
      <c r="AL38" s="133">
        <v>0</v>
      </c>
    </row>
    <row r="39" spans="1:38" x14ac:dyDescent="0.15">
      <c r="A39" s="167" t="s">
        <v>237</v>
      </c>
      <c r="B39" s="133">
        <v>0</v>
      </c>
      <c r="C39" s="133">
        <v>0</v>
      </c>
      <c r="D39" s="133">
        <v>0</v>
      </c>
      <c r="E39" s="133">
        <v>0</v>
      </c>
      <c r="F39" s="133">
        <v>0</v>
      </c>
      <c r="G39" s="133">
        <v>0</v>
      </c>
      <c r="H39" s="133">
        <v>0</v>
      </c>
      <c r="I39" s="133">
        <v>0</v>
      </c>
      <c r="J39" s="133">
        <v>0</v>
      </c>
      <c r="K39" s="133">
        <v>0</v>
      </c>
      <c r="L39" s="133">
        <v>0</v>
      </c>
      <c r="M39" s="133">
        <v>0</v>
      </c>
      <c r="N39" s="133">
        <v>0</v>
      </c>
      <c r="O39" s="133">
        <v>0</v>
      </c>
      <c r="P39" s="133">
        <v>0</v>
      </c>
      <c r="Q39" s="133">
        <v>0</v>
      </c>
      <c r="R39" s="133">
        <v>0</v>
      </c>
      <c r="S39" s="133">
        <v>0</v>
      </c>
      <c r="T39" s="133">
        <v>0</v>
      </c>
      <c r="U39" s="133">
        <v>0</v>
      </c>
      <c r="V39" s="133">
        <v>0</v>
      </c>
      <c r="W39" s="133">
        <v>0</v>
      </c>
      <c r="X39" s="133">
        <v>0</v>
      </c>
      <c r="Y39" s="133">
        <v>0</v>
      </c>
      <c r="Z39" s="133">
        <v>0</v>
      </c>
      <c r="AA39" s="133">
        <v>0</v>
      </c>
      <c r="AB39" s="133">
        <v>0</v>
      </c>
      <c r="AC39" s="133">
        <v>0</v>
      </c>
      <c r="AD39" s="133">
        <v>0</v>
      </c>
      <c r="AE39" s="133">
        <v>0</v>
      </c>
      <c r="AF39" s="133">
        <v>0</v>
      </c>
      <c r="AG39" s="133">
        <v>0</v>
      </c>
      <c r="AH39" s="133">
        <v>0</v>
      </c>
      <c r="AI39" s="133">
        <v>0</v>
      </c>
      <c r="AJ39" s="133">
        <v>0</v>
      </c>
      <c r="AK39" s="133">
        <v>0</v>
      </c>
      <c r="AL39" s="133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" customWidth="1"/>
    <col min="3" max="4" width="2.33203125" style="103" customWidth="1"/>
    <col min="5" max="6" width="2.33203125" style="102" bestFit="1" customWidth="1"/>
    <col min="7" max="8" width="8.83203125" style="103"/>
  </cols>
  <sheetData>
    <row r="1" spans="1:8" ht="70" x14ac:dyDescent="0.15">
      <c r="A1" s="5" t="s">
        <v>20</v>
      </c>
      <c r="B1" s="1" t="s">
        <v>0</v>
      </c>
      <c r="C1" s="170" t="s">
        <v>227</v>
      </c>
      <c r="D1" s="170" t="s">
        <v>228</v>
      </c>
      <c r="E1" s="170" t="s">
        <v>238</v>
      </c>
      <c r="F1" s="170" t="s">
        <v>239</v>
      </c>
      <c r="G1"/>
      <c r="H1"/>
    </row>
    <row r="2" spans="1:8" x14ac:dyDescent="0.15">
      <c r="A2">
        <v>1</v>
      </c>
      <c r="B2" s="169" t="s">
        <v>193</v>
      </c>
      <c r="C2" s="103">
        <v>1</v>
      </c>
      <c r="D2" s="103">
        <v>0</v>
      </c>
      <c r="E2" s="102">
        <v>0</v>
      </c>
      <c r="F2" s="102">
        <v>1</v>
      </c>
      <c r="G2"/>
      <c r="H2"/>
    </row>
    <row r="3" spans="1:8" x14ac:dyDescent="0.15">
      <c r="A3">
        <v>2</v>
      </c>
      <c r="B3" s="169" t="s">
        <v>194</v>
      </c>
      <c r="C3" s="103">
        <v>1</v>
      </c>
      <c r="D3" s="103">
        <v>0</v>
      </c>
      <c r="E3" s="102">
        <v>0</v>
      </c>
      <c r="F3" s="102">
        <v>1</v>
      </c>
      <c r="G3"/>
      <c r="H3"/>
    </row>
    <row r="4" spans="1:8" x14ac:dyDescent="0.15">
      <c r="A4">
        <v>3</v>
      </c>
      <c r="B4" s="169" t="s">
        <v>195</v>
      </c>
      <c r="C4" s="103">
        <v>1</v>
      </c>
      <c r="D4" s="103">
        <v>0</v>
      </c>
      <c r="E4" s="102">
        <v>0</v>
      </c>
      <c r="F4" s="102">
        <v>1</v>
      </c>
      <c r="G4"/>
      <c r="H4"/>
    </row>
    <row r="5" spans="1:8" x14ac:dyDescent="0.15">
      <c r="A5">
        <v>4</v>
      </c>
      <c r="B5" s="169" t="s">
        <v>196</v>
      </c>
      <c r="C5" s="103">
        <v>1</v>
      </c>
      <c r="D5" s="103">
        <v>0</v>
      </c>
      <c r="E5" s="102">
        <v>0</v>
      </c>
      <c r="F5" s="102">
        <v>1</v>
      </c>
      <c r="G5"/>
      <c r="H5"/>
    </row>
    <row r="6" spans="1:8" x14ac:dyDescent="0.15">
      <c r="A6">
        <v>5</v>
      </c>
      <c r="B6" s="169" t="s">
        <v>197</v>
      </c>
      <c r="C6" s="103">
        <v>1</v>
      </c>
      <c r="D6" s="103">
        <v>0</v>
      </c>
      <c r="E6" s="102">
        <v>0</v>
      </c>
      <c r="F6" s="102">
        <v>1</v>
      </c>
      <c r="G6"/>
      <c r="H6"/>
    </row>
    <row r="7" spans="1:8" x14ac:dyDescent="0.15">
      <c r="A7">
        <v>6</v>
      </c>
      <c r="B7" s="169" t="s">
        <v>198</v>
      </c>
      <c r="C7" s="103">
        <v>1</v>
      </c>
      <c r="D7" s="103">
        <v>0</v>
      </c>
      <c r="E7" s="102">
        <v>0</v>
      </c>
      <c r="F7" s="102">
        <v>1</v>
      </c>
      <c r="G7"/>
      <c r="H7"/>
    </row>
    <row r="8" spans="1:8" x14ac:dyDescent="0.15">
      <c r="A8">
        <v>7</v>
      </c>
      <c r="B8" s="169" t="s">
        <v>199</v>
      </c>
      <c r="C8" s="103">
        <v>1</v>
      </c>
      <c r="D8" s="103">
        <v>0</v>
      </c>
      <c r="E8" s="102">
        <v>0</v>
      </c>
      <c r="F8" s="102">
        <v>1</v>
      </c>
      <c r="G8"/>
      <c r="H8"/>
    </row>
    <row r="9" spans="1:8" x14ac:dyDescent="0.15">
      <c r="A9">
        <v>8</v>
      </c>
      <c r="B9" s="169" t="s">
        <v>200</v>
      </c>
      <c r="C9" s="103">
        <v>1</v>
      </c>
      <c r="D9" s="103">
        <v>0</v>
      </c>
      <c r="E9" s="102">
        <v>0</v>
      </c>
      <c r="F9" s="102">
        <v>1</v>
      </c>
      <c r="G9"/>
      <c r="H9"/>
    </row>
    <row r="10" spans="1:8" x14ac:dyDescent="0.15">
      <c r="A10">
        <v>9</v>
      </c>
      <c r="B10" s="169" t="s">
        <v>201</v>
      </c>
      <c r="C10" s="103">
        <v>1</v>
      </c>
      <c r="D10" s="103">
        <v>0</v>
      </c>
      <c r="E10" s="102">
        <v>0</v>
      </c>
      <c r="F10" s="102">
        <v>1</v>
      </c>
      <c r="G10"/>
      <c r="H10"/>
    </row>
    <row r="11" spans="1:8" x14ac:dyDescent="0.15">
      <c r="A11">
        <v>10</v>
      </c>
      <c r="B11" s="169" t="s">
        <v>202</v>
      </c>
      <c r="C11" s="103">
        <v>1</v>
      </c>
      <c r="D11" s="103">
        <v>0</v>
      </c>
      <c r="E11" s="102">
        <v>0</v>
      </c>
      <c r="F11" s="102">
        <v>1</v>
      </c>
      <c r="G11"/>
      <c r="H11"/>
    </row>
    <row r="12" spans="1:8" x14ac:dyDescent="0.15">
      <c r="A12">
        <v>11</v>
      </c>
      <c r="B12" s="169" t="s">
        <v>203</v>
      </c>
      <c r="C12" s="103">
        <v>1</v>
      </c>
      <c r="D12" s="103">
        <v>0</v>
      </c>
      <c r="E12" s="102">
        <v>0</v>
      </c>
      <c r="F12" s="102">
        <v>1</v>
      </c>
      <c r="G12"/>
      <c r="H12"/>
    </row>
    <row r="13" spans="1:8" x14ac:dyDescent="0.15">
      <c r="A13">
        <v>12</v>
      </c>
      <c r="B13" s="169" t="s">
        <v>204</v>
      </c>
      <c r="C13" s="103">
        <v>1</v>
      </c>
      <c r="D13" s="103">
        <v>0</v>
      </c>
      <c r="E13" s="102">
        <v>0</v>
      </c>
      <c r="F13" s="102">
        <v>1</v>
      </c>
      <c r="G13"/>
      <c r="H13"/>
    </row>
    <row r="14" spans="1:8" x14ac:dyDescent="0.15">
      <c r="A14">
        <v>13</v>
      </c>
      <c r="B14" s="169" t="s">
        <v>205</v>
      </c>
      <c r="C14" s="103">
        <v>1</v>
      </c>
      <c r="D14" s="103">
        <v>0</v>
      </c>
      <c r="E14" s="102">
        <v>0</v>
      </c>
      <c r="F14" s="102">
        <v>1</v>
      </c>
      <c r="G14"/>
      <c r="H14"/>
    </row>
    <row r="15" spans="1:8" x14ac:dyDescent="0.15">
      <c r="A15">
        <v>14</v>
      </c>
      <c r="B15" s="169" t="s">
        <v>206</v>
      </c>
      <c r="C15" s="103">
        <v>1</v>
      </c>
      <c r="D15" s="103">
        <v>0</v>
      </c>
      <c r="E15" s="102">
        <v>0</v>
      </c>
      <c r="F15" s="102">
        <v>1</v>
      </c>
      <c r="G15"/>
      <c r="H15"/>
    </row>
    <row r="16" spans="1:8" x14ac:dyDescent="0.15">
      <c r="A16">
        <v>15</v>
      </c>
      <c r="B16" s="169" t="s">
        <v>207</v>
      </c>
      <c r="C16" s="103">
        <v>1</v>
      </c>
      <c r="D16" s="103">
        <v>0</v>
      </c>
      <c r="E16" s="102">
        <v>0</v>
      </c>
      <c r="F16" s="102">
        <v>1</v>
      </c>
      <c r="G16"/>
      <c r="H16"/>
    </row>
    <row r="17" spans="1:8" ht="15" customHeight="1" x14ac:dyDescent="0.15">
      <c r="A17">
        <v>16</v>
      </c>
      <c r="B17" s="169" t="s">
        <v>208</v>
      </c>
      <c r="C17" s="103">
        <v>1</v>
      </c>
      <c r="D17" s="103">
        <v>0</v>
      </c>
      <c r="E17" s="102">
        <v>0</v>
      </c>
      <c r="F17" s="102">
        <v>1</v>
      </c>
      <c r="G17"/>
      <c r="H17"/>
    </row>
    <row r="18" spans="1:8" ht="15" customHeight="1" x14ac:dyDescent="0.15">
      <c r="A18">
        <v>17</v>
      </c>
      <c r="B18" s="169" t="s">
        <v>209</v>
      </c>
      <c r="C18" s="103">
        <v>1</v>
      </c>
      <c r="D18" s="103">
        <v>0</v>
      </c>
      <c r="E18" s="102">
        <v>0</v>
      </c>
      <c r="F18" s="102">
        <v>1</v>
      </c>
      <c r="G18"/>
      <c r="H18"/>
    </row>
    <row r="19" spans="1:8" ht="15" customHeight="1" x14ac:dyDescent="0.15">
      <c r="A19">
        <v>18</v>
      </c>
      <c r="B19" s="169" t="s">
        <v>210</v>
      </c>
      <c r="C19" s="103">
        <v>1</v>
      </c>
      <c r="D19" s="103">
        <v>0</v>
      </c>
      <c r="E19" s="102">
        <v>0</v>
      </c>
      <c r="F19" s="102">
        <v>1</v>
      </c>
      <c r="G19"/>
      <c r="H19"/>
    </row>
    <row r="20" spans="1:8" ht="15" customHeight="1" x14ac:dyDescent="0.15">
      <c r="A20">
        <v>19</v>
      </c>
      <c r="B20" s="169" t="s">
        <v>211</v>
      </c>
      <c r="C20" s="103">
        <v>1</v>
      </c>
      <c r="D20" s="103">
        <v>0</v>
      </c>
      <c r="E20" s="102">
        <v>0</v>
      </c>
      <c r="F20" s="102">
        <v>1</v>
      </c>
      <c r="G20"/>
      <c r="H20"/>
    </row>
    <row r="21" spans="1:8" ht="15" customHeight="1" x14ac:dyDescent="0.15">
      <c r="A21">
        <v>20</v>
      </c>
      <c r="B21" s="169" t="s">
        <v>212</v>
      </c>
      <c r="C21" s="103">
        <v>1</v>
      </c>
      <c r="D21" s="103">
        <v>0</v>
      </c>
      <c r="E21" s="102">
        <v>0</v>
      </c>
      <c r="F21" s="102">
        <v>1</v>
      </c>
      <c r="G21"/>
      <c r="H21"/>
    </row>
    <row r="22" spans="1:8" ht="15" customHeight="1" x14ac:dyDescent="0.15">
      <c r="A22">
        <v>21</v>
      </c>
      <c r="B22" s="169" t="s">
        <v>213</v>
      </c>
      <c r="C22" s="103">
        <v>1</v>
      </c>
      <c r="D22" s="103">
        <v>0</v>
      </c>
      <c r="E22" s="102">
        <v>0</v>
      </c>
      <c r="F22" s="102">
        <v>1</v>
      </c>
      <c r="G22"/>
      <c r="H22"/>
    </row>
    <row r="23" spans="1:8" ht="15" customHeight="1" x14ac:dyDescent="0.15">
      <c r="A23">
        <v>22</v>
      </c>
      <c r="B23" s="169" t="s">
        <v>214</v>
      </c>
      <c r="C23" s="103">
        <v>1</v>
      </c>
      <c r="D23" s="103">
        <v>0</v>
      </c>
      <c r="E23" s="102">
        <v>0</v>
      </c>
      <c r="F23" s="102">
        <v>1</v>
      </c>
      <c r="G23"/>
      <c r="H23"/>
    </row>
    <row r="24" spans="1:8" ht="15" customHeight="1" x14ac:dyDescent="0.15">
      <c r="A24">
        <v>23</v>
      </c>
      <c r="B24" s="169" t="s">
        <v>215</v>
      </c>
      <c r="C24" s="103">
        <v>1</v>
      </c>
      <c r="D24" s="103">
        <v>0</v>
      </c>
      <c r="E24" s="102">
        <v>0</v>
      </c>
      <c r="F24" s="102">
        <v>1</v>
      </c>
      <c r="G24"/>
      <c r="H24"/>
    </row>
    <row r="25" spans="1:8" ht="15" customHeight="1" x14ac:dyDescent="0.15">
      <c r="A25">
        <v>24</v>
      </c>
      <c r="B25" s="169" t="s">
        <v>216</v>
      </c>
      <c r="C25" s="103">
        <v>1</v>
      </c>
      <c r="D25" s="103">
        <v>0</v>
      </c>
      <c r="E25" s="102">
        <v>0</v>
      </c>
      <c r="F25" s="102">
        <v>1</v>
      </c>
      <c r="G25"/>
      <c r="H25"/>
    </row>
    <row r="26" spans="1:8" ht="15" customHeight="1" x14ac:dyDescent="0.15">
      <c r="A26">
        <v>25</v>
      </c>
      <c r="B26" s="169" t="s">
        <v>217</v>
      </c>
      <c r="C26" s="103">
        <v>1</v>
      </c>
      <c r="D26" s="103">
        <v>0</v>
      </c>
      <c r="E26" s="102">
        <v>0</v>
      </c>
      <c r="F26" s="102">
        <v>1</v>
      </c>
      <c r="G26"/>
      <c r="H26"/>
    </row>
    <row r="27" spans="1:8" ht="15" customHeight="1" x14ac:dyDescent="0.15">
      <c r="A27">
        <v>26</v>
      </c>
      <c r="B27" s="169" t="s">
        <v>166</v>
      </c>
      <c r="C27" s="103">
        <v>0</v>
      </c>
      <c r="D27" s="103">
        <v>0</v>
      </c>
      <c r="E27" s="102">
        <v>1</v>
      </c>
      <c r="F27" s="102">
        <v>1</v>
      </c>
      <c r="G27"/>
      <c r="H27"/>
    </row>
    <row r="28" spans="1:8" ht="15" customHeight="1" x14ac:dyDescent="0.15">
      <c r="A28">
        <v>27</v>
      </c>
      <c r="B28" s="169" t="s">
        <v>218</v>
      </c>
      <c r="C28" s="103">
        <v>1</v>
      </c>
      <c r="D28" s="103">
        <v>0</v>
      </c>
      <c r="E28" s="102">
        <v>0</v>
      </c>
      <c r="F28" s="102">
        <v>1</v>
      </c>
      <c r="G28"/>
      <c r="H28"/>
    </row>
    <row r="29" spans="1:8" ht="15" customHeight="1" x14ac:dyDescent="0.15">
      <c r="A29">
        <v>28</v>
      </c>
      <c r="B29" s="169" t="s">
        <v>219</v>
      </c>
      <c r="C29" s="103">
        <v>1</v>
      </c>
      <c r="D29" s="103">
        <v>0</v>
      </c>
      <c r="E29" s="102">
        <v>0</v>
      </c>
      <c r="F29" s="102">
        <v>1</v>
      </c>
      <c r="G29"/>
      <c r="H29"/>
    </row>
    <row r="30" spans="1:8" ht="15" customHeight="1" x14ac:dyDescent="0.15">
      <c r="A30">
        <v>29</v>
      </c>
      <c r="B30" s="169" t="s">
        <v>220</v>
      </c>
      <c r="C30" s="103">
        <v>1</v>
      </c>
      <c r="D30" s="103">
        <v>0</v>
      </c>
      <c r="E30" s="102">
        <v>0</v>
      </c>
      <c r="F30" s="102">
        <v>1</v>
      </c>
      <c r="G30"/>
      <c r="H30"/>
    </row>
    <row r="31" spans="1:8" ht="15" customHeight="1" x14ac:dyDescent="0.15">
      <c r="A31">
        <v>30</v>
      </c>
      <c r="B31" s="169" t="s">
        <v>221</v>
      </c>
      <c r="C31" s="103">
        <v>1</v>
      </c>
      <c r="D31" s="103">
        <v>0</v>
      </c>
      <c r="E31" s="102">
        <v>0</v>
      </c>
      <c r="F31" s="102">
        <v>1</v>
      </c>
      <c r="G31"/>
      <c r="H31"/>
    </row>
    <row r="32" spans="1:8" ht="15" customHeight="1" x14ac:dyDescent="0.15">
      <c r="A32">
        <v>31</v>
      </c>
      <c r="B32" s="169" t="s">
        <v>222</v>
      </c>
      <c r="C32" s="103">
        <v>1</v>
      </c>
      <c r="D32" s="103">
        <v>0</v>
      </c>
      <c r="E32" s="102">
        <v>0</v>
      </c>
      <c r="F32" s="102">
        <v>1</v>
      </c>
    </row>
    <row r="33" spans="1:8" ht="15" customHeight="1" x14ac:dyDescent="0.15">
      <c r="A33">
        <v>32</v>
      </c>
      <c r="B33" s="169" t="s">
        <v>223</v>
      </c>
      <c r="C33" s="103">
        <v>1</v>
      </c>
      <c r="D33" s="103">
        <v>0</v>
      </c>
      <c r="E33" s="102">
        <v>0</v>
      </c>
      <c r="F33" s="102">
        <v>1</v>
      </c>
    </row>
    <row r="34" spans="1:8" ht="15" customHeight="1" x14ac:dyDescent="0.15">
      <c r="A34">
        <v>33</v>
      </c>
      <c r="B34" s="169" t="s">
        <v>224</v>
      </c>
      <c r="C34" s="103">
        <v>1</v>
      </c>
      <c r="D34" s="103">
        <v>0</v>
      </c>
      <c r="E34" s="102">
        <v>0</v>
      </c>
      <c r="F34" s="102">
        <v>1</v>
      </c>
    </row>
    <row r="35" spans="1:8" ht="15" customHeight="1" x14ac:dyDescent="0.15">
      <c r="A35">
        <v>34</v>
      </c>
      <c r="B35" s="169" t="s">
        <v>225</v>
      </c>
      <c r="C35" s="103">
        <v>0</v>
      </c>
      <c r="D35" s="103">
        <v>0</v>
      </c>
      <c r="E35" s="102">
        <v>1</v>
      </c>
      <c r="F35" s="102">
        <v>1</v>
      </c>
    </row>
    <row r="36" spans="1:8" ht="15" customHeight="1" x14ac:dyDescent="0.15">
      <c r="A36">
        <v>35</v>
      </c>
      <c r="B36" s="169" t="s">
        <v>226</v>
      </c>
      <c r="C36" s="103">
        <v>1</v>
      </c>
      <c r="D36" s="103">
        <v>0</v>
      </c>
      <c r="E36" s="103">
        <v>0</v>
      </c>
      <c r="F36" s="103">
        <v>1</v>
      </c>
      <c r="G36"/>
      <c r="H36"/>
    </row>
    <row r="37" spans="1:8" ht="15" customHeight="1" x14ac:dyDescent="0.15">
      <c r="A37">
        <v>36</v>
      </c>
      <c r="B37" s="169" t="s">
        <v>227</v>
      </c>
      <c r="C37" s="103">
        <v>0</v>
      </c>
      <c r="D37" s="103">
        <v>1</v>
      </c>
      <c r="E37" s="103">
        <v>0</v>
      </c>
      <c r="F37" s="103">
        <v>1</v>
      </c>
      <c r="G37"/>
      <c r="H37"/>
    </row>
    <row r="38" spans="1:8" ht="15" customHeight="1" x14ac:dyDescent="0.15">
      <c r="A38">
        <v>37</v>
      </c>
      <c r="B38" s="169" t="s">
        <v>228</v>
      </c>
      <c r="C38" s="103">
        <v>0</v>
      </c>
      <c r="D38" s="103">
        <v>0</v>
      </c>
      <c r="E38" s="103">
        <v>1</v>
      </c>
      <c r="F38" s="103">
        <v>1</v>
      </c>
      <c r="G38"/>
      <c r="H38"/>
    </row>
    <row r="39" spans="1:8" ht="15" customHeight="1" x14ac:dyDescent="0.15">
      <c r="A39">
        <v>38</v>
      </c>
      <c r="B39" s="169" t="s">
        <v>229</v>
      </c>
      <c r="C39" s="103">
        <v>0</v>
      </c>
      <c r="D39" s="103">
        <v>1</v>
      </c>
      <c r="E39" s="103">
        <v>0</v>
      </c>
      <c r="F39" s="103">
        <v>1</v>
      </c>
      <c r="G39"/>
      <c r="H39"/>
    </row>
    <row r="40" spans="1:8" ht="15" customHeight="1" x14ac:dyDescent="0.15">
      <c r="A40">
        <v>39</v>
      </c>
      <c r="B40" s="169" t="s">
        <v>230</v>
      </c>
      <c r="C40" s="103">
        <v>0</v>
      </c>
      <c r="D40" s="103">
        <v>1</v>
      </c>
      <c r="E40" s="103">
        <v>0</v>
      </c>
      <c r="F40" s="103">
        <v>1</v>
      </c>
      <c r="G40"/>
      <c r="H40"/>
    </row>
    <row r="41" spans="1:8" ht="15" customHeight="1" x14ac:dyDescent="0.15">
      <c r="A41">
        <v>40</v>
      </c>
      <c r="B41" s="169" t="s">
        <v>231</v>
      </c>
      <c r="C41" s="103">
        <v>0</v>
      </c>
      <c r="D41" s="103">
        <v>1</v>
      </c>
      <c r="E41" s="103">
        <v>0</v>
      </c>
      <c r="F41" s="103">
        <v>1</v>
      </c>
      <c r="G41"/>
      <c r="H41"/>
    </row>
    <row r="42" spans="1:8" ht="15" customHeight="1" x14ac:dyDescent="0.15">
      <c r="A42">
        <v>41</v>
      </c>
      <c r="B42" s="169" t="s">
        <v>232</v>
      </c>
      <c r="C42" s="103">
        <v>0</v>
      </c>
      <c r="D42" s="103">
        <v>1</v>
      </c>
      <c r="E42" s="103">
        <v>0</v>
      </c>
      <c r="F42" s="103">
        <v>1</v>
      </c>
      <c r="G42"/>
      <c r="H42"/>
    </row>
    <row r="43" spans="1:8" ht="15" customHeight="1" x14ac:dyDescent="0.15">
      <c r="A43">
        <v>42</v>
      </c>
      <c r="B43" s="169" t="s">
        <v>233</v>
      </c>
      <c r="C43" s="103">
        <v>0</v>
      </c>
      <c r="D43" s="103">
        <v>1</v>
      </c>
      <c r="E43" s="103">
        <v>0</v>
      </c>
      <c r="F43" s="103">
        <v>1</v>
      </c>
      <c r="G43"/>
      <c r="H43"/>
    </row>
    <row r="44" spans="1:8" ht="15" customHeight="1" x14ac:dyDescent="0.15">
      <c r="A44">
        <v>43</v>
      </c>
      <c r="B44" s="169" t="s">
        <v>234</v>
      </c>
      <c r="C44" s="103">
        <v>0</v>
      </c>
      <c r="D44" s="103">
        <v>1</v>
      </c>
      <c r="E44" s="102">
        <v>0</v>
      </c>
      <c r="F44" s="102">
        <v>1</v>
      </c>
      <c r="G44"/>
      <c r="H44"/>
    </row>
    <row r="45" spans="1:8" ht="15" customHeight="1" x14ac:dyDescent="0.15">
      <c r="A45">
        <v>44</v>
      </c>
      <c r="B45" s="169" t="s">
        <v>235</v>
      </c>
      <c r="C45" s="103">
        <v>0</v>
      </c>
      <c r="D45" s="103">
        <v>1</v>
      </c>
      <c r="E45" s="102">
        <v>0</v>
      </c>
      <c r="F45" s="102">
        <v>1</v>
      </c>
      <c r="G45"/>
      <c r="H45"/>
    </row>
    <row r="46" spans="1:8" ht="15" customHeight="1" x14ac:dyDescent="0.15">
      <c r="A46">
        <v>45</v>
      </c>
      <c r="B46" s="169" t="s">
        <v>236</v>
      </c>
      <c r="C46" s="103">
        <v>0</v>
      </c>
      <c r="D46" s="103">
        <v>1</v>
      </c>
      <c r="E46" s="103">
        <v>0</v>
      </c>
      <c r="F46" s="103">
        <v>1</v>
      </c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K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" bestFit="1" customWidth="1"/>
    <col min="3" max="3" width="5.83203125" bestFit="1" customWidth="1"/>
    <col min="4" max="4" width="6.83203125" bestFit="1" customWidth="1"/>
    <col min="5" max="5" width="3.83203125" bestFit="1" customWidth="1"/>
    <col min="6" max="7" width="3.83203125" customWidth="1"/>
    <col min="8" max="8" width="2.33203125" customWidth="1"/>
    <col min="9" max="10" width="3.83203125" customWidth="1"/>
    <col min="11" max="11" width="6.83203125" customWidth="1"/>
  </cols>
  <sheetData>
    <row r="1" spans="1:11" s="104" customFormat="1" ht="112" x14ac:dyDescent="0.15">
      <c r="A1" s="5" t="s">
        <v>21</v>
      </c>
      <c r="B1" s="3" t="s">
        <v>0</v>
      </c>
      <c r="C1" s="172" t="s">
        <v>229</v>
      </c>
      <c r="D1" s="172" t="s">
        <v>230</v>
      </c>
      <c r="E1" s="172" t="s">
        <v>231</v>
      </c>
      <c r="F1" s="172" t="s">
        <v>232</v>
      </c>
      <c r="G1" s="172" t="s">
        <v>233</v>
      </c>
      <c r="H1" s="172" t="s">
        <v>234</v>
      </c>
      <c r="I1" s="172" t="s">
        <v>235</v>
      </c>
      <c r="J1" s="172" t="s">
        <v>236</v>
      </c>
      <c r="K1" s="172" t="s">
        <v>240</v>
      </c>
    </row>
    <row r="2" spans="1:11" ht="15" customHeight="1" x14ac:dyDescent="0.15">
      <c r="A2">
        <v>1</v>
      </c>
      <c r="B2" s="171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ht="15" customHeight="1" x14ac:dyDescent="0.15">
      <c r="A3">
        <v>2</v>
      </c>
      <c r="B3" s="171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ht="15" customHeight="1" x14ac:dyDescent="0.15">
      <c r="A4">
        <v>3</v>
      </c>
      <c r="B4" s="171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ht="15" customHeight="1" x14ac:dyDescent="0.15">
      <c r="A5">
        <v>4</v>
      </c>
      <c r="B5" s="171" t="s">
        <v>196</v>
      </c>
      <c r="C5">
        <v>1.2999999999999999E-2</v>
      </c>
      <c r="D5">
        <v>1.6999999999999999E-3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1.47E-2</v>
      </c>
    </row>
    <row r="6" spans="1:11" ht="15" customHeight="1" x14ac:dyDescent="0.15">
      <c r="A6">
        <v>5</v>
      </c>
      <c r="B6" s="171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ht="15" customHeight="1" x14ac:dyDescent="0.15">
      <c r="A7">
        <v>6</v>
      </c>
      <c r="B7" s="171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ht="15" customHeight="1" x14ac:dyDescent="0.15">
      <c r="A8">
        <v>7</v>
      </c>
      <c r="B8" s="171" t="s">
        <v>199</v>
      </c>
      <c r="C8">
        <v>2E-3</v>
      </c>
      <c r="D8">
        <v>4.0000000000000001E-3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6.0000000000000001E-3</v>
      </c>
    </row>
    <row r="9" spans="1:11" ht="15" customHeight="1" x14ac:dyDescent="0.15">
      <c r="A9">
        <v>8</v>
      </c>
      <c r="B9" s="171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ht="15" customHeight="1" x14ac:dyDescent="0.15">
      <c r="A10">
        <v>9</v>
      </c>
      <c r="B10" s="171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ht="15" customHeight="1" x14ac:dyDescent="0.15">
      <c r="A11">
        <v>10</v>
      </c>
      <c r="B11" s="171" t="s">
        <v>202</v>
      </c>
      <c r="C11">
        <v>0.01</v>
      </c>
      <c r="D11">
        <v>1.4E-3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1.14E-2</v>
      </c>
    </row>
    <row r="12" spans="1:11" ht="15" customHeight="1" x14ac:dyDescent="0.15">
      <c r="A12">
        <v>11</v>
      </c>
      <c r="B12" s="171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ht="15" customHeight="1" x14ac:dyDescent="0.15">
      <c r="A13">
        <v>12</v>
      </c>
      <c r="B13" s="171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 ht="15" customHeight="1" x14ac:dyDescent="0.15">
      <c r="A14">
        <v>13</v>
      </c>
      <c r="B14" s="171" t="s">
        <v>205</v>
      </c>
      <c r="C14">
        <v>0.05</v>
      </c>
      <c r="D14">
        <v>6.0000000000000001E-3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5.6000000000000001E-2</v>
      </c>
    </row>
    <row r="15" spans="1:11" ht="15" customHeight="1" x14ac:dyDescent="0.15">
      <c r="A15">
        <v>14</v>
      </c>
      <c r="B15" s="171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ht="15" customHeight="1" x14ac:dyDescent="0.15">
      <c r="A16">
        <v>15</v>
      </c>
      <c r="B16" s="171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ht="15" customHeight="1" x14ac:dyDescent="0.15">
      <c r="A17">
        <v>16</v>
      </c>
      <c r="B17" s="171" t="s">
        <v>208</v>
      </c>
      <c r="C17">
        <v>0.12</v>
      </c>
      <c r="D17">
        <v>0.01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0.13</v>
      </c>
    </row>
    <row r="18" spans="1:11" ht="15" customHeight="1" x14ac:dyDescent="0.15">
      <c r="A18">
        <v>17</v>
      </c>
      <c r="B18" s="171" t="s">
        <v>209</v>
      </c>
      <c r="C18">
        <v>0.87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0.87</v>
      </c>
    </row>
    <row r="19" spans="1:11" ht="15" customHeight="1" x14ac:dyDescent="0.15">
      <c r="A19">
        <v>18</v>
      </c>
      <c r="B19" s="171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 ht="15" customHeight="1" x14ac:dyDescent="0.15">
      <c r="A20">
        <v>19</v>
      </c>
      <c r="B20" s="171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 ht="15" customHeight="1" x14ac:dyDescent="0.15">
      <c r="A21">
        <v>20</v>
      </c>
      <c r="B21" s="171" t="s">
        <v>212</v>
      </c>
      <c r="C21">
        <v>0</v>
      </c>
      <c r="D21">
        <v>0</v>
      </c>
      <c r="E21">
        <v>2.5</v>
      </c>
      <c r="F21">
        <v>0</v>
      </c>
      <c r="G21">
        <v>0</v>
      </c>
      <c r="H21">
        <v>0</v>
      </c>
      <c r="I21">
        <v>0</v>
      </c>
      <c r="J21">
        <v>0</v>
      </c>
      <c r="K21">
        <v>2.5</v>
      </c>
    </row>
    <row r="22" spans="1:11" ht="15" customHeight="1" x14ac:dyDescent="0.15">
      <c r="A22">
        <v>21</v>
      </c>
      <c r="B22" s="171" t="s">
        <v>213</v>
      </c>
      <c r="C22">
        <v>0</v>
      </c>
      <c r="D22">
        <v>0</v>
      </c>
      <c r="E22">
        <v>0</v>
      </c>
      <c r="F22">
        <v>0.2</v>
      </c>
      <c r="G22">
        <v>0</v>
      </c>
      <c r="H22">
        <v>0</v>
      </c>
      <c r="I22">
        <v>0</v>
      </c>
      <c r="J22">
        <v>0</v>
      </c>
      <c r="K22">
        <v>0.2</v>
      </c>
    </row>
    <row r="23" spans="1:11" ht="15" customHeight="1" x14ac:dyDescent="0.15">
      <c r="A23">
        <v>22</v>
      </c>
      <c r="B23" s="171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ht="15" customHeight="1" x14ac:dyDescent="0.15">
      <c r="A24">
        <v>23</v>
      </c>
      <c r="B24" s="171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ht="15" customHeight="1" x14ac:dyDescent="0.15">
      <c r="A25">
        <v>24</v>
      </c>
      <c r="B25" s="171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ht="15" customHeight="1" x14ac:dyDescent="0.15">
      <c r="A26">
        <v>25</v>
      </c>
      <c r="B26" s="171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ht="15" customHeight="1" x14ac:dyDescent="0.15">
      <c r="A27">
        <v>26</v>
      </c>
      <c r="B27" s="171" t="s">
        <v>166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0.2</v>
      </c>
      <c r="K27">
        <v>0.2</v>
      </c>
    </row>
    <row r="28" spans="1:11" ht="15" customHeight="1" x14ac:dyDescent="0.15">
      <c r="A28">
        <v>27</v>
      </c>
      <c r="B28" s="171" t="s">
        <v>218</v>
      </c>
      <c r="C28">
        <v>0</v>
      </c>
      <c r="D28">
        <v>0</v>
      </c>
      <c r="E28">
        <v>0</v>
      </c>
      <c r="F28">
        <v>0</v>
      </c>
      <c r="G28">
        <v>0.5</v>
      </c>
      <c r="H28">
        <v>0</v>
      </c>
      <c r="I28">
        <v>0</v>
      </c>
      <c r="J28">
        <v>0</v>
      </c>
      <c r="K28">
        <v>0.5</v>
      </c>
    </row>
    <row r="29" spans="1:11" ht="15" customHeight="1" x14ac:dyDescent="0.15">
      <c r="A29">
        <v>28</v>
      </c>
      <c r="B29" s="171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2</v>
      </c>
      <c r="I29">
        <v>0</v>
      </c>
      <c r="J29">
        <v>0</v>
      </c>
      <c r="K29">
        <v>2</v>
      </c>
    </row>
    <row r="30" spans="1:11" ht="15" customHeight="1" x14ac:dyDescent="0.15">
      <c r="A30">
        <v>29</v>
      </c>
      <c r="B30" s="171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ht="15" customHeight="1" x14ac:dyDescent="0.15">
      <c r="A31">
        <v>30</v>
      </c>
      <c r="B31" s="171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ht="15" customHeight="1" x14ac:dyDescent="0.15">
      <c r="A32">
        <v>31</v>
      </c>
      <c r="B32" s="171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ht="15" customHeight="1" x14ac:dyDescent="0.15">
      <c r="A33">
        <v>32</v>
      </c>
      <c r="B33" s="171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0.1</v>
      </c>
      <c r="J33">
        <v>0</v>
      </c>
      <c r="K33">
        <v>0.1</v>
      </c>
    </row>
    <row r="34" spans="1:11" ht="15" customHeight="1" x14ac:dyDescent="0.15">
      <c r="A34">
        <v>33</v>
      </c>
      <c r="B34" s="171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 ht="15" customHeight="1" x14ac:dyDescent="0.15">
      <c r="A35">
        <v>34</v>
      </c>
      <c r="B35" s="171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ht="15" customHeight="1" x14ac:dyDescent="0.15">
      <c r="A36">
        <v>35</v>
      </c>
      <c r="B36" s="171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 ht="15" customHeight="1" x14ac:dyDescent="0.15">
      <c r="A37">
        <v>36</v>
      </c>
      <c r="B37" s="171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ht="15" customHeight="1" x14ac:dyDescent="0.15">
      <c r="A38">
        <v>37</v>
      </c>
      <c r="B38" s="171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 ht="15" customHeight="1" x14ac:dyDescent="0.15"/>
    <row r="40" spans="1:11" ht="15" customHeight="1" x14ac:dyDescent="0.15"/>
    <row r="41" spans="1:11" ht="15" customHeight="1" x14ac:dyDescent="0.15"/>
    <row r="42" spans="1:11" ht="15" customHeight="1" x14ac:dyDescent="0.15"/>
    <row r="43" spans="1:11" ht="15" customHeight="1" x14ac:dyDescent="0.15"/>
    <row r="44" spans="1:11" ht="15" customHeight="1" x14ac:dyDescent="0.15"/>
    <row r="45" spans="1:11" ht="15" customHeight="1" x14ac:dyDescent="0.15"/>
    <row r="46" spans="1:11" ht="15" customHeight="1" x14ac:dyDescent="0.15"/>
    <row r="47" spans="1:11" ht="15" customHeight="1" x14ac:dyDescent="0.15"/>
    <row r="48" spans="1:11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K3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" bestFit="1" customWidth="1"/>
    <col min="3" max="5" width="2.33203125" bestFit="1" customWidth="1"/>
    <col min="6" max="11" width="2.33203125" customWidth="1"/>
  </cols>
  <sheetData>
    <row r="1" spans="1:11" s="104" customFormat="1" ht="112" x14ac:dyDescent="0.15">
      <c r="A1" s="5" t="s">
        <v>22</v>
      </c>
      <c r="B1" s="3" t="s">
        <v>0</v>
      </c>
      <c r="C1" s="174" t="s">
        <v>229</v>
      </c>
      <c r="D1" s="174" t="s">
        <v>230</v>
      </c>
      <c r="E1" s="174" t="s">
        <v>231</v>
      </c>
      <c r="F1" s="174" t="s">
        <v>232</v>
      </c>
      <c r="G1" s="174" t="s">
        <v>233</v>
      </c>
      <c r="H1" s="174" t="s">
        <v>234</v>
      </c>
      <c r="I1" s="174" t="s">
        <v>235</v>
      </c>
      <c r="J1" s="174" t="s">
        <v>236</v>
      </c>
      <c r="K1" s="174" t="s">
        <v>240</v>
      </c>
    </row>
    <row r="2" spans="1:11" x14ac:dyDescent="0.15">
      <c r="A2">
        <v>1</v>
      </c>
      <c r="B2" s="173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15">
      <c r="A3">
        <v>2</v>
      </c>
      <c r="B3" s="173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73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73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173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15">
      <c r="A7">
        <v>6</v>
      </c>
      <c r="B7" s="173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15">
      <c r="A8">
        <v>7</v>
      </c>
      <c r="B8" s="173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15">
      <c r="A9">
        <v>8</v>
      </c>
      <c r="B9" s="173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15">
      <c r="A10">
        <v>9</v>
      </c>
      <c r="B10" s="173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15">
      <c r="A11">
        <v>10</v>
      </c>
      <c r="B11" s="173" t="s">
        <v>202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15">
      <c r="A12">
        <v>11</v>
      </c>
      <c r="B12" s="173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15">
      <c r="A13">
        <v>12</v>
      </c>
      <c r="B13" s="173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 x14ac:dyDescent="0.15">
      <c r="A14">
        <v>13</v>
      </c>
      <c r="B14" s="173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15">
      <c r="A15">
        <v>14</v>
      </c>
      <c r="B15" s="173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x14ac:dyDescent="0.15">
      <c r="A16">
        <v>15</v>
      </c>
      <c r="B16" s="173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15">
      <c r="A17">
        <v>16</v>
      </c>
      <c r="B17" s="173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x14ac:dyDescent="0.15">
      <c r="A18">
        <v>17</v>
      </c>
      <c r="B18" s="173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 x14ac:dyDescent="0.15">
      <c r="A19">
        <v>18</v>
      </c>
      <c r="B19" s="173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 x14ac:dyDescent="0.15">
      <c r="A20">
        <v>19</v>
      </c>
      <c r="B20" s="173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 x14ac:dyDescent="0.15">
      <c r="A21">
        <v>20</v>
      </c>
      <c r="B21" s="173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15">
      <c r="A22">
        <v>21</v>
      </c>
      <c r="B22" s="173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15">
      <c r="A23">
        <v>22</v>
      </c>
      <c r="B23" s="173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x14ac:dyDescent="0.15">
      <c r="A24">
        <v>23</v>
      </c>
      <c r="B24" s="173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15">
      <c r="A25">
        <v>24</v>
      </c>
      <c r="B25" s="173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15">
      <c r="A26">
        <v>25</v>
      </c>
      <c r="B26" s="173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15">
      <c r="A27">
        <v>26</v>
      </c>
      <c r="B27" s="173" t="s">
        <v>166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15">
      <c r="A28">
        <v>27</v>
      </c>
      <c r="B28" s="173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15">
      <c r="A29">
        <v>28</v>
      </c>
      <c r="B29" s="173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15">
      <c r="A30">
        <v>29</v>
      </c>
      <c r="B30" s="173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x14ac:dyDescent="0.15">
      <c r="A31">
        <v>30</v>
      </c>
      <c r="B31" s="173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15">
      <c r="A32">
        <v>31</v>
      </c>
      <c r="B32" s="173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15">
      <c r="A33">
        <v>32</v>
      </c>
      <c r="B33" s="173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x14ac:dyDescent="0.15">
      <c r="A34">
        <v>33</v>
      </c>
      <c r="B34" s="173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 x14ac:dyDescent="0.15">
      <c r="A35">
        <v>34</v>
      </c>
      <c r="B35" s="173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15">
      <c r="A36">
        <v>35</v>
      </c>
      <c r="B36" s="173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 x14ac:dyDescent="0.15">
      <c r="A37">
        <v>36</v>
      </c>
      <c r="B37" s="173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x14ac:dyDescent="0.15">
      <c r="A38">
        <v>37</v>
      </c>
      <c r="B38" s="173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3" bestFit="1" customWidth="1"/>
    <col min="6" max="6" width="4.83203125" bestFit="1" customWidth="1"/>
    <col min="7" max="9" width="3.83203125" bestFit="1" customWidth="1"/>
    <col min="10" max="11" width="4.83203125" style="10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5" customFormat="1" ht="14" thickBot="1" x14ac:dyDescent="0.2">
      <c r="D1" s="106" t="s">
        <v>8</v>
      </c>
      <c r="E1" s="106" t="s">
        <v>0</v>
      </c>
      <c r="F1" s="107" t="s">
        <v>99</v>
      </c>
      <c r="G1" s="108" t="s">
        <v>84</v>
      </c>
      <c r="H1" s="108" t="s">
        <v>85</v>
      </c>
      <c r="I1" s="108" t="s">
        <v>86</v>
      </c>
      <c r="J1" s="108" t="s">
        <v>87</v>
      </c>
      <c r="K1" s="108" t="s">
        <v>88</v>
      </c>
      <c r="L1" s="109" t="s">
        <v>89</v>
      </c>
      <c r="M1" s="109" t="s">
        <v>93</v>
      </c>
      <c r="N1" s="109" t="s">
        <v>92</v>
      </c>
      <c r="O1" s="109" t="s">
        <v>90</v>
      </c>
      <c r="P1" s="109" t="s">
        <v>91</v>
      </c>
      <c r="Q1" s="110" t="s">
        <v>94</v>
      </c>
      <c r="R1" s="110" t="s">
        <v>95</v>
      </c>
      <c r="S1" s="110" t="s">
        <v>96</v>
      </c>
      <c r="T1" s="110" t="s">
        <v>97</v>
      </c>
      <c r="U1" s="110" t="s">
        <v>98</v>
      </c>
      <c r="V1" s="108" t="s">
        <v>100</v>
      </c>
      <c r="W1" s="108" t="s">
        <v>101</v>
      </c>
      <c r="X1" s="108" t="s">
        <v>102</v>
      </c>
      <c r="Y1" s="108" t="s">
        <v>134</v>
      </c>
      <c r="Z1" s="109" t="s">
        <v>103</v>
      </c>
      <c r="AA1" s="109" t="s">
        <v>104</v>
      </c>
      <c r="AB1" s="109" t="s">
        <v>105</v>
      </c>
      <c r="AC1" s="111" t="s">
        <v>135</v>
      </c>
      <c r="AD1" s="110" t="s">
        <v>106</v>
      </c>
      <c r="AE1" s="110" t="s">
        <v>107</v>
      </c>
      <c r="AF1" s="110" t="s">
        <v>108</v>
      </c>
      <c r="AG1" s="110" t="s">
        <v>136</v>
      </c>
      <c r="AH1" s="108" t="s">
        <v>109</v>
      </c>
      <c r="AI1" s="108" t="s">
        <v>111</v>
      </c>
      <c r="AJ1" s="108" t="s">
        <v>110</v>
      </c>
      <c r="AK1" s="109" t="s">
        <v>115</v>
      </c>
      <c r="AL1" s="109" t="s">
        <v>116</v>
      </c>
      <c r="AM1" s="109" t="s">
        <v>117</v>
      </c>
      <c r="AN1" s="110" t="s">
        <v>112</v>
      </c>
      <c r="AO1" s="110" t="s">
        <v>113</v>
      </c>
      <c r="AP1" s="110" t="s">
        <v>114</v>
      </c>
    </row>
    <row r="2" spans="1:42" x14ac:dyDescent="0.15">
      <c r="A2" s="112" t="s">
        <v>74</v>
      </c>
      <c r="B2" s="113">
        <v>1</v>
      </c>
      <c r="D2">
        <v>1</v>
      </c>
      <c r="E2" s="175" t="s">
        <v>193</v>
      </c>
      <c r="F2">
        <v>0.98</v>
      </c>
      <c r="G2">
        <v>0.8</v>
      </c>
      <c r="H2">
        <v>0.8</v>
      </c>
      <c r="I2">
        <v>0.8</v>
      </c>
      <c r="J2" s="103">
        <v>0.25</v>
      </c>
      <c r="K2" s="103">
        <v>0.05</v>
      </c>
    </row>
    <row r="3" spans="1:42" x14ac:dyDescent="0.15">
      <c r="A3" s="112" t="s">
        <v>75</v>
      </c>
      <c r="B3" s="114">
        <v>1</v>
      </c>
      <c r="D3">
        <v>2</v>
      </c>
      <c r="E3" s="175" t="s">
        <v>194</v>
      </c>
      <c r="F3">
        <v>0.98</v>
      </c>
      <c r="G3">
        <v>0.8</v>
      </c>
      <c r="H3">
        <v>0.8</v>
      </c>
      <c r="I3">
        <v>0.8</v>
      </c>
      <c r="J3" s="103">
        <v>0.25</v>
      </c>
      <c r="K3" s="103">
        <v>0.05</v>
      </c>
    </row>
    <row r="4" spans="1:42" x14ac:dyDescent="0.15">
      <c r="A4" s="112" t="s">
        <v>76</v>
      </c>
      <c r="B4" s="114">
        <v>1</v>
      </c>
      <c r="D4">
        <v>3</v>
      </c>
      <c r="E4" s="175" t="s">
        <v>195</v>
      </c>
      <c r="F4">
        <v>0.98</v>
      </c>
      <c r="G4">
        <v>0.8</v>
      </c>
      <c r="H4">
        <v>0.8</v>
      </c>
      <c r="I4">
        <v>0.8</v>
      </c>
      <c r="J4" s="103">
        <v>0.25</v>
      </c>
      <c r="K4" s="103">
        <v>0.05</v>
      </c>
    </row>
    <row r="5" spans="1:42" x14ac:dyDescent="0.15">
      <c r="A5" s="112" t="s">
        <v>77</v>
      </c>
      <c r="B5" s="114">
        <v>1</v>
      </c>
      <c r="D5">
        <v>4</v>
      </c>
      <c r="E5" s="175" t="s">
        <v>196</v>
      </c>
      <c r="F5">
        <v>0.98</v>
      </c>
      <c r="G5">
        <v>0.8</v>
      </c>
      <c r="H5">
        <v>0.8</v>
      </c>
      <c r="I5">
        <v>0.8</v>
      </c>
      <c r="J5" s="103">
        <v>0.25</v>
      </c>
      <c r="K5" s="103">
        <v>0.05</v>
      </c>
    </row>
    <row r="6" spans="1:42" x14ac:dyDescent="0.15">
      <c r="A6" s="112" t="s">
        <v>78</v>
      </c>
      <c r="B6" s="114">
        <v>1</v>
      </c>
      <c r="D6">
        <v>5</v>
      </c>
      <c r="E6" s="175" t="s">
        <v>197</v>
      </c>
      <c r="F6">
        <v>0.98</v>
      </c>
      <c r="G6">
        <v>0.8</v>
      </c>
      <c r="H6">
        <v>0.8</v>
      </c>
      <c r="I6">
        <v>0.8</v>
      </c>
      <c r="J6" s="103">
        <v>0.25</v>
      </c>
      <c r="K6" s="103">
        <v>0.05</v>
      </c>
    </row>
    <row r="7" spans="1:42" x14ac:dyDescent="0.15">
      <c r="A7" s="112" t="s">
        <v>79</v>
      </c>
      <c r="B7" s="114">
        <v>1</v>
      </c>
      <c r="D7">
        <v>6</v>
      </c>
      <c r="E7" s="175" t="s">
        <v>198</v>
      </c>
      <c r="F7">
        <v>0.98</v>
      </c>
      <c r="G7">
        <v>0.8</v>
      </c>
      <c r="H7">
        <v>0.8</v>
      </c>
      <c r="I7">
        <v>0.8</v>
      </c>
      <c r="J7" s="103">
        <v>0.25</v>
      </c>
      <c r="K7" s="103">
        <v>0.05</v>
      </c>
    </row>
    <row r="8" spans="1:42" x14ac:dyDescent="0.15">
      <c r="A8" s="112" t="s">
        <v>80</v>
      </c>
      <c r="B8" s="114">
        <v>1</v>
      </c>
      <c r="D8">
        <v>7</v>
      </c>
      <c r="E8" s="175" t="s">
        <v>199</v>
      </c>
      <c r="F8">
        <v>0.98</v>
      </c>
      <c r="G8">
        <v>0.8</v>
      </c>
      <c r="H8">
        <v>0.8</v>
      </c>
      <c r="I8">
        <v>0.8</v>
      </c>
      <c r="J8" s="103">
        <v>0.25</v>
      </c>
      <c r="K8" s="103">
        <v>0.05</v>
      </c>
    </row>
    <row r="9" spans="1:42" x14ac:dyDescent="0.15">
      <c r="A9" s="112" t="s">
        <v>81</v>
      </c>
      <c r="B9" s="114">
        <v>0.1</v>
      </c>
      <c r="C9" s="58" t="s">
        <v>150</v>
      </c>
      <c r="D9">
        <v>8</v>
      </c>
      <c r="E9" s="175" t="s">
        <v>200</v>
      </c>
      <c r="F9">
        <v>0.98</v>
      </c>
      <c r="G9">
        <v>0.8</v>
      </c>
      <c r="H9">
        <v>0.8</v>
      </c>
      <c r="I9">
        <v>0.8</v>
      </c>
      <c r="J9" s="103">
        <v>0.25</v>
      </c>
      <c r="K9" s="103">
        <v>0.05</v>
      </c>
    </row>
    <row r="10" spans="1:42" ht="14" thickBot="1" x14ac:dyDescent="0.2">
      <c r="A10" s="112" t="s">
        <v>149</v>
      </c>
      <c r="B10" s="115">
        <f>1/3</f>
        <v>0.33333333333333331</v>
      </c>
      <c r="C10" s="58" t="s">
        <v>150</v>
      </c>
      <c r="D10">
        <v>9</v>
      </c>
      <c r="E10" s="175" t="s">
        <v>201</v>
      </c>
      <c r="F10">
        <v>0.98</v>
      </c>
      <c r="G10">
        <v>0.8</v>
      </c>
      <c r="H10">
        <v>0.8</v>
      </c>
      <c r="I10">
        <v>0.8</v>
      </c>
      <c r="J10" s="103">
        <v>0.25</v>
      </c>
      <c r="K10" s="103">
        <v>0.05</v>
      </c>
    </row>
    <row r="11" spans="1:42" x14ac:dyDescent="0.15">
      <c r="D11">
        <v>10</v>
      </c>
      <c r="E11" s="175" t="s">
        <v>202</v>
      </c>
      <c r="F11">
        <v>0.98</v>
      </c>
      <c r="G11">
        <v>0.8</v>
      </c>
      <c r="H11">
        <v>0.8</v>
      </c>
      <c r="I11">
        <v>0.8</v>
      </c>
      <c r="J11" s="103">
        <v>0.25</v>
      </c>
      <c r="K11" s="103">
        <v>0.05</v>
      </c>
    </row>
    <row r="12" spans="1:42" x14ac:dyDescent="0.15">
      <c r="D12">
        <v>11</v>
      </c>
      <c r="E12" s="175" t="s">
        <v>203</v>
      </c>
      <c r="F12">
        <v>0.98</v>
      </c>
      <c r="G12">
        <v>0.8</v>
      </c>
      <c r="H12">
        <v>0.8</v>
      </c>
      <c r="I12">
        <v>0.8</v>
      </c>
      <c r="J12" s="103">
        <v>0.25</v>
      </c>
      <c r="K12" s="103">
        <v>0.05</v>
      </c>
    </row>
    <row r="13" spans="1:42" x14ac:dyDescent="0.15">
      <c r="D13">
        <v>12</v>
      </c>
      <c r="E13" s="175" t="s">
        <v>204</v>
      </c>
      <c r="F13">
        <v>0.98</v>
      </c>
      <c r="G13">
        <v>0.8</v>
      </c>
      <c r="H13">
        <v>0.8</v>
      </c>
      <c r="I13">
        <v>0.8</v>
      </c>
      <c r="J13" s="103">
        <v>0.25</v>
      </c>
      <c r="K13" s="103">
        <v>0.05</v>
      </c>
    </row>
    <row r="14" spans="1:42" x14ac:dyDescent="0.15">
      <c r="D14">
        <v>13</v>
      </c>
      <c r="E14" s="175" t="s">
        <v>205</v>
      </c>
      <c r="F14">
        <v>0.98</v>
      </c>
      <c r="G14">
        <v>0.8</v>
      </c>
      <c r="H14">
        <v>0.8</v>
      </c>
      <c r="I14">
        <v>0.8</v>
      </c>
      <c r="J14" s="103">
        <v>0.25</v>
      </c>
      <c r="K14" s="103">
        <v>0.05</v>
      </c>
    </row>
    <row r="15" spans="1:42" x14ac:dyDescent="0.15">
      <c r="D15">
        <v>14</v>
      </c>
      <c r="E15" s="175" t="s">
        <v>206</v>
      </c>
      <c r="F15">
        <v>0.98</v>
      </c>
      <c r="G15">
        <v>0.8</v>
      </c>
      <c r="H15">
        <v>0.8</v>
      </c>
      <c r="I15">
        <v>0.8</v>
      </c>
      <c r="J15" s="103">
        <v>0.25</v>
      </c>
      <c r="K15" s="103">
        <v>0.05</v>
      </c>
    </row>
    <row r="16" spans="1:42" x14ac:dyDescent="0.15">
      <c r="D16">
        <v>15</v>
      </c>
      <c r="E16" s="175" t="s">
        <v>207</v>
      </c>
      <c r="F16">
        <v>0.98</v>
      </c>
      <c r="G16">
        <v>0.8</v>
      </c>
      <c r="H16">
        <v>0.8</v>
      </c>
      <c r="I16">
        <v>0.8</v>
      </c>
      <c r="J16" s="103">
        <v>0.25</v>
      </c>
      <c r="K16" s="103">
        <v>0.05</v>
      </c>
    </row>
    <row r="17" spans="4:33" ht="15" customHeight="1" x14ac:dyDescent="0.15">
      <c r="D17">
        <v>16</v>
      </c>
      <c r="E17" s="175" t="s">
        <v>208</v>
      </c>
      <c r="F17">
        <v>0.98</v>
      </c>
      <c r="G17">
        <v>0.8</v>
      </c>
      <c r="H17">
        <v>0.8</v>
      </c>
      <c r="I17">
        <v>0.8</v>
      </c>
      <c r="J17" s="103">
        <v>0.25</v>
      </c>
      <c r="K17" s="103">
        <v>0.05</v>
      </c>
    </row>
    <row r="18" spans="4:33" ht="15" customHeight="1" x14ac:dyDescent="0.15">
      <c r="D18">
        <v>17</v>
      </c>
      <c r="E18" s="175" t="s">
        <v>209</v>
      </c>
      <c r="F18">
        <v>0.98</v>
      </c>
      <c r="G18">
        <v>0.8</v>
      </c>
      <c r="H18">
        <v>0.8</v>
      </c>
      <c r="I18">
        <v>0.8</v>
      </c>
      <c r="J18" s="103">
        <v>0.25</v>
      </c>
      <c r="K18" s="103">
        <v>0.05</v>
      </c>
    </row>
    <row r="19" spans="4:33" ht="15" customHeight="1" x14ac:dyDescent="0.15">
      <c r="D19">
        <v>18</v>
      </c>
      <c r="E19" s="175" t="s">
        <v>210</v>
      </c>
      <c r="F19">
        <v>0.98</v>
      </c>
      <c r="G19">
        <v>0.8</v>
      </c>
      <c r="H19">
        <v>0.8</v>
      </c>
      <c r="I19">
        <v>0.8</v>
      </c>
      <c r="J19" s="103">
        <v>0.25</v>
      </c>
      <c r="K19" s="103">
        <v>0.05</v>
      </c>
    </row>
    <row r="20" spans="4:33" ht="15" customHeight="1" x14ac:dyDescent="0.15">
      <c r="D20">
        <v>19</v>
      </c>
      <c r="E20" s="175" t="s">
        <v>211</v>
      </c>
      <c r="F20">
        <v>0.98</v>
      </c>
      <c r="G20">
        <v>0.8</v>
      </c>
      <c r="H20">
        <v>0.8</v>
      </c>
      <c r="I20">
        <v>0.8</v>
      </c>
      <c r="J20" s="103">
        <v>0.25</v>
      </c>
      <c r="K20" s="103">
        <v>0.05</v>
      </c>
    </row>
    <row r="21" spans="4:33" ht="15" customHeight="1" x14ac:dyDescent="0.15">
      <c r="D21">
        <v>20</v>
      </c>
      <c r="E21" s="175" t="s">
        <v>212</v>
      </c>
      <c r="F21">
        <v>0.98</v>
      </c>
      <c r="G21">
        <v>0.8</v>
      </c>
      <c r="H21">
        <v>0.8</v>
      </c>
      <c r="I21">
        <v>0.8</v>
      </c>
      <c r="J21" s="103">
        <v>0.25</v>
      </c>
      <c r="K21" s="103">
        <v>0.05</v>
      </c>
    </row>
    <row r="22" spans="4:33" ht="15" customHeight="1" x14ac:dyDescent="0.15">
      <c r="D22">
        <v>21</v>
      </c>
      <c r="E22" s="175" t="s">
        <v>213</v>
      </c>
      <c r="F22">
        <v>0.98</v>
      </c>
      <c r="G22">
        <v>0.8</v>
      </c>
      <c r="H22">
        <v>0.8</v>
      </c>
      <c r="I22">
        <v>0.8</v>
      </c>
      <c r="J22" s="103">
        <v>0.25</v>
      </c>
      <c r="K22" s="103">
        <v>0.05</v>
      </c>
    </row>
    <row r="23" spans="4:33" ht="15" customHeight="1" x14ac:dyDescent="0.15">
      <c r="D23">
        <v>22</v>
      </c>
      <c r="E23" s="175" t="s">
        <v>214</v>
      </c>
      <c r="F23">
        <v>0.98</v>
      </c>
      <c r="G23">
        <v>0.8</v>
      </c>
      <c r="H23">
        <v>0.8</v>
      </c>
      <c r="I23">
        <v>0.8</v>
      </c>
      <c r="J23" s="103">
        <v>0.25</v>
      </c>
      <c r="K23" s="103">
        <v>0.05</v>
      </c>
    </row>
    <row r="24" spans="4:33" ht="15" customHeight="1" x14ac:dyDescent="0.15">
      <c r="D24">
        <v>23</v>
      </c>
      <c r="E24" s="175" t="s">
        <v>215</v>
      </c>
      <c r="F24">
        <v>0.98</v>
      </c>
      <c r="G24">
        <v>0.8</v>
      </c>
      <c r="H24">
        <v>0.8</v>
      </c>
      <c r="I24">
        <v>0.8</v>
      </c>
      <c r="J24" s="103">
        <v>0.25</v>
      </c>
      <c r="K24" s="103">
        <v>0.05</v>
      </c>
    </row>
    <row r="25" spans="4:33" ht="15" customHeight="1" x14ac:dyDescent="0.15">
      <c r="D25">
        <v>24</v>
      </c>
      <c r="E25" s="175" t="s">
        <v>216</v>
      </c>
      <c r="F25">
        <v>0.98</v>
      </c>
      <c r="G25">
        <v>0.8</v>
      </c>
      <c r="H25">
        <v>0.8</v>
      </c>
      <c r="I25">
        <v>0.8</v>
      </c>
      <c r="J25" s="103">
        <v>0.25</v>
      </c>
      <c r="K25" s="103">
        <v>0.05</v>
      </c>
    </row>
    <row r="26" spans="4:33" ht="15" customHeight="1" x14ac:dyDescent="0.15">
      <c r="D26">
        <v>25</v>
      </c>
      <c r="E26" s="175" t="s">
        <v>217</v>
      </c>
      <c r="F26">
        <v>0.98</v>
      </c>
      <c r="G26">
        <v>0.8</v>
      </c>
      <c r="H26">
        <v>0.8</v>
      </c>
      <c r="I26">
        <v>0.8</v>
      </c>
      <c r="J26" s="103">
        <v>0.25</v>
      </c>
      <c r="K26" s="103">
        <v>0.05</v>
      </c>
    </row>
    <row r="27" spans="4:33" ht="15" customHeight="1" x14ac:dyDescent="0.15">
      <c r="D27">
        <v>26</v>
      </c>
      <c r="E27" s="175" t="s">
        <v>166</v>
      </c>
      <c r="F27">
        <v>0.98</v>
      </c>
      <c r="G27">
        <v>0.8</v>
      </c>
      <c r="H27">
        <v>0.8</v>
      </c>
      <c r="I27">
        <v>0.8</v>
      </c>
      <c r="J27" s="103">
        <v>0.25</v>
      </c>
      <c r="K27" s="103">
        <v>0.05</v>
      </c>
    </row>
    <row r="28" spans="4:33" ht="15" customHeight="1" x14ac:dyDescent="0.15">
      <c r="D28">
        <v>27</v>
      </c>
      <c r="E28" s="175" t="s">
        <v>218</v>
      </c>
      <c r="F28">
        <v>0.98</v>
      </c>
      <c r="G28">
        <v>0.8</v>
      </c>
      <c r="H28">
        <v>0.8</v>
      </c>
      <c r="I28">
        <v>0.8</v>
      </c>
      <c r="J28" s="103">
        <v>0.25</v>
      </c>
      <c r="K28" s="103">
        <v>0.05</v>
      </c>
    </row>
    <row r="29" spans="4:33" ht="15" customHeight="1" x14ac:dyDescent="0.15">
      <c r="D29">
        <v>28</v>
      </c>
      <c r="E29" s="175" t="s">
        <v>219</v>
      </c>
      <c r="F29">
        <v>0.98</v>
      </c>
      <c r="G29">
        <v>0.8</v>
      </c>
      <c r="H29">
        <v>0.8</v>
      </c>
      <c r="I29">
        <v>0.8</v>
      </c>
      <c r="J29" s="103">
        <v>0.25</v>
      </c>
      <c r="K29" s="103">
        <v>0.05</v>
      </c>
      <c r="Y29"/>
      <c r="AC29"/>
      <c r="AG29"/>
    </row>
    <row r="30" spans="4:33" ht="15" customHeight="1" x14ac:dyDescent="0.15">
      <c r="D30">
        <v>29</v>
      </c>
      <c r="E30" s="175" t="s">
        <v>220</v>
      </c>
      <c r="F30">
        <v>0.98</v>
      </c>
      <c r="G30">
        <v>0.8</v>
      </c>
      <c r="H30">
        <v>0.8</v>
      </c>
      <c r="I30">
        <v>0.8</v>
      </c>
      <c r="J30" s="103">
        <v>0.25</v>
      </c>
      <c r="K30" s="103">
        <v>0.05</v>
      </c>
      <c r="Y30"/>
      <c r="AC30"/>
      <c r="AG30"/>
    </row>
    <row r="31" spans="4:33" ht="15" customHeight="1" x14ac:dyDescent="0.15">
      <c r="D31">
        <v>30</v>
      </c>
      <c r="E31" s="175" t="s">
        <v>221</v>
      </c>
      <c r="F31">
        <v>0.98</v>
      </c>
      <c r="G31">
        <v>0.8</v>
      </c>
      <c r="H31">
        <v>0.8</v>
      </c>
      <c r="I31">
        <v>0.8</v>
      </c>
      <c r="J31" s="103">
        <v>0.25</v>
      </c>
      <c r="K31" s="103">
        <v>0.05</v>
      </c>
      <c r="Y31"/>
      <c r="AC31"/>
      <c r="AG31"/>
    </row>
    <row r="32" spans="4:33" ht="15" customHeight="1" x14ac:dyDescent="0.15">
      <c r="D32">
        <v>31</v>
      </c>
      <c r="E32" s="175" t="s">
        <v>222</v>
      </c>
      <c r="F32">
        <v>0.98</v>
      </c>
      <c r="G32">
        <v>0.8</v>
      </c>
      <c r="H32">
        <v>0.8</v>
      </c>
      <c r="I32">
        <v>0.8</v>
      </c>
      <c r="J32" s="103">
        <v>0.25</v>
      </c>
      <c r="K32" s="103">
        <v>0.05</v>
      </c>
      <c r="Y32"/>
      <c r="AC32"/>
      <c r="AG32"/>
    </row>
    <row r="33" spans="4:33" ht="15" customHeight="1" x14ac:dyDescent="0.15">
      <c r="D33">
        <v>32</v>
      </c>
      <c r="E33" s="175" t="s">
        <v>223</v>
      </c>
      <c r="F33">
        <v>0.98</v>
      </c>
      <c r="G33">
        <v>0.8</v>
      </c>
      <c r="H33">
        <v>0.8</v>
      </c>
      <c r="I33">
        <v>0.8</v>
      </c>
      <c r="J33" s="103">
        <v>0.25</v>
      </c>
      <c r="K33" s="103">
        <v>0.05</v>
      </c>
      <c r="Y33"/>
      <c r="AC33"/>
      <c r="AG33"/>
    </row>
    <row r="34" spans="4:33" ht="15" customHeight="1" x14ac:dyDescent="0.15">
      <c r="D34">
        <v>33</v>
      </c>
      <c r="E34" s="175" t="s">
        <v>224</v>
      </c>
      <c r="F34">
        <v>0.98</v>
      </c>
      <c r="G34">
        <v>0.8</v>
      </c>
      <c r="H34">
        <v>0.8</v>
      </c>
      <c r="I34">
        <v>0.8</v>
      </c>
      <c r="J34" s="103">
        <v>0.25</v>
      </c>
      <c r="K34" s="103">
        <v>0.05</v>
      </c>
      <c r="Y34"/>
      <c r="AC34"/>
      <c r="AG34"/>
    </row>
    <row r="35" spans="4:33" ht="15" customHeight="1" x14ac:dyDescent="0.15">
      <c r="D35">
        <v>34</v>
      </c>
      <c r="E35" s="175" t="s">
        <v>225</v>
      </c>
      <c r="F35">
        <v>0.98</v>
      </c>
      <c r="G35">
        <v>0.8</v>
      </c>
      <c r="H35">
        <v>0.8</v>
      </c>
      <c r="I35">
        <v>0</v>
      </c>
      <c r="J35" s="103">
        <v>0</v>
      </c>
      <c r="K35" s="103">
        <v>0</v>
      </c>
      <c r="Y35"/>
      <c r="AC35"/>
      <c r="AG35"/>
    </row>
    <row r="36" spans="4:33" ht="15" customHeight="1" x14ac:dyDescent="0.15">
      <c r="D36">
        <v>35</v>
      </c>
      <c r="E36" s="175" t="s">
        <v>226</v>
      </c>
      <c r="F36">
        <v>0.98</v>
      </c>
      <c r="G36">
        <v>0.8</v>
      </c>
      <c r="H36">
        <v>0.8</v>
      </c>
      <c r="I36">
        <v>0</v>
      </c>
      <c r="J36" s="103">
        <v>0</v>
      </c>
      <c r="K36" s="103">
        <v>0</v>
      </c>
      <c r="Y36"/>
      <c r="AC36"/>
      <c r="AG36"/>
    </row>
    <row r="37" spans="4:33" ht="15" customHeight="1" x14ac:dyDescent="0.15">
      <c r="D37">
        <v>36</v>
      </c>
      <c r="E37" s="175" t="s">
        <v>227</v>
      </c>
      <c r="F37">
        <v>0.98</v>
      </c>
      <c r="G37">
        <v>0.8</v>
      </c>
      <c r="H37">
        <v>0</v>
      </c>
      <c r="I37">
        <v>0</v>
      </c>
      <c r="J37" s="103">
        <v>0</v>
      </c>
      <c r="K37" s="103">
        <v>0</v>
      </c>
      <c r="Y37"/>
      <c r="AC37"/>
      <c r="AG37"/>
    </row>
    <row r="38" spans="4:33" ht="15" customHeight="1" x14ac:dyDescent="0.15">
      <c r="D38">
        <v>37</v>
      </c>
      <c r="E38" s="175" t="s">
        <v>228</v>
      </c>
      <c r="F38">
        <v>0.98</v>
      </c>
      <c r="G38">
        <v>0.8</v>
      </c>
      <c r="H38">
        <v>0</v>
      </c>
      <c r="I38">
        <v>0</v>
      </c>
      <c r="J38" s="103">
        <v>0</v>
      </c>
      <c r="K38" s="103">
        <v>0</v>
      </c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L39"/>
  <sheetViews>
    <sheetView workbookViewId="0">
      <selection activeCell="A3" sqref="A3"/>
    </sheetView>
  </sheetViews>
  <sheetFormatPr baseColWidth="10" defaultRowHeight="13" x14ac:dyDescent="0.15"/>
  <cols>
    <col min="1" max="1" width="23" style="101" bestFit="1" customWidth="1"/>
    <col min="2" max="34" width="3.83203125" style="101" customWidth="1"/>
    <col min="35" max="38" width="2.33203125" style="101" customWidth="1"/>
    <col min="39" max="16384" width="10.83203125" style="101"/>
  </cols>
  <sheetData>
    <row r="1" spans="1:38" x14ac:dyDescent="0.15">
      <c r="A1" s="60" t="s">
        <v>118</v>
      </c>
      <c r="B1" s="177" t="s">
        <v>193</v>
      </c>
      <c r="C1" s="177" t="s">
        <v>194</v>
      </c>
      <c r="D1" s="177" t="s">
        <v>195</v>
      </c>
      <c r="E1" s="177" t="s">
        <v>196</v>
      </c>
      <c r="F1" s="177" t="s">
        <v>197</v>
      </c>
      <c r="G1" s="177" t="s">
        <v>198</v>
      </c>
      <c r="H1" s="177" t="s">
        <v>199</v>
      </c>
      <c r="I1" s="177" t="s">
        <v>200</v>
      </c>
      <c r="J1" s="177" t="s">
        <v>201</v>
      </c>
      <c r="K1" s="177" t="s">
        <v>202</v>
      </c>
      <c r="L1" s="177" t="s">
        <v>203</v>
      </c>
      <c r="M1" s="177" t="s">
        <v>204</v>
      </c>
      <c r="N1" s="177" t="s">
        <v>205</v>
      </c>
      <c r="O1" s="177" t="s">
        <v>206</v>
      </c>
      <c r="P1" s="177" t="s">
        <v>207</v>
      </c>
      <c r="Q1" s="177" t="s">
        <v>208</v>
      </c>
      <c r="R1" s="177" t="s">
        <v>209</v>
      </c>
      <c r="S1" s="177" t="s">
        <v>210</v>
      </c>
      <c r="T1" s="177" t="s">
        <v>211</v>
      </c>
      <c r="U1" s="177" t="s">
        <v>212</v>
      </c>
      <c r="V1" s="177" t="s">
        <v>213</v>
      </c>
      <c r="W1" s="177" t="s">
        <v>214</v>
      </c>
      <c r="X1" s="177" t="s">
        <v>215</v>
      </c>
      <c r="Y1" s="177" t="s">
        <v>216</v>
      </c>
      <c r="Z1" s="177" t="s">
        <v>217</v>
      </c>
      <c r="AA1" s="177" t="s">
        <v>166</v>
      </c>
      <c r="AB1" s="177" t="s">
        <v>218</v>
      </c>
      <c r="AC1" s="177" t="s">
        <v>219</v>
      </c>
      <c r="AD1" s="177" t="s">
        <v>220</v>
      </c>
      <c r="AE1" s="177" t="s">
        <v>221</v>
      </c>
      <c r="AF1" s="177" t="s">
        <v>222</v>
      </c>
      <c r="AG1" s="177" t="s">
        <v>223</v>
      </c>
      <c r="AH1" s="177" t="s">
        <v>224</v>
      </c>
      <c r="AI1" s="177" t="s">
        <v>225</v>
      </c>
      <c r="AJ1" s="177" t="s">
        <v>226</v>
      </c>
      <c r="AK1" s="177" t="s">
        <v>227</v>
      </c>
      <c r="AL1" s="177" t="s">
        <v>228</v>
      </c>
    </row>
    <row r="2" spans="1:38" customFormat="1" x14ac:dyDescent="0.15">
      <c r="A2" s="176" t="s">
        <v>193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  <c r="W2" s="101">
        <v>0</v>
      </c>
      <c r="X2" s="101">
        <v>0</v>
      </c>
      <c r="Y2" s="101">
        <v>0</v>
      </c>
      <c r="Z2" s="101">
        <v>0</v>
      </c>
      <c r="AA2" s="101">
        <v>0</v>
      </c>
      <c r="AB2" s="101">
        <v>0</v>
      </c>
      <c r="AC2" s="101">
        <v>0</v>
      </c>
      <c r="AD2" s="101">
        <v>0</v>
      </c>
      <c r="AE2" s="101">
        <v>0</v>
      </c>
      <c r="AF2" s="101">
        <v>0</v>
      </c>
      <c r="AG2" s="101">
        <v>0</v>
      </c>
      <c r="AH2" s="101">
        <v>0</v>
      </c>
      <c r="AI2" s="101">
        <v>0</v>
      </c>
      <c r="AJ2" s="101">
        <v>0</v>
      </c>
      <c r="AK2" s="101">
        <v>0</v>
      </c>
      <c r="AL2" s="101">
        <v>0</v>
      </c>
    </row>
    <row r="3" spans="1:38" customFormat="1" x14ac:dyDescent="0.15">
      <c r="A3" s="176" t="s">
        <v>194</v>
      </c>
      <c r="B3" s="101">
        <v>0</v>
      </c>
      <c r="C3" s="101">
        <v>0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  <c r="W3" s="101">
        <v>0</v>
      </c>
      <c r="X3" s="101">
        <v>0</v>
      </c>
      <c r="Y3" s="101">
        <v>0</v>
      </c>
      <c r="Z3" s="101">
        <v>0</v>
      </c>
      <c r="AA3" s="101">
        <v>0</v>
      </c>
      <c r="AB3" s="101">
        <v>0</v>
      </c>
      <c r="AC3" s="101">
        <v>0</v>
      </c>
      <c r="AD3" s="101">
        <v>0</v>
      </c>
      <c r="AE3" s="101">
        <v>0</v>
      </c>
      <c r="AF3" s="101">
        <v>0</v>
      </c>
      <c r="AG3" s="101">
        <v>0</v>
      </c>
      <c r="AH3" s="101">
        <v>0</v>
      </c>
      <c r="AI3" s="101">
        <v>0</v>
      </c>
      <c r="AJ3" s="101">
        <v>0</v>
      </c>
      <c r="AK3" s="101">
        <v>0</v>
      </c>
      <c r="AL3" s="101">
        <v>0</v>
      </c>
    </row>
    <row r="4" spans="1:38" customFormat="1" x14ac:dyDescent="0.15">
      <c r="A4" s="176" t="s">
        <v>195</v>
      </c>
      <c r="B4" s="101">
        <v>0</v>
      </c>
      <c r="C4" s="101">
        <v>0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  <c r="W4" s="101">
        <v>0</v>
      </c>
      <c r="X4" s="101">
        <v>0</v>
      </c>
      <c r="Y4" s="101">
        <v>0</v>
      </c>
      <c r="Z4" s="101">
        <v>0</v>
      </c>
      <c r="AA4" s="101">
        <v>0</v>
      </c>
      <c r="AB4" s="101">
        <v>0</v>
      </c>
      <c r="AC4" s="101">
        <v>0</v>
      </c>
      <c r="AD4" s="101">
        <v>0</v>
      </c>
      <c r="AE4" s="101">
        <v>0</v>
      </c>
      <c r="AF4" s="101">
        <v>0</v>
      </c>
      <c r="AG4" s="101">
        <v>0</v>
      </c>
      <c r="AH4" s="101">
        <v>0</v>
      </c>
      <c r="AI4" s="101">
        <v>0</v>
      </c>
      <c r="AJ4" s="101">
        <v>0</v>
      </c>
      <c r="AK4" s="101">
        <v>0</v>
      </c>
      <c r="AL4" s="101">
        <v>0</v>
      </c>
    </row>
    <row r="5" spans="1:38" customFormat="1" x14ac:dyDescent="0.15">
      <c r="A5" s="176" t="s">
        <v>196</v>
      </c>
      <c r="B5" s="101">
        <v>0</v>
      </c>
      <c r="C5" s="101">
        <v>0</v>
      </c>
      <c r="D5" s="101">
        <v>0</v>
      </c>
      <c r="E5" s="101">
        <v>0</v>
      </c>
      <c r="F5" s="101">
        <v>0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  <c r="W5" s="101">
        <v>0</v>
      </c>
      <c r="X5" s="101">
        <v>0</v>
      </c>
      <c r="Y5" s="101">
        <v>0</v>
      </c>
      <c r="Z5" s="101">
        <v>0</v>
      </c>
      <c r="AA5" s="101">
        <v>0</v>
      </c>
      <c r="AB5" s="101">
        <v>0</v>
      </c>
      <c r="AC5" s="101">
        <v>0</v>
      </c>
      <c r="AD5" s="101">
        <v>0</v>
      </c>
      <c r="AE5" s="101">
        <v>0</v>
      </c>
      <c r="AF5" s="101">
        <v>0</v>
      </c>
      <c r="AG5" s="101">
        <v>0</v>
      </c>
      <c r="AH5" s="101">
        <v>0</v>
      </c>
      <c r="AI5" s="101">
        <v>0</v>
      </c>
      <c r="AJ5" s="101">
        <v>0</v>
      </c>
      <c r="AK5" s="101">
        <v>0</v>
      </c>
      <c r="AL5" s="101">
        <v>0</v>
      </c>
    </row>
    <row r="6" spans="1:38" customFormat="1" x14ac:dyDescent="0.15">
      <c r="A6" s="176" t="s">
        <v>197</v>
      </c>
      <c r="B6" s="101">
        <v>0</v>
      </c>
      <c r="C6" s="101">
        <v>0</v>
      </c>
      <c r="D6" s="101">
        <v>0</v>
      </c>
      <c r="E6" s="101">
        <v>0</v>
      </c>
      <c r="F6" s="101">
        <v>0</v>
      </c>
      <c r="G6" s="101">
        <v>0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  <c r="W6" s="101">
        <v>0</v>
      </c>
      <c r="X6" s="101">
        <v>0</v>
      </c>
      <c r="Y6" s="101">
        <v>0</v>
      </c>
      <c r="Z6" s="101">
        <v>0</v>
      </c>
      <c r="AA6" s="101">
        <v>0</v>
      </c>
      <c r="AB6" s="101">
        <v>0</v>
      </c>
      <c r="AC6" s="101">
        <v>0</v>
      </c>
      <c r="AD6" s="101">
        <v>0</v>
      </c>
      <c r="AE6" s="101">
        <v>0</v>
      </c>
      <c r="AF6" s="101">
        <v>0</v>
      </c>
      <c r="AG6" s="101">
        <v>0</v>
      </c>
      <c r="AH6" s="101">
        <v>0</v>
      </c>
      <c r="AI6" s="101">
        <v>0</v>
      </c>
      <c r="AJ6" s="101">
        <v>0</v>
      </c>
      <c r="AK6" s="101">
        <v>0</v>
      </c>
      <c r="AL6" s="101">
        <v>0</v>
      </c>
    </row>
    <row r="7" spans="1:38" customFormat="1" x14ac:dyDescent="0.15">
      <c r="A7" s="176" t="s">
        <v>198</v>
      </c>
      <c r="B7" s="101">
        <v>0</v>
      </c>
      <c r="C7" s="101">
        <v>0</v>
      </c>
      <c r="D7" s="101">
        <v>0</v>
      </c>
      <c r="E7" s="101">
        <v>0</v>
      </c>
      <c r="F7" s="101">
        <v>0</v>
      </c>
      <c r="G7" s="101">
        <v>0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0.8</v>
      </c>
      <c r="T7" s="101">
        <v>0</v>
      </c>
      <c r="U7" s="101">
        <v>0</v>
      </c>
      <c r="V7" s="101">
        <v>0</v>
      </c>
      <c r="W7" s="101">
        <v>0</v>
      </c>
      <c r="X7" s="101">
        <v>0</v>
      </c>
      <c r="Y7" s="101">
        <v>0</v>
      </c>
      <c r="Z7" s="101">
        <v>0</v>
      </c>
      <c r="AA7" s="101">
        <v>0</v>
      </c>
      <c r="AB7" s="101">
        <v>0</v>
      </c>
      <c r="AC7" s="101">
        <v>0</v>
      </c>
      <c r="AD7" s="101">
        <v>0</v>
      </c>
      <c r="AE7" s="101">
        <v>0</v>
      </c>
      <c r="AF7" s="101">
        <v>0</v>
      </c>
      <c r="AG7" s="101">
        <v>0</v>
      </c>
      <c r="AH7" s="101">
        <v>0</v>
      </c>
      <c r="AI7" s="101">
        <v>0</v>
      </c>
      <c r="AJ7" s="101">
        <v>0</v>
      </c>
      <c r="AK7" s="101">
        <v>0</v>
      </c>
      <c r="AL7" s="101">
        <v>0</v>
      </c>
    </row>
    <row r="8" spans="1:38" customFormat="1" x14ac:dyDescent="0.15">
      <c r="A8" s="176" t="s">
        <v>199</v>
      </c>
      <c r="B8" s="101">
        <v>0</v>
      </c>
      <c r="C8" s="101">
        <v>0</v>
      </c>
      <c r="D8" s="101">
        <v>0</v>
      </c>
      <c r="E8" s="101">
        <v>0</v>
      </c>
      <c r="F8" s="101">
        <v>0</v>
      </c>
      <c r="G8" s="101">
        <v>0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  <c r="W8" s="101">
        <v>0</v>
      </c>
      <c r="X8" s="101">
        <v>0</v>
      </c>
      <c r="Y8" s="101">
        <v>0</v>
      </c>
      <c r="Z8" s="101">
        <v>0</v>
      </c>
      <c r="AA8" s="101">
        <v>0</v>
      </c>
      <c r="AB8" s="101">
        <v>0</v>
      </c>
      <c r="AC8" s="101">
        <v>0</v>
      </c>
      <c r="AD8" s="101">
        <v>0</v>
      </c>
      <c r="AE8" s="101">
        <v>0</v>
      </c>
      <c r="AF8" s="101">
        <v>0</v>
      </c>
      <c r="AG8" s="101">
        <v>0</v>
      </c>
      <c r="AH8" s="101">
        <v>0</v>
      </c>
      <c r="AI8" s="101">
        <v>0</v>
      </c>
      <c r="AJ8" s="101">
        <v>0</v>
      </c>
      <c r="AK8" s="101">
        <v>0</v>
      </c>
      <c r="AL8" s="101">
        <v>0</v>
      </c>
    </row>
    <row r="9" spans="1:38" customFormat="1" x14ac:dyDescent="0.15">
      <c r="A9" s="176" t="s">
        <v>200</v>
      </c>
      <c r="B9" s="101">
        <v>0</v>
      </c>
      <c r="C9" s="101">
        <v>0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  <c r="W9" s="101">
        <v>0</v>
      </c>
      <c r="X9" s="101">
        <v>0</v>
      </c>
      <c r="Y9" s="101">
        <v>0</v>
      </c>
      <c r="Z9" s="101">
        <v>0</v>
      </c>
      <c r="AA9" s="101">
        <v>0</v>
      </c>
      <c r="AB9" s="101">
        <v>0</v>
      </c>
      <c r="AC9" s="101">
        <v>0</v>
      </c>
      <c r="AD9" s="101">
        <v>0</v>
      </c>
      <c r="AE9" s="101">
        <v>0</v>
      </c>
      <c r="AF9" s="101">
        <v>0</v>
      </c>
      <c r="AG9" s="101">
        <v>0</v>
      </c>
      <c r="AH9" s="101">
        <v>0</v>
      </c>
      <c r="AI9" s="101">
        <v>0</v>
      </c>
      <c r="AJ9" s="101">
        <v>0</v>
      </c>
      <c r="AK9" s="101">
        <v>0</v>
      </c>
      <c r="AL9" s="101">
        <v>0</v>
      </c>
    </row>
    <row r="10" spans="1:38" customFormat="1" x14ac:dyDescent="0.15">
      <c r="A10" s="176" t="s">
        <v>201</v>
      </c>
      <c r="B10" s="101">
        <v>0</v>
      </c>
      <c r="C10" s="101">
        <v>0</v>
      </c>
      <c r="D10" s="101">
        <v>0</v>
      </c>
      <c r="E10" s="101">
        <v>0</v>
      </c>
      <c r="F10" s="101">
        <v>0</v>
      </c>
      <c r="G10" s="101">
        <v>0</v>
      </c>
      <c r="H10" s="101">
        <v>0</v>
      </c>
      <c r="I10" s="101">
        <v>0</v>
      </c>
      <c r="J10" s="101">
        <v>0</v>
      </c>
      <c r="K10" s="101">
        <v>0</v>
      </c>
      <c r="L10" s="101">
        <v>0</v>
      </c>
      <c r="M10" s="101">
        <v>0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  <c r="W10" s="101">
        <v>0</v>
      </c>
      <c r="X10" s="101">
        <v>0</v>
      </c>
      <c r="Y10" s="101">
        <v>0</v>
      </c>
      <c r="Z10" s="101">
        <v>0</v>
      </c>
      <c r="AA10" s="101">
        <v>0</v>
      </c>
      <c r="AB10" s="101">
        <v>0</v>
      </c>
      <c r="AC10" s="101">
        <v>0</v>
      </c>
      <c r="AD10" s="101">
        <v>0</v>
      </c>
      <c r="AE10" s="101">
        <v>0</v>
      </c>
      <c r="AF10" s="101">
        <v>0</v>
      </c>
      <c r="AG10" s="101">
        <v>0</v>
      </c>
      <c r="AH10" s="101">
        <v>0</v>
      </c>
      <c r="AI10" s="101">
        <v>0</v>
      </c>
      <c r="AJ10" s="101">
        <v>0</v>
      </c>
      <c r="AK10" s="101">
        <v>0</v>
      </c>
      <c r="AL10" s="101">
        <v>0</v>
      </c>
    </row>
    <row r="11" spans="1:38" customFormat="1" x14ac:dyDescent="0.15">
      <c r="A11" s="176" t="s">
        <v>202</v>
      </c>
      <c r="B11" s="101">
        <v>0</v>
      </c>
      <c r="C11" s="101">
        <v>0</v>
      </c>
      <c r="D11" s="101">
        <v>0</v>
      </c>
      <c r="E11" s="101">
        <v>0</v>
      </c>
      <c r="F11" s="101">
        <v>0</v>
      </c>
      <c r="G11" s="101">
        <v>0</v>
      </c>
      <c r="H11" s="101">
        <v>0</v>
      </c>
      <c r="I11" s="101">
        <v>0</v>
      </c>
      <c r="J11" s="101">
        <v>0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  <c r="W11" s="101">
        <v>0</v>
      </c>
      <c r="X11" s="101">
        <v>0</v>
      </c>
      <c r="Y11" s="101">
        <v>0</v>
      </c>
      <c r="Z11" s="101">
        <v>0</v>
      </c>
      <c r="AA11" s="101">
        <v>0</v>
      </c>
      <c r="AB11" s="101">
        <v>0</v>
      </c>
      <c r="AC11" s="101">
        <v>0</v>
      </c>
      <c r="AD11" s="101">
        <v>0</v>
      </c>
      <c r="AE11" s="101">
        <v>0</v>
      </c>
      <c r="AF11" s="101">
        <v>0</v>
      </c>
      <c r="AG11" s="101">
        <v>0</v>
      </c>
      <c r="AH11" s="101">
        <v>0</v>
      </c>
      <c r="AI11" s="101">
        <v>0</v>
      </c>
      <c r="AJ11" s="101">
        <v>0</v>
      </c>
      <c r="AK11" s="101">
        <v>0</v>
      </c>
      <c r="AL11" s="101">
        <v>0</v>
      </c>
    </row>
    <row r="12" spans="1:38" customFormat="1" x14ac:dyDescent="0.15">
      <c r="A12" s="176" t="s">
        <v>203</v>
      </c>
      <c r="B12" s="101">
        <v>0</v>
      </c>
      <c r="C12" s="101">
        <v>0</v>
      </c>
      <c r="D12" s="101">
        <v>0</v>
      </c>
      <c r="E12" s="101">
        <v>0</v>
      </c>
      <c r="F12" s="101">
        <v>0</v>
      </c>
      <c r="G12" s="101">
        <v>0</v>
      </c>
      <c r="H12" s="101">
        <v>0</v>
      </c>
      <c r="I12" s="101">
        <v>0</v>
      </c>
      <c r="J12" s="101">
        <v>0</v>
      </c>
      <c r="K12" s="101">
        <v>0</v>
      </c>
      <c r="L12" s="101">
        <v>0</v>
      </c>
      <c r="M12" s="101">
        <v>0</v>
      </c>
      <c r="N12" s="101">
        <v>0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  <c r="W12" s="101">
        <v>0</v>
      </c>
      <c r="X12" s="101">
        <v>0</v>
      </c>
      <c r="Y12" s="101">
        <v>0</v>
      </c>
      <c r="Z12" s="101">
        <v>0</v>
      </c>
      <c r="AA12" s="101">
        <v>0</v>
      </c>
      <c r="AB12" s="101">
        <v>0</v>
      </c>
      <c r="AC12" s="101">
        <v>0</v>
      </c>
      <c r="AD12" s="101">
        <v>0</v>
      </c>
      <c r="AE12" s="101">
        <v>0</v>
      </c>
      <c r="AF12" s="101">
        <v>0</v>
      </c>
      <c r="AG12" s="101">
        <v>0</v>
      </c>
      <c r="AH12" s="101">
        <v>0</v>
      </c>
      <c r="AI12" s="101">
        <v>0</v>
      </c>
      <c r="AJ12" s="101">
        <v>0</v>
      </c>
      <c r="AK12" s="101">
        <v>0</v>
      </c>
      <c r="AL12" s="101">
        <v>0</v>
      </c>
    </row>
    <row r="13" spans="1:38" customFormat="1" x14ac:dyDescent="0.15">
      <c r="A13" s="176" t="s">
        <v>204</v>
      </c>
      <c r="B13" s="101">
        <v>0</v>
      </c>
      <c r="C13" s="101">
        <v>0</v>
      </c>
      <c r="D13" s="101">
        <v>0</v>
      </c>
      <c r="E13" s="101">
        <v>0</v>
      </c>
      <c r="F13" s="101">
        <v>0</v>
      </c>
      <c r="G13" s="101">
        <v>0</v>
      </c>
      <c r="H13" s="101">
        <v>0</v>
      </c>
      <c r="I13" s="101">
        <v>0</v>
      </c>
      <c r="J13" s="101">
        <v>0</v>
      </c>
      <c r="K13" s="101">
        <v>0</v>
      </c>
      <c r="L13" s="101">
        <v>0</v>
      </c>
      <c r="M13" s="101">
        <v>0</v>
      </c>
      <c r="N13" s="101">
        <v>0</v>
      </c>
      <c r="O13" s="101">
        <v>0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  <c r="W13" s="101">
        <v>0</v>
      </c>
      <c r="X13" s="101">
        <v>0</v>
      </c>
      <c r="Y13" s="101">
        <v>0</v>
      </c>
      <c r="Z13" s="101">
        <v>0</v>
      </c>
      <c r="AA13" s="101">
        <v>0</v>
      </c>
      <c r="AB13" s="101">
        <v>0</v>
      </c>
      <c r="AC13" s="101">
        <v>0</v>
      </c>
      <c r="AD13" s="101">
        <v>0</v>
      </c>
      <c r="AE13" s="101">
        <v>0</v>
      </c>
      <c r="AF13" s="101">
        <v>0</v>
      </c>
      <c r="AG13" s="101">
        <v>0</v>
      </c>
      <c r="AH13" s="101">
        <v>0</v>
      </c>
      <c r="AI13" s="101">
        <v>0</v>
      </c>
      <c r="AJ13" s="101">
        <v>0</v>
      </c>
      <c r="AK13" s="101">
        <v>0</v>
      </c>
      <c r="AL13" s="101">
        <v>0</v>
      </c>
    </row>
    <row r="14" spans="1:38" customFormat="1" x14ac:dyDescent="0.15">
      <c r="A14" s="176" t="s">
        <v>205</v>
      </c>
      <c r="B14" s="101">
        <v>0</v>
      </c>
      <c r="C14" s="101">
        <v>0</v>
      </c>
      <c r="D14" s="101">
        <v>0</v>
      </c>
      <c r="E14" s="101">
        <v>0</v>
      </c>
      <c r="F14" s="101">
        <v>0</v>
      </c>
      <c r="G14" s="101">
        <v>0</v>
      </c>
      <c r="H14" s="101">
        <v>0</v>
      </c>
      <c r="I14" s="101">
        <v>0</v>
      </c>
      <c r="J14" s="101">
        <v>0</v>
      </c>
      <c r="K14" s="101">
        <v>0</v>
      </c>
      <c r="L14" s="101">
        <v>0</v>
      </c>
      <c r="M14" s="101">
        <v>0</v>
      </c>
      <c r="N14" s="101">
        <v>0</v>
      </c>
      <c r="O14" s="101">
        <v>0</v>
      </c>
      <c r="P14" s="101">
        <v>0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  <c r="V14" s="101">
        <v>0</v>
      </c>
      <c r="W14" s="101">
        <v>0</v>
      </c>
      <c r="X14" s="101">
        <v>0</v>
      </c>
      <c r="Y14" s="101">
        <v>0</v>
      </c>
      <c r="Z14" s="101">
        <v>0</v>
      </c>
      <c r="AA14" s="101">
        <v>0</v>
      </c>
      <c r="AB14" s="101">
        <v>0</v>
      </c>
      <c r="AC14" s="101">
        <v>0</v>
      </c>
      <c r="AD14" s="101">
        <v>0</v>
      </c>
      <c r="AE14" s="101">
        <v>0</v>
      </c>
      <c r="AF14" s="101">
        <v>0</v>
      </c>
      <c r="AG14" s="101">
        <v>0</v>
      </c>
      <c r="AH14" s="101">
        <v>0</v>
      </c>
      <c r="AI14" s="101">
        <v>0</v>
      </c>
      <c r="AJ14" s="101">
        <v>0</v>
      </c>
      <c r="AK14" s="101">
        <v>0</v>
      </c>
      <c r="AL14" s="101">
        <v>0</v>
      </c>
    </row>
    <row r="15" spans="1:38" customFormat="1" x14ac:dyDescent="0.15">
      <c r="A15" s="176" t="s">
        <v>206</v>
      </c>
      <c r="B15" s="101">
        <v>0</v>
      </c>
      <c r="C15" s="101">
        <v>0</v>
      </c>
      <c r="D15" s="101">
        <v>0</v>
      </c>
      <c r="E15" s="101">
        <v>0</v>
      </c>
      <c r="F15" s="101">
        <v>0</v>
      </c>
      <c r="G15" s="101">
        <v>0</v>
      </c>
      <c r="H15" s="101">
        <v>0</v>
      </c>
      <c r="I15" s="101">
        <v>0</v>
      </c>
      <c r="J15" s="101">
        <v>0</v>
      </c>
      <c r="K15" s="101">
        <v>0</v>
      </c>
      <c r="L15" s="101">
        <v>0</v>
      </c>
      <c r="M15" s="101">
        <v>0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  <c r="W15" s="101">
        <v>0</v>
      </c>
      <c r="X15" s="101">
        <v>0</v>
      </c>
      <c r="Y15" s="101">
        <v>0</v>
      </c>
      <c r="Z15" s="101">
        <v>0</v>
      </c>
      <c r="AA15" s="101">
        <v>0</v>
      </c>
      <c r="AB15" s="101">
        <v>0</v>
      </c>
      <c r="AC15" s="101">
        <v>0</v>
      </c>
      <c r="AD15" s="101">
        <v>0</v>
      </c>
      <c r="AE15" s="101">
        <v>0</v>
      </c>
      <c r="AF15" s="101">
        <v>0</v>
      </c>
      <c r="AG15" s="101">
        <v>0</v>
      </c>
      <c r="AH15" s="101">
        <v>0</v>
      </c>
      <c r="AI15" s="101">
        <v>0</v>
      </c>
      <c r="AJ15" s="101">
        <v>0</v>
      </c>
      <c r="AK15" s="101">
        <v>0</v>
      </c>
      <c r="AL15" s="101">
        <v>0</v>
      </c>
    </row>
    <row r="16" spans="1:38" customFormat="1" x14ac:dyDescent="0.15">
      <c r="A16" s="176" t="s">
        <v>207</v>
      </c>
      <c r="B16" s="101">
        <v>0</v>
      </c>
      <c r="C16" s="101">
        <v>0</v>
      </c>
      <c r="D16" s="101">
        <v>0</v>
      </c>
      <c r="E16" s="101">
        <v>0</v>
      </c>
      <c r="F16" s="101">
        <v>0</v>
      </c>
      <c r="G16" s="101">
        <v>0</v>
      </c>
      <c r="H16" s="101">
        <v>0</v>
      </c>
      <c r="I16" s="101">
        <v>0</v>
      </c>
      <c r="J16" s="101">
        <v>0</v>
      </c>
      <c r="K16" s="101">
        <v>0.8</v>
      </c>
      <c r="L16" s="101">
        <v>0</v>
      </c>
      <c r="M16" s="101">
        <v>0</v>
      </c>
      <c r="N16" s="101">
        <v>0</v>
      </c>
      <c r="O16" s="101">
        <v>0</v>
      </c>
      <c r="P16" s="101">
        <v>0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  <c r="V16" s="101">
        <v>0</v>
      </c>
      <c r="W16" s="101">
        <v>0</v>
      </c>
      <c r="X16" s="101">
        <v>0</v>
      </c>
      <c r="Y16" s="101">
        <v>0</v>
      </c>
      <c r="Z16" s="101">
        <v>0</v>
      </c>
      <c r="AA16" s="101">
        <v>0</v>
      </c>
      <c r="AB16" s="101">
        <v>0</v>
      </c>
      <c r="AC16" s="101">
        <v>0</v>
      </c>
      <c r="AD16" s="101">
        <v>0</v>
      </c>
      <c r="AE16" s="101">
        <v>0</v>
      </c>
      <c r="AF16" s="101">
        <v>0</v>
      </c>
      <c r="AG16" s="101">
        <v>0</v>
      </c>
      <c r="AH16" s="101">
        <v>0</v>
      </c>
      <c r="AI16" s="101">
        <v>0</v>
      </c>
      <c r="AJ16" s="101">
        <v>0</v>
      </c>
      <c r="AK16" s="101">
        <v>0</v>
      </c>
      <c r="AL16" s="101">
        <v>0</v>
      </c>
    </row>
    <row r="17" spans="1:38" customFormat="1" x14ac:dyDescent="0.15">
      <c r="A17" s="176" t="s">
        <v>208</v>
      </c>
      <c r="B17" s="101">
        <v>0</v>
      </c>
      <c r="C17" s="101">
        <v>0</v>
      </c>
      <c r="D17" s="101">
        <v>0</v>
      </c>
      <c r="E17" s="101">
        <v>0</v>
      </c>
      <c r="F17" s="101">
        <v>0</v>
      </c>
      <c r="G17" s="101">
        <v>0</v>
      </c>
      <c r="H17" s="101">
        <v>0</v>
      </c>
      <c r="I17" s="101">
        <v>0</v>
      </c>
      <c r="J17" s="101">
        <v>0</v>
      </c>
      <c r="K17" s="101">
        <v>0</v>
      </c>
      <c r="L17" s="101">
        <v>0</v>
      </c>
      <c r="M17" s="101">
        <v>0</v>
      </c>
      <c r="N17" s="101">
        <v>0</v>
      </c>
      <c r="O17" s="101">
        <v>0</v>
      </c>
      <c r="P17" s="101">
        <v>0</v>
      </c>
      <c r="Q17" s="101">
        <v>0</v>
      </c>
      <c r="R17" s="101">
        <v>0</v>
      </c>
      <c r="S17" s="101">
        <v>0</v>
      </c>
      <c r="T17" s="101">
        <v>0</v>
      </c>
      <c r="U17" s="101">
        <v>0</v>
      </c>
      <c r="V17" s="101">
        <v>0</v>
      </c>
      <c r="W17" s="101">
        <v>0</v>
      </c>
      <c r="X17" s="101">
        <v>0</v>
      </c>
      <c r="Y17" s="101">
        <v>0</v>
      </c>
      <c r="Z17" s="101">
        <v>0</v>
      </c>
      <c r="AA17" s="101">
        <v>0</v>
      </c>
      <c r="AB17" s="101">
        <v>0</v>
      </c>
      <c r="AC17" s="101">
        <v>0</v>
      </c>
      <c r="AD17" s="101">
        <v>0</v>
      </c>
      <c r="AE17" s="101">
        <v>0</v>
      </c>
      <c r="AF17" s="101">
        <v>0</v>
      </c>
      <c r="AG17" s="101">
        <v>0</v>
      </c>
      <c r="AH17" s="101">
        <v>0</v>
      </c>
      <c r="AI17" s="101">
        <v>0</v>
      </c>
      <c r="AJ17" s="101">
        <v>0</v>
      </c>
      <c r="AK17" s="101">
        <v>0</v>
      </c>
      <c r="AL17" s="101">
        <v>0</v>
      </c>
    </row>
    <row r="18" spans="1:38" customFormat="1" x14ac:dyDescent="0.15">
      <c r="A18" s="176" t="s">
        <v>209</v>
      </c>
      <c r="B18" s="101">
        <v>0.8</v>
      </c>
      <c r="C18" s="101">
        <v>0</v>
      </c>
      <c r="D18" s="101">
        <v>0</v>
      </c>
      <c r="E18" s="101">
        <v>0</v>
      </c>
      <c r="F18" s="101">
        <v>0</v>
      </c>
      <c r="G18" s="101">
        <v>0</v>
      </c>
      <c r="H18" s="101">
        <v>0</v>
      </c>
      <c r="I18" s="101">
        <v>0</v>
      </c>
      <c r="J18" s="101">
        <v>0</v>
      </c>
      <c r="K18" s="101">
        <v>0</v>
      </c>
      <c r="L18" s="101">
        <v>0</v>
      </c>
      <c r="M18" s="101">
        <v>0.8</v>
      </c>
      <c r="N18" s="101">
        <v>0.8</v>
      </c>
      <c r="O18" s="101">
        <v>0</v>
      </c>
      <c r="P18" s="101">
        <v>0</v>
      </c>
      <c r="Q18" s="101">
        <v>0</v>
      </c>
      <c r="R18" s="101">
        <v>0</v>
      </c>
      <c r="S18" s="101">
        <v>0.8</v>
      </c>
      <c r="T18" s="101">
        <v>0.8</v>
      </c>
      <c r="U18" s="101">
        <v>0</v>
      </c>
      <c r="V18" s="101">
        <v>0.8</v>
      </c>
      <c r="W18" s="101">
        <v>0</v>
      </c>
      <c r="X18" s="101">
        <v>0</v>
      </c>
      <c r="Y18" s="101">
        <v>0.8</v>
      </c>
      <c r="Z18" s="101">
        <v>0</v>
      </c>
      <c r="AA18" s="101">
        <v>0</v>
      </c>
      <c r="AB18" s="101">
        <v>0</v>
      </c>
      <c r="AC18" s="101">
        <v>0</v>
      </c>
      <c r="AD18" s="101">
        <v>0</v>
      </c>
      <c r="AE18" s="101">
        <v>0</v>
      </c>
      <c r="AF18" s="101">
        <v>0</v>
      </c>
      <c r="AG18" s="101">
        <v>0</v>
      </c>
      <c r="AH18" s="101">
        <v>0</v>
      </c>
      <c r="AI18" s="101">
        <v>0</v>
      </c>
      <c r="AJ18" s="101">
        <v>0</v>
      </c>
      <c r="AK18" s="101">
        <v>0</v>
      </c>
      <c r="AL18" s="101">
        <v>0</v>
      </c>
    </row>
    <row r="19" spans="1:38" customFormat="1" x14ac:dyDescent="0.15">
      <c r="A19" s="176" t="s">
        <v>210</v>
      </c>
      <c r="B19" s="101">
        <v>0</v>
      </c>
      <c r="C19" s="101">
        <v>0</v>
      </c>
      <c r="D19" s="101">
        <v>0</v>
      </c>
      <c r="E19" s="101">
        <v>0</v>
      </c>
      <c r="F19" s="101">
        <v>0</v>
      </c>
      <c r="G19" s="101">
        <v>0</v>
      </c>
      <c r="H19" s="101">
        <v>0</v>
      </c>
      <c r="I19" s="101">
        <v>0</v>
      </c>
      <c r="J19" s="101">
        <v>0</v>
      </c>
      <c r="K19" s="101">
        <v>0</v>
      </c>
      <c r="L19" s="101">
        <v>0</v>
      </c>
      <c r="M19" s="101">
        <v>0</v>
      </c>
      <c r="N19" s="101">
        <v>0</v>
      </c>
      <c r="O19" s="101">
        <v>0</v>
      </c>
      <c r="P19" s="101">
        <v>0</v>
      </c>
      <c r="Q19" s="101">
        <v>0</v>
      </c>
      <c r="R19" s="101">
        <v>0</v>
      </c>
      <c r="S19" s="101">
        <v>0</v>
      </c>
      <c r="T19" s="101">
        <v>0</v>
      </c>
      <c r="U19" s="101">
        <v>0</v>
      </c>
      <c r="V19" s="101">
        <v>0</v>
      </c>
      <c r="W19" s="101">
        <v>0</v>
      </c>
      <c r="X19" s="101">
        <v>0</v>
      </c>
      <c r="Y19" s="101">
        <v>0</v>
      </c>
      <c r="Z19" s="101">
        <v>0</v>
      </c>
      <c r="AA19" s="101">
        <v>0</v>
      </c>
      <c r="AB19" s="101">
        <v>0</v>
      </c>
      <c r="AC19" s="101">
        <v>0</v>
      </c>
      <c r="AD19" s="101">
        <v>0</v>
      </c>
      <c r="AE19" s="101">
        <v>0</v>
      </c>
      <c r="AF19" s="101">
        <v>0</v>
      </c>
      <c r="AG19" s="101">
        <v>0</v>
      </c>
      <c r="AH19" s="101">
        <v>0</v>
      </c>
      <c r="AI19" s="101">
        <v>0</v>
      </c>
      <c r="AJ19" s="101">
        <v>0</v>
      </c>
      <c r="AK19" s="101">
        <v>0</v>
      </c>
      <c r="AL19" s="101">
        <v>0</v>
      </c>
    </row>
    <row r="20" spans="1:38" customFormat="1" x14ac:dyDescent="0.15">
      <c r="A20" s="176" t="s">
        <v>211</v>
      </c>
      <c r="B20" s="101">
        <v>0</v>
      </c>
      <c r="C20" s="101">
        <v>0</v>
      </c>
      <c r="D20" s="101">
        <v>0</v>
      </c>
      <c r="E20" s="101">
        <v>0</v>
      </c>
      <c r="F20" s="101">
        <v>0</v>
      </c>
      <c r="G20" s="101">
        <v>0</v>
      </c>
      <c r="H20" s="101">
        <v>0</v>
      </c>
      <c r="I20" s="101">
        <v>0</v>
      </c>
      <c r="J20" s="101">
        <v>0</v>
      </c>
      <c r="K20" s="101">
        <v>0</v>
      </c>
      <c r="L20" s="101">
        <v>0</v>
      </c>
      <c r="M20" s="101">
        <v>0</v>
      </c>
      <c r="N20" s="101">
        <v>0</v>
      </c>
      <c r="O20" s="101">
        <v>0</v>
      </c>
      <c r="P20" s="101">
        <v>0</v>
      </c>
      <c r="Q20" s="101">
        <v>0</v>
      </c>
      <c r="R20" s="101">
        <v>0</v>
      </c>
      <c r="S20" s="101">
        <v>0</v>
      </c>
      <c r="T20" s="101">
        <v>0</v>
      </c>
      <c r="U20" s="101">
        <v>0</v>
      </c>
      <c r="V20" s="101">
        <v>0</v>
      </c>
      <c r="W20" s="101">
        <v>0</v>
      </c>
      <c r="X20" s="101">
        <v>0</v>
      </c>
      <c r="Y20" s="101">
        <v>0</v>
      </c>
      <c r="Z20" s="101">
        <v>0</v>
      </c>
      <c r="AA20" s="101">
        <v>0</v>
      </c>
      <c r="AB20" s="101">
        <v>0</v>
      </c>
      <c r="AC20" s="101">
        <v>0</v>
      </c>
      <c r="AD20" s="101">
        <v>0</v>
      </c>
      <c r="AE20" s="101">
        <v>0</v>
      </c>
      <c r="AF20" s="101">
        <v>0</v>
      </c>
      <c r="AG20" s="101">
        <v>0</v>
      </c>
      <c r="AH20" s="101">
        <v>0</v>
      </c>
      <c r="AI20" s="101">
        <v>0</v>
      </c>
      <c r="AJ20" s="101">
        <v>0</v>
      </c>
      <c r="AK20" s="101">
        <v>0</v>
      </c>
      <c r="AL20" s="101">
        <v>0</v>
      </c>
    </row>
    <row r="21" spans="1:38" customFormat="1" x14ac:dyDescent="0.15">
      <c r="A21" s="176" t="s">
        <v>212</v>
      </c>
      <c r="B21" s="101">
        <v>0.8</v>
      </c>
      <c r="C21" s="101">
        <v>0</v>
      </c>
      <c r="D21" s="101">
        <v>0</v>
      </c>
      <c r="E21" s="101">
        <v>0.8</v>
      </c>
      <c r="F21" s="101">
        <v>0</v>
      </c>
      <c r="G21" s="101">
        <v>0.8</v>
      </c>
      <c r="H21" s="101">
        <v>0.8</v>
      </c>
      <c r="I21" s="101">
        <v>0</v>
      </c>
      <c r="J21" s="101">
        <v>0</v>
      </c>
      <c r="K21" s="101">
        <v>0</v>
      </c>
      <c r="L21" s="101">
        <v>0</v>
      </c>
      <c r="M21" s="101">
        <v>0.8</v>
      </c>
      <c r="N21" s="101">
        <v>0.8</v>
      </c>
      <c r="O21" s="101">
        <v>0</v>
      </c>
      <c r="P21" s="101">
        <v>0.8</v>
      </c>
      <c r="Q21" s="101">
        <v>0.8</v>
      </c>
      <c r="R21" s="101">
        <v>0</v>
      </c>
      <c r="S21" s="101">
        <v>0.8</v>
      </c>
      <c r="T21" s="101">
        <v>0.8</v>
      </c>
      <c r="U21" s="101">
        <v>0</v>
      </c>
      <c r="V21" s="101">
        <v>0</v>
      </c>
      <c r="W21" s="101">
        <v>0</v>
      </c>
      <c r="X21" s="101">
        <v>0</v>
      </c>
      <c r="Y21" s="101">
        <v>0</v>
      </c>
      <c r="Z21" s="101">
        <v>0</v>
      </c>
      <c r="AA21" s="101">
        <v>0</v>
      </c>
      <c r="AB21" s="101">
        <v>0</v>
      </c>
      <c r="AC21" s="101">
        <v>0</v>
      </c>
      <c r="AD21" s="101">
        <v>0</v>
      </c>
      <c r="AE21" s="101">
        <v>0</v>
      </c>
      <c r="AF21" s="101">
        <v>0</v>
      </c>
      <c r="AG21" s="101">
        <v>0</v>
      </c>
      <c r="AH21" s="101">
        <v>0</v>
      </c>
      <c r="AI21" s="101">
        <v>0</v>
      </c>
      <c r="AJ21" s="101">
        <v>0</v>
      </c>
      <c r="AK21" s="101">
        <v>0</v>
      </c>
      <c r="AL21" s="101">
        <v>0</v>
      </c>
    </row>
    <row r="22" spans="1:38" customFormat="1" x14ac:dyDescent="0.15">
      <c r="A22" s="176" t="s">
        <v>213</v>
      </c>
      <c r="B22" s="101">
        <v>0</v>
      </c>
      <c r="C22" s="101">
        <v>0</v>
      </c>
      <c r="D22" s="101">
        <v>0</v>
      </c>
      <c r="E22" s="101">
        <v>0</v>
      </c>
      <c r="F22" s="101">
        <v>0</v>
      </c>
      <c r="G22" s="101">
        <v>0</v>
      </c>
      <c r="H22" s="101">
        <v>0</v>
      </c>
      <c r="I22" s="101">
        <v>0</v>
      </c>
      <c r="J22" s="101">
        <v>0</v>
      </c>
      <c r="K22" s="101">
        <v>0</v>
      </c>
      <c r="L22" s="101">
        <v>0</v>
      </c>
      <c r="M22" s="101">
        <v>0</v>
      </c>
      <c r="N22" s="101">
        <v>0</v>
      </c>
      <c r="O22" s="101">
        <v>0</v>
      </c>
      <c r="P22" s="101">
        <v>0</v>
      </c>
      <c r="Q22" s="101">
        <v>0</v>
      </c>
      <c r="R22" s="101">
        <v>0</v>
      </c>
      <c r="S22" s="101">
        <v>0</v>
      </c>
      <c r="T22" s="101">
        <v>0</v>
      </c>
      <c r="U22" s="101">
        <v>0</v>
      </c>
      <c r="V22" s="101">
        <v>0</v>
      </c>
      <c r="W22" s="101">
        <v>0</v>
      </c>
      <c r="X22" s="101">
        <v>0</v>
      </c>
      <c r="Y22" s="101">
        <v>0</v>
      </c>
      <c r="Z22" s="101">
        <v>0</v>
      </c>
      <c r="AA22" s="101">
        <v>0</v>
      </c>
      <c r="AB22" s="101">
        <v>0</v>
      </c>
      <c r="AC22" s="101">
        <v>0</v>
      </c>
      <c r="AD22" s="101">
        <v>0</v>
      </c>
      <c r="AE22" s="101">
        <v>0</v>
      </c>
      <c r="AF22" s="101">
        <v>0</v>
      </c>
      <c r="AG22" s="101">
        <v>0</v>
      </c>
      <c r="AH22" s="101">
        <v>0</v>
      </c>
      <c r="AI22" s="101">
        <v>0</v>
      </c>
      <c r="AJ22" s="101">
        <v>0</v>
      </c>
      <c r="AK22" s="101">
        <v>0</v>
      </c>
      <c r="AL22" s="101">
        <v>0</v>
      </c>
    </row>
    <row r="23" spans="1:38" customFormat="1" x14ac:dyDescent="0.15">
      <c r="A23" s="176" t="s">
        <v>214</v>
      </c>
      <c r="B23" s="101">
        <v>0</v>
      </c>
      <c r="C23" s="101">
        <v>0</v>
      </c>
      <c r="D23" s="101">
        <v>0</v>
      </c>
      <c r="E23" s="101">
        <v>0</v>
      </c>
      <c r="F23" s="101">
        <v>0</v>
      </c>
      <c r="G23" s="101">
        <v>0</v>
      </c>
      <c r="H23" s="101">
        <v>0</v>
      </c>
      <c r="I23" s="101">
        <v>0</v>
      </c>
      <c r="J23" s="101">
        <v>0</v>
      </c>
      <c r="K23" s="101">
        <v>0</v>
      </c>
      <c r="L23" s="101">
        <v>0</v>
      </c>
      <c r="M23" s="101">
        <v>0</v>
      </c>
      <c r="N23" s="101">
        <v>0</v>
      </c>
      <c r="O23" s="101">
        <v>0</v>
      </c>
      <c r="P23" s="101">
        <v>0</v>
      </c>
      <c r="Q23" s="101">
        <v>0</v>
      </c>
      <c r="R23" s="101">
        <v>0</v>
      </c>
      <c r="S23" s="101">
        <v>0</v>
      </c>
      <c r="T23" s="101">
        <v>0</v>
      </c>
      <c r="U23" s="101">
        <v>0</v>
      </c>
      <c r="V23" s="101">
        <v>0</v>
      </c>
      <c r="W23" s="101">
        <v>0</v>
      </c>
      <c r="X23" s="101">
        <v>0</v>
      </c>
      <c r="Y23" s="101">
        <v>0</v>
      </c>
      <c r="Z23" s="101">
        <v>0</v>
      </c>
      <c r="AA23" s="101">
        <v>0</v>
      </c>
      <c r="AB23" s="101">
        <v>0</v>
      </c>
      <c r="AC23" s="101">
        <v>0</v>
      </c>
      <c r="AD23" s="101">
        <v>0</v>
      </c>
      <c r="AE23" s="101">
        <v>0</v>
      </c>
      <c r="AF23" s="101">
        <v>0</v>
      </c>
      <c r="AG23" s="101">
        <v>0</v>
      </c>
      <c r="AH23" s="101">
        <v>0</v>
      </c>
      <c r="AI23" s="101">
        <v>0</v>
      </c>
      <c r="AJ23" s="101">
        <v>0</v>
      </c>
      <c r="AK23" s="101">
        <v>0</v>
      </c>
      <c r="AL23" s="101">
        <v>0</v>
      </c>
    </row>
    <row r="24" spans="1:38" customFormat="1" x14ac:dyDescent="0.15">
      <c r="A24" s="176" t="s">
        <v>215</v>
      </c>
      <c r="B24" s="101">
        <v>0</v>
      </c>
      <c r="C24" s="101">
        <v>0</v>
      </c>
      <c r="D24" s="101">
        <v>0</v>
      </c>
      <c r="E24" s="101">
        <v>0</v>
      </c>
      <c r="F24" s="101">
        <v>0</v>
      </c>
      <c r="G24" s="101">
        <v>0</v>
      </c>
      <c r="H24" s="101">
        <v>0</v>
      </c>
      <c r="I24" s="101">
        <v>0</v>
      </c>
      <c r="J24" s="101">
        <v>0</v>
      </c>
      <c r="K24" s="101">
        <v>0</v>
      </c>
      <c r="L24" s="101">
        <v>0</v>
      </c>
      <c r="M24" s="101">
        <v>0</v>
      </c>
      <c r="N24" s="101">
        <v>0</v>
      </c>
      <c r="O24" s="101">
        <v>0</v>
      </c>
      <c r="P24" s="101">
        <v>0</v>
      </c>
      <c r="Q24" s="101">
        <v>0</v>
      </c>
      <c r="R24" s="101">
        <v>0</v>
      </c>
      <c r="S24" s="101">
        <v>0</v>
      </c>
      <c r="T24" s="101">
        <v>0</v>
      </c>
      <c r="U24" s="101">
        <v>0</v>
      </c>
      <c r="V24" s="101">
        <v>0.8</v>
      </c>
      <c r="W24" s="101">
        <v>0.8</v>
      </c>
      <c r="X24" s="101">
        <v>0</v>
      </c>
      <c r="Y24" s="101">
        <v>0</v>
      </c>
      <c r="Z24" s="101">
        <v>0</v>
      </c>
      <c r="AA24" s="101">
        <v>0</v>
      </c>
      <c r="AB24" s="101">
        <v>0</v>
      </c>
      <c r="AC24" s="101">
        <v>0</v>
      </c>
      <c r="AD24" s="101">
        <v>0</v>
      </c>
      <c r="AE24" s="101">
        <v>0</v>
      </c>
      <c r="AF24" s="101">
        <v>0</v>
      </c>
      <c r="AG24" s="101">
        <v>0</v>
      </c>
      <c r="AH24" s="101">
        <v>0</v>
      </c>
      <c r="AI24" s="101">
        <v>0</v>
      </c>
      <c r="AJ24" s="101">
        <v>0</v>
      </c>
      <c r="AK24" s="101">
        <v>0</v>
      </c>
      <c r="AL24" s="101">
        <v>0</v>
      </c>
    </row>
    <row r="25" spans="1:38" customFormat="1" x14ac:dyDescent="0.15">
      <c r="A25" s="176" t="s">
        <v>216</v>
      </c>
      <c r="B25" s="101">
        <v>0</v>
      </c>
      <c r="C25" s="101">
        <v>0</v>
      </c>
      <c r="D25" s="101">
        <v>0</v>
      </c>
      <c r="E25" s="101">
        <v>0.8</v>
      </c>
      <c r="F25" s="101">
        <v>0</v>
      </c>
      <c r="G25" s="101">
        <v>0.8</v>
      </c>
      <c r="H25" s="101">
        <v>0.8</v>
      </c>
      <c r="I25" s="101">
        <v>0</v>
      </c>
      <c r="J25" s="101">
        <v>0.8</v>
      </c>
      <c r="K25" s="101">
        <v>0.8</v>
      </c>
      <c r="L25" s="101">
        <v>0</v>
      </c>
      <c r="M25" s="101">
        <v>0.8</v>
      </c>
      <c r="N25" s="101">
        <v>0.8</v>
      </c>
      <c r="O25" s="101">
        <v>0</v>
      </c>
      <c r="P25" s="101">
        <v>0.8</v>
      </c>
      <c r="Q25" s="101">
        <v>0.8</v>
      </c>
      <c r="R25" s="101">
        <v>0</v>
      </c>
      <c r="S25" s="101">
        <v>0.8</v>
      </c>
      <c r="T25" s="101">
        <v>0.8</v>
      </c>
      <c r="U25" s="101">
        <v>0</v>
      </c>
      <c r="V25" s="101">
        <v>0.8</v>
      </c>
      <c r="W25" s="101">
        <v>0</v>
      </c>
      <c r="X25" s="101">
        <v>0</v>
      </c>
      <c r="Y25" s="101">
        <v>0</v>
      </c>
      <c r="Z25" s="101">
        <v>0</v>
      </c>
      <c r="AA25" s="101">
        <v>0</v>
      </c>
      <c r="AB25" s="101">
        <v>0</v>
      </c>
      <c r="AC25" s="101">
        <v>0</v>
      </c>
      <c r="AD25" s="101">
        <v>0</v>
      </c>
      <c r="AE25" s="101">
        <v>0</v>
      </c>
      <c r="AF25" s="101">
        <v>0</v>
      </c>
      <c r="AG25" s="101">
        <v>0</v>
      </c>
      <c r="AH25" s="101">
        <v>0</v>
      </c>
      <c r="AI25" s="101">
        <v>0</v>
      </c>
      <c r="AJ25" s="101">
        <v>0</v>
      </c>
      <c r="AK25" s="101">
        <v>0</v>
      </c>
      <c r="AL25" s="101">
        <v>0</v>
      </c>
    </row>
    <row r="26" spans="1:38" customFormat="1" x14ac:dyDescent="0.15">
      <c r="A26" s="176" t="s">
        <v>217</v>
      </c>
      <c r="B26" s="101">
        <v>0.8</v>
      </c>
      <c r="C26" s="101">
        <v>0</v>
      </c>
      <c r="D26" s="101">
        <v>0.8</v>
      </c>
      <c r="E26" s="101">
        <v>0.8</v>
      </c>
      <c r="F26" s="101">
        <v>0</v>
      </c>
      <c r="G26" s="101">
        <v>0</v>
      </c>
      <c r="H26" s="101">
        <v>0</v>
      </c>
      <c r="I26" s="101">
        <v>0</v>
      </c>
      <c r="J26" s="101">
        <v>0.8</v>
      </c>
      <c r="K26" s="101">
        <v>0.8</v>
      </c>
      <c r="L26" s="101">
        <v>0</v>
      </c>
      <c r="M26" s="101">
        <v>0.8</v>
      </c>
      <c r="N26" s="101">
        <v>0.8</v>
      </c>
      <c r="O26" s="101">
        <v>0</v>
      </c>
      <c r="P26" s="101">
        <v>0.8</v>
      </c>
      <c r="Q26" s="101">
        <v>0.8</v>
      </c>
      <c r="R26" s="101">
        <v>0</v>
      </c>
      <c r="S26" s="101">
        <v>0.8</v>
      </c>
      <c r="T26" s="101">
        <v>0.8</v>
      </c>
      <c r="U26" s="101">
        <v>0.8</v>
      </c>
      <c r="V26" s="101">
        <v>0.8</v>
      </c>
      <c r="W26" s="101">
        <v>0.8</v>
      </c>
      <c r="X26" s="101">
        <v>0</v>
      </c>
      <c r="Y26" s="101">
        <v>0</v>
      </c>
      <c r="Z26" s="101">
        <v>0</v>
      </c>
      <c r="AA26" s="101">
        <v>0</v>
      </c>
      <c r="AB26" s="101">
        <v>0</v>
      </c>
      <c r="AC26" s="101">
        <v>0</v>
      </c>
      <c r="AD26" s="101">
        <v>0</v>
      </c>
      <c r="AE26" s="101">
        <v>0</v>
      </c>
      <c r="AF26" s="101">
        <v>0</v>
      </c>
      <c r="AG26" s="101">
        <v>0</v>
      </c>
      <c r="AH26" s="101">
        <v>0</v>
      </c>
      <c r="AI26" s="101">
        <v>0</v>
      </c>
      <c r="AJ26" s="101">
        <v>0</v>
      </c>
      <c r="AK26" s="101">
        <v>0</v>
      </c>
      <c r="AL26" s="101">
        <v>0</v>
      </c>
    </row>
    <row r="27" spans="1:38" customFormat="1" x14ac:dyDescent="0.15">
      <c r="A27" s="176" t="s">
        <v>166</v>
      </c>
      <c r="B27" s="101">
        <v>0.8</v>
      </c>
      <c r="C27" s="101">
        <v>0</v>
      </c>
      <c r="D27" s="101">
        <v>0</v>
      </c>
      <c r="E27" s="101">
        <v>0</v>
      </c>
      <c r="F27" s="101">
        <v>0</v>
      </c>
      <c r="G27" s="101">
        <v>0</v>
      </c>
      <c r="H27" s="101">
        <v>0</v>
      </c>
      <c r="I27" s="101">
        <v>0</v>
      </c>
      <c r="J27" s="101">
        <v>0</v>
      </c>
      <c r="K27" s="101">
        <v>0</v>
      </c>
      <c r="L27" s="101">
        <v>0</v>
      </c>
      <c r="M27" s="101">
        <v>0.8</v>
      </c>
      <c r="N27" s="101">
        <v>0.8</v>
      </c>
      <c r="O27" s="101">
        <v>0</v>
      </c>
      <c r="P27" s="101">
        <v>0</v>
      </c>
      <c r="Q27" s="101">
        <v>0</v>
      </c>
      <c r="R27" s="101">
        <v>0</v>
      </c>
      <c r="S27" s="101">
        <v>0.8</v>
      </c>
      <c r="T27" s="101">
        <v>0</v>
      </c>
      <c r="U27" s="101">
        <v>0</v>
      </c>
      <c r="V27" s="101">
        <v>0.8</v>
      </c>
      <c r="W27" s="101">
        <v>0</v>
      </c>
      <c r="X27" s="101">
        <v>0</v>
      </c>
      <c r="Y27" s="101">
        <v>0</v>
      </c>
      <c r="Z27" s="101">
        <v>0.8</v>
      </c>
      <c r="AA27" s="101">
        <v>0</v>
      </c>
      <c r="AB27" s="101">
        <v>0</v>
      </c>
      <c r="AC27" s="101">
        <v>0</v>
      </c>
      <c r="AD27" s="101">
        <v>0</v>
      </c>
      <c r="AE27" s="101">
        <v>0</v>
      </c>
      <c r="AF27" s="101">
        <v>0</v>
      </c>
      <c r="AG27" s="101">
        <v>0</v>
      </c>
      <c r="AH27" s="101">
        <v>0</v>
      </c>
      <c r="AI27" s="101">
        <v>0</v>
      </c>
      <c r="AJ27" s="101">
        <v>0</v>
      </c>
      <c r="AK27" s="101">
        <v>0</v>
      </c>
      <c r="AL27" s="101">
        <v>0</v>
      </c>
    </row>
    <row r="28" spans="1:38" customFormat="1" x14ac:dyDescent="0.15">
      <c r="A28" s="176" t="s">
        <v>218</v>
      </c>
      <c r="B28" s="101">
        <v>0</v>
      </c>
      <c r="C28" s="101">
        <v>0</v>
      </c>
      <c r="D28" s="101">
        <v>0</v>
      </c>
      <c r="E28" s="101">
        <v>0</v>
      </c>
      <c r="F28" s="101">
        <v>0</v>
      </c>
      <c r="G28" s="101">
        <v>0.8</v>
      </c>
      <c r="H28" s="101">
        <v>0.8</v>
      </c>
      <c r="I28" s="101">
        <v>0</v>
      </c>
      <c r="J28" s="101">
        <v>0</v>
      </c>
      <c r="K28" s="101">
        <v>0</v>
      </c>
      <c r="L28" s="101">
        <v>0</v>
      </c>
      <c r="M28" s="101">
        <v>0</v>
      </c>
      <c r="N28" s="101">
        <v>0</v>
      </c>
      <c r="O28" s="101">
        <v>0</v>
      </c>
      <c r="P28" s="101">
        <v>0</v>
      </c>
      <c r="Q28" s="101">
        <v>0</v>
      </c>
      <c r="R28" s="101">
        <v>0</v>
      </c>
      <c r="S28" s="101">
        <v>0</v>
      </c>
      <c r="T28" s="101">
        <v>0.8</v>
      </c>
      <c r="U28" s="101">
        <v>0</v>
      </c>
      <c r="V28" s="101">
        <v>0</v>
      </c>
      <c r="W28" s="101">
        <v>0</v>
      </c>
      <c r="X28" s="101">
        <v>0</v>
      </c>
      <c r="Y28" s="101">
        <v>0</v>
      </c>
      <c r="Z28" s="101">
        <v>0</v>
      </c>
      <c r="AA28" s="101">
        <v>0</v>
      </c>
      <c r="AB28" s="101">
        <v>0</v>
      </c>
      <c r="AC28" s="101">
        <v>0</v>
      </c>
      <c r="AD28" s="101">
        <v>0</v>
      </c>
      <c r="AE28" s="101">
        <v>0</v>
      </c>
      <c r="AF28" s="101">
        <v>0</v>
      </c>
      <c r="AG28" s="101">
        <v>0</v>
      </c>
      <c r="AH28" s="101">
        <v>0</v>
      </c>
      <c r="AI28" s="101">
        <v>0</v>
      </c>
      <c r="AJ28" s="101">
        <v>0</v>
      </c>
      <c r="AK28" s="101">
        <v>0</v>
      </c>
      <c r="AL28" s="101">
        <v>0</v>
      </c>
    </row>
    <row r="29" spans="1:38" customFormat="1" x14ac:dyDescent="0.15">
      <c r="A29" s="176" t="s">
        <v>219</v>
      </c>
      <c r="B29" s="101">
        <v>0</v>
      </c>
      <c r="C29" s="101">
        <v>0</v>
      </c>
      <c r="D29" s="101">
        <v>0</v>
      </c>
      <c r="E29" s="101">
        <v>0</v>
      </c>
      <c r="F29" s="101">
        <v>0</v>
      </c>
      <c r="G29" s="101">
        <v>0.8</v>
      </c>
      <c r="H29" s="101">
        <v>0.8</v>
      </c>
      <c r="I29" s="101">
        <v>0</v>
      </c>
      <c r="J29" s="101">
        <v>0.8</v>
      </c>
      <c r="K29" s="101">
        <v>0.8</v>
      </c>
      <c r="L29" s="101">
        <v>0</v>
      </c>
      <c r="M29" s="101">
        <v>0</v>
      </c>
      <c r="N29" s="101">
        <v>0</v>
      </c>
      <c r="O29" s="101">
        <v>0</v>
      </c>
      <c r="P29" s="101">
        <v>0</v>
      </c>
      <c r="Q29" s="101">
        <v>0</v>
      </c>
      <c r="R29" s="101">
        <v>0.8</v>
      </c>
      <c r="S29" s="101">
        <v>0.8</v>
      </c>
      <c r="T29" s="101">
        <v>0.8</v>
      </c>
      <c r="U29" s="101">
        <v>0.8</v>
      </c>
      <c r="V29" s="101">
        <v>0</v>
      </c>
      <c r="W29" s="101">
        <v>0</v>
      </c>
      <c r="X29" s="101">
        <v>0</v>
      </c>
      <c r="Y29" s="101">
        <v>0.8</v>
      </c>
      <c r="Z29" s="101">
        <v>0</v>
      </c>
      <c r="AA29" s="101">
        <v>0</v>
      </c>
      <c r="AB29" s="101">
        <v>0.8</v>
      </c>
      <c r="AC29" s="101">
        <v>0</v>
      </c>
      <c r="AD29" s="101">
        <v>0</v>
      </c>
      <c r="AE29" s="101">
        <v>0</v>
      </c>
      <c r="AF29" s="101">
        <v>0</v>
      </c>
      <c r="AG29" s="101">
        <v>0</v>
      </c>
      <c r="AH29" s="101">
        <v>0</v>
      </c>
      <c r="AI29" s="101">
        <v>0</v>
      </c>
      <c r="AJ29" s="101">
        <v>0</v>
      </c>
      <c r="AK29" s="101">
        <v>0</v>
      </c>
      <c r="AL29" s="101">
        <v>0</v>
      </c>
    </row>
    <row r="30" spans="1:38" customFormat="1" x14ac:dyDescent="0.15">
      <c r="A30" s="176" t="s">
        <v>220</v>
      </c>
      <c r="B30" s="101">
        <v>0</v>
      </c>
      <c r="C30" s="101">
        <v>0</v>
      </c>
      <c r="D30" s="101">
        <v>0</v>
      </c>
      <c r="E30" s="101">
        <v>0</v>
      </c>
      <c r="F30" s="101">
        <v>0</v>
      </c>
      <c r="G30" s="101">
        <v>0</v>
      </c>
      <c r="H30" s="101">
        <v>0</v>
      </c>
      <c r="I30" s="101">
        <v>0</v>
      </c>
      <c r="J30" s="101">
        <v>0.8</v>
      </c>
      <c r="K30" s="101">
        <v>0.8</v>
      </c>
      <c r="L30" s="101">
        <v>0</v>
      </c>
      <c r="M30" s="101">
        <v>0.8</v>
      </c>
      <c r="N30" s="101">
        <v>0.8</v>
      </c>
      <c r="O30" s="101">
        <v>0</v>
      </c>
      <c r="P30" s="101">
        <v>0.8</v>
      </c>
      <c r="Q30" s="101">
        <v>0.8</v>
      </c>
      <c r="R30" s="101">
        <v>0</v>
      </c>
      <c r="S30" s="101">
        <v>0.8</v>
      </c>
      <c r="T30" s="101">
        <v>0</v>
      </c>
      <c r="U30" s="101">
        <v>0</v>
      </c>
      <c r="V30" s="101">
        <v>0</v>
      </c>
      <c r="W30" s="101">
        <v>0</v>
      </c>
      <c r="X30" s="101">
        <v>0</v>
      </c>
      <c r="Y30" s="101">
        <v>0</v>
      </c>
      <c r="Z30" s="101">
        <v>0.8</v>
      </c>
      <c r="AA30" s="101">
        <v>0</v>
      </c>
      <c r="AB30" s="101">
        <v>0</v>
      </c>
      <c r="AC30" s="101">
        <v>0</v>
      </c>
      <c r="AD30" s="101">
        <v>0</v>
      </c>
      <c r="AE30" s="101">
        <v>0</v>
      </c>
      <c r="AF30" s="101">
        <v>0</v>
      </c>
      <c r="AG30" s="101">
        <v>0</v>
      </c>
      <c r="AH30" s="101">
        <v>0</v>
      </c>
      <c r="AI30" s="101">
        <v>0</v>
      </c>
      <c r="AJ30" s="101">
        <v>0</v>
      </c>
      <c r="AK30" s="101">
        <v>0</v>
      </c>
      <c r="AL30" s="101">
        <v>0</v>
      </c>
    </row>
    <row r="31" spans="1:38" customFormat="1" x14ac:dyDescent="0.15">
      <c r="A31" s="176" t="s">
        <v>221</v>
      </c>
      <c r="B31" s="101">
        <v>0</v>
      </c>
      <c r="C31" s="101">
        <v>0.8</v>
      </c>
      <c r="D31" s="101">
        <v>0</v>
      </c>
      <c r="E31" s="101">
        <v>0</v>
      </c>
      <c r="F31" s="101">
        <v>0.8</v>
      </c>
      <c r="G31" s="101">
        <v>0</v>
      </c>
      <c r="H31" s="101">
        <v>0</v>
      </c>
      <c r="I31" s="101">
        <v>0.8</v>
      </c>
      <c r="J31" s="101">
        <v>0.8</v>
      </c>
      <c r="K31" s="101">
        <v>0.8</v>
      </c>
      <c r="L31" s="101">
        <v>0.8</v>
      </c>
      <c r="M31" s="101">
        <v>0.8</v>
      </c>
      <c r="N31" s="101">
        <v>0.8</v>
      </c>
      <c r="O31" s="101">
        <v>0.8</v>
      </c>
      <c r="P31" s="101">
        <v>0.8</v>
      </c>
      <c r="Q31" s="101">
        <v>0.8</v>
      </c>
      <c r="R31" s="101">
        <v>0</v>
      </c>
      <c r="S31" s="101">
        <v>0.8</v>
      </c>
      <c r="T31" s="101">
        <v>0.8</v>
      </c>
      <c r="U31" s="101">
        <v>0.8</v>
      </c>
      <c r="V31" s="101">
        <v>0.8</v>
      </c>
      <c r="W31" s="101">
        <v>0.8</v>
      </c>
      <c r="X31" s="101">
        <v>0.8</v>
      </c>
      <c r="Y31" s="101">
        <v>0</v>
      </c>
      <c r="Z31" s="101">
        <v>0.8</v>
      </c>
      <c r="AA31" s="101">
        <v>0.8</v>
      </c>
      <c r="AB31" s="101">
        <v>0</v>
      </c>
      <c r="AC31" s="101">
        <v>0.8</v>
      </c>
      <c r="AD31" s="101">
        <v>0.8</v>
      </c>
      <c r="AE31" s="101">
        <v>0</v>
      </c>
      <c r="AF31" s="101">
        <v>0</v>
      </c>
      <c r="AG31" s="101">
        <v>0</v>
      </c>
      <c r="AH31" s="101">
        <v>0</v>
      </c>
      <c r="AI31" s="101">
        <v>0</v>
      </c>
      <c r="AJ31" s="101">
        <v>0</v>
      </c>
      <c r="AK31" s="101">
        <v>0</v>
      </c>
      <c r="AL31" s="101">
        <v>0</v>
      </c>
    </row>
    <row r="32" spans="1:38" customFormat="1" x14ac:dyDescent="0.15">
      <c r="A32" s="176" t="s">
        <v>222</v>
      </c>
      <c r="B32" s="101">
        <v>0</v>
      </c>
      <c r="C32" s="101">
        <v>0</v>
      </c>
      <c r="D32" s="101">
        <v>0</v>
      </c>
      <c r="E32" s="101">
        <v>0</v>
      </c>
      <c r="F32" s="101">
        <v>0</v>
      </c>
      <c r="G32" s="101">
        <v>0</v>
      </c>
      <c r="H32" s="101">
        <v>0</v>
      </c>
      <c r="I32" s="101">
        <v>0</v>
      </c>
      <c r="J32" s="101">
        <v>0</v>
      </c>
      <c r="K32" s="101">
        <v>0</v>
      </c>
      <c r="L32" s="101">
        <v>0</v>
      </c>
      <c r="M32" s="101">
        <v>0</v>
      </c>
      <c r="N32" s="101">
        <v>0</v>
      </c>
      <c r="O32" s="101">
        <v>0</v>
      </c>
      <c r="P32" s="101">
        <v>0</v>
      </c>
      <c r="Q32" s="101">
        <v>0</v>
      </c>
      <c r="R32" s="101">
        <v>0</v>
      </c>
      <c r="S32" s="101">
        <v>0</v>
      </c>
      <c r="T32" s="101">
        <v>0</v>
      </c>
      <c r="U32" s="101">
        <v>0</v>
      </c>
      <c r="V32" s="101">
        <v>0</v>
      </c>
      <c r="W32" s="101">
        <v>0</v>
      </c>
      <c r="X32" s="101">
        <v>0</v>
      </c>
      <c r="Y32" s="101">
        <v>0</v>
      </c>
      <c r="Z32" s="101">
        <v>0</v>
      </c>
      <c r="AA32" s="101">
        <v>0</v>
      </c>
      <c r="AB32" s="101">
        <v>0</v>
      </c>
      <c r="AC32" s="101">
        <v>0</v>
      </c>
      <c r="AD32" s="101">
        <v>0</v>
      </c>
      <c r="AE32" s="101">
        <v>0</v>
      </c>
      <c r="AF32" s="101">
        <v>0</v>
      </c>
      <c r="AG32" s="101">
        <v>0</v>
      </c>
      <c r="AH32" s="101">
        <v>0</v>
      </c>
      <c r="AI32" s="101">
        <v>0</v>
      </c>
      <c r="AJ32" s="101">
        <v>0</v>
      </c>
      <c r="AK32" s="101">
        <v>0</v>
      </c>
      <c r="AL32" s="101">
        <v>0</v>
      </c>
    </row>
    <row r="33" spans="1:38" x14ac:dyDescent="0.15">
      <c r="A33" s="176" t="s">
        <v>223</v>
      </c>
      <c r="B33" s="101">
        <v>0</v>
      </c>
      <c r="C33" s="101">
        <v>0</v>
      </c>
      <c r="D33" s="101">
        <v>0</v>
      </c>
      <c r="E33" s="101">
        <v>0</v>
      </c>
      <c r="F33" s="101">
        <v>0</v>
      </c>
      <c r="G33" s="101">
        <v>0</v>
      </c>
      <c r="H33" s="101">
        <v>0</v>
      </c>
      <c r="I33" s="101">
        <v>0</v>
      </c>
      <c r="J33" s="101">
        <v>0</v>
      </c>
      <c r="K33" s="101">
        <v>0</v>
      </c>
      <c r="L33" s="101">
        <v>0</v>
      </c>
      <c r="M33" s="101">
        <v>0</v>
      </c>
      <c r="N33" s="101">
        <v>0</v>
      </c>
      <c r="O33" s="101">
        <v>0</v>
      </c>
      <c r="P33" s="101">
        <v>0</v>
      </c>
      <c r="Q33" s="101">
        <v>0</v>
      </c>
      <c r="R33" s="101">
        <v>0</v>
      </c>
      <c r="S33" s="101">
        <v>0</v>
      </c>
      <c r="T33" s="101">
        <v>0</v>
      </c>
      <c r="U33" s="101">
        <v>0</v>
      </c>
      <c r="V33" s="101">
        <v>0</v>
      </c>
      <c r="W33" s="101">
        <v>0</v>
      </c>
      <c r="X33" s="101">
        <v>0</v>
      </c>
      <c r="Y33" s="101">
        <v>0</v>
      </c>
      <c r="Z33" s="101">
        <v>0</v>
      </c>
      <c r="AA33" s="101">
        <v>0</v>
      </c>
      <c r="AB33" s="101">
        <v>0</v>
      </c>
      <c r="AC33" s="101">
        <v>0</v>
      </c>
      <c r="AD33" s="101">
        <v>0</v>
      </c>
      <c r="AE33" s="101">
        <v>0</v>
      </c>
      <c r="AF33" s="101">
        <v>0</v>
      </c>
      <c r="AG33" s="101">
        <v>0</v>
      </c>
      <c r="AH33" s="101">
        <v>0</v>
      </c>
      <c r="AI33" s="101">
        <v>0</v>
      </c>
      <c r="AJ33" s="101">
        <v>0</v>
      </c>
      <c r="AK33" s="101">
        <v>0</v>
      </c>
      <c r="AL33" s="101">
        <v>0</v>
      </c>
    </row>
    <row r="34" spans="1:38" x14ac:dyDescent="0.15">
      <c r="A34" s="176" t="s">
        <v>224</v>
      </c>
      <c r="B34" s="101">
        <v>0</v>
      </c>
      <c r="C34" s="101">
        <v>0</v>
      </c>
      <c r="D34" s="101">
        <v>0.8</v>
      </c>
      <c r="E34" s="101">
        <v>0</v>
      </c>
      <c r="F34" s="101">
        <v>0</v>
      </c>
      <c r="G34" s="101">
        <v>0.8</v>
      </c>
      <c r="H34" s="101">
        <v>0.8</v>
      </c>
      <c r="I34" s="101">
        <v>0</v>
      </c>
      <c r="J34" s="101">
        <v>0</v>
      </c>
      <c r="K34" s="101">
        <v>0</v>
      </c>
      <c r="L34" s="101">
        <v>0</v>
      </c>
      <c r="M34" s="101">
        <v>0</v>
      </c>
      <c r="N34" s="101">
        <v>0</v>
      </c>
      <c r="O34" s="101">
        <v>0</v>
      </c>
      <c r="P34" s="101">
        <v>0.8</v>
      </c>
      <c r="Q34" s="101">
        <v>0.8</v>
      </c>
      <c r="R34" s="101">
        <v>0.8</v>
      </c>
      <c r="S34" s="101">
        <v>0.8</v>
      </c>
      <c r="T34" s="101">
        <v>0.8</v>
      </c>
      <c r="U34" s="101">
        <v>0</v>
      </c>
      <c r="V34" s="101">
        <v>0</v>
      </c>
      <c r="W34" s="101">
        <v>0</v>
      </c>
      <c r="X34" s="101">
        <v>0</v>
      </c>
      <c r="Y34" s="101">
        <v>0.8</v>
      </c>
      <c r="Z34" s="101">
        <v>0.8</v>
      </c>
      <c r="AA34" s="101">
        <v>0.8</v>
      </c>
      <c r="AB34" s="101">
        <v>0.8</v>
      </c>
      <c r="AC34" s="101">
        <v>0.8</v>
      </c>
      <c r="AD34" s="101">
        <v>0</v>
      </c>
      <c r="AE34" s="101">
        <v>0</v>
      </c>
      <c r="AF34" s="101">
        <v>0</v>
      </c>
      <c r="AG34" s="101">
        <v>0</v>
      </c>
      <c r="AH34" s="101">
        <v>0</v>
      </c>
      <c r="AI34" s="101">
        <v>0</v>
      </c>
      <c r="AJ34" s="101">
        <v>0</v>
      </c>
      <c r="AK34" s="101">
        <v>0</v>
      </c>
      <c r="AL34" s="101">
        <v>0</v>
      </c>
    </row>
    <row r="35" spans="1:38" x14ac:dyDescent="0.15">
      <c r="A35" s="176" t="s">
        <v>225</v>
      </c>
      <c r="B35" s="101">
        <v>0</v>
      </c>
      <c r="C35" s="101">
        <v>0</v>
      </c>
      <c r="D35" s="101">
        <v>0</v>
      </c>
      <c r="E35" s="101">
        <v>0</v>
      </c>
      <c r="F35" s="101">
        <v>0</v>
      </c>
      <c r="G35" s="101">
        <v>0</v>
      </c>
      <c r="H35" s="101">
        <v>0</v>
      </c>
      <c r="I35" s="101">
        <v>0</v>
      </c>
      <c r="J35" s="101">
        <v>0</v>
      </c>
      <c r="K35" s="101">
        <v>0</v>
      </c>
      <c r="L35" s="101">
        <v>0</v>
      </c>
      <c r="M35" s="101">
        <v>0</v>
      </c>
      <c r="N35" s="101">
        <v>0</v>
      </c>
      <c r="O35" s="101">
        <v>0</v>
      </c>
      <c r="P35" s="101">
        <v>0</v>
      </c>
      <c r="Q35" s="101">
        <v>0</v>
      </c>
      <c r="R35" s="101">
        <v>0</v>
      </c>
      <c r="S35" s="101">
        <v>0</v>
      </c>
      <c r="T35" s="101">
        <v>0</v>
      </c>
      <c r="U35" s="101">
        <v>0</v>
      </c>
      <c r="V35" s="101">
        <v>0</v>
      </c>
      <c r="W35" s="101">
        <v>0</v>
      </c>
      <c r="X35" s="101">
        <v>0</v>
      </c>
      <c r="Y35" s="101">
        <v>0</v>
      </c>
      <c r="Z35" s="101">
        <v>0</v>
      </c>
      <c r="AA35" s="101">
        <v>0</v>
      </c>
      <c r="AB35" s="101">
        <v>0</v>
      </c>
      <c r="AC35" s="101">
        <v>0</v>
      </c>
      <c r="AD35" s="101">
        <v>0</v>
      </c>
      <c r="AE35" s="101">
        <v>0</v>
      </c>
      <c r="AF35" s="101">
        <v>0.8</v>
      </c>
      <c r="AG35" s="101">
        <v>0.8</v>
      </c>
      <c r="AH35" s="101">
        <v>0</v>
      </c>
      <c r="AI35" s="101">
        <v>0</v>
      </c>
      <c r="AJ35" s="101">
        <v>0</v>
      </c>
      <c r="AK35" s="101">
        <v>0</v>
      </c>
      <c r="AL35" s="101">
        <v>0</v>
      </c>
    </row>
    <row r="36" spans="1:38" x14ac:dyDescent="0.15">
      <c r="A36" s="176" t="s">
        <v>226</v>
      </c>
      <c r="B36" s="101">
        <v>0</v>
      </c>
      <c r="C36" s="101">
        <v>0</v>
      </c>
      <c r="D36" s="101">
        <v>0</v>
      </c>
      <c r="E36" s="101">
        <v>0</v>
      </c>
      <c r="F36" s="101">
        <v>0</v>
      </c>
      <c r="G36" s="101">
        <v>0</v>
      </c>
      <c r="H36" s="101">
        <v>0</v>
      </c>
      <c r="I36" s="101">
        <v>0</v>
      </c>
      <c r="J36" s="101">
        <v>0</v>
      </c>
      <c r="K36" s="101">
        <v>0</v>
      </c>
      <c r="L36" s="101">
        <v>0</v>
      </c>
      <c r="M36" s="101">
        <v>0</v>
      </c>
      <c r="N36" s="101">
        <v>0</v>
      </c>
      <c r="O36" s="101">
        <v>0</v>
      </c>
      <c r="P36" s="101">
        <v>0</v>
      </c>
      <c r="Q36" s="101">
        <v>0</v>
      </c>
      <c r="R36" s="101">
        <v>0</v>
      </c>
      <c r="S36" s="101">
        <v>0</v>
      </c>
      <c r="T36" s="101">
        <v>0</v>
      </c>
      <c r="U36" s="101">
        <v>0</v>
      </c>
      <c r="V36" s="101">
        <v>0</v>
      </c>
      <c r="W36" s="101">
        <v>0</v>
      </c>
      <c r="X36" s="101">
        <v>0.8</v>
      </c>
      <c r="Y36" s="101">
        <v>0</v>
      </c>
      <c r="Z36" s="101">
        <v>0</v>
      </c>
      <c r="AA36" s="101">
        <v>0</v>
      </c>
      <c r="AB36" s="101">
        <v>0</v>
      </c>
      <c r="AC36" s="101">
        <v>0</v>
      </c>
      <c r="AD36" s="101">
        <v>0</v>
      </c>
      <c r="AE36" s="101">
        <v>0.8</v>
      </c>
      <c r="AF36" s="101">
        <v>0</v>
      </c>
      <c r="AG36" s="101">
        <v>0</v>
      </c>
      <c r="AH36" s="101">
        <v>0.8</v>
      </c>
      <c r="AI36" s="101">
        <v>0</v>
      </c>
      <c r="AJ36" s="101">
        <v>0</v>
      </c>
      <c r="AK36" s="101">
        <v>0</v>
      </c>
      <c r="AL36" s="101">
        <v>0</v>
      </c>
    </row>
    <row r="37" spans="1:38" x14ac:dyDescent="0.15">
      <c r="A37" s="176" t="s">
        <v>227</v>
      </c>
      <c r="B37" s="101">
        <v>0</v>
      </c>
      <c r="C37" s="101">
        <v>0</v>
      </c>
      <c r="D37" s="101">
        <v>0</v>
      </c>
      <c r="E37" s="101">
        <v>0</v>
      </c>
      <c r="F37" s="101">
        <v>0</v>
      </c>
      <c r="G37" s="101">
        <v>0</v>
      </c>
      <c r="H37" s="101">
        <v>0</v>
      </c>
      <c r="I37" s="101">
        <v>0</v>
      </c>
      <c r="J37" s="101">
        <v>0</v>
      </c>
      <c r="K37" s="101">
        <v>0</v>
      </c>
      <c r="L37" s="101">
        <v>0</v>
      </c>
      <c r="M37" s="101">
        <v>0</v>
      </c>
      <c r="N37" s="101">
        <v>0</v>
      </c>
      <c r="O37" s="101">
        <v>0</v>
      </c>
      <c r="P37" s="101">
        <v>0</v>
      </c>
      <c r="Q37" s="101">
        <v>0</v>
      </c>
      <c r="R37" s="101">
        <v>0</v>
      </c>
      <c r="S37" s="101">
        <v>0</v>
      </c>
      <c r="T37" s="101">
        <v>0</v>
      </c>
      <c r="U37" s="101">
        <v>0</v>
      </c>
      <c r="V37" s="101">
        <v>0</v>
      </c>
      <c r="W37" s="101">
        <v>0</v>
      </c>
      <c r="X37" s="101">
        <v>0</v>
      </c>
      <c r="Y37" s="101">
        <v>0</v>
      </c>
      <c r="Z37" s="101">
        <v>0</v>
      </c>
      <c r="AA37" s="101">
        <v>0.8</v>
      </c>
      <c r="AB37" s="101">
        <v>0</v>
      </c>
      <c r="AC37" s="101">
        <v>0.8</v>
      </c>
      <c r="AD37" s="101">
        <v>0</v>
      </c>
      <c r="AE37" s="101">
        <v>0.8</v>
      </c>
      <c r="AF37" s="101">
        <v>0.8</v>
      </c>
      <c r="AG37" s="101">
        <v>0.8</v>
      </c>
      <c r="AH37" s="101">
        <v>0.8</v>
      </c>
      <c r="AI37" s="101">
        <v>0</v>
      </c>
      <c r="AJ37" s="101">
        <v>0</v>
      </c>
      <c r="AK37" s="101">
        <v>0</v>
      </c>
      <c r="AL37" s="101">
        <v>0</v>
      </c>
    </row>
    <row r="38" spans="1:38" x14ac:dyDescent="0.15">
      <c r="A38" s="176" t="s">
        <v>228</v>
      </c>
      <c r="B38" s="101">
        <v>0</v>
      </c>
      <c r="C38" s="101">
        <v>0</v>
      </c>
      <c r="D38" s="101">
        <v>0</v>
      </c>
      <c r="E38" s="101">
        <v>0</v>
      </c>
      <c r="F38" s="101">
        <v>0</v>
      </c>
      <c r="G38" s="101">
        <v>0</v>
      </c>
      <c r="H38" s="101">
        <v>0</v>
      </c>
      <c r="I38" s="101">
        <v>0</v>
      </c>
      <c r="J38" s="101">
        <v>0</v>
      </c>
      <c r="K38" s="101">
        <v>0</v>
      </c>
      <c r="L38" s="101">
        <v>0</v>
      </c>
      <c r="M38" s="101">
        <v>0</v>
      </c>
      <c r="N38" s="101">
        <v>0</v>
      </c>
      <c r="O38" s="101">
        <v>0</v>
      </c>
      <c r="P38" s="101">
        <v>0</v>
      </c>
      <c r="Q38" s="101">
        <v>0</v>
      </c>
      <c r="R38" s="101">
        <v>0</v>
      </c>
      <c r="S38" s="101">
        <v>0</v>
      </c>
      <c r="T38" s="101">
        <v>0</v>
      </c>
      <c r="U38" s="101">
        <v>0</v>
      </c>
      <c r="V38" s="101">
        <v>0</v>
      </c>
      <c r="W38" s="101">
        <v>0</v>
      </c>
      <c r="X38" s="101">
        <v>0</v>
      </c>
      <c r="Y38" s="101">
        <v>0</v>
      </c>
      <c r="Z38" s="101">
        <v>0</v>
      </c>
      <c r="AA38" s="101">
        <v>0</v>
      </c>
      <c r="AB38" s="101">
        <v>0</v>
      </c>
      <c r="AC38" s="101">
        <v>0</v>
      </c>
      <c r="AD38" s="101">
        <v>0</v>
      </c>
      <c r="AE38" s="101">
        <v>0</v>
      </c>
      <c r="AF38" s="101">
        <v>0</v>
      </c>
      <c r="AG38" s="101">
        <v>0</v>
      </c>
      <c r="AH38" s="101">
        <v>0</v>
      </c>
      <c r="AI38" s="101">
        <v>0</v>
      </c>
      <c r="AJ38" s="101">
        <v>0</v>
      </c>
      <c r="AK38" s="101">
        <v>0</v>
      </c>
      <c r="AL38" s="101">
        <v>0</v>
      </c>
    </row>
    <row r="39" spans="1:38" x14ac:dyDescent="0.15">
      <c r="A39" s="176" t="s">
        <v>237</v>
      </c>
      <c r="B39" s="101">
        <v>0</v>
      </c>
      <c r="C39" s="101">
        <v>0</v>
      </c>
      <c r="D39" s="101">
        <v>0</v>
      </c>
      <c r="E39" s="101">
        <v>0</v>
      </c>
      <c r="F39" s="101">
        <v>0</v>
      </c>
      <c r="G39" s="101">
        <v>0</v>
      </c>
      <c r="H39" s="101">
        <v>0</v>
      </c>
      <c r="I39" s="101">
        <v>0</v>
      </c>
      <c r="J39" s="101">
        <v>0</v>
      </c>
      <c r="K39" s="101">
        <v>0</v>
      </c>
      <c r="L39" s="101">
        <v>0</v>
      </c>
      <c r="M39" s="101">
        <v>0</v>
      </c>
      <c r="N39" s="101">
        <v>0</v>
      </c>
      <c r="O39" s="101">
        <v>0</v>
      </c>
      <c r="P39" s="101">
        <v>0</v>
      </c>
      <c r="Q39" s="101">
        <v>0</v>
      </c>
      <c r="R39" s="101">
        <v>0</v>
      </c>
      <c r="S39" s="101">
        <v>0</v>
      </c>
      <c r="T39" s="101">
        <v>0</v>
      </c>
      <c r="U39" s="101">
        <v>0</v>
      </c>
      <c r="V39" s="101">
        <v>0</v>
      </c>
      <c r="W39" s="101">
        <v>0</v>
      </c>
      <c r="X39" s="101">
        <v>0</v>
      </c>
      <c r="Y39" s="101">
        <v>0</v>
      </c>
      <c r="Z39" s="101">
        <v>0</v>
      </c>
      <c r="AA39" s="101">
        <v>0</v>
      </c>
      <c r="AB39" s="101">
        <v>0</v>
      </c>
      <c r="AC39" s="101">
        <v>0</v>
      </c>
      <c r="AD39" s="101">
        <v>0</v>
      </c>
      <c r="AE39" s="101">
        <v>0</v>
      </c>
      <c r="AF39" s="101">
        <v>0</v>
      </c>
      <c r="AG39" s="101">
        <v>0</v>
      </c>
      <c r="AH39" s="101">
        <v>0</v>
      </c>
      <c r="AI39" s="101">
        <v>0</v>
      </c>
      <c r="AJ39" s="101">
        <v>0</v>
      </c>
      <c r="AK39" s="101">
        <v>0</v>
      </c>
      <c r="AL39" s="10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L39"/>
  <sheetViews>
    <sheetView workbookViewId="0">
      <selection activeCell="A3" sqref="A3"/>
    </sheetView>
  </sheetViews>
  <sheetFormatPr baseColWidth="10" defaultRowHeight="13" x14ac:dyDescent="0.15"/>
  <cols>
    <col min="1" max="1" width="23" style="101" bestFit="1" customWidth="1"/>
    <col min="2" max="38" width="2.33203125" style="101" customWidth="1"/>
    <col min="39" max="16384" width="10.83203125" style="101"/>
  </cols>
  <sheetData>
    <row r="1" spans="1:38" x14ac:dyDescent="0.15">
      <c r="A1" s="60" t="s">
        <v>139</v>
      </c>
      <c r="B1" s="179" t="s">
        <v>193</v>
      </c>
      <c r="C1" s="179" t="s">
        <v>194</v>
      </c>
      <c r="D1" s="179" t="s">
        <v>195</v>
      </c>
      <c r="E1" s="179" t="s">
        <v>196</v>
      </c>
      <c r="F1" s="179" t="s">
        <v>197</v>
      </c>
      <c r="G1" s="179" t="s">
        <v>198</v>
      </c>
      <c r="H1" s="179" t="s">
        <v>199</v>
      </c>
      <c r="I1" s="179" t="s">
        <v>200</v>
      </c>
      <c r="J1" s="179" t="s">
        <v>201</v>
      </c>
      <c r="K1" s="179" t="s">
        <v>202</v>
      </c>
      <c r="L1" s="179" t="s">
        <v>203</v>
      </c>
      <c r="M1" s="179" t="s">
        <v>204</v>
      </c>
      <c r="N1" s="179" t="s">
        <v>205</v>
      </c>
      <c r="O1" s="179" t="s">
        <v>206</v>
      </c>
      <c r="P1" s="179" t="s">
        <v>207</v>
      </c>
      <c r="Q1" s="179" t="s">
        <v>208</v>
      </c>
      <c r="R1" s="179" t="s">
        <v>209</v>
      </c>
      <c r="S1" s="179" t="s">
        <v>210</v>
      </c>
      <c r="T1" s="179" t="s">
        <v>211</v>
      </c>
      <c r="U1" s="179" t="s">
        <v>212</v>
      </c>
      <c r="V1" s="179" t="s">
        <v>213</v>
      </c>
      <c r="W1" s="179" t="s">
        <v>214</v>
      </c>
      <c r="X1" s="179" t="s">
        <v>215</v>
      </c>
      <c r="Y1" s="179" t="s">
        <v>216</v>
      </c>
      <c r="Z1" s="179" t="s">
        <v>217</v>
      </c>
      <c r="AA1" s="179" t="s">
        <v>166</v>
      </c>
      <c r="AB1" s="179" t="s">
        <v>218</v>
      </c>
      <c r="AC1" s="179" t="s">
        <v>219</v>
      </c>
      <c r="AD1" s="179" t="s">
        <v>220</v>
      </c>
      <c r="AE1" s="179" t="s">
        <v>221</v>
      </c>
      <c r="AF1" s="179" t="s">
        <v>222</v>
      </c>
      <c r="AG1" s="179" t="s">
        <v>223</v>
      </c>
      <c r="AH1" s="179" t="s">
        <v>224</v>
      </c>
      <c r="AI1" s="179" t="s">
        <v>225</v>
      </c>
      <c r="AJ1" s="179" t="s">
        <v>226</v>
      </c>
      <c r="AK1" s="179" t="s">
        <v>227</v>
      </c>
      <c r="AL1" s="179" t="s">
        <v>228</v>
      </c>
    </row>
    <row r="2" spans="1:38" customFormat="1" x14ac:dyDescent="0.15">
      <c r="A2" s="178" t="s">
        <v>193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  <c r="W2" s="101">
        <v>0</v>
      </c>
      <c r="X2" s="101">
        <v>0</v>
      </c>
      <c r="Y2" s="101">
        <v>0</v>
      </c>
      <c r="Z2" s="101">
        <v>0</v>
      </c>
      <c r="AA2" s="101">
        <v>0</v>
      </c>
      <c r="AB2" s="101">
        <v>0</v>
      </c>
      <c r="AC2" s="101">
        <v>0</v>
      </c>
      <c r="AD2" s="101">
        <v>0</v>
      </c>
      <c r="AE2" s="101">
        <v>0</v>
      </c>
      <c r="AF2" s="101">
        <v>0</v>
      </c>
      <c r="AG2" s="101">
        <v>0</v>
      </c>
      <c r="AH2" s="101">
        <v>0</v>
      </c>
      <c r="AI2" s="101">
        <v>0</v>
      </c>
      <c r="AJ2" s="101">
        <v>0</v>
      </c>
      <c r="AK2" s="101">
        <v>0</v>
      </c>
      <c r="AL2" s="101">
        <v>0</v>
      </c>
    </row>
    <row r="3" spans="1:38" customFormat="1" x14ac:dyDescent="0.15">
      <c r="A3" s="178" t="s">
        <v>194</v>
      </c>
      <c r="B3" s="101">
        <v>0</v>
      </c>
      <c r="C3" s="101">
        <v>0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  <c r="W3" s="101">
        <v>0</v>
      </c>
      <c r="X3" s="101">
        <v>0</v>
      </c>
      <c r="Y3" s="101">
        <v>0</v>
      </c>
      <c r="Z3" s="101">
        <v>0</v>
      </c>
      <c r="AA3" s="101">
        <v>0</v>
      </c>
      <c r="AB3" s="101">
        <v>0</v>
      </c>
      <c r="AC3" s="101">
        <v>0</v>
      </c>
      <c r="AD3" s="101">
        <v>0</v>
      </c>
      <c r="AE3" s="101">
        <v>0</v>
      </c>
      <c r="AF3" s="101">
        <v>0</v>
      </c>
      <c r="AG3" s="101">
        <v>0</v>
      </c>
      <c r="AH3" s="101">
        <v>0</v>
      </c>
      <c r="AI3" s="101">
        <v>0</v>
      </c>
      <c r="AJ3" s="101">
        <v>0</v>
      </c>
      <c r="AK3" s="101">
        <v>0</v>
      </c>
      <c r="AL3" s="101">
        <v>0</v>
      </c>
    </row>
    <row r="4" spans="1:38" customFormat="1" x14ac:dyDescent="0.15">
      <c r="A4" s="178" t="s">
        <v>195</v>
      </c>
      <c r="B4" s="101">
        <v>0</v>
      </c>
      <c r="C4" s="101">
        <v>0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  <c r="W4" s="101">
        <v>0</v>
      </c>
      <c r="X4" s="101">
        <v>0</v>
      </c>
      <c r="Y4" s="101">
        <v>0</v>
      </c>
      <c r="Z4" s="101">
        <v>0</v>
      </c>
      <c r="AA4" s="101">
        <v>0</v>
      </c>
      <c r="AB4" s="101">
        <v>0</v>
      </c>
      <c r="AC4" s="101">
        <v>0</v>
      </c>
      <c r="AD4" s="101">
        <v>0</v>
      </c>
      <c r="AE4" s="101">
        <v>0</v>
      </c>
      <c r="AF4" s="101">
        <v>0</v>
      </c>
      <c r="AG4" s="101">
        <v>0</v>
      </c>
      <c r="AH4" s="101">
        <v>0</v>
      </c>
      <c r="AI4" s="101">
        <v>0</v>
      </c>
      <c r="AJ4" s="101">
        <v>0</v>
      </c>
      <c r="AK4" s="101">
        <v>0</v>
      </c>
      <c r="AL4" s="101">
        <v>0</v>
      </c>
    </row>
    <row r="5" spans="1:38" customFormat="1" x14ac:dyDescent="0.15">
      <c r="A5" s="178" t="s">
        <v>196</v>
      </c>
      <c r="B5" s="101">
        <v>0</v>
      </c>
      <c r="C5" s="101">
        <v>0</v>
      </c>
      <c r="D5" s="101">
        <v>0</v>
      </c>
      <c r="E5" s="101">
        <v>0</v>
      </c>
      <c r="F5" s="101">
        <v>0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  <c r="W5" s="101">
        <v>0</v>
      </c>
      <c r="X5" s="101">
        <v>0</v>
      </c>
      <c r="Y5" s="101">
        <v>0</v>
      </c>
      <c r="Z5" s="101">
        <v>0</v>
      </c>
      <c r="AA5" s="101">
        <v>0</v>
      </c>
      <c r="AB5" s="101">
        <v>0</v>
      </c>
      <c r="AC5" s="101">
        <v>0</v>
      </c>
      <c r="AD5" s="101">
        <v>0</v>
      </c>
      <c r="AE5" s="101">
        <v>0</v>
      </c>
      <c r="AF5" s="101">
        <v>0</v>
      </c>
      <c r="AG5" s="101">
        <v>0</v>
      </c>
      <c r="AH5" s="101">
        <v>0</v>
      </c>
      <c r="AI5" s="101">
        <v>0</v>
      </c>
      <c r="AJ5" s="101">
        <v>0</v>
      </c>
      <c r="AK5" s="101">
        <v>0</v>
      </c>
      <c r="AL5" s="101">
        <v>0</v>
      </c>
    </row>
    <row r="6" spans="1:38" customFormat="1" x14ac:dyDescent="0.15">
      <c r="A6" s="178" t="s">
        <v>197</v>
      </c>
      <c r="B6" s="101">
        <v>0</v>
      </c>
      <c r="C6" s="101">
        <v>0</v>
      </c>
      <c r="D6" s="101">
        <v>0</v>
      </c>
      <c r="E6" s="101">
        <v>0</v>
      </c>
      <c r="F6" s="101">
        <v>0</v>
      </c>
      <c r="G6" s="101">
        <v>0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  <c r="W6" s="101">
        <v>0</v>
      </c>
      <c r="X6" s="101">
        <v>0</v>
      </c>
      <c r="Y6" s="101">
        <v>0</v>
      </c>
      <c r="Z6" s="101">
        <v>0</v>
      </c>
      <c r="AA6" s="101">
        <v>0</v>
      </c>
      <c r="AB6" s="101">
        <v>0</v>
      </c>
      <c r="AC6" s="101">
        <v>0</v>
      </c>
      <c r="AD6" s="101">
        <v>0</v>
      </c>
      <c r="AE6" s="101">
        <v>0</v>
      </c>
      <c r="AF6" s="101">
        <v>0</v>
      </c>
      <c r="AG6" s="101">
        <v>0</v>
      </c>
      <c r="AH6" s="101">
        <v>0</v>
      </c>
      <c r="AI6" s="101">
        <v>0</v>
      </c>
      <c r="AJ6" s="101">
        <v>0</v>
      </c>
      <c r="AK6" s="101">
        <v>0</v>
      </c>
      <c r="AL6" s="101">
        <v>0</v>
      </c>
    </row>
    <row r="7" spans="1:38" customFormat="1" x14ac:dyDescent="0.15">
      <c r="A7" s="178" t="s">
        <v>198</v>
      </c>
      <c r="B7" s="101">
        <v>0</v>
      </c>
      <c r="C7" s="101">
        <v>0</v>
      </c>
      <c r="D7" s="101">
        <v>0</v>
      </c>
      <c r="E7" s="101">
        <v>0</v>
      </c>
      <c r="F7" s="101">
        <v>0</v>
      </c>
      <c r="G7" s="101">
        <v>0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1</v>
      </c>
      <c r="T7" s="101">
        <v>0</v>
      </c>
      <c r="U7" s="101">
        <v>0</v>
      </c>
      <c r="V7" s="101">
        <v>0</v>
      </c>
      <c r="W7" s="101">
        <v>0</v>
      </c>
      <c r="X7" s="101">
        <v>0</v>
      </c>
      <c r="Y7" s="101">
        <v>0</v>
      </c>
      <c r="Z7" s="101">
        <v>0</v>
      </c>
      <c r="AA7" s="101">
        <v>0</v>
      </c>
      <c r="AB7" s="101">
        <v>0</v>
      </c>
      <c r="AC7" s="101">
        <v>0</v>
      </c>
      <c r="AD7" s="101">
        <v>0</v>
      </c>
      <c r="AE7" s="101">
        <v>0</v>
      </c>
      <c r="AF7" s="101">
        <v>0</v>
      </c>
      <c r="AG7" s="101">
        <v>0</v>
      </c>
      <c r="AH7" s="101">
        <v>0</v>
      </c>
      <c r="AI7" s="101">
        <v>0</v>
      </c>
      <c r="AJ7" s="101">
        <v>0</v>
      </c>
      <c r="AK7" s="101">
        <v>0</v>
      </c>
      <c r="AL7" s="101">
        <v>0</v>
      </c>
    </row>
    <row r="8" spans="1:38" customFormat="1" x14ac:dyDescent="0.15">
      <c r="A8" s="178" t="s">
        <v>199</v>
      </c>
      <c r="B8" s="101">
        <v>0</v>
      </c>
      <c r="C8" s="101">
        <v>0</v>
      </c>
      <c r="D8" s="101">
        <v>0</v>
      </c>
      <c r="E8" s="101">
        <v>0</v>
      </c>
      <c r="F8" s="101">
        <v>0</v>
      </c>
      <c r="G8" s="101">
        <v>0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  <c r="W8" s="101">
        <v>0</v>
      </c>
      <c r="X8" s="101">
        <v>0</v>
      </c>
      <c r="Y8" s="101">
        <v>0</v>
      </c>
      <c r="Z8" s="101">
        <v>0</v>
      </c>
      <c r="AA8" s="101">
        <v>0</v>
      </c>
      <c r="AB8" s="101">
        <v>0</v>
      </c>
      <c r="AC8" s="101">
        <v>0</v>
      </c>
      <c r="AD8" s="101">
        <v>0</v>
      </c>
      <c r="AE8" s="101">
        <v>0</v>
      </c>
      <c r="AF8" s="101">
        <v>0</v>
      </c>
      <c r="AG8" s="101">
        <v>0</v>
      </c>
      <c r="AH8" s="101">
        <v>0</v>
      </c>
      <c r="AI8" s="101">
        <v>0</v>
      </c>
      <c r="AJ8" s="101">
        <v>0</v>
      </c>
      <c r="AK8" s="101">
        <v>0</v>
      </c>
      <c r="AL8" s="101">
        <v>0</v>
      </c>
    </row>
    <row r="9" spans="1:38" customFormat="1" x14ac:dyDescent="0.15">
      <c r="A9" s="178" t="s">
        <v>200</v>
      </c>
      <c r="B9" s="101">
        <v>0</v>
      </c>
      <c r="C9" s="101">
        <v>0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  <c r="W9" s="101">
        <v>0</v>
      </c>
      <c r="X9" s="101">
        <v>0</v>
      </c>
      <c r="Y9" s="101">
        <v>0</v>
      </c>
      <c r="Z9" s="101">
        <v>0</v>
      </c>
      <c r="AA9" s="101">
        <v>0</v>
      </c>
      <c r="AB9" s="101">
        <v>0</v>
      </c>
      <c r="AC9" s="101">
        <v>0</v>
      </c>
      <c r="AD9" s="101">
        <v>0</v>
      </c>
      <c r="AE9" s="101">
        <v>0</v>
      </c>
      <c r="AF9" s="101">
        <v>0</v>
      </c>
      <c r="AG9" s="101">
        <v>0</v>
      </c>
      <c r="AH9" s="101">
        <v>0</v>
      </c>
      <c r="AI9" s="101">
        <v>0</v>
      </c>
      <c r="AJ9" s="101">
        <v>0</v>
      </c>
      <c r="AK9" s="101">
        <v>0</v>
      </c>
      <c r="AL9" s="101">
        <v>0</v>
      </c>
    </row>
    <row r="10" spans="1:38" customFormat="1" x14ac:dyDescent="0.15">
      <c r="A10" s="178" t="s">
        <v>201</v>
      </c>
      <c r="B10" s="101">
        <v>0</v>
      </c>
      <c r="C10" s="101">
        <v>0</v>
      </c>
      <c r="D10" s="101">
        <v>0</v>
      </c>
      <c r="E10" s="101">
        <v>0</v>
      </c>
      <c r="F10" s="101">
        <v>0</v>
      </c>
      <c r="G10" s="101">
        <v>0</v>
      </c>
      <c r="H10" s="101">
        <v>0</v>
      </c>
      <c r="I10" s="101">
        <v>0</v>
      </c>
      <c r="J10" s="101">
        <v>0</v>
      </c>
      <c r="K10" s="101">
        <v>0</v>
      </c>
      <c r="L10" s="101">
        <v>0</v>
      </c>
      <c r="M10" s="101">
        <v>0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  <c r="W10" s="101">
        <v>0</v>
      </c>
      <c r="X10" s="101">
        <v>0</v>
      </c>
      <c r="Y10" s="101">
        <v>0</v>
      </c>
      <c r="Z10" s="101">
        <v>0</v>
      </c>
      <c r="AA10" s="101">
        <v>0</v>
      </c>
      <c r="AB10" s="101">
        <v>0</v>
      </c>
      <c r="AC10" s="101">
        <v>0</v>
      </c>
      <c r="AD10" s="101">
        <v>0</v>
      </c>
      <c r="AE10" s="101">
        <v>0</v>
      </c>
      <c r="AF10" s="101">
        <v>0</v>
      </c>
      <c r="AG10" s="101">
        <v>0</v>
      </c>
      <c r="AH10" s="101">
        <v>0</v>
      </c>
      <c r="AI10" s="101">
        <v>0</v>
      </c>
      <c r="AJ10" s="101">
        <v>0</v>
      </c>
      <c r="AK10" s="101">
        <v>0</v>
      </c>
      <c r="AL10" s="101">
        <v>0</v>
      </c>
    </row>
    <row r="11" spans="1:38" customFormat="1" x14ac:dyDescent="0.15">
      <c r="A11" s="178" t="s">
        <v>202</v>
      </c>
      <c r="B11" s="101">
        <v>0</v>
      </c>
      <c r="C11" s="101">
        <v>0</v>
      </c>
      <c r="D11" s="101">
        <v>0</v>
      </c>
      <c r="E11" s="101">
        <v>0</v>
      </c>
      <c r="F11" s="101">
        <v>0</v>
      </c>
      <c r="G11" s="101">
        <v>0</v>
      </c>
      <c r="H11" s="101">
        <v>0</v>
      </c>
      <c r="I11" s="101">
        <v>0</v>
      </c>
      <c r="J11" s="101">
        <v>0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  <c r="W11" s="101">
        <v>0</v>
      </c>
      <c r="X11" s="101">
        <v>0</v>
      </c>
      <c r="Y11" s="101">
        <v>0</v>
      </c>
      <c r="Z11" s="101">
        <v>0</v>
      </c>
      <c r="AA11" s="101">
        <v>0</v>
      </c>
      <c r="AB11" s="101">
        <v>0</v>
      </c>
      <c r="AC11" s="101">
        <v>0</v>
      </c>
      <c r="AD11" s="101">
        <v>0</v>
      </c>
      <c r="AE11" s="101">
        <v>0</v>
      </c>
      <c r="AF11" s="101">
        <v>0</v>
      </c>
      <c r="AG11" s="101">
        <v>0</v>
      </c>
      <c r="AH11" s="101">
        <v>0</v>
      </c>
      <c r="AI11" s="101">
        <v>0</v>
      </c>
      <c r="AJ11" s="101">
        <v>0</v>
      </c>
      <c r="AK11" s="101">
        <v>0</v>
      </c>
      <c r="AL11" s="101">
        <v>0</v>
      </c>
    </row>
    <row r="12" spans="1:38" customFormat="1" x14ac:dyDescent="0.15">
      <c r="A12" s="178" t="s">
        <v>203</v>
      </c>
      <c r="B12" s="101">
        <v>0</v>
      </c>
      <c r="C12" s="101">
        <v>0</v>
      </c>
      <c r="D12" s="101">
        <v>0</v>
      </c>
      <c r="E12" s="101">
        <v>0</v>
      </c>
      <c r="F12" s="101">
        <v>0</v>
      </c>
      <c r="G12" s="101">
        <v>0</v>
      </c>
      <c r="H12" s="101">
        <v>0</v>
      </c>
      <c r="I12" s="101">
        <v>0</v>
      </c>
      <c r="J12" s="101">
        <v>0</v>
      </c>
      <c r="K12" s="101">
        <v>0</v>
      </c>
      <c r="L12" s="101">
        <v>0</v>
      </c>
      <c r="M12" s="101">
        <v>0</v>
      </c>
      <c r="N12" s="101">
        <v>0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  <c r="W12" s="101">
        <v>0</v>
      </c>
      <c r="X12" s="101">
        <v>0</v>
      </c>
      <c r="Y12" s="101">
        <v>0</v>
      </c>
      <c r="Z12" s="101">
        <v>0</v>
      </c>
      <c r="AA12" s="101">
        <v>0</v>
      </c>
      <c r="AB12" s="101">
        <v>0</v>
      </c>
      <c r="AC12" s="101">
        <v>0</v>
      </c>
      <c r="AD12" s="101">
        <v>0</v>
      </c>
      <c r="AE12" s="101">
        <v>0</v>
      </c>
      <c r="AF12" s="101">
        <v>0</v>
      </c>
      <c r="AG12" s="101">
        <v>0</v>
      </c>
      <c r="AH12" s="101">
        <v>0</v>
      </c>
      <c r="AI12" s="101">
        <v>0</v>
      </c>
      <c r="AJ12" s="101">
        <v>0</v>
      </c>
      <c r="AK12" s="101">
        <v>0</v>
      </c>
      <c r="AL12" s="101">
        <v>0</v>
      </c>
    </row>
    <row r="13" spans="1:38" customFormat="1" x14ac:dyDescent="0.15">
      <c r="A13" s="178" t="s">
        <v>204</v>
      </c>
      <c r="B13" s="101">
        <v>0</v>
      </c>
      <c r="C13" s="101">
        <v>0</v>
      </c>
      <c r="D13" s="101">
        <v>0</v>
      </c>
      <c r="E13" s="101">
        <v>0</v>
      </c>
      <c r="F13" s="101">
        <v>0</v>
      </c>
      <c r="G13" s="101">
        <v>0</v>
      </c>
      <c r="H13" s="101">
        <v>0</v>
      </c>
      <c r="I13" s="101">
        <v>0</v>
      </c>
      <c r="J13" s="101">
        <v>0</v>
      </c>
      <c r="K13" s="101">
        <v>0</v>
      </c>
      <c r="L13" s="101">
        <v>0</v>
      </c>
      <c r="M13" s="101">
        <v>0</v>
      </c>
      <c r="N13" s="101">
        <v>0</v>
      </c>
      <c r="O13" s="101">
        <v>0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  <c r="W13" s="101">
        <v>0</v>
      </c>
      <c r="X13" s="101">
        <v>0</v>
      </c>
      <c r="Y13" s="101">
        <v>0</v>
      </c>
      <c r="Z13" s="101">
        <v>0</v>
      </c>
      <c r="AA13" s="101">
        <v>0</v>
      </c>
      <c r="AB13" s="101">
        <v>0</v>
      </c>
      <c r="AC13" s="101">
        <v>0</v>
      </c>
      <c r="AD13" s="101">
        <v>0</v>
      </c>
      <c r="AE13" s="101">
        <v>0</v>
      </c>
      <c r="AF13" s="101">
        <v>0</v>
      </c>
      <c r="AG13" s="101">
        <v>0</v>
      </c>
      <c r="AH13" s="101">
        <v>0</v>
      </c>
      <c r="AI13" s="101">
        <v>0</v>
      </c>
      <c r="AJ13" s="101">
        <v>0</v>
      </c>
      <c r="AK13" s="101">
        <v>0</v>
      </c>
      <c r="AL13" s="101">
        <v>0</v>
      </c>
    </row>
    <row r="14" spans="1:38" customFormat="1" x14ac:dyDescent="0.15">
      <c r="A14" s="178" t="s">
        <v>205</v>
      </c>
      <c r="B14" s="101">
        <v>0</v>
      </c>
      <c r="C14" s="101">
        <v>0</v>
      </c>
      <c r="D14" s="101">
        <v>0</v>
      </c>
      <c r="E14" s="101">
        <v>0</v>
      </c>
      <c r="F14" s="101">
        <v>0</v>
      </c>
      <c r="G14" s="101">
        <v>0</v>
      </c>
      <c r="H14" s="101">
        <v>0</v>
      </c>
      <c r="I14" s="101">
        <v>0</v>
      </c>
      <c r="J14" s="101">
        <v>0</v>
      </c>
      <c r="K14" s="101">
        <v>0</v>
      </c>
      <c r="L14" s="101">
        <v>0</v>
      </c>
      <c r="M14" s="101">
        <v>0</v>
      </c>
      <c r="N14" s="101">
        <v>0</v>
      </c>
      <c r="O14" s="101">
        <v>0</v>
      </c>
      <c r="P14" s="101">
        <v>0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  <c r="V14" s="101">
        <v>0</v>
      </c>
      <c r="W14" s="101">
        <v>0</v>
      </c>
      <c r="X14" s="101">
        <v>0</v>
      </c>
      <c r="Y14" s="101">
        <v>0</v>
      </c>
      <c r="Z14" s="101">
        <v>0</v>
      </c>
      <c r="AA14" s="101">
        <v>0</v>
      </c>
      <c r="AB14" s="101">
        <v>0</v>
      </c>
      <c r="AC14" s="101">
        <v>0</v>
      </c>
      <c r="AD14" s="101">
        <v>0</v>
      </c>
      <c r="AE14" s="101">
        <v>0</v>
      </c>
      <c r="AF14" s="101">
        <v>0</v>
      </c>
      <c r="AG14" s="101">
        <v>0</v>
      </c>
      <c r="AH14" s="101">
        <v>0</v>
      </c>
      <c r="AI14" s="101">
        <v>0</v>
      </c>
      <c r="AJ14" s="101">
        <v>0</v>
      </c>
      <c r="AK14" s="101">
        <v>0</v>
      </c>
      <c r="AL14" s="101">
        <v>0</v>
      </c>
    </row>
    <row r="15" spans="1:38" customFormat="1" x14ac:dyDescent="0.15">
      <c r="A15" s="178" t="s">
        <v>206</v>
      </c>
      <c r="B15" s="101">
        <v>0</v>
      </c>
      <c r="C15" s="101">
        <v>0</v>
      </c>
      <c r="D15" s="101">
        <v>0</v>
      </c>
      <c r="E15" s="101">
        <v>0</v>
      </c>
      <c r="F15" s="101">
        <v>0</v>
      </c>
      <c r="G15" s="101">
        <v>0</v>
      </c>
      <c r="H15" s="101">
        <v>0</v>
      </c>
      <c r="I15" s="101">
        <v>0</v>
      </c>
      <c r="J15" s="101">
        <v>0</v>
      </c>
      <c r="K15" s="101">
        <v>0</v>
      </c>
      <c r="L15" s="101">
        <v>0</v>
      </c>
      <c r="M15" s="101">
        <v>0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  <c r="W15" s="101">
        <v>0</v>
      </c>
      <c r="X15" s="101">
        <v>0</v>
      </c>
      <c r="Y15" s="101">
        <v>0</v>
      </c>
      <c r="Z15" s="101">
        <v>0</v>
      </c>
      <c r="AA15" s="101">
        <v>0</v>
      </c>
      <c r="AB15" s="101">
        <v>0</v>
      </c>
      <c r="AC15" s="101">
        <v>0</v>
      </c>
      <c r="AD15" s="101">
        <v>0</v>
      </c>
      <c r="AE15" s="101">
        <v>0</v>
      </c>
      <c r="AF15" s="101">
        <v>0</v>
      </c>
      <c r="AG15" s="101">
        <v>0</v>
      </c>
      <c r="AH15" s="101">
        <v>0</v>
      </c>
      <c r="AI15" s="101">
        <v>0</v>
      </c>
      <c r="AJ15" s="101">
        <v>0</v>
      </c>
      <c r="AK15" s="101">
        <v>0</v>
      </c>
      <c r="AL15" s="101">
        <v>0</v>
      </c>
    </row>
    <row r="16" spans="1:38" customFormat="1" x14ac:dyDescent="0.15">
      <c r="A16" s="178" t="s">
        <v>207</v>
      </c>
      <c r="B16" s="101">
        <v>0</v>
      </c>
      <c r="C16" s="101">
        <v>0</v>
      </c>
      <c r="D16" s="101">
        <v>0</v>
      </c>
      <c r="E16" s="101">
        <v>0</v>
      </c>
      <c r="F16" s="101">
        <v>0</v>
      </c>
      <c r="G16" s="101">
        <v>0</v>
      </c>
      <c r="H16" s="101">
        <v>0</v>
      </c>
      <c r="I16" s="101">
        <v>0</v>
      </c>
      <c r="J16" s="101">
        <v>0</v>
      </c>
      <c r="K16" s="101">
        <v>1</v>
      </c>
      <c r="L16" s="101">
        <v>0</v>
      </c>
      <c r="M16" s="101">
        <v>0</v>
      </c>
      <c r="N16" s="101">
        <v>0</v>
      </c>
      <c r="O16" s="101">
        <v>0</v>
      </c>
      <c r="P16" s="101">
        <v>0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  <c r="V16" s="101">
        <v>0</v>
      </c>
      <c r="W16" s="101">
        <v>0</v>
      </c>
      <c r="X16" s="101">
        <v>0</v>
      </c>
      <c r="Y16" s="101">
        <v>0</v>
      </c>
      <c r="Z16" s="101">
        <v>0</v>
      </c>
      <c r="AA16" s="101">
        <v>0</v>
      </c>
      <c r="AB16" s="101">
        <v>0</v>
      </c>
      <c r="AC16" s="101">
        <v>0</v>
      </c>
      <c r="AD16" s="101">
        <v>0</v>
      </c>
      <c r="AE16" s="101">
        <v>0</v>
      </c>
      <c r="AF16" s="101">
        <v>0</v>
      </c>
      <c r="AG16" s="101">
        <v>0</v>
      </c>
      <c r="AH16" s="101">
        <v>0</v>
      </c>
      <c r="AI16" s="101">
        <v>0</v>
      </c>
      <c r="AJ16" s="101">
        <v>0</v>
      </c>
      <c r="AK16" s="101">
        <v>0</v>
      </c>
      <c r="AL16" s="101">
        <v>0</v>
      </c>
    </row>
    <row r="17" spans="1:38" customFormat="1" x14ac:dyDescent="0.15">
      <c r="A17" s="178" t="s">
        <v>208</v>
      </c>
      <c r="B17" s="101">
        <v>0</v>
      </c>
      <c r="C17" s="101">
        <v>0</v>
      </c>
      <c r="D17" s="101">
        <v>0</v>
      </c>
      <c r="E17" s="101">
        <v>0</v>
      </c>
      <c r="F17" s="101">
        <v>0</v>
      </c>
      <c r="G17" s="101">
        <v>0</v>
      </c>
      <c r="H17" s="101">
        <v>0</v>
      </c>
      <c r="I17" s="101">
        <v>0</v>
      </c>
      <c r="J17" s="101">
        <v>0</v>
      </c>
      <c r="K17" s="101">
        <v>0</v>
      </c>
      <c r="L17" s="101">
        <v>0</v>
      </c>
      <c r="M17" s="101">
        <v>0</v>
      </c>
      <c r="N17" s="101">
        <v>0</v>
      </c>
      <c r="O17" s="101">
        <v>0</v>
      </c>
      <c r="P17" s="101">
        <v>0</v>
      </c>
      <c r="Q17" s="101">
        <v>0</v>
      </c>
      <c r="R17" s="101">
        <v>0</v>
      </c>
      <c r="S17" s="101">
        <v>0</v>
      </c>
      <c r="T17" s="101">
        <v>0</v>
      </c>
      <c r="U17" s="101">
        <v>0</v>
      </c>
      <c r="V17" s="101">
        <v>0</v>
      </c>
      <c r="W17" s="101">
        <v>0</v>
      </c>
      <c r="X17" s="101">
        <v>0</v>
      </c>
      <c r="Y17" s="101">
        <v>0</v>
      </c>
      <c r="Z17" s="101">
        <v>0</v>
      </c>
      <c r="AA17" s="101">
        <v>0</v>
      </c>
      <c r="AB17" s="101">
        <v>0</v>
      </c>
      <c r="AC17" s="101">
        <v>0</v>
      </c>
      <c r="AD17" s="101">
        <v>0</v>
      </c>
      <c r="AE17" s="101">
        <v>0</v>
      </c>
      <c r="AF17" s="101">
        <v>0</v>
      </c>
      <c r="AG17" s="101">
        <v>0</v>
      </c>
      <c r="AH17" s="101">
        <v>0</v>
      </c>
      <c r="AI17" s="101">
        <v>0</v>
      </c>
      <c r="AJ17" s="101">
        <v>0</v>
      </c>
      <c r="AK17" s="101">
        <v>0</v>
      </c>
      <c r="AL17" s="101">
        <v>0</v>
      </c>
    </row>
    <row r="18" spans="1:38" customFormat="1" x14ac:dyDescent="0.15">
      <c r="A18" s="178" t="s">
        <v>209</v>
      </c>
      <c r="B18" s="101">
        <v>1</v>
      </c>
      <c r="C18" s="101">
        <v>0</v>
      </c>
      <c r="D18" s="101">
        <v>0</v>
      </c>
      <c r="E18" s="101">
        <v>0</v>
      </c>
      <c r="F18" s="101">
        <v>0</v>
      </c>
      <c r="G18" s="101">
        <v>0</v>
      </c>
      <c r="H18" s="101">
        <v>0</v>
      </c>
      <c r="I18" s="101">
        <v>0</v>
      </c>
      <c r="J18" s="101">
        <v>0</v>
      </c>
      <c r="K18" s="101">
        <v>0</v>
      </c>
      <c r="L18" s="101">
        <v>0</v>
      </c>
      <c r="M18" s="101">
        <v>1</v>
      </c>
      <c r="N18" s="101">
        <v>1</v>
      </c>
      <c r="O18" s="101">
        <v>0</v>
      </c>
      <c r="P18" s="101">
        <v>0</v>
      </c>
      <c r="Q18" s="101">
        <v>0</v>
      </c>
      <c r="R18" s="101">
        <v>0</v>
      </c>
      <c r="S18" s="101">
        <v>1</v>
      </c>
      <c r="T18" s="101">
        <v>1</v>
      </c>
      <c r="U18" s="101">
        <v>0</v>
      </c>
      <c r="V18" s="101">
        <v>1</v>
      </c>
      <c r="W18" s="101">
        <v>0</v>
      </c>
      <c r="X18" s="101">
        <v>0</v>
      </c>
      <c r="Y18" s="101">
        <v>1</v>
      </c>
      <c r="Z18" s="101">
        <v>0</v>
      </c>
      <c r="AA18" s="101">
        <v>0</v>
      </c>
      <c r="AB18" s="101">
        <v>0</v>
      </c>
      <c r="AC18" s="101">
        <v>0</v>
      </c>
      <c r="AD18" s="101">
        <v>0</v>
      </c>
      <c r="AE18" s="101">
        <v>0</v>
      </c>
      <c r="AF18" s="101">
        <v>0</v>
      </c>
      <c r="AG18" s="101">
        <v>0</v>
      </c>
      <c r="AH18" s="101">
        <v>0</v>
      </c>
      <c r="AI18" s="101">
        <v>0</v>
      </c>
      <c r="AJ18" s="101">
        <v>0</v>
      </c>
      <c r="AK18" s="101">
        <v>0</v>
      </c>
      <c r="AL18" s="101">
        <v>0</v>
      </c>
    </row>
    <row r="19" spans="1:38" customFormat="1" x14ac:dyDescent="0.15">
      <c r="A19" s="178" t="s">
        <v>210</v>
      </c>
      <c r="B19" s="101">
        <v>0</v>
      </c>
      <c r="C19" s="101">
        <v>0</v>
      </c>
      <c r="D19" s="101">
        <v>0</v>
      </c>
      <c r="E19" s="101">
        <v>0</v>
      </c>
      <c r="F19" s="101">
        <v>0</v>
      </c>
      <c r="G19" s="101">
        <v>0</v>
      </c>
      <c r="H19" s="101">
        <v>0</v>
      </c>
      <c r="I19" s="101">
        <v>0</v>
      </c>
      <c r="J19" s="101">
        <v>0</v>
      </c>
      <c r="K19" s="101">
        <v>0</v>
      </c>
      <c r="L19" s="101">
        <v>0</v>
      </c>
      <c r="M19" s="101">
        <v>0</v>
      </c>
      <c r="N19" s="101">
        <v>0</v>
      </c>
      <c r="O19" s="101">
        <v>0</v>
      </c>
      <c r="P19" s="101">
        <v>0</v>
      </c>
      <c r="Q19" s="101">
        <v>0</v>
      </c>
      <c r="R19" s="101">
        <v>0</v>
      </c>
      <c r="S19" s="101">
        <v>0</v>
      </c>
      <c r="T19" s="101">
        <v>0</v>
      </c>
      <c r="U19" s="101">
        <v>0</v>
      </c>
      <c r="V19" s="101">
        <v>0</v>
      </c>
      <c r="W19" s="101">
        <v>0</v>
      </c>
      <c r="X19" s="101">
        <v>0</v>
      </c>
      <c r="Y19" s="101">
        <v>0</v>
      </c>
      <c r="Z19" s="101">
        <v>0</v>
      </c>
      <c r="AA19" s="101">
        <v>0</v>
      </c>
      <c r="AB19" s="101">
        <v>0</v>
      </c>
      <c r="AC19" s="101">
        <v>0</v>
      </c>
      <c r="AD19" s="101">
        <v>0</v>
      </c>
      <c r="AE19" s="101">
        <v>0</v>
      </c>
      <c r="AF19" s="101">
        <v>0</v>
      </c>
      <c r="AG19" s="101">
        <v>0</v>
      </c>
      <c r="AH19" s="101">
        <v>0</v>
      </c>
      <c r="AI19" s="101">
        <v>0</v>
      </c>
      <c r="AJ19" s="101">
        <v>0</v>
      </c>
      <c r="AK19" s="101">
        <v>0</v>
      </c>
      <c r="AL19" s="101">
        <v>0</v>
      </c>
    </row>
    <row r="20" spans="1:38" customFormat="1" x14ac:dyDescent="0.15">
      <c r="A20" s="178" t="s">
        <v>211</v>
      </c>
      <c r="B20" s="101">
        <v>0</v>
      </c>
      <c r="C20" s="101">
        <v>0</v>
      </c>
      <c r="D20" s="101">
        <v>0</v>
      </c>
      <c r="E20" s="101">
        <v>0</v>
      </c>
      <c r="F20" s="101">
        <v>0</v>
      </c>
      <c r="G20" s="101">
        <v>0</v>
      </c>
      <c r="H20" s="101">
        <v>0</v>
      </c>
      <c r="I20" s="101">
        <v>0</v>
      </c>
      <c r="J20" s="101">
        <v>0</v>
      </c>
      <c r="K20" s="101">
        <v>0</v>
      </c>
      <c r="L20" s="101">
        <v>0</v>
      </c>
      <c r="M20" s="101">
        <v>0</v>
      </c>
      <c r="N20" s="101">
        <v>0</v>
      </c>
      <c r="O20" s="101">
        <v>0</v>
      </c>
      <c r="P20" s="101">
        <v>0</v>
      </c>
      <c r="Q20" s="101">
        <v>0</v>
      </c>
      <c r="R20" s="101">
        <v>0</v>
      </c>
      <c r="S20" s="101">
        <v>0</v>
      </c>
      <c r="T20" s="101">
        <v>0</v>
      </c>
      <c r="U20" s="101">
        <v>0</v>
      </c>
      <c r="V20" s="101">
        <v>0</v>
      </c>
      <c r="W20" s="101">
        <v>0</v>
      </c>
      <c r="X20" s="101">
        <v>0</v>
      </c>
      <c r="Y20" s="101">
        <v>0</v>
      </c>
      <c r="Z20" s="101">
        <v>0</v>
      </c>
      <c r="AA20" s="101">
        <v>0</v>
      </c>
      <c r="AB20" s="101">
        <v>0</v>
      </c>
      <c r="AC20" s="101">
        <v>0</v>
      </c>
      <c r="AD20" s="101">
        <v>0</v>
      </c>
      <c r="AE20" s="101">
        <v>0</v>
      </c>
      <c r="AF20" s="101">
        <v>0</v>
      </c>
      <c r="AG20" s="101">
        <v>0</v>
      </c>
      <c r="AH20" s="101">
        <v>0</v>
      </c>
      <c r="AI20" s="101">
        <v>0</v>
      </c>
      <c r="AJ20" s="101">
        <v>0</v>
      </c>
      <c r="AK20" s="101">
        <v>0</v>
      </c>
      <c r="AL20" s="101">
        <v>0</v>
      </c>
    </row>
    <row r="21" spans="1:38" customFormat="1" x14ac:dyDescent="0.15">
      <c r="A21" s="178" t="s">
        <v>212</v>
      </c>
      <c r="B21" s="101">
        <v>1</v>
      </c>
      <c r="C21" s="101">
        <v>0</v>
      </c>
      <c r="D21" s="101">
        <v>0</v>
      </c>
      <c r="E21" s="101">
        <v>1</v>
      </c>
      <c r="F21" s="101">
        <v>0</v>
      </c>
      <c r="G21" s="101">
        <v>1</v>
      </c>
      <c r="H21" s="101">
        <v>1</v>
      </c>
      <c r="I21" s="101">
        <v>0</v>
      </c>
      <c r="J21" s="101">
        <v>0</v>
      </c>
      <c r="K21" s="101">
        <v>0</v>
      </c>
      <c r="L21" s="101">
        <v>0</v>
      </c>
      <c r="M21" s="101">
        <v>1</v>
      </c>
      <c r="N21" s="101">
        <v>1</v>
      </c>
      <c r="O21" s="101">
        <v>0</v>
      </c>
      <c r="P21" s="101">
        <v>1</v>
      </c>
      <c r="Q21" s="101">
        <v>1</v>
      </c>
      <c r="R21" s="101">
        <v>0</v>
      </c>
      <c r="S21" s="101">
        <v>1</v>
      </c>
      <c r="T21" s="101">
        <v>1</v>
      </c>
      <c r="U21" s="101">
        <v>0</v>
      </c>
      <c r="V21" s="101">
        <v>0</v>
      </c>
      <c r="W21" s="101">
        <v>0</v>
      </c>
      <c r="X21" s="101">
        <v>0</v>
      </c>
      <c r="Y21" s="101">
        <v>0</v>
      </c>
      <c r="Z21" s="101">
        <v>0</v>
      </c>
      <c r="AA21" s="101">
        <v>0</v>
      </c>
      <c r="AB21" s="101">
        <v>0</v>
      </c>
      <c r="AC21" s="101">
        <v>0</v>
      </c>
      <c r="AD21" s="101">
        <v>0</v>
      </c>
      <c r="AE21" s="101">
        <v>0</v>
      </c>
      <c r="AF21" s="101">
        <v>0</v>
      </c>
      <c r="AG21" s="101">
        <v>0</v>
      </c>
      <c r="AH21" s="101">
        <v>0</v>
      </c>
      <c r="AI21" s="101">
        <v>0</v>
      </c>
      <c r="AJ21" s="101">
        <v>0</v>
      </c>
      <c r="AK21" s="101">
        <v>0</v>
      </c>
      <c r="AL21" s="101">
        <v>0</v>
      </c>
    </row>
    <row r="22" spans="1:38" customFormat="1" x14ac:dyDescent="0.15">
      <c r="A22" s="178" t="s">
        <v>213</v>
      </c>
      <c r="B22" s="101">
        <v>0</v>
      </c>
      <c r="C22" s="101">
        <v>0</v>
      </c>
      <c r="D22" s="101">
        <v>0</v>
      </c>
      <c r="E22" s="101">
        <v>0</v>
      </c>
      <c r="F22" s="101">
        <v>0</v>
      </c>
      <c r="G22" s="101">
        <v>0</v>
      </c>
      <c r="H22" s="101">
        <v>0</v>
      </c>
      <c r="I22" s="101">
        <v>0</v>
      </c>
      <c r="J22" s="101">
        <v>0</v>
      </c>
      <c r="K22" s="101">
        <v>0</v>
      </c>
      <c r="L22" s="101">
        <v>0</v>
      </c>
      <c r="M22" s="101">
        <v>0</v>
      </c>
      <c r="N22" s="101">
        <v>0</v>
      </c>
      <c r="O22" s="101">
        <v>0</v>
      </c>
      <c r="P22" s="101">
        <v>0</v>
      </c>
      <c r="Q22" s="101">
        <v>0</v>
      </c>
      <c r="R22" s="101">
        <v>0</v>
      </c>
      <c r="S22" s="101">
        <v>0</v>
      </c>
      <c r="T22" s="101">
        <v>0</v>
      </c>
      <c r="U22" s="101">
        <v>0</v>
      </c>
      <c r="V22" s="101">
        <v>0</v>
      </c>
      <c r="W22" s="101">
        <v>0</v>
      </c>
      <c r="X22" s="101">
        <v>0</v>
      </c>
      <c r="Y22" s="101">
        <v>0</v>
      </c>
      <c r="Z22" s="101">
        <v>0</v>
      </c>
      <c r="AA22" s="101">
        <v>0</v>
      </c>
      <c r="AB22" s="101">
        <v>0</v>
      </c>
      <c r="AC22" s="101">
        <v>0</v>
      </c>
      <c r="AD22" s="101">
        <v>0</v>
      </c>
      <c r="AE22" s="101">
        <v>0</v>
      </c>
      <c r="AF22" s="101">
        <v>0</v>
      </c>
      <c r="AG22" s="101">
        <v>0</v>
      </c>
      <c r="AH22" s="101">
        <v>0</v>
      </c>
      <c r="AI22" s="101">
        <v>0</v>
      </c>
      <c r="AJ22" s="101">
        <v>0</v>
      </c>
      <c r="AK22" s="101">
        <v>0</v>
      </c>
      <c r="AL22" s="101">
        <v>0</v>
      </c>
    </row>
    <row r="23" spans="1:38" customFormat="1" x14ac:dyDescent="0.15">
      <c r="A23" s="178" t="s">
        <v>214</v>
      </c>
      <c r="B23" s="101">
        <v>0</v>
      </c>
      <c r="C23" s="101">
        <v>0</v>
      </c>
      <c r="D23" s="101">
        <v>0</v>
      </c>
      <c r="E23" s="101">
        <v>0</v>
      </c>
      <c r="F23" s="101">
        <v>0</v>
      </c>
      <c r="G23" s="101">
        <v>0</v>
      </c>
      <c r="H23" s="101">
        <v>0</v>
      </c>
      <c r="I23" s="101">
        <v>0</v>
      </c>
      <c r="J23" s="101">
        <v>0</v>
      </c>
      <c r="K23" s="101">
        <v>0</v>
      </c>
      <c r="L23" s="101">
        <v>0</v>
      </c>
      <c r="M23" s="101">
        <v>0</v>
      </c>
      <c r="N23" s="101">
        <v>0</v>
      </c>
      <c r="O23" s="101">
        <v>0</v>
      </c>
      <c r="P23" s="101">
        <v>0</v>
      </c>
      <c r="Q23" s="101">
        <v>0</v>
      </c>
      <c r="R23" s="101">
        <v>0</v>
      </c>
      <c r="S23" s="101">
        <v>0</v>
      </c>
      <c r="T23" s="101">
        <v>0</v>
      </c>
      <c r="U23" s="101">
        <v>0</v>
      </c>
      <c r="V23" s="101">
        <v>0</v>
      </c>
      <c r="W23" s="101">
        <v>0</v>
      </c>
      <c r="X23" s="101">
        <v>0</v>
      </c>
      <c r="Y23" s="101">
        <v>0</v>
      </c>
      <c r="Z23" s="101">
        <v>0</v>
      </c>
      <c r="AA23" s="101">
        <v>0</v>
      </c>
      <c r="AB23" s="101">
        <v>0</v>
      </c>
      <c r="AC23" s="101">
        <v>0</v>
      </c>
      <c r="AD23" s="101">
        <v>0</v>
      </c>
      <c r="AE23" s="101">
        <v>0</v>
      </c>
      <c r="AF23" s="101">
        <v>0</v>
      </c>
      <c r="AG23" s="101">
        <v>0</v>
      </c>
      <c r="AH23" s="101">
        <v>0</v>
      </c>
      <c r="AI23" s="101">
        <v>0</v>
      </c>
      <c r="AJ23" s="101">
        <v>0</v>
      </c>
      <c r="AK23" s="101">
        <v>0</v>
      </c>
      <c r="AL23" s="101">
        <v>0</v>
      </c>
    </row>
    <row r="24" spans="1:38" customFormat="1" x14ac:dyDescent="0.15">
      <c r="A24" s="178" t="s">
        <v>215</v>
      </c>
      <c r="B24" s="101">
        <v>0</v>
      </c>
      <c r="C24" s="101">
        <v>0</v>
      </c>
      <c r="D24" s="101">
        <v>0</v>
      </c>
      <c r="E24" s="101">
        <v>0</v>
      </c>
      <c r="F24" s="101">
        <v>0</v>
      </c>
      <c r="G24" s="101">
        <v>0</v>
      </c>
      <c r="H24" s="101">
        <v>0</v>
      </c>
      <c r="I24" s="101">
        <v>0</v>
      </c>
      <c r="J24" s="101">
        <v>0</v>
      </c>
      <c r="K24" s="101">
        <v>0</v>
      </c>
      <c r="L24" s="101">
        <v>0</v>
      </c>
      <c r="M24" s="101">
        <v>0</v>
      </c>
      <c r="N24" s="101">
        <v>0</v>
      </c>
      <c r="O24" s="101">
        <v>0</v>
      </c>
      <c r="P24" s="101">
        <v>0</v>
      </c>
      <c r="Q24" s="101">
        <v>0</v>
      </c>
      <c r="R24" s="101">
        <v>0</v>
      </c>
      <c r="S24" s="101">
        <v>0</v>
      </c>
      <c r="T24" s="101">
        <v>0</v>
      </c>
      <c r="U24" s="101">
        <v>0</v>
      </c>
      <c r="V24" s="101">
        <v>1</v>
      </c>
      <c r="W24" s="101">
        <v>1</v>
      </c>
      <c r="X24" s="101">
        <v>0</v>
      </c>
      <c r="Y24" s="101">
        <v>0</v>
      </c>
      <c r="Z24" s="101">
        <v>0</v>
      </c>
      <c r="AA24" s="101">
        <v>0</v>
      </c>
      <c r="AB24" s="101">
        <v>0</v>
      </c>
      <c r="AC24" s="101">
        <v>0</v>
      </c>
      <c r="AD24" s="101">
        <v>0</v>
      </c>
      <c r="AE24" s="101">
        <v>0</v>
      </c>
      <c r="AF24" s="101">
        <v>0</v>
      </c>
      <c r="AG24" s="101">
        <v>0</v>
      </c>
      <c r="AH24" s="101">
        <v>0</v>
      </c>
      <c r="AI24" s="101">
        <v>0</v>
      </c>
      <c r="AJ24" s="101">
        <v>0</v>
      </c>
      <c r="AK24" s="101">
        <v>0</v>
      </c>
      <c r="AL24" s="101">
        <v>0</v>
      </c>
    </row>
    <row r="25" spans="1:38" customFormat="1" x14ac:dyDescent="0.15">
      <c r="A25" s="178" t="s">
        <v>216</v>
      </c>
      <c r="B25" s="101">
        <v>0</v>
      </c>
      <c r="C25" s="101">
        <v>0</v>
      </c>
      <c r="D25" s="101">
        <v>0</v>
      </c>
      <c r="E25" s="101">
        <v>1</v>
      </c>
      <c r="F25" s="101">
        <v>0</v>
      </c>
      <c r="G25" s="101">
        <v>1</v>
      </c>
      <c r="H25" s="101">
        <v>1</v>
      </c>
      <c r="I25" s="101">
        <v>0</v>
      </c>
      <c r="J25" s="101">
        <v>1</v>
      </c>
      <c r="K25" s="101">
        <v>1</v>
      </c>
      <c r="L25" s="101">
        <v>0</v>
      </c>
      <c r="M25" s="101">
        <v>1</v>
      </c>
      <c r="N25" s="101">
        <v>1</v>
      </c>
      <c r="O25" s="101">
        <v>0</v>
      </c>
      <c r="P25" s="101">
        <v>1</v>
      </c>
      <c r="Q25" s="101">
        <v>1</v>
      </c>
      <c r="R25" s="101">
        <v>0</v>
      </c>
      <c r="S25" s="101">
        <v>1</v>
      </c>
      <c r="T25" s="101">
        <v>1</v>
      </c>
      <c r="U25" s="101">
        <v>0</v>
      </c>
      <c r="V25" s="101">
        <v>1</v>
      </c>
      <c r="W25" s="101">
        <v>0</v>
      </c>
      <c r="X25" s="101">
        <v>0</v>
      </c>
      <c r="Y25" s="101">
        <v>0</v>
      </c>
      <c r="Z25" s="101">
        <v>0</v>
      </c>
      <c r="AA25" s="101">
        <v>0</v>
      </c>
      <c r="AB25" s="101">
        <v>0</v>
      </c>
      <c r="AC25" s="101">
        <v>0</v>
      </c>
      <c r="AD25" s="101">
        <v>0</v>
      </c>
      <c r="AE25" s="101">
        <v>0</v>
      </c>
      <c r="AF25" s="101">
        <v>0</v>
      </c>
      <c r="AG25" s="101">
        <v>0</v>
      </c>
      <c r="AH25" s="101">
        <v>0</v>
      </c>
      <c r="AI25" s="101">
        <v>0</v>
      </c>
      <c r="AJ25" s="101">
        <v>0</v>
      </c>
      <c r="AK25" s="101">
        <v>0</v>
      </c>
      <c r="AL25" s="101">
        <v>0</v>
      </c>
    </row>
    <row r="26" spans="1:38" customFormat="1" x14ac:dyDescent="0.15">
      <c r="A26" s="178" t="s">
        <v>217</v>
      </c>
      <c r="B26" s="101">
        <v>1</v>
      </c>
      <c r="C26" s="101">
        <v>0</v>
      </c>
      <c r="D26" s="101">
        <v>1</v>
      </c>
      <c r="E26" s="101">
        <v>1</v>
      </c>
      <c r="F26" s="101">
        <v>0</v>
      </c>
      <c r="G26" s="101">
        <v>0</v>
      </c>
      <c r="H26" s="101">
        <v>0</v>
      </c>
      <c r="I26" s="101">
        <v>0</v>
      </c>
      <c r="J26" s="101">
        <v>1</v>
      </c>
      <c r="K26" s="101">
        <v>1</v>
      </c>
      <c r="L26" s="101">
        <v>0</v>
      </c>
      <c r="M26" s="101">
        <v>1</v>
      </c>
      <c r="N26" s="101">
        <v>1</v>
      </c>
      <c r="O26" s="101">
        <v>0</v>
      </c>
      <c r="P26" s="101">
        <v>1</v>
      </c>
      <c r="Q26" s="101">
        <v>1</v>
      </c>
      <c r="R26" s="101">
        <v>0</v>
      </c>
      <c r="S26" s="101">
        <v>1</v>
      </c>
      <c r="T26" s="101">
        <v>1</v>
      </c>
      <c r="U26" s="101">
        <v>1</v>
      </c>
      <c r="V26" s="101">
        <v>1</v>
      </c>
      <c r="W26" s="101">
        <v>1</v>
      </c>
      <c r="X26" s="101">
        <v>0</v>
      </c>
      <c r="Y26" s="101">
        <v>0</v>
      </c>
      <c r="Z26" s="101">
        <v>0</v>
      </c>
      <c r="AA26" s="101">
        <v>0</v>
      </c>
      <c r="AB26" s="101">
        <v>0</v>
      </c>
      <c r="AC26" s="101">
        <v>0</v>
      </c>
      <c r="AD26" s="101">
        <v>0</v>
      </c>
      <c r="AE26" s="101">
        <v>0</v>
      </c>
      <c r="AF26" s="101">
        <v>0</v>
      </c>
      <c r="AG26" s="101">
        <v>0</v>
      </c>
      <c r="AH26" s="101">
        <v>0</v>
      </c>
      <c r="AI26" s="101">
        <v>0</v>
      </c>
      <c r="AJ26" s="101">
        <v>0</v>
      </c>
      <c r="AK26" s="101">
        <v>0</v>
      </c>
      <c r="AL26" s="101">
        <v>0</v>
      </c>
    </row>
    <row r="27" spans="1:38" customFormat="1" x14ac:dyDescent="0.15">
      <c r="A27" s="178" t="s">
        <v>166</v>
      </c>
      <c r="B27" s="101">
        <v>1</v>
      </c>
      <c r="C27" s="101">
        <v>0</v>
      </c>
      <c r="D27" s="101">
        <v>0</v>
      </c>
      <c r="E27" s="101">
        <v>0</v>
      </c>
      <c r="F27" s="101">
        <v>0</v>
      </c>
      <c r="G27" s="101">
        <v>0</v>
      </c>
      <c r="H27" s="101">
        <v>0</v>
      </c>
      <c r="I27" s="101">
        <v>0</v>
      </c>
      <c r="J27" s="101">
        <v>0</v>
      </c>
      <c r="K27" s="101">
        <v>0</v>
      </c>
      <c r="L27" s="101">
        <v>0</v>
      </c>
      <c r="M27" s="101">
        <v>1</v>
      </c>
      <c r="N27" s="101">
        <v>1</v>
      </c>
      <c r="O27" s="101">
        <v>0</v>
      </c>
      <c r="P27" s="101">
        <v>0</v>
      </c>
      <c r="Q27" s="101">
        <v>0</v>
      </c>
      <c r="R27" s="101">
        <v>0</v>
      </c>
      <c r="S27" s="101">
        <v>1</v>
      </c>
      <c r="T27" s="101">
        <v>0</v>
      </c>
      <c r="U27" s="101">
        <v>0</v>
      </c>
      <c r="V27" s="101">
        <v>1</v>
      </c>
      <c r="W27" s="101">
        <v>0</v>
      </c>
      <c r="X27" s="101">
        <v>0</v>
      </c>
      <c r="Y27" s="101">
        <v>0</v>
      </c>
      <c r="Z27" s="101">
        <v>1</v>
      </c>
      <c r="AA27" s="101">
        <v>0</v>
      </c>
      <c r="AB27" s="101">
        <v>0</v>
      </c>
      <c r="AC27" s="101">
        <v>0</v>
      </c>
      <c r="AD27" s="101">
        <v>0</v>
      </c>
      <c r="AE27" s="101">
        <v>0</v>
      </c>
      <c r="AF27" s="101">
        <v>0</v>
      </c>
      <c r="AG27" s="101">
        <v>0</v>
      </c>
      <c r="AH27" s="101">
        <v>0</v>
      </c>
      <c r="AI27" s="101">
        <v>0</v>
      </c>
      <c r="AJ27" s="101">
        <v>0</v>
      </c>
      <c r="AK27" s="101">
        <v>0</v>
      </c>
      <c r="AL27" s="101">
        <v>0</v>
      </c>
    </row>
    <row r="28" spans="1:38" customFormat="1" x14ac:dyDescent="0.15">
      <c r="A28" s="178" t="s">
        <v>218</v>
      </c>
      <c r="B28" s="101">
        <v>0</v>
      </c>
      <c r="C28" s="101">
        <v>0</v>
      </c>
      <c r="D28" s="101">
        <v>0</v>
      </c>
      <c r="E28" s="101">
        <v>0</v>
      </c>
      <c r="F28" s="101">
        <v>0</v>
      </c>
      <c r="G28" s="101">
        <v>1</v>
      </c>
      <c r="H28" s="101">
        <v>1</v>
      </c>
      <c r="I28" s="101">
        <v>0</v>
      </c>
      <c r="J28" s="101">
        <v>0</v>
      </c>
      <c r="K28" s="101">
        <v>0</v>
      </c>
      <c r="L28" s="101">
        <v>0</v>
      </c>
      <c r="M28" s="101">
        <v>0</v>
      </c>
      <c r="N28" s="101">
        <v>0</v>
      </c>
      <c r="O28" s="101">
        <v>0</v>
      </c>
      <c r="P28" s="101">
        <v>0</v>
      </c>
      <c r="Q28" s="101">
        <v>0</v>
      </c>
      <c r="R28" s="101">
        <v>0</v>
      </c>
      <c r="S28" s="101">
        <v>0</v>
      </c>
      <c r="T28" s="101">
        <v>1</v>
      </c>
      <c r="U28" s="101">
        <v>0</v>
      </c>
      <c r="V28" s="101">
        <v>0</v>
      </c>
      <c r="W28" s="101">
        <v>0</v>
      </c>
      <c r="X28" s="101">
        <v>0</v>
      </c>
      <c r="Y28" s="101">
        <v>0</v>
      </c>
      <c r="Z28" s="101">
        <v>0</v>
      </c>
      <c r="AA28" s="101">
        <v>0</v>
      </c>
      <c r="AB28" s="101">
        <v>0</v>
      </c>
      <c r="AC28" s="101">
        <v>0</v>
      </c>
      <c r="AD28" s="101">
        <v>0</v>
      </c>
      <c r="AE28" s="101">
        <v>0</v>
      </c>
      <c r="AF28" s="101">
        <v>0</v>
      </c>
      <c r="AG28" s="101">
        <v>0</v>
      </c>
      <c r="AH28" s="101">
        <v>0</v>
      </c>
      <c r="AI28" s="101">
        <v>0</v>
      </c>
      <c r="AJ28" s="101">
        <v>0</v>
      </c>
      <c r="AK28" s="101">
        <v>0</v>
      </c>
      <c r="AL28" s="101">
        <v>0</v>
      </c>
    </row>
    <row r="29" spans="1:38" customFormat="1" x14ac:dyDescent="0.15">
      <c r="A29" s="178" t="s">
        <v>219</v>
      </c>
      <c r="B29" s="101">
        <v>0</v>
      </c>
      <c r="C29" s="101">
        <v>0</v>
      </c>
      <c r="D29" s="101">
        <v>0</v>
      </c>
      <c r="E29" s="101">
        <v>0</v>
      </c>
      <c r="F29" s="101">
        <v>0</v>
      </c>
      <c r="G29" s="101">
        <v>1</v>
      </c>
      <c r="H29" s="101">
        <v>1</v>
      </c>
      <c r="I29" s="101">
        <v>0</v>
      </c>
      <c r="J29" s="101">
        <v>1</v>
      </c>
      <c r="K29" s="101">
        <v>1</v>
      </c>
      <c r="L29" s="101">
        <v>0</v>
      </c>
      <c r="M29" s="101">
        <v>0</v>
      </c>
      <c r="N29" s="101">
        <v>0</v>
      </c>
      <c r="O29" s="101">
        <v>0</v>
      </c>
      <c r="P29" s="101">
        <v>0</v>
      </c>
      <c r="Q29" s="101">
        <v>0</v>
      </c>
      <c r="R29" s="101">
        <v>1</v>
      </c>
      <c r="S29" s="101">
        <v>1</v>
      </c>
      <c r="T29" s="101">
        <v>1</v>
      </c>
      <c r="U29" s="101">
        <v>1</v>
      </c>
      <c r="V29" s="101">
        <v>0</v>
      </c>
      <c r="W29" s="101">
        <v>0</v>
      </c>
      <c r="X29" s="101">
        <v>0</v>
      </c>
      <c r="Y29" s="101">
        <v>1</v>
      </c>
      <c r="Z29" s="101">
        <v>0</v>
      </c>
      <c r="AA29" s="101">
        <v>0</v>
      </c>
      <c r="AB29" s="101">
        <v>1</v>
      </c>
      <c r="AC29" s="101">
        <v>0</v>
      </c>
      <c r="AD29" s="101">
        <v>0</v>
      </c>
      <c r="AE29" s="101">
        <v>0</v>
      </c>
      <c r="AF29" s="101">
        <v>0</v>
      </c>
      <c r="AG29" s="101">
        <v>0</v>
      </c>
      <c r="AH29" s="101">
        <v>0</v>
      </c>
      <c r="AI29" s="101">
        <v>0</v>
      </c>
      <c r="AJ29" s="101">
        <v>0</v>
      </c>
      <c r="AK29" s="101">
        <v>0</v>
      </c>
      <c r="AL29" s="101">
        <v>0</v>
      </c>
    </row>
    <row r="30" spans="1:38" customFormat="1" x14ac:dyDescent="0.15">
      <c r="A30" s="178" t="s">
        <v>220</v>
      </c>
      <c r="B30" s="101">
        <v>0</v>
      </c>
      <c r="C30" s="101">
        <v>0</v>
      </c>
      <c r="D30" s="101">
        <v>0</v>
      </c>
      <c r="E30" s="101">
        <v>0</v>
      </c>
      <c r="F30" s="101">
        <v>0</v>
      </c>
      <c r="G30" s="101">
        <v>0</v>
      </c>
      <c r="H30" s="101">
        <v>0</v>
      </c>
      <c r="I30" s="101">
        <v>0</v>
      </c>
      <c r="J30" s="101">
        <v>1</v>
      </c>
      <c r="K30" s="101">
        <v>1</v>
      </c>
      <c r="L30" s="101">
        <v>0</v>
      </c>
      <c r="M30" s="101">
        <v>1</v>
      </c>
      <c r="N30" s="101">
        <v>1</v>
      </c>
      <c r="O30" s="101">
        <v>0</v>
      </c>
      <c r="P30" s="101">
        <v>1</v>
      </c>
      <c r="Q30" s="101">
        <v>1</v>
      </c>
      <c r="R30" s="101">
        <v>0</v>
      </c>
      <c r="S30" s="101">
        <v>1</v>
      </c>
      <c r="T30" s="101">
        <v>0</v>
      </c>
      <c r="U30" s="101">
        <v>0</v>
      </c>
      <c r="V30" s="101">
        <v>0</v>
      </c>
      <c r="W30" s="101">
        <v>0</v>
      </c>
      <c r="X30" s="101">
        <v>0</v>
      </c>
      <c r="Y30" s="101">
        <v>0</v>
      </c>
      <c r="Z30" s="101">
        <v>1</v>
      </c>
      <c r="AA30" s="101">
        <v>0</v>
      </c>
      <c r="AB30" s="101">
        <v>0</v>
      </c>
      <c r="AC30" s="101">
        <v>0</v>
      </c>
      <c r="AD30" s="101">
        <v>0</v>
      </c>
      <c r="AE30" s="101">
        <v>0</v>
      </c>
      <c r="AF30" s="101">
        <v>0</v>
      </c>
      <c r="AG30" s="101">
        <v>0</v>
      </c>
      <c r="AH30" s="101">
        <v>0</v>
      </c>
      <c r="AI30" s="101">
        <v>0</v>
      </c>
      <c r="AJ30" s="101">
        <v>0</v>
      </c>
      <c r="AK30" s="101">
        <v>0</v>
      </c>
      <c r="AL30" s="101">
        <v>0</v>
      </c>
    </row>
    <row r="31" spans="1:38" customFormat="1" x14ac:dyDescent="0.15">
      <c r="A31" s="178" t="s">
        <v>221</v>
      </c>
      <c r="B31" s="101">
        <v>0</v>
      </c>
      <c r="C31" s="101">
        <v>1</v>
      </c>
      <c r="D31" s="101">
        <v>0</v>
      </c>
      <c r="E31" s="101">
        <v>0</v>
      </c>
      <c r="F31" s="101">
        <v>1</v>
      </c>
      <c r="G31" s="101">
        <v>0</v>
      </c>
      <c r="H31" s="101">
        <v>0</v>
      </c>
      <c r="I31" s="101">
        <v>1</v>
      </c>
      <c r="J31" s="101">
        <v>1</v>
      </c>
      <c r="K31" s="101">
        <v>1</v>
      </c>
      <c r="L31" s="101">
        <v>1</v>
      </c>
      <c r="M31" s="101">
        <v>1</v>
      </c>
      <c r="N31" s="101">
        <v>1</v>
      </c>
      <c r="O31" s="101">
        <v>1</v>
      </c>
      <c r="P31" s="101">
        <v>1</v>
      </c>
      <c r="Q31" s="101">
        <v>1</v>
      </c>
      <c r="R31" s="101">
        <v>0</v>
      </c>
      <c r="S31" s="101">
        <v>1</v>
      </c>
      <c r="T31" s="101">
        <v>1</v>
      </c>
      <c r="U31" s="101">
        <v>1</v>
      </c>
      <c r="V31" s="101">
        <v>1</v>
      </c>
      <c r="W31" s="101">
        <v>1</v>
      </c>
      <c r="X31" s="101">
        <v>1</v>
      </c>
      <c r="Y31" s="101">
        <v>0</v>
      </c>
      <c r="Z31" s="101">
        <v>1</v>
      </c>
      <c r="AA31" s="101">
        <v>1</v>
      </c>
      <c r="AB31" s="101">
        <v>0</v>
      </c>
      <c r="AC31" s="101">
        <v>1</v>
      </c>
      <c r="AD31" s="101">
        <v>1</v>
      </c>
      <c r="AE31" s="101">
        <v>0</v>
      </c>
      <c r="AF31" s="101">
        <v>0</v>
      </c>
      <c r="AG31" s="101">
        <v>0</v>
      </c>
      <c r="AH31" s="101">
        <v>0</v>
      </c>
      <c r="AI31" s="101">
        <v>0</v>
      </c>
      <c r="AJ31" s="101">
        <v>0</v>
      </c>
      <c r="AK31" s="101">
        <v>0</v>
      </c>
      <c r="AL31" s="101">
        <v>0</v>
      </c>
    </row>
    <row r="32" spans="1:38" x14ac:dyDescent="0.15">
      <c r="A32" s="178" t="s">
        <v>222</v>
      </c>
      <c r="B32" s="101">
        <v>0</v>
      </c>
      <c r="C32" s="101">
        <v>0</v>
      </c>
      <c r="D32" s="101">
        <v>0</v>
      </c>
      <c r="E32" s="101">
        <v>0</v>
      </c>
      <c r="F32" s="101">
        <v>0</v>
      </c>
      <c r="G32" s="101">
        <v>0</v>
      </c>
      <c r="H32" s="101">
        <v>0</v>
      </c>
      <c r="I32" s="101">
        <v>0</v>
      </c>
      <c r="J32" s="101">
        <v>0</v>
      </c>
      <c r="K32" s="101">
        <v>0</v>
      </c>
      <c r="L32" s="101">
        <v>0</v>
      </c>
      <c r="M32" s="101">
        <v>0</v>
      </c>
      <c r="N32" s="101">
        <v>0</v>
      </c>
      <c r="O32" s="101">
        <v>0</v>
      </c>
      <c r="P32" s="101">
        <v>0</v>
      </c>
      <c r="Q32" s="101">
        <v>0</v>
      </c>
      <c r="R32" s="101">
        <v>0</v>
      </c>
      <c r="S32" s="101">
        <v>0</v>
      </c>
      <c r="T32" s="101">
        <v>0</v>
      </c>
      <c r="U32" s="101">
        <v>0</v>
      </c>
      <c r="V32" s="101">
        <v>0</v>
      </c>
      <c r="W32" s="101">
        <v>0</v>
      </c>
      <c r="X32" s="101">
        <v>0</v>
      </c>
      <c r="Y32" s="101">
        <v>0</v>
      </c>
      <c r="Z32" s="101">
        <v>0</v>
      </c>
      <c r="AA32" s="101">
        <v>0</v>
      </c>
      <c r="AB32" s="101">
        <v>0</v>
      </c>
      <c r="AC32" s="101">
        <v>0</v>
      </c>
      <c r="AD32" s="101">
        <v>0</v>
      </c>
      <c r="AE32" s="101">
        <v>0</v>
      </c>
      <c r="AF32" s="101">
        <v>0</v>
      </c>
      <c r="AG32" s="101">
        <v>0</v>
      </c>
      <c r="AH32" s="101">
        <v>0</v>
      </c>
      <c r="AI32" s="101">
        <v>0</v>
      </c>
      <c r="AJ32" s="101">
        <v>0</v>
      </c>
      <c r="AK32" s="101">
        <v>0</v>
      </c>
      <c r="AL32" s="101">
        <v>0</v>
      </c>
    </row>
    <row r="33" spans="1:38" x14ac:dyDescent="0.15">
      <c r="A33" s="178" t="s">
        <v>223</v>
      </c>
      <c r="B33" s="101">
        <v>0</v>
      </c>
      <c r="C33" s="101">
        <v>0</v>
      </c>
      <c r="D33" s="101">
        <v>0</v>
      </c>
      <c r="E33" s="101">
        <v>0</v>
      </c>
      <c r="F33" s="101">
        <v>0</v>
      </c>
      <c r="G33" s="101">
        <v>0</v>
      </c>
      <c r="H33" s="101">
        <v>0</v>
      </c>
      <c r="I33" s="101">
        <v>0</v>
      </c>
      <c r="J33" s="101">
        <v>0</v>
      </c>
      <c r="K33" s="101">
        <v>0</v>
      </c>
      <c r="L33" s="101">
        <v>0</v>
      </c>
      <c r="M33" s="101">
        <v>0</v>
      </c>
      <c r="N33" s="101">
        <v>0</v>
      </c>
      <c r="O33" s="101">
        <v>0</v>
      </c>
      <c r="P33" s="101">
        <v>0</v>
      </c>
      <c r="Q33" s="101">
        <v>0</v>
      </c>
      <c r="R33" s="101">
        <v>0</v>
      </c>
      <c r="S33" s="101">
        <v>0</v>
      </c>
      <c r="T33" s="101">
        <v>0</v>
      </c>
      <c r="U33" s="101">
        <v>0</v>
      </c>
      <c r="V33" s="101">
        <v>0</v>
      </c>
      <c r="W33" s="101">
        <v>0</v>
      </c>
      <c r="X33" s="101">
        <v>0</v>
      </c>
      <c r="Y33" s="101">
        <v>0</v>
      </c>
      <c r="Z33" s="101">
        <v>0</v>
      </c>
      <c r="AA33" s="101">
        <v>0</v>
      </c>
      <c r="AB33" s="101">
        <v>0</v>
      </c>
      <c r="AC33" s="101">
        <v>0</v>
      </c>
      <c r="AD33" s="101">
        <v>0</v>
      </c>
      <c r="AE33" s="101">
        <v>0</v>
      </c>
      <c r="AF33" s="101">
        <v>0</v>
      </c>
      <c r="AG33" s="101">
        <v>0</v>
      </c>
      <c r="AH33" s="101">
        <v>0</v>
      </c>
      <c r="AI33" s="101">
        <v>0</v>
      </c>
      <c r="AJ33" s="101">
        <v>0</v>
      </c>
      <c r="AK33" s="101">
        <v>0</v>
      </c>
      <c r="AL33" s="101">
        <v>0</v>
      </c>
    </row>
    <row r="34" spans="1:38" x14ac:dyDescent="0.15">
      <c r="A34" s="178" t="s">
        <v>224</v>
      </c>
      <c r="B34" s="101">
        <v>0</v>
      </c>
      <c r="C34" s="101">
        <v>0</v>
      </c>
      <c r="D34" s="101">
        <v>1</v>
      </c>
      <c r="E34" s="101">
        <v>0</v>
      </c>
      <c r="F34" s="101">
        <v>0</v>
      </c>
      <c r="G34" s="101">
        <v>1</v>
      </c>
      <c r="H34" s="101">
        <v>1</v>
      </c>
      <c r="I34" s="101">
        <v>0</v>
      </c>
      <c r="J34" s="101">
        <v>0</v>
      </c>
      <c r="K34" s="101">
        <v>0</v>
      </c>
      <c r="L34" s="101">
        <v>0</v>
      </c>
      <c r="M34" s="101">
        <v>0</v>
      </c>
      <c r="N34" s="101">
        <v>0</v>
      </c>
      <c r="O34" s="101">
        <v>0</v>
      </c>
      <c r="P34" s="101">
        <v>1</v>
      </c>
      <c r="Q34" s="101">
        <v>1</v>
      </c>
      <c r="R34" s="101">
        <v>1</v>
      </c>
      <c r="S34" s="101">
        <v>1</v>
      </c>
      <c r="T34" s="101">
        <v>1</v>
      </c>
      <c r="U34" s="101">
        <v>0</v>
      </c>
      <c r="V34" s="101">
        <v>0</v>
      </c>
      <c r="W34" s="101">
        <v>0</v>
      </c>
      <c r="X34" s="101">
        <v>0</v>
      </c>
      <c r="Y34" s="101">
        <v>1</v>
      </c>
      <c r="Z34" s="101">
        <v>1</v>
      </c>
      <c r="AA34" s="101">
        <v>1</v>
      </c>
      <c r="AB34" s="101">
        <v>1</v>
      </c>
      <c r="AC34" s="101">
        <v>1</v>
      </c>
      <c r="AD34" s="101">
        <v>0</v>
      </c>
      <c r="AE34" s="101">
        <v>0</v>
      </c>
      <c r="AF34" s="101">
        <v>0</v>
      </c>
      <c r="AG34" s="101">
        <v>0</v>
      </c>
      <c r="AH34" s="101">
        <v>0</v>
      </c>
      <c r="AI34" s="101">
        <v>0</v>
      </c>
      <c r="AJ34" s="101">
        <v>0</v>
      </c>
      <c r="AK34" s="101">
        <v>0</v>
      </c>
      <c r="AL34" s="101">
        <v>0</v>
      </c>
    </row>
    <row r="35" spans="1:38" x14ac:dyDescent="0.15">
      <c r="A35" s="178" t="s">
        <v>225</v>
      </c>
      <c r="B35" s="101">
        <v>0</v>
      </c>
      <c r="C35" s="101">
        <v>0</v>
      </c>
      <c r="D35" s="101">
        <v>0</v>
      </c>
      <c r="E35" s="101">
        <v>0</v>
      </c>
      <c r="F35" s="101">
        <v>0</v>
      </c>
      <c r="G35" s="101">
        <v>0</v>
      </c>
      <c r="H35" s="101">
        <v>0</v>
      </c>
      <c r="I35" s="101">
        <v>0</v>
      </c>
      <c r="J35" s="101">
        <v>0</v>
      </c>
      <c r="K35" s="101">
        <v>0</v>
      </c>
      <c r="L35" s="101">
        <v>0</v>
      </c>
      <c r="M35" s="101">
        <v>0</v>
      </c>
      <c r="N35" s="101">
        <v>0</v>
      </c>
      <c r="O35" s="101">
        <v>0</v>
      </c>
      <c r="P35" s="101">
        <v>0</v>
      </c>
      <c r="Q35" s="101">
        <v>0</v>
      </c>
      <c r="R35" s="101">
        <v>0</v>
      </c>
      <c r="S35" s="101">
        <v>0</v>
      </c>
      <c r="T35" s="101">
        <v>0</v>
      </c>
      <c r="U35" s="101">
        <v>0</v>
      </c>
      <c r="V35" s="101">
        <v>0</v>
      </c>
      <c r="W35" s="101">
        <v>0</v>
      </c>
      <c r="X35" s="101">
        <v>0</v>
      </c>
      <c r="Y35" s="101">
        <v>0</v>
      </c>
      <c r="Z35" s="101">
        <v>0</v>
      </c>
      <c r="AA35" s="101">
        <v>0</v>
      </c>
      <c r="AB35" s="101">
        <v>0</v>
      </c>
      <c r="AC35" s="101">
        <v>0</v>
      </c>
      <c r="AD35" s="101">
        <v>0</v>
      </c>
      <c r="AE35" s="101">
        <v>0</v>
      </c>
      <c r="AF35" s="101">
        <v>1</v>
      </c>
      <c r="AG35" s="101">
        <v>1</v>
      </c>
      <c r="AH35" s="101">
        <v>0</v>
      </c>
      <c r="AI35" s="101">
        <v>0</v>
      </c>
      <c r="AJ35" s="101">
        <v>0</v>
      </c>
      <c r="AK35" s="101">
        <v>0</v>
      </c>
      <c r="AL35" s="101">
        <v>0</v>
      </c>
    </row>
    <row r="36" spans="1:38" x14ac:dyDescent="0.15">
      <c r="A36" s="178" t="s">
        <v>226</v>
      </c>
      <c r="B36" s="101">
        <v>0</v>
      </c>
      <c r="C36" s="101">
        <v>0</v>
      </c>
      <c r="D36" s="101">
        <v>0</v>
      </c>
      <c r="E36" s="101">
        <v>0</v>
      </c>
      <c r="F36" s="101">
        <v>0</v>
      </c>
      <c r="G36" s="101">
        <v>0</v>
      </c>
      <c r="H36" s="101">
        <v>0</v>
      </c>
      <c r="I36" s="101">
        <v>0</v>
      </c>
      <c r="J36" s="101">
        <v>0</v>
      </c>
      <c r="K36" s="101">
        <v>0</v>
      </c>
      <c r="L36" s="101">
        <v>0</v>
      </c>
      <c r="M36" s="101">
        <v>0</v>
      </c>
      <c r="N36" s="101">
        <v>0</v>
      </c>
      <c r="O36" s="101">
        <v>0</v>
      </c>
      <c r="P36" s="101">
        <v>0</v>
      </c>
      <c r="Q36" s="101">
        <v>0</v>
      </c>
      <c r="R36" s="101">
        <v>0</v>
      </c>
      <c r="S36" s="101">
        <v>0</v>
      </c>
      <c r="T36" s="101">
        <v>0</v>
      </c>
      <c r="U36" s="101">
        <v>0</v>
      </c>
      <c r="V36" s="101">
        <v>0</v>
      </c>
      <c r="W36" s="101">
        <v>0</v>
      </c>
      <c r="X36" s="101">
        <v>1</v>
      </c>
      <c r="Y36" s="101">
        <v>0</v>
      </c>
      <c r="Z36" s="101">
        <v>0</v>
      </c>
      <c r="AA36" s="101">
        <v>0</v>
      </c>
      <c r="AB36" s="101">
        <v>0</v>
      </c>
      <c r="AC36" s="101">
        <v>0</v>
      </c>
      <c r="AD36" s="101">
        <v>0</v>
      </c>
      <c r="AE36" s="101">
        <v>1</v>
      </c>
      <c r="AF36" s="101">
        <v>0</v>
      </c>
      <c r="AG36" s="101">
        <v>0</v>
      </c>
      <c r="AH36" s="101">
        <v>1</v>
      </c>
      <c r="AI36" s="101">
        <v>0</v>
      </c>
      <c r="AJ36" s="101">
        <v>0</v>
      </c>
      <c r="AK36" s="101">
        <v>0</v>
      </c>
      <c r="AL36" s="101">
        <v>0</v>
      </c>
    </row>
    <row r="37" spans="1:38" x14ac:dyDescent="0.15">
      <c r="A37" s="178" t="s">
        <v>227</v>
      </c>
      <c r="B37" s="101">
        <v>0</v>
      </c>
      <c r="C37" s="101">
        <v>0</v>
      </c>
      <c r="D37" s="101">
        <v>0</v>
      </c>
      <c r="E37" s="101">
        <v>0</v>
      </c>
      <c r="F37" s="101">
        <v>0</v>
      </c>
      <c r="G37" s="101">
        <v>0</v>
      </c>
      <c r="H37" s="101">
        <v>0</v>
      </c>
      <c r="I37" s="101">
        <v>0</v>
      </c>
      <c r="J37" s="101">
        <v>0</v>
      </c>
      <c r="K37" s="101">
        <v>0</v>
      </c>
      <c r="L37" s="101">
        <v>0</v>
      </c>
      <c r="M37" s="101">
        <v>0</v>
      </c>
      <c r="N37" s="101">
        <v>0</v>
      </c>
      <c r="O37" s="101">
        <v>0</v>
      </c>
      <c r="P37" s="101">
        <v>0</v>
      </c>
      <c r="Q37" s="101">
        <v>0</v>
      </c>
      <c r="R37" s="101">
        <v>0</v>
      </c>
      <c r="S37" s="101">
        <v>0</v>
      </c>
      <c r="T37" s="101">
        <v>0</v>
      </c>
      <c r="U37" s="101">
        <v>0</v>
      </c>
      <c r="V37" s="101">
        <v>0</v>
      </c>
      <c r="W37" s="101">
        <v>0</v>
      </c>
      <c r="X37" s="101">
        <v>0</v>
      </c>
      <c r="Y37" s="101">
        <v>0</v>
      </c>
      <c r="Z37" s="101">
        <v>0</v>
      </c>
      <c r="AA37" s="101">
        <v>1</v>
      </c>
      <c r="AB37" s="101">
        <v>0</v>
      </c>
      <c r="AC37" s="101">
        <v>1</v>
      </c>
      <c r="AD37" s="101">
        <v>0</v>
      </c>
      <c r="AE37" s="101">
        <v>1</v>
      </c>
      <c r="AF37" s="101">
        <v>1</v>
      </c>
      <c r="AG37" s="101">
        <v>1</v>
      </c>
      <c r="AH37" s="101">
        <v>1</v>
      </c>
      <c r="AI37" s="101">
        <v>0</v>
      </c>
      <c r="AJ37" s="101">
        <v>0</v>
      </c>
      <c r="AK37" s="101">
        <v>0</v>
      </c>
      <c r="AL37" s="101">
        <v>0</v>
      </c>
    </row>
    <row r="38" spans="1:38" x14ac:dyDescent="0.15">
      <c r="A38" s="178" t="s">
        <v>228</v>
      </c>
      <c r="B38" s="101">
        <v>0</v>
      </c>
      <c r="C38" s="101">
        <v>0</v>
      </c>
      <c r="D38" s="101">
        <v>0</v>
      </c>
      <c r="E38" s="101">
        <v>0</v>
      </c>
      <c r="F38" s="101">
        <v>0</v>
      </c>
      <c r="G38" s="101">
        <v>0</v>
      </c>
      <c r="H38" s="101">
        <v>0</v>
      </c>
      <c r="I38" s="101">
        <v>0</v>
      </c>
      <c r="J38" s="101">
        <v>0</v>
      </c>
      <c r="K38" s="101">
        <v>0</v>
      </c>
      <c r="L38" s="101">
        <v>0</v>
      </c>
      <c r="M38" s="101">
        <v>0</v>
      </c>
      <c r="N38" s="101">
        <v>0</v>
      </c>
      <c r="O38" s="101">
        <v>0</v>
      </c>
      <c r="P38" s="101">
        <v>0</v>
      </c>
      <c r="Q38" s="101">
        <v>0</v>
      </c>
      <c r="R38" s="101">
        <v>0</v>
      </c>
      <c r="S38" s="101">
        <v>0</v>
      </c>
      <c r="T38" s="101">
        <v>0</v>
      </c>
      <c r="U38" s="101">
        <v>0</v>
      </c>
      <c r="V38" s="101">
        <v>0</v>
      </c>
      <c r="W38" s="101">
        <v>0</v>
      </c>
      <c r="X38" s="101">
        <v>0</v>
      </c>
      <c r="Y38" s="101">
        <v>0</v>
      </c>
      <c r="Z38" s="101">
        <v>0</v>
      </c>
      <c r="AA38" s="101">
        <v>0</v>
      </c>
      <c r="AB38" s="101">
        <v>0</v>
      </c>
      <c r="AC38" s="101">
        <v>0</v>
      </c>
      <c r="AD38" s="101">
        <v>0</v>
      </c>
      <c r="AE38" s="101">
        <v>0</v>
      </c>
      <c r="AF38" s="101">
        <v>0</v>
      </c>
      <c r="AG38" s="101">
        <v>0</v>
      </c>
      <c r="AH38" s="101">
        <v>0</v>
      </c>
      <c r="AI38" s="101">
        <v>0</v>
      </c>
      <c r="AJ38" s="101">
        <v>0</v>
      </c>
      <c r="AK38" s="101">
        <v>0</v>
      </c>
      <c r="AL38" s="101">
        <v>0</v>
      </c>
    </row>
    <row r="39" spans="1:38" x14ac:dyDescent="0.15">
      <c r="A39" s="178" t="s">
        <v>237</v>
      </c>
      <c r="B39" s="101">
        <v>0</v>
      </c>
      <c r="C39" s="101">
        <v>0</v>
      </c>
      <c r="D39" s="101">
        <v>0</v>
      </c>
      <c r="E39" s="101">
        <v>0</v>
      </c>
      <c r="F39" s="101">
        <v>0</v>
      </c>
      <c r="G39" s="101">
        <v>0</v>
      </c>
      <c r="H39" s="101">
        <v>0</v>
      </c>
      <c r="I39" s="101">
        <v>0</v>
      </c>
      <c r="J39" s="101">
        <v>0</v>
      </c>
      <c r="K39" s="101">
        <v>0</v>
      </c>
      <c r="L39" s="101">
        <v>0</v>
      </c>
      <c r="M39" s="101">
        <v>0</v>
      </c>
      <c r="N39" s="101">
        <v>0</v>
      </c>
      <c r="O39" s="101">
        <v>0</v>
      </c>
      <c r="P39" s="101">
        <v>0</v>
      </c>
      <c r="Q39" s="101">
        <v>0</v>
      </c>
      <c r="R39" s="101">
        <v>0</v>
      </c>
      <c r="S39" s="101">
        <v>0</v>
      </c>
      <c r="T39" s="101">
        <v>0</v>
      </c>
      <c r="U39" s="101">
        <v>0</v>
      </c>
      <c r="V39" s="101">
        <v>0</v>
      </c>
      <c r="W39" s="101">
        <v>0</v>
      </c>
      <c r="X39" s="101">
        <v>0</v>
      </c>
      <c r="Y39" s="101">
        <v>0</v>
      </c>
      <c r="Z39" s="101">
        <v>0</v>
      </c>
      <c r="AA39" s="101">
        <v>0</v>
      </c>
      <c r="AB39" s="101">
        <v>0</v>
      </c>
      <c r="AC39" s="101">
        <v>0</v>
      </c>
      <c r="AD39" s="101">
        <v>0</v>
      </c>
      <c r="AE39" s="101">
        <v>0</v>
      </c>
      <c r="AF39" s="101">
        <v>0</v>
      </c>
      <c r="AG39" s="101">
        <v>0</v>
      </c>
      <c r="AH39" s="101">
        <v>0</v>
      </c>
      <c r="AI39" s="101">
        <v>0</v>
      </c>
      <c r="AJ39" s="101">
        <v>0</v>
      </c>
      <c r="AK39" s="101">
        <v>0</v>
      </c>
      <c r="AL39" s="10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J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3" bestFit="1" customWidth="1"/>
    <col min="3" max="4" width="3.83203125" bestFit="1" customWidth="1"/>
    <col min="5" max="10" width="3.83203125" customWidth="1"/>
  </cols>
  <sheetData>
    <row r="1" spans="1:10" ht="112" x14ac:dyDescent="0.15">
      <c r="A1" s="5" t="s">
        <v>83</v>
      </c>
      <c r="B1" s="3" t="s">
        <v>0</v>
      </c>
      <c r="C1" s="181" t="s">
        <v>229</v>
      </c>
      <c r="D1" s="181" t="s">
        <v>230</v>
      </c>
      <c r="E1" s="181" t="s">
        <v>231</v>
      </c>
      <c r="F1" s="181" t="s">
        <v>232</v>
      </c>
      <c r="G1" s="181" t="s">
        <v>233</v>
      </c>
      <c r="H1" s="181" t="s">
        <v>234</v>
      </c>
      <c r="I1" s="181" t="s">
        <v>235</v>
      </c>
      <c r="J1" s="181" t="s">
        <v>236</v>
      </c>
    </row>
    <row r="2" spans="1:10" x14ac:dyDescent="0.15">
      <c r="A2">
        <v>1</v>
      </c>
      <c r="B2" s="180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80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80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v>4</v>
      </c>
      <c r="B5" s="180" t="s">
        <v>196</v>
      </c>
      <c r="C5">
        <v>0.8</v>
      </c>
      <c r="D5">
        <v>0.8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15">
      <c r="A6">
        <v>5</v>
      </c>
      <c r="B6" s="180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15">
      <c r="A7">
        <v>6</v>
      </c>
      <c r="B7" s="180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15">
      <c r="A8">
        <v>7</v>
      </c>
      <c r="B8" s="180" t="s">
        <v>199</v>
      </c>
      <c r="C8">
        <v>0.8</v>
      </c>
      <c r="D8">
        <v>0.8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15">
      <c r="A9">
        <v>8</v>
      </c>
      <c r="B9" s="180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15">
      <c r="A10">
        <v>9</v>
      </c>
      <c r="B10" s="180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15">
      <c r="A11">
        <v>10</v>
      </c>
      <c r="B11" s="180" t="s">
        <v>202</v>
      </c>
      <c r="C11">
        <v>0.8</v>
      </c>
      <c r="D11">
        <v>0.8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80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15">
      <c r="A13">
        <v>12</v>
      </c>
      <c r="B13" s="180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15">
      <c r="A14">
        <v>13</v>
      </c>
      <c r="B14" s="180" t="s">
        <v>205</v>
      </c>
      <c r="C14">
        <v>0.8</v>
      </c>
      <c r="D14">
        <v>0.8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80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80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15">
      <c r="A17">
        <v>16</v>
      </c>
      <c r="B17" s="180" t="s">
        <v>208</v>
      </c>
      <c r="C17">
        <v>0.8</v>
      </c>
      <c r="D17">
        <v>0.8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80" t="s">
        <v>209</v>
      </c>
      <c r="C18">
        <v>0.8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80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80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15">
      <c r="A21">
        <v>20</v>
      </c>
      <c r="B21" s="180" t="s">
        <v>212</v>
      </c>
      <c r="C21">
        <v>0</v>
      </c>
      <c r="D21">
        <v>0</v>
      </c>
      <c r="E21">
        <v>0.8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15">
      <c r="A22">
        <v>21</v>
      </c>
      <c r="B22" s="180" t="s">
        <v>213</v>
      </c>
      <c r="C22">
        <v>0</v>
      </c>
      <c r="D22">
        <v>0</v>
      </c>
      <c r="E22">
        <v>0</v>
      </c>
      <c r="F22">
        <v>0.8</v>
      </c>
      <c r="G22">
        <v>0</v>
      </c>
      <c r="H22">
        <v>0</v>
      </c>
      <c r="I22">
        <v>0</v>
      </c>
      <c r="J22">
        <v>0</v>
      </c>
    </row>
    <row r="23" spans="1:10" x14ac:dyDescent="0.15">
      <c r="A23">
        <v>22</v>
      </c>
      <c r="B23" s="180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15">
      <c r="A24">
        <v>23</v>
      </c>
      <c r="B24" s="180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15">
      <c r="A25">
        <v>24</v>
      </c>
      <c r="B25" s="180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15">
      <c r="A26">
        <v>25</v>
      </c>
      <c r="B26" s="180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15">
      <c r="A27">
        <v>26</v>
      </c>
      <c r="B27" s="180" t="s">
        <v>166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0.8</v>
      </c>
    </row>
    <row r="28" spans="1:10" x14ac:dyDescent="0.15">
      <c r="A28">
        <v>27</v>
      </c>
      <c r="B28" s="180" t="s">
        <v>218</v>
      </c>
      <c r="C28">
        <v>0</v>
      </c>
      <c r="D28">
        <v>0</v>
      </c>
      <c r="E28">
        <v>0</v>
      </c>
      <c r="F28">
        <v>0</v>
      </c>
      <c r="G28">
        <v>0.8</v>
      </c>
      <c r="H28">
        <v>0</v>
      </c>
      <c r="I28">
        <v>0</v>
      </c>
      <c r="J28">
        <v>0</v>
      </c>
    </row>
    <row r="29" spans="1:10" x14ac:dyDescent="0.15">
      <c r="A29">
        <v>28</v>
      </c>
      <c r="B29" s="180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0.8</v>
      </c>
      <c r="I29">
        <v>0</v>
      </c>
      <c r="J29">
        <v>0</v>
      </c>
    </row>
    <row r="30" spans="1:10" x14ac:dyDescent="0.15">
      <c r="A30">
        <v>29</v>
      </c>
      <c r="B30" s="180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15">
      <c r="A31">
        <v>30</v>
      </c>
      <c r="B31" s="180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15">
      <c r="A32">
        <v>31</v>
      </c>
      <c r="B32" s="180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15">
      <c r="A33">
        <v>32</v>
      </c>
      <c r="B33" s="180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0.8</v>
      </c>
      <c r="J33">
        <v>0</v>
      </c>
    </row>
    <row r="34" spans="1:10" x14ac:dyDescent="0.15">
      <c r="A34">
        <v>33</v>
      </c>
      <c r="B34" s="180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15">
      <c r="A35">
        <v>34</v>
      </c>
      <c r="B35" s="180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15">
      <c r="A36">
        <v>35</v>
      </c>
      <c r="B36" s="180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x14ac:dyDescent="0.15">
      <c r="A37">
        <v>36</v>
      </c>
      <c r="B37" s="180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15">
      <c r="A38">
        <v>37</v>
      </c>
      <c r="B38" s="180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J38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3" bestFit="1" customWidth="1"/>
    <col min="3" max="4" width="3.83203125" bestFit="1" customWidth="1"/>
    <col min="5" max="10" width="3.83203125" customWidth="1"/>
  </cols>
  <sheetData>
    <row r="1" spans="1:10" ht="112" x14ac:dyDescent="0.15">
      <c r="A1" s="5" t="s">
        <v>82</v>
      </c>
      <c r="B1" s="3" t="s">
        <v>0</v>
      </c>
      <c r="C1" s="183" t="s">
        <v>229</v>
      </c>
      <c r="D1" s="183" t="s">
        <v>230</v>
      </c>
      <c r="E1" s="183" t="s">
        <v>231</v>
      </c>
      <c r="F1" s="183" t="s">
        <v>232</v>
      </c>
      <c r="G1" s="183" t="s">
        <v>233</v>
      </c>
      <c r="H1" s="183" t="s">
        <v>234</v>
      </c>
      <c r="I1" s="183" t="s">
        <v>235</v>
      </c>
      <c r="J1" s="183" t="s">
        <v>236</v>
      </c>
    </row>
    <row r="2" spans="1:10" x14ac:dyDescent="0.15">
      <c r="A2">
        <v>1</v>
      </c>
      <c r="B2" s="182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82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82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v>4</v>
      </c>
      <c r="B5" s="182" t="s">
        <v>196</v>
      </c>
      <c r="C5">
        <v>0.8</v>
      </c>
      <c r="D5">
        <v>0.8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15">
      <c r="A6">
        <v>5</v>
      </c>
      <c r="B6" s="182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15">
      <c r="A7">
        <v>6</v>
      </c>
      <c r="B7" s="182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15">
      <c r="A8">
        <v>7</v>
      </c>
      <c r="B8" s="182" t="s">
        <v>199</v>
      </c>
      <c r="C8">
        <v>0.8</v>
      </c>
      <c r="D8">
        <v>0.8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15">
      <c r="A9">
        <v>8</v>
      </c>
      <c r="B9" s="182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15">
      <c r="A10">
        <v>9</v>
      </c>
      <c r="B10" s="182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15">
      <c r="A11">
        <v>10</v>
      </c>
      <c r="B11" s="182" t="s">
        <v>202</v>
      </c>
      <c r="C11">
        <v>0.8</v>
      </c>
      <c r="D11">
        <v>0.8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82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15">
      <c r="A13">
        <v>12</v>
      </c>
      <c r="B13" s="182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15">
      <c r="A14">
        <v>13</v>
      </c>
      <c r="B14" s="182" t="s">
        <v>205</v>
      </c>
      <c r="C14">
        <v>0.8</v>
      </c>
      <c r="D14">
        <v>0.8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82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82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15">
      <c r="A17">
        <v>16</v>
      </c>
      <c r="B17" s="182" t="s">
        <v>208</v>
      </c>
      <c r="C17">
        <v>0.8</v>
      </c>
      <c r="D17">
        <v>0.8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82" t="s">
        <v>209</v>
      </c>
      <c r="C18">
        <v>0.8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82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82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15">
      <c r="A21">
        <v>20</v>
      </c>
      <c r="B21" s="182" t="s">
        <v>212</v>
      </c>
      <c r="C21">
        <v>0</v>
      </c>
      <c r="D21">
        <v>0</v>
      </c>
      <c r="E21">
        <v>0.8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15">
      <c r="A22">
        <v>21</v>
      </c>
      <c r="B22" s="182" t="s">
        <v>213</v>
      </c>
      <c r="C22">
        <v>0</v>
      </c>
      <c r="D22">
        <v>0</v>
      </c>
      <c r="E22">
        <v>0</v>
      </c>
      <c r="F22">
        <v>0.8</v>
      </c>
      <c r="G22">
        <v>0</v>
      </c>
      <c r="H22">
        <v>0</v>
      </c>
      <c r="I22">
        <v>0</v>
      </c>
      <c r="J22">
        <v>0</v>
      </c>
    </row>
    <row r="23" spans="1:10" x14ac:dyDescent="0.15">
      <c r="A23">
        <v>22</v>
      </c>
      <c r="B23" s="182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15">
      <c r="A24">
        <v>23</v>
      </c>
      <c r="B24" s="182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15">
      <c r="A25">
        <v>24</v>
      </c>
      <c r="B25" s="182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15">
      <c r="A26">
        <v>25</v>
      </c>
      <c r="B26" s="182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15">
      <c r="A27">
        <v>26</v>
      </c>
      <c r="B27" s="182" t="s">
        <v>166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0.8</v>
      </c>
    </row>
    <row r="28" spans="1:10" x14ac:dyDescent="0.15">
      <c r="A28">
        <v>27</v>
      </c>
      <c r="B28" s="182" t="s">
        <v>218</v>
      </c>
      <c r="C28">
        <v>0</v>
      </c>
      <c r="D28">
        <v>0</v>
      </c>
      <c r="E28">
        <v>0</v>
      </c>
      <c r="F28">
        <v>0</v>
      </c>
      <c r="G28">
        <v>0.8</v>
      </c>
      <c r="H28">
        <v>0</v>
      </c>
      <c r="I28">
        <v>0</v>
      </c>
      <c r="J28">
        <v>0</v>
      </c>
    </row>
    <row r="29" spans="1:10" x14ac:dyDescent="0.15">
      <c r="A29">
        <v>28</v>
      </c>
      <c r="B29" s="182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0.8</v>
      </c>
      <c r="I29">
        <v>0</v>
      </c>
      <c r="J29">
        <v>0</v>
      </c>
    </row>
    <row r="30" spans="1:10" x14ac:dyDescent="0.15">
      <c r="A30">
        <v>29</v>
      </c>
      <c r="B30" s="182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15">
      <c r="A31">
        <v>30</v>
      </c>
      <c r="B31" s="182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15">
      <c r="A32">
        <v>31</v>
      </c>
      <c r="B32" s="182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15">
      <c r="A33">
        <v>32</v>
      </c>
      <c r="B33" s="182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0.8</v>
      </c>
      <c r="J33">
        <v>0</v>
      </c>
    </row>
    <row r="34" spans="1:10" x14ac:dyDescent="0.15">
      <c r="A34">
        <v>33</v>
      </c>
      <c r="B34" s="182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15">
      <c r="A35">
        <v>34</v>
      </c>
      <c r="B35" s="182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15">
      <c r="A36">
        <v>35</v>
      </c>
      <c r="B36" s="182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x14ac:dyDescent="0.15">
      <c r="A37">
        <v>36</v>
      </c>
      <c r="B37" s="182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15">
      <c r="A38">
        <v>37</v>
      </c>
      <c r="B38" s="182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6" sqref="L6"/>
    </sheetView>
  </sheetViews>
  <sheetFormatPr baseColWidth="10" defaultColWidth="8.83203125" defaultRowHeight="15" customHeight="1" x14ac:dyDescent="0.15"/>
  <cols>
    <col min="1" max="1" width="8.83203125" style="75"/>
    <col min="2" max="2" width="41.83203125" style="75" bestFit="1" customWidth="1"/>
    <col min="3" max="3" width="9.33203125" style="75" bestFit="1" customWidth="1"/>
    <col min="4" max="4" width="13" style="75" bestFit="1" customWidth="1"/>
    <col min="5" max="6" width="9.33203125" style="75" bestFit="1" customWidth="1"/>
    <col min="7" max="7" width="9.33203125" style="91" bestFit="1" customWidth="1"/>
    <col min="8" max="8" width="9.33203125" style="75" bestFit="1" customWidth="1"/>
    <col min="9" max="9" width="11" style="75" customWidth="1"/>
    <col min="10" max="10" width="8.83203125" style="75"/>
    <col min="15" max="16384" width="8.83203125" style="7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2" t="s">
        <v>14</v>
      </c>
      <c r="H1" s="1" t="s">
        <v>26</v>
      </c>
      <c r="I1" s="1" t="s">
        <v>24</v>
      </c>
    </row>
    <row r="2" spans="1:10" ht="15" customHeight="1" x14ac:dyDescent="0.15">
      <c r="A2" s="135">
        <v>1</v>
      </c>
      <c r="B2" s="135" t="s">
        <v>193</v>
      </c>
      <c r="C2" s="8">
        <v>4.0919938087463379</v>
      </c>
      <c r="D2" s="9">
        <v>1.6000000759959221E-2</v>
      </c>
      <c r="E2" s="9">
        <v>7.9999998211860657E-2</v>
      </c>
      <c r="F2" s="9">
        <v>16</v>
      </c>
      <c r="G2" s="7">
        <v>0</v>
      </c>
      <c r="H2" s="9">
        <v>4.999999888241291E-3</v>
      </c>
      <c r="I2">
        <v>0</v>
      </c>
      <c r="J2"/>
    </row>
    <row r="3" spans="1:10" ht="15" customHeight="1" x14ac:dyDescent="0.15">
      <c r="A3" s="136">
        <v>2</v>
      </c>
      <c r="B3" s="136" t="s">
        <v>194</v>
      </c>
      <c r="C3" s="8">
        <v>3</v>
      </c>
      <c r="D3" s="9">
        <v>3.6195495340507478E-5</v>
      </c>
      <c r="E3" s="9">
        <v>3</v>
      </c>
      <c r="F3" s="9">
        <v>44.971092224121094</v>
      </c>
      <c r="G3" s="7">
        <v>0</v>
      </c>
      <c r="H3" s="9">
        <v>6.6709518432617188E-2</v>
      </c>
      <c r="I3">
        <v>0</v>
      </c>
      <c r="J3"/>
    </row>
    <row r="4" spans="1:10" ht="15" customHeight="1" x14ac:dyDescent="0.15">
      <c r="A4" s="137">
        <v>3</v>
      </c>
      <c r="B4" s="137" t="s">
        <v>195</v>
      </c>
      <c r="C4" s="8">
        <v>3.1056499481201172</v>
      </c>
      <c r="D4" s="9">
        <v>7.6393298804759979E-2</v>
      </c>
      <c r="E4" s="9">
        <v>1</v>
      </c>
      <c r="F4" s="9">
        <v>4.9982953071594238</v>
      </c>
      <c r="G4" s="7">
        <v>0</v>
      </c>
      <c r="H4" s="9">
        <v>0.20006820559501648</v>
      </c>
      <c r="I4">
        <v>0</v>
      </c>
      <c r="J4"/>
    </row>
    <row r="5" spans="1:10" ht="15" customHeight="1" x14ac:dyDescent="0.15">
      <c r="A5" s="138">
        <v>4</v>
      </c>
      <c r="B5" s="138" t="s">
        <v>196</v>
      </c>
      <c r="C5" s="8">
        <v>4.0992674827575684</v>
      </c>
      <c r="D5" s="9">
        <v>0.5</v>
      </c>
      <c r="E5" s="9">
        <v>0.20000000298023224</v>
      </c>
      <c r="F5" s="9">
        <v>2.2000000476837158</v>
      </c>
      <c r="G5" s="9">
        <v>0.14699999988079071</v>
      </c>
      <c r="H5" s="9">
        <v>9.0909093618392944E-2</v>
      </c>
      <c r="I5">
        <v>1.4700000174343586E-2</v>
      </c>
      <c r="J5"/>
    </row>
    <row r="6" spans="1:10" ht="15" customHeight="1" x14ac:dyDescent="0.15">
      <c r="A6" s="139">
        <v>5</v>
      </c>
      <c r="B6" s="139" t="s">
        <v>197</v>
      </c>
      <c r="C6" s="8">
        <v>3</v>
      </c>
      <c r="D6" s="9">
        <v>4.47456159236026E-6</v>
      </c>
      <c r="E6" s="9">
        <v>2</v>
      </c>
      <c r="F6" s="9">
        <v>71.722343444824219</v>
      </c>
      <c r="G6" s="7">
        <v>0</v>
      </c>
      <c r="H6" s="9">
        <v>2.7885312214493752E-2</v>
      </c>
      <c r="I6">
        <v>0</v>
      </c>
      <c r="J6"/>
    </row>
    <row r="7" spans="1:10" ht="15" customHeight="1" x14ac:dyDescent="0.15">
      <c r="A7" s="140">
        <v>6</v>
      </c>
      <c r="B7" s="140" t="s">
        <v>198</v>
      </c>
      <c r="C7" s="8">
        <v>3.6601963043212891</v>
      </c>
      <c r="D7" s="9">
        <v>0.15579533576965332</v>
      </c>
      <c r="E7" s="9">
        <v>1</v>
      </c>
      <c r="F7" s="9">
        <v>3.630481481552124</v>
      </c>
      <c r="G7" s="9">
        <v>3.4132241271436214E-3</v>
      </c>
      <c r="H7" s="9">
        <v>0.27544555068016052</v>
      </c>
      <c r="I7">
        <v>0</v>
      </c>
      <c r="J7"/>
    </row>
    <row r="8" spans="1:10" ht="15" customHeight="1" x14ac:dyDescent="0.15">
      <c r="A8" s="141">
        <v>7</v>
      </c>
      <c r="B8" s="141" t="s">
        <v>199</v>
      </c>
      <c r="C8" s="8">
        <v>3.6601963043212891</v>
      </c>
      <c r="D8" s="9">
        <v>0.40000000596046448</v>
      </c>
      <c r="E8" s="9">
        <v>0.25</v>
      </c>
      <c r="F8" s="9">
        <v>1.5</v>
      </c>
      <c r="G8" s="9">
        <v>5.9999998658895493E-2</v>
      </c>
      <c r="H8" s="9">
        <v>0.1666666716337204</v>
      </c>
      <c r="I8">
        <v>6.0000000521540642E-3</v>
      </c>
      <c r="J8"/>
    </row>
    <row r="9" spans="1:10" ht="15" customHeight="1" x14ac:dyDescent="0.15">
      <c r="A9" s="142">
        <v>8</v>
      </c>
      <c r="B9" s="142" t="s">
        <v>200</v>
      </c>
      <c r="C9" s="8">
        <v>3</v>
      </c>
      <c r="D9" s="9">
        <v>1.2452842383936513E-6</v>
      </c>
      <c r="E9" s="9">
        <v>2</v>
      </c>
      <c r="F9" s="9">
        <v>105.76959991455078</v>
      </c>
      <c r="G9" s="7">
        <v>0</v>
      </c>
      <c r="H9" s="9">
        <v>1.8909024074673653E-2</v>
      </c>
      <c r="I9">
        <v>0</v>
      </c>
      <c r="J9"/>
    </row>
    <row r="10" spans="1:10" ht="15" customHeight="1" x14ac:dyDescent="0.15">
      <c r="A10" s="143">
        <v>9</v>
      </c>
      <c r="B10" s="143" t="s">
        <v>201</v>
      </c>
      <c r="C10" s="8">
        <v>3.7122800350189209</v>
      </c>
      <c r="D10" s="9">
        <v>4.3358318507671356E-2</v>
      </c>
      <c r="E10" s="9">
        <v>1</v>
      </c>
      <c r="F10" s="9">
        <v>5.3539061546325684</v>
      </c>
      <c r="G10" s="7">
        <v>0</v>
      </c>
      <c r="H10" s="9">
        <v>0.18677951395511627</v>
      </c>
      <c r="I10">
        <v>0</v>
      </c>
      <c r="J10"/>
    </row>
    <row r="11" spans="1:10" ht="15" customHeight="1" x14ac:dyDescent="0.15">
      <c r="A11" s="144">
        <v>10</v>
      </c>
      <c r="B11" s="144" t="s">
        <v>202</v>
      </c>
      <c r="C11" s="8">
        <v>3.7125124931335449</v>
      </c>
      <c r="D11" s="9">
        <v>0.40000000596046448</v>
      </c>
      <c r="E11" s="9">
        <v>0.10000000149011612</v>
      </c>
      <c r="F11" s="9">
        <v>1.9500000476837158</v>
      </c>
      <c r="G11" s="9">
        <v>0.28499996662139893</v>
      </c>
      <c r="H11" s="9">
        <v>5.128205195069313E-2</v>
      </c>
      <c r="I11">
        <v>1.1399999260902405E-2</v>
      </c>
      <c r="J11"/>
    </row>
    <row r="12" spans="1:10" ht="15" customHeight="1" x14ac:dyDescent="0.15">
      <c r="A12" s="145">
        <v>11</v>
      </c>
      <c r="B12" s="145" t="s">
        <v>203</v>
      </c>
      <c r="C12" s="8">
        <v>3</v>
      </c>
      <c r="D12" s="9">
        <v>5.8439283748157322E-5</v>
      </c>
      <c r="E12" s="9">
        <v>2</v>
      </c>
      <c r="F12" s="9">
        <v>48.876178741455078</v>
      </c>
      <c r="G12" s="7">
        <v>0</v>
      </c>
      <c r="H12" s="9">
        <v>4.0919728577136993E-2</v>
      </c>
      <c r="I12">
        <v>0</v>
      </c>
      <c r="J12"/>
    </row>
    <row r="13" spans="1:10" ht="15" customHeight="1" x14ac:dyDescent="0.15">
      <c r="A13" s="146">
        <v>12</v>
      </c>
      <c r="B13" s="146" t="s">
        <v>204</v>
      </c>
      <c r="C13" s="8">
        <v>3.4023549556732178</v>
      </c>
      <c r="D13" s="9">
        <v>0.24610269069671631</v>
      </c>
      <c r="E13" s="9">
        <v>1</v>
      </c>
      <c r="F13" s="9">
        <v>4.3379001617431641</v>
      </c>
      <c r="G13" s="7">
        <v>0</v>
      </c>
      <c r="H13" s="9">
        <v>0.23052628338336945</v>
      </c>
      <c r="I13">
        <v>0</v>
      </c>
      <c r="J13"/>
    </row>
    <row r="14" spans="1:10" ht="15" customHeight="1" x14ac:dyDescent="0.15">
      <c r="A14" s="147">
        <v>13</v>
      </c>
      <c r="B14" s="147" t="s">
        <v>205</v>
      </c>
      <c r="C14" s="8">
        <v>3.4023549556732178</v>
      </c>
      <c r="D14" s="9">
        <v>2</v>
      </c>
      <c r="E14" s="9">
        <v>0.10999999940395355</v>
      </c>
      <c r="F14" s="9">
        <v>1.6000000238418579</v>
      </c>
      <c r="G14" s="9">
        <v>0.25454545021057129</v>
      </c>
      <c r="H14" s="9">
        <v>6.8750001490116119E-2</v>
      </c>
      <c r="I14">
        <v>5.6000001728534698E-2</v>
      </c>
      <c r="J14"/>
    </row>
    <row r="15" spans="1:10" ht="15" customHeight="1" x14ac:dyDescent="0.15">
      <c r="A15" s="148">
        <v>14</v>
      </c>
      <c r="B15" s="148" t="s">
        <v>206</v>
      </c>
      <c r="C15" s="8">
        <v>3</v>
      </c>
      <c r="D15" s="9">
        <v>2.904063330788631E-5</v>
      </c>
      <c r="E15" s="9">
        <v>2</v>
      </c>
      <c r="F15" s="9">
        <v>74.406082153320312</v>
      </c>
      <c r="G15" s="7">
        <v>0</v>
      </c>
      <c r="H15" s="9">
        <v>2.6879522949457169E-2</v>
      </c>
      <c r="I15">
        <v>0</v>
      </c>
      <c r="J15"/>
    </row>
    <row r="16" spans="1:10" ht="15" customHeight="1" x14ac:dyDescent="0.15">
      <c r="A16" s="149">
        <v>15</v>
      </c>
      <c r="B16" s="149" t="s">
        <v>207</v>
      </c>
      <c r="C16" s="8">
        <v>3.3129982948303223</v>
      </c>
      <c r="D16" s="9">
        <v>9.7518377006053925E-2</v>
      </c>
      <c r="E16" s="9">
        <v>1</v>
      </c>
      <c r="F16" s="9">
        <v>7.161506175994873</v>
      </c>
      <c r="G16" s="9">
        <v>7.9984935000538826E-3</v>
      </c>
      <c r="H16" s="9">
        <v>0.13963542878627777</v>
      </c>
      <c r="I16">
        <v>0</v>
      </c>
      <c r="J16"/>
    </row>
    <row r="17" spans="1:10" ht="15" customHeight="1" x14ac:dyDescent="0.15">
      <c r="A17" s="150">
        <v>16</v>
      </c>
      <c r="B17" s="150" t="s">
        <v>208</v>
      </c>
      <c r="C17" s="8">
        <v>3.3129982948303223</v>
      </c>
      <c r="D17" s="9">
        <v>2.7999999523162842</v>
      </c>
      <c r="E17" s="9">
        <v>0.15000000596046448</v>
      </c>
      <c r="F17" s="9">
        <v>2.0999999046325684</v>
      </c>
      <c r="G17" s="9">
        <v>0.30952379107475281</v>
      </c>
      <c r="H17" s="9">
        <v>7.1428574621677399E-2</v>
      </c>
      <c r="I17">
        <v>0.12999999523162842</v>
      </c>
      <c r="J17"/>
    </row>
    <row r="18" spans="1:10" ht="15" customHeight="1" x14ac:dyDescent="0.15">
      <c r="A18" s="151">
        <v>17</v>
      </c>
      <c r="B18" s="151" t="s">
        <v>209</v>
      </c>
      <c r="C18" s="8">
        <v>3.0120000839233398</v>
      </c>
      <c r="D18" s="9">
        <v>8.6999998092651367</v>
      </c>
      <c r="E18" s="9">
        <v>0.30000001192092896</v>
      </c>
      <c r="F18" s="9">
        <v>2.5</v>
      </c>
      <c r="G18" s="9">
        <v>0.77625811100006104</v>
      </c>
      <c r="H18" s="9">
        <v>0.12000000476837158</v>
      </c>
      <c r="I18">
        <v>0.87000000476837158</v>
      </c>
      <c r="J18"/>
    </row>
    <row r="19" spans="1:10" ht="15" customHeight="1" x14ac:dyDescent="0.15">
      <c r="A19" s="152">
        <v>18</v>
      </c>
      <c r="B19" s="152" t="s">
        <v>210</v>
      </c>
      <c r="C19" s="8">
        <v>3.8770861625671387</v>
      </c>
      <c r="D19" s="9">
        <v>2.7000000476837158</v>
      </c>
      <c r="E19" s="9">
        <v>5.9999998658895493E-2</v>
      </c>
      <c r="F19" s="9">
        <v>1.9500000476837158</v>
      </c>
      <c r="G19" s="7">
        <v>0</v>
      </c>
      <c r="H19" s="9">
        <v>3.0769228935241699E-2</v>
      </c>
      <c r="I19">
        <v>0</v>
      </c>
      <c r="J19"/>
    </row>
    <row r="20" spans="1:10" ht="15" customHeight="1" x14ac:dyDescent="0.15">
      <c r="A20" s="153">
        <v>19</v>
      </c>
      <c r="B20" s="153" t="s">
        <v>211</v>
      </c>
      <c r="C20" s="8">
        <v>3.8517217636108398</v>
      </c>
      <c r="D20" s="9">
        <v>1</v>
      </c>
      <c r="E20" s="9">
        <v>0.20000000298023224</v>
      </c>
      <c r="F20" s="9">
        <v>2.5</v>
      </c>
      <c r="G20" s="7">
        <v>0</v>
      </c>
      <c r="H20" s="9">
        <v>7.9999998211860657E-2</v>
      </c>
      <c r="I20">
        <v>0</v>
      </c>
      <c r="J20"/>
    </row>
    <row r="21" spans="1:10" ht="15" customHeight="1" x14ac:dyDescent="0.15">
      <c r="A21" s="154">
        <v>20</v>
      </c>
      <c r="B21" s="154" t="s">
        <v>212</v>
      </c>
      <c r="C21" s="8">
        <v>3.3877749443054199</v>
      </c>
      <c r="D21" s="9">
        <v>25</v>
      </c>
      <c r="E21" s="9">
        <v>0.23000000417232513</v>
      </c>
      <c r="F21" s="9">
        <v>2.5</v>
      </c>
      <c r="G21" s="9">
        <v>0.78241878747940063</v>
      </c>
      <c r="H21" s="9">
        <v>9.2000000178813934E-2</v>
      </c>
      <c r="I21">
        <v>2.5</v>
      </c>
      <c r="J21"/>
    </row>
    <row r="22" spans="1:10" ht="15" customHeight="1" x14ac:dyDescent="0.15">
      <c r="A22" s="155">
        <v>21</v>
      </c>
      <c r="B22" s="155" t="s">
        <v>213</v>
      </c>
      <c r="C22" s="8">
        <v>3.7276878356933594</v>
      </c>
      <c r="D22" s="9">
        <v>0.40000000596046448</v>
      </c>
      <c r="E22" s="9">
        <v>0.93000000715255737</v>
      </c>
      <c r="F22" s="9">
        <v>5.8000001907348633</v>
      </c>
      <c r="G22" s="9">
        <v>0.53763443231582642</v>
      </c>
      <c r="H22" s="9">
        <v>0.16034482419490814</v>
      </c>
      <c r="I22">
        <v>0.20000000298023224</v>
      </c>
      <c r="J22"/>
    </row>
    <row r="23" spans="1:10" ht="15" customHeight="1" x14ac:dyDescent="0.15">
      <c r="A23" s="156">
        <v>22</v>
      </c>
      <c r="B23" s="156" t="s">
        <v>214</v>
      </c>
      <c r="C23" s="8">
        <v>3.2813000679016113</v>
      </c>
      <c r="D23" s="9">
        <v>0.30000001192092896</v>
      </c>
      <c r="E23" s="9">
        <v>0.34999999403953552</v>
      </c>
      <c r="F23" s="9">
        <v>6</v>
      </c>
      <c r="G23" s="7">
        <v>0</v>
      </c>
      <c r="H23" s="9">
        <v>5.833333358168602E-2</v>
      </c>
      <c r="I23">
        <v>0</v>
      </c>
      <c r="J23"/>
    </row>
    <row r="24" spans="1:10" ht="15" customHeight="1" x14ac:dyDescent="0.15">
      <c r="A24" s="157">
        <v>23</v>
      </c>
      <c r="B24" s="157" t="s">
        <v>215</v>
      </c>
      <c r="C24" s="8">
        <v>2.6999998092651367</v>
      </c>
      <c r="D24" s="9">
        <v>0.69999998807907104</v>
      </c>
      <c r="E24" s="9">
        <v>0.5</v>
      </c>
      <c r="F24" s="9">
        <v>5</v>
      </c>
      <c r="G24" s="9">
        <v>0.58057147264480591</v>
      </c>
      <c r="H24" s="9">
        <v>0.10000000149011612</v>
      </c>
      <c r="I24">
        <v>0</v>
      </c>
      <c r="J24"/>
    </row>
    <row r="25" spans="1:10" ht="15" customHeight="1" x14ac:dyDescent="0.15">
      <c r="A25" s="158">
        <v>24</v>
      </c>
      <c r="B25" s="158" t="s">
        <v>216</v>
      </c>
      <c r="C25" s="8">
        <v>3.0805997848510742</v>
      </c>
      <c r="D25" s="9">
        <v>4.6999998092651367</v>
      </c>
      <c r="E25" s="9">
        <v>0.40000000596046448</v>
      </c>
      <c r="F25" s="9">
        <v>2</v>
      </c>
      <c r="G25" s="9">
        <v>0.87809669971466064</v>
      </c>
      <c r="H25" s="9">
        <v>0.20000000298023224</v>
      </c>
      <c r="I25">
        <v>0</v>
      </c>
      <c r="J25"/>
    </row>
    <row r="26" spans="1:10" ht="15" customHeight="1" x14ac:dyDescent="0.15">
      <c r="A26" s="159">
        <v>25</v>
      </c>
      <c r="B26" s="159" t="s">
        <v>217</v>
      </c>
      <c r="C26" s="8">
        <v>3.0564999580383301</v>
      </c>
      <c r="D26" s="9">
        <v>35</v>
      </c>
      <c r="E26" s="9">
        <v>1</v>
      </c>
      <c r="F26" s="9">
        <v>6</v>
      </c>
      <c r="G26" s="9">
        <v>0.81560814380645752</v>
      </c>
      <c r="H26" s="9">
        <v>0.1666666716337204</v>
      </c>
      <c r="I26">
        <v>0</v>
      </c>
      <c r="J26"/>
    </row>
    <row r="27" spans="1:10" ht="15" customHeight="1" x14ac:dyDescent="0.15">
      <c r="A27" s="160">
        <v>26</v>
      </c>
      <c r="B27" s="160" t="s">
        <v>166</v>
      </c>
      <c r="C27" s="8">
        <v>2.6500000953674316</v>
      </c>
      <c r="D27" s="9">
        <v>2</v>
      </c>
      <c r="E27" s="9">
        <v>2</v>
      </c>
      <c r="F27" s="9">
        <v>6</v>
      </c>
      <c r="G27" s="9">
        <v>0.76599162817001343</v>
      </c>
      <c r="H27" s="9">
        <v>0.3333333432674408</v>
      </c>
      <c r="I27">
        <v>0.20000000298023224</v>
      </c>
      <c r="J27"/>
    </row>
    <row r="28" spans="1:10" ht="15" customHeight="1" x14ac:dyDescent="0.15">
      <c r="A28" s="161">
        <v>27</v>
      </c>
      <c r="B28" s="161" t="s">
        <v>218</v>
      </c>
      <c r="C28" s="8">
        <v>3.0900001525878906</v>
      </c>
      <c r="D28" s="9">
        <v>1.7000000476837158</v>
      </c>
      <c r="E28" s="9">
        <v>0.5</v>
      </c>
      <c r="F28" s="9">
        <v>3</v>
      </c>
      <c r="G28" s="9">
        <v>0.92132049798965454</v>
      </c>
      <c r="H28" s="9">
        <v>0.1666666716337204</v>
      </c>
      <c r="I28">
        <v>0.5</v>
      </c>
      <c r="J28"/>
    </row>
    <row r="29" spans="1:10" ht="15" customHeight="1" x14ac:dyDescent="0.15">
      <c r="A29" s="162">
        <v>28</v>
      </c>
      <c r="B29" s="162" t="s">
        <v>219</v>
      </c>
      <c r="C29" s="8">
        <v>2.5999999046325684</v>
      </c>
      <c r="D29" s="9">
        <v>3.0999999046325684</v>
      </c>
      <c r="E29" s="9">
        <v>2.5</v>
      </c>
      <c r="F29" s="9">
        <v>11</v>
      </c>
      <c r="G29" s="9">
        <v>0.79698628187179565</v>
      </c>
      <c r="H29" s="9">
        <v>0.22727273404598236</v>
      </c>
      <c r="I29">
        <v>2</v>
      </c>
      <c r="J29"/>
    </row>
    <row r="30" spans="1:10" ht="15" customHeight="1" x14ac:dyDescent="0.15">
      <c r="A30" s="163">
        <v>29</v>
      </c>
      <c r="B30" s="163" t="s">
        <v>220</v>
      </c>
      <c r="C30" s="8">
        <v>3</v>
      </c>
      <c r="D30" s="9">
        <v>2.4000000953674316</v>
      </c>
      <c r="E30" s="9">
        <v>5.5</v>
      </c>
      <c r="F30" s="9">
        <v>20</v>
      </c>
      <c r="G30" s="9">
        <v>0.95521634817123413</v>
      </c>
      <c r="H30" s="9">
        <v>0.27500000596046448</v>
      </c>
      <c r="I30">
        <v>0</v>
      </c>
      <c r="J30"/>
    </row>
    <row r="31" spans="1:10" ht="15" customHeight="1" x14ac:dyDescent="0.15">
      <c r="A31" s="164">
        <v>30</v>
      </c>
      <c r="B31" s="164" t="s">
        <v>221</v>
      </c>
      <c r="C31" s="8">
        <v>2</v>
      </c>
      <c r="D31" s="9">
        <v>52</v>
      </c>
      <c r="E31" s="9">
        <v>8</v>
      </c>
      <c r="F31" s="9">
        <v>40</v>
      </c>
      <c r="G31" s="9">
        <v>0.72426795959472656</v>
      </c>
      <c r="H31" s="9">
        <v>0.20000000298023224</v>
      </c>
      <c r="I31">
        <v>0</v>
      </c>
      <c r="J31"/>
    </row>
    <row r="32" spans="1:10" ht="15" customHeight="1" x14ac:dyDescent="0.15">
      <c r="A32" s="192">
        <v>31</v>
      </c>
      <c r="B32" s="192" t="s">
        <v>222</v>
      </c>
      <c r="C32" s="8">
        <v>2</v>
      </c>
      <c r="D32" s="9">
        <v>3.3409551178920083E-6</v>
      </c>
      <c r="E32" s="9">
        <v>3</v>
      </c>
      <c r="F32" s="9">
        <v>104.416015625</v>
      </c>
      <c r="G32" s="7">
        <v>0</v>
      </c>
      <c r="H32" s="9">
        <v>2.8731225058436394E-2</v>
      </c>
      <c r="I32">
        <v>0</v>
      </c>
      <c r="J32"/>
    </row>
    <row r="33" spans="1:10" ht="15" customHeight="1" x14ac:dyDescent="0.15">
      <c r="A33" s="193">
        <v>32</v>
      </c>
      <c r="B33" s="193" t="s">
        <v>223</v>
      </c>
      <c r="C33" s="8">
        <v>2</v>
      </c>
      <c r="D33" s="9">
        <v>1</v>
      </c>
      <c r="E33" s="9">
        <v>0.20000000298023224</v>
      </c>
      <c r="F33" s="9">
        <v>4</v>
      </c>
      <c r="G33" s="9">
        <v>0.5</v>
      </c>
      <c r="H33" s="9">
        <v>5.000000074505806E-2</v>
      </c>
      <c r="I33">
        <v>0.10000000149011612</v>
      </c>
      <c r="J33"/>
    </row>
    <row r="34" spans="1:10" ht="15" customHeight="1" x14ac:dyDescent="0.15">
      <c r="A34" s="194">
        <v>33</v>
      </c>
      <c r="B34" s="194" t="s">
        <v>224</v>
      </c>
      <c r="C34" s="8">
        <v>2</v>
      </c>
      <c r="D34" s="9">
        <v>52</v>
      </c>
      <c r="E34" s="9">
        <v>3.5</v>
      </c>
      <c r="F34" s="9">
        <v>15</v>
      </c>
      <c r="G34" s="9">
        <v>0.32598361372947693</v>
      </c>
      <c r="H34" s="9">
        <v>0.23333333432674408</v>
      </c>
      <c r="I34">
        <v>0</v>
      </c>
      <c r="J34"/>
    </row>
    <row r="35" spans="1:10" ht="15" customHeight="1" x14ac:dyDescent="0.15">
      <c r="A35" s="195">
        <v>34</v>
      </c>
      <c r="B35" s="195" t="s">
        <v>225</v>
      </c>
      <c r="C35" s="8">
        <v>1</v>
      </c>
      <c r="D35" s="9">
        <v>10</v>
      </c>
      <c r="E35" s="9">
        <v>10</v>
      </c>
      <c r="F35" s="10"/>
      <c r="G35" s="9">
        <v>2.0001744851469994E-2</v>
      </c>
      <c r="H35" s="10"/>
      <c r="I35">
        <v>0</v>
      </c>
      <c r="J35"/>
    </row>
    <row r="36" spans="1:10" ht="15" customHeight="1" x14ac:dyDescent="0.15">
      <c r="A36" s="196">
        <v>35</v>
      </c>
      <c r="B36" s="196" t="s">
        <v>226</v>
      </c>
      <c r="C36" s="8">
        <v>1</v>
      </c>
      <c r="D36" s="9">
        <v>55</v>
      </c>
      <c r="E36" s="9">
        <v>120</v>
      </c>
      <c r="F36" s="10"/>
      <c r="G36" s="9">
        <v>0.31925001740455627</v>
      </c>
      <c r="H36" s="10"/>
      <c r="I36">
        <v>0</v>
      </c>
      <c r="J36"/>
    </row>
    <row r="37" spans="1:10" ht="15" customHeight="1" x14ac:dyDescent="0.15">
      <c r="A37" s="197">
        <v>36</v>
      </c>
      <c r="B37" s="197" t="s">
        <v>227</v>
      </c>
      <c r="C37" s="8">
        <v>1</v>
      </c>
      <c r="D37" s="9">
        <v>50</v>
      </c>
      <c r="E37" s="10"/>
      <c r="F37" s="10"/>
      <c r="G37" s="7">
        <v>0.14329728484153748</v>
      </c>
      <c r="H37" s="10"/>
      <c r="I37">
        <v>0</v>
      </c>
      <c r="J37"/>
    </row>
    <row r="38" spans="1:10" ht="15" customHeight="1" x14ac:dyDescent="0.15">
      <c r="A38" s="198">
        <v>37</v>
      </c>
      <c r="B38" s="198" t="s">
        <v>228</v>
      </c>
      <c r="C38" s="8">
        <v>1</v>
      </c>
      <c r="D38" s="9">
        <v>5</v>
      </c>
      <c r="E38" s="10"/>
      <c r="F38" s="10"/>
      <c r="G38" s="7">
        <v>0</v>
      </c>
      <c r="H38" s="10"/>
      <c r="I38">
        <v>0</v>
      </c>
      <c r="J38"/>
    </row>
    <row r="39" spans="1:10" ht="15" customHeight="1" x14ac:dyDescent="0.15">
      <c r="A39" s="199">
        <v>38</v>
      </c>
      <c r="B39" s="199" t="s">
        <v>229</v>
      </c>
      <c r="C39" s="8">
        <v>4.0853080749511719</v>
      </c>
      <c r="D39" s="10"/>
      <c r="E39" s="10"/>
      <c r="F39" s="10"/>
      <c r="G39" s="10"/>
      <c r="H39" s="10"/>
      <c r="I39">
        <v>1.065000057220459</v>
      </c>
      <c r="J39"/>
    </row>
    <row r="40" spans="1:10" ht="15" customHeight="1" x14ac:dyDescent="0.15">
      <c r="A40" s="200">
        <v>39</v>
      </c>
      <c r="B40" s="200" t="s">
        <v>230</v>
      </c>
      <c r="C40" s="8">
        <v>4.4784054756164551</v>
      </c>
      <c r="D40" s="10"/>
      <c r="E40" s="10"/>
      <c r="F40" s="10"/>
      <c r="G40" s="10"/>
      <c r="H40" s="10"/>
      <c r="I40">
        <v>2.3099999874830246E-2</v>
      </c>
      <c r="J40"/>
    </row>
    <row r="41" spans="1:10" ht="15" customHeight="1" x14ac:dyDescent="0.15">
      <c r="A41" s="201">
        <v>40</v>
      </c>
      <c r="B41" s="201" t="s">
        <v>231</v>
      </c>
      <c r="C41" s="8">
        <v>4.3877749443054199</v>
      </c>
      <c r="D41" s="10"/>
      <c r="E41" s="10"/>
      <c r="F41" s="10"/>
      <c r="G41" s="10"/>
      <c r="H41" s="10"/>
      <c r="I41">
        <v>2.5</v>
      </c>
      <c r="J41"/>
    </row>
    <row r="42" spans="1:10" ht="15" customHeight="1" x14ac:dyDescent="0.15">
      <c r="A42" s="202">
        <v>41</v>
      </c>
      <c r="B42" s="202" t="s">
        <v>232</v>
      </c>
      <c r="C42" s="8">
        <v>4.7276873588562012</v>
      </c>
      <c r="D42" s="10"/>
      <c r="E42" s="10"/>
      <c r="F42" s="10"/>
      <c r="G42" s="10"/>
      <c r="H42" s="10"/>
      <c r="I42">
        <v>0.20000000298023224</v>
      </c>
      <c r="J42"/>
    </row>
    <row r="43" spans="1:10" ht="15" customHeight="1" x14ac:dyDescent="0.15">
      <c r="A43" s="203">
        <v>42</v>
      </c>
      <c r="B43" s="203" t="s">
        <v>233</v>
      </c>
      <c r="C43" s="8">
        <v>4.0900001525878906</v>
      </c>
      <c r="D43" s="10"/>
      <c r="E43" s="10"/>
      <c r="F43" s="10"/>
      <c r="G43" s="10"/>
      <c r="H43" s="10"/>
      <c r="I43">
        <v>0.5</v>
      </c>
      <c r="J43"/>
    </row>
    <row r="44" spans="1:10" ht="15" customHeight="1" x14ac:dyDescent="0.15">
      <c r="A44" s="204">
        <v>43</v>
      </c>
      <c r="B44" s="204" t="s">
        <v>234</v>
      </c>
      <c r="C44" s="8">
        <v>3.6000001430511475</v>
      </c>
      <c r="D44" s="10"/>
      <c r="E44" s="10"/>
      <c r="F44" s="10"/>
      <c r="G44" s="10"/>
      <c r="H44" s="10"/>
      <c r="I44">
        <v>2</v>
      </c>
      <c r="J44"/>
    </row>
    <row r="45" spans="1:10" ht="15" customHeight="1" x14ac:dyDescent="0.15">
      <c r="A45" s="205">
        <v>44</v>
      </c>
      <c r="B45" s="205" t="s">
        <v>235</v>
      </c>
      <c r="C45" s="8">
        <v>3</v>
      </c>
      <c r="D45" s="10"/>
      <c r="E45" s="10"/>
      <c r="F45" s="10"/>
      <c r="G45" s="10"/>
      <c r="H45" s="10"/>
      <c r="I45">
        <v>0.10000000149011612</v>
      </c>
      <c r="J45"/>
    </row>
    <row r="46" spans="1:10" ht="15" customHeight="1" x14ac:dyDescent="0.15">
      <c r="A46" s="206">
        <v>45</v>
      </c>
      <c r="B46" s="206" t="s">
        <v>236</v>
      </c>
      <c r="C46" s="8">
        <v>3.6500000953674316</v>
      </c>
      <c r="D46" s="10"/>
      <c r="E46" s="10"/>
      <c r="F46" s="10"/>
      <c r="G46" s="10"/>
      <c r="H46" s="10"/>
      <c r="I46">
        <v>0.20000000298023224</v>
      </c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5" bestFit="1" customWidth="1"/>
    <col min="2" max="4" width="9.5" style="75" bestFit="1" customWidth="1"/>
    <col min="5" max="7" width="9" style="75" bestFit="1" customWidth="1"/>
    <col min="8" max="16" width="12.6640625" style="75" bestFit="1" customWidth="1"/>
    <col min="17" max="17" width="12.33203125" style="75" bestFit="1" customWidth="1"/>
    <col min="18" max="18" width="8.83203125" style="75"/>
    <col min="19" max="21" width="9.33203125" style="75" bestFit="1" customWidth="1"/>
    <col min="22" max="23" width="8.83203125" style="75"/>
    <col min="24" max="24" width="9.33203125" style="75" bestFit="1" customWidth="1"/>
    <col min="25" max="27" width="8.83203125" style="75"/>
    <col min="28" max="58" width="9" style="75" bestFit="1" customWidth="1"/>
    <col min="59" max="59" width="12.33203125" style="75" bestFit="1" customWidth="1"/>
    <col min="60" max="60" width="9" style="75" bestFit="1" customWidth="1"/>
    <col min="61" max="61" width="11.33203125" style="75" bestFit="1" customWidth="1"/>
    <col min="62" max="77" width="9" style="75" bestFit="1" customWidth="1"/>
    <col min="78" max="78" width="12.33203125" style="75" bestFit="1" customWidth="1"/>
    <col min="79" max="79" width="9" style="75" bestFit="1" customWidth="1"/>
    <col min="80" max="80" width="12.33203125" style="75" bestFit="1" customWidth="1"/>
    <col min="81" max="107" width="9" style="75" bestFit="1" customWidth="1"/>
    <col min="108" max="108" width="11.33203125" style="75" bestFit="1" customWidth="1"/>
    <col min="109" max="124" width="9" style="75" bestFit="1" customWidth="1"/>
    <col min="125" max="125" width="10.33203125" style="75" bestFit="1" customWidth="1"/>
    <col min="126" max="129" width="9.33203125" style="75" bestFit="1" customWidth="1"/>
    <col min="130" max="130" width="9" style="75" bestFit="1" customWidth="1"/>
    <col min="131" max="134" width="9.33203125" style="75" bestFit="1" customWidth="1"/>
    <col min="135" max="165" width="9" style="75" bestFit="1" customWidth="1"/>
    <col min="166" max="166" width="12.33203125" style="75" bestFit="1" customWidth="1"/>
    <col min="167" max="170" width="9" style="75" bestFit="1" customWidth="1"/>
    <col min="171" max="176" width="8.83203125" style="75"/>
    <col min="177" max="177" width="13.83203125" style="75" bestFit="1" customWidth="1"/>
    <col min="178" max="16384" width="8.83203125" style="7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241</v>
      </c>
      <c r="E1" t="s">
        <v>242</v>
      </c>
      <c r="F1" t="s">
        <v>243</v>
      </c>
      <c r="G1" t="s">
        <v>244</v>
      </c>
      <c r="H1" t="s">
        <v>245</v>
      </c>
      <c r="I1" t="s">
        <v>246</v>
      </c>
      <c r="J1" t="s">
        <v>247</v>
      </c>
      <c r="K1" t="s">
        <v>248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  <c r="R1" t="s">
        <v>199</v>
      </c>
      <c r="S1" t="s">
        <v>200</v>
      </c>
      <c r="T1" t="s">
        <v>201</v>
      </c>
      <c r="U1" t="s">
        <v>202</v>
      </c>
      <c r="V1" t="s">
        <v>203</v>
      </c>
      <c r="W1" t="s">
        <v>204</v>
      </c>
      <c r="X1" t="s">
        <v>205</v>
      </c>
      <c r="Y1" t="s">
        <v>206</v>
      </c>
      <c r="Z1" t="s">
        <v>207</v>
      </c>
      <c r="AA1" t="s">
        <v>208</v>
      </c>
      <c r="AB1" t="s">
        <v>209</v>
      </c>
      <c r="AC1" t="s">
        <v>210</v>
      </c>
      <c r="AD1" t="s">
        <v>211</v>
      </c>
      <c r="AE1" t="s">
        <v>212</v>
      </c>
      <c r="AF1" t="s">
        <v>213</v>
      </c>
      <c r="AG1" t="s">
        <v>214</v>
      </c>
      <c r="AH1" t="s">
        <v>215</v>
      </c>
      <c r="AI1" t="s">
        <v>216</v>
      </c>
      <c r="AJ1" t="s">
        <v>217</v>
      </c>
      <c r="AK1" t="s">
        <v>166</v>
      </c>
      <c r="AL1" t="s">
        <v>218</v>
      </c>
      <c r="AM1" t="s">
        <v>219</v>
      </c>
      <c r="AN1" t="s">
        <v>220</v>
      </c>
      <c r="AO1" t="s">
        <v>221</v>
      </c>
      <c r="AP1" t="s">
        <v>222</v>
      </c>
      <c r="AQ1" t="s">
        <v>223</v>
      </c>
      <c r="AR1" t="s">
        <v>224</v>
      </c>
      <c r="AS1" t="s">
        <v>225</v>
      </c>
      <c r="AT1" t="s">
        <v>226</v>
      </c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7.9999998211860657E-2</v>
      </c>
      <c r="C2">
        <v>7.9999998211860657E-2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3</v>
      </c>
      <c r="C3">
        <v>3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1</v>
      </c>
      <c r="C4">
        <v>1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0.20000000298023224</v>
      </c>
      <c r="C5">
        <v>0.17059999704360962</v>
      </c>
      <c r="D5" s="130">
        <v>2.6000000536441803E-2</v>
      </c>
      <c r="E5" s="19">
        <v>3.4000000450760126E-3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2</v>
      </c>
      <c r="C6">
        <v>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1</v>
      </c>
      <c r="C7">
        <v>0.99658679962158203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 s="12">
        <v>3.4132241271436214E-3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0.25</v>
      </c>
      <c r="C8">
        <v>0.23499999940395355</v>
      </c>
      <c r="D8" s="20">
        <v>5.0000003539025784E-3</v>
      </c>
      <c r="E8" s="211">
        <v>1.0000000707805157E-2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2</v>
      </c>
      <c r="C9">
        <v>2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1</v>
      </c>
      <c r="C10">
        <v>1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0.10000000149011612</v>
      </c>
      <c r="C11">
        <v>7.1500003337860107E-2</v>
      </c>
      <c r="D11" s="207">
        <v>2.4999998509883881E-2</v>
      </c>
      <c r="E11" s="25">
        <v>3.499999875202775E-3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2</v>
      </c>
      <c r="C12">
        <v>2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1</v>
      </c>
      <c r="C13">
        <v>1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0.10999999940395355</v>
      </c>
      <c r="C14">
        <v>8.2000002264976501E-2</v>
      </c>
      <c r="D14" s="208">
        <v>2.500000037252903E-2</v>
      </c>
      <c r="E14" s="23">
        <v>3.0000000260770321E-3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2</v>
      </c>
      <c r="C15">
        <v>2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1</v>
      </c>
      <c r="C16">
        <v>0.99200153350830078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 s="21">
        <v>7.9984935000538826E-3</v>
      </c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0.15000000596046448</v>
      </c>
      <c r="C17">
        <v>0.10357143729925156</v>
      </c>
      <c r="D17" s="209">
        <v>4.285714402794838E-2</v>
      </c>
      <c r="E17" s="212">
        <v>3.5714285913854837E-3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0.30000001192092896</v>
      </c>
      <c r="C18">
        <v>6.7122571170330048E-2</v>
      </c>
      <c r="D18" s="210">
        <v>0.10000000149011612</v>
      </c>
      <c r="E18"/>
      <c r="F18"/>
      <c r="G18"/>
      <c r="H18"/>
      <c r="I18"/>
      <c r="J18"/>
      <c r="K18"/>
      <c r="L18" s="16">
        <v>4.4137933291494846E-3</v>
      </c>
      <c r="M18"/>
      <c r="N18"/>
      <c r="O18"/>
      <c r="P18"/>
      <c r="Q18"/>
      <c r="R18"/>
      <c r="S18"/>
      <c r="T18"/>
      <c r="U18"/>
      <c r="V18"/>
      <c r="W18" s="21">
        <v>2.4541814345866442E-3</v>
      </c>
      <c r="X18" s="24">
        <v>7.3563223704695702E-3</v>
      </c>
      <c r="Y18"/>
      <c r="Z18"/>
      <c r="AA18"/>
      <c r="AB18"/>
      <c r="AC18" s="222">
        <v>3.05611751973629E-2</v>
      </c>
      <c r="AD18" s="221">
        <v>2.8735632076859474E-2</v>
      </c>
      <c r="AE18"/>
      <c r="AF18" s="19">
        <v>5.3333332762122154E-3</v>
      </c>
      <c r="AG18"/>
      <c r="AH18"/>
      <c r="AI18" s="226">
        <v>5.4022990167140961E-2</v>
      </c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5.9999998658895493E-2</v>
      </c>
      <c r="C19">
        <v>5.9999998658895493E-2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0.20000000298023224</v>
      </c>
      <c r="C20">
        <v>0.20000000298023224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0.23000000417232513</v>
      </c>
      <c r="C21">
        <v>5.0043679773807526E-2</v>
      </c>
      <c r="D21"/>
      <c r="E21"/>
      <c r="F21" s="213">
        <v>0.10000000149011612</v>
      </c>
      <c r="G21"/>
      <c r="H21"/>
      <c r="I21"/>
      <c r="J21"/>
      <c r="K21"/>
      <c r="L21" s="18">
        <v>2.5600001681596041E-3</v>
      </c>
      <c r="M21"/>
      <c r="N21"/>
      <c r="O21" s="20">
        <v>4.4000004418194294E-3</v>
      </c>
      <c r="P21"/>
      <c r="Q21" s="16">
        <v>3.3936726395040751E-3</v>
      </c>
      <c r="R21" s="16">
        <v>3.6000001709908247E-3</v>
      </c>
      <c r="S21"/>
      <c r="T21"/>
      <c r="U21"/>
      <c r="V21"/>
      <c r="W21" s="14">
        <v>4.2702758219093084E-4</v>
      </c>
      <c r="X21" s="22">
        <v>1.280000084079802E-3</v>
      </c>
      <c r="Y21"/>
      <c r="Z21" s="14">
        <v>5.587027408182621E-4</v>
      </c>
      <c r="AA21" s="20">
        <v>4.7039994969964027E-3</v>
      </c>
      <c r="AB21"/>
      <c r="AC21" s="229">
        <v>3.4032925963401794E-2</v>
      </c>
      <c r="AD21" s="227">
        <v>2.500000037252903E-2</v>
      </c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0.93000000715255737</v>
      </c>
      <c r="C22">
        <v>0.42999997735023499</v>
      </c>
      <c r="D22"/>
      <c r="E22"/>
      <c r="F22"/>
      <c r="G22" s="214">
        <v>0.5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0.34999999403953552</v>
      </c>
      <c r="C23">
        <v>0.34999999403953552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0.5</v>
      </c>
      <c r="C24">
        <v>0.20971426367759705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99">
        <v>3.3142857253551483E-2</v>
      </c>
      <c r="AG24" s="220">
        <v>0.25714287161827087</v>
      </c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0.40000000596046448</v>
      </c>
      <c r="C25">
        <v>4.8761319369077682E-2</v>
      </c>
      <c r="D25"/>
      <c r="E25"/>
      <c r="F25"/>
      <c r="G25"/>
      <c r="H25"/>
      <c r="I25"/>
      <c r="J25"/>
      <c r="K25"/>
      <c r="L25"/>
      <c r="M25"/>
      <c r="N25"/>
      <c r="O25" s="225">
        <v>9.36170294880867E-2</v>
      </c>
      <c r="P25"/>
      <c r="Q25" s="16">
        <v>6.0171503573656082E-3</v>
      </c>
      <c r="R25" s="16">
        <v>6.3829794526100159E-3</v>
      </c>
      <c r="S25"/>
      <c r="T25" s="22">
        <v>2.4695361498743296E-3</v>
      </c>
      <c r="U25" s="20">
        <v>8.1319147720932961E-3</v>
      </c>
      <c r="V25"/>
      <c r="W25" s="18">
        <v>4.5428466983139515E-3</v>
      </c>
      <c r="X25" s="218">
        <v>1.3617022894322872E-2</v>
      </c>
      <c r="Y25"/>
      <c r="Z25" s="18">
        <v>4.4577349908649921E-3</v>
      </c>
      <c r="AA25" s="68">
        <v>3.7531916052103043E-2</v>
      </c>
      <c r="AB25"/>
      <c r="AC25" s="223">
        <v>9.051310271024704E-2</v>
      </c>
      <c r="AD25" s="100">
        <v>6.9148935377597809E-2</v>
      </c>
      <c r="AE25"/>
      <c r="AF25" s="13">
        <v>1.4808511361479759E-2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1</v>
      </c>
      <c r="C26">
        <v>0.18439185619354248</v>
      </c>
      <c r="D26"/>
      <c r="E26"/>
      <c r="F26"/>
      <c r="G26"/>
      <c r="H26"/>
      <c r="I26"/>
      <c r="J26"/>
      <c r="K26"/>
      <c r="L26" s="12">
        <v>3.657143097370863E-3</v>
      </c>
      <c r="M26"/>
      <c r="N26" s="14">
        <v>1.0909606935456395E-3</v>
      </c>
      <c r="O26" s="16">
        <v>1.5714285895228386E-2</v>
      </c>
      <c r="P26"/>
      <c r="Q26"/>
      <c r="R26"/>
      <c r="S26"/>
      <c r="T26" s="12">
        <v>3.316233865916729E-3</v>
      </c>
      <c r="U26" s="18">
        <v>1.1142857372760773E-2</v>
      </c>
      <c r="V26"/>
      <c r="W26" s="21">
        <v>7.6254922896623611E-3</v>
      </c>
      <c r="X26" s="212">
        <v>2.2857142612338066E-2</v>
      </c>
      <c r="Y26"/>
      <c r="Z26" s="14">
        <v>9.9768349900841713E-4</v>
      </c>
      <c r="AA26" s="21">
        <v>8.39999970048666E-3</v>
      </c>
      <c r="AB26"/>
      <c r="AC26" s="64">
        <v>5.0137795507907867E-2</v>
      </c>
      <c r="AD26" s="17">
        <v>1.4285714365541935E-2</v>
      </c>
      <c r="AE26" s="236">
        <v>0.625</v>
      </c>
      <c r="AF26" s="62">
        <v>4.1097145527601242E-2</v>
      </c>
      <c r="AG26" s="15">
        <v>1.0285714641213417E-2</v>
      </c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166</v>
      </c>
      <c r="B27">
        <v>2</v>
      </c>
      <c r="C27">
        <v>0.46801674365997314</v>
      </c>
      <c r="D27"/>
      <c r="E27"/>
      <c r="F27"/>
      <c r="G27"/>
      <c r="H27"/>
      <c r="I27"/>
      <c r="J27"/>
      <c r="K27" s="64">
        <v>0.10000000149011612</v>
      </c>
      <c r="L27" s="22">
        <v>1.2800000607967377E-2</v>
      </c>
      <c r="M27"/>
      <c r="N27"/>
      <c r="O27"/>
      <c r="P27"/>
      <c r="Q27"/>
      <c r="R27"/>
      <c r="S27"/>
      <c r="T27"/>
      <c r="U27"/>
      <c r="V27"/>
      <c r="W27" s="17">
        <v>2.6689222082495689E-2</v>
      </c>
      <c r="X27" s="211">
        <v>8.0000005662441254E-2</v>
      </c>
      <c r="Y27"/>
      <c r="Z27"/>
      <c r="AA27"/>
      <c r="AB27"/>
      <c r="AC27" s="131">
        <v>0.23929403722286224</v>
      </c>
      <c r="AD27"/>
      <c r="AE27"/>
      <c r="AF27" s="18">
        <v>2.3199999704957008E-2</v>
      </c>
      <c r="AG27"/>
      <c r="AH27"/>
      <c r="AI27"/>
      <c r="AJ27" s="232">
        <v>1.0499999523162842</v>
      </c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0.5</v>
      </c>
      <c r="C28">
        <v>3.9339751005172729E-2</v>
      </c>
      <c r="D28"/>
      <c r="E28"/>
      <c r="F28"/>
      <c r="G28"/>
      <c r="H28" s="215">
        <v>0.29411762952804565</v>
      </c>
      <c r="I28"/>
      <c r="J28"/>
      <c r="K28"/>
      <c r="L28"/>
      <c r="M28"/>
      <c r="N28"/>
      <c r="O28"/>
      <c r="P28"/>
      <c r="Q28" s="219">
        <v>6.6542595624923706E-2</v>
      </c>
      <c r="R28" s="70">
        <v>7.0588238537311554E-2</v>
      </c>
      <c r="S28"/>
      <c r="T28"/>
      <c r="U28"/>
      <c r="V28"/>
      <c r="W28"/>
      <c r="X28"/>
      <c r="Y28"/>
      <c r="Z28"/>
      <c r="AA28"/>
      <c r="AB28"/>
      <c r="AC28"/>
      <c r="AD28" s="63">
        <v>2.9411762952804565E-2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2.5</v>
      </c>
      <c r="C29">
        <v>0.50753426551818848</v>
      </c>
      <c r="D29"/>
      <c r="E29"/>
      <c r="F29"/>
      <c r="G29"/>
      <c r="H29"/>
      <c r="I29" s="216">
        <v>0.64516133069992065</v>
      </c>
      <c r="J29"/>
      <c r="K29"/>
      <c r="L29"/>
      <c r="M29"/>
      <c r="N29"/>
      <c r="O29"/>
      <c r="P29"/>
      <c r="Q29" s="61">
        <v>5.4736658930778503E-2</v>
      </c>
      <c r="R29" s="212">
        <v>5.8064520359039307E-2</v>
      </c>
      <c r="S29"/>
      <c r="T29" s="14">
        <v>3.7441353779286146E-3</v>
      </c>
      <c r="U29" s="22">
        <v>1.2580646201968193E-2</v>
      </c>
      <c r="V29"/>
      <c r="W29"/>
      <c r="X29"/>
      <c r="Y29"/>
      <c r="Z29"/>
      <c r="AA29"/>
      <c r="AB29" s="224">
        <v>0.14032258093357086</v>
      </c>
      <c r="AC29" s="17">
        <v>3.4307386726140976E-2</v>
      </c>
      <c r="AD29" s="16">
        <v>4.0322583168745041E-2</v>
      </c>
      <c r="AE29" s="231">
        <v>0.60483872890472412</v>
      </c>
      <c r="AF29"/>
      <c r="AG29"/>
      <c r="AH29"/>
      <c r="AI29" s="134">
        <v>0.15161290764808655</v>
      </c>
      <c r="AJ29"/>
      <c r="AK29"/>
      <c r="AL29" s="228">
        <v>0.24677421152591705</v>
      </c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5.5</v>
      </c>
      <c r="C30">
        <v>0.24631008505821228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 s="14">
        <v>9.6723483875393867E-3</v>
      </c>
      <c r="U30" s="22">
        <v>3.2499998807907104E-2</v>
      </c>
      <c r="V30"/>
      <c r="W30" s="12">
        <v>2.224101684987545E-2</v>
      </c>
      <c r="X30" s="18">
        <v>6.6666670143604279E-2</v>
      </c>
      <c r="Y30"/>
      <c r="Z30" s="15">
        <v>5.8198202401399612E-2</v>
      </c>
      <c r="AA30" s="230">
        <v>0.48999997973442078</v>
      </c>
      <c r="AB30"/>
      <c r="AC30" s="25">
        <v>0.19941169023513794</v>
      </c>
      <c r="AD30"/>
      <c r="AE30"/>
      <c r="AF30"/>
      <c r="AG30"/>
      <c r="AH30"/>
      <c r="AI30"/>
      <c r="AJ30" s="233">
        <v>4.375</v>
      </c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8</v>
      </c>
      <c r="C31">
        <v>2.2058563232421875</v>
      </c>
      <c r="D31"/>
      <c r="E31"/>
      <c r="F31"/>
      <c r="G31"/>
      <c r="H31"/>
      <c r="I31"/>
      <c r="J31"/>
      <c r="K31"/>
      <c r="L31"/>
      <c r="M31" s="11">
        <v>3.1302901334129274E-5</v>
      </c>
      <c r="N31"/>
      <c r="O31"/>
      <c r="P31" s="11">
        <v>6.1716546042589471E-6</v>
      </c>
      <c r="Q31"/>
      <c r="R31"/>
      <c r="S31" s="11">
        <v>2.5329463824164122E-6</v>
      </c>
      <c r="T31" s="11">
        <v>1.3392482651397586E-3</v>
      </c>
      <c r="U31" s="11">
        <v>4.5000002719461918E-3</v>
      </c>
      <c r="V31" s="11">
        <v>5.4928630561335012E-5</v>
      </c>
      <c r="W31" s="14">
        <v>1.2318103574216366E-2</v>
      </c>
      <c r="X31" s="12">
        <v>3.6923076957464218E-2</v>
      </c>
      <c r="Y31" s="11">
        <v>4.1553841583663598E-5</v>
      </c>
      <c r="Z31" s="14">
        <v>8.7297307327389717E-3</v>
      </c>
      <c r="AA31" s="15">
        <v>7.3499992489814758E-2</v>
      </c>
      <c r="AB31"/>
      <c r="AC31" s="11">
        <v>7.158367894589901E-3</v>
      </c>
      <c r="AD31" s="14">
        <v>9.6153849735856056E-3</v>
      </c>
      <c r="AE31" s="68">
        <v>0.74519228935241699</v>
      </c>
      <c r="AF31" s="14">
        <v>1.3384616002440453E-2</v>
      </c>
      <c r="AG31" s="12">
        <v>2.4230768904089928E-2</v>
      </c>
      <c r="AH31" s="22">
        <v>4.7115381807088852E-2</v>
      </c>
      <c r="AI31"/>
      <c r="AJ31" s="238">
        <v>3.6750001907348633</v>
      </c>
      <c r="AK31" s="15">
        <v>8.076922595500946E-2</v>
      </c>
      <c r="AL31"/>
      <c r="AM31" s="16">
        <v>0.13115383684635162</v>
      </c>
      <c r="AN31" s="237">
        <v>0.92307692766189575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3</v>
      </c>
      <c r="C32">
        <v>3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0.20000000298023224</v>
      </c>
      <c r="C33">
        <v>0.10000000149011612</v>
      </c>
      <c r="D33"/>
      <c r="E33"/>
      <c r="F33"/>
      <c r="G33"/>
      <c r="H33"/>
      <c r="I33"/>
      <c r="J33" s="217">
        <v>0.10000000149011612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3.5</v>
      </c>
      <c r="C34">
        <v>2.3590574264526367</v>
      </c>
      <c r="D34"/>
      <c r="E34"/>
      <c r="F34"/>
      <c r="G34"/>
      <c r="H34"/>
      <c r="I34"/>
      <c r="J34"/>
      <c r="K34"/>
      <c r="L34"/>
      <c r="M34"/>
      <c r="N34" s="14">
        <v>6.6087045706808567E-3</v>
      </c>
      <c r="O34"/>
      <c r="P34"/>
      <c r="Q34" s="11">
        <v>3.2631468493491411E-3</v>
      </c>
      <c r="R34" s="14">
        <v>3.4615385811775923E-3</v>
      </c>
      <c r="S34"/>
      <c r="T34"/>
      <c r="U34"/>
      <c r="V34"/>
      <c r="W34"/>
      <c r="X34"/>
      <c r="Y34"/>
      <c r="Z34" s="11">
        <v>6.7151774419471622E-4</v>
      </c>
      <c r="AA34" s="14">
        <v>5.6538460776209831E-3</v>
      </c>
      <c r="AB34" s="235">
        <v>0.40990385413169861</v>
      </c>
      <c r="AC34" s="14">
        <v>1.0226239450275898E-2</v>
      </c>
      <c r="AD34" s="11">
        <v>2.4038462433964014E-3</v>
      </c>
      <c r="AE34"/>
      <c r="AF34"/>
      <c r="AG34"/>
      <c r="AH34"/>
      <c r="AI34" s="26">
        <v>0.16269229352474213</v>
      </c>
      <c r="AJ34" s="25">
        <v>0.12115383893251419</v>
      </c>
      <c r="AK34" s="20">
        <v>6.923077255487442E-2</v>
      </c>
      <c r="AL34" s="212">
        <v>8.3365388214588165E-2</v>
      </c>
      <c r="AM34" s="234">
        <v>0.26230767369270325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10</v>
      </c>
      <c r="C35">
        <v>9.799983024597168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 s="11">
        <v>1.7442460375605151E-5</v>
      </c>
      <c r="AQ35" s="20">
        <v>0.20000000298023224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120</v>
      </c>
      <c r="C36">
        <v>81.689994812011719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 s="11">
        <v>1.9090909510850906E-2</v>
      </c>
      <c r="AI36"/>
      <c r="AJ36"/>
      <c r="AK36"/>
      <c r="AL36"/>
      <c r="AM36"/>
      <c r="AN36"/>
      <c r="AO36" s="239">
        <v>34.036365509033203</v>
      </c>
      <c r="AP36"/>
      <c r="AQ36"/>
      <c r="AR36" s="25">
        <v>4.2545456886291504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/>
      <c r="C37">
        <v>0.14329728484153748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 s="9">
        <v>4.1999998092651367</v>
      </c>
      <c r="AL37"/>
      <c r="AM37" s="9">
        <v>13.639999389648438</v>
      </c>
      <c r="AN37"/>
      <c r="AO37" s="9">
        <v>208</v>
      </c>
      <c r="AP37" s="9">
        <v>1.7442461103200912E-4</v>
      </c>
      <c r="AQ37" s="9">
        <v>2</v>
      </c>
      <c r="AR37" s="9">
        <v>546</v>
      </c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/>
      <c r="C38">
        <v>0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3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3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1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9" t="s">
        <v>167</v>
      </c>
    </row>
    <row r="2" spans="1:12" x14ac:dyDescent="0.15">
      <c r="A2" s="1" t="s">
        <v>37</v>
      </c>
      <c r="B2" s="36">
        <v>3</v>
      </c>
      <c r="C2" s="34"/>
      <c r="D2" t="s">
        <v>38</v>
      </c>
      <c r="E2">
        <v>1</v>
      </c>
      <c r="F2">
        <v>1</v>
      </c>
      <c r="G2">
        <v>1</v>
      </c>
      <c r="H2" t="s">
        <v>38</v>
      </c>
      <c r="J2" s="52"/>
      <c r="K2" s="53"/>
      <c r="L2" s="59" t="s">
        <v>168</v>
      </c>
    </row>
    <row r="3" spans="1:12" ht="14" thickBot="1" x14ac:dyDescent="0.2">
      <c r="A3" s="1" t="s">
        <v>39</v>
      </c>
      <c r="B3" s="37">
        <v>0</v>
      </c>
      <c r="C3" s="34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4"/>
      <c r="K3" s="55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4"/>
      <c r="K4" s="55"/>
    </row>
    <row r="5" spans="1:12" x14ac:dyDescent="0.15">
      <c r="D5" s="184" t="s">
        <v>193</v>
      </c>
      <c r="E5">
        <v>4</v>
      </c>
      <c r="F5">
        <v>3.13</v>
      </c>
      <c r="G5">
        <v>4</v>
      </c>
      <c r="H5" s="185" t="s">
        <v>193</v>
      </c>
      <c r="J5" s="54"/>
      <c r="K5" s="55"/>
    </row>
    <row r="6" spans="1:12" ht="14" thickBot="1" x14ac:dyDescent="0.2">
      <c r="A6" s="38" t="s">
        <v>121</v>
      </c>
      <c r="D6" s="184" t="s">
        <v>194</v>
      </c>
      <c r="E6">
        <v>5</v>
      </c>
      <c r="F6">
        <v>3.11</v>
      </c>
      <c r="G6">
        <v>5</v>
      </c>
      <c r="H6" s="185" t="s">
        <v>194</v>
      </c>
      <c r="J6" s="54"/>
      <c r="K6" s="55"/>
    </row>
    <row r="7" spans="1:12" x14ac:dyDescent="0.15">
      <c r="A7" s="33" t="s">
        <v>126</v>
      </c>
      <c r="B7" s="40">
        <v>1</v>
      </c>
      <c r="C7" s="35"/>
      <c r="D7" s="184" t="s">
        <v>195</v>
      </c>
      <c r="E7">
        <v>6</v>
      </c>
      <c r="F7">
        <v>3.12</v>
      </c>
      <c r="G7">
        <v>6</v>
      </c>
      <c r="H7" s="185" t="s">
        <v>195</v>
      </c>
      <c r="J7" s="54"/>
      <c r="K7" s="55"/>
    </row>
    <row r="8" spans="1:12" x14ac:dyDescent="0.15">
      <c r="A8" s="33" t="s">
        <v>38</v>
      </c>
      <c r="B8" s="41">
        <v>1</v>
      </c>
      <c r="C8" s="35"/>
      <c r="D8" s="184" t="s">
        <v>196</v>
      </c>
      <c r="E8">
        <v>7</v>
      </c>
      <c r="F8">
        <v>3.12</v>
      </c>
      <c r="G8">
        <v>7</v>
      </c>
      <c r="H8" s="185" t="s">
        <v>196</v>
      </c>
      <c r="J8" s="54"/>
      <c r="K8" s="55"/>
    </row>
    <row r="9" spans="1:12" x14ac:dyDescent="0.15">
      <c r="A9" s="33" t="s">
        <v>40</v>
      </c>
      <c r="B9" s="41">
        <v>1.1000000000000001</v>
      </c>
      <c r="C9" s="35"/>
      <c r="D9" s="184" t="s">
        <v>197</v>
      </c>
      <c r="E9">
        <v>8</v>
      </c>
      <c r="F9">
        <v>3.11</v>
      </c>
      <c r="G9">
        <v>8</v>
      </c>
      <c r="H9" s="185" t="s">
        <v>197</v>
      </c>
      <c r="J9" s="54"/>
      <c r="K9" s="55"/>
    </row>
    <row r="10" spans="1:12" x14ac:dyDescent="0.15">
      <c r="A10" s="33" t="s">
        <v>41</v>
      </c>
      <c r="B10" s="41">
        <v>1.2</v>
      </c>
      <c r="C10" s="35"/>
      <c r="D10" s="184" t="s">
        <v>198</v>
      </c>
      <c r="E10">
        <v>9</v>
      </c>
      <c r="F10">
        <v>3.12</v>
      </c>
      <c r="G10">
        <v>9</v>
      </c>
      <c r="H10" s="185" t="s">
        <v>198</v>
      </c>
      <c r="J10" s="54"/>
      <c r="K10" s="55"/>
    </row>
    <row r="11" spans="1:12" ht="12" customHeight="1" x14ac:dyDescent="0.15">
      <c r="A11" s="39" t="s">
        <v>127</v>
      </c>
      <c r="B11" s="41">
        <v>2</v>
      </c>
      <c r="C11" s="35"/>
      <c r="D11" s="184" t="s">
        <v>199</v>
      </c>
      <c r="E11">
        <v>10</v>
      </c>
      <c r="F11">
        <v>3.12</v>
      </c>
      <c r="G11">
        <v>10</v>
      </c>
      <c r="H11" s="185" t="s">
        <v>199</v>
      </c>
      <c r="J11" s="54"/>
      <c r="K11" s="55"/>
    </row>
    <row r="12" spans="1:12" x14ac:dyDescent="0.15">
      <c r="A12" s="33" t="s">
        <v>42</v>
      </c>
      <c r="B12" s="41">
        <v>2.1</v>
      </c>
      <c r="C12" s="35"/>
      <c r="D12" s="184" t="s">
        <v>200</v>
      </c>
      <c r="E12">
        <v>11</v>
      </c>
      <c r="F12">
        <v>3.11</v>
      </c>
      <c r="G12">
        <v>11</v>
      </c>
      <c r="H12" s="185" t="s">
        <v>200</v>
      </c>
      <c r="J12" s="54"/>
      <c r="K12" s="55"/>
    </row>
    <row r="13" spans="1:12" x14ac:dyDescent="0.15">
      <c r="A13" s="33" t="s">
        <v>43</v>
      </c>
      <c r="B13" s="41">
        <v>2.2000000000000002</v>
      </c>
      <c r="C13" s="35"/>
      <c r="D13" s="184" t="s">
        <v>201</v>
      </c>
      <c r="E13">
        <v>12</v>
      </c>
      <c r="F13">
        <v>3.12</v>
      </c>
      <c r="G13">
        <v>12</v>
      </c>
      <c r="H13" s="185" t="s">
        <v>201</v>
      </c>
      <c r="J13" s="54"/>
      <c r="K13" s="55"/>
    </row>
    <row r="14" spans="1:12" x14ac:dyDescent="0.15">
      <c r="A14" s="33" t="s">
        <v>67</v>
      </c>
      <c r="B14" s="41">
        <v>2.2999999999999998</v>
      </c>
      <c r="C14" s="35"/>
      <c r="D14" s="184" t="s">
        <v>202</v>
      </c>
      <c r="E14">
        <v>13</v>
      </c>
      <c r="F14">
        <v>3.12</v>
      </c>
      <c r="G14">
        <v>13</v>
      </c>
      <c r="H14" s="185" t="s">
        <v>202</v>
      </c>
      <c r="J14" s="54"/>
      <c r="K14" s="55"/>
    </row>
    <row r="15" spans="1:12" x14ac:dyDescent="0.15">
      <c r="A15" s="39" t="s">
        <v>128</v>
      </c>
      <c r="B15" s="41">
        <v>3</v>
      </c>
      <c r="C15" s="35"/>
      <c r="D15" s="184" t="s">
        <v>203</v>
      </c>
      <c r="E15">
        <v>14</v>
      </c>
      <c r="F15">
        <v>3.11</v>
      </c>
      <c r="G15">
        <v>14</v>
      </c>
      <c r="H15" s="185" t="s">
        <v>203</v>
      </c>
      <c r="J15" s="54"/>
      <c r="K15" s="55"/>
    </row>
    <row r="16" spans="1:12" x14ac:dyDescent="0.15">
      <c r="A16" s="33" t="s">
        <v>62</v>
      </c>
      <c r="B16" s="41">
        <v>3.11</v>
      </c>
      <c r="C16" s="35"/>
      <c r="D16" s="184" t="s">
        <v>204</v>
      </c>
      <c r="E16">
        <v>15</v>
      </c>
      <c r="F16">
        <v>3.12</v>
      </c>
      <c r="G16">
        <v>15</v>
      </c>
      <c r="H16" s="185" t="s">
        <v>204</v>
      </c>
      <c r="J16" s="54"/>
      <c r="K16" s="55"/>
    </row>
    <row r="17" spans="1:12" x14ac:dyDescent="0.15">
      <c r="A17" s="33" t="s">
        <v>61</v>
      </c>
      <c r="B17" s="41">
        <v>3.12</v>
      </c>
      <c r="C17" s="35"/>
      <c r="D17" s="184" t="s">
        <v>205</v>
      </c>
      <c r="E17">
        <v>16</v>
      </c>
      <c r="F17">
        <v>3.12</v>
      </c>
      <c r="G17">
        <v>16</v>
      </c>
      <c r="H17" s="185" t="s">
        <v>205</v>
      </c>
      <c r="J17" s="54"/>
      <c r="K17" s="55"/>
    </row>
    <row r="18" spans="1:12" x14ac:dyDescent="0.15">
      <c r="A18" s="33" t="s">
        <v>68</v>
      </c>
      <c r="B18" s="41">
        <v>3.13</v>
      </c>
      <c r="C18" s="35"/>
      <c r="D18" s="184" t="s">
        <v>206</v>
      </c>
      <c r="E18">
        <v>17</v>
      </c>
      <c r="F18">
        <v>3.11</v>
      </c>
      <c r="G18">
        <v>17</v>
      </c>
      <c r="H18" s="185" t="s">
        <v>206</v>
      </c>
      <c r="J18" s="54"/>
      <c r="K18" s="55"/>
    </row>
    <row r="19" spans="1:12" x14ac:dyDescent="0.15">
      <c r="A19" s="33" t="s">
        <v>66</v>
      </c>
      <c r="B19" s="41">
        <v>3.21</v>
      </c>
      <c r="C19" s="35"/>
      <c r="D19" s="184" t="s">
        <v>207</v>
      </c>
      <c r="E19">
        <v>18</v>
      </c>
      <c r="F19">
        <v>3.12</v>
      </c>
      <c r="G19">
        <v>18</v>
      </c>
      <c r="H19" s="185" t="s">
        <v>207</v>
      </c>
      <c r="J19" s="54"/>
      <c r="K19" s="55"/>
    </row>
    <row r="20" spans="1:12" x14ac:dyDescent="0.15">
      <c r="A20" s="33" t="s">
        <v>63</v>
      </c>
      <c r="B20" s="41">
        <v>3.22</v>
      </c>
      <c r="C20" s="35"/>
      <c r="D20" s="184" t="s">
        <v>208</v>
      </c>
      <c r="E20">
        <v>19</v>
      </c>
      <c r="F20">
        <v>3.12</v>
      </c>
      <c r="G20">
        <v>19</v>
      </c>
      <c r="H20" s="185" t="s">
        <v>208</v>
      </c>
      <c r="J20" s="54"/>
      <c r="K20" s="55"/>
    </row>
    <row r="21" spans="1:12" ht="14" thickBot="1" x14ac:dyDescent="0.2">
      <c r="A21" s="33" t="s">
        <v>69</v>
      </c>
      <c r="B21" s="41">
        <v>3.23</v>
      </c>
      <c r="C21" s="35"/>
      <c r="D21" s="184" t="s">
        <v>209</v>
      </c>
      <c r="E21">
        <v>20</v>
      </c>
      <c r="F21">
        <v>3.22</v>
      </c>
      <c r="G21">
        <v>20</v>
      </c>
      <c r="H21" s="185" t="s">
        <v>209</v>
      </c>
      <c r="J21" s="56"/>
      <c r="K21" s="57"/>
      <c r="L21" s="59" t="s">
        <v>152</v>
      </c>
    </row>
    <row r="22" spans="1:12" x14ac:dyDescent="0.15">
      <c r="A22" s="33" t="s">
        <v>64</v>
      </c>
      <c r="B22" s="41">
        <v>8</v>
      </c>
      <c r="C22" s="35"/>
      <c r="D22" s="184" t="s">
        <v>210</v>
      </c>
      <c r="E22">
        <v>21</v>
      </c>
      <c r="F22">
        <v>3.12</v>
      </c>
      <c r="G22">
        <v>21</v>
      </c>
      <c r="H22" s="185" t="s">
        <v>210</v>
      </c>
    </row>
    <row r="23" spans="1:12" x14ac:dyDescent="0.15">
      <c r="A23" s="33" t="s">
        <v>129</v>
      </c>
      <c r="B23" s="41">
        <v>4</v>
      </c>
      <c r="C23" s="35"/>
      <c r="D23" s="184" t="s">
        <v>211</v>
      </c>
      <c r="E23">
        <v>22</v>
      </c>
      <c r="F23">
        <v>3.22</v>
      </c>
      <c r="G23">
        <v>22</v>
      </c>
      <c r="H23" s="185" t="s">
        <v>211</v>
      </c>
    </row>
    <row r="24" spans="1:12" x14ac:dyDescent="0.15">
      <c r="A24" s="33" t="s">
        <v>122</v>
      </c>
      <c r="B24" s="41">
        <v>4.0999999999999996</v>
      </c>
      <c r="C24" s="35"/>
      <c r="D24" s="184" t="s">
        <v>212</v>
      </c>
      <c r="E24">
        <v>23</v>
      </c>
      <c r="F24">
        <v>3.12</v>
      </c>
      <c r="G24">
        <v>23</v>
      </c>
      <c r="H24" s="185" t="s">
        <v>212</v>
      </c>
    </row>
    <row r="25" spans="1:12" x14ac:dyDescent="0.15">
      <c r="A25" s="33" t="s">
        <v>70</v>
      </c>
      <c r="B25" s="41">
        <v>4.2</v>
      </c>
      <c r="C25" s="35"/>
      <c r="D25" s="184" t="s">
        <v>213</v>
      </c>
      <c r="E25">
        <v>24</v>
      </c>
      <c r="F25">
        <v>3.12</v>
      </c>
      <c r="G25">
        <v>24</v>
      </c>
      <c r="H25" s="185" t="s">
        <v>213</v>
      </c>
    </row>
    <row r="26" spans="1:12" x14ac:dyDescent="0.15">
      <c r="A26" s="33" t="s">
        <v>123</v>
      </c>
      <c r="B26" s="41">
        <v>4.3</v>
      </c>
      <c r="C26" s="35"/>
      <c r="D26" s="184" t="s">
        <v>214</v>
      </c>
      <c r="E26">
        <v>25</v>
      </c>
      <c r="F26">
        <v>3.12</v>
      </c>
      <c r="G26">
        <v>25</v>
      </c>
      <c r="H26" s="185" t="s">
        <v>214</v>
      </c>
    </row>
    <row r="27" spans="1:12" x14ac:dyDescent="0.15">
      <c r="A27" s="33" t="s">
        <v>125</v>
      </c>
      <c r="B27" s="41">
        <v>6.1</v>
      </c>
      <c r="D27" s="184" t="s">
        <v>215</v>
      </c>
      <c r="E27">
        <v>26</v>
      </c>
      <c r="F27">
        <v>3.12</v>
      </c>
      <c r="G27">
        <v>26</v>
      </c>
      <c r="H27" s="185" t="s">
        <v>215</v>
      </c>
    </row>
    <row r="28" spans="1:12" x14ac:dyDescent="0.15">
      <c r="A28" s="33" t="s">
        <v>124</v>
      </c>
      <c r="B28" s="41">
        <v>6.2</v>
      </c>
      <c r="D28" s="184" t="s">
        <v>216</v>
      </c>
      <c r="E28">
        <v>27</v>
      </c>
      <c r="F28">
        <v>3.22</v>
      </c>
      <c r="G28">
        <v>27</v>
      </c>
      <c r="H28" s="185" t="s">
        <v>216</v>
      </c>
    </row>
    <row r="29" spans="1:12" x14ac:dyDescent="0.15">
      <c r="A29" s="33" t="s">
        <v>44</v>
      </c>
      <c r="B29" s="41">
        <v>5</v>
      </c>
      <c r="D29" s="184" t="s">
        <v>217</v>
      </c>
      <c r="E29">
        <v>28</v>
      </c>
      <c r="F29">
        <v>3.12</v>
      </c>
      <c r="G29">
        <v>28</v>
      </c>
      <c r="H29" s="185" t="s">
        <v>217</v>
      </c>
    </row>
    <row r="30" spans="1:12" x14ac:dyDescent="0.15">
      <c r="A30" s="33" t="s">
        <v>73</v>
      </c>
      <c r="B30" s="41">
        <v>7</v>
      </c>
      <c r="D30" s="184" t="s">
        <v>166</v>
      </c>
      <c r="E30">
        <v>29</v>
      </c>
      <c r="F30">
        <v>3.12</v>
      </c>
      <c r="G30">
        <v>29</v>
      </c>
      <c r="H30" s="185" t="s">
        <v>166</v>
      </c>
    </row>
    <row r="31" spans="1:12" x14ac:dyDescent="0.15">
      <c r="A31" s="33" t="s">
        <v>170</v>
      </c>
      <c r="B31" s="41">
        <v>3.14</v>
      </c>
      <c r="D31" s="184" t="s">
        <v>218</v>
      </c>
      <c r="E31">
        <v>30</v>
      </c>
      <c r="F31">
        <v>3.21</v>
      </c>
      <c r="G31">
        <v>30</v>
      </c>
      <c r="H31" s="185" t="s">
        <v>218</v>
      </c>
    </row>
    <row r="32" spans="1:12" ht="12" customHeight="1" thickBot="1" x14ac:dyDescent="0.2">
      <c r="A32" s="39" t="s">
        <v>171</v>
      </c>
      <c r="B32" s="42">
        <v>9</v>
      </c>
      <c r="D32" s="184" t="s">
        <v>219</v>
      </c>
      <c r="E32">
        <v>31</v>
      </c>
      <c r="F32">
        <v>3</v>
      </c>
      <c r="G32">
        <v>31</v>
      </c>
      <c r="H32" s="185" t="s">
        <v>219</v>
      </c>
    </row>
    <row r="33" spans="4:8" customFormat="1" ht="12" customHeight="1" x14ac:dyDescent="0.15">
      <c r="D33" s="184" t="s">
        <v>220</v>
      </c>
      <c r="E33">
        <v>32</v>
      </c>
      <c r="F33">
        <v>3.11</v>
      </c>
      <c r="G33">
        <v>32</v>
      </c>
      <c r="H33" s="185" t="s">
        <v>220</v>
      </c>
    </row>
    <row r="34" spans="4:8" customFormat="1" ht="12" customHeight="1" x14ac:dyDescent="0.15">
      <c r="D34" s="184" t="s">
        <v>221</v>
      </c>
      <c r="E34">
        <v>33</v>
      </c>
      <c r="F34">
        <v>3.11</v>
      </c>
      <c r="G34">
        <v>33</v>
      </c>
      <c r="H34" s="185" t="s">
        <v>221</v>
      </c>
    </row>
    <row r="35" spans="4:8" customFormat="1" x14ac:dyDescent="0.15">
      <c r="D35" s="184" t="s">
        <v>222</v>
      </c>
      <c r="E35">
        <v>34</v>
      </c>
      <c r="F35">
        <v>3.21</v>
      </c>
      <c r="G35">
        <v>34</v>
      </c>
      <c r="H35" s="185" t="s">
        <v>222</v>
      </c>
    </row>
    <row r="36" spans="4:8" customFormat="1" x14ac:dyDescent="0.15">
      <c r="D36" s="184" t="s">
        <v>223</v>
      </c>
      <c r="E36">
        <v>35</v>
      </c>
      <c r="F36">
        <v>3.21</v>
      </c>
      <c r="G36">
        <v>35</v>
      </c>
      <c r="H36" s="185" t="s">
        <v>223</v>
      </c>
    </row>
    <row r="37" spans="4:8" customFormat="1" ht="12" customHeight="1" x14ac:dyDescent="0.15">
      <c r="D37" s="184" t="s">
        <v>224</v>
      </c>
      <c r="E37">
        <v>36</v>
      </c>
      <c r="F37">
        <v>3.21</v>
      </c>
      <c r="G37">
        <v>36</v>
      </c>
      <c r="H37" s="185" t="s">
        <v>224</v>
      </c>
    </row>
    <row r="38" spans="4:8" customFormat="1" x14ac:dyDescent="0.15">
      <c r="D38" s="184" t="s">
        <v>225</v>
      </c>
      <c r="E38">
        <v>37</v>
      </c>
      <c r="F38">
        <v>2.2999999999999998</v>
      </c>
      <c r="G38">
        <v>37</v>
      </c>
      <c r="H38" s="185" t="s">
        <v>225</v>
      </c>
    </row>
    <row r="39" spans="4:8" customFormat="1" x14ac:dyDescent="0.15">
      <c r="D39" s="184" t="s">
        <v>226</v>
      </c>
      <c r="E39">
        <v>38</v>
      </c>
      <c r="F39">
        <v>2</v>
      </c>
      <c r="G39">
        <v>38</v>
      </c>
      <c r="H39" s="185" t="s">
        <v>226</v>
      </c>
    </row>
    <row r="40" spans="4:8" customFormat="1" x14ac:dyDescent="0.15">
      <c r="D40" s="184" t="s">
        <v>227</v>
      </c>
      <c r="E40">
        <v>39</v>
      </c>
      <c r="F40">
        <v>4.0999999999999996</v>
      </c>
      <c r="G40">
        <v>39</v>
      </c>
      <c r="H40" s="185" t="s">
        <v>227</v>
      </c>
    </row>
    <row r="41" spans="4:8" customFormat="1" x14ac:dyDescent="0.15">
      <c r="D41" s="184" t="s">
        <v>228</v>
      </c>
      <c r="E41">
        <v>40</v>
      </c>
      <c r="F41">
        <v>4.3</v>
      </c>
      <c r="G41">
        <v>40</v>
      </c>
      <c r="H41" s="185" t="s">
        <v>228</v>
      </c>
    </row>
    <row r="42" spans="4:8" customFormat="1" x14ac:dyDescent="0.15">
      <c r="D42" s="184" t="s">
        <v>229</v>
      </c>
      <c r="E42">
        <v>41</v>
      </c>
      <c r="F42">
        <v>5</v>
      </c>
      <c r="G42">
        <v>41</v>
      </c>
      <c r="H42" s="185" t="s">
        <v>229</v>
      </c>
    </row>
    <row r="43" spans="4:8" customFormat="1" x14ac:dyDescent="0.15">
      <c r="D43" s="184" t="s">
        <v>230</v>
      </c>
      <c r="E43">
        <v>42</v>
      </c>
      <c r="F43">
        <v>5</v>
      </c>
      <c r="G43">
        <v>42</v>
      </c>
      <c r="H43" s="185" t="s">
        <v>230</v>
      </c>
    </row>
    <row r="44" spans="4:8" customFormat="1" x14ac:dyDescent="0.15">
      <c r="D44" s="184" t="s">
        <v>231</v>
      </c>
      <c r="E44">
        <v>43</v>
      </c>
      <c r="F44">
        <v>5</v>
      </c>
      <c r="G44">
        <v>43</v>
      </c>
      <c r="H44" s="185" t="s">
        <v>231</v>
      </c>
    </row>
    <row r="45" spans="4:8" customFormat="1" x14ac:dyDescent="0.15">
      <c r="D45" s="184" t="s">
        <v>232</v>
      </c>
      <c r="E45">
        <v>44</v>
      </c>
      <c r="F45">
        <v>5</v>
      </c>
      <c r="G45">
        <v>44</v>
      </c>
      <c r="H45" s="185" t="s">
        <v>232</v>
      </c>
    </row>
    <row r="46" spans="4:8" customFormat="1" x14ac:dyDescent="0.15">
      <c r="D46" s="184" t="s">
        <v>233</v>
      </c>
      <c r="E46">
        <v>45</v>
      </c>
      <c r="F46">
        <v>5</v>
      </c>
      <c r="G46">
        <v>45</v>
      </c>
      <c r="H46" s="185" t="s">
        <v>233</v>
      </c>
    </row>
    <row r="47" spans="4:8" customFormat="1" x14ac:dyDescent="0.15">
      <c r="D47" s="184" t="s">
        <v>234</v>
      </c>
      <c r="E47">
        <v>46</v>
      </c>
      <c r="F47">
        <v>5</v>
      </c>
      <c r="G47">
        <v>46</v>
      </c>
      <c r="H47" s="185" t="s">
        <v>234</v>
      </c>
    </row>
    <row r="48" spans="4:8" customFormat="1" x14ac:dyDescent="0.15">
      <c r="D48" s="184" t="s">
        <v>235</v>
      </c>
      <c r="E48">
        <v>47</v>
      </c>
      <c r="F48">
        <v>5</v>
      </c>
      <c r="G48">
        <v>47</v>
      </c>
      <c r="H48" s="185" t="s">
        <v>235</v>
      </c>
    </row>
    <row r="49" spans="4:8" customFormat="1" x14ac:dyDescent="0.15">
      <c r="D49" s="184" t="s">
        <v>236</v>
      </c>
      <c r="E49">
        <v>48</v>
      </c>
      <c r="F49">
        <v>5</v>
      </c>
      <c r="G49">
        <v>48</v>
      </c>
      <c r="H49" s="185" t="s">
        <v>236</v>
      </c>
    </row>
    <row r="50" spans="4:8" customFormat="1" ht="12" customHeight="1" x14ac:dyDescent="0.15">
      <c r="D50" s="184" t="s">
        <v>138</v>
      </c>
      <c r="E50">
        <v>49</v>
      </c>
      <c r="F50">
        <v>6.1</v>
      </c>
      <c r="G50">
        <v>49</v>
      </c>
      <c r="H50" s="185" t="s">
        <v>138</v>
      </c>
    </row>
    <row r="51" spans="4:8" customFormat="1" x14ac:dyDescent="0.15">
      <c r="D51" s="184" t="s">
        <v>45</v>
      </c>
      <c r="E51">
        <v>50</v>
      </c>
      <c r="F51">
        <v>6.2</v>
      </c>
      <c r="G51">
        <v>50</v>
      </c>
      <c r="H51" s="185" t="s">
        <v>45</v>
      </c>
    </row>
    <row r="52" spans="4:8" customFormat="1" ht="12" customHeight="1" x14ac:dyDescent="0.15"/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0.83203125" style="76" bestFit="1" customWidth="1"/>
    <col min="2" max="2" width="13.83203125" style="75" customWidth="1"/>
    <col min="3" max="3" width="10.83203125" style="75" customWidth="1"/>
    <col min="4" max="4" width="4.33203125" style="75" customWidth="1"/>
    <col min="5" max="5" width="13.83203125" style="75" customWidth="1"/>
    <col min="6" max="6" width="23" style="75" bestFit="1" customWidth="1"/>
    <col min="7" max="9" width="2.33203125" style="75" customWidth="1"/>
    <col min="10" max="10" width="2.33203125" style="75" bestFit="1" customWidth="1"/>
    <col min="11" max="15" width="2.33203125" style="75" customWidth="1"/>
    <col min="16" max="16" width="2.33203125" style="66" customWidth="1"/>
    <col min="17" max="17" width="2.33203125" style="75" customWidth="1"/>
    <col min="18" max="18" width="2.33203125" style="67" customWidth="1"/>
    <col min="19" max="16384" width="11.5" style="75"/>
  </cols>
  <sheetData>
    <row r="1" spans="1:23" ht="15" customHeight="1" thickBot="1" x14ac:dyDescent="0.2">
      <c r="F1" s="1"/>
      <c r="G1" s="65" t="s">
        <v>46</v>
      </c>
      <c r="H1" s="65" t="s">
        <v>47</v>
      </c>
      <c r="I1" s="65" t="s">
        <v>120</v>
      </c>
      <c r="J1" s="65" t="s">
        <v>132</v>
      </c>
      <c r="K1" s="77" t="s">
        <v>48</v>
      </c>
      <c r="L1" s="67"/>
      <c r="M1" s="77" t="s">
        <v>119</v>
      </c>
      <c r="N1" s="67"/>
      <c r="O1" s="77" t="s">
        <v>49</v>
      </c>
      <c r="P1" s="69"/>
      <c r="Q1" s="77" t="s">
        <v>50</v>
      </c>
      <c r="R1" s="65" t="s">
        <v>154</v>
      </c>
    </row>
    <row r="2" spans="1:23" ht="15" customHeight="1" x14ac:dyDescent="0.15">
      <c r="A2" s="77" t="s">
        <v>51</v>
      </c>
      <c r="B2" s="78">
        <v>0.5</v>
      </c>
      <c r="C2" s="76" t="s">
        <v>52</v>
      </c>
      <c r="D2" s="79"/>
      <c r="F2" s="1"/>
      <c r="G2" s="80"/>
      <c r="H2" s="80"/>
      <c r="I2" s="80" t="s">
        <v>133</v>
      </c>
      <c r="J2" s="80" t="s">
        <v>133</v>
      </c>
      <c r="K2" s="80" t="s">
        <v>52</v>
      </c>
      <c r="L2" s="80" t="s">
        <v>53</v>
      </c>
      <c r="M2" s="80" t="s">
        <v>52</v>
      </c>
      <c r="N2" s="80" t="s">
        <v>53</v>
      </c>
      <c r="O2" s="80" t="s">
        <v>52</v>
      </c>
      <c r="P2" s="81" t="s">
        <v>53</v>
      </c>
      <c r="Q2" s="80"/>
      <c r="R2" s="82" t="s">
        <v>155</v>
      </c>
    </row>
    <row r="3" spans="1:23" ht="15" customHeight="1" thickBot="1" x14ac:dyDescent="0.2">
      <c r="A3" s="77" t="s">
        <v>54</v>
      </c>
      <c r="B3" s="83">
        <v>0.5</v>
      </c>
      <c r="C3" s="76" t="s">
        <v>53</v>
      </c>
      <c r="D3" s="7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9">
        <v>0</v>
      </c>
      <c r="R3" s="35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9">
        <v>0</v>
      </c>
      <c r="R4" s="102">
        <v>0</v>
      </c>
    </row>
    <row r="5" spans="1:23" ht="15" customHeight="1" x14ac:dyDescent="0.15">
      <c r="A5" s="77" t="s">
        <v>55</v>
      </c>
      <c r="B5" s="84">
        <v>0.5</v>
      </c>
      <c r="C5" s="76" t="s">
        <v>52</v>
      </c>
      <c r="D5" s="7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9">
        <v>0</v>
      </c>
      <c r="R5" s="102">
        <v>0</v>
      </c>
    </row>
    <row r="6" spans="1:23" ht="15" customHeight="1" thickBot="1" x14ac:dyDescent="0.2">
      <c r="A6" s="77"/>
      <c r="B6" s="85">
        <v>0.5</v>
      </c>
      <c r="C6" s="76" t="s">
        <v>53</v>
      </c>
      <c r="D6" s="79"/>
      <c r="F6" s="186" t="s">
        <v>193</v>
      </c>
      <c r="G6" s="75">
        <v>0</v>
      </c>
      <c r="H6" s="75">
        <v>0</v>
      </c>
      <c r="I6" s="75">
        <v>0</v>
      </c>
      <c r="J6" s="75">
        <v>0</v>
      </c>
      <c r="K6" s="75">
        <v>1</v>
      </c>
      <c r="L6" s="75">
        <v>0</v>
      </c>
      <c r="M6" s="75">
        <v>1</v>
      </c>
      <c r="N6" s="75">
        <v>0</v>
      </c>
      <c r="O6" s="75">
        <v>1</v>
      </c>
      <c r="P6" s="66">
        <v>0</v>
      </c>
      <c r="Q6" s="75">
        <v>0</v>
      </c>
      <c r="R6" s="67">
        <v>1</v>
      </c>
      <c r="S6"/>
      <c r="T6"/>
    </row>
    <row r="7" spans="1:23" ht="15" customHeight="1" thickBot="1" x14ac:dyDescent="0.2">
      <c r="F7" s="186" t="s">
        <v>194</v>
      </c>
      <c r="G7" s="75">
        <v>0</v>
      </c>
      <c r="H7" s="75">
        <v>0</v>
      </c>
      <c r="I7" s="75">
        <v>0</v>
      </c>
      <c r="J7" s="75">
        <v>0</v>
      </c>
      <c r="K7" s="75">
        <v>1</v>
      </c>
      <c r="L7" s="75">
        <v>0</v>
      </c>
      <c r="M7" s="75">
        <v>1</v>
      </c>
      <c r="N7" s="75">
        <v>0</v>
      </c>
      <c r="O7" s="75">
        <v>1</v>
      </c>
      <c r="P7" s="66">
        <v>0</v>
      </c>
      <c r="Q7" s="75">
        <v>0</v>
      </c>
      <c r="R7" s="67">
        <v>1</v>
      </c>
      <c r="S7"/>
      <c r="T7"/>
    </row>
    <row r="8" spans="1:23" ht="15" customHeight="1" x14ac:dyDescent="0.15">
      <c r="A8" s="77" t="s">
        <v>56</v>
      </c>
      <c r="B8" s="84">
        <v>1.4925373134328358E-2</v>
      </c>
      <c r="C8" s="187" t="s">
        <v>225</v>
      </c>
      <c r="D8" s="79" t="s">
        <v>160</v>
      </c>
      <c r="F8" s="186" t="s">
        <v>195</v>
      </c>
      <c r="G8" s="75">
        <v>0</v>
      </c>
      <c r="H8" s="75">
        <v>0</v>
      </c>
      <c r="I8" s="75">
        <v>0</v>
      </c>
      <c r="J8" s="75">
        <v>0</v>
      </c>
      <c r="K8" s="75">
        <v>1</v>
      </c>
      <c r="L8" s="75">
        <v>0</v>
      </c>
      <c r="M8" s="75">
        <v>1</v>
      </c>
      <c r="N8" s="75">
        <v>0</v>
      </c>
      <c r="O8" s="75">
        <v>1</v>
      </c>
      <c r="P8" s="66">
        <v>0</v>
      </c>
      <c r="Q8" s="75">
        <v>0</v>
      </c>
      <c r="R8" s="67">
        <v>1</v>
      </c>
      <c r="S8"/>
      <c r="T8"/>
      <c r="W8"/>
    </row>
    <row r="9" spans="1:23" ht="15" customHeight="1" x14ac:dyDescent="0.15">
      <c r="A9" s="116" t="s">
        <v>169</v>
      </c>
      <c r="B9" s="86">
        <v>0.9850746268656716</v>
      </c>
      <c r="C9" s="187" t="s">
        <v>226</v>
      </c>
      <c r="D9" s="79" t="s">
        <v>160</v>
      </c>
      <c r="F9" s="186" t="s">
        <v>196</v>
      </c>
      <c r="G9" s="75">
        <v>0</v>
      </c>
      <c r="H9" s="75">
        <v>0</v>
      </c>
      <c r="I9" s="75">
        <v>0</v>
      </c>
      <c r="J9" s="75">
        <v>0</v>
      </c>
      <c r="K9" s="75">
        <v>1</v>
      </c>
      <c r="L9" s="75">
        <v>0</v>
      </c>
      <c r="M9" s="75">
        <v>1</v>
      </c>
      <c r="N9" s="75">
        <v>0</v>
      </c>
      <c r="O9" s="75">
        <v>1</v>
      </c>
      <c r="P9" s="66">
        <v>0</v>
      </c>
      <c r="Q9" s="75">
        <v>0</v>
      </c>
      <c r="R9" s="67">
        <v>1</v>
      </c>
      <c r="S9"/>
      <c r="T9"/>
      <c r="W9"/>
    </row>
    <row r="10" spans="1:23" ht="15" customHeight="1" x14ac:dyDescent="0.15">
      <c r="B10" s="86"/>
      <c r="C10" s="74"/>
      <c r="D10" s="79" t="s">
        <v>160</v>
      </c>
      <c r="F10" s="186" t="s">
        <v>197</v>
      </c>
      <c r="G10" s="75">
        <v>0</v>
      </c>
      <c r="H10" s="75">
        <v>0</v>
      </c>
      <c r="I10" s="75">
        <v>0</v>
      </c>
      <c r="J10" s="75">
        <v>0</v>
      </c>
      <c r="K10" s="75">
        <v>1</v>
      </c>
      <c r="L10" s="75">
        <v>0</v>
      </c>
      <c r="M10" s="75">
        <v>1</v>
      </c>
      <c r="N10" s="75">
        <v>0</v>
      </c>
      <c r="O10" s="75">
        <v>1</v>
      </c>
      <c r="P10" s="66">
        <v>0</v>
      </c>
      <c r="Q10" s="75">
        <v>0</v>
      </c>
      <c r="R10" s="67">
        <v>1</v>
      </c>
      <c r="S10"/>
      <c r="T10"/>
      <c r="W10"/>
    </row>
    <row r="11" spans="1:23" ht="15" customHeight="1" x14ac:dyDescent="0.15">
      <c r="A11" s="77"/>
      <c r="B11" s="86"/>
      <c r="C11" s="89"/>
      <c r="D11" s="79" t="s">
        <v>160</v>
      </c>
      <c r="F11" s="186" t="s">
        <v>198</v>
      </c>
      <c r="G11" s="75">
        <v>0</v>
      </c>
      <c r="H11" s="75">
        <v>0</v>
      </c>
      <c r="I11" s="75">
        <v>0</v>
      </c>
      <c r="J11" s="75">
        <v>0</v>
      </c>
      <c r="K11" s="75">
        <v>1</v>
      </c>
      <c r="L11" s="75">
        <v>0</v>
      </c>
      <c r="M11" s="75">
        <v>1</v>
      </c>
      <c r="N11" s="75">
        <v>0</v>
      </c>
      <c r="O11" s="75">
        <v>1</v>
      </c>
      <c r="P11" s="66">
        <v>0</v>
      </c>
      <c r="Q11" s="75">
        <v>0</v>
      </c>
      <c r="R11" s="67">
        <v>1</v>
      </c>
      <c r="S11"/>
      <c r="T11"/>
      <c r="W11"/>
    </row>
    <row r="12" spans="1:23" ht="15" customHeight="1" x14ac:dyDescent="0.15">
      <c r="B12" s="86"/>
      <c r="C12" s="90"/>
      <c r="D12" s="79" t="s">
        <v>160</v>
      </c>
      <c r="F12" s="186" t="s">
        <v>199</v>
      </c>
      <c r="G12" s="75">
        <v>0</v>
      </c>
      <c r="H12" s="75">
        <v>0</v>
      </c>
      <c r="I12" s="75">
        <v>0</v>
      </c>
      <c r="J12" s="75">
        <v>0</v>
      </c>
      <c r="K12" s="75">
        <v>1</v>
      </c>
      <c r="L12" s="75">
        <v>0</v>
      </c>
      <c r="M12" s="75">
        <v>1</v>
      </c>
      <c r="N12" s="75">
        <v>0</v>
      </c>
      <c r="O12" s="75">
        <v>1</v>
      </c>
      <c r="P12" s="66">
        <v>0</v>
      </c>
      <c r="Q12" s="75">
        <v>0</v>
      </c>
      <c r="R12" s="67">
        <v>1</v>
      </c>
      <c r="S12"/>
      <c r="T12"/>
      <c r="W12"/>
    </row>
    <row r="13" spans="1:23" ht="15" customHeight="1" x14ac:dyDescent="0.15">
      <c r="B13" s="86"/>
      <c r="C13" s="90"/>
      <c r="D13" s="79" t="s">
        <v>160</v>
      </c>
      <c r="F13" s="186" t="s">
        <v>200</v>
      </c>
      <c r="G13" s="75">
        <v>0</v>
      </c>
      <c r="H13" s="75">
        <v>0</v>
      </c>
      <c r="I13" s="75">
        <v>0</v>
      </c>
      <c r="J13" s="75">
        <v>0</v>
      </c>
      <c r="K13" s="75">
        <v>1</v>
      </c>
      <c r="L13" s="75">
        <v>0</v>
      </c>
      <c r="M13" s="75">
        <v>1</v>
      </c>
      <c r="N13" s="75">
        <v>0</v>
      </c>
      <c r="O13" s="75">
        <v>1</v>
      </c>
      <c r="P13" s="66">
        <v>0</v>
      </c>
      <c r="Q13" s="75">
        <v>0</v>
      </c>
      <c r="R13" s="67">
        <v>1</v>
      </c>
      <c r="S13"/>
      <c r="T13"/>
      <c r="W13"/>
    </row>
    <row r="14" spans="1:23" ht="15" customHeight="1" x14ac:dyDescent="0.15">
      <c r="B14" s="86"/>
      <c r="C14" s="74"/>
      <c r="D14" s="79" t="s">
        <v>160</v>
      </c>
      <c r="F14" s="186" t="s">
        <v>201</v>
      </c>
      <c r="G14" s="75">
        <v>0</v>
      </c>
      <c r="H14" s="75">
        <v>0</v>
      </c>
      <c r="I14" s="75">
        <v>0</v>
      </c>
      <c r="J14" s="75">
        <v>0</v>
      </c>
      <c r="K14" s="75">
        <v>1</v>
      </c>
      <c r="L14" s="75">
        <v>0</v>
      </c>
      <c r="M14" s="75">
        <v>1</v>
      </c>
      <c r="N14" s="75">
        <v>0</v>
      </c>
      <c r="O14" s="75">
        <v>1</v>
      </c>
      <c r="P14" s="66">
        <v>0</v>
      </c>
      <c r="Q14" s="75">
        <v>0</v>
      </c>
      <c r="R14" s="67">
        <v>1</v>
      </c>
      <c r="S14"/>
      <c r="T14"/>
      <c r="W14"/>
    </row>
    <row r="15" spans="1:23" ht="15" customHeight="1" x14ac:dyDescent="0.15">
      <c r="B15" s="86"/>
      <c r="C15" s="74"/>
      <c r="D15" s="79" t="s">
        <v>160</v>
      </c>
      <c r="F15" s="186" t="s">
        <v>202</v>
      </c>
      <c r="G15" s="75">
        <v>0</v>
      </c>
      <c r="H15" s="75">
        <v>0</v>
      </c>
      <c r="I15" s="75">
        <v>0</v>
      </c>
      <c r="J15" s="75">
        <v>0</v>
      </c>
      <c r="K15" s="75">
        <v>1</v>
      </c>
      <c r="L15" s="75">
        <v>0</v>
      </c>
      <c r="M15" s="75">
        <v>1</v>
      </c>
      <c r="N15" s="75">
        <v>0</v>
      </c>
      <c r="O15" s="75">
        <v>1</v>
      </c>
      <c r="P15" s="66">
        <v>0</v>
      </c>
      <c r="Q15" s="75">
        <v>0</v>
      </c>
      <c r="R15" s="67">
        <v>1</v>
      </c>
      <c r="S15"/>
      <c r="T15"/>
      <c r="W15"/>
    </row>
    <row r="16" spans="1:23" ht="15" customHeight="1" x14ac:dyDescent="0.15">
      <c r="B16" s="86"/>
      <c r="C16" s="74"/>
      <c r="D16" s="79" t="s">
        <v>160</v>
      </c>
      <c r="F16" s="186" t="s">
        <v>203</v>
      </c>
      <c r="G16" s="75">
        <v>0</v>
      </c>
      <c r="H16" s="75">
        <v>0</v>
      </c>
      <c r="I16" s="75">
        <v>0</v>
      </c>
      <c r="J16" s="75">
        <v>0</v>
      </c>
      <c r="K16" s="75">
        <v>1</v>
      </c>
      <c r="L16" s="75">
        <v>0</v>
      </c>
      <c r="M16" s="75">
        <v>1</v>
      </c>
      <c r="N16" s="75">
        <v>0</v>
      </c>
      <c r="O16" s="75">
        <v>1</v>
      </c>
      <c r="P16" s="66">
        <v>0</v>
      </c>
      <c r="Q16" s="75">
        <v>0</v>
      </c>
      <c r="R16" s="67">
        <v>1</v>
      </c>
      <c r="S16"/>
      <c r="T16"/>
    </row>
    <row r="17" spans="1:20" ht="15" customHeight="1" thickBot="1" x14ac:dyDescent="0.2">
      <c r="B17" s="85"/>
      <c r="C17" s="74"/>
      <c r="D17" s="79" t="s">
        <v>160</v>
      </c>
      <c r="F17" s="186" t="s">
        <v>204</v>
      </c>
      <c r="G17" s="75">
        <v>0</v>
      </c>
      <c r="H17" s="75">
        <v>0</v>
      </c>
      <c r="I17" s="75">
        <v>0</v>
      </c>
      <c r="J17" s="75">
        <v>0</v>
      </c>
      <c r="K17" s="75">
        <v>1</v>
      </c>
      <c r="L17" s="75">
        <v>0</v>
      </c>
      <c r="M17" s="75">
        <v>1</v>
      </c>
      <c r="N17" s="75">
        <v>0</v>
      </c>
      <c r="O17" s="75">
        <v>1</v>
      </c>
      <c r="P17" s="66">
        <v>0</v>
      </c>
      <c r="Q17" s="75">
        <v>0</v>
      </c>
      <c r="R17" s="67">
        <v>1</v>
      </c>
      <c r="S17"/>
      <c r="T17"/>
    </row>
    <row r="18" spans="1:20" ht="15" customHeight="1" thickBot="1" x14ac:dyDescent="0.2">
      <c r="B18" s="87"/>
      <c r="F18" s="186" t="s">
        <v>205</v>
      </c>
      <c r="G18" s="75">
        <v>0</v>
      </c>
      <c r="H18" s="75">
        <v>0</v>
      </c>
      <c r="I18" s="75">
        <v>0</v>
      </c>
      <c r="J18" s="75">
        <v>0</v>
      </c>
      <c r="K18" s="75">
        <v>1</v>
      </c>
      <c r="L18" s="75">
        <v>0</v>
      </c>
      <c r="M18" s="75">
        <v>1</v>
      </c>
      <c r="N18" s="75">
        <v>0</v>
      </c>
      <c r="O18" s="75">
        <v>1</v>
      </c>
      <c r="P18" s="66">
        <v>0</v>
      </c>
      <c r="Q18" s="75">
        <v>0</v>
      </c>
      <c r="R18" s="67">
        <v>1</v>
      </c>
      <c r="S18"/>
      <c r="T18"/>
    </row>
    <row r="19" spans="1:20" ht="15" customHeight="1" x14ac:dyDescent="0.15">
      <c r="A19" s="77" t="s">
        <v>57</v>
      </c>
      <c r="B19" s="84">
        <v>1.4925373134328358E-2</v>
      </c>
      <c r="C19" s="188" t="s">
        <v>225</v>
      </c>
      <c r="D19" s="79" t="s">
        <v>160</v>
      </c>
      <c r="F19" s="186" t="s">
        <v>206</v>
      </c>
      <c r="G19" s="75">
        <v>0</v>
      </c>
      <c r="H19" s="75">
        <v>0</v>
      </c>
      <c r="I19" s="75">
        <v>0</v>
      </c>
      <c r="J19" s="75">
        <v>0</v>
      </c>
      <c r="K19" s="75">
        <v>1</v>
      </c>
      <c r="L19" s="75">
        <v>0</v>
      </c>
      <c r="M19" s="75">
        <v>1</v>
      </c>
      <c r="N19" s="75">
        <v>0</v>
      </c>
      <c r="O19" s="75">
        <v>1</v>
      </c>
      <c r="P19" s="66">
        <v>0</v>
      </c>
      <c r="Q19" s="75">
        <v>0</v>
      </c>
      <c r="R19" s="67">
        <v>1</v>
      </c>
      <c r="S19"/>
      <c r="T19"/>
    </row>
    <row r="20" spans="1:20" ht="15" customHeight="1" x14ac:dyDescent="0.15">
      <c r="A20" s="116" t="s">
        <v>169</v>
      </c>
      <c r="B20" s="86">
        <v>0.9850746268656716</v>
      </c>
      <c r="C20" s="188" t="s">
        <v>226</v>
      </c>
      <c r="D20" s="79" t="s">
        <v>160</v>
      </c>
      <c r="F20" s="186" t="s">
        <v>207</v>
      </c>
      <c r="G20" s="75">
        <v>0</v>
      </c>
      <c r="H20" s="75">
        <v>0</v>
      </c>
      <c r="I20" s="75">
        <v>0</v>
      </c>
      <c r="J20" s="75">
        <v>0</v>
      </c>
      <c r="K20" s="75">
        <v>1</v>
      </c>
      <c r="L20" s="75">
        <v>0</v>
      </c>
      <c r="M20" s="75">
        <v>1</v>
      </c>
      <c r="N20" s="75">
        <v>0</v>
      </c>
      <c r="O20" s="75">
        <v>1</v>
      </c>
      <c r="P20" s="66">
        <v>0</v>
      </c>
      <c r="Q20" s="75">
        <v>0</v>
      </c>
      <c r="R20" s="67">
        <v>1</v>
      </c>
      <c r="S20"/>
      <c r="T20"/>
    </row>
    <row r="21" spans="1:20" ht="15" customHeight="1" x14ac:dyDescent="0.15">
      <c r="B21" s="86"/>
      <c r="C21" s="74"/>
      <c r="D21" s="79" t="s">
        <v>160</v>
      </c>
      <c r="F21" s="186" t="s">
        <v>208</v>
      </c>
      <c r="G21" s="75">
        <v>0</v>
      </c>
      <c r="H21" s="75">
        <v>0</v>
      </c>
      <c r="I21" s="75">
        <v>0</v>
      </c>
      <c r="J21" s="75">
        <v>0</v>
      </c>
      <c r="K21" s="75">
        <v>1</v>
      </c>
      <c r="L21" s="75">
        <v>0</v>
      </c>
      <c r="M21" s="75">
        <v>1</v>
      </c>
      <c r="N21" s="75">
        <v>0</v>
      </c>
      <c r="O21" s="75">
        <v>1</v>
      </c>
      <c r="P21" s="66">
        <v>0</v>
      </c>
      <c r="Q21" s="75">
        <v>0</v>
      </c>
      <c r="R21" s="67">
        <v>1</v>
      </c>
      <c r="S21"/>
      <c r="T21"/>
    </row>
    <row r="22" spans="1:20" ht="15" customHeight="1" x14ac:dyDescent="0.15">
      <c r="A22" s="75"/>
      <c r="B22" s="86"/>
      <c r="C22" s="89"/>
      <c r="D22" s="79" t="s">
        <v>160</v>
      </c>
      <c r="F22" s="186" t="s">
        <v>209</v>
      </c>
      <c r="G22" s="75">
        <v>0</v>
      </c>
      <c r="H22" s="75">
        <v>0</v>
      </c>
      <c r="I22" s="75">
        <v>0</v>
      </c>
      <c r="J22" s="75">
        <v>0</v>
      </c>
      <c r="K22" s="75">
        <v>1</v>
      </c>
      <c r="L22" s="75">
        <v>0</v>
      </c>
      <c r="M22" s="75">
        <v>1</v>
      </c>
      <c r="N22" s="75">
        <v>0</v>
      </c>
      <c r="O22" s="75">
        <v>1</v>
      </c>
      <c r="P22" s="66">
        <v>0</v>
      </c>
      <c r="Q22" s="75">
        <v>0</v>
      </c>
      <c r="R22" s="67">
        <v>1</v>
      </c>
      <c r="S22"/>
      <c r="T22"/>
    </row>
    <row r="23" spans="1:20" ht="15" customHeight="1" x14ac:dyDescent="0.15">
      <c r="A23" s="75"/>
      <c r="B23" s="86"/>
      <c r="C23" s="90"/>
      <c r="D23" s="79" t="s">
        <v>160</v>
      </c>
      <c r="F23" s="186" t="s">
        <v>210</v>
      </c>
      <c r="G23" s="75">
        <v>0</v>
      </c>
      <c r="H23" s="75">
        <v>0</v>
      </c>
      <c r="I23" s="75">
        <v>0</v>
      </c>
      <c r="J23" s="75">
        <v>0</v>
      </c>
      <c r="K23" s="75">
        <v>1</v>
      </c>
      <c r="L23" s="75">
        <v>0</v>
      </c>
      <c r="M23" s="75">
        <v>1</v>
      </c>
      <c r="N23" s="75">
        <v>0</v>
      </c>
      <c r="O23" s="75">
        <v>1</v>
      </c>
      <c r="P23" s="66">
        <v>0</v>
      </c>
      <c r="Q23" s="75">
        <v>0</v>
      </c>
      <c r="R23" s="67">
        <v>1</v>
      </c>
      <c r="S23"/>
      <c r="T23"/>
    </row>
    <row r="24" spans="1:20" ht="15" customHeight="1" x14ac:dyDescent="0.15">
      <c r="A24" s="75"/>
      <c r="B24" s="86"/>
      <c r="C24" s="90"/>
      <c r="D24" s="79" t="s">
        <v>160</v>
      </c>
      <c r="F24" s="186" t="s">
        <v>211</v>
      </c>
      <c r="G24" s="75">
        <v>0</v>
      </c>
      <c r="H24" s="75">
        <v>0</v>
      </c>
      <c r="I24" s="75">
        <v>0</v>
      </c>
      <c r="J24" s="75">
        <v>0</v>
      </c>
      <c r="K24" s="75">
        <v>1</v>
      </c>
      <c r="L24" s="75">
        <v>0</v>
      </c>
      <c r="M24" s="75">
        <v>1</v>
      </c>
      <c r="N24" s="75">
        <v>0</v>
      </c>
      <c r="O24" s="75">
        <v>1</v>
      </c>
      <c r="P24" s="66">
        <v>0</v>
      </c>
      <c r="Q24" s="75">
        <v>0</v>
      </c>
      <c r="R24" s="67">
        <v>1</v>
      </c>
      <c r="S24"/>
      <c r="T24"/>
    </row>
    <row r="25" spans="1:20" ht="15" customHeight="1" x14ac:dyDescent="0.15">
      <c r="A25" s="75"/>
      <c r="B25" s="86"/>
      <c r="C25" s="74"/>
      <c r="D25" s="79" t="s">
        <v>160</v>
      </c>
      <c r="F25" s="186" t="s">
        <v>212</v>
      </c>
      <c r="G25" s="75">
        <v>0</v>
      </c>
      <c r="H25" s="75">
        <v>0</v>
      </c>
      <c r="I25" s="75">
        <v>0</v>
      </c>
      <c r="J25" s="75">
        <v>0</v>
      </c>
      <c r="K25" s="75">
        <v>1</v>
      </c>
      <c r="L25" s="75">
        <v>0</v>
      </c>
      <c r="M25" s="75">
        <v>1</v>
      </c>
      <c r="N25" s="75">
        <v>0</v>
      </c>
      <c r="O25" s="75">
        <v>1</v>
      </c>
      <c r="P25" s="66">
        <v>0</v>
      </c>
      <c r="Q25" s="75">
        <v>0</v>
      </c>
      <c r="R25" s="67">
        <v>1</v>
      </c>
      <c r="S25"/>
      <c r="T25"/>
    </row>
    <row r="26" spans="1:20" ht="15" customHeight="1" x14ac:dyDescent="0.15">
      <c r="B26" s="86"/>
      <c r="C26" s="74"/>
      <c r="D26" s="79" t="s">
        <v>160</v>
      </c>
      <c r="F26" s="186" t="s">
        <v>213</v>
      </c>
      <c r="G26" s="75">
        <v>0</v>
      </c>
      <c r="H26" s="75">
        <v>0</v>
      </c>
      <c r="I26" s="75">
        <v>0</v>
      </c>
      <c r="J26" s="75">
        <v>0</v>
      </c>
      <c r="K26" s="75">
        <v>1</v>
      </c>
      <c r="L26" s="75">
        <v>0</v>
      </c>
      <c r="M26" s="75">
        <v>1</v>
      </c>
      <c r="N26" s="75">
        <v>0</v>
      </c>
      <c r="O26" s="75">
        <v>1</v>
      </c>
      <c r="P26" s="66">
        <v>0</v>
      </c>
      <c r="Q26" s="75">
        <v>0</v>
      </c>
      <c r="R26" s="67">
        <v>1</v>
      </c>
      <c r="S26"/>
      <c r="T26"/>
    </row>
    <row r="27" spans="1:20" ht="15" customHeight="1" x14ac:dyDescent="0.15">
      <c r="B27" s="86"/>
      <c r="C27" s="74"/>
      <c r="D27" s="79" t="s">
        <v>160</v>
      </c>
      <c r="F27" s="186" t="s">
        <v>214</v>
      </c>
      <c r="G27" s="75">
        <v>0</v>
      </c>
      <c r="H27" s="75">
        <v>0</v>
      </c>
      <c r="I27" s="75">
        <v>0</v>
      </c>
      <c r="J27" s="75">
        <v>0</v>
      </c>
      <c r="K27" s="75">
        <v>1</v>
      </c>
      <c r="L27" s="75">
        <v>0</v>
      </c>
      <c r="M27" s="75">
        <v>1</v>
      </c>
      <c r="N27" s="75">
        <v>0</v>
      </c>
      <c r="O27" s="75">
        <v>1</v>
      </c>
      <c r="P27" s="66">
        <v>0</v>
      </c>
      <c r="Q27" s="75">
        <v>0</v>
      </c>
      <c r="R27" s="67">
        <v>1</v>
      </c>
      <c r="S27"/>
      <c r="T27"/>
    </row>
    <row r="28" spans="1:20" ht="15" customHeight="1" thickBot="1" x14ac:dyDescent="0.2">
      <c r="B28" s="85"/>
      <c r="C28" s="74"/>
      <c r="D28" s="79" t="s">
        <v>160</v>
      </c>
      <c r="F28" s="186" t="s">
        <v>215</v>
      </c>
      <c r="G28" s="75">
        <v>0</v>
      </c>
      <c r="H28" s="75">
        <v>0</v>
      </c>
      <c r="I28" s="75">
        <v>0</v>
      </c>
      <c r="J28" s="75">
        <v>0</v>
      </c>
      <c r="K28" s="75">
        <v>1</v>
      </c>
      <c r="L28" s="75">
        <v>0</v>
      </c>
      <c r="M28" s="75">
        <v>1</v>
      </c>
      <c r="N28" s="75">
        <v>0</v>
      </c>
      <c r="O28" s="75">
        <v>1</v>
      </c>
      <c r="P28" s="66">
        <v>0</v>
      </c>
      <c r="Q28" s="75">
        <v>0</v>
      </c>
      <c r="R28" s="67">
        <v>1</v>
      </c>
      <c r="S28"/>
      <c r="T28"/>
    </row>
    <row r="29" spans="1:20" ht="15" customHeight="1" x14ac:dyDescent="0.15">
      <c r="F29" s="186" t="s">
        <v>216</v>
      </c>
      <c r="G29" s="75">
        <v>0</v>
      </c>
      <c r="H29" s="75">
        <v>0</v>
      </c>
      <c r="I29" s="75">
        <v>0</v>
      </c>
      <c r="J29" s="75">
        <v>0</v>
      </c>
      <c r="K29" s="75">
        <v>1</v>
      </c>
      <c r="L29" s="75">
        <v>0</v>
      </c>
      <c r="M29" s="75">
        <v>1</v>
      </c>
      <c r="N29" s="75">
        <v>0</v>
      </c>
      <c r="O29" s="75">
        <v>1</v>
      </c>
      <c r="P29" s="66">
        <v>0</v>
      </c>
      <c r="Q29" s="75">
        <v>0</v>
      </c>
      <c r="R29" s="67">
        <v>1</v>
      </c>
      <c r="S29"/>
      <c r="T29"/>
    </row>
    <row r="30" spans="1:20" ht="15" customHeight="1" x14ac:dyDescent="0.15">
      <c r="F30" s="186" t="s">
        <v>217</v>
      </c>
      <c r="G30" s="75">
        <v>0</v>
      </c>
      <c r="H30" s="75">
        <v>0</v>
      </c>
      <c r="I30" s="75">
        <v>0</v>
      </c>
      <c r="J30" s="75">
        <v>0</v>
      </c>
      <c r="K30" s="75">
        <v>1</v>
      </c>
      <c r="L30" s="75">
        <v>0</v>
      </c>
      <c r="M30" s="75">
        <v>1</v>
      </c>
      <c r="N30" s="75">
        <v>0</v>
      </c>
      <c r="O30" s="75">
        <v>1</v>
      </c>
      <c r="P30" s="66">
        <v>0</v>
      </c>
      <c r="Q30" s="75">
        <v>0</v>
      </c>
      <c r="R30" s="67">
        <v>1</v>
      </c>
      <c r="S30"/>
      <c r="T30"/>
    </row>
    <row r="31" spans="1:20" ht="15" customHeight="1" x14ac:dyDescent="0.15">
      <c r="A31" s="117"/>
      <c r="B31" s="127" t="s">
        <v>17</v>
      </c>
      <c r="C31" s="127" t="s">
        <v>1</v>
      </c>
      <c r="D31" s="127" t="s">
        <v>161</v>
      </c>
      <c r="E31" s="128" t="s">
        <v>163</v>
      </c>
      <c r="F31" s="186" t="s">
        <v>166</v>
      </c>
      <c r="G31" s="75">
        <v>0</v>
      </c>
      <c r="H31" s="75">
        <v>0</v>
      </c>
      <c r="I31" s="75">
        <v>0</v>
      </c>
      <c r="J31" s="75">
        <v>0</v>
      </c>
      <c r="K31" s="75">
        <v>0</v>
      </c>
      <c r="L31" s="75">
        <v>1</v>
      </c>
      <c r="M31" s="75">
        <v>0</v>
      </c>
      <c r="N31" s="75">
        <v>1</v>
      </c>
      <c r="O31" s="75">
        <v>0</v>
      </c>
      <c r="P31" s="66">
        <v>1</v>
      </c>
      <c r="Q31" s="75">
        <v>0</v>
      </c>
      <c r="R31" s="67">
        <v>1</v>
      </c>
      <c r="S31"/>
      <c r="T31"/>
    </row>
    <row r="32" spans="1:20" ht="15" customHeight="1" x14ac:dyDescent="0.15">
      <c r="A32" s="189" t="s">
        <v>225</v>
      </c>
      <c r="B32" s="87">
        <v>10</v>
      </c>
      <c r="C32" s="87">
        <v>10</v>
      </c>
      <c r="D32" s="87">
        <v>100</v>
      </c>
      <c r="E32" s="118">
        <v>1.4925373134328358E-2</v>
      </c>
      <c r="F32" s="186" t="s">
        <v>218</v>
      </c>
      <c r="G32" s="75">
        <v>0</v>
      </c>
      <c r="H32" s="75">
        <v>0</v>
      </c>
      <c r="I32" s="75">
        <v>0</v>
      </c>
      <c r="J32" s="75">
        <v>0</v>
      </c>
      <c r="K32" s="75">
        <v>1</v>
      </c>
      <c r="L32" s="75">
        <v>0</v>
      </c>
      <c r="M32" s="75">
        <v>1</v>
      </c>
      <c r="N32" s="75">
        <v>0</v>
      </c>
      <c r="O32" s="75">
        <v>1</v>
      </c>
      <c r="P32" s="66">
        <v>0</v>
      </c>
      <c r="Q32" s="75">
        <v>0</v>
      </c>
      <c r="R32" s="67">
        <v>1</v>
      </c>
      <c r="S32"/>
      <c r="T32"/>
    </row>
    <row r="33" spans="1:20" ht="15" customHeight="1" x14ac:dyDescent="0.15">
      <c r="A33" s="189" t="s">
        <v>226</v>
      </c>
      <c r="B33" s="87">
        <v>55</v>
      </c>
      <c r="C33" s="87">
        <v>120</v>
      </c>
      <c r="D33" s="87">
        <v>6600</v>
      </c>
      <c r="E33" s="118">
        <v>0.9850746268656716</v>
      </c>
      <c r="F33" s="186" t="s">
        <v>219</v>
      </c>
      <c r="G33" s="75">
        <v>0</v>
      </c>
      <c r="H33" s="75">
        <v>0</v>
      </c>
      <c r="I33" s="75">
        <v>0</v>
      </c>
      <c r="J33" s="75">
        <v>0</v>
      </c>
      <c r="K33" s="75">
        <v>1</v>
      </c>
      <c r="L33" s="75">
        <v>0</v>
      </c>
      <c r="M33" s="75">
        <v>1</v>
      </c>
      <c r="N33" s="75">
        <v>0</v>
      </c>
      <c r="O33" s="75">
        <v>1</v>
      </c>
      <c r="P33" s="66">
        <v>0</v>
      </c>
      <c r="Q33" s="75">
        <v>0</v>
      </c>
      <c r="R33" s="67">
        <v>1</v>
      </c>
      <c r="S33"/>
      <c r="T33"/>
    </row>
    <row r="34" spans="1:20" ht="15" customHeight="1" x14ac:dyDescent="0.15">
      <c r="A34" s="119"/>
      <c r="B34" s="87"/>
      <c r="C34" s="87"/>
      <c r="D34" s="87"/>
      <c r="E34" s="118"/>
      <c r="F34" s="186" t="s">
        <v>220</v>
      </c>
      <c r="G34" s="75">
        <v>0</v>
      </c>
      <c r="H34" s="75">
        <v>0</v>
      </c>
      <c r="I34" s="75">
        <v>0</v>
      </c>
      <c r="J34" s="75">
        <v>0</v>
      </c>
      <c r="K34" s="75">
        <v>1</v>
      </c>
      <c r="L34" s="75">
        <v>0</v>
      </c>
      <c r="M34" s="75">
        <v>1</v>
      </c>
      <c r="N34" s="75">
        <v>0</v>
      </c>
      <c r="O34" s="75">
        <v>1</v>
      </c>
      <c r="P34" s="66">
        <v>0</v>
      </c>
      <c r="Q34" s="75">
        <v>0</v>
      </c>
      <c r="R34" s="67">
        <v>1</v>
      </c>
      <c r="S34"/>
      <c r="T34"/>
    </row>
    <row r="35" spans="1:20" ht="15" customHeight="1" x14ac:dyDescent="0.15">
      <c r="A35" s="120"/>
      <c r="B35" s="87"/>
      <c r="C35" s="87"/>
      <c r="D35" s="87"/>
      <c r="E35" s="118"/>
      <c r="F35" s="186" t="s">
        <v>221</v>
      </c>
      <c r="G35" s="75">
        <v>0</v>
      </c>
      <c r="H35" s="75">
        <v>0</v>
      </c>
      <c r="I35" s="75">
        <v>0</v>
      </c>
      <c r="J35" s="75">
        <v>0</v>
      </c>
      <c r="K35" s="75">
        <v>1</v>
      </c>
      <c r="L35" s="75">
        <v>0</v>
      </c>
      <c r="M35" s="75">
        <v>1</v>
      </c>
      <c r="N35" s="75">
        <v>0</v>
      </c>
      <c r="O35" s="75">
        <v>1</v>
      </c>
      <c r="P35" s="66">
        <v>0</v>
      </c>
      <c r="Q35" s="75">
        <v>0</v>
      </c>
      <c r="R35" s="67">
        <v>1</v>
      </c>
      <c r="S35"/>
      <c r="T35"/>
    </row>
    <row r="36" spans="1:20" ht="15" customHeight="1" x14ac:dyDescent="0.15">
      <c r="A36" s="121"/>
      <c r="B36" s="87"/>
      <c r="C36" s="87"/>
      <c r="D36" s="87"/>
      <c r="E36" s="118"/>
      <c r="F36" s="186" t="s">
        <v>222</v>
      </c>
      <c r="G36" s="75">
        <v>0</v>
      </c>
      <c r="H36" s="75">
        <v>0</v>
      </c>
      <c r="I36" s="75">
        <v>0</v>
      </c>
      <c r="J36" s="75">
        <v>0</v>
      </c>
      <c r="K36" s="75">
        <v>1</v>
      </c>
      <c r="L36" s="75">
        <v>0</v>
      </c>
      <c r="M36" s="75">
        <v>1</v>
      </c>
      <c r="N36" s="75">
        <v>0</v>
      </c>
      <c r="O36" s="75">
        <v>1</v>
      </c>
      <c r="P36" s="66">
        <v>0</v>
      </c>
      <c r="Q36" s="75">
        <v>0</v>
      </c>
      <c r="R36" s="67">
        <v>1</v>
      </c>
      <c r="S36"/>
      <c r="T36"/>
    </row>
    <row r="37" spans="1:20" ht="15" customHeight="1" x14ac:dyDescent="0.15">
      <c r="A37" s="121"/>
      <c r="B37" s="87"/>
      <c r="C37" s="87"/>
      <c r="D37" s="87"/>
      <c r="E37" s="118"/>
      <c r="F37" s="186" t="s">
        <v>223</v>
      </c>
      <c r="G37" s="75">
        <v>0</v>
      </c>
      <c r="H37" s="75">
        <v>0</v>
      </c>
      <c r="I37" s="75">
        <v>0</v>
      </c>
      <c r="J37" s="75">
        <v>0</v>
      </c>
      <c r="K37" s="75">
        <v>1</v>
      </c>
      <c r="L37" s="75">
        <v>0</v>
      </c>
      <c r="M37" s="75">
        <v>1</v>
      </c>
      <c r="N37" s="75">
        <v>0</v>
      </c>
      <c r="O37" s="75">
        <v>1</v>
      </c>
      <c r="P37" s="66">
        <v>0</v>
      </c>
      <c r="Q37" s="75">
        <v>0</v>
      </c>
      <c r="R37" s="67">
        <v>1</v>
      </c>
      <c r="S37"/>
      <c r="T37"/>
    </row>
    <row r="38" spans="1:20" ht="15" customHeight="1" x14ac:dyDescent="0.15">
      <c r="A38" s="122"/>
      <c r="B38" s="87"/>
      <c r="C38" s="87"/>
      <c r="D38" s="87"/>
      <c r="E38" s="118"/>
      <c r="F38" s="186" t="s">
        <v>224</v>
      </c>
      <c r="G38" s="75">
        <v>0</v>
      </c>
      <c r="H38" s="75">
        <v>0</v>
      </c>
      <c r="I38" s="75">
        <v>0</v>
      </c>
      <c r="J38" s="75">
        <v>0</v>
      </c>
      <c r="K38" s="75">
        <v>1</v>
      </c>
      <c r="L38" s="75">
        <v>0</v>
      </c>
      <c r="M38" s="75">
        <v>1</v>
      </c>
      <c r="N38" s="75">
        <v>0</v>
      </c>
      <c r="O38" s="75">
        <v>1</v>
      </c>
      <c r="P38" s="66">
        <v>0</v>
      </c>
      <c r="Q38" s="75">
        <v>0</v>
      </c>
      <c r="R38" s="67">
        <v>1</v>
      </c>
      <c r="S38"/>
      <c r="T38"/>
    </row>
    <row r="39" spans="1:20" ht="15" customHeight="1" x14ac:dyDescent="0.15">
      <c r="A39" s="122"/>
      <c r="B39" s="87"/>
      <c r="C39" s="87"/>
      <c r="D39" s="87"/>
      <c r="E39" s="118"/>
      <c r="F39" s="186" t="s">
        <v>225</v>
      </c>
      <c r="G39" s="75">
        <v>0</v>
      </c>
      <c r="H39" s="75">
        <v>0</v>
      </c>
      <c r="I39" s="75">
        <v>0</v>
      </c>
      <c r="J39" s="75">
        <v>0</v>
      </c>
      <c r="K39" s="75">
        <v>0</v>
      </c>
      <c r="L39" s="75">
        <v>0</v>
      </c>
      <c r="M39" s="75">
        <v>0</v>
      </c>
      <c r="N39" s="75">
        <v>1</v>
      </c>
      <c r="O39" s="75">
        <v>0</v>
      </c>
      <c r="P39" s="66">
        <v>0</v>
      </c>
      <c r="Q39" s="75">
        <v>0</v>
      </c>
      <c r="R39" s="67">
        <v>1</v>
      </c>
      <c r="S39"/>
      <c r="T39"/>
    </row>
    <row r="40" spans="1:20" ht="15" customHeight="1" x14ac:dyDescent="0.15">
      <c r="A40" s="122"/>
      <c r="B40" s="87"/>
      <c r="C40" s="87"/>
      <c r="D40" s="87"/>
      <c r="E40" s="118"/>
      <c r="F40" s="186" t="s">
        <v>226</v>
      </c>
      <c r="G40" s="75">
        <v>0</v>
      </c>
      <c r="H40" s="75">
        <v>0</v>
      </c>
      <c r="I40" s="75">
        <v>0</v>
      </c>
      <c r="J40" s="75">
        <v>0</v>
      </c>
      <c r="K40" s="75">
        <v>0</v>
      </c>
      <c r="L40" s="75">
        <v>0</v>
      </c>
      <c r="M40" s="75">
        <v>1</v>
      </c>
      <c r="N40" s="75">
        <v>0</v>
      </c>
      <c r="O40" s="75">
        <v>0</v>
      </c>
      <c r="P40" s="66">
        <v>0</v>
      </c>
      <c r="Q40" s="75">
        <v>0</v>
      </c>
      <c r="R40" s="67">
        <v>1</v>
      </c>
      <c r="S40"/>
      <c r="T40"/>
    </row>
    <row r="41" spans="1:20" ht="15" customHeight="1" thickBot="1" x14ac:dyDescent="0.2">
      <c r="A41" s="122"/>
      <c r="B41" s="87"/>
      <c r="C41" s="87"/>
      <c r="D41" s="88"/>
      <c r="E41" s="123"/>
      <c r="F41" s="186" t="s">
        <v>227</v>
      </c>
      <c r="G41" s="75">
        <v>0</v>
      </c>
      <c r="H41" s="75">
        <v>0</v>
      </c>
      <c r="I41" s="75">
        <v>0</v>
      </c>
      <c r="J41" s="75">
        <v>0</v>
      </c>
      <c r="K41" s="75">
        <v>0</v>
      </c>
      <c r="L41" s="75">
        <v>1</v>
      </c>
      <c r="M41" s="75">
        <v>0</v>
      </c>
      <c r="N41" s="75">
        <v>1</v>
      </c>
      <c r="O41" s="75">
        <v>0</v>
      </c>
      <c r="P41" s="66">
        <v>1</v>
      </c>
      <c r="Q41" s="75">
        <v>0</v>
      </c>
      <c r="R41" s="67">
        <v>1</v>
      </c>
      <c r="S41"/>
      <c r="T41"/>
    </row>
    <row r="42" spans="1:20" ht="15" customHeight="1" x14ac:dyDescent="0.15">
      <c r="A42" s="124"/>
      <c r="B42" s="125"/>
      <c r="C42" s="125" t="s">
        <v>162</v>
      </c>
      <c r="D42" s="125">
        <f>SUM(D32:D41)</f>
        <v>6700</v>
      </c>
      <c r="E42" s="126">
        <f>SUM(E32:E41)</f>
        <v>1</v>
      </c>
      <c r="F42" s="186" t="s">
        <v>228</v>
      </c>
      <c r="G42" s="75">
        <v>0</v>
      </c>
      <c r="H42" s="75">
        <v>0</v>
      </c>
      <c r="I42" s="75">
        <v>0</v>
      </c>
      <c r="J42" s="75">
        <v>0</v>
      </c>
      <c r="K42" s="75">
        <v>0</v>
      </c>
      <c r="L42" s="75">
        <v>1</v>
      </c>
      <c r="M42" s="75">
        <v>0</v>
      </c>
      <c r="N42" s="75">
        <v>1</v>
      </c>
      <c r="O42" s="75">
        <v>0</v>
      </c>
      <c r="P42" s="66">
        <v>1</v>
      </c>
      <c r="Q42" s="75">
        <v>0</v>
      </c>
      <c r="R42" s="67">
        <v>1</v>
      </c>
      <c r="S42"/>
      <c r="T42"/>
    </row>
    <row r="43" spans="1:20" ht="15" customHeight="1" x14ac:dyDescent="0.15">
      <c r="A43" s="75"/>
      <c r="F43" s="186" t="s">
        <v>229</v>
      </c>
      <c r="G43" s="75">
        <v>0</v>
      </c>
      <c r="H43" s="75">
        <v>0</v>
      </c>
      <c r="I43" s="75">
        <v>0</v>
      </c>
      <c r="J43" s="75">
        <v>0</v>
      </c>
      <c r="K43" s="75">
        <v>0</v>
      </c>
      <c r="L43" s="75">
        <v>1</v>
      </c>
      <c r="M43" s="75">
        <v>0</v>
      </c>
      <c r="N43" s="75">
        <v>0</v>
      </c>
      <c r="O43" s="75">
        <v>0</v>
      </c>
      <c r="P43" s="66">
        <v>0</v>
      </c>
      <c r="Q43" s="75">
        <v>0</v>
      </c>
      <c r="R43" s="67">
        <v>1</v>
      </c>
      <c r="S43"/>
      <c r="T43"/>
    </row>
    <row r="44" spans="1:20" ht="15" customHeight="1" x14ac:dyDescent="0.15">
      <c r="A44" s="75"/>
      <c r="F44" s="186" t="s">
        <v>230</v>
      </c>
      <c r="G44" s="75">
        <v>0</v>
      </c>
      <c r="H44" s="75">
        <v>0</v>
      </c>
      <c r="I44" s="75">
        <v>0</v>
      </c>
      <c r="J44" s="75">
        <v>0</v>
      </c>
      <c r="K44" s="75">
        <v>0</v>
      </c>
      <c r="L44" s="75">
        <v>1</v>
      </c>
      <c r="M44" s="75">
        <v>0</v>
      </c>
      <c r="N44" s="75">
        <v>0</v>
      </c>
      <c r="O44" s="75">
        <v>0</v>
      </c>
      <c r="P44" s="66">
        <v>0</v>
      </c>
      <c r="Q44" s="75">
        <v>0</v>
      </c>
      <c r="R44" s="67">
        <v>1</v>
      </c>
    </row>
    <row r="45" spans="1:20" ht="15" customHeight="1" x14ac:dyDescent="0.15">
      <c r="A45" s="75"/>
      <c r="F45" s="186" t="s">
        <v>231</v>
      </c>
      <c r="G45" s="75">
        <v>0</v>
      </c>
      <c r="H45" s="75">
        <v>0</v>
      </c>
      <c r="I45" s="75">
        <v>0</v>
      </c>
      <c r="J45" s="75">
        <v>0</v>
      </c>
      <c r="K45" s="75">
        <v>0</v>
      </c>
      <c r="L45" s="75">
        <v>1</v>
      </c>
      <c r="M45" s="75">
        <v>0</v>
      </c>
      <c r="N45" s="75">
        <v>0</v>
      </c>
      <c r="O45" s="75">
        <v>0</v>
      </c>
      <c r="P45" s="66">
        <v>0</v>
      </c>
      <c r="Q45" s="75">
        <v>0</v>
      </c>
      <c r="R45" s="67">
        <v>1</v>
      </c>
    </row>
    <row r="46" spans="1:20" ht="15" customHeight="1" x14ac:dyDescent="0.15">
      <c r="A46" s="75"/>
      <c r="F46" s="186" t="s">
        <v>232</v>
      </c>
      <c r="G46" s="75">
        <v>0</v>
      </c>
      <c r="H46" s="75">
        <v>0</v>
      </c>
      <c r="I46" s="75">
        <v>0</v>
      </c>
      <c r="J46" s="75">
        <v>0</v>
      </c>
      <c r="K46" s="75">
        <v>0</v>
      </c>
      <c r="L46" s="75">
        <v>1</v>
      </c>
      <c r="M46" s="75">
        <v>0</v>
      </c>
      <c r="N46" s="75">
        <v>0</v>
      </c>
      <c r="O46" s="75">
        <v>0</v>
      </c>
      <c r="P46" s="66">
        <v>0</v>
      </c>
      <c r="Q46" s="75">
        <v>0</v>
      </c>
      <c r="R46" s="67">
        <v>1</v>
      </c>
    </row>
    <row r="47" spans="1:20" ht="15" customHeight="1" x14ac:dyDescent="0.15">
      <c r="A47" s="75"/>
      <c r="F47" s="186" t="s">
        <v>233</v>
      </c>
      <c r="G47" s="75">
        <v>0</v>
      </c>
      <c r="H47" s="75">
        <v>0</v>
      </c>
      <c r="I47" s="75">
        <v>0</v>
      </c>
      <c r="J47" s="75">
        <v>0</v>
      </c>
      <c r="K47" s="75">
        <v>0</v>
      </c>
      <c r="L47" s="75">
        <v>1</v>
      </c>
      <c r="M47" s="75">
        <v>0</v>
      </c>
      <c r="N47" s="75">
        <v>0</v>
      </c>
      <c r="O47" s="75">
        <v>0</v>
      </c>
      <c r="P47" s="66">
        <v>0</v>
      </c>
      <c r="Q47" s="75">
        <v>0</v>
      </c>
      <c r="R47" s="67">
        <v>1</v>
      </c>
    </row>
    <row r="48" spans="1:20" ht="15" customHeight="1" x14ac:dyDescent="0.15">
      <c r="A48" s="75"/>
      <c r="F48" s="186" t="s">
        <v>234</v>
      </c>
      <c r="G48" s="75">
        <v>0</v>
      </c>
      <c r="H48" s="75">
        <v>0</v>
      </c>
      <c r="I48" s="75">
        <v>0</v>
      </c>
      <c r="J48" s="75">
        <v>0</v>
      </c>
      <c r="K48" s="75">
        <v>0</v>
      </c>
      <c r="L48" s="75">
        <v>1</v>
      </c>
      <c r="M48" s="75">
        <v>0</v>
      </c>
      <c r="N48" s="75">
        <v>0</v>
      </c>
      <c r="O48" s="75">
        <v>0</v>
      </c>
      <c r="P48" s="66">
        <v>0</v>
      </c>
      <c r="Q48" s="75">
        <v>0</v>
      </c>
      <c r="R48" s="67">
        <v>1</v>
      </c>
    </row>
    <row r="49" spans="6:18" s="75" customFormat="1" ht="15" customHeight="1" x14ac:dyDescent="0.15">
      <c r="F49" s="186" t="s">
        <v>235</v>
      </c>
      <c r="G49" s="75">
        <v>0</v>
      </c>
      <c r="H49" s="75">
        <v>0</v>
      </c>
      <c r="I49" s="75">
        <v>0</v>
      </c>
      <c r="J49" s="75">
        <v>0</v>
      </c>
      <c r="K49" s="75">
        <v>0</v>
      </c>
      <c r="L49" s="75">
        <v>1</v>
      </c>
      <c r="M49" s="75">
        <v>0</v>
      </c>
      <c r="N49" s="75">
        <v>0</v>
      </c>
      <c r="O49" s="75">
        <v>0</v>
      </c>
      <c r="P49" s="66">
        <v>0</v>
      </c>
      <c r="Q49" s="75">
        <v>0</v>
      </c>
      <c r="R49" s="67">
        <v>1</v>
      </c>
    </row>
    <row r="50" spans="6:18" s="75" customFormat="1" ht="15" customHeight="1" x14ac:dyDescent="0.15">
      <c r="F50" s="186" t="s">
        <v>236</v>
      </c>
      <c r="G50" s="75">
        <v>0</v>
      </c>
      <c r="H50" s="75">
        <v>0</v>
      </c>
      <c r="I50" s="75">
        <v>0</v>
      </c>
      <c r="J50" s="75">
        <v>0</v>
      </c>
      <c r="K50" s="75">
        <v>0</v>
      </c>
      <c r="L50" s="75">
        <v>1</v>
      </c>
      <c r="M50" s="75">
        <v>0</v>
      </c>
      <c r="N50" s="75">
        <v>0</v>
      </c>
      <c r="O50" s="75">
        <v>0</v>
      </c>
      <c r="P50" s="66">
        <v>0</v>
      </c>
      <c r="Q50" s="75">
        <v>0</v>
      </c>
      <c r="R50" s="67">
        <v>1</v>
      </c>
    </row>
    <row r="51" spans="6:18" s="75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5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5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5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5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5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5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5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5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5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5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5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5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5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A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3" bestFit="1" customWidth="1"/>
    <col min="2" max="2" width="2.33203125" style="102" customWidth="1"/>
    <col min="3" max="5" width="7.83203125" style="102" customWidth="1"/>
    <col min="6" max="8" width="8.83203125" style="6"/>
    <col min="9" max="9" width="16.6640625" style="6" customWidth="1"/>
    <col min="10" max="10" width="12.5" style="6" customWidth="1"/>
    <col min="11" max="11" width="13.6640625" style="6" customWidth="1"/>
    <col min="12" max="12" width="11.6640625" style="6" customWidth="1"/>
    <col min="13" max="13" width="13.5" style="6" customWidth="1"/>
    <col min="14" max="14" width="14.83203125" style="6" customWidth="1"/>
    <col min="15" max="15" width="12.83203125" style="6" customWidth="1"/>
    <col min="16" max="16" width="21.5" style="6" customWidth="1"/>
    <col min="17" max="17" width="22.83203125" style="6" customWidth="1"/>
    <col min="18" max="18" width="20.83203125" style="6" customWidth="1"/>
    <col min="19" max="19" width="21.6640625" style="6" customWidth="1"/>
    <col min="20" max="20" width="23" style="6" customWidth="1"/>
    <col min="21" max="21" width="21" style="6" customWidth="1"/>
    <col min="22" max="22" width="18.5" style="6" customWidth="1"/>
    <col min="23" max="23" width="19.83203125" style="6" customWidth="1"/>
    <col min="24" max="24" width="17.83203125" style="6" customWidth="1"/>
    <col min="25" max="25" width="6.5" style="6" customWidth="1"/>
    <col min="26" max="26" width="8.5" style="6" customWidth="1"/>
    <col min="27" max="27" width="7.1640625" style="6" customWidth="1"/>
    <col min="28" max="28" width="5.33203125" style="6" customWidth="1"/>
    <col min="29" max="29" width="7.33203125" style="6" customWidth="1"/>
    <col min="30" max="30" width="8.83203125" style="6" customWidth="1"/>
    <col min="31" max="31" width="7.33203125" style="6" customWidth="1"/>
    <col min="32" max="32" width="10.6640625" style="6" customWidth="1"/>
    <col min="33" max="33" width="21.83203125" style="6" customWidth="1"/>
    <col min="34" max="34" width="11.6640625" style="6" customWidth="1"/>
    <col min="35" max="35" width="5.83203125" style="6" customWidth="1"/>
    <col min="36" max="36" width="7.83203125" style="6" customWidth="1"/>
    <col min="37" max="37" width="7.5" style="6" customWidth="1"/>
    <col min="38" max="38" width="11.33203125" style="6" customWidth="1"/>
    <col min="39" max="39" width="14.33203125" customWidth="1"/>
    <col min="40" max="40" width="12.33203125" customWidth="1"/>
    <col min="41" max="41" width="18.33203125" customWidth="1"/>
    <col min="42" max="42" width="10.83203125" customWidth="1"/>
    <col min="43" max="43" width="13.1640625" customWidth="1"/>
    <col min="44" max="44" width="7.6640625" customWidth="1"/>
    <col min="45" max="45" width="21.6640625" customWidth="1"/>
    <col min="46" max="46" width="15.5" customWidth="1"/>
    <col min="47" max="47" width="14.1640625" customWidth="1"/>
    <col min="48" max="48" width="5.5" customWidth="1"/>
    <col min="49" max="49" width="7.5" customWidth="1"/>
    <col min="50" max="50" width="5.1640625" customWidth="1"/>
    <col min="51" max="51" width="7.1640625" customWidth="1"/>
    <col min="52" max="52" width="8" customWidth="1"/>
    <col min="53" max="53" width="6" customWidth="1"/>
    <col min="81" max="81" width="22.1640625" bestFit="1" customWidth="1"/>
  </cols>
  <sheetData>
    <row r="1" spans="1:53" x14ac:dyDescent="0.15">
      <c r="A1" s="4" t="s">
        <v>156</v>
      </c>
      <c r="B1" s="34" t="s">
        <v>157</v>
      </c>
      <c r="C1" s="34" t="s">
        <v>17</v>
      </c>
      <c r="D1" s="34" t="s">
        <v>158</v>
      </c>
      <c r="E1" s="34" t="s">
        <v>159</v>
      </c>
      <c r="F1" t="s">
        <v>38</v>
      </c>
      <c r="G1" t="s">
        <v>40</v>
      </c>
      <c r="H1" t="s">
        <v>41</v>
      </c>
      <c r="I1" s="191" t="s">
        <v>193</v>
      </c>
      <c r="J1" s="191" t="s">
        <v>194</v>
      </c>
      <c r="K1" s="191" t="s">
        <v>195</v>
      </c>
      <c r="L1" s="191" t="s">
        <v>196</v>
      </c>
      <c r="M1" s="191" t="s">
        <v>197</v>
      </c>
      <c r="N1" s="191" t="s">
        <v>198</v>
      </c>
      <c r="O1" s="191" t="s">
        <v>199</v>
      </c>
      <c r="P1" s="191" t="s">
        <v>200</v>
      </c>
      <c r="Q1" s="191" t="s">
        <v>201</v>
      </c>
      <c r="R1" s="191" t="s">
        <v>202</v>
      </c>
      <c r="S1" s="191" t="s">
        <v>203</v>
      </c>
      <c r="T1" s="191" t="s">
        <v>204</v>
      </c>
      <c r="U1" s="191" t="s">
        <v>205</v>
      </c>
      <c r="V1" s="191" t="s">
        <v>206</v>
      </c>
      <c r="W1" s="191" t="s">
        <v>207</v>
      </c>
      <c r="X1" s="191" t="s">
        <v>208</v>
      </c>
      <c r="Y1" s="191" t="s">
        <v>209</v>
      </c>
      <c r="Z1" s="191" t="s">
        <v>210</v>
      </c>
      <c r="AA1" s="191" t="s">
        <v>211</v>
      </c>
      <c r="AB1" s="191" t="s">
        <v>212</v>
      </c>
      <c r="AC1" s="191" t="s">
        <v>213</v>
      </c>
      <c r="AD1" s="191" t="s">
        <v>214</v>
      </c>
      <c r="AE1" s="191" t="s">
        <v>215</v>
      </c>
      <c r="AF1" s="191" t="s">
        <v>216</v>
      </c>
      <c r="AG1" s="191" t="s">
        <v>217</v>
      </c>
      <c r="AH1" s="191" t="s">
        <v>166</v>
      </c>
      <c r="AI1" s="191" t="s">
        <v>218</v>
      </c>
      <c r="AJ1" s="191" t="s">
        <v>219</v>
      </c>
      <c r="AK1" s="191" t="s">
        <v>220</v>
      </c>
      <c r="AL1" s="191" t="s">
        <v>221</v>
      </c>
      <c r="AM1" s="191" t="s">
        <v>222</v>
      </c>
      <c r="AN1" s="191" t="s">
        <v>223</v>
      </c>
      <c r="AO1" s="191" t="s">
        <v>224</v>
      </c>
      <c r="AP1" s="191" t="s">
        <v>225</v>
      </c>
      <c r="AQ1" s="191" t="s">
        <v>226</v>
      </c>
      <c r="AR1" s="191" t="s">
        <v>227</v>
      </c>
      <c r="AS1" s="191" t="s">
        <v>228</v>
      </c>
      <c r="AT1" s="191" t="s">
        <v>229</v>
      </c>
      <c r="AU1" s="191" t="s">
        <v>230</v>
      </c>
      <c r="AV1" s="191" t="s">
        <v>231</v>
      </c>
      <c r="AW1" s="191" t="s">
        <v>232</v>
      </c>
      <c r="AX1" s="191" t="s">
        <v>233</v>
      </c>
      <c r="AY1" s="191" t="s">
        <v>234</v>
      </c>
      <c r="AZ1" s="191" t="s">
        <v>235</v>
      </c>
      <c r="BA1" s="191" t="s">
        <v>236</v>
      </c>
    </row>
    <row r="2" spans="1:53" x14ac:dyDescent="0.15">
      <c r="A2" t="s">
        <v>38</v>
      </c>
      <c r="B2" s="10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3" x14ac:dyDescent="0.15">
      <c r="A3" t="s">
        <v>40</v>
      </c>
      <c r="B3" s="10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3" x14ac:dyDescent="0.15">
      <c r="A4" t="s">
        <v>41</v>
      </c>
      <c r="B4" s="10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3" x14ac:dyDescent="0.15">
      <c r="A5" s="190" t="s">
        <v>193</v>
      </c>
      <c r="B5" s="10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3" x14ac:dyDescent="0.15">
      <c r="A6" s="190" t="s">
        <v>194</v>
      </c>
      <c r="B6" s="10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3" x14ac:dyDescent="0.15">
      <c r="A7" s="190" t="s">
        <v>195</v>
      </c>
      <c r="B7" s="10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3" x14ac:dyDescent="0.15">
      <c r="A8" s="190" t="s">
        <v>196</v>
      </c>
      <c r="B8" s="10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3" x14ac:dyDescent="0.15">
      <c r="A9" s="190" t="s">
        <v>197</v>
      </c>
      <c r="B9" s="10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3" x14ac:dyDescent="0.15">
      <c r="A10" s="190" t="s">
        <v>198</v>
      </c>
      <c r="B10" s="10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3" x14ac:dyDescent="0.15">
      <c r="A11" s="190" t="s">
        <v>199</v>
      </c>
      <c r="B11" s="10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3" x14ac:dyDescent="0.15">
      <c r="A12" s="190" t="s">
        <v>200</v>
      </c>
      <c r="B12" s="10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3" x14ac:dyDescent="0.15">
      <c r="A13" s="190" t="s">
        <v>201</v>
      </c>
      <c r="B13" s="10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3" x14ac:dyDescent="0.15">
      <c r="A14" s="190" t="s">
        <v>202</v>
      </c>
      <c r="B14" s="10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3" x14ac:dyDescent="0.15">
      <c r="A15" s="190" t="s">
        <v>203</v>
      </c>
      <c r="B15" s="10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3" x14ac:dyDescent="0.15">
      <c r="A16" s="190" t="s">
        <v>204</v>
      </c>
      <c r="B16" s="10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0" t="s">
        <v>205</v>
      </c>
      <c r="B17" s="10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0" t="s">
        <v>206</v>
      </c>
      <c r="B18" s="10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0" t="s">
        <v>207</v>
      </c>
      <c r="B19" s="10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0" t="s">
        <v>208</v>
      </c>
      <c r="B20" s="10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0" t="s">
        <v>209</v>
      </c>
      <c r="B21" s="10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0" t="s">
        <v>210</v>
      </c>
      <c r="B22" s="10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0" t="s">
        <v>211</v>
      </c>
      <c r="B23" s="10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0" t="s">
        <v>212</v>
      </c>
      <c r="B24" s="10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0" t="s">
        <v>213</v>
      </c>
      <c r="B25" s="10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0" t="s">
        <v>214</v>
      </c>
      <c r="B26" s="10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0" t="s">
        <v>215</v>
      </c>
      <c r="B27" s="10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0" t="s">
        <v>216</v>
      </c>
      <c r="B28" s="10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0" t="s">
        <v>217</v>
      </c>
      <c r="B29" s="10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0" t="s">
        <v>166</v>
      </c>
      <c r="B30" s="10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0" t="s">
        <v>218</v>
      </c>
      <c r="B31" s="10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0" t="s">
        <v>219</v>
      </c>
      <c r="B32" s="10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0" t="s">
        <v>220</v>
      </c>
      <c r="B33" s="10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0" t="s">
        <v>221</v>
      </c>
      <c r="B34" s="102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0" t="s">
        <v>222</v>
      </c>
      <c r="B35" s="102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0" t="s">
        <v>223</v>
      </c>
      <c r="B36" s="102">
        <v>0</v>
      </c>
      <c r="C36"/>
      <c r="D36"/>
    </row>
    <row r="37" spans="1:38" ht="15" customHeight="1" x14ac:dyDescent="0.15">
      <c r="A37" s="190" t="s">
        <v>224</v>
      </c>
      <c r="B37" s="102">
        <v>0</v>
      </c>
      <c r="C37"/>
      <c r="D37"/>
    </row>
    <row r="38" spans="1:38" ht="15" customHeight="1" x14ac:dyDescent="0.15">
      <c r="A38" s="190" t="s">
        <v>225</v>
      </c>
      <c r="B38" s="102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0" t="s">
        <v>226</v>
      </c>
      <c r="B39" s="102">
        <v>0</v>
      </c>
      <c r="C39"/>
      <c r="D39"/>
    </row>
    <row r="40" spans="1:38" ht="15" customHeight="1" x14ac:dyDescent="0.15">
      <c r="A40" s="190" t="s">
        <v>227</v>
      </c>
      <c r="B40" s="102">
        <v>0</v>
      </c>
      <c r="C40"/>
      <c r="D40"/>
    </row>
    <row r="41" spans="1:38" ht="15" customHeight="1" x14ac:dyDescent="0.15">
      <c r="A41" s="190" t="s">
        <v>228</v>
      </c>
      <c r="B41" s="102">
        <v>0</v>
      </c>
      <c r="C41"/>
      <c r="D41"/>
    </row>
    <row r="42" spans="1:38" ht="15" customHeight="1" x14ac:dyDescent="0.15">
      <c r="A42" s="190" t="s">
        <v>229</v>
      </c>
      <c r="B42" s="102">
        <v>0</v>
      </c>
    </row>
    <row r="43" spans="1:38" ht="15" customHeight="1" x14ac:dyDescent="0.15">
      <c r="A43" s="190" t="s">
        <v>230</v>
      </c>
      <c r="B43" s="102">
        <v>0</v>
      </c>
    </row>
    <row r="44" spans="1:38" ht="15" customHeight="1" x14ac:dyDescent="0.15">
      <c r="A44" s="190" t="s">
        <v>231</v>
      </c>
      <c r="B44" s="102">
        <v>0</v>
      </c>
    </row>
    <row r="45" spans="1:38" ht="15" customHeight="1" x14ac:dyDescent="0.15">
      <c r="A45" s="190" t="s">
        <v>232</v>
      </c>
      <c r="B45" s="102">
        <v>0</v>
      </c>
    </row>
    <row r="46" spans="1:38" ht="15" customHeight="1" x14ac:dyDescent="0.15">
      <c r="A46" s="190" t="s">
        <v>233</v>
      </c>
      <c r="B46" s="102">
        <v>0</v>
      </c>
    </row>
    <row r="47" spans="1:38" ht="15" customHeight="1" x14ac:dyDescent="0.15">
      <c r="A47" s="190" t="s">
        <v>234</v>
      </c>
      <c r="B47" s="102">
        <v>0</v>
      </c>
    </row>
    <row r="48" spans="1:38" ht="15" customHeight="1" x14ac:dyDescent="0.15">
      <c r="A48" s="190" t="s">
        <v>235</v>
      </c>
      <c r="B48" s="102">
        <v>0</v>
      </c>
    </row>
    <row r="49" spans="1:38" ht="15" customHeight="1" x14ac:dyDescent="0.15">
      <c r="A49" s="190" t="s">
        <v>236</v>
      </c>
      <c r="B49" s="102">
        <v>0</v>
      </c>
    </row>
    <row r="50" spans="1:38" ht="15" customHeight="1" x14ac:dyDescent="0.15"/>
    <row r="51" spans="1:38" ht="15" customHeight="1" x14ac:dyDescent="0.15"/>
    <row r="52" spans="1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2022-10-23T22:49:42Z</dcterms:modified>
</cp:coreProperties>
</file>