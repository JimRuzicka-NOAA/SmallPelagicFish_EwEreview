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?><Relationships xmlns="http://schemas.openxmlformats.org/package/2006/relationships"><Relationship Target="docProps/app.xml" Type="http://schemas.openxmlformats.org/officeDocument/2006/relationships/extended-properties" Id="rId3"/><Relationship Target="docProps/core.xml" Type="http://schemas.openxmlformats.org/package/2006/relationships/metadata/core-properties" Id="rId2"/><Relationship Target="xl/workbook.xml" Type="http://schemas.openxmlformats.org/officeDocument/2006/relationships/officeDocument" Id="rId1"/></Relationships>
</file>

<file path=xl/workbook.xml><?xml version="1.0" encoding="utf-8"?>
<workbook xmlns:r="http://schemas.openxmlformats.org/officeDocument/2006/relationships" xmlns="http://schemas.openxmlformats.org/spreadsheetml/2006/main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false" codeName="ThisWorkbook" checkCompatibility="true" autoCompressPictures="false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BASE_ManualEntries_READ/"/>
    </mc:Choice>
  </mc:AlternateContent>
  <xr:revisionPtr revIDLastSave="0" documentId="13_ncr:1_{88126D9D-398D-E64D-94A0-71EB9E7AE0D3}" xr6:coauthVersionLast="45" xr6:coauthVersionMax="45" xr10:uidLastSave="{00000000-0000-0000-0000-000000000000}"/>
  <bookViews>
    <workbookView xWindow="0" yWindow="460" windowWidth="25600" windowHeight="14240" tabRatio="728" firstSheet="8" activeTab="15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Main!$C$2:$N$57</definedName>
    <definedName name="matDetritus">Detritus!$C$2:$G$57</definedName>
    <definedName name="matDiet">Diets!$B$2:$AY$56</definedName>
    <definedName name="matDiscards">Discards!$C$2:$D$55</definedName>
    <definedName name="matFishery">Fishing!$C$2:$D$55</definedName>
    <definedName name="matFishing">Fishing!#REF!</definedName>
    <definedName name="matMort">Mortalities!$A$1:$BG$55</definedName>
    <definedName name="matOut">MainOutputs!$A$2:$I$57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 fullCalcOnLoad="true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<sst xmlns="http://schemas.openxmlformats.org/spreadsheetml/2006/main" count="1501" uniqueCount="305">
  <si>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</si>
  <si>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</si>
  <si>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</si>
  <si>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</si>
  <si>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</si>
  <si>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</si>
  <si>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</si>
  <si>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</si>
  <si>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</si>
  <si>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</si>
  <si>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</si>
  <si>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</si>
  <si>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TOTAL</t>
  </si>
  <si>
    <t>TL</t>
  </si>
  <si>
    <t>Biomass</t>
  </si>
  <si>
    <t>EE</t>
  </si>
  <si>
    <t>Mortalities</t>
  </si>
  <si>
    <t>M0</t>
  </si>
  <si>
    <t>B</t>
  </si>
  <si>
    <t>MAIN INPUTS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</si>
  <si>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</si>
  <si>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</si>
  <si>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</si>
  <si>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</si>
  <si>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</si>
  <si>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</si>
  <si>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</si>
  <si>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</si>
  <si>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</si>
  <si>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</si>
  <si>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</si>
  <si>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</si>
  <si>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</si>
  <si>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</si>
  <si>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</si>
  <si>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</si>
  <si>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</si>
  <si>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</si>
  <si>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</si>
  <si>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</si>
  <si>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</si>
  <si>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</si>
  <si>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</si>
  <si>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</si>
  <si>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</si>
  <si>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</si>
  <si>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</si>
  <si>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</si>
  <si>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</si>
  <si>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</si>
  <si>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</si>
  <si>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</si>
  <si>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</si>
  <si>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</si>
  <si>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</si>
  <si>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</si>
  <si>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</si>
  <si>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</si>
  <si>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</si>
  <si>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</si>
  <si>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</si>
  <si>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sum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</si>
  <si>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</si>
  <si>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</si>
  <si>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</si>
  <si>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</si>
  <si>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</si>
  <si>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</si>
  <si>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</si>
  <si>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</si>
  <si>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</si>
  <si>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</si>
  <si>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</si>
  <si>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</si>
  <si>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</si>
  <si>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</si>
  <si>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</si>
  <si>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</si>
  <si>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</si>
  <si>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</si>
  <si>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</si>
  <si>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</si>
  <si>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</si>
  <si>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</si>
  <si>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</si>
  <si>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</si>
  <si>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</si>
  <si>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</si>
  <si>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</si>
  <si>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</si>
  <si>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</si>
  <si>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</si>
  <si>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</si>
  <si>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</si>
  <si>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</si>
  <si>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</si>
  <si>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</si>
  <si>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</si>
  <si>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</si>
  <si>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</si>
  <si>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</si>
  <si>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</si>
  <si>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</si>
  <si>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</si>
  <si>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</si>
  <si>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</si>
  <si>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</si>
  <si>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</si>
  <si>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</si>
  <si>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</si>
  <si>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</si>
  <si>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</si>
  <si>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</si>
  <si>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</si>
  <si>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</si>
  <si>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</si>
  <si>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</si>
  <si>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</si>
  <si>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</si>
  <si>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</si>
  <si>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</si>
  <si>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</si>
  <si>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</si>
  <si>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</si>
  <si>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</si>
  <si>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</si>
  <si>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</si>
  <si>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</si>
  <si>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</si>
  <si>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</si>
  <si>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</si>
  <si>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</si>
  <si>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</si>
  <si>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</si>
  <si>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</si>
  <si>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</si>
  <si>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</si>
  <si>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</si>
  <si>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</si>
  <si>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</si>
  <si>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</si>
  <si>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</si>
  <si>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</si>
  <si>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</si>
  <si>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</si>
  <si>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</si>
  <si>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</si>
  <si>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</si>
  <si>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</si>
  <si>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</si>
  <si>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</si>
  <si>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</si>
  <si>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</si>
  <si>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export</t>
  </si>
  <si>
    <t>&lt;-NOTE: BA &amp; EM at very end</t>
  </si>
  <si>
    <t>RetentionScaler</t>
  </si>
  <si>
    <t>( 0 = more advection &lt;--&gt; less advection =1)</t>
  </si>
  <si>
    <t>Functional Response</t>
  </si>
  <si>
    <t>A</t>
  </si>
  <si>
    <t>C</t>
  </si>
  <si>
    <t>D</t>
  </si>
  <si>
    <t>NOTE: "EL"; linear = 0; non-linear =1</t>
  </si>
  <si>
    <t>import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</si>
  <si>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</si>
  <si>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</si>
  <si>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</si>
  <si>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</si>
  <si>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</si>
  <si>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</si>
  <si>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</si>
  <si>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</si>
  <si>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</si>
  <si>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source notes</t>
  </si>
  <si>
    <t>pelagic bacteria</t>
  </si>
  <si>
    <t>benthic bacteria</t>
  </si>
  <si>
    <t>phytoplankton</t>
  </si>
  <si>
    <t>seagrass and macroalgae</t>
  </si>
  <si>
    <t>microzoo</t>
  </si>
  <si>
    <t>euphausiids</t>
  </si>
  <si>
    <t>fish larvae</t>
  </si>
  <si>
    <t>penaeid shrimp</t>
  </si>
  <si>
    <t>gelatinous filter feeders</t>
  </si>
  <si>
    <t>anchovies</t>
  </si>
  <si>
    <t>Atlantic bumper</t>
  </si>
  <si>
    <t>butterfishes</t>
  </si>
  <si>
    <t>eels</t>
  </si>
  <si>
    <t>herrings</t>
  </si>
  <si>
    <t>gulf menhaden</t>
  </si>
  <si>
    <t>mullet</t>
  </si>
  <si>
    <t>red drum</t>
  </si>
  <si>
    <t>snapper_grouper</t>
  </si>
  <si>
    <t>skates and rays</t>
  </si>
  <si>
    <t>mesopelagic</t>
  </si>
  <si>
    <t>small flatfish</t>
  </si>
  <si>
    <t>large flatfish</t>
  </si>
  <si>
    <t>large coastal sharks</t>
  </si>
  <si>
    <t>small coastal sharks</t>
  </si>
  <si>
    <t>offshore sharks</t>
  </si>
  <si>
    <t>reef invert feeder</t>
  </si>
  <si>
    <t>reef piscivore</t>
  </si>
  <si>
    <t>small pelagics</t>
  </si>
  <si>
    <t>large pelagics</t>
  </si>
  <si>
    <t>small demersal</t>
  </si>
  <si>
    <t>large demersal</t>
  </si>
  <si>
    <t>small squids</t>
  </si>
  <si>
    <t>blue crab</t>
  </si>
  <si>
    <t>suspension feeders</t>
  </si>
  <si>
    <t>benthic infauna</t>
  </si>
  <si>
    <t>bivalves</t>
  </si>
  <si>
    <t>benthic epifauna</t>
  </si>
  <si>
    <t>brown pelican</t>
  </si>
  <si>
    <t>terns</t>
  </si>
  <si>
    <t>black skimmer</t>
  </si>
  <si>
    <t>green sea turtle</t>
  </si>
  <si>
    <t>loggerhead sea turtle</t>
  </si>
  <si>
    <t>leatherback sea turtle</t>
  </si>
  <si>
    <t>dolphins</t>
  </si>
  <si>
    <t>odontocetes</t>
  </si>
  <si>
    <t>baleen whales</t>
  </si>
  <si>
    <t>fish eggs</t>
  </si>
  <si>
    <t>lg copepods</t>
  </si>
  <si>
    <t>sm copepods</t>
  </si>
  <si>
    <t>other mesozoo</t>
  </si>
  <si>
    <t>lg jellyfish</t>
  </si>
  <si>
    <t>sm gelatinous carnivores</t>
  </si>
  <si>
    <t>sm flatfish</t>
  </si>
  <si>
    <t>lg flatfish</t>
  </si>
  <si>
    <t>lg coastal sharks</t>
  </si>
  <si>
    <t>sm coastal sharks</t>
  </si>
  <si>
    <t>sm pelagics</t>
  </si>
  <si>
    <t>lg pelagics</t>
  </si>
  <si>
    <t>sm demersal</t>
  </si>
  <si>
    <t>lg demersal</t>
  </si>
  <si>
    <t>sm squids</t>
  </si>
  <si>
    <t>PB: based on Browder 1990 254.06</t>
  </si>
  <si>
    <t>PB: mean of seagrass and algae from Geers et al. 2014</t>
  </si>
  <si>
    <t>PB=100 from Sorokin (1987 in Opitz 1993), and the Q/B value (215 year-1) is from Opitz (1993); In NCC JR used PB=150 on assumption that micrograzer PB should approach that of phytoplankton &amp; PQ=0.35 from {Aydin, 2007 #1413} GoA: 0.35 (default growth efficiency of 0.35 applied to all pelagic zooplankton); I believe that this 100 is in good range; Unassim: (1-0.9) where 90% AE from Pomeroy, LR. 2001. Caught in the food web: complexity made simple? Sci. Mar. 65 (Suppl. 2): 31-40.</t>
  </si>
  <si>
    <t>PB: PB = 27 based on Hirst 2003 adult broadcast spawner copepod, function of 14.89ugC &amp; 25C</t>
  </si>
  <si>
    <t>B: from Okey et al. 2004; PB: based on Hirst 2003 adult broadcast spawner copepod, function of 0.67ugC &amp; 25C</t>
  </si>
  <si>
    <t>PB: based on Hirst 2003, non-copepod crustacean, function of 550ugC &amp; 25C</t>
  </si>
  <si>
    <t>PB =19 based on Hirst 2003, non-copepod crustacean, function of 705ugC &amp; 25C; (set for amphipods which represent 74% of other mesozoop group); Atl PB =58.73 based on Hirst 2003, function of size, other decapod zoea (58.73ugC) &amp; 15C; Alt PB =31.6 based on Hirst 2003, non-copepod crustacean, function of 163.53ugC &amp; 25C; (set for crab zoea which represent 80% of other mesozoop group);</t>
  </si>
  <si>
    <t>PB: PB = 90.45 (G = 0.2214 using Houde and Zastrow eq for shelf larvae G = -0.0236+0.0098*T, where T = 25C, PB = e^G-1 from Hirst 2003) Alt PB = 50.45, lab expt on northern anchovy (Theilacker 1987); consider alt values PB=15, QB: QB=110 from southwestern GoM EwE model (De-La Cruz-Aguero 1993)</t>
  </si>
  <si>
    <t>PB of 14.68 from Browder 1990; Alt PB = 2.4 from Geers et al. 2014; Alt PB of 1.24 based on Hirst 2003, function of size, brown shrimp (2218416.23ugC) &amp; 15C; QB = 19.2 from Geers et al. 2012</t>
  </si>
  <si>
    <t>B: alternative biomass is 20.6148 (mean from log-normal distribution); Alt PB =40: Monty Graham(based on mean annual growth rate of 0.11/day), PB of 18.25 is using the approximate growth rate of Aurelia &gt;10cm in bell diameter-Fig 7 in Hansson 1998)(PB=0.05 d-1*365); QB: "approximately 80 year-1 assuming a maximum turnover of once every 5 days and an assimilation efficiency of 0.9 (see Purcell 1983)" (=365/5 * 1/0.9); Alt QB from Ruzicka NCC</t>
  </si>
  <si>
    <t>PB: based Hirst 2003 for salp 1350.83ug @ 15C</t>
  </si>
  <si>
    <t>PB: average of chaetognath and Mnemiopsis; based on Robinson &amp; Graham 2014 max growth rate for Mnemiopsis 0.039d-1*365 (@22C)=14.235; alt PB of 25.42 based Hirst 2003 for chaetognath 1550.69ug @ 15C</t>
  </si>
  <si>
    <t>PB from Geers et al. 2014; Alt PB of 1.05.</t>
  </si>
  <si>
    <t>QB: original; QB other EwE</t>
  </si>
  <si>
    <t>PB: M FishBase; QB: FishBase</t>
  </si>
  <si>
    <t>Alt B = 0.0052438*1.25*15; PB &amp; QB: Browder model (demersal predators)</t>
  </si>
  <si>
    <t>PB &amp; QB: Atlantic threadfin from other EwE model</t>
  </si>
  <si>
    <t>PB &amp; QB: Brevoortia spp. From other EwE model</t>
  </si>
  <si>
    <t>PB: striped mullet from Z; QB: from other EwE; Walters PB for mullet range: 3 (0-6 mullet); 1.8 (6-18 mullet); 0.8 (18+mullet)</t>
  </si>
  <si>
    <t>PB: other EwE model; QB: from Palormares &amp; Pauly eqtn.</t>
  </si>
  <si>
    <t>PB &amp; QB: snapper group, from other EwE</t>
  </si>
  <si>
    <t>PB = 0.38 from 'Skates and Rays' Geers et al. 2008; Alt QB = 4 from 'Skates and Rays' Geers et al. 2008; Alt PB = 0.2 and QB = 7.84 rays &amp; skates group, from other EwE model</t>
  </si>
  <si>
    <t>PB: M FishBase; QB: sand perch, Palomares equation</t>
  </si>
  <si>
    <t>Alt B = 0.0239454*1.25*2; PB = 0.55 from Fitzhugh et al. 2008 for male gulf flounder (Z is equal to PB); Atl PB = 0.775 from Geers et al. 2012; Alt PB = 0.3: other EwE model</t>
  </si>
  <si>
    <t>PB: scallopped hammerhead PB=Z; QB: Palomares eqtn</t>
  </si>
  <si>
    <t>PB: Atlantic sharpnose, other EwE; QB = 4.7 from Geers et al. 2014; Atl QB = 6.4 Vidal model</t>
  </si>
  <si>
    <t>PB: scallpped hammerhead PB=Z; QB: Palomares eqtn</t>
  </si>
  <si>
    <t>PB:M  dwarf sandperch, fishbase ; QB: dwarf sandperch, Palomares equation</t>
  </si>
  <si>
    <t>PB: great barracuda, Z; QB: great barracuda, Brown et al. 1991</t>
  </si>
  <si>
    <t>B = 1.1850174*1.25*2; PB = 2.60 from Okey et al. 2002; Atl PB = 2.443 from Geer et al. 2008 (Anchovies etc) Atl PB = 1.06 Atlantic cutlassfish, Browder model pelagic predators; QB: Atlantic cutlassfish, Brown et al. 1991</t>
  </si>
  <si>
    <r>
      <t xml:space="preserve">PB = 10.2 Spanish mackerel, Legult (1998) VPA mort; QB = 5.40 for +6 mackerels from Geer et al. 2014; Alt PB of 0.41 (source unknown); QB: Spanish mackerel, other GoM EwE models: Alt </t>
    </r>
    <r>
      <rPr>
        <b/>
        <sz val="10"/>
        <rFont val="Arial"/>
        <family val="2"/>
      </rPr>
      <t>PB = 0.70 for +6 mackerels from Geers et al. 2014</t>
    </r>
  </si>
  <si>
    <t>PB = 1.58 from Geers et al. 2012 (max PB for' other demersal fishes' citing Vega-Cendejas et al. 1993); Alt PB = 1.065 from 'Other demersal fishes' from Geers et al. 2014; Alt PB = 0.35: for Atlantic croaker, other GoMEX EwE model ; QB = 10.00 from Geers et al. 2008 (citing Walters et al. 2008); Alt QB = 5.41 for Atlantic croaker, Palomares equation</t>
  </si>
  <si>
    <t>PB = 1.065 from 'Other demersal fishes' from Geers et al. 2014; Alt PB = 0.578 for Black Drum from Geers et al. 2014; Alt PB = 1.58 from Geers et al. 2012 (max other demersal PB, citing Vega-Cendejas et al. 1993); Atl PB 0.35 for Pogonias cromis, other GoMEX EwE; QB = 3.67 for Pogonias cromis (black drum) Palomares equation; Alt PB = 0.5 (Z = 0.5 from bluefin tilefish, SEDAR 32-RW02, 2013); B scaled by 1.25 for 80% net efficiency and then by 8 to match Geers et al. 2012 estimate</t>
  </si>
  <si>
    <t>QB = 10; Atl QB = 36.5 (from squids in Okey et al. 2008, citing Mendoza, J. J. 1993. A preliminary biomass budget for the northeastern Venezuela shelf ecosystem, p. 285-297). In V. Christensen and D. Pauly (eds.) Trophic models of aquatic ecosystems. ICLARMConf. Proc. 26, 390 p.</t>
  </si>
  <si>
    <t>PB = 2.4 from Geer et al. 2012 first; Atl option is "P/B value 1.12 is equivalent to total mortality from GSFMC, in press. Q/B (consumption/biomass) used for this composite group (8.5 year-1) is an independently-estimated parameter used in an Ecopath model of the nearby Yucatan continental shelf (Arreguín-Sánchez et al. 1993)"</t>
  </si>
  <si>
    <r>
      <t xml:space="preserve">PB: Other EwE model; "The P/B value of sessile epibenthos on the West Florida Shelf (0.8 </t>
    </r>
    <r>
      <rPr>
        <sz val="10"/>
        <rFont val="Letter Gothic Std"/>
      </rPr>
      <t>⋅</t>
    </r>
    <r>
      <rPr>
        <sz val="10"/>
        <rFont val="Arial"/>
        <family val="2"/>
      </rPr>
      <t xml:space="preserve">year-1) is from Odum and Odum (1955) and Sorokin (1987) in Opitz (1993)."; QB: other EwE model; "The Q/B value (9 </t>
    </r>
    <r>
      <rPr>
        <sz val="10"/>
        <rFont val="Letter Gothic Std"/>
      </rPr>
      <t>⋅</t>
    </r>
    <r>
      <rPr>
        <sz val="10"/>
        <rFont val="Arial"/>
        <family val="2"/>
      </rPr>
      <t>year-1) is the mean of sponges (based on Wilkinson 1987) and corals (based on Sorokin 1987) also in Opitz (1993)." Unassim from Okey et al. 2002</t>
    </r>
  </si>
  <si>
    <t>PB: Schwinghamer et al. (1986); PQ: assumed as maximum; Unassim from Okey et al. 2002</t>
  </si>
  <si>
    <t xml:space="preserve">PB from Meg Geocker literature synthesis; QB; Unassim: Okey et al. 2002; </t>
  </si>
  <si>
    <r>
      <t>PB: from GoA model {Aydin, 2007 #1413}; An estimate of P/B=1.3 for clams was obtained from Evans (1984), which is comparable to P/B=1.47 cited from various sources in the PB: western Bering Sea (Aydin et al. 2002); {Preikshot, 2005 #646} uses P/B=0.9 citing Macoma baltica P/B=1.5 and Mytilus sp. P/B=0.3 in Jørgensen et al. (2000);  Unassim from Okey et al. 2002</t>
    </r>
    <r>
      <rPr>
        <sz val="10"/>
        <color rgb="FFC00000"/>
        <rFont val="Arial"/>
        <family val="2"/>
      </rPr>
      <t xml:space="preserve"> </t>
    </r>
    <r>
      <rPr>
        <sz val="10"/>
        <color theme="9" tint="-0.24994659260842"/>
        <rFont val="Arial"/>
        <family val="2"/>
      </rPr>
      <t>| [KR]: PB from Sprung 1993 MEPS; QB of 7.966 is an average of QB = 7.432 for stomatopod from Okey et al. 2004 and QB = 8.5 for large crabs from Okey et al. 2004</t>
    </r>
  </si>
  <si>
    <t>other EwE model</t>
  </si>
  <si>
    <t>PB =  0.192 'turtles' from Okey et al. 2004; Alt PB = 0.15 &amp; QB = 3.5"turtles",  other EwE model</t>
  </si>
  <si>
    <t>PB: common dolphin, Aydin et al 2003 table B1 P/B=0.1 (citing Hobbs &amp; Jones 1993); QB: Aydin et al 2003 table B1 Q/B=24.98 (citing Hunt et al 2000)</t>
  </si>
  <si>
    <t>PB: {Aydin, 2007 #1413} GoA: 0.047 (table C2 sperm &amp; beaked whales); QB: {Aydin, 2007 #1413} GoA: 6.609 (table C2 sperm &amp; beaked whales); Aydin et al 2003 table B1 Q/B=6.61 (citing Hunt et al 2000)</t>
  </si>
  <si>
    <t>PB: humpback, {Aydin, 2007 #1413} GoA: 0.038 (table C2); QB: humpback {Aydin, 2007 #1413} GoA: 7.57 (table C2)</t>
  </si>
  <si>
    <t>EE: from NCCprs9 results (Ruzicka)</t>
  </si>
  <si>
    <t>added by Jim (7-8-2014)</t>
  </si>
  <si>
    <t>recreational fisheries</t>
  </si>
  <si>
    <t>commercial fisheries</t>
  </si>
  <si>
    <t>group</t>
  </si>
  <si>
    <t>seagrass &amp; macroalgae</t>
  </si>
  <si>
    <t>butterfish</t>
  </si>
  <si>
    <t>Gulf menhaden</t>
  </si>
  <si>
    <t>commerical fisheries</t>
  </si>
  <si>
    <t>other EwE models</t>
  </si>
  <si>
    <t>model estimated biomass</t>
  </si>
  <si>
    <t>empirical relationship</t>
  </si>
  <si>
    <t>same group/same system</t>
  </si>
  <si>
    <t>same group/similar system</t>
  </si>
  <si>
    <t>Jim set MAX CV to 5 (7-2-2014)</t>
  </si>
  <si>
    <t>Pedigree DIETS</t>
  </si>
  <si>
    <t>mesopelagics</t>
  </si>
  <si>
    <t>digested remains CV allocated among other prey groups</t>
  </si>
  <si>
    <t>Pedigree DIET PREFERENCE</t>
  </si>
  <si>
    <t>Import</t>
  </si>
  <si>
    <t>F recreational fisheries</t>
  </si>
  <si>
    <t>F commercial fisheries</t>
  </si>
  <si>
    <t>&lt;-NOTE: fisheries FOLLOW terminal detritus groups</t>
  </si>
  <si>
    <t>&lt;&lt;--edited by Jim 7-8-2014</t>
  </si>
  <si>
    <t>built from Kelly's Supp Mat file: fsv088supp_tables.xlsx</t>
  </si>
  <si>
    <t>had to twek large demersals and microzoop biomasses SLIGHTLY in order to balance</t>
  </si>
  <si>
    <t>Kemp Ridleys sea turtle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</si>
</sst>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E+00"/>
    <numFmt numFmtId="166" formatCode="0.0000"/>
  </numFmts>
  <fonts count="26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theme="1"/>
      <name val="Arial"/>
      <family val="2"/>
    </font>
    <font>
      <i/>
      <sz val="12"/>
      <name val="Arial"/>
      <family val="2"/>
    </font>
    <font>
      <b/>
      <sz val="12"/>
      <color rgb="FFFF0000"/>
      <name val="Arial"/>
      <family val="2"/>
    </font>
    <font>
      <sz val="12"/>
      <color indexed="10"/>
      <name val="Arial"/>
      <family val="2"/>
    </font>
    <font>
      <sz val="12"/>
      <color rgb="FF000000"/>
      <name val="Arial"/>
      <family val="2"/>
    </font>
    <font>
      <sz val="10"/>
      <name val="Letter Gothic Std"/>
    </font>
    <font>
      <sz val="10"/>
      <color rgb="FFC00000"/>
      <name val="Arial"/>
      <family val="2"/>
    </font>
    <font>
      <sz val="10"/>
      <color theme="9" tint="-0.24994659260842"/>
      <name val="Arial"/>
      <family val="2"/>
    </font>
    <font>
      <b/>
      <i/>
      <sz val="10"/>
      <name val="Arial"/>
      <family val="2"/>
    </font>
    <font>
      <b/>
      <sz val="10"/>
      <name val="Verdana"/>
      <family val="2"/>
    </font>
    <font>
      <sz val="10"/>
      <color rgb="FF000000"/>
      <name val="Arial"/>
      <family val="2"/>
    </font>
    <font>
      <sz val="10"/>
      <color rgb="FFFF000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70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2"/>
        <bgColor indexed="64"/>
      </patternFill>
    </fill>
    <fill>
      <patternFill patternType="solid">
        <fgColor theme="6" tint="0.39997558519242"/>
        <bgColor indexed="64"/>
      </patternFill>
    </fill>
    <fill>
      <patternFill patternType="solid">
        <fgColor theme="3" tint="0.39997558519242"/>
        <bgColor indexed="64"/>
      </patternFill>
    </fill>
    <fill>
      <patternFill patternType="solid">
        <fgColor theme="2" tint="-0.24994659260842"/>
        <bgColor indexed="64"/>
      </patternFill>
    </fill>
    <fill>
      <patternFill patternType="solid">
        <fgColor theme="7" tint="0.39997558519242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67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A8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FF3200"/>
        <bgColor indexed="64"/>
      </patternFill>
    </fill>
    <fill>
      <patternFill patternType="solid">
        <fgColor rgb="FFFFCB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A4FF00"/>
        <bgColor indexed="64"/>
      </patternFill>
    </fill>
    <fill>
      <patternFill patternType="solid">
        <fgColor rgb="FF7BFF00"/>
        <bgColor indexed="64"/>
      </patternFill>
    </fill>
    <fill>
      <patternFill patternType="solid">
        <fgColor rgb="FF6EFF00"/>
        <bgColor indexed="64"/>
      </patternFill>
    </fill>
    <fill>
      <patternFill patternType="solid">
        <fgColor rgb="FF83FF00"/>
        <bgColor indexed="64"/>
      </patternFill>
    </fill>
    <fill>
      <patternFill patternType="solid">
        <fgColor rgb="FF5EFF0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FFDD00"/>
        <bgColor indexed="64"/>
      </patternFill>
    </fill>
    <fill>
      <patternFill patternType="solid">
        <fgColor rgb="FFFF8E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4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FF67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9B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theme="7" tint="0.5999633777886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5999633777886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34998626667074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FF21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9DFF00"/>
        <bgColor indexed="64"/>
      </patternFill>
    </fill>
    <fill>
      <patternFill patternType="solid">
        <fgColor rgb="FFFA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93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FFDC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54FF00"/>
        <bgColor indexed="64"/>
      </patternFill>
    </fill>
    <fill>
      <patternFill patternType="solid">
        <fgColor rgb="FF8AFF00"/>
        <bgColor indexed="64"/>
      </patternFill>
    </fill>
    <fill>
      <patternFill patternType="solid">
        <fgColor rgb="FF79FF00"/>
        <bgColor indexed="64"/>
      </patternFill>
    </fill>
    <fill>
      <patternFill patternType="solid">
        <fgColor rgb="FFB4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F7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65FF00"/>
        <bgColor indexed="64"/>
      </patternFill>
    </fill>
    <fill>
      <patternFill patternType="solid">
        <fgColor rgb="FF75FF00"/>
        <bgColor indexed="64"/>
      </patternFill>
    </fill>
    <fill>
      <patternFill patternType="solid">
        <fgColor rgb="FFC7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6D00"/>
        <bgColor indexed="64"/>
      </patternFill>
    </fill>
    <fill>
      <patternFill patternType="solid">
        <fgColor rgb="FFFFBE00"/>
        <bgColor indexed="64"/>
      </patternFill>
    </fill>
    <fill>
      <patternFill patternType="solid">
        <fgColor rgb="FF6BFF00"/>
        <bgColor indexed="64"/>
      </patternFill>
    </fill>
    <fill>
      <patternFill patternType="solid">
        <fgColor rgb="FFD2FF00"/>
        <bgColor indexed="64"/>
      </patternFill>
    </fill>
    <fill>
      <patternFill patternType="solid">
        <fgColor rgb="FFB7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A7FF00"/>
        <bgColor indexed="64"/>
      </patternFill>
    </fill>
    <fill>
      <patternFill patternType="solid">
        <fgColor rgb="FF6CFF00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BB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210089"/>
        <bgColor indexed="64"/>
      </patternFill>
    </fill>
    <fill>
      <patternFill patternType="solid">
        <fgColor rgb="FFA88BD3"/>
        <bgColor indexed="64"/>
      </patternFill>
    </fill>
    <fill>
      <patternFill patternType="solid">
        <fgColor rgb="FF1531AD"/>
        <bgColor indexed="64"/>
      </patternFill>
    </fill>
    <fill>
      <patternFill patternType="solid">
        <fgColor rgb="FF745B26"/>
        <bgColor indexed="64"/>
      </patternFill>
    </fill>
    <fill>
      <patternFill patternType="solid">
        <fgColor rgb="FFB4ED87"/>
        <bgColor indexed="64"/>
      </patternFill>
    </fill>
    <fill>
      <patternFill patternType="solid">
        <fgColor rgb="FF17C166"/>
        <bgColor indexed="64"/>
      </patternFill>
    </fill>
    <fill>
      <patternFill patternType="solid">
        <fgColor rgb="FF767E35"/>
        <bgColor indexed="64"/>
      </patternFill>
    </fill>
    <fill>
      <patternFill patternType="solid">
        <fgColor rgb="FF541896"/>
        <bgColor indexed="64"/>
      </patternFill>
    </fill>
    <fill>
      <patternFill patternType="solid">
        <fgColor rgb="FF2BED19"/>
        <bgColor indexed="64"/>
      </patternFill>
    </fill>
    <fill>
      <patternFill patternType="solid">
        <fgColor rgb="FF7146DE"/>
        <bgColor indexed="64"/>
      </patternFill>
    </fill>
    <fill>
      <patternFill patternType="solid">
        <fgColor rgb="FFBF46AC"/>
        <bgColor indexed="64"/>
      </patternFill>
    </fill>
    <fill>
      <patternFill patternType="solid">
        <fgColor rgb="FF411708"/>
        <bgColor indexed="64"/>
      </patternFill>
    </fill>
    <fill>
      <patternFill patternType="solid">
        <fgColor rgb="FF52C94C"/>
        <bgColor indexed="64"/>
      </patternFill>
    </fill>
    <fill>
      <patternFill patternType="solid">
        <fgColor rgb="FF3C7B41"/>
        <bgColor indexed="64"/>
      </patternFill>
    </fill>
    <fill>
      <patternFill patternType="solid">
        <fgColor rgb="FF570B7B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n">
        <color auto="true"/>
      </bottom>
      <diagonal/>
    </border>
    <border>
      <left style="medium">
        <color auto="true"/>
      </left>
      <right style="medium">
        <color auto="true"/>
      </right>
      <top style="medium">
        <color auto="true"/>
      </top>
      <bottom/>
      <diagonal/>
    </border>
    <border>
      <left style="medium">
        <color auto="true"/>
      </left>
      <right style="medium">
        <color auto="true"/>
      </right>
      <top/>
      <bottom style="medium">
        <color auto="true"/>
      </bottom>
      <diagonal/>
    </border>
    <border>
      <left style="medium">
        <color auto="true"/>
      </left>
      <right style="medium">
        <color auto="true"/>
      </right>
      <top/>
      <bottom/>
      <diagonal/>
    </border>
    <border>
      <left style="medium">
        <color auto="true"/>
      </left>
      <right/>
      <top style="medium">
        <color auto="true"/>
      </top>
      <bottom/>
      <diagonal/>
    </border>
    <border>
      <left/>
      <right style="medium">
        <color auto="true"/>
      </right>
      <top style="medium">
        <color auto="true"/>
      </top>
      <bottom/>
      <diagonal/>
    </border>
    <border>
      <left style="medium">
        <color auto="true"/>
      </left>
      <right/>
      <top/>
      <bottom/>
      <diagonal/>
    </border>
    <border>
      <left/>
      <right style="medium">
        <color auto="true"/>
      </right>
      <top/>
      <bottom/>
      <diagonal/>
    </border>
    <border>
      <left style="medium">
        <color auto="true"/>
      </left>
      <right/>
      <top/>
      <bottom style="medium">
        <color auto="true"/>
      </bottom>
      <diagonal/>
    </border>
    <border>
      <left/>
      <right/>
      <top/>
      <bottom style="medium">
        <color auto="true"/>
      </bottom>
      <diagonal/>
    </border>
    <border>
      <left/>
      <right style="medium">
        <color auto="true"/>
      </right>
      <top/>
      <bottom style="medium">
        <color auto="true"/>
      </bottom>
      <diagonal/>
    </border>
    <border>
      <left style="medium">
        <color auto="true"/>
      </left>
      <right style="medium">
        <color auto="true"/>
      </right>
      <top style="medium">
        <color auto="true"/>
      </top>
      <bottom style="medium">
        <color auto="true"/>
      </bottom>
      <diagonal/>
    </border>
    <border>
      <left style="medium">
        <color auto="true"/>
      </left>
      <right/>
      <top style="medium">
        <color auto="true"/>
      </top>
      <bottom style="medium">
        <color auto="true"/>
      </bottom>
      <diagonal/>
    </border>
    <border>
      <left/>
      <right style="medium">
        <color auto="true"/>
      </right>
      <top style="medium">
        <color auto="true"/>
      </top>
      <bottom style="medium">
        <color auto="true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true"/>
      </left>
      <right/>
      <top style="thin">
        <color auto="true"/>
      </top>
      <bottom/>
      <diagonal/>
    </border>
    <border>
      <left style="thin">
        <color auto="true"/>
      </left>
      <right/>
      <top/>
      <bottom/>
      <diagonal/>
    </border>
    <border>
      <left/>
      <right style="thin">
        <color auto="true"/>
      </right>
      <top/>
      <bottom/>
      <diagonal/>
    </border>
    <border>
      <left style="thin">
        <color auto="true"/>
      </left>
      <right/>
      <top/>
      <bottom style="thin">
        <color rgb="FFC0C0C0"/>
      </bottom>
      <diagonal/>
    </border>
    <border>
      <left/>
      <right style="thin">
        <color auto="true"/>
      </right>
      <top/>
      <bottom style="medium">
        <color auto="true"/>
      </bottom>
      <diagonal/>
    </border>
    <border>
      <left style="thin">
        <color auto="true"/>
      </left>
      <right/>
      <top/>
      <bottom style="thin">
        <color auto="true"/>
      </bottom>
      <diagonal/>
    </border>
    <border>
      <left/>
      <right style="thin">
        <color auto="true"/>
      </right>
      <top/>
      <bottom style="thin">
        <color auto="true"/>
      </bottom>
      <diagonal/>
    </border>
    <border>
      <left/>
      <right style="thin">
        <color auto="true"/>
      </right>
      <top style="thin">
        <color auto="true"/>
      </top>
      <bottom style="thin">
        <color auto="true"/>
      </bottom>
      <diagonal/>
    </border>
    <border>
      <left/>
      <right/>
      <top style="thin">
        <color auto="true"/>
      </top>
      <bottom style="thin">
        <color auto="true"/>
      </bottom>
      <diagonal/>
    </border>
    <border>
      <left/>
      <right/>
      <top/>
      <bottom/>
      <diagonal/>
    </border>
    <border/>
    <border/>
    <border/>
    <border/>
  </borders>
  <cellStyleXfs count="3654">
    <xf numFmtId="0" fontId="0" fillId="0" borderId="0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3" fillId="0" borderId="0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</cellStyleXfs>
  <cellXfs count="332">
    <xf numFmtId="0" fontId="0" fillId="0" borderId="0" xfId="0"/>
    <xf numFmtId="0" fontId="1" fillId="0" borderId="0" xfId="0" applyFont="true"/>
    <xf numFmtId="0" fontId="1" fillId="2" borderId="0" xfId="0" applyFont="true" applyFill="true"/>
    <xf numFmtId="0" fontId="0" fillId="0" borderId="0" xfId="0" applyFill="true"/>
    <xf numFmtId="0" fontId="0" fillId="4" borderId="0" xfId="0" applyFill="true"/>
    <xf numFmtId="2" fontId="0" fillId="4" borderId="0" xfId="0" applyNumberFormat="true" applyFill="true"/>
    <xf numFmtId="0" fontId="0" fillId="5" borderId="0" xfId="0" applyFill="true"/>
    <xf numFmtId="0" fontId="0" fillId="6" borderId="0" xfId="0" applyFill="true"/>
    <xf numFmtId="0" fontId="0" fillId="7" borderId="0" xfId="0" applyFill="true"/>
    <xf numFmtId="0" fontId="0" fillId="8" borderId="0" xfId="0" applyFill="true"/>
    <xf numFmtId="0" fontId="0" fillId="9" borderId="0" xfId="0" applyFill="true"/>
    <xf numFmtId="0" fontId="0" fillId="10" borderId="0" xfId="0" applyFill="true"/>
    <xf numFmtId="0" fontId="0" fillId="11" borderId="0" xfId="0" applyFill="true"/>
    <xf numFmtId="0" fontId="0" fillId="12" borderId="0" xfId="0" applyFill="true"/>
    <xf numFmtId="0" fontId="0" fillId="13" borderId="0" xfId="0" applyFill="true"/>
    <xf numFmtId="0" fontId="0" fillId="14" borderId="0" xfId="0" applyFill="true"/>
    <xf numFmtId="0" fontId="0" fillId="15" borderId="0" xfId="0" applyFill="true"/>
    <xf numFmtId="0" fontId="0" fillId="16" borderId="0" xfId="0" applyFill="true"/>
    <xf numFmtId="0" fontId="0" fillId="17" borderId="0" xfId="0" applyFill="true"/>
    <xf numFmtId="0" fontId="0" fillId="18" borderId="0" xfId="0" applyFill="true"/>
    <xf numFmtId="0" fontId="0" fillId="19" borderId="0" xfId="0" applyFill="true"/>
    <xf numFmtId="0" fontId="0" fillId="20" borderId="0" xfId="0" applyFill="true"/>
    <xf numFmtId="0" fontId="0" fillId="21" borderId="0" xfId="0" applyFill="true"/>
    <xf numFmtId="0" fontId="0" fillId="22" borderId="0" xfId="0" applyFill="true"/>
    <xf numFmtId="0" fontId="0" fillId="23" borderId="0" xfId="0" applyFill="true"/>
    <xf numFmtId="14" fontId="0" fillId="0" borderId="0" xfId="0" applyNumberFormat="true"/>
    <xf numFmtId="0" fontId="0" fillId="0" borderId="6" xfId="0" applyBorder="true"/>
    <xf numFmtId="0" fontId="0" fillId="0" borderId="7" xfId="0" applyBorder="true"/>
    <xf numFmtId="0" fontId="0" fillId="0" borderId="8" xfId="0" applyBorder="true"/>
    <xf numFmtId="0" fontId="0" fillId="0" borderId="11" xfId="0" applyBorder="true"/>
    <xf numFmtId="2" fontId="1" fillId="0" borderId="0" xfId="0" applyNumberFormat="true" applyFont="true"/>
    <xf numFmtId="0" fontId="1" fillId="0" borderId="0" xfId="0" applyFont="true" applyAlignment="true">
      <alignment horizontal="right"/>
    </xf>
    <xf numFmtId="0" fontId="1" fillId="0" borderId="0" xfId="0" applyFont="true" applyFill="true" applyAlignment="true">
      <alignment horizontal="center"/>
    </xf>
    <xf numFmtId="0" fontId="0" fillId="0" borderId="0" xfId="0" applyFill="true" applyBorder="true" applyAlignment="true">
      <alignment horizontal="center"/>
    </xf>
    <xf numFmtId="0" fontId="1" fillId="2" borderId="2" xfId="0" applyFont="true" applyFill="true" applyBorder="true" applyAlignment="true">
      <alignment horizontal="center"/>
    </xf>
    <xf numFmtId="0" fontId="1" fillId="2" borderId="3" xfId="0" applyFont="true" applyFill="true" applyBorder="true" applyAlignment="true">
      <alignment horizontal="center"/>
    </xf>
    <xf numFmtId="0" fontId="6" fillId="0" borderId="0" xfId="0" applyFont="true" applyAlignment="true">
      <alignment horizontal="right"/>
    </xf>
    <xf numFmtId="0" fontId="1" fillId="0" borderId="0" xfId="0" applyFont="true" applyFill="true" applyBorder="true" applyAlignment="true">
      <alignment horizontal="right"/>
    </xf>
    <xf numFmtId="0" fontId="1" fillId="24" borderId="2" xfId="0" applyFont="true" applyFill="true" applyBorder="true" applyAlignment="true">
      <alignment horizontal="center"/>
    </xf>
    <xf numFmtId="0" fontId="1" fillId="24" borderId="4" xfId="0" applyFont="true" applyFill="true" applyBorder="true" applyAlignment="true">
      <alignment horizontal="center"/>
    </xf>
    <xf numFmtId="0" fontId="1" fillId="24" borderId="3" xfId="0" applyFont="true" applyFill="true" applyBorder="true" applyAlignment="true">
      <alignment horizontal="center"/>
    </xf>
    <xf numFmtId="0" fontId="1" fillId="0" borderId="10" xfId="0" applyFont="true" applyBorder="true" applyAlignment="true">
      <alignment horizontal="center"/>
    </xf>
    <xf numFmtId="0" fontId="1" fillId="0" borderId="13" xfId="0" applyFont="true" applyBorder="true" applyAlignment="true">
      <alignment horizontal="center"/>
    </xf>
    <xf numFmtId="0" fontId="0" fillId="0" borderId="14" xfId="0" applyBorder="true"/>
    <xf numFmtId="0" fontId="0" fillId="0" borderId="7" xfId="0" applyBorder="true" applyAlignment="true">
      <alignment horizontal="right"/>
    </xf>
    <xf numFmtId="0" fontId="0" fillId="0" borderId="9" xfId="0" applyBorder="true" applyAlignment="true">
      <alignment horizontal="right"/>
    </xf>
    <xf numFmtId="0" fontId="0" fillId="0" borderId="7" xfId="0" applyFill="true" applyBorder="true" applyAlignment="true">
      <alignment horizontal="left"/>
    </xf>
    <xf numFmtId="0" fontId="0" fillId="0" borderId="5" xfId="0" applyBorder="true" applyAlignment="true">
      <alignment horizontal="right"/>
    </xf>
    <xf numFmtId="0" fontId="1" fillId="0" borderId="0" xfId="0" applyFont="true" applyFill="true"/>
    <xf numFmtId="0" fontId="0" fillId="24" borderId="5" xfId="0" applyFill="true" applyBorder="true"/>
    <xf numFmtId="0" fontId="0" fillId="24" borderId="7" xfId="0" applyFill="true" applyBorder="true"/>
    <xf numFmtId="0" fontId="0" fillId="24" borderId="8" xfId="0" applyFill="true" applyBorder="true"/>
    <xf numFmtId="0" fontId="0" fillId="24" borderId="9" xfId="0" applyFill="true" applyBorder="true"/>
    <xf numFmtId="0" fontId="0" fillId="24" borderId="11" xfId="0" applyFill="true" applyBorder="true"/>
    <xf numFmtId="0" fontId="7" fillId="0" borderId="0" xfId="0" applyFont="true"/>
    <xf numFmtId="0" fontId="0" fillId="30" borderId="0" xfId="0" applyFill="true"/>
    <xf numFmtId="0" fontId="0" fillId="31" borderId="0" xfId="0" applyFill="true"/>
    <xf numFmtId="0" fontId="0" fillId="32" borderId="0" xfId="0" applyFill="true"/>
    <xf numFmtId="0" fontId="0" fillId="34" borderId="0" xfId="0" applyFill="true"/>
    <xf numFmtId="0" fontId="0" fillId="0" borderId="0" xfId="0" applyFont="true"/>
    <xf numFmtId="2" fontId="0" fillId="0" borderId="0" xfId="0" applyNumberFormat="true" applyFont="true"/>
    <xf numFmtId="0" fontId="0" fillId="35" borderId="0" xfId="0" applyFill="true"/>
    <xf numFmtId="0" fontId="0" fillId="36" borderId="0" xfId="0" applyFill="true"/>
    <xf numFmtId="0" fontId="0" fillId="37" borderId="0" xfId="0" applyFill="true"/>
    <xf numFmtId="0" fontId="0" fillId="38" borderId="0" xfId="0" applyFill="true"/>
    <xf numFmtId="0" fontId="0" fillId="39" borderId="0" xfId="0" applyFill="true"/>
    <xf numFmtId="0" fontId="0" fillId="40" borderId="0" xfId="0" applyFill="true"/>
    <xf numFmtId="0" fontId="0" fillId="41" borderId="0" xfId="0" applyFill="true"/>
    <xf numFmtId="0" fontId="0" fillId="42" borderId="0" xfId="0" applyFill="true"/>
    <xf numFmtId="0" fontId="0" fillId="43" borderId="0" xfId="0" applyFill="true"/>
    <xf numFmtId="0" fontId="0" fillId="44" borderId="0" xfId="0" applyFill="true"/>
    <xf numFmtId="0" fontId="0" fillId="45" borderId="0" xfId="0" applyFill="true"/>
    <xf numFmtId="0" fontId="10" fillId="2" borderId="0" xfId="0" applyFont="true" applyFill="true"/>
    <xf numFmtId="0" fontId="11" fillId="0" borderId="0" xfId="0" applyFont="true"/>
    <xf numFmtId="0" fontId="8" fillId="24" borderId="6" xfId="0" applyFont="true" applyFill="true" applyBorder="true"/>
    <xf numFmtId="0" fontId="11" fillId="0" borderId="0" xfId="0" applyFont="true" applyFill="true"/>
    <xf numFmtId="0" fontId="12" fillId="0" borderId="0" xfId="0" applyFont="true" applyFill="true"/>
    <xf numFmtId="0" fontId="9" fillId="0" borderId="0" xfId="0" applyFont="true" applyFill="true" applyAlignment="true">
      <alignment horizontal="right"/>
    </xf>
    <xf numFmtId="0" fontId="10" fillId="0" borderId="0" xfId="0" applyFont="true" applyAlignment="true"/>
    <xf numFmtId="0" fontId="11" fillId="0" borderId="0" xfId="0" applyFont="true" applyAlignment="true"/>
    <xf numFmtId="0" fontId="10" fillId="2" borderId="0" xfId="0" applyFont="true" applyFill="true" applyAlignment="true"/>
    <xf numFmtId="0" fontId="10" fillId="0" borderId="0" xfId="0" applyFont="true" applyFill="true" applyAlignment="true"/>
    <xf numFmtId="0" fontId="10" fillId="0" borderId="0" xfId="0" applyFont="true"/>
    <xf numFmtId="0" fontId="10" fillId="0" borderId="0" xfId="0" applyFont="true" applyAlignment="true">
      <alignment horizontal="right"/>
    </xf>
    <xf numFmtId="2" fontId="10" fillId="0" borderId="12" xfId="0" applyNumberFormat="true" applyFont="true" applyBorder="true" applyAlignment="true">
      <alignment horizontal="center"/>
    </xf>
    <xf numFmtId="0" fontId="13" fillId="0" borderId="0" xfId="0" applyFont="true"/>
    <xf numFmtId="0" fontId="10" fillId="0" borderId="13" xfId="0" applyFont="true" applyBorder="true" applyAlignment="true">
      <alignment horizontal="center"/>
    </xf>
    <xf numFmtId="0" fontId="11" fillId="0" borderId="14" xfId="0" applyFont="true" applyBorder="true"/>
    <xf numFmtId="0" fontId="11" fillId="0" borderId="7" xfId="0" applyFont="true" applyBorder="true" applyAlignment="true">
      <alignment horizontal="right"/>
    </xf>
    <xf numFmtId="0" fontId="11" fillId="0" borderId="8" xfId="0" applyFont="true" applyBorder="true"/>
    <xf numFmtId="0" fontId="11" fillId="0" borderId="9" xfId="0" applyFont="true" applyBorder="true" applyAlignment="true">
      <alignment horizontal="right"/>
    </xf>
    <xf numFmtId="0" fontId="11" fillId="0" borderId="11" xfId="0" applyFont="true" applyBorder="true"/>
    <xf numFmtId="0" fontId="11" fillId="0" borderId="7" xfId="0" applyFont="true" applyFill="true" applyBorder="true" applyAlignment="true">
      <alignment horizontal="left"/>
    </xf>
    <xf numFmtId="0" fontId="9" fillId="0" borderId="0" xfId="0" applyFont="true" applyFill="true" applyAlignment="true">
      <alignment horizontal="left"/>
    </xf>
    <xf numFmtId="0" fontId="11" fillId="0" borderId="0" xfId="0" applyFont="true" applyBorder="true"/>
    <xf numFmtId="0" fontId="11" fillId="0" borderId="0" xfId="0" applyFont="true" applyAlignment="true">
      <alignment horizontal="left"/>
    </xf>
    <xf numFmtId="0" fontId="10" fillId="0" borderId="0" xfId="0" applyFont="true" applyAlignment="true">
      <alignment horizontal="left"/>
    </xf>
    <xf numFmtId="0" fontId="11" fillId="33" borderId="2" xfId="0" applyNumberFormat="true" applyFont="true" applyFill="true" applyBorder="true"/>
    <xf numFmtId="0" fontId="15" fillId="0" borderId="0" xfId="0" applyFont="true"/>
    <xf numFmtId="0" fontId="11" fillId="33" borderId="3" xfId="0" applyNumberFormat="true" applyFont="true" applyFill="true" applyBorder="true"/>
    <xf numFmtId="0" fontId="11" fillId="33" borderId="2" xfId="0" applyFont="true" applyFill="true" applyBorder="true"/>
    <xf numFmtId="0" fontId="11" fillId="33" borderId="3" xfId="0" applyFont="true" applyFill="true" applyBorder="true"/>
    <xf numFmtId="0" fontId="14" fillId="0" borderId="0" xfId="0" applyFont="true" applyAlignment="true">
      <alignment horizontal="left"/>
    </xf>
    <xf numFmtId="0" fontId="11" fillId="33" borderId="4" xfId="0" applyFont="true" applyFill="true" applyBorder="true"/>
    <xf numFmtId="0" fontId="16" fillId="0" borderId="15" xfId="0" applyFont="true" applyFill="true" applyBorder="true" applyAlignment="true">
      <alignment horizontal="left" wrapText="true"/>
    </xf>
    <xf numFmtId="0" fontId="11" fillId="0" borderId="0" xfId="0" applyFont="true" applyFill="true" applyAlignment="true">
      <alignment horizontal="left"/>
    </xf>
    <xf numFmtId="0" fontId="11" fillId="0" borderId="16" xfId="0" applyFont="true" applyBorder="true"/>
    <xf numFmtId="0" fontId="10" fillId="0" borderId="24" xfId="0" applyFont="true" applyBorder="true" applyAlignment="true">
      <alignment horizontal="center"/>
    </xf>
    <xf numFmtId="0" fontId="10" fillId="0" borderId="23" xfId="0" applyFont="true" applyBorder="true" applyAlignment="true">
      <alignment horizontal="center"/>
    </xf>
    <xf numFmtId="0" fontId="11" fillId="0" borderId="18" xfId="0" applyFont="true" applyBorder="true"/>
    <xf numFmtId="0" fontId="16" fillId="0" borderId="19" xfId="0" applyFont="true" applyFill="true" applyBorder="true" applyAlignment="true">
      <alignment horizontal="right" wrapText="true"/>
    </xf>
    <xf numFmtId="0" fontId="11" fillId="0" borderId="17" xfId="0" applyFont="true" applyFill="true" applyBorder="true" applyAlignment="true">
      <alignment horizontal="right"/>
    </xf>
    <xf numFmtId="0" fontId="11" fillId="0" borderId="10" xfId="0" applyFont="true" applyBorder="true"/>
    <xf numFmtId="0" fontId="11" fillId="0" borderId="20" xfId="0" applyFont="true" applyBorder="true"/>
    <xf numFmtId="0" fontId="11" fillId="0" borderId="21" xfId="0" applyFont="true" applyBorder="true"/>
    <xf numFmtId="0" fontId="11" fillId="0" borderId="1" xfId="0" applyFont="true" applyBorder="true"/>
    <xf numFmtId="0" fontId="11" fillId="0" borderId="22" xfId="0" applyFont="true" applyBorder="true"/>
    <xf numFmtId="0" fontId="0" fillId="48" borderId="0" xfId="0" applyFill="true"/>
    <xf numFmtId="0" fontId="0" fillId="49" borderId="0" xfId="0" applyFill="true"/>
    <xf numFmtId="164" fontId="0" fillId="0" borderId="0" xfId="0" applyNumberFormat="true" applyFill="true"/>
    <xf numFmtId="0" fontId="0" fillId="0" borderId="0" xfId="0" applyAlignment="true">
      <alignment horizontal="center"/>
    </xf>
    <xf numFmtId="0" fontId="0" fillId="0" borderId="0" xfId="0" applyFill="true" applyAlignment="true">
      <alignment horizontal="center"/>
    </xf>
    <xf numFmtId="0" fontId="0" fillId="47" borderId="0" xfId="0" applyFill="true"/>
    <xf numFmtId="0" fontId="0" fillId="50" borderId="0" xfId="0" applyFill="true"/>
    <xf numFmtId="0" fontId="0" fillId="51" borderId="0" xfId="0" applyFill="true"/>
    <xf numFmtId="0" fontId="0" fillId="52" borderId="0" xfId="0" applyFill="true"/>
    <xf numFmtId="0" fontId="0" fillId="53" borderId="0" xfId="0" applyFill="true"/>
    <xf numFmtId="0" fontId="0" fillId="54" borderId="0" xfId="0" applyFill="true"/>
    <xf numFmtId="0" fontId="0" fillId="55" borderId="0" xfId="0" applyFill="true"/>
    <xf numFmtId="0" fontId="0" fillId="56" borderId="0" xfId="0" applyFill="true"/>
    <xf numFmtId="0" fontId="0" fillId="57" borderId="0" xfId="0" applyFill="true"/>
    <xf numFmtId="0" fontId="0" fillId="58" borderId="0" xfId="0" applyFill="true"/>
    <xf numFmtId="0" fontId="0" fillId="59" borderId="0" xfId="0" applyFill="true"/>
    <xf numFmtId="0" fontId="0" fillId="60" borderId="0" xfId="0" applyFill="true"/>
    <xf numFmtId="0" fontId="0" fillId="61" borderId="0" xfId="0" applyFill="true"/>
    <xf numFmtId="1" fontId="0" fillId="0" borderId="0" xfId="0" applyNumberFormat="true"/>
    <xf numFmtId="0" fontId="0" fillId="0" borderId="0" xfId="0" applyFont="true" applyAlignment="true">
      <alignment horizontal="left"/>
    </xf>
    <xf numFmtId="0" fontId="8" fillId="0" borderId="0" xfId="0" applyFont="true"/>
    <xf numFmtId="166" fontId="8" fillId="0" borderId="0" xfId="0" applyNumberFormat="true" applyFont="true"/>
    <xf numFmtId="166" fontId="0" fillId="0" borderId="0" xfId="0" applyNumberFormat="true"/>
    <xf numFmtId="2" fontId="0" fillId="0" borderId="0" xfId="0" applyNumberFormat="true"/>
    <xf numFmtId="0" fontId="8" fillId="0" borderId="0" xfId="0" applyFont="true" applyAlignment="true">
      <alignment wrapText="true"/>
    </xf>
    <xf numFmtId="0" fontId="0" fillId="63" borderId="0" xfId="0" applyFill="true"/>
    <xf numFmtId="0" fontId="0" fillId="64" borderId="0" xfId="0" applyFill="true"/>
    <xf numFmtId="0" fontId="0" fillId="65" borderId="0" xfId="0" applyFill="true"/>
    <xf numFmtId="0" fontId="0" fillId="66" borderId="0" xfId="0" applyFill="true"/>
    <xf numFmtId="0" fontId="0" fillId="67" borderId="0" xfId="0" applyFill="true"/>
    <xf numFmtId="0" fontId="0" fillId="68" borderId="0" xfId="0" applyFill="true"/>
    <xf numFmtId="0" fontId="1" fillId="2" borderId="0" xfId="0" applyFont="true" applyFill="true" applyAlignment="true">
      <alignment horizontal="center" wrapText="true"/>
    </xf>
    <xf numFmtId="0" fontId="8" fillId="0" borderId="0" xfId="0" applyFont="true" applyAlignment="true">
      <alignment horizontal="center" wrapText="true"/>
    </xf>
    <xf numFmtId="0" fontId="0" fillId="0" borderId="0" xfId="0" applyAlignment="true">
      <alignment horizontal="center" wrapText="true"/>
    </xf>
    <xf numFmtId="0" fontId="0" fillId="0" borderId="0" xfId="0" applyFont="true" applyAlignment="true">
      <alignment horizontal="center" wrapText="true"/>
    </xf>
    <xf numFmtId="164" fontId="8" fillId="0" borderId="0" xfId="0" applyNumberFormat="true" applyFont="true" applyFill="true"/>
    <xf numFmtId="0" fontId="8" fillId="0" borderId="0" xfId="0" applyFont="true" applyFill="true"/>
    <xf numFmtId="0" fontId="1" fillId="2" borderId="0" xfId="0" applyFont="true" applyFill="true" applyAlignment="true">
      <alignment wrapText="true"/>
    </xf>
    <xf numFmtId="0" fontId="8" fillId="0" borderId="0" xfId="0" applyFont="true" applyFill="true" applyAlignment="true">
      <alignment horizontal="center"/>
    </xf>
    <xf numFmtId="0" fontId="0" fillId="0" borderId="0" xfId="0" applyFont="true" applyFill="true" applyAlignment="true">
      <alignment horizontal="center"/>
    </xf>
    <xf numFmtId="0" fontId="0" fillId="0" borderId="0" xfId="0" applyAlignment="true">
      <alignment wrapText="true"/>
    </xf>
    <xf numFmtId="0" fontId="0" fillId="3" borderId="0" xfId="0" applyFill="true"/>
    <xf numFmtId="0" fontId="1" fillId="2" borderId="0" xfId="0" applyFont="true" applyFill="true" applyAlignment="true">
      <alignment horizontal="left" wrapText="true"/>
    </xf>
    <xf numFmtId="0" fontId="1" fillId="0" borderId="0" xfId="0" applyFont="true" applyAlignment="true">
      <alignment horizontal="left" wrapText="true"/>
    </xf>
    <xf numFmtId="0" fontId="0" fillId="0" borderId="0" xfId="0" applyAlignment="true">
      <alignment horizontal="left"/>
    </xf>
    <xf numFmtId="0" fontId="8" fillId="0" borderId="0" xfId="0" applyFont="true" applyAlignment="true">
      <alignment horizontal="left"/>
    </xf>
    <xf numFmtId="0" fontId="0" fillId="0" borderId="0" xfId="0" applyFill="true" applyAlignment="true">
      <alignment horizontal="left"/>
    </xf>
    <xf numFmtId="0" fontId="8" fillId="0" borderId="0" xfId="0" applyNumberFormat="true" applyFont="true" applyAlignment="true">
      <alignment horizontal="right"/>
    </xf>
    <xf numFmtId="0" fontId="0" fillId="0" borderId="0" xfId="0" applyNumberFormat="true" applyAlignment="true">
      <alignment horizontal="right" wrapText="true"/>
    </xf>
    <xf numFmtId="0" fontId="0" fillId="0" borderId="0" xfId="0" applyNumberFormat="true" applyAlignment="true">
      <alignment horizontal="right"/>
    </xf>
    <xf numFmtId="0" fontId="0" fillId="3" borderId="0" xfId="0" applyNumberFormat="true" applyFill="true" applyAlignment="true">
      <alignment horizontal="right"/>
    </xf>
    <xf numFmtId="0" fontId="0" fillId="0" borderId="0" xfId="0" applyNumberFormat="true" applyFill="true" applyAlignment="true">
      <alignment horizontal="right"/>
    </xf>
    <xf numFmtId="0" fontId="0" fillId="0" borderId="0" xfId="0" applyNumberFormat="true"/>
    <xf numFmtId="0" fontId="8" fillId="0" borderId="0" xfId="0" applyNumberFormat="true" applyFont="true" applyAlignment="true">
      <alignment horizontal="right" wrapText="true"/>
    </xf>
    <xf numFmtId="0" fontId="21" fillId="0" borderId="0" xfId="0" applyFont="true" applyAlignment="true">
      <alignment horizontal="center"/>
    </xf>
    <xf numFmtId="0" fontId="21" fillId="0" borderId="0" xfId="0" applyFont="true" applyFill="true" applyAlignment="true">
      <alignment horizontal="center"/>
    </xf>
    <xf numFmtId="0" fontId="21" fillId="29" borderId="0" xfId="0" applyFont="true" applyFill="true" applyAlignment="true">
      <alignment horizontal="center"/>
    </xf>
    <xf numFmtId="0" fontId="21" fillId="27" borderId="0" xfId="0" applyFont="true" applyFill="true" applyAlignment="true">
      <alignment horizontal="center"/>
    </xf>
    <xf numFmtId="0" fontId="21" fillId="28" borderId="0" xfId="0" applyFont="true" applyFill="true" applyAlignment="true">
      <alignment horizontal="center"/>
    </xf>
    <xf numFmtId="0" fontId="21" fillId="25" borderId="0" xfId="0" applyFont="true" applyFill="true" applyAlignment="true">
      <alignment horizontal="center"/>
    </xf>
    <xf numFmtId="0" fontId="21" fillId="26" borderId="0" xfId="0" applyFont="true" applyFill="true" applyAlignment="true">
      <alignment horizontal="center"/>
    </xf>
    <xf numFmtId="0" fontId="21" fillId="0" borderId="0" xfId="0" applyFont="true" applyFill="true" applyAlignment="true">
      <alignment horizontal="right"/>
    </xf>
    <xf numFmtId="0" fontId="0" fillId="24" borderId="2" xfId="0" applyFill="true" applyBorder="true" applyAlignment="true">
      <alignment horizontal="center"/>
    </xf>
    <xf numFmtId="0" fontId="8" fillId="0" borderId="0" xfId="0" applyFont="true" applyBorder="true"/>
    <xf numFmtId="2" fontId="8" fillId="26" borderId="0" xfId="0" applyNumberFormat="true" applyFont="true" applyFill="true" applyBorder="true" applyAlignment="true">
      <alignment horizontal="center" vertical="center"/>
    </xf>
    <xf numFmtId="0" fontId="22" fillId="0" borderId="0" xfId="0" applyFont="true" applyBorder="true" applyAlignment="true">
      <alignment horizontal="center" vertical="center"/>
    </xf>
    <xf numFmtId="0" fontId="0" fillId="24" borderId="4" xfId="0" applyFill="true" applyBorder="true" applyAlignment="true">
      <alignment horizontal="center"/>
    </xf>
    <xf numFmtId="2" fontId="8" fillId="69" borderId="0" xfId="0" applyNumberFormat="true" applyFont="true" applyFill="true" applyBorder="true" applyAlignment="true">
      <alignment horizontal="center" vertical="center"/>
    </xf>
    <xf numFmtId="0" fontId="8" fillId="0" borderId="0" xfId="0" applyFont="true" applyFill="true" applyBorder="true" applyAlignment="true">
      <alignment horizontal="center"/>
    </xf>
    <xf numFmtId="2" fontId="8" fillId="45" borderId="0" xfId="0" applyNumberFormat="true" applyFont="true" applyFill="true" applyBorder="true" applyAlignment="true">
      <alignment horizontal="center" vertical="center"/>
    </xf>
    <xf numFmtId="0" fontId="23" fillId="0" borderId="0" xfId="0" applyFont="true"/>
    <xf numFmtId="0" fontId="0" fillId="24" borderId="3" xfId="0" applyFill="true" applyBorder="true"/>
    <xf numFmtId="0" fontId="8" fillId="69" borderId="0" xfId="0" applyFont="true" applyFill="true"/>
    <xf numFmtId="0" fontId="8" fillId="46" borderId="0" xfId="0" applyFont="true" applyFill="true"/>
    <xf numFmtId="0" fontId="8" fillId="70" borderId="0" xfId="0" applyFont="true" applyFill="true"/>
    <xf numFmtId="0" fontId="8" fillId="26" borderId="0" xfId="0" applyFont="true" applyFill="true"/>
    <xf numFmtId="2" fontId="22" fillId="46" borderId="0" xfId="0" applyNumberFormat="true" applyFont="true" applyFill="true" applyBorder="true" applyAlignment="true">
      <alignment horizontal="center" vertical="center"/>
    </xf>
    <xf numFmtId="0" fontId="8" fillId="71" borderId="0" xfId="0" applyFont="true" applyFill="true"/>
    <xf numFmtId="2" fontId="22" fillId="70" borderId="0" xfId="0" applyNumberFormat="true" applyFont="true" applyFill="true" applyBorder="true" applyAlignment="true">
      <alignment horizontal="center" vertical="center"/>
    </xf>
    <xf numFmtId="0" fontId="0" fillId="0" borderId="0" xfId="0" applyBorder="true"/>
    <xf numFmtId="0" fontId="22" fillId="0" borderId="0" xfId="0" applyFont="true" applyFill="true" applyBorder="true" applyAlignment="true">
      <alignment horizontal="center" vertical="center"/>
    </xf>
    <xf numFmtId="0" fontId="8" fillId="0" borderId="0" xfId="0" applyFont="true" applyAlignment="true">
      <alignment horizontal="center"/>
    </xf>
    <xf numFmtId="2" fontId="8" fillId="71" borderId="0" xfId="0" applyNumberFormat="true" applyFont="true" applyFill="true" applyAlignment="true">
      <alignment horizontal="center"/>
    </xf>
    <xf numFmtId="2" fontId="8" fillId="26" borderId="0" xfId="0" applyNumberFormat="true" applyFont="true" applyFill="true" applyAlignment="true">
      <alignment horizontal="center"/>
    </xf>
    <xf numFmtId="2" fontId="0" fillId="72" borderId="0" xfId="0" applyNumberFormat="true" applyFill="true" applyAlignment="true">
      <alignment horizontal="center"/>
    </xf>
    <xf numFmtId="2" fontId="0" fillId="0" borderId="0" xfId="0" applyNumberFormat="true" applyAlignment="true">
      <alignment horizontal="center"/>
    </xf>
    <xf numFmtId="2" fontId="0" fillId="73" borderId="0" xfId="0" applyNumberFormat="true" applyFill="true" applyAlignment="true">
      <alignment horizontal="center"/>
    </xf>
    <xf numFmtId="2" fontId="0" fillId="0" borderId="0" xfId="0" applyNumberFormat="true" applyFill="true" applyAlignment="true">
      <alignment horizontal="center"/>
    </xf>
    <xf numFmtId="2" fontId="0" fillId="62" borderId="0" xfId="0" applyNumberFormat="true" applyFill="true" applyAlignment="true">
      <alignment horizontal="center"/>
    </xf>
    <xf numFmtId="0" fontId="20" fillId="0" borderId="0" xfId="0" applyFont="true" applyAlignment="true">
      <alignment horizontal="left"/>
    </xf>
    <xf numFmtId="0" fontId="1" fillId="0" borderId="0" xfId="0" applyFont="true" applyAlignment="true">
      <alignment wrapText="true"/>
    </xf>
    <xf numFmtId="1" fontId="8" fillId="0" borderId="0" xfId="0" applyNumberFormat="true" applyFont="true"/>
    <xf numFmtId="2" fontId="0" fillId="0" borderId="0" xfId="0" applyNumberFormat="true" applyFill="true"/>
    <xf numFmtId="0" fontId="0" fillId="0" borderId="0" xfId="0" applyFont="true" applyAlignment="true">
      <alignment horizontal="right"/>
    </xf>
    <xf numFmtId="2" fontId="0" fillId="0" borderId="0" xfId="0" applyNumberFormat="true" applyFont="true" applyAlignment="true">
      <alignment horizontal="right"/>
    </xf>
    <xf numFmtId="0" fontId="0" fillId="74" borderId="0" xfId="0" applyFill="true"/>
    <xf numFmtId="0" fontId="0" fillId="75" borderId="0" xfId="0" applyFill="true"/>
    <xf numFmtId="0" fontId="21" fillId="0" borderId="0" xfId="0" applyFont="true"/>
    <xf numFmtId="0" fontId="21" fillId="0" borderId="0" xfId="0" applyFont="true" applyAlignment="true"/>
    <xf numFmtId="0" fontId="1" fillId="0" borderId="0" xfId="0" applyFont="true" applyAlignment="true">
      <alignment horizontal="center"/>
    </xf>
    <xf numFmtId="0" fontId="0" fillId="0" borderId="1" xfId="0" applyBorder="true"/>
    <xf numFmtId="0" fontId="0" fillId="0" borderId="0" xfId="0" applyBorder="true" applyAlignment="true">
      <alignment horizontal="center"/>
    </xf>
    <xf numFmtId="0" fontId="8" fillId="62" borderId="0" xfId="0" applyFont="true" applyFill="true"/>
    <xf numFmtId="2" fontId="0" fillId="0" borderId="0" xfId="0" applyNumberFormat="true" applyFill="true" applyAlignment="true">
      <alignment horizontal="left" vertical="top"/>
    </xf>
    <xf numFmtId="2" fontId="0" fillId="0" borderId="25" xfId="0" applyNumberFormat="true" applyFill="true" applyBorder="true" applyAlignment="true">
      <alignment horizontal="left" vertical="top"/>
    </xf>
    <xf numFmtId="2" fontId="24" fillId="0" borderId="25" xfId="0" applyNumberFormat="true" applyFont="true" applyFill="true" applyBorder="true" applyAlignment="true">
      <alignment horizontal="left" vertical="top"/>
    </xf>
    <xf numFmtId="2" fontId="24" fillId="0" borderId="0" xfId="0" applyNumberFormat="true" applyFont="true" applyFill="true" applyAlignment="true">
      <alignment horizontal="left" vertical="top"/>
    </xf>
    <xf numFmtId="0" fontId="0" fillId="77" borderId="0" xfId="0" applyFill="true"/>
    <xf numFmtId="0" fontId="0" fillId="78" borderId="0" xfId="0" applyFill="true"/>
    <xf numFmtId="0" fontId="0" fillId="79" borderId="0" xfId="0" applyFill="true"/>
    <xf numFmtId="0" fontId="0" fillId="80" borderId="0" xfId="0" applyFill="true"/>
    <xf numFmtId="0" fontId="0" fillId="81" borderId="0" xfId="0" applyFill="true"/>
    <xf numFmtId="0" fontId="0" fillId="82" borderId="0" xfId="0" applyFill="true"/>
    <xf numFmtId="0" fontId="0" fillId="83" borderId="0" xfId="0" applyFill="true"/>
    <xf numFmtId="0" fontId="0" fillId="84" borderId="0" xfId="0" applyFill="true"/>
    <xf numFmtId="0" fontId="0" fillId="85" borderId="0" xfId="0" applyFill="true"/>
    <xf numFmtId="0" fontId="0" fillId="86" borderId="0" xfId="0" applyFill="true"/>
    <xf numFmtId="0" fontId="0" fillId="87" borderId="0" xfId="0" applyFill="true"/>
    <xf numFmtId="0" fontId="0" fillId="88" borderId="0" xfId="0" applyFill="true"/>
    <xf numFmtId="0" fontId="0" fillId="89" borderId="0" xfId="0" applyFill="true"/>
    <xf numFmtId="0" fontId="0" fillId="90" borderId="0" xfId="0" applyFill="true"/>
    <xf numFmtId="0" fontId="0" fillId="91" borderId="0" xfId="0" applyFill="true"/>
    <xf numFmtId="0" fontId="0" fillId="92" borderId="0" xfId="0" applyFill="true"/>
    <xf numFmtId="0" fontId="0" fillId="93" borderId="0" xfId="0" applyFill="true"/>
    <xf numFmtId="0" fontId="0" fillId="94" borderId="0" xfId="0" applyFill="true"/>
    <xf numFmtId="0" fontId="0" fillId="95" borderId="0" xfId="0" applyFill="true"/>
    <xf numFmtId="0" fontId="25" fillId="76" borderId="1" xfId="0" applyFont="true" applyFill="true" applyBorder="true" applyAlignment="true">
      <alignment wrapText="true"/>
    </xf>
    <xf numFmtId="164" fontId="0" fillId="0" borderId="0" xfId="0" applyNumberFormat="true" applyFont="true" applyFill="true" applyAlignment="true">
      <alignment horizontal="right"/>
    </xf>
    <xf numFmtId="164" fontId="25" fillId="0" borderId="0" xfId="0" applyNumberFormat="true" applyFont="true" applyFill="true" applyAlignment="true">
      <alignment horizontal="left"/>
    </xf>
    <xf numFmtId="165" fontId="25" fillId="0" borderId="0" xfId="0" applyNumberFormat="true" applyFont="true" applyFill="true" applyAlignment="true">
      <alignment horizontal="left"/>
    </xf>
    <xf numFmtId="11" fontId="25" fillId="0" borderId="0" xfId="0" applyNumberFormat="true" applyFont="true" applyFill="true" applyAlignment="true">
      <alignment horizontal="left"/>
    </xf>
    <xf numFmtId="0" fontId="0" fillId="96" borderId="0" xfId="0" applyFill="true"/>
    <xf numFmtId="0" fontId="0" fillId="97" borderId="0" xfId="0" applyFill="true"/>
    <xf numFmtId="0" fontId="0" fillId="98" borderId="0" xfId="0" applyFill="true"/>
    <xf numFmtId="0" fontId="0" fillId="99" borderId="0" xfId="0" applyFill="true"/>
    <xf numFmtId="0" fontId="0" fillId="76" borderId="25" xfId="0" applyFill="true" applyBorder="true" applyAlignment="true">
      <alignment horizontal="left" vertical="top" wrapText="true"/>
    </xf>
    <xf numFmtId="11" fontId="0" fillId="76" borderId="25" xfId="0" applyNumberFormat="true" applyFill="true" applyBorder="true" applyAlignment="true">
      <alignment horizontal="left" vertical="top" wrapText="true"/>
    </xf>
    <xf numFmtId="0" fontId="0" fillId="76" borderId="10" xfId="0" applyFill="true" applyBorder="true" applyAlignment="true">
      <alignment horizontal="left" vertical="top" wrapText="true"/>
    </xf>
    <xf numFmtId="0" fontId="0" fillId="100" borderId="0" xfId="0" applyFill="true"/>
    <xf numFmtId="2" fontId="0" fillId="101" borderId="0" xfId="0" applyNumberFormat="true" applyFill="true" applyAlignment="true">
      <alignment horizontal="left" vertical="top"/>
    </xf>
    <xf numFmtId="2" fontId="0" fillId="101" borderId="25" xfId="0" applyNumberFormat="true" applyFill="true" applyBorder="true" applyAlignment="true">
      <alignment horizontal="left" vertical="top" wrapText="true"/>
    </xf>
    <xf numFmtId="0" fontId="0" fillId="102" borderId="0" xfId="0" applyFill="true"/>
    <xf numFmtId="0" fontId="0" fillId="103" borderId="0" xfId="0" applyFill="true"/>
    <xf numFmtId="0" fontId="0" fillId="104" borderId="0" xfId="0" applyFill="true"/>
    <xf numFmtId="0" fontId="0" fillId="105" borderId="0" xfId="0" applyFill="true"/>
    <xf numFmtId="0" fontId="0" fillId="106" borderId="0" xfId="0" applyFill="true"/>
    <xf numFmtId="0" fontId="0" fillId="107" borderId="0" xfId="0" applyFill="true"/>
    <xf numFmtId="0" fontId="0" fillId="108" borderId="0" xfId="0" applyFill="true"/>
    <xf numFmtId="0" fontId="0" fillId="109" borderId="0" xfId="0" applyFill="true"/>
    <xf numFmtId="2" fontId="23" fillId="62" borderId="0" xfId="0" applyNumberFormat="true" applyFont="true" applyFill="true" applyAlignment="true">
      <alignment horizontal="left" vertical="top"/>
    </xf>
    <xf numFmtId="0" fontId="23" fillId="62" borderId="0" xfId="0" applyFont="true" applyFill="true"/>
    <xf numFmtId="0" fontId="0" fillId="110" borderId="0" xfId="0" applyFill="true"/>
    <xf numFmtId="0" fontId="0" fillId="111" borderId="0" xfId="0" applyFill="true"/>
    <xf numFmtId="0" fontId="0" fillId="112" borderId="0" xfId="0" applyFill="true"/>
    <xf numFmtId="0" fontId="0" fillId="113" borderId="0" xfId="0" applyFill="true"/>
    <xf numFmtId="0" fontId="0" fillId="114" borderId="0" xfId="0" applyFill="true"/>
    <xf numFmtId="0" fontId="0" fillId="115" borderId="0" xfId="0" applyFill="true"/>
    <xf numFmtId="0" fontId="0" fillId="116" borderId="0" xfId="0" applyFill="true"/>
    <xf numFmtId="0" fontId="0" fillId="117" borderId="0" xfId="0" applyFill="true"/>
    <xf numFmtId="0" fontId="0" fillId="118" borderId="0" xfId="0" applyFill="true"/>
    <xf numFmtId="0" fontId="0" fillId="119" borderId="0" xfId="0" applyFill="true"/>
    <xf numFmtId="0" fontId="0" fillId="120" borderId="0" xfId="0" applyFill="true"/>
    <xf numFmtId="0" fontId="0" fillId="121" borderId="0" xfId="0" applyFill="true"/>
    <xf numFmtId="0" fontId="0" fillId="122" borderId="0" xfId="0" applyFill="true"/>
    <xf numFmtId="0" fontId="0" fillId="123" borderId="0" xfId="0" applyFill="true"/>
    <xf numFmtId="0" fontId="0" fillId="124" borderId="0" xfId="0" applyFill="true"/>
    <xf numFmtId="0" fontId="0" fillId="125" borderId="0" xfId="0" applyFill="true"/>
    <xf numFmtId="0" fontId="0" fillId="126" borderId="0" xfId="0" applyFill="true"/>
    <xf numFmtId="0" fontId="0" fillId="127" borderId="0" xfId="0" applyFill="true"/>
    <xf numFmtId="0" fontId="0" fillId="128" borderId="0" xfId="0" applyFill="true"/>
    <xf numFmtId="0" fontId="0" fillId="129" borderId="0" xfId="0" applyFill="true"/>
    <xf numFmtId="0" fontId="0" fillId="130" borderId="0" xfId="0" applyFill="true"/>
    <xf numFmtId="0" fontId="0" fillId="131" borderId="0" xfId="0" applyFill="true"/>
    <xf numFmtId="0" fontId="0" fillId="132" borderId="0" xfId="0" applyFill="true"/>
    <xf numFmtId="0" fontId="0" fillId="133" borderId="0" xfId="0" applyFill="true"/>
    <xf numFmtId="0" fontId="0" fillId="134" borderId="0" xfId="0" applyFill="true"/>
    <xf numFmtId="0" fontId="0" fillId="135" borderId="0" xfId="0" applyFill="true"/>
    <xf numFmtId="0" fontId="0" fillId="136" borderId="0" xfId="0" applyFill="true"/>
    <xf numFmtId="0" fontId="0" fillId="137" borderId="0" xfId="0" applyFill="true"/>
    <xf numFmtId="0" fontId="0" fillId="138" borderId="0" xfId="0" applyFill="true"/>
    <xf numFmtId="0" fontId="0" fillId="139" borderId="0" xfId="0" applyFill="true"/>
    <xf numFmtId="0" fontId="0" fillId="140" borderId="0" xfId="0" applyFill="true"/>
    <xf numFmtId="0" fontId="0" fillId="141" borderId="0" xfId="0" applyFill="true"/>
    <xf numFmtId="0" fontId="0" fillId="142" borderId="0" xfId="0" applyFill="true"/>
    <xf numFmtId="0" fontId="0" fillId="143" borderId="0" xfId="0" applyFill="true"/>
    <xf numFmtId="0" fontId="0" fillId="144" borderId="0" xfId="0" applyFill="true"/>
    <xf numFmtId="0" fontId="0" fillId="145" borderId="0" xfId="0" applyFill="true"/>
    <xf numFmtId="0" fontId="0" fillId="146" borderId="0" xfId="0" applyFill="true"/>
    <xf numFmtId="0" fontId="0" fillId="147" borderId="0" xfId="0" applyFill="true"/>
    <xf numFmtId="0" fontId="0" fillId="148" borderId="0" xfId="0" applyFill="true"/>
    <xf numFmtId="0" fontId="0" fillId="149" borderId="0" xfId="0" applyFill="true"/>
    <xf numFmtId="0" fontId="0" fillId="150" borderId="0" xfId="0" applyFill="true"/>
    <xf numFmtId="0" fontId="0" fillId="151" borderId="0" xfId="0" applyFill="true"/>
    <xf numFmtId="0" fontId="0" fillId="152" borderId="0" xfId="0" applyFill="true"/>
    <xf numFmtId="0" fontId="0" fillId="153" borderId="0" xfId="0" applyFill="true"/>
    <xf numFmtId="0" fontId="0" fillId="154" borderId="0" xfId="0" applyFill="true"/>
    <xf numFmtId="0" fontId="0" fillId="155" borderId="0" xfId="0" applyFill="true"/>
    <xf numFmtId="0" fontId="0" fillId="156" borderId="0" xfId="0" applyFill="true"/>
    <xf numFmtId="0" fontId="0" fillId="157" borderId="0" xfId="0" applyFill="true"/>
    <xf numFmtId="0" fontId="0" fillId="158" borderId="0" xfId="0" applyFill="true"/>
    <xf numFmtId="0" fontId="0" fillId="159" borderId="0" xfId="0" applyFill="true"/>
    <xf numFmtId="0" fontId="0" fillId="160" borderId="0" xfId="0" applyFill="true"/>
    <xf numFmtId="0" fontId="0" fillId="161" borderId="0" xfId="0" applyFill="true"/>
    <xf numFmtId="0" fontId="0" fillId="162" borderId="0" xfId="0" applyFill="true"/>
    <xf numFmtId="0" fontId="0" fillId="163" borderId="0" xfId="0" applyFill="true"/>
    <xf numFmtId="0" fontId="0" fillId="164" borderId="0" xfId="0" applyFill="true"/>
    <xf numFmtId="0" fontId="0" fillId="165" borderId="0" xfId="0" applyFill="true"/>
    <xf numFmtId="0" fontId="0" fillId="166" borderId="0" xfId="0" applyFill="true"/>
    <xf numFmtId="0" fontId="0" fillId="167" borderId="0" xfId="0" applyFill="true"/>
    <xf numFmtId="0" fontId="0" fillId="168" borderId="0" xfId="0" applyFill="true"/>
    <xf numFmtId="0" fontId="0" fillId="169" borderId="0" xfId="0" applyFill="true"/>
    <xf numFmtId="49" fontId="0" fillId="0" borderId="26" xfId="0" applyNumberFormat="true"/>
    <xf numFmtId="22" fontId="0" fillId="0" borderId="27" xfId="0" applyNumberFormat="true"/>
    <xf numFmtId="49" fontId="0" fillId="0" borderId="28" xfId="0" applyNumberFormat="true"/>
    <xf numFmtId="22" fontId="0" fillId="0" borderId="29" xfId="0" applyNumberFormat="true"/>
  </cellXfs>
  <cellStyles count="3654">
    <cellStyle name="Followed Hyperlink" xfId="2" builtinId="9" hidden="true"/>
    <cellStyle name="Followed Hyperlink" xfId="4" builtinId="9" hidden="true"/>
    <cellStyle name="Followed Hyperlink" xfId="6" builtinId="9" hidden="true"/>
    <cellStyle name="Followed Hyperlink" xfId="8" builtinId="9" hidden="true"/>
    <cellStyle name="Followed Hyperlink" xfId="10" builtinId="9" hidden="true"/>
    <cellStyle name="Followed Hyperlink" xfId="12" builtinId="9" hidden="true"/>
    <cellStyle name="Followed Hyperlink" xfId="14" builtinId="9" hidden="true"/>
    <cellStyle name="Followed Hyperlink" xfId="16" builtinId="9" hidden="true"/>
    <cellStyle name="Followed Hyperlink" xfId="18" builtinId="9" hidden="true"/>
    <cellStyle name="Followed Hyperlink" xfId="20" builtinId="9" hidden="true"/>
    <cellStyle name="Followed Hyperlink" xfId="22" builtinId="9" hidden="true"/>
    <cellStyle name="Followed Hyperlink" xfId="24" builtinId="9" hidden="true"/>
    <cellStyle name="Followed Hyperlink" xfId="26" builtinId="9" hidden="true"/>
    <cellStyle name="Followed Hyperlink" xfId="28" builtinId="9" hidden="true"/>
    <cellStyle name="Followed Hyperlink" xfId="30" builtinId="9" hidden="true"/>
    <cellStyle name="Followed Hyperlink" xfId="32" builtinId="9" hidden="true"/>
    <cellStyle name="Followed Hyperlink" xfId="34" builtinId="9" hidden="true"/>
    <cellStyle name="Followed Hyperlink" xfId="36" builtinId="9" hidden="true"/>
    <cellStyle name="Followed Hyperlink" xfId="38" builtinId="9" hidden="true"/>
    <cellStyle name="Followed Hyperlink" xfId="40" builtinId="9" hidden="true"/>
    <cellStyle name="Followed Hyperlink" xfId="42" builtinId="9" hidden="true"/>
    <cellStyle name="Followed Hyperlink" xfId="44" builtinId="9" hidden="true"/>
    <cellStyle name="Followed Hyperlink" xfId="46" builtinId="9" hidden="true"/>
    <cellStyle name="Followed Hyperlink" xfId="48" builtinId="9" hidden="true"/>
    <cellStyle name="Followed Hyperlink" xfId="50" builtinId="9" hidden="true"/>
    <cellStyle name="Followed Hyperlink" xfId="52" builtinId="9" hidden="true"/>
    <cellStyle name="Followed Hyperlink" xfId="54" builtinId="9" hidden="true"/>
    <cellStyle name="Followed Hyperlink" xfId="56" builtinId="9" hidden="true"/>
    <cellStyle name="Followed Hyperlink" xfId="58" builtinId="9" hidden="true"/>
    <cellStyle name="Followed Hyperlink" xfId="60" builtinId="9" hidden="true"/>
    <cellStyle name="Followed Hyperlink" xfId="62" builtinId="9" hidden="true"/>
    <cellStyle name="Followed Hyperlink" xfId="64" builtinId="9" hidden="true"/>
    <cellStyle name="Followed Hyperlink" xfId="66" builtinId="9" hidden="true"/>
    <cellStyle name="Followed Hyperlink" xfId="68" builtinId="9" hidden="true"/>
    <cellStyle name="Followed Hyperlink" xfId="70" builtinId="9" hidden="true"/>
    <cellStyle name="Followed Hyperlink" xfId="72" builtinId="9" hidden="true"/>
    <cellStyle name="Followed Hyperlink" xfId="74" builtinId="9" hidden="true"/>
    <cellStyle name="Followed Hyperlink" xfId="76" builtinId="9" hidden="true"/>
    <cellStyle name="Followed Hyperlink" xfId="78" builtinId="9" hidden="true"/>
    <cellStyle name="Followed Hyperlink" xfId="80" builtinId="9" hidden="true"/>
    <cellStyle name="Followed Hyperlink" xfId="82" builtinId="9" hidden="true"/>
    <cellStyle name="Followed Hyperlink" xfId="84" builtinId="9" hidden="true"/>
    <cellStyle name="Followed Hyperlink" xfId="86" builtinId="9" hidden="true"/>
    <cellStyle name="Followed Hyperlink" xfId="88" builtinId="9" hidden="true"/>
    <cellStyle name="Followed Hyperlink" xfId="90" builtinId="9" hidden="true"/>
    <cellStyle name="Followed Hyperlink" xfId="92" builtinId="9" hidden="true"/>
    <cellStyle name="Followed Hyperlink" xfId="94" builtinId="9" hidden="true"/>
    <cellStyle name="Followed Hyperlink" xfId="96" builtinId="9" hidden="true"/>
    <cellStyle name="Followed Hyperlink" xfId="98" builtinId="9" hidden="true"/>
    <cellStyle name="Followed Hyperlink" xfId="100" builtinId="9" hidden="true"/>
    <cellStyle name="Followed Hyperlink" xfId="102" builtinId="9" hidden="true"/>
    <cellStyle name="Followed Hyperlink" xfId="104" builtinId="9" hidden="true"/>
    <cellStyle name="Followed Hyperlink" xfId="106" builtinId="9" hidden="true"/>
    <cellStyle name="Followed Hyperlink" xfId="108" builtinId="9" hidden="true"/>
    <cellStyle name="Followed Hyperlink" xfId="110" builtinId="9" hidden="true"/>
    <cellStyle name="Followed Hyperlink" xfId="112" builtinId="9" hidden="true"/>
    <cellStyle name="Followed Hyperlink" xfId="114" builtinId="9" hidden="true"/>
    <cellStyle name="Followed Hyperlink" xfId="116" builtinId="9" hidden="true"/>
    <cellStyle name="Followed Hyperlink" xfId="118" builtinId="9" hidden="true"/>
    <cellStyle name="Followed Hyperlink" xfId="120" builtinId="9" hidden="true"/>
    <cellStyle name="Followed Hyperlink" xfId="122" builtinId="9" hidden="true"/>
    <cellStyle name="Followed Hyperlink" xfId="124" builtinId="9" hidden="true"/>
    <cellStyle name="Followed Hyperlink" xfId="126" builtinId="9" hidden="true"/>
    <cellStyle name="Followed Hyperlink" xfId="128" builtinId="9" hidden="true"/>
    <cellStyle name="Followed Hyperlink" xfId="130" builtinId="9" hidden="true"/>
    <cellStyle name="Followed Hyperlink" xfId="132" builtinId="9" hidden="true"/>
    <cellStyle name="Followed Hyperlink" xfId="134" builtinId="9" hidden="true"/>
    <cellStyle name="Followed Hyperlink" xfId="136" builtinId="9" hidden="true"/>
    <cellStyle name="Followed Hyperlink" xfId="138" builtinId="9" hidden="true"/>
    <cellStyle name="Followed Hyperlink" xfId="140" builtinId="9" hidden="true"/>
    <cellStyle name="Followed Hyperlink" xfId="142" builtinId="9" hidden="true"/>
    <cellStyle name="Followed Hyperlink" xfId="144" builtinId="9" hidden="true"/>
    <cellStyle name="Followed Hyperlink" xfId="146" builtinId="9" hidden="true"/>
    <cellStyle name="Followed Hyperlink" xfId="148" builtinId="9" hidden="true"/>
    <cellStyle name="Followed Hyperlink" xfId="150" builtinId="9" hidden="true"/>
    <cellStyle name="Followed Hyperlink" xfId="152" builtinId="9" hidden="true"/>
    <cellStyle name="Followed Hyperlink" xfId="154" builtinId="9" hidden="true"/>
    <cellStyle name="Followed Hyperlink" xfId="156" builtinId="9" hidden="true"/>
    <cellStyle name="Followed Hyperlink" xfId="158" builtinId="9" hidden="true"/>
    <cellStyle name="Followed Hyperlink" xfId="160" builtinId="9" hidden="true"/>
    <cellStyle name="Followed Hyperlink" xfId="162" builtinId="9" hidden="true"/>
    <cellStyle name="Followed Hyperlink" xfId="164" builtinId="9" hidden="true"/>
    <cellStyle name="Followed Hyperlink" xfId="166" builtinId="9" hidden="true"/>
    <cellStyle name="Followed Hyperlink" xfId="168" builtinId="9" hidden="true"/>
    <cellStyle name="Followed Hyperlink" xfId="170" builtinId="9" hidden="true"/>
    <cellStyle name="Followed Hyperlink" xfId="172" builtinId="9" hidden="true"/>
    <cellStyle name="Followed Hyperlink" xfId="174" builtinId="9" hidden="true"/>
    <cellStyle name="Followed Hyperlink" xfId="176" builtinId="9" hidden="true"/>
    <cellStyle name="Followed Hyperlink" xfId="178" builtinId="9" hidden="true"/>
    <cellStyle name="Followed Hyperlink" xfId="180" builtinId="9" hidden="true"/>
    <cellStyle name="Followed Hyperlink" xfId="182" builtinId="9" hidden="true"/>
    <cellStyle name="Followed Hyperlink" xfId="184" builtinId="9" hidden="true"/>
    <cellStyle name="Followed Hyperlink" xfId="186" builtinId="9" hidden="true"/>
    <cellStyle name="Followed Hyperlink" xfId="188" builtinId="9" hidden="true"/>
    <cellStyle name="Followed Hyperlink" xfId="190" builtinId="9" hidden="true"/>
    <cellStyle name="Followed Hyperlink" xfId="192" builtinId="9" hidden="true"/>
    <cellStyle name="Followed Hyperlink" xfId="194" builtinId="9" hidden="true"/>
    <cellStyle name="Followed Hyperlink" xfId="196" builtinId="9" hidden="true"/>
    <cellStyle name="Followed Hyperlink" xfId="198" builtinId="9" hidden="true"/>
    <cellStyle name="Followed Hyperlink" xfId="200" builtinId="9" hidden="true"/>
    <cellStyle name="Followed Hyperlink" xfId="202" builtinId="9" hidden="true"/>
    <cellStyle name="Followed Hyperlink" xfId="204" builtinId="9" hidden="true"/>
    <cellStyle name="Followed Hyperlink" xfId="206" builtinId="9" hidden="true"/>
    <cellStyle name="Followed Hyperlink" xfId="208" builtinId="9" hidden="true"/>
    <cellStyle name="Followed Hyperlink" xfId="210" builtinId="9" hidden="true"/>
    <cellStyle name="Followed Hyperlink" xfId="212" builtinId="9" hidden="true"/>
    <cellStyle name="Followed Hyperlink" xfId="214" builtinId="9" hidden="true"/>
    <cellStyle name="Followed Hyperlink" xfId="216" builtinId="9" hidden="true"/>
    <cellStyle name="Followed Hyperlink" xfId="218" builtinId="9" hidden="true"/>
    <cellStyle name="Followed Hyperlink" xfId="220" builtinId="9" hidden="true"/>
    <cellStyle name="Followed Hyperlink" xfId="222" builtinId="9" hidden="true"/>
    <cellStyle name="Followed Hyperlink" xfId="224" builtinId="9" hidden="true"/>
    <cellStyle name="Followed Hyperlink" xfId="226" builtinId="9" hidden="true"/>
    <cellStyle name="Followed Hyperlink" xfId="228" builtinId="9" hidden="true"/>
    <cellStyle name="Followed Hyperlink" xfId="230" builtinId="9" hidden="true"/>
    <cellStyle name="Followed Hyperlink" xfId="232" builtinId="9" hidden="true"/>
    <cellStyle name="Followed Hyperlink" xfId="234" builtinId="9" hidden="true"/>
    <cellStyle name="Followed Hyperlink" xfId="236" builtinId="9" hidden="true"/>
    <cellStyle name="Followed Hyperlink" xfId="238" builtinId="9" hidden="true"/>
    <cellStyle name="Followed Hyperlink" xfId="240" builtinId="9" hidden="true"/>
    <cellStyle name="Followed Hyperlink" xfId="242" builtinId="9" hidden="true"/>
    <cellStyle name="Followed Hyperlink" xfId="244" builtinId="9" hidden="true"/>
    <cellStyle name="Followed Hyperlink" xfId="246" builtinId="9" hidden="true"/>
    <cellStyle name="Followed Hyperlink" xfId="248" builtinId="9" hidden="true"/>
    <cellStyle name="Followed Hyperlink" xfId="250" builtinId="9" hidden="true"/>
    <cellStyle name="Followed Hyperlink" xfId="252" builtinId="9" hidden="true"/>
    <cellStyle name="Followed Hyperlink" xfId="254" builtinId="9" hidden="true"/>
    <cellStyle name="Followed Hyperlink" xfId="256" builtinId="9" hidden="true"/>
    <cellStyle name="Followed Hyperlink" xfId="258" builtinId="9" hidden="true"/>
    <cellStyle name="Followed Hyperlink" xfId="260" builtinId="9" hidden="true"/>
    <cellStyle name="Followed Hyperlink" xfId="262" builtinId="9" hidden="true"/>
    <cellStyle name="Followed Hyperlink" xfId="264" builtinId="9" hidden="true"/>
    <cellStyle name="Followed Hyperlink" xfId="266" builtinId="9" hidden="true"/>
    <cellStyle name="Followed Hyperlink" xfId="268" builtinId="9" hidden="true"/>
    <cellStyle name="Followed Hyperlink" xfId="270" builtinId="9" hidden="true"/>
    <cellStyle name="Followed Hyperlink" xfId="272" builtinId="9" hidden="true"/>
    <cellStyle name="Followed Hyperlink" xfId="274" builtinId="9" hidden="true"/>
    <cellStyle name="Followed Hyperlink" xfId="276" builtinId="9" hidden="true"/>
    <cellStyle name="Followed Hyperlink" xfId="278" builtinId="9" hidden="true"/>
    <cellStyle name="Followed Hyperlink" xfId="280" builtinId="9" hidden="true"/>
    <cellStyle name="Followed Hyperlink" xfId="282" builtinId="9" hidden="true"/>
    <cellStyle name="Followed Hyperlink" xfId="284" builtinId="9" hidden="true"/>
    <cellStyle name="Followed Hyperlink" xfId="286" builtinId="9" hidden="true"/>
    <cellStyle name="Followed Hyperlink" xfId="288" builtinId="9" hidden="true"/>
    <cellStyle name="Followed Hyperlink" xfId="290" builtinId="9" hidden="true"/>
    <cellStyle name="Followed Hyperlink" xfId="292" builtinId="9" hidden="true"/>
    <cellStyle name="Followed Hyperlink" xfId="294" builtinId="9" hidden="true"/>
    <cellStyle name="Followed Hyperlink" xfId="296" builtinId="9" hidden="true"/>
    <cellStyle name="Followed Hyperlink" xfId="298" builtinId="9" hidden="true"/>
    <cellStyle name="Followed Hyperlink" xfId="300" builtinId="9" hidden="true"/>
    <cellStyle name="Followed Hyperlink" xfId="302" builtinId="9" hidden="true"/>
    <cellStyle name="Followed Hyperlink" xfId="304" builtinId="9" hidden="true"/>
    <cellStyle name="Followed Hyperlink" xfId="306" builtinId="9" hidden="true"/>
    <cellStyle name="Followed Hyperlink" xfId="308" builtinId="9" hidden="true"/>
    <cellStyle name="Followed Hyperlink" xfId="310" builtinId="9" hidden="true"/>
    <cellStyle name="Followed Hyperlink" xfId="312" builtinId="9" hidden="true"/>
    <cellStyle name="Followed Hyperlink" xfId="314" builtinId="9" hidden="true"/>
    <cellStyle name="Followed Hyperlink" xfId="316" builtinId="9" hidden="true"/>
    <cellStyle name="Followed Hyperlink" xfId="318" builtinId="9" hidden="true"/>
    <cellStyle name="Followed Hyperlink" xfId="320" builtinId="9" hidden="true"/>
    <cellStyle name="Followed Hyperlink" xfId="322" builtinId="9" hidden="true"/>
    <cellStyle name="Followed Hyperlink" xfId="324" builtinId="9" hidden="true"/>
    <cellStyle name="Followed Hyperlink" xfId="326" builtinId="9" hidden="true"/>
    <cellStyle name="Followed Hyperlink" xfId="328" builtinId="9" hidden="true"/>
    <cellStyle name="Followed Hyperlink" xfId="330" builtinId="9" hidden="true"/>
    <cellStyle name="Followed Hyperlink" xfId="332" builtinId="9" hidden="true"/>
    <cellStyle name="Followed Hyperlink" xfId="334" builtinId="9" hidden="true"/>
    <cellStyle name="Followed Hyperlink" xfId="336" builtinId="9" hidden="true"/>
    <cellStyle name="Followed Hyperlink" xfId="338" builtinId="9" hidden="true"/>
    <cellStyle name="Followed Hyperlink" xfId="340" builtinId="9" hidden="true"/>
    <cellStyle name="Followed Hyperlink" xfId="342" builtinId="9" hidden="true"/>
    <cellStyle name="Followed Hyperlink" xfId="344" builtinId="9" hidden="true"/>
    <cellStyle name="Followed Hyperlink" xfId="346" builtinId="9" hidden="true"/>
    <cellStyle name="Followed Hyperlink" xfId="348" builtinId="9" hidden="true"/>
    <cellStyle name="Followed Hyperlink" xfId="350" builtinId="9" hidden="true"/>
    <cellStyle name="Followed Hyperlink" xfId="352" builtinId="9" hidden="true"/>
    <cellStyle name="Followed Hyperlink" xfId="354" builtinId="9" hidden="true"/>
    <cellStyle name="Followed Hyperlink" xfId="356" builtinId="9" hidden="true"/>
    <cellStyle name="Followed Hyperlink" xfId="358" builtinId="9" hidden="true"/>
    <cellStyle name="Followed Hyperlink" xfId="360" builtinId="9" hidden="true"/>
    <cellStyle name="Followed Hyperlink" xfId="362" builtinId="9" hidden="true"/>
    <cellStyle name="Followed Hyperlink" xfId="364" builtinId="9" hidden="true"/>
    <cellStyle name="Followed Hyperlink" xfId="366" builtinId="9" hidden="true"/>
    <cellStyle name="Followed Hyperlink" xfId="368" builtinId="9" hidden="true"/>
    <cellStyle name="Followed Hyperlink" xfId="370" builtinId="9" hidden="true"/>
    <cellStyle name="Followed Hyperlink" xfId="372" builtinId="9" hidden="true"/>
    <cellStyle name="Followed Hyperlink" xfId="374" builtinId="9" hidden="true"/>
    <cellStyle name="Followed Hyperlink" xfId="376" builtinId="9" hidden="true"/>
    <cellStyle name="Followed Hyperlink" xfId="378" builtinId="9" hidden="true"/>
    <cellStyle name="Followed Hyperlink" xfId="380" builtinId="9" hidden="true"/>
    <cellStyle name="Followed Hyperlink" xfId="382" builtinId="9" hidden="true"/>
    <cellStyle name="Followed Hyperlink" xfId="384" builtinId="9" hidden="true"/>
    <cellStyle name="Followed Hyperlink" xfId="386" builtinId="9" hidden="true"/>
    <cellStyle name="Followed Hyperlink" xfId="388" builtinId="9" hidden="true"/>
    <cellStyle name="Followed Hyperlink" xfId="390" builtinId="9" hidden="true"/>
    <cellStyle name="Followed Hyperlink" xfId="392" builtinId="9" hidden="true"/>
    <cellStyle name="Followed Hyperlink" xfId="394" builtinId="9" hidden="true"/>
    <cellStyle name="Followed Hyperlink" xfId="396" builtinId="9" hidden="true"/>
    <cellStyle name="Followed Hyperlink" xfId="398" builtinId="9" hidden="true"/>
    <cellStyle name="Followed Hyperlink" xfId="400" builtinId="9" hidden="true"/>
    <cellStyle name="Followed Hyperlink" xfId="402" builtinId="9" hidden="true"/>
    <cellStyle name="Followed Hyperlink" xfId="404" builtinId="9" hidden="true"/>
    <cellStyle name="Followed Hyperlink" xfId="406" builtinId="9" hidden="true"/>
    <cellStyle name="Followed Hyperlink" xfId="408" builtinId="9" hidden="true"/>
    <cellStyle name="Followed Hyperlink" xfId="410" builtinId="9" hidden="true"/>
    <cellStyle name="Followed Hyperlink" xfId="412" builtinId="9" hidden="true"/>
    <cellStyle name="Followed Hyperlink" xfId="414" builtinId="9" hidden="true"/>
    <cellStyle name="Followed Hyperlink" xfId="416" builtinId="9" hidden="true"/>
    <cellStyle name="Followed Hyperlink" xfId="418" builtinId="9" hidden="true"/>
    <cellStyle name="Followed Hyperlink" xfId="420" builtinId="9" hidden="true"/>
    <cellStyle name="Followed Hyperlink" xfId="422" builtinId="9" hidden="true"/>
    <cellStyle name="Followed Hyperlink" xfId="424" builtinId="9" hidden="true"/>
    <cellStyle name="Followed Hyperlink" xfId="426" builtinId="9" hidden="true"/>
    <cellStyle name="Followed Hyperlink" xfId="428" builtinId="9" hidden="true"/>
    <cellStyle name="Followed Hyperlink" xfId="430" builtinId="9" hidden="true"/>
    <cellStyle name="Followed Hyperlink" xfId="432" builtinId="9" hidden="true"/>
    <cellStyle name="Followed Hyperlink" xfId="434" builtinId="9" hidden="true"/>
    <cellStyle name="Followed Hyperlink" xfId="436" builtinId="9" hidden="true"/>
    <cellStyle name="Followed Hyperlink" xfId="438" builtinId="9" hidden="true"/>
    <cellStyle name="Followed Hyperlink" xfId="440" builtinId="9" hidden="true"/>
    <cellStyle name="Followed Hyperlink" xfId="442" builtinId="9" hidden="true"/>
    <cellStyle name="Followed Hyperlink" xfId="444" builtinId="9" hidden="true"/>
    <cellStyle name="Followed Hyperlink" xfId="446" builtinId="9" hidden="true"/>
    <cellStyle name="Followed Hyperlink" xfId="448" builtinId="9" hidden="true"/>
    <cellStyle name="Followed Hyperlink" xfId="450" builtinId="9" hidden="true"/>
    <cellStyle name="Followed Hyperlink" xfId="452" builtinId="9" hidden="true"/>
    <cellStyle name="Followed Hyperlink" xfId="454" builtinId="9" hidden="true"/>
    <cellStyle name="Followed Hyperlink" xfId="456" builtinId="9" hidden="true"/>
    <cellStyle name="Followed Hyperlink" xfId="458" builtinId="9" hidden="true"/>
    <cellStyle name="Followed Hyperlink" xfId="460" builtinId="9" hidden="true"/>
    <cellStyle name="Followed Hyperlink" xfId="462" builtinId="9" hidden="true"/>
    <cellStyle name="Followed Hyperlink" xfId="464" builtinId="9" hidden="true"/>
    <cellStyle name="Followed Hyperlink" xfId="466" builtinId="9" hidden="true"/>
    <cellStyle name="Followed Hyperlink" xfId="468" builtinId="9" hidden="true"/>
    <cellStyle name="Followed Hyperlink" xfId="470" builtinId="9" hidden="true"/>
    <cellStyle name="Followed Hyperlink" xfId="472" builtinId="9" hidden="true"/>
    <cellStyle name="Followed Hyperlink" xfId="474" builtinId="9" hidden="true"/>
    <cellStyle name="Followed Hyperlink" xfId="476" builtinId="9" hidden="true"/>
    <cellStyle name="Followed Hyperlink" xfId="478" builtinId="9" hidden="true"/>
    <cellStyle name="Followed Hyperlink" xfId="480" builtinId="9" hidden="true"/>
    <cellStyle name="Followed Hyperlink" xfId="482" builtinId="9" hidden="true"/>
    <cellStyle name="Followed Hyperlink" xfId="484" builtinId="9" hidden="true"/>
    <cellStyle name="Followed Hyperlink" xfId="486" builtinId="9" hidden="true"/>
    <cellStyle name="Followed Hyperlink" xfId="488" builtinId="9" hidden="true"/>
    <cellStyle name="Followed Hyperlink" xfId="490" builtinId="9" hidden="true"/>
    <cellStyle name="Followed Hyperlink" xfId="492" builtinId="9" hidden="true"/>
    <cellStyle name="Followed Hyperlink" xfId="494" builtinId="9" hidden="true"/>
    <cellStyle name="Followed Hyperlink" xfId="496" builtinId="9" hidden="true"/>
    <cellStyle name="Followed Hyperlink" xfId="498" builtinId="9" hidden="true"/>
    <cellStyle name="Followed Hyperlink" xfId="500" builtinId="9" hidden="true"/>
    <cellStyle name="Followed Hyperlink" xfId="502" builtinId="9" hidden="true"/>
    <cellStyle name="Followed Hyperlink" xfId="504" builtinId="9" hidden="true"/>
    <cellStyle name="Followed Hyperlink" xfId="506" builtinId="9" hidden="true"/>
    <cellStyle name="Followed Hyperlink" xfId="508" builtinId="9" hidden="true"/>
    <cellStyle name="Followed Hyperlink" xfId="510" builtinId="9" hidden="true"/>
    <cellStyle name="Followed Hyperlink" xfId="512" builtinId="9" hidden="true"/>
    <cellStyle name="Followed Hyperlink" xfId="514" builtinId="9" hidden="true"/>
    <cellStyle name="Followed Hyperlink" xfId="516" builtinId="9" hidden="true"/>
    <cellStyle name="Followed Hyperlink" xfId="518" builtinId="9" hidden="true"/>
    <cellStyle name="Followed Hyperlink" xfId="520" builtinId="9" hidden="true"/>
    <cellStyle name="Followed Hyperlink" xfId="522" builtinId="9" hidden="true"/>
    <cellStyle name="Followed Hyperlink" xfId="524" builtinId="9" hidden="true"/>
    <cellStyle name="Followed Hyperlink" xfId="526" builtinId="9" hidden="true"/>
    <cellStyle name="Followed Hyperlink" xfId="528" builtinId="9" hidden="true"/>
    <cellStyle name="Followed Hyperlink" xfId="530" builtinId="9" hidden="true"/>
    <cellStyle name="Followed Hyperlink" xfId="532" builtinId="9" hidden="true"/>
    <cellStyle name="Followed Hyperlink" xfId="534" builtinId="9" hidden="true"/>
    <cellStyle name="Followed Hyperlink" xfId="536" builtinId="9" hidden="true"/>
    <cellStyle name="Followed Hyperlink" xfId="538" builtinId="9" hidden="true"/>
    <cellStyle name="Followed Hyperlink" xfId="540" builtinId="9" hidden="true"/>
    <cellStyle name="Followed Hyperlink" xfId="542" builtinId="9" hidden="true"/>
    <cellStyle name="Followed Hyperlink" xfId="544" builtinId="9" hidden="true"/>
    <cellStyle name="Followed Hyperlink" xfId="546" builtinId="9" hidden="true"/>
    <cellStyle name="Followed Hyperlink" xfId="548" builtinId="9" hidden="true"/>
    <cellStyle name="Followed Hyperlink" xfId="550" builtinId="9" hidden="true"/>
    <cellStyle name="Followed Hyperlink" xfId="552" builtinId="9" hidden="true"/>
    <cellStyle name="Followed Hyperlink" xfId="554" builtinId="9" hidden="true"/>
    <cellStyle name="Followed Hyperlink" xfId="556" builtinId="9" hidden="true"/>
    <cellStyle name="Followed Hyperlink" xfId="558" builtinId="9" hidden="true"/>
    <cellStyle name="Followed Hyperlink" xfId="560" builtinId="9" hidden="true"/>
    <cellStyle name="Followed Hyperlink" xfId="562" builtinId="9" hidden="true"/>
    <cellStyle name="Followed Hyperlink" xfId="564" builtinId="9" hidden="true"/>
    <cellStyle name="Followed Hyperlink" xfId="566" builtinId="9" hidden="true"/>
    <cellStyle name="Followed Hyperlink" xfId="568" builtinId="9" hidden="true"/>
    <cellStyle name="Followed Hyperlink" xfId="570" builtinId="9" hidden="true"/>
    <cellStyle name="Followed Hyperlink" xfId="572" builtinId="9" hidden="true"/>
    <cellStyle name="Followed Hyperlink" xfId="574" builtinId="9" hidden="true"/>
    <cellStyle name="Followed Hyperlink" xfId="576" builtinId="9" hidden="true"/>
    <cellStyle name="Followed Hyperlink" xfId="578" builtinId="9" hidden="true"/>
    <cellStyle name="Followed Hyperlink" xfId="580" builtinId="9" hidden="true"/>
    <cellStyle name="Followed Hyperlink" xfId="582" builtinId="9" hidden="true"/>
    <cellStyle name="Followed Hyperlink" xfId="584" builtinId="9" hidden="true"/>
    <cellStyle name="Followed Hyperlink" xfId="586" builtinId="9" hidden="true"/>
    <cellStyle name="Followed Hyperlink" xfId="588" builtinId="9" hidden="true"/>
    <cellStyle name="Followed Hyperlink" xfId="590" builtinId="9" hidden="true"/>
    <cellStyle name="Followed Hyperlink" xfId="592" builtinId="9" hidden="true"/>
    <cellStyle name="Followed Hyperlink" xfId="594" builtinId="9" hidden="true"/>
    <cellStyle name="Followed Hyperlink" xfId="596" builtinId="9" hidden="true"/>
    <cellStyle name="Followed Hyperlink" xfId="598" builtinId="9" hidden="true"/>
    <cellStyle name="Followed Hyperlink" xfId="600" builtinId="9" hidden="true"/>
    <cellStyle name="Followed Hyperlink" xfId="602" builtinId="9" hidden="true"/>
    <cellStyle name="Followed Hyperlink" xfId="604" builtinId="9" hidden="true"/>
    <cellStyle name="Followed Hyperlink" xfId="606" builtinId="9" hidden="true"/>
    <cellStyle name="Followed Hyperlink" xfId="608" builtinId="9" hidden="true"/>
    <cellStyle name="Followed Hyperlink" xfId="610" builtinId="9" hidden="true"/>
    <cellStyle name="Followed Hyperlink" xfId="612" builtinId="9" hidden="true"/>
    <cellStyle name="Followed Hyperlink" xfId="614" builtinId="9" hidden="true"/>
    <cellStyle name="Followed Hyperlink" xfId="616" builtinId="9" hidden="true"/>
    <cellStyle name="Followed Hyperlink" xfId="618" builtinId="9" hidden="true"/>
    <cellStyle name="Followed Hyperlink" xfId="620" builtinId="9" hidden="true"/>
    <cellStyle name="Followed Hyperlink" xfId="622" builtinId="9" hidden="true"/>
    <cellStyle name="Followed Hyperlink" xfId="624" builtinId="9" hidden="true"/>
    <cellStyle name="Followed Hyperlink" xfId="626" builtinId="9" hidden="true"/>
    <cellStyle name="Followed Hyperlink" xfId="628" builtinId="9" hidden="true"/>
    <cellStyle name="Followed Hyperlink" xfId="630" builtinId="9" hidden="true"/>
    <cellStyle name="Followed Hyperlink" xfId="632" builtinId="9" hidden="true"/>
    <cellStyle name="Followed Hyperlink" xfId="634" builtinId="9" hidden="true"/>
    <cellStyle name="Followed Hyperlink" xfId="636" builtinId="9" hidden="true"/>
    <cellStyle name="Followed Hyperlink" xfId="638" builtinId="9" hidden="true"/>
    <cellStyle name="Followed Hyperlink" xfId="640" builtinId="9" hidden="true"/>
    <cellStyle name="Followed Hyperlink" xfId="642" builtinId="9" hidden="true"/>
    <cellStyle name="Followed Hyperlink" xfId="644" builtinId="9" hidden="true"/>
    <cellStyle name="Followed Hyperlink" xfId="646" builtinId="9" hidden="true"/>
    <cellStyle name="Followed Hyperlink" xfId="648" builtinId="9" hidden="true"/>
    <cellStyle name="Followed Hyperlink" xfId="650" builtinId="9" hidden="true"/>
    <cellStyle name="Followed Hyperlink" xfId="652" builtinId="9" hidden="true"/>
    <cellStyle name="Followed Hyperlink" xfId="654" builtinId="9" hidden="true"/>
    <cellStyle name="Followed Hyperlink" xfId="656" builtinId="9" hidden="true"/>
    <cellStyle name="Followed Hyperlink" xfId="658" builtinId="9" hidden="true"/>
    <cellStyle name="Followed Hyperlink" xfId="660" builtinId="9" hidden="true"/>
    <cellStyle name="Followed Hyperlink" xfId="662" builtinId="9" hidden="true"/>
    <cellStyle name="Followed Hyperlink" xfId="664" builtinId="9" hidden="true"/>
    <cellStyle name="Followed Hyperlink" xfId="666" builtinId="9" hidden="true"/>
    <cellStyle name="Followed Hyperlink" xfId="668" builtinId="9" hidden="true"/>
    <cellStyle name="Followed Hyperlink" xfId="670" builtinId="9" hidden="true"/>
    <cellStyle name="Followed Hyperlink" xfId="672" builtinId="9" hidden="true"/>
    <cellStyle name="Followed Hyperlink" xfId="674" builtinId="9" hidden="true"/>
    <cellStyle name="Followed Hyperlink" xfId="676" builtinId="9" hidden="true"/>
    <cellStyle name="Followed Hyperlink" xfId="678" builtinId="9" hidden="true"/>
    <cellStyle name="Followed Hyperlink" xfId="680" builtinId="9" hidden="true"/>
    <cellStyle name="Followed Hyperlink" xfId="682" builtinId="9" hidden="true"/>
    <cellStyle name="Followed Hyperlink" xfId="684" builtinId="9" hidden="true"/>
    <cellStyle name="Followed Hyperlink" xfId="686" builtinId="9" hidden="true"/>
    <cellStyle name="Followed Hyperlink" xfId="688" builtinId="9" hidden="true"/>
    <cellStyle name="Followed Hyperlink" xfId="690" builtinId="9" hidden="true"/>
    <cellStyle name="Followed Hyperlink" xfId="692" builtinId="9" hidden="true"/>
    <cellStyle name="Followed Hyperlink" xfId="694" builtinId="9" hidden="true"/>
    <cellStyle name="Followed Hyperlink" xfId="696" builtinId="9" hidden="true"/>
    <cellStyle name="Followed Hyperlink" xfId="698" builtinId="9" hidden="true"/>
    <cellStyle name="Followed Hyperlink" xfId="700" builtinId="9" hidden="true"/>
    <cellStyle name="Followed Hyperlink" xfId="702" builtinId="9" hidden="true"/>
    <cellStyle name="Followed Hyperlink" xfId="704" builtinId="9" hidden="true"/>
    <cellStyle name="Followed Hyperlink" xfId="706" builtinId="9" hidden="true"/>
    <cellStyle name="Followed Hyperlink" xfId="708" builtinId="9" hidden="true"/>
    <cellStyle name="Followed Hyperlink" xfId="710" builtinId="9" hidden="true"/>
    <cellStyle name="Followed Hyperlink" xfId="712" builtinId="9" hidden="true"/>
    <cellStyle name="Followed Hyperlink" xfId="714" builtinId="9" hidden="true"/>
    <cellStyle name="Followed Hyperlink" xfId="716" builtinId="9" hidden="true"/>
    <cellStyle name="Followed Hyperlink" xfId="718" builtinId="9" hidden="true"/>
    <cellStyle name="Followed Hyperlink" xfId="720" builtinId="9" hidden="true"/>
    <cellStyle name="Followed Hyperlink" xfId="722" builtinId="9" hidden="true"/>
    <cellStyle name="Followed Hyperlink" xfId="724" builtinId="9" hidden="true"/>
    <cellStyle name="Followed Hyperlink" xfId="726" builtinId="9" hidden="true"/>
    <cellStyle name="Followed Hyperlink" xfId="728" builtinId="9" hidden="true"/>
    <cellStyle name="Followed Hyperlink" xfId="730" builtinId="9" hidden="true"/>
    <cellStyle name="Followed Hyperlink" xfId="732" builtinId="9" hidden="true"/>
    <cellStyle name="Followed Hyperlink" xfId="734" builtinId="9" hidden="true"/>
    <cellStyle name="Followed Hyperlink" xfId="736" builtinId="9" hidden="true"/>
    <cellStyle name="Followed Hyperlink" xfId="738" builtinId="9" hidden="true"/>
    <cellStyle name="Followed Hyperlink" xfId="740" builtinId="9" hidden="true"/>
    <cellStyle name="Followed Hyperlink" xfId="742" builtinId="9" hidden="true"/>
    <cellStyle name="Followed Hyperlink" xfId="744" builtinId="9" hidden="true"/>
    <cellStyle name="Followed Hyperlink" xfId="746" builtinId="9" hidden="true"/>
    <cellStyle name="Followed Hyperlink" xfId="748" builtinId="9" hidden="true"/>
    <cellStyle name="Followed Hyperlink" xfId="750" builtinId="9" hidden="true"/>
    <cellStyle name="Followed Hyperlink" xfId="752" builtinId="9" hidden="true"/>
    <cellStyle name="Followed Hyperlink" xfId="754" builtinId="9" hidden="true"/>
    <cellStyle name="Followed Hyperlink" xfId="756" builtinId="9" hidden="true"/>
    <cellStyle name="Followed Hyperlink" xfId="758" builtinId="9" hidden="true"/>
    <cellStyle name="Followed Hyperlink" xfId="760" builtinId="9" hidden="true"/>
    <cellStyle name="Followed Hyperlink" xfId="762" builtinId="9" hidden="true"/>
    <cellStyle name="Followed Hyperlink" xfId="764" builtinId="9" hidden="true"/>
    <cellStyle name="Followed Hyperlink" xfId="766" builtinId="9" hidden="true"/>
    <cellStyle name="Followed Hyperlink" xfId="768" builtinId="9" hidden="true"/>
    <cellStyle name="Followed Hyperlink" xfId="770" builtinId="9" hidden="true"/>
    <cellStyle name="Followed Hyperlink" xfId="772" builtinId="9" hidden="true"/>
    <cellStyle name="Followed Hyperlink" xfId="774" builtinId="9" hidden="true"/>
    <cellStyle name="Followed Hyperlink" xfId="776" builtinId="9" hidden="true"/>
    <cellStyle name="Followed Hyperlink" xfId="778" builtinId="9" hidden="true"/>
    <cellStyle name="Followed Hyperlink" xfId="780" builtinId="9" hidden="true"/>
    <cellStyle name="Followed Hyperlink" xfId="782" builtinId="9" hidden="true"/>
    <cellStyle name="Followed Hyperlink" xfId="784" builtinId="9" hidden="true"/>
    <cellStyle name="Followed Hyperlink" xfId="786" builtinId="9" hidden="true"/>
    <cellStyle name="Followed Hyperlink" xfId="788" builtinId="9" hidden="true"/>
    <cellStyle name="Followed Hyperlink" xfId="790" builtinId="9" hidden="true"/>
    <cellStyle name="Followed Hyperlink" xfId="792" builtinId="9" hidden="true"/>
    <cellStyle name="Followed Hyperlink" xfId="794" builtinId="9" hidden="true"/>
    <cellStyle name="Followed Hyperlink" xfId="796" builtinId="9" hidden="true"/>
    <cellStyle name="Followed Hyperlink" xfId="798" builtinId="9" hidden="true"/>
    <cellStyle name="Followed Hyperlink" xfId="800" builtinId="9" hidden="true"/>
    <cellStyle name="Followed Hyperlink" xfId="802" builtinId="9" hidden="true"/>
    <cellStyle name="Followed Hyperlink" xfId="804" builtinId="9" hidden="true"/>
    <cellStyle name="Followed Hyperlink" xfId="806" builtinId="9" hidden="true"/>
    <cellStyle name="Followed Hyperlink" xfId="808" builtinId="9" hidden="true"/>
    <cellStyle name="Followed Hyperlink" xfId="810" builtinId="9" hidden="true"/>
    <cellStyle name="Followed Hyperlink" xfId="812" builtinId="9" hidden="true"/>
    <cellStyle name="Followed Hyperlink" xfId="814" builtinId="9" hidden="true"/>
    <cellStyle name="Followed Hyperlink" xfId="816" builtinId="9" hidden="true"/>
    <cellStyle name="Followed Hyperlink" xfId="818" builtinId="9" hidden="true"/>
    <cellStyle name="Followed Hyperlink" xfId="820" builtinId="9" hidden="true"/>
    <cellStyle name="Followed Hyperlink" xfId="822" builtinId="9" hidden="true"/>
    <cellStyle name="Followed Hyperlink" xfId="824" builtinId="9" hidden="true"/>
    <cellStyle name="Followed Hyperlink" xfId="826" builtinId="9" hidden="true"/>
    <cellStyle name="Followed Hyperlink" xfId="828" builtinId="9" hidden="true"/>
    <cellStyle name="Followed Hyperlink" xfId="830" builtinId="9" hidden="true"/>
    <cellStyle name="Followed Hyperlink" xfId="832" builtinId="9" hidden="true"/>
    <cellStyle name="Followed Hyperlink" xfId="834" builtinId="9" hidden="true"/>
    <cellStyle name="Followed Hyperlink" xfId="836" builtinId="9" hidden="true"/>
    <cellStyle name="Followed Hyperlink" xfId="838" builtinId="9" hidden="true"/>
    <cellStyle name="Followed Hyperlink" xfId="840" builtinId="9" hidden="true"/>
    <cellStyle name="Followed Hyperlink" xfId="842" builtinId="9" hidden="true"/>
    <cellStyle name="Followed Hyperlink" xfId="844" builtinId="9" hidden="true"/>
    <cellStyle name="Followed Hyperlink" xfId="846" builtinId="9" hidden="true"/>
    <cellStyle name="Followed Hyperlink" xfId="848" builtinId="9" hidden="true"/>
    <cellStyle name="Followed Hyperlink" xfId="850" builtinId="9" hidden="true"/>
    <cellStyle name="Followed Hyperlink" xfId="852" builtinId="9" hidden="true"/>
    <cellStyle name="Followed Hyperlink" xfId="854" builtinId="9" hidden="true"/>
    <cellStyle name="Followed Hyperlink" xfId="856" builtinId="9" hidden="true"/>
    <cellStyle name="Followed Hyperlink" xfId="858" builtinId="9" hidden="true"/>
    <cellStyle name="Followed Hyperlink" xfId="860" builtinId="9" hidden="true"/>
    <cellStyle name="Followed Hyperlink" xfId="862" builtinId="9" hidden="true"/>
    <cellStyle name="Followed Hyperlink" xfId="864" builtinId="9" hidden="true"/>
    <cellStyle name="Followed Hyperlink" xfId="866" builtinId="9" hidden="true"/>
    <cellStyle name="Followed Hyperlink" xfId="868" builtinId="9" hidden="true"/>
    <cellStyle name="Followed Hyperlink" xfId="870" builtinId="9" hidden="true"/>
    <cellStyle name="Followed Hyperlink" xfId="872" builtinId="9" hidden="true"/>
    <cellStyle name="Followed Hyperlink" xfId="874" builtinId="9" hidden="true"/>
    <cellStyle name="Followed Hyperlink" xfId="876" builtinId="9" hidden="true"/>
    <cellStyle name="Followed Hyperlink" xfId="878" builtinId="9" hidden="true"/>
    <cellStyle name="Followed Hyperlink" xfId="880" builtinId="9" hidden="true"/>
    <cellStyle name="Followed Hyperlink" xfId="882" builtinId="9" hidden="true"/>
    <cellStyle name="Followed Hyperlink" xfId="884" builtinId="9" hidden="true"/>
    <cellStyle name="Followed Hyperlink" xfId="886" builtinId="9" hidden="true"/>
    <cellStyle name="Followed Hyperlink" xfId="888" builtinId="9" hidden="true"/>
    <cellStyle name="Followed Hyperlink" xfId="890" builtinId="9" hidden="true"/>
    <cellStyle name="Followed Hyperlink" xfId="892" builtinId="9" hidden="true"/>
    <cellStyle name="Followed Hyperlink" xfId="894" builtinId="9" hidden="true"/>
    <cellStyle name="Followed Hyperlink" xfId="896" builtinId="9" hidden="true"/>
    <cellStyle name="Followed Hyperlink" xfId="898" builtinId="9" hidden="true"/>
    <cellStyle name="Followed Hyperlink" xfId="900" builtinId="9" hidden="true"/>
    <cellStyle name="Followed Hyperlink" xfId="902" builtinId="9" hidden="true"/>
    <cellStyle name="Followed Hyperlink" xfId="904" builtinId="9" hidden="true"/>
    <cellStyle name="Followed Hyperlink" xfId="906" builtinId="9" hidden="true"/>
    <cellStyle name="Followed Hyperlink" xfId="908" builtinId="9" hidden="true"/>
    <cellStyle name="Followed Hyperlink" xfId="910" builtinId="9" hidden="true"/>
    <cellStyle name="Followed Hyperlink" xfId="912" builtinId="9" hidden="true"/>
    <cellStyle name="Followed Hyperlink" xfId="914" builtinId="9" hidden="true"/>
    <cellStyle name="Followed Hyperlink" xfId="916" builtinId="9" hidden="true"/>
    <cellStyle name="Followed Hyperlink" xfId="918" builtinId="9" hidden="true"/>
    <cellStyle name="Followed Hyperlink" xfId="920" builtinId="9" hidden="true"/>
    <cellStyle name="Followed Hyperlink" xfId="922" builtinId="9" hidden="true"/>
    <cellStyle name="Followed Hyperlink" xfId="924" builtinId="9" hidden="true"/>
    <cellStyle name="Followed Hyperlink" xfId="926" builtinId="9" hidden="true"/>
    <cellStyle name="Followed Hyperlink" xfId="928" builtinId="9" hidden="true"/>
    <cellStyle name="Followed Hyperlink" xfId="930" builtinId="9" hidden="true"/>
    <cellStyle name="Followed Hyperlink" xfId="932" builtinId="9" hidden="true"/>
    <cellStyle name="Followed Hyperlink" xfId="934" builtinId="9" hidden="true"/>
    <cellStyle name="Followed Hyperlink" xfId="936" builtinId="9" hidden="true"/>
    <cellStyle name="Followed Hyperlink" xfId="938" builtinId="9" hidden="true"/>
    <cellStyle name="Followed Hyperlink" xfId="940" builtinId="9" hidden="true"/>
    <cellStyle name="Followed Hyperlink" xfId="942" builtinId="9" hidden="true"/>
    <cellStyle name="Followed Hyperlink" xfId="944" builtinId="9" hidden="true"/>
    <cellStyle name="Followed Hyperlink" xfId="946" builtinId="9" hidden="true"/>
    <cellStyle name="Followed Hyperlink" xfId="948" builtinId="9" hidden="true"/>
    <cellStyle name="Followed Hyperlink" xfId="950" builtinId="9" hidden="true"/>
    <cellStyle name="Followed Hyperlink" xfId="952" builtinId="9" hidden="true"/>
    <cellStyle name="Followed Hyperlink" xfId="954" builtinId="9" hidden="true"/>
    <cellStyle name="Followed Hyperlink" xfId="956" builtinId="9" hidden="true"/>
    <cellStyle name="Followed Hyperlink" xfId="958" builtinId="9" hidden="true"/>
    <cellStyle name="Followed Hyperlink" xfId="960" builtinId="9" hidden="true"/>
    <cellStyle name="Followed Hyperlink" xfId="962" builtinId="9" hidden="true"/>
    <cellStyle name="Followed Hyperlink" xfId="964" builtinId="9" hidden="true"/>
    <cellStyle name="Followed Hyperlink" xfId="966" builtinId="9" hidden="true"/>
    <cellStyle name="Followed Hyperlink" xfId="968" builtinId="9" hidden="true"/>
    <cellStyle name="Followed Hyperlink" xfId="970" builtinId="9" hidden="true"/>
    <cellStyle name="Followed Hyperlink" xfId="973" builtinId="9" hidden="true"/>
    <cellStyle name="Followed Hyperlink" xfId="975" builtinId="9" hidden="true"/>
    <cellStyle name="Followed Hyperlink" xfId="977" builtinId="9" hidden="true"/>
    <cellStyle name="Followed Hyperlink" xfId="979" builtinId="9" hidden="true"/>
    <cellStyle name="Followed Hyperlink" xfId="981" builtinId="9" hidden="true"/>
    <cellStyle name="Followed Hyperlink" xfId="983" builtinId="9" hidden="true"/>
    <cellStyle name="Followed Hyperlink" xfId="985" builtinId="9" hidden="true"/>
    <cellStyle name="Followed Hyperlink" xfId="987" builtinId="9" hidden="true"/>
    <cellStyle name="Followed Hyperlink" xfId="989" builtinId="9" hidden="true"/>
    <cellStyle name="Followed Hyperlink" xfId="991" builtinId="9" hidden="true"/>
    <cellStyle name="Followed Hyperlink" xfId="993" builtinId="9" hidden="true"/>
    <cellStyle name="Followed Hyperlink" xfId="995" builtinId="9" hidden="true"/>
    <cellStyle name="Followed Hyperlink" xfId="997" builtinId="9" hidden="true"/>
    <cellStyle name="Followed Hyperlink" xfId="999" builtinId="9" hidden="true"/>
    <cellStyle name="Followed Hyperlink" xfId="1001" builtinId="9" hidden="true"/>
    <cellStyle name="Followed Hyperlink" xfId="1003" builtinId="9" hidden="true"/>
    <cellStyle name="Followed Hyperlink" xfId="1005" builtinId="9" hidden="true"/>
    <cellStyle name="Followed Hyperlink" xfId="1007" builtinId="9" hidden="true"/>
    <cellStyle name="Followed Hyperlink" xfId="1009" builtinId="9" hidden="true"/>
    <cellStyle name="Followed Hyperlink" xfId="1011" builtinId="9" hidden="true"/>
    <cellStyle name="Followed Hyperlink" xfId="1013" builtinId="9" hidden="true"/>
    <cellStyle name="Followed Hyperlink" xfId="1015" builtinId="9" hidden="true"/>
    <cellStyle name="Followed Hyperlink" xfId="1017" builtinId="9" hidden="true"/>
    <cellStyle name="Followed Hyperlink" xfId="1019" builtinId="9" hidden="true"/>
    <cellStyle name="Followed Hyperlink" xfId="1021" builtinId="9" hidden="true"/>
    <cellStyle name="Followed Hyperlink" xfId="1023" builtinId="9" hidden="true"/>
    <cellStyle name="Followed Hyperlink" xfId="1025" builtinId="9" hidden="true"/>
    <cellStyle name="Followed Hyperlink" xfId="1027" builtinId="9" hidden="true"/>
    <cellStyle name="Followed Hyperlink" xfId="1029" builtinId="9" hidden="true"/>
    <cellStyle name="Followed Hyperlink" xfId="1031" builtinId="9" hidden="true"/>
    <cellStyle name="Followed Hyperlink" xfId="1033" builtinId="9" hidden="true"/>
    <cellStyle name="Followed Hyperlink" xfId="1035" builtinId="9" hidden="true"/>
    <cellStyle name="Followed Hyperlink" xfId="1037" builtinId="9" hidden="true"/>
    <cellStyle name="Followed Hyperlink" xfId="1039" builtinId="9" hidden="true"/>
    <cellStyle name="Followed Hyperlink" xfId="1041" builtinId="9" hidden="true"/>
    <cellStyle name="Followed Hyperlink" xfId="1043" builtinId="9" hidden="true"/>
    <cellStyle name="Followed Hyperlink" xfId="1045" builtinId="9" hidden="true"/>
    <cellStyle name="Followed Hyperlink" xfId="1047" builtinId="9" hidden="true"/>
    <cellStyle name="Followed Hyperlink" xfId="1049" builtinId="9" hidden="true"/>
    <cellStyle name="Followed Hyperlink" xfId="1051" builtinId="9" hidden="true"/>
    <cellStyle name="Followed Hyperlink" xfId="1053" builtinId="9" hidden="true"/>
    <cellStyle name="Followed Hyperlink" xfId="1055" builtinId="9" hidden="true"/>
    <cellStyle name="Followed Hyperlink" xfId="1057" builtinId="9" hidden="true"/>
    <cellStyle name="Followed Hyperlink" xfId="1059" builtinId="9" hidden="true"/>
    <cellStyle name="Followed Hyperlink" xfId="1061" builtinId="9" hidden="true"/>
    <cellStyle name="Followed Hyperlink" xfId="1063" builtinId="9" hidden="true"/>
    <cellStyle name="Followed Hyperlink" xfId="1065" builtinId="9" hidden="true"/>
    <cellStyle name="Followed Hyperlink" xfId="1067" builtinId="9" hidden="true"/>
    <cellStyle name="Followed Hyperlink" xfId="1069" builtinId="9" hidden="true"/>
    <cellStyle name="Followed Hyperlink" xfId="1071" builtinId="9" hidden="true"/>
    <cellStyle name="Followed Hyperlink" xfId="1073" builtinId="9" hidden="true"/>
    <cellStyle name="Followed Hyperlink" xfId="1075" builtinId="9" hidden="true"/>
    <cellStyle name="Followed Hyperlink" xfId="1077" builtinId="9" hidden="true"/>
    <cellStyle name="Followed Hyperlink" xfId="1079" builtinId="9" hidden="true"/>
    <cellStyle name="Followed Hyperlink" xfId="1081" builtinId="9" hidden="true"/>
    <cellStyle name="Followed Hyperlink" xfId="1083" builtinId="9" hidden="true"/>
    <cellStyle name="Followed Hyperlink" xfId="1085" builtinId="9" hidden="true"/>
    <cellStyle name="Followed Hyperlink" xfId="1087" builtinId="9" hidden="true"/>
    <cellStyle name="Followed Hyperlink" xfId="1089" builtinId="9" hidden="true"/>
    <cellStyle name="Followed Hyperlink" xfId="1091" builtinId="9" hidden="true"/>
    <cellStyle name="Followed Hyperlink" xfId="1093" builtinId="9" hidden="true"/>
    <cellStyle name="Followed Hyperlink" xfId="1095" builtinId="9" hidden="true"/>
    <cellStyle name="Followed Hyperlink" xfId="1097" builtinId="9" hidden="true"/>
    <cellStyle name="Followed Hyperlink" xfId="1099" builtinId="9" hidden="true"/>
    <cellStyle name="Followed Hyperlink" xfId="1101" builtinId="9" hidden="true"/>
    <cellStyle name="Followed Hyperlink" xfId="1103" builtinId="9" hidden="true"/>
    <cellStyle name="Followed Hyperlink" xfId="1105" builtinId="9" hidden="true"/>
    <cellStyle name="Followed Hyperlink" xfId="1107" builtinId="9" hidden="true"/>
    <cellStyle name="Followed Hyperlink" xfId="1109" builtinId="9" hidden="true"/>
    <cellStyle name="Followed Hyperlink" xfId="1111" builtinId="9" hidden="true"/>
    <cellStyle name="Followed Hyperlink" xfId="1113" builtinId="9" hidden="true"/>
    <cellStyle name="Followed Hyperlink" xfId="1115" builtinId="9" hidden="true"/>
    <cellStyle name="Followed Hyperlink" xfId="1117" builtinId="9" hidden="true"/>
    <cellStyle name="Followed Hyperlink" xfId="1119" builtinId="9" hidden="true"/>
    <cellStyle name="Followed Hyperlink" xfId="1121" builtinId="9" hidden="true"/>
    <cellStyle name="Followed Hyperlink" xfId="1123" builtinId="9" hidden="true"/>
    <cellStyle name="Followed Hyperlink" xfId="1125" builtinId="9" hidden="true"/>
    <cellStyle name="Followed Hyperlink" xfId="1127" builtinId="9" hidden="true"/>
    <cellStyle name="Followed Hyperlink" xfId="1129" builtinId="9" hidden="true"/>
    <cellStyle name="Followed Hyperlink" xfId="1131" builtinId="9" hidden="true"/>
    <cellStyle name="Followed Hyperlink" xfId="1133" builtinId="9" hidden="true"/>
    <cellStyle name="Followed Hyperlink" xfId="1135" builtinId="9" hidden="true"/>
    <cellStyle name="Followed Hyperlink" xfId="1137" builtinId="9" hidden="true"/>
    <cellStyle name="Followed Hyperlink" xfId="1139" builtinId="9" hidden="true"/>
    <cellStyle name="Followed Hyperlink" xfId="1141" builtinId="9" hidden="true"/>
    <cellStyle name="Followed Hyperlink" xfId="1143" builtinId="9" hidden="true"/>
    <cellStyle name="Followed Hyperlink" xfId="1145" builtinId="9" hidden="true"/>
    <cellStyle name="Followed Hyperlink" xfId="1147" builtinId="9" hidden="true"/>
    <cellStyle name="Followed Hyperlink" xfId="1149" builtinId="9" hidden="true"/>
    <cellStyle name="Followed Hyperlink" xfId="1151" builtinId="9" hidden="true"/>
    <cellStyle name="Followed Hyperlink" xfId="1153" builtinId="9" hidden="true"/>
    <cellStyle name="Followed Hyperlink" xfId="1155" builtinId="9" hidden="true"/>
    <cellStyle name="Followed Hyperlink" xfId="1157" builtinId="9" hidden="true"/>
    <cellStyle name="Followed Hyperlink" xfId="1159" builtinId="9" hidden="true"/>
    <cellStyle name="Followed Hyperlink" xfId="1161" builtinId="9" hidden="true"/>
    <cellStyle name="Followed Hyperlink" xfId="1163" builtinId="9" hidden="true"/>
    <cellStyle name="Followed Hyperlink" xfId="1165" builtinId="9" hidden="true"/>
    <cellStyle name="Followed Hyperlink" xfId="1167" builtinId="9" hidden="true"/>
    <cellStyle name="Followed Hyperlink" xfId="1169" builtinId="9" hidden="true"/>
    <cellStyle name="Followed Hyperlink" xfId="1171" builtinId="9" hidden="true"/>
    <cellStyle name="Followed Hyperlink" xfId="1173" builtinId="9" hidden="true"/>
    <cellStyle name="Followed Hyperlink" xfId="1175" builtinId="9" hidden="true"/>
    <cellStyle name="Followed Hyperlink" xfId="1177" builtinId="9" hidden="true"/>
    <cellStyle name="Followed Hyperlink" xfId="1179" builtinId="9" hidden="true"/>
    <cellStyle name="Followed Hyperlink" xfId="1181" builtinId="9" hidden="true"/>
    <cellStyle name="Followed Hyperlink" xfId="1183" builtinId="9" hidden="true"/>
    <cellStyle name="Followed Hyperlink" xfId="1185" builtinId="9" hidden="true"/>
    <cellStyle name="Followed Hyperlink" xfId="1187" builtinId="9" hidden="true"/>
    <cellStyle name="Followed Hyperlink" xfId="1189" builtinId="9" hidden="true"/>
    <cellStyle name="Followed Hyperlink" xfId="1191" builtinId="9" hidden="true"/>
    <cellStyle name="Followed Hyperlink" xfId="1193" builtinId="9" hidden="true"/>
    <cellStyle name="Followed Hyperlink" xfId="1195" builtinId="9" hidden="true"/>
    <cellStyle name="Followed Hyperlink" xfId="1197" builtinId="9" hidden="true"/>
    <cellStyle name="Followed Hyperlink" xfId="1199" builtinId="9" hidden="true"/>
    <cellStyle name="Followed Hyperlink" xfId="1201" builtinId="9" hidden="true"/>
    <cellStyle name="Followed Hyperlink" xfId="1203" builtinId="9" hidden="true"/>
    <cellStyle name="Followed Hyperlink" xfId="1205" builtinId="9" hidden="true"/>
    <cellStyle name="Followed Hyperlink" xfId="1207" builtinId="9" hidden="true"/>
    <cellStyle name="Followed Hyperlink" xfId="1209" builtinId="9" hidden="true"/>
    <cellStyle name="Followed Hyperlink" xfId="1211" builtinId="9" hidden="true"/>
    <cellStyle name="Followed Hyperlink" xfId="1213" builtinId="9" hidden="true"/>
    <cellStyle name="Followed Hyperlink" xfId="1215" builtinId="9" hidden="true"/>
    <cellStyle name="Followed Hyperlink" xfId="1217" builtinId="9" hidden="true"/>
    <cellStyle name="Followed Hyperlink" xfId="1219" builtinId="9" hidden="true"/>
    <cellStyle name="Followed Hyperlink" xfId="1221" builtinId="9" hidden="true"/>
    <cellStyle name="Followed Hyperlink" xfId="1223" builtinId="9" hidden="true"/>
    <cellStyle name="Followed Hyperlink" xfId="1225" builtinId="9" hidden="true"/>
    <cellStyle name="Followed Hyperlink" xfId="1227" builtinId="9" hidden="true"/>
    <cellStyle name="Followed Hyperlink" xfId="1229" builtinId="9" hidden="true"/>
    <cellStyle name="Followed Hyperlink" xfId="1231" builtinId="9" hidden="true"/>
    <cellStyle name="Followed Hyperlink" xfId="1233" builtinId="9" hidden="true"/>
    <cellStyle name="Followed Hyperlink" xfId="1235" builtinId="9" hidden="true"/>
    <cellStyle name="Followed Hyperlink" xfId="1237" builtinId="9" hidden="true"/>
    <cellStyle name="Followed Hyperlink" xfId="1239" builtinId="9" hidden="true"/>
    <cellStyle name="Followed Hyperlink" xfId="1241" builtinId="9" hidden="true"/>
    <cellStyle name="Followed Hyperlink" xfId="1243" builtinId="9" hidden="true"/>
    <cellStyle name="Followed Hyperlink" xfId="1245" builtinId="9" hidden="true"/>
    <cellStyle name="Followed Hyperlink" xfId="1247" builtinId="9" hidden="true"/>
    <cellStyle name="Followed Hyperlink" xfId="1249" builtinId="9" hidden="true"/>
    <cellStyle name="Followed Hyperlink" xfId="1251" builtinId="9" hidden="true"/>
    <cellStyle name="Followed Hyperlink" xfId="1253" builtinId="9" hidden="true"/>
    <cellStyle name="Followed Hyperlink" xfId="1255" builtinId="9" hidden="true"/>
    <cellStyle name="Followed Hyperlink" xfId="1257" builtinId="9" hidden="true"/>
    <cellStyle name="Followed Hyperlink" xfId="1259" builtinId="9" hidden="true"/>
    <cellStyle name="Followed Hyperlink" xfId="1261" builtinId="9" hidden="true"/>
    <cellStyle name="Followed Hyperlink" xfId="1263" builtinId="9" hidden="true"/>
    <cellStyle name="Followed Hyperlink" xfId="1265" builtinId="9" hidden="true"/>
    <cellStyle name="Followed Hyperlink" xfId="1267" builtinId="9" hidden="true"/>
    <cellStyle name="Followed Hyperlink" xfId="1269" builtinId="9" hidden="true"/>
    <cellStyle name="Followed Hyperlink" xfId="1271" builtinId="9" hidden="true"/>
    <cellStyle name="Followed Hyperlink" xfId="1273" builtinId="9" hidden="true"/>
    <cellStyle name="Followed Hyperlink" xfId="1275" builtinId="9" hidden="true"/>
    <cellStyle name="Followed Hyperlink" xfId="1277" builtinId="9" hidden="true"/>
    <cellStyle name="Followed Hyperlink" xfId="1279" builtinId="9" hidden="true"/>
    <cellStyle name="Followed Hyperlink" xfId="1281" builtinId="9" hidden="true"/>
    <cellStyle name="Followed Hyperlink" xfId="1283" builtinId="9" hidden="true"/>
    <cellStyle name="Followed Hyperlink" xfId="1285" builtinId="9" hidden="true"/>
    <cellStyle name="Followed Hyperlink" xfId="1287" builtinId="9" hidden="true"/>
    <cellStyle name="Followed Hyperlink" xfId="1289" builtinId="9" hidden="true"/>
    <cellStyle name="Followed Hyperlink" xfId="1291" builtinId="9" hidden="true"/>
    <cellStyle name="Followed Hyperlink" xfId="1293" builtinId="9" hidden="true"/>
    <cellStyle name="Followed Hyperlink" xfId="1295" builtinId="9" hidden="true"/>
    <cellStyle name="Followed Hyperlink" xfId="1297" builtinId="9" hidden="true"/>
    <cellStyle name="Followed Hyperlink" xfId="1299" builtinId="9" hidden="true"/>
    <cellStyle name="Followed Hyperlink" xfId="1301" builtinId="9" hidden="true"/>
    <cellStyle name="Followed Hyperlink" xfId="1303" builtinId="9" hidden="true"/>
    <cellStyle name="Followed Hyperlink" xfId="1305" builtinId="9" hidden="true"/>
    <cellStyle name="Followed Hyperlink" xfId="1307" builtinId="9" hidden="true"/>
    <cellStyle name="Followed Hyperlink" xfId="1309" builtinId="9" hidden="true"/>
    <cellStyle name="Followed Hyperlink" xfId="1311" builtinId="9" hidden="true"/>
    <cellStyle name="Followed Hyperlink" xfId="1313" builtinId="9" hidden="true"/>
    <cellStyle name="Followed Hyperlink" xfId="1315" builtinId="9" hidden="true"/>
    <cellStyle name="Followed Hyperlink" xfId="1317" builtinId="9" hidden="true"/>
    <cellStyle name="Followed Hyperlink" xfId="1319" builtinId="9" hidden="true"/>
    <cellStyle name="Followed Hyperlink" xfId="1321" builtinId="9" hidden="true"/>
    <cellStyle name="Followed Hyperlink" xfId="1323" builtinId="9" hidden="true"/>
    <cellStyle name="Followed Hyperlink" xfId="1325" builtinId="9" hidden="true"/>
    <cellStyle name="Followed Hyperlink" xfId="1327" builtinId="9" hidden="true"/>
    <cellStyle name="Followed Hyperlink" xfId="1329" builtinId="9" hidden="true"/>
    <cellStyle name="Followed Hyperlink" xfId="1331" builtinId="9" hidden="true"/>
    <cellStyle name="Followed Hyperlink" xfId="1333" builtinId="9" hidden="true"/>
    <cellStyle name="Followed Hyperlink" xfId="1335" builtinId="9" hidden="true"/>
    <cellStyle name="Followed Hyperlink" xfId="1337" builtinId="9" hidden="true"/>
    <cellStyle name="Followed Hyperlink" xfId="1339" builtinId="9" hidden="true"/>
    <cellStyle name="Followed Hyperlink" xfId="1341" builtinId="9" hidden="true"/>
    <cellStyle name="Followed Hyperlink" xfId="1343" builtinId="9" hidden="true"/>
    <cellStyle name="Followed Hyperlink" xfId="1345" builtinId="9" hidden="true"/>
    <cellStyle name="Followed Hyperlink" xfId="1347" builtinId="9" hidden="true"/>
    <cellStyle name="Followed Hyperlink" xfId="1349" builtinId="9" hidden="true"/>
    <cellStyle name="Followed Hyperlink" xfId="1351" builtinId="9" hidden="true"/>
    <cellStyle name="Followed Hyperlink" xfId="1353" builtinId="9" hidden="true"/>
    <cellStyle name="Followed Hyperlink" xfId="1355" builtinId="9" hidden="true"/>
    <cellStyle name="Followed Hyperlink" xfId="1357" builtinId="9" hidden="true"/>
    <cellStyle name="Followed Hyperlink" xfId="1359" builtinId="9" hidden="true"/>
    <cellStyle name="Followed Hyperlink" xfId="1361" builtinId="9" hidden="true"/>
    <cellStyle name="Followed Hyperlink" xfId="1363" builtinId="9" hidden="true"/>
    <cellStyle name="Followed Hyperlink" xfId="1365" builtinId="9" hidden="true"/>
    <cellStyle name="Followed Hyperlink" xfId="1367" builtinId="9" hidden="true"/>
    <cellStyle name="Followed Hyperlink" xfId="1369" builtinId="9" hidden="true"/>
    <cellStyle name="Followed Hyperlink" xfId="1371" builtinId="9" hidden="true"/>
    <cellStyle name="Followed Hyperlink" xfId="1373" builtinId="9" hidden="true"/>
    <cellStyle name="Followed Hyperlink" xfId="1375" builtinId="9" hidden="true"/>
    <cellStyle name="Followed Hyperlink" xfId="1377" builtinId="9" hidden="true"/>
    <cellStyle name="Followed Hyperlink" xfId="1379" builtinId="9" hidden="true"/>
    <cellStyle name="Followed Hyperlink" xfId="1381" builtinId="9" hidden="true"/>
    <cellStyle name="Followed Hyperlink" xfId="1383" builtinId="9" hidden="true"/>
    <cellStyle name="Followed Hyperlink" xfId="1385" builtinId="9" hidden="true"/>
    <cellStyle name="Followed Hyperlink" xfId="1387" builtinId="9" hidden="true"/>
    <cellStyle name="Followed Hyperlink" xfId="1389" builtinId="9" hidden="true"/>
    <cellStyle name="Followed Hyperlink" xfId="1391" builtinId="9" hidden="true"/>
    <cellStyle name="Followed Hyperlink" xfId="1393" builtinId="9" hidden="true"/>
    <cellStyle name="Followed Hyperlink" xfId="1395" builtinId="9" hidden="true"/>
    <cellStyle name="Followed Hyperlink" xfId="1397" builtinId="9" hidden="true"/>
    <cellStyle name="Followed Hyperlink" xfId="1399" builtinId="9" hidden="true"/>
    <cellStyle name="Followed Hyperlink" xfId="1401" builtinId="9" hidden="true"/>
    <cellStyle name="Followed Hyperlink" xfId="1403" builtinId="9" hidden="true"/>
    <cellStyle name="Followed Hyperlink" xfId="1405" builtinId="9" hidden="true"/>
    <cellStyle name="Followed Hyperlink" xfId="1407" builtinId="9" hidden="true"/>
    <cellStyle name="Followed Hyperlink" xfId="1409" builtinId="9" hidden="true"/>
    <cellStyle name="Followed Hyperlink" xfId="1411" builtinId="9" hidden="true"/>
    <cellStyle name="Followed Hyperlink" xfId="1413" builtinId="9" hidden="true"/>
    <cellStyle name="Followed Hyperlink" xfId="1415" builtinId="9" hidden="true"/>
    <cellStyle name="Followed Hyperlink" xfId="1417" builtinId="9" hidden="true"/>
    <cellStyle name="Followed Hyperlink" xfId="1419" builtinId="9" hidden="true"/>
    <cellStyle name="Followed Hyperlink" xfId="1421" builtinId="9" hidden="true"/>
    <cellStyle name="Followed Hyperlink" xfId="1423" builtinId="9" hidden="true"/>
    <cellStyle name="Followed Hyperlink" xfId="1425" builtinId="9" hidden="true"/>
    <cellStyle name="Followed Hyperlink" xfId="1427" builtinId="9" hidden="true"/>
    <cellStyle name="Followed Hyperlink" xfId="1429" builtinId="9" hidden="true"/>
    <cellStyle name="Followed Hyperlink" xfId="1431" builtinId="9" hidden="true"/>
    <cellStyle name="Followed Hyperlink" xfId="1433" builtinId="9" hidden="true"/>
    <cellStyle name="Followed Hyperlink" xfId="1435" builtinId="9" hidden="true"/>
    <cellStyle name="Followed Hyperlink" xfId="1437" builtinId="9" hidden="true"/>
    <cellStyle name="Followed Hyperlink" xfId="1439" builtinId="9" hidden="true"/>
    <cellStyle name="Followed Hyperlink" xfId="1441" builtinId="9" hidden="true"/>
    <cellStyle name="Followed Hyperlink" xfId="1443" builtinId="9" hidden="true"/>
    <cellStyle name="Followed Hyperlink" xfId="1445" builtinId="9" hidden="true"/>
    <cellStyle name="Followed Hyperlink" xfId="1447" builtinId="9" hidden="true"/>
    <cellStyle name="Followed Hyperlink" xfId="1449" builtinId="9" hidden="true"/>
    <cellStyle name="Followed Hyperlink" xfId="1451" builtinId="9" hidden="true"/>
    <cellStyle name="Followed Hyperlink" xfId="1453" builtinId="9" hidden="true"/>
    <cellStyle name="Followed Hyperlink" xfId="1455" builtinId="9" hidden="true"/>
    <cellStyle name="Followed Hyperlink" xfId="1457" builtinId="9" hidden="true"/>
    <cellStyle name="Followed Hyperlink" xfId="1459" builtinId="9" hidden="true"/>
    <cellStyle name="Followed Hyperlink" xfId="1461" builtinId="9" hidden="true"/>
    <cellStyle name="Followed Hyperlink" xfId="1463" builtinId="9" hidden="true"/>
    <cellStyle name="Followed Hyperlink" xfId="1465" builtinId="9" hidden="true"/>
    <cellStyle name="Followed Hyperlink" xfId="1467" builtinId="9" hidden="true"/>
    <cellStyle name="Followed Hyperlink" xfId="1469" builtinId="9" hidden="true"/>
    <cellStyle name="Followed Hyperlink" xfId="1471" builtinId="9" hidden="true"/>
    <cellStyle name="Followed Hyperlink" xfId="1473" builtinId="9" hidden="true"/>
    <cellStyle name="Followed Hyperlink" xfId="1475" builtinId="9" hidden="true"/>
    <cellStyle name="Followed Hyperlink" xfId="1477" builtinId="9" hidden="true"/>
    <cellStyle name="Followed Hyperlink" xfId="1479" builtinId="9" hidden="true"/>
    <cellStyle name="Followed Hyperlink" xfId="1481" builtinId="9" hidden="true"/>
    <cellStyle name="Followed Hyperlink" xfId="1483" builtinId="9" hidden="true"/>
    <cellStyle name="Followed Hyperlink" xfId="1485" builtinId="9" hidden="true"/>
    <cellStyle name="Followed Hyperlink" xfId="1487" builtinId="9" hidden="true"/>
    <cellStyle name="Followed Hyperlink" xfId="1489" builtinId="9" hidden="true"/>
    <cellStyle name="Followed Hyperlink" xfId="1491" builtinId="9" hidden="true"/>
    <cellStyle name="Followed Hyperlink" xfId="1493" builtinId="9" hidden="true"/>
    <cellStyle name="Followed Hyperlink" xfId="1495" builtinId="9" hidden="true"/>
    <cellStyle name="Followed Hyperlink" xfId="1497" builtinId="9" hidden="true"/>
    <cellStyle name="Followed Hyperlink" xfId="1499" builtinId="9" hidden="true"/>
    <cellStyle name="Followed Hyperlink" xfId="1501" builtinId="9" hidden="true"/>
    <cellStyle name="Followed Hyperlink" xfId="1503" builtinId="9" hidden="true"/>
    <cellStyle name="Followed Hyperlink" xfId="1505" builtinId="9" hidden="true"/>
    <cellStyle name="Followed Hyperlink" xfId="1507" builtinId="9" hidden="true"/>
    <cellStyle name="Followed Hyperlink" xfId="1509" builtinId="9" hidden="true"/>
    <cellStyle name="Followed Hyperlink" xfId="1511" builtinId="9" hidden="true"/>
    <cellStyle name="Followed Hyperlink" xfId="1513" builtinId="9" hidden="true"/>
    <cellStyle name="Followed Hyperlink" xfId="1515" builtinId="9" hidden="true"/>
    <cellStyle name="Followed Hyperlink" xfId="1517" builtinId="9" hidden="true"/>
    <cellStyle name="Followed Hyperlink" xfId="1519" builtinId="9" hidden="true"/>
    <cellStyle name="Followed Hyperlink" xfId="1521" builtinId="9" hidden="true"/>
    <cellStyle name="Followed Hyperlink" xfId="1523" builtinId="9" hidden="true"/>
    <cellStyle name="Followed Hyperlink" xfId="1525" builtinId="9" hidden="true"/>
    <cellStyle name="Followed Hyperlink" xfId="1527" builtinId="9" hidden="true"/>
    <cellStyle name="Followed Hyperlink" xfId="1529" builtinId="9" hidden="true"/>
    <cellStyle name="Followed Hyperlink" xfId="1531" builtinId="9" hidden="true"/>
    <cellStyle name="Followed Hyperlink" xfId="1533" builtinId="9" hidden="true"/>
    <cellStyle name="Followed Hyperlink" xfId="1535" builtinId="9" hidden="true"/>
    <cellStyle name="Followed Hyperlink" xfId="1537" builtinId="9" hidden="true"/>
    <cellStyle name="Followed Hyperlink" xfId="1539" builtinId="9" hidden="true"/>
    <cellStyle name="Followed Hyperlink" xfId="1541" builtinId="9" hidden="true"/>
    <cellStyle name="Followed Hyperlink" xfId="1543" builtinId="9" hidden="true"/>
    <cellStyle name="Followed Hyperlink" xfId="1545" builtinId="9" hidden="true"/>
    <cellStyle name="Followed Hyperlink" xfId="1547" builtinId="9" hidden="true"/>
    <cellStyle name="Followed Hyperlink" xfId="1549" builtinId="9" hidden="true"/>
    <cellStyle name="Followed Hyperlink" xfId="1551" builtinId="9" hidden="true"/>
    <cellStyle name="Followed Hyperlink" xfId="1553" builtinId="9" hidden="true"/>
    <cellStyle name="Followed Hyperlink" xfId="1555" builtinId="9" hidden="true"/>
    <cellStyle name="Followed Hyperlink" xfId="1557" builtinId="9" hidden="true"/>
    <cellStyle name="Followed Hyperlink" xfId="1559" builtinId="9" hidden="true"/>
    <cellStyle name="Followed Hyperlink" xfId="1561" builtinId="9" hidden="true"/>
    <cellStyle name="Followed Hyperlink" xfId="1563" builtinId="9" hidden="true"/>
    <cellStyle name="Followed Hyperlink" xfId="1565" builtinId="9" hidden="true"/>
    <cellStyle name="Followed Hyperlink" xfId="1567" builtinId="9" hidden="true"/>
    <cellStyle name="Followed Hyperlink" xfId="1569" builtinId="9" hidden="true"/>
    <cellStyle name="Followed Hyperlink" xfId="1571" builtinId="9" hidden="true"/>
    <cellStyle name="Followed Hyperlink" xfId="1573" builtinId="9" hidden="true"/>
    <cellStyle name="Followed Hyperlink" xfId="1575" builtinId="9" hidden="true"/>
    <cellStyle name="Followed Hyperlink" xfId="1577" builtinId="9" hidden="true"/>
    <cellStyle name="Followed Hyperlink" xfId="1579" builtinId="9" hidden="true"/>
    <cellStyle name="Followed Hyperlink" xfId="1581" builtinId="9" hidden="true"/>
    <cellStyle name="Followed Hyperlink" xfId="1583" builtinId="9" hidden="true"/>
    <cellStyle name="Followed Hyperlink" xfId="1585" builtinId="9" hidden="true"/>
    <cellStyle name="Followed Hyperlink" xfId="1587" builtinId="9" hidden="true"/>
    <cellStyle name="Followed Hyperlink" xfId="1589" builtinId="9" hidden="true"/>
    <cellStyle name="Followed Hyperlink" xfId="1591" builtinId="9" hidden="true"/>
    <cellStyle name="Followed Hyperlink" xfId="1593" builtinId="9" hidden="true"/>
    <cellStyle name="Followed Hyperlink" xfId="1595" builtinId="9" hidden="true"/>
    <cellStyle name="Followed Hyperlink" xfId="1597" builtinId="9" hidden="true"/>
    <cellStyle name="Followed Hyperlink" xfId="1599" builtinId="9" hidden="true"/>
    <cellStyle name="Followed Hyperlink" xfId="1601" builtinId="9" hidden="true"/>
    <cellStyle name="Followed Hyperlink" xfId="1603" builtinId="9" hidden="true"/>
    <cellStyle name="Followed Hyperlink" xfId="1605" builtinId="9" hidden="true"/>
    <cellStyle name="Followed Hyperlink" xfId="1607" builtinId="9" hidden="true"/>
    <cellStyle name="Followed Hyperlink" xfId="1609" builtinId="9" hidden="true"/>
    <cellStyle name="Followed Hyperlink" xfId="1611" builtinId="9" hidden="true"/>
    <cellStyle name="Followed Hyperlink" xfId="1613" builtinId="9" hidden="true"/>
    <cellStyle name="Followed Hyperlink" xfId="1615" builtinId="9" hidden="true"/>
    <cellStyle name="Followed Hyperlink" xfId="1617" builtinId="9" hidden="true"/>
    <cellStyle name="Followed Hyperlink" xfId="1619" builtinId="9" hidden="true"/>
    <cellStyle name="Followed Hyperlink" xfId="1621" builtinId="9" hidden="true"/>
    <cellStyle name="Followed Hyperlink" xfId="1623" builtinId="9" hidden="true"/>
    <cellStyle name="Followed Hyperlink" xfId="1625" builtinId="9" hidden="true"/>
    <cellStyle name="Followed Hyperlink" xfId="1627" builtinId="9" hidden="true"/>
    <cellStyle name="Followed Hyperlink" xfId="1629" builtinId="9" hidden="true"/>
    <cellStyle name="Followed Hyperlink" xfId="1631" builtinId="9" hidden="true"/>
    <cellStyle name="Followed Hyperlink" xfId="1633" builtinId="9" hidden="true"/>
    <cellStyle name="Followed Hyperlink" xfId="1635" builtinId="9" hidden="true"/>
    <cellStyle name="Followed Hyperlink" xfId="1637" builtinId="9" hidden="true"/>
    <cellStyle name="Followed Hyperlink" xfId="1639" builtinId="9" hidden="true"/>
    <cellStyle name="Followed Hyperlink" xfId="1641" builtinId="9" hidden="true"/>
    <cellStyle name="Followed Hyperlink" xfId="1643" builtinId="9" hidden="true"/>
    <cellStyle name="Followed Hyperlink" xfId="1645" builtinId="9" hidden="true"/>
    <cellStyle name="Followed Hyperlink" xfId="1647" builtinId="9" hidden="true"/>
    <cellStyle name="Followed Hyperlink" xfId="1649" builtinId="9" hidden="true"/>
    <cellStyle name="Followed Hyperlink" xfId="1651" builtinId="9" hidden="true"/>
    <cellStyle name="Followed Hyperlink" xfId="1653" builtinId="9" hidden="true"/>
    <cellStyle name="Followed Hyperlink" xfId="1655" builtinId="9" hidden="true"/>
    <cellStyle name="Followed Hyperlink" xfId="1657" builtinId="9" hidden="true"/>
    <cellStyle name="Followed Hyperlink" xfId="1659" builtinId="9" hidden="true"/>
    <cellStyle name="Followed Hyperlink" xfId="1661" builtinId="9" hidden="true"/>
    <cellStyle name="Followed Hyperlink" xfId="1663" builtinId="9" hidden="true"/>
    <cellStyle name="Followed Hyperlink" xfId="1665" builtinId="9" hidden="true"/>
    <cellStyle name="Followed Hyperlink" xfId="1667" builtinId="9" hidden="true"/>
    <cellStyle name="Followed Hyperlink" xfId="1669" builtinId="9" hidden="true"/>
    <cellStyle name="Followed Hyperlink" xfId="1671" builtinId="9" hidden="true"/>
    <cellStyle name="Followed Hyperlink" xfId="1673" builtinId="9" hidden="true"/>
    <cellStyle name="Followed Hyperlink" xfId="1675" builtinId="9" hidden="true"/>
    <cellStyle name="Followed Hyperlink" xfId="1677" builtinId="9" hidden="true"/>
    <cellStyle name="Followed Hyperlink" xfId="1679" builtinId="9" hidden="true"/>
    <cellStyle name="Followed Hyperlink" xfId="1681" builtinId="9" hidden="true"/>
    <cellStyle name="Followed Hyperlink" xfId="1683" builtinId="9" hidden="true"/>
    <cellStyle name="Followed Hyperlink" xfId="1685" builtinId="9" hidden="true"/>
    <cellStyle name="Followed Hyperlink" xfId="1687" builtinId="9" hidden="true"/>
    <cellStyle name="Followed Hyperlink" xfId="1689" builtinId="9" hidden="true"/>
    <cellStyle name="Followed Hyperlink" xfId="1691" builtinId="9" hidden="true"/>
    <cellStyle name="Followed Hyperlink" xfId="1693" builtinId="9" hidden="true"/>
    <cellStyle name="Followed Hyperlink" xfId="1695" builtinId="9" hidden="true"/>
    <cellStyle name="Followed Hyperlink" xfId="1697" builtinId="9" hidden="true"/>
    <cellStyle name="Followed Hyperlink" xfId="1699" builtinId="9" hidden="true"/>
    <cellStyle name="Followed Hyperlink" xfId="1701" builtinId="9" hidden="true"/>
    <cellStyle name="Followed Hyperlink" xfId="1703" builtinId="9" hidden="true"/>
    <cellStyle name="Followed Hyperlink" xfId="1705" builtinId="9" hidden="true"/>
    <cellStyle name="Followed Hyperlink" xfId="1707" builtinId="9" hidden="true"/>
    <cellStyle name="Followed Hyperlink" xfId="1709" builtinId="9" hidden="true"/>
    <cellStyle name="Followed Hyperlink" xfId="1711" builtinId="9" hidden="true"/>
    <cellStyle name="Followed Hyperlink" xfId="1713" builtinId="9" hidden="true"/>
    <cellStyle name="Followed Hyperlink" xfId="1715" builtinId="9" hidden="true"/>
    <cellStyle name="Followed Hyperlink" xfId="1717" builtinId="9" hidden="true"/>
    <cellStyle name="Followed Hyperlink" xfId="1719" builtinId="9" hidden="true"/>
    <cellStyle name="Followed Hyperlink" xfId="1721" builtinId="9" hidden="true"/>
    <cellStyle name="Followed Hyperlink" xfId="1723" builtinId="9" hidden="true"/>
    <cellStyle name="Followed Hyperlink" xfId="1725" builtinId="9" hidden="true"/>
    <cellStyle name="Followed Hyperlink" xfId="1727" builtinId="9" hidden="true"/>
    <cellStyle name="Followed Hyperlink" xfId="1729" builtinId="9" hidden="true"/>
    <cellStyle name="Followed Hyperlink" xfId="1731" builtinId="9" hidden="true"/>
    <cellStyle name="Followed Hyperlink" xfId="1733" builtinId="9" hidden="true"/>
    <cellStyle name="Followed Hyperlink" xfId="1735" builtinId="9" hidden="true"/>
    <cellStyle name="Followed Hyperlink" xfId="1737" builtinId="9" hidden="true"/>
    <cellStyle name="Followed Hyperlink" xfId="1739" builtinId="9" hidden="true"/>
    <cellStyle name="Followed Hyperlink" xfId="1741" builtinId="9" hidden="true"/>
    <cellStyle name="Followed Hyperlink" xfId="1743" builtinId="9" hidden="true"/>
    <cellStyle name="Followed Hyperlink" xfId="1745" builtinId="9" hidden="true"/>
    <cellStyle name="Followed Hyperlink" xfId="1747" builtinId="9" hidden="true"/>
    <cellStyle name="Followed Hyperlink" xfId="1749" builtinId="9" hidden="true"/>
    <cellStyle name="Followed Hyperlink" xfId="1751" builtinId="9" hidden="true"/>
    <cellStyle name="Followed Hyperlink" xfId="1753" builtinId="9" hidden="true"/>
    <cellStyle name="Followed Hyperlink" xfId="1755" builtinId="9" hidden="true"/>
    <cellStyle name="Followed Hyperlink" xfId="1757" builtinId="9" hidden="true"/>
    <cellStyle name="Followed Hyperlink" xfId="1759" builtinId="9" hidden="true"/>
    <cellStyle name="Followed Hyperlink" xfId="1761" builtinId="9" hidden="true"/>
    <cellStyle name="Followed Hyperlink" xfId="1763" builtinId="9" hidden="true"/>
    <cellStyle name="Followed Hyperlink" xfId="1765" builtinId="9" hidden="true"/>
    <cellStyle name="Followed Hyperlink" xfId="1767" builtinId="9" hidden="true"/>
    <cellStyle name="Followed Hyperlink" xfId="1769" builtinId="9" hidden="true"/>
    <cellStyle name="Followed Hyperlink" xfId="1771" builtinId="9" hidden="true"/>
    <cellStyle name="Followed Hyperlink" xfId="1773" builtinId="9" hidden="true"/>
    <cellStyle name="Followed Hyperlink" xfId="1775" builtinId="9" hidden="true"/>
    <cellStyle name="Followed Hyperlink" xfId="1777" builtinId="9" hidden="true"/>
    <cellStyle name="Followed Hyperlink" xfId="1779" builtinId="9" hidden="true"/>
    <cellStyle name="Followed Hyperlink" xfId="1781" builtinId="9" hidden="true"/>
    <cellStyle name="Followed Hyperlink" xfId="1783" builtinId="9" hidden="true"/>
    <cellStyle name="Followed Hyperlink" xfId="1785" builtinId="9" hidden="true"/>
    <cellStyle name="Followed Hyperlink" xfId="1787" builtinId="9" hidden="true"/>
    <cellStyle name="Followed Hyperlink" xfId="1789" builtinId="9" hidden="true"/>
    <cellStyle name="Followed Hyperlink" xfId="1791" builtinId="9" hidden="true"/>
    <cellStyle name="Followed Hyperlink" xfId="1793" builtinId="9" hidden="true"/>
    <cellStyle name="Followed Hyperlink" xfId="1795" builtinId="9" hidden="true"/>
    <cellStyle name="Followed Hyperlink" xfId="1797" builtinId="9" hidden="true"/>
    <cellStyle name="Followed Hyperlink" xfId="1799" builtinId="9" hidden="true"/>
    <cellStyle name="Followed Hyperlink" xfId="1801" builtinId="9" hidden="true"/>
    <cellStyle name="Followed Hyperlink" xfId="1803" builtinId="9" hidden="true"/>
    <cellStyle name="Followed Hyperlink" xfId="1805" builtinId="9" hidden="true"/>
    <cellStyle name="Followed Hyperlink" xfId="1807" builtinId="9" hidden="true"/>
    <cellStyle name="Followed Hyperlink" xfId="1809" builtinId="9" hidden="true"/>
    <cellStyle name="Followed Hyperlink" xfId="1811" builtinId="9" hidden="true"/>
    <cellStyle name="Followed Hyperlink" xfId="1813" builtinId="9" hidden="true"/>
    <cellStyle name="Followed Hyperlink" xfId="1815" builtinId="9" hidden="true"/>
    <cellStyle name="Followed Hyperlink" xfId="1817" builtinId="9" hidden="true"/>
    <cellStyle name="Followed Hyperlink" xfId="1819" builtinId="9" hidden="true"/>
    <cellStyle name="Followed Hyperlink" xfId="1821" builtinId="9" hidden="true"/>
    <cellStyle name="Followed Hyperlink" xfId="1823" builtinId="9" hidden="true"/>
    <cellStyle name="Followed Hyperlink" xfId="1825" builtinId="9" hidden="true"/>
    <cellStyle name="Followed Hyperlink" xfId="1827" builtinId="9" hidden="true"/>
    <cellStyle name="Followed Hyperlink" xfId="1829" builtinId="9" hidden="true"/>
    <cellStyle name="Followed Hyperlink" xfId="1831" builtinId="9" hidden="true"/>
    <cellStyle name="Followed Hyperlink" xfId="1833" builtinId="9" hidden="true"/>
    <cellStyle name="Followed Hyperlink" xfId="1835" builtinId="9" hidden="true"/>
    <cellStyle name="Followed Hyperlink" xfId="1837" builtinId="9" hidden="true"/>
    <cellStyle name="Followed Hyperlink" xfId="1839" builtinId="9" hidden="true"/>
    <cellStyle name="Followed Hyperlink" xfId="1841" builtinId="9" hidden="true"/>
    <cellStyle name="Followed Hyperlink" xfId="1843" builtinId="9" hidden="true"/>
    <cellStyle name="Followed Hyperlink" xfId="1845" builtinId="9" hidden="true"/>
    <cellStyle name="Followed Hyperlink" xfId="1847" builtinId="9" hidden="true"/>
    <cellStyle name="Followed Hyperlink" xfId="1849" builtinId="9" hidden="true"/>
    <cellStyle name="Followed Hyperlink" xfId="1851" builtinId="9" hidden="true"/>
    <cellStyle name="Followed Hyperlink" xfId="1853" builtinId="9" hidden="true"/>
    <cellStyle name="Followed Hyperlink" xfId="1855" builtinId="9" hidden="true"/>
    <cellStyle name="Followed Hyperlink" xfId="1857" builtinId="9" hidden="true"/>
    <cellStyle name="Followed Hyperlink" xfId="1859" builtinId="9" hidden="true"/>
    <cellStyle name="Followed Hyperlink" xfId="1861" builtinId="9" hidden="true"/>
    <cellStyle name="Followed Hyperlink" xfId="1863" builtinId="9" hidden="true"/>
    <cellStyle name="Followed Hyperlink" xfId="1865" builtinId="9" hidden="true"/>
    <cellStyle name="Followed Hyperlink" xfId="1867" builtinId="9" hidden="true"/>
    <cellStyle name="Followed Hyperlink" xfId="1869" builtinId="9" hidden="true"/>
    <cellStyle name="Followed Hyperlink" xfId="1871" builtinId="9" hidden="true"/>
    <cellStyle name="Followed Hyperlink" xfId="1873" builtinId="9" hidden="true"/>
    <cellStyle name="Followed Hyperlink" xfId="1875" builtinId="9" hidden="true"/>
    <cellStyle name="Followed Hyperlink" xfId="1877" builtinId="9" hidden="true"/>
    <cellStyle name="Followed Hyperlink" xfId="1879" builtinId="9" hidden="true"/>
    <cellStyle name="Followed Hyperlink" xfId="1881" builtinId="9" hidden="true"/>
    <cellStyle name="Followed Hyperlink" xfId="1883" builtinId="9" hidden="true"/>
    <cellStyle name="Followed Hyperlink" xfId="1885" builtinId="9" hidden="true"/>
    <cellStyle name="Followed Hyperlink" xfId="1887" builtinId="9" hidden="true"/>
    <cellStyle name="Followed Hyperlink" xfId="1889" builtinId="9" hidden="true"/>
    <cellStyle name="Followed Hyperlink" xfId="1891" builtinId="9" hidden="true"/>
    <cellStyle name="Followed Hyperlink" xfId="1893" builtinId="9" hidden="true"/>
    <cellStyle name="Followed Hyperlink" xfId="1895" builtinId="9" hidden="true"/>
    <cellStyle name="Followed Hyperlink" xfId="1897" builtinId="9" hidden="true"/>
    <cellStyle name="Followed Hyperlink" xfId="1899" builtinId="9" hidden="true"/>
    <cellStyle name="Followed Hyperlink" xfId="1901" builtinId="9" hidden="true"/>
    <cellStyle name="Followed Hyperlink" xfId="1903" builtinId="9" hidden="true"/>
    <cellStyle name="Followed Hyperlink" xfId="1905" builtinId="9" hidden="true"/>
    <cellStyle name="Followed Hyperlink" xfId="1907" builtinId="9" hidden="true"/>
    <cellStyle name="Followed Hyperlink" xfId="1909" builtinId="9" hidden="true"/>
    <cellStyle name="Followed Hyperlink" xfId="1911" builtinId="9" hidden="true"/>
    <cellStyle name="Followed Hyperlink" xfId="1913" builtinId="9" hidden="true"/>
    <cellStyle name="Followed Hyperlink" xfId="1915" builtinId="9" hidden="true"/>
    <cellStyle name="Followed Hyperlink" xfId="1917" builtinId="9" hidden="true"/>
    <cellStyle name="Followed Hyperlink" xfId="1919" builtinId="9" hidden="true"/>
    <cellStyle name="Followed Hyperlink" xfId="1921" builtinId="9" hidden="true"/>
    <cellStyle name="Followed Hyperlink" xfId="1923" builtinId="9" hidden="true"/>
    <cellStyle name="Followed Hyperlink" xfId="1925" builtinId="9" hidden="true"/>
    <cellStyle name="Followed Hyperlink" xfId="1927" builtinId="9" hidden="true"/>
    <cellStyle name="Followed Hyperlink" xfId="1929" builtinId="9" hidden="true"/>
    <cellStyle name="Followed Hyperlink" xfId="1931" builtinId="9" hidden="true"/>
    <cellStyle name="Followed Hyperlink" xfId="1933" builtinId="9" hidden="true"/>
    <cellStyle name="Followed Hyperlink" xfId="1935" builtinId="9" hidden="true"/>
    <cellStyle name="Followed Hyperlink" xfId="1937" builtinId="9" hidden="true"/>
    <cellStyle name="Followed Hyperlink" xfId="1939" builtinId="9" hidden="true"/>
    <cellStyle name="Followed Hyperlink" xfId="1941" builtinId="9" hidden="true"/>
    <cellStyle name="Followed Hyperlink" xfId="1943" builtinId="9" hidden="true"/>
    <cellStyle name="Followed Hyperlink" xfId="1945" builtinId="9" hidden="true"/>
    <cellStyle name="Followed Hyperlink" xfId="1947" builtinId="9" hidden="true"/>
    <cellStyle name="Followed Hyperlink" xfId="1949" builtinId="9" hidden="true"/>
    <cellStyle name="Followed Hyperlink" xfId="1951" builtinId="9" hidden="true"/>
    <cellStyle name="Followed Hyperlink" xfId="1953" builtinId="9" hidden="true"/>
    <cellStyle name="Followed Hyperlink" xfId="1955" builtinId="9" hidden="true"/>
    <cellStyle name="Followed Hyperlink" xfId="1957" builtinId="9" hidden="true"/>
    <cellStyle name="Followed Hyperlink" xfId="1959" builtinId="9" hidden="true"/>
    <cellStyle name="Followed Hyperlink" xfId="1961" builtinId="9" hidden="true"/>
    <cellStyle name="Followed Hyperlink" xfId="1963" builtinId="9" hidden="true"/>
    <cellStyle name="Followed Hyperlink" xfId="1965" builtinId="9" hidden="true"/>
    <cellStyle name="Followed Hyperlink" xfId="1967" builtinId="9" hidden="true"/>
    <cellStyle name="Followed Hyperlink" xfId="1969" builtinId="9" hidden="true"/>
    <cellStyle name="Followed Hyperlink" xfId="1971" builtinId="9" hidden="true"/>
    <cellStyle name="Followed Hyperlink" xfId="1973" builtinId="9" hidden="true"/>
    <cellStyle name="Followed Hyperlink" xfId="1975" builtinId="9" hidden="true"/>
    <cellStyle name="Followed Hyperlink" xfId="1977" builtinId="9" hidden="true"/>
    <cellStyle name="Followed Hyperlink" xfId="1979" builtinId="9" hidden="true"/>
    <cellStyle name="Followed Hyperlink" xfId="1981" builtinId="9" hidden="true"/>
    <cellStyle name="Followed Hyperlink" xfId="1983" builtinId="9" hidden="true"/>
    <cellStyle name="Followed Hyperlink" xfId="1985" builtinId="9" hidden="true"/>
    <cellStyle name="Followed Hyperlink" xfId="1987" builtinId="9" hidden="true"/>
    <cellStyle name="Followed Hyperlink" xfId="1989" builtinId="9" hidden="true"/>
    <cellStyle name="Followed Hyperlink" xfId="1991" builtinId="9" hidden="true"/>
    <cellStyle name="Followed Hyperlink" xfId="1993" builtinId="9" hidden="true"/>
    <cellStyle name="Followed Hyperlink" xfId="1995" builtinId="9" hidden="true"/>
    <cellStyle name="Followed Hyperlink" xfId="1997" builtinId="9" hidden="true"/>
    <cellStyle name="Followed Hyperlink" xfId="1999" builtinId="9" hidden="true"/>
    <cellStyle name="Followed Hyperlink" xfId="2001" builtinId="9" hidden="true"/>
    <cellStyle name="Followed Hyperlink" xfId="2003" builtinId="9" hidden="true"/>
    <cellStyle name="Followed Hyperlink" xfId="2005" builtinId="9" hidden="true"/>
    <cellStyle name="Followed Hyperlink" xfId="2007" builtinId="9" hidden="true"/>
    <cellStyle name="Followed Hyperlink" xfId="2009" builtinId="9" hidden="true"/>
    <cellStyle name="Followed Hyperlink" xfId="2011" builtinId="9" hidden="true"/>
    <cellStyle name="Followed Hyperlink" xfId="2013" builtinId="9" hidden="true"/>
    <cellStyle name="Followed Hyperlink" xfId="2015" builtinId="9" hidden="true"/>
    <cellStyle name="Followed Hyperlink" xfId="2017" builtinId="9" hidden="true"/>
    <cellStyle name="Followed Hyperlink" xfId="2019" builtinId="9" hidden="true"/>
    <cellStyle name="Followed Hyperlink" xfId="2021" builtinId="9" hidden="true"/>
    <cellStyle name="Followed Hyperlink" xfId="2023" builtinId="9" hidden="true"/>
    <cellStyle name="Followed Hyperlink" xfId="2025" builtinId="9" hidden="true"/>
    <cellStyle name="Followed Hyperlink" xfId="2027" builtinId="9" hidden="true"/>
    <cellStyle name="Followed Hyperlink" xfId="2029" builtinId="9" hidden="true"/>
    <cellStyle name="Followed Hyperlink" xfId="2031" builtinId="9" hidden="true"/>
    <cellStyle name="Followed Hyperlink" xfId="2033" builtinId="9" hidden="true"/>
    <cellStyle name="Followed Hyperlink" xfId="2035" builtinId="9" hidden="true"/>
    <cellStyle name="Followed Hyperlink" xfId="2037" builtinId="9" hidden="true"/>
    <cellStyle name="Followed Hyperlink" xfId="2039" builtinId="9" hidden="true"/>
    <cellStyle name="Followed Hyperlink" xfId="2041" builtinId="9" hidden="true"/>
    <cellStyle name="Followed Hyperlink" xfId="2043" builtinId="9" hidden="true"/>
    <cellStyle name="Followed Hyperlink" xfId="2045" builtinId="9" hidden="true"/>
    <cellStyle name="Followed Hyperlink" xfId="2047" builtinId="9" hidden="true"/>
    <cellStyle name="Followed Hyperlink" xfId="2049" builtinId="9" hidden="true"/>
    <cellStyle name="Followed Hyperlink" xfId="2051" builtinId="9" hidden="true"/>
    <cellStyle name="Followed Hyperlink" xfId="2053" builtinId="9" hidden="true"/>
    <cellStyle name="Followed Hyperlink" xfId="2055" builtinId="9" hidden="true"/>
    <cellStyle name="Followed Hyperlink" xfId="2057" builtinId="9" hidden="true"/>
    <cellStyle name="Followed Hyperlink" xfId="2059" builtinId="9" hidden="true"/>
    <cellStyle name="Followed Hyperlink" xfId="2061" builtinId="9" hidden="true"/>
    <cellStyle name="Followed Hyperlink" xfId="2063" builtinId="9" hidden="true"/>
    <cellStyle name="Followed Hyperlink" xfId="2065" builtinId="9" hidden="true"/>
    <cellStyle name="Followed Hyperlink" xfId="2067" builtinId="9" hidden="true"/>
    <cellStyle name="Followed Hyperlink" xfId="2069" builtinId="9" hidden="true"/>
    <cellStyle name="Followed Hyperlink" xfId="2071" builtinId="9" hidden="true"/>
    <cellStyle name="Followed Hyperlink" xfId="2073" builtinId="9" hidden="true"/>
    <cellStyle name="Followed Hyperlink" xfId="2075" builtinId="9" hidden="true"/>
    <cellStyle name="Followed Hyperlink" xfId="2077" builtinId="9" hidden="true"/>
    <cellStyle name="Followed Hyperlink" xfId="2079" builtinId="9" hidden="true"/>
    <cellStyle name="Followed Hyperlink" xfId="2081" builtinId="9" hidden="true"/>
    <cellStyle name="Followed Hyperlink" xfId="2083" builtinId="9" hidden="true"/>
    <cellStyle name="Followed Hyperlink" xfId="2085" builtinId="9" hidden="true"/>
    <cellStyle name="Followed Hyperlink" xfId="2087" builtinId="9" hidden="true"/>
    <cellStyle name="Followed Hyperlink" xfId="2089" builtinId="9" hidden="true"/>
    <cellStyle name="Followed Hyperlink" xfId="2091" builtinId="9" hidden="true"/>
    <cellStyle name="Followed Hyperlink" xfId="2093" builtinId="9" hidden="true"/>
    <cellStyle name="Followed Hyperlink" xfId="2095" builtinId="9" hidden="true"/>
    <cellStyle name="Followed Hyperlink" xfId="2097" builtinId="9" hidden="true"/>
    <cellStyle name="Followed Hyperlink" xfId="2099" builtinId="9" hidden="true"/>
    <cellStyle name="Followed Hyperlink" xfId="2101" builtinId="9" hidden="true"/>
    <cellStyle name="Followed Hyperlink" xfId="2103" builtinId="9" hidden="true"/>
    <cellStyle name="Followed Hyperlink" xfId="2105" builtinId="9" hidden="true"/>
    <cellStyle name="Followed Hyperlink" xfId="2107" builtinId="9" hidden="true"/>
    <cellStyle name="Followed Hyperlink" xfId="2109" builtinId="9" hidden="true"/>
    <cellStyle name="Followed Hyperlink" xfId="2111" builtinId="9" hidden="true"/>
    <cellStyle name="Followed Hyperlink" xfId="2113" builtinId="9" hidden="true"/>
    <cellStyle name="Followed Hyperlink" xfId="2115" builtinId="9" hidden="true"/>
    <cellStyle name="Followed Hyperlink" xfId="2117" builtinId="9" hidden="true"/>
    <cellStyle name="Followed Hyperlink" xfId="2119" builtinId="9" hidden="true"/>
    <cellStyle name="Followed Hyperlink" xfId="2121" builtinId="9" hidden="true"/>
    <cellStyle name="Followed Hyperlink" xfId="2123" builtinId="9" hidden="true"/>
    <cellStyle name="Followed Hyperlink" xfId="2125" builtinId="9" hidden="true"/>
    <cellStyle name="Followed Hyperlink" xfId="2127" builtinId="9" hidden="true"/>
    <cellStyle name="Followed Hyperlink" xfId="2129" builtinId="9" hidden="true"/>
    <cellStyle name="Followed Hyperlink" xfId="2131" builtinId="9" hidden="true"/>
    <cellStyle name="Followed Hyperlink" xfId="2133" builtinId="9" hidden="true"/>
    <cellStyle name="Followed Hyperlink" xfId="2135" builtinId="9" hidden="true"/>
    <cellStyle name="Followed Hyperlink" xfId="2137" builtinId="9" hidden="true"/>
    <cellStyle name="Followed Hyperlink" xfId="2139" builtinId="9" hidden="true"/>
    <cellStyle name="Followed Hyperlink" xfId="2141" builtinId="9" hidden="true"/>
    <cellStyle name="Followed Hyperlink" xfId="2143" builtinId="9" hidden="true"/>
    <cellStyle name="Followed Hyperlink" xfId="2145" builtinId="9" hidden="true"/>
    <cellStyle name="Followed Hyperlink" xfId="2147" builtinId="9" hidden="true"/>
    <cellStyle name="Followed Hyperlink" xfId="2149" builtinId="9" hidden="true"/>
    <cellStyle name="Followed Hyperlink" xfId="2151" builtinId="9" hidden="true"/>
    <cellStyle name="Followed Hyperlink" xfId="2153" builtinId="9" hidden="true"/>
    <cellStyle name="Followed Hyperlink" xfId="2155" builtinId="9" hidden="true"/>
    <cellStyle name="Followed Hyperlink" xfId="2157" builtinId="9" hidden="true"/>
    <cellStyle name="Followed Hyperlink" xfId="2159" builtinId="9" hidden="true"/>
    <cellStyle name="Followed Hyperlink" xfId="2161" builtinId="9" hidden="true"/>
    <cellStyle name="Followed Hyperlink" xfId="2163" builtinId="9" hidden="true"/>
    <cellStyle name="Followed Hyperlink" xfId="2165" builtinId="9" hidden="true"/>
    <cellStyle name="Followed Hyperlink" xfId="2167" builtinId="9" hidden="true"/>
    <cellStyle name="Followed Hyperlink" xfId="2169" builtinId="9" hidden="true"/>
    <cellStyle name="Followed Hyperlink" xfId="2171" builtinId="9" hidden="true"/>
    <cellStyle name="Followed Hyperlink" xfId="2173" builtinId="9" hidden="true"/>
    <cellStyle name="Followed Hyperlink" xfId="2175" builtinId="9" hidden="true"/>
    <cellStyle name="Followed Hyperlink" xfId="2177" builtinId="9" hidden="true"/>
    <cellStyle name="Followed Hyperlink" xfId="2179" builtinId="9" hidden="true"/>
    <cellStyle name="Followed Hyperlink" xfId="2181" builtinId="9" hidden="true"/>
    <cellStyle name="Followed Hyperlink" xfId="2183" builtinId="9" hidden="true"/>
    <cellStyle name="Followed Hyperlink" xfId="2185" builtinId="9" hidden="true"/>
    <cellStyle name="Followed Hyperlink" xfId="2187" builtinId="9" hidden="true"/>
    <cellStyle name="Followed Hyperlink" xfId="2189" builtinId="9" hidden="true"/>
    <cellStyle name="Followed Hyperlink" xfId="2191" builtinId="9" hidden="true"/>
    <cellStyle name="Followed Hyperlink" xfId="2193" builtinId="9" hidden="true"/>
    <cellStyle name="Followed Hyperlink" xfId="2195" builtinId="9" hidden="true"/>
    <cellStyle name="Followed Hyperlink" xfId="2197" builtinId="9" hidden="true"/>
    <cellStyle name="Followed Hyperlink" xfId="2199" builtinId="9" hidden="true"/>
    <cellStyle name="Followed Hyperlink" xfId="2201" builtinId="9" hidden="true"/>
    <cellStyle name="Followed Hyperlink" xfId="2203" builtinId="9" hidden="true"/>
    <cellStyle name="Followed Hyperlink" xfId="2205" builtinId="9" hidden="true"/>
    <cellStyle name="Followed Hyperlink" xfId="2207" builtinId="9" hidden="true"/>
    <cellStyle name="Followed Hyperlink" xfId="2209" builtinId="9" hidden="true"/>
    <cellStyle name="Followed Hyperlink" xfId="2211" builtinId="9" hidden="true"/>
    <cellStyle name="Followed Hyperlink" xfId="2213" builtinId="9" hidden="true"/>
    <cellStyle name="Followed Hyperlink" xfId="2215" builtinId="9" hidden="true"/>
    <cellStyle name="Followed Hyperlink" xfId="2217" builtinId="9" hidden="true"/>
    <cellStyle name="Followed Hyperlink" xfId="2219" builtinId="9" hidden="true"/>
    <cellStyle name="Followed Hyperlink" xfId="2221" builtinId="9" hidden="true"/>
    <cellStyle name="Followed Hyperlink" xfId="2223" builtinId="9" hidden="true"/>
    <cellStyle name="Followed Hyperlink" xfId="2225" builtinId="9" hidden="true"/>
    <cellStyle name="Followed Hyperlink" xfId="2227" builtinId="9" hidden="true"/>
    <cellStyle name="Followed Hyperlink" xfId="2229" builtinId="9" hidden="true"/>
    <cellStyle name="Followed Hyperlink" xfId="2231" builtinId="9" hidden="true"/>
    <cellStyle name="Followed Hyperlink" xfId="2233" builtinId="9" hidden="true"/>
    <cellStyle name="Followed Hyperlink" xfId="2235" builtinId="9" hidden="true"/>
    <cellStyle name="Followed Hyperlink" xfId="2237" builtinId="9" hidden="true"/>
    <cellStyle name="Followed Hyperlink" xfId="2239" builtinId="9" hidden="true"/>
    <cellStyle name="Followed Hyperlink" xfId="2241" builtinId="9" hidden="true"/>
    <cellStyle name="Followed Hyperlink" xfId="2243" builtinId="9" hidden="true"/>
    <cellStyle name="Followed Hyperlink" xfId="2245" builtinId="9" hidden="true"/>
    <cellStyle name="Followed Hyperlink" xfId="2247" builtinId="9" hidden="true"/>
    <cellStyle name="Followed Hyperlink" xfId="2249" builtinId="9" hidden="true"/>
    <cellStyle name="Followed Hyperlink" xfId="2251" builtinId="9" hidden="true"/>
    <cellStyle name="Followed Hyperlink" xfId="2253" builtinId="9" hidden="true"/>
    <cellStyle name="Followed Hyperlink" xfId="2255" builtinId="9" hidden="true"/>
    <cellStyle name="Followed Hyperlink" xfId="2257" builtinId="9" hidden="true"/>
    <cellStyle name="Followed Hyperlink" xfId="2259" builtinId="9" hidden="true"/>
    <cellStyle name="Followed Hyperlink" xfId="2261" builtinId="9" hidden="true"/>
    <cellStyle name="Followed Hyperlink" xfId="2263" builtinId="9" hidden="true"/>
    <cellStyle name="Followed Hyperlink" xfId="2265" builtinId="9" hidden="true"/>
    <cellStyle name="Followed Hyperlink" xfId="2267" builtinId="9" hidden="true"/>
    <cellStyle name="Followed Hyperlink" xfId="2269" builtinId="9" hidden="true"/>
    <cellStyle name="Followed Hyperlink" xfId="2271" builtinId="9" hidden="true"/>
    <cellStyle name="Followed Hyperlink" xfId="2273" builtinId="9" hidden="true"/>
    <cellStyle name="Followed Hyperlink" xfId="2275" builtinId="9" hidden="true"/>
    <cellStyle name="Followed Hyperlink" xfId="2277" builtinId="9" hidden="true"/>
    <cellStyle name="Followed Hyperlink" xfId="2279" builtinId="9" hidden="true"/>
    <cellStyle name="Followed Hyperlink" xfId="2281" builtinId="9" hidden="true"/>
    <cellStyle name="Followed Hyperlink" xfId="2283" builtinId="9" hidden="true"/>
    <cellStyle name="Followed Hyperlink" xfId="2285" builtinId="9" hidden="true"/>
    <cellStyle name="Followed Hyperlink" xfId="2287" builtinId="9" hidden="true"/>
    <cellStyle name="Followed Hyperlink" xfId="2289" builtinId="9" hidden="true"/>
    <cellStyle name="Followed Hyperlink" xfId="2291" builtinId="9" hidden="true"/>
    <cellStyle name="Followed Hyperlink" xfId="2293" builtinId="9" hidden="true"/>
    <cellStyle name="Followed Hyperlink" xfId="2295" builtinId="9" hidden="true"/>
    <cellStyle name="Followed Hyperlink" xfId="2297" builtinId="9" hidden="true"/>
    <cellStyle name="Followed Hyperlink" xfId="2299" builtinId="9" hidden="true"/>
    <cellStyle name="Followed Hyperlink" xfId="2301" builtinId="9" hidden="true"/>
    <cellStyle name="Followed Hyperlink" xfId="2303" builtinId="9" hidden="true"/>
    <cellStyle name="Followed Hyperlink" xfId="2305" builtinId="9" hidden="true"/>
    <cellStyle name="Followed Hyperlink" xfId="2307" builtinId="9" hidden="true"/>
    <cellStyle name="Followed Hyperlink" xfId="2309" builtinId="9" hidden="true"/>
    <cellStyle name="Followed Hyperlink" xfId="2311" builtinId="9" hidden="true"/>
    <cellStyle name="Followed Hyperlink" xfId="2313" builtinId="9" hidden="true"/>
    <cellStyle name="Followed Hyperlink" xfId="2315" builtinId="9" hidden="true"/>
    <cellStyle name="Followed Hyperlink" xfId="2317" builtinId="9" hidden="true"/>
    <cellStyle name="Followed Hyperlink" xfId="2319" builtinId="9" hidden="true"/>
    <cellStyle name="Followed Hyperlink" xfId="2321" builtinId="9" hidden="true"/>
    <cellStyle name="Followed Hyperlink" xfId="2323" builtinId="9" hidden="true"/>
    <cellStyle name="Followed Hyperlink" xfId="2325" builtinId="9" hidden="true"/>
    <cellStyle name="Followed Hyperlink" xfId="2327" builtinId="9" hidden="true"/>
    <cellStyle name="Followed Hyperlink" xfId="2329" builtinId="9" hidden="true"/>
    <cellStyle name="Followed Hyperlink" xfId="2331" builtinId="9" hidden="true"/>
    <cellStyle name="Followed Hyperlink" xfId="2333" builtinId="9" hidden="true"/>
    <cellStyle name="Followed Hyperlink" xfId="2335" builtinId="9" hidden="true"/>
    <cellStyle name="Followed Hyperlink" xfId="2337" builtinId="9" hidden="true"/>
    <cellStyle name="Followed Hyperlink" xfId="2339" builtinId="9" hidden="true"/>
    <cellStyle name="Followed Hyperlink" xfId="2341" builtinId="9" hidden="true"/>
    <cellStyle name="Followed Hyperlink" xfId="2343" builtinId="9" hidden="true"/>
    <cellStyle name="Followed Hyperlink" xfId="2345" builtinId="9" hidden="true"/>
    <cellStyle name="Followed Hyperlink" xfId="2347" builtinId="9" hidden="true"/>
    <cellStyle name="Followed Hyperlink" xfId="2349" builtinId="9" hidden="true"/>
    <cellStyle name="Followed Hyperlink" xfId="2351" builtinId="9" hidden="true"/>
    <cellStyle name="Followed Hyperlink" xfId="2353" builtinId="9" hidden="true"/>
    <cellStyle name="Followed Hyperlink" xfId="2355" builtinId="9" hidden="true"/>
    <cellStyle name="Followed Hyperlink" xfId="2357" builtinId="9" hidden="true"/>
    <cellStyle name="Followed Hyperlink" xfId="2359" builtinId="9" hidden="true"/>
    <cellStyle name="Followed Hyperlink" xfId="2361" builtinId="9" hidden="true"/>
    <cellStyle name="Followed Hyperlink" xfId="2363" builtinId="9" hidden="true"/>
    <cellStyle name="Followed Hyperlink" xfId="2365" builtinId="9" hidden="true"/>
    <cellStyle name="Followed Hyperlink" xfId="2367" builtinId="9" hidden="true"/>
    <cellStyle name="Followed Hyperlink" xfId="2369" builtinId="9" hidden="true"/>
    <cellStyle name="Followed Hyperlink" xfId="2371" builtinId="9" hidden="true"/>
    <cellStyle name="Followed Hyperlink" xfId="2373" builtinId="9" hidden="true"/>
    <cellStyle name="Followed Hyperlink" xfId="2375" builtinId="9" hidden="true"/>
    <cellStyle name="Followed Hyperlink" xfId="2377" builtinId="9" hidden="true"/>
    <cellStyle name="Followed Hyperlink" xfId="2379" builtinId="9" hidden="true"/>
    <cellStyle name="Followed Hyperlink" xfId="2381" builtinId="9" hidden="true"/>
    <cellStyle name="Followed Hyperlink" xfId="2383" builtinId="9" hidden="true"/>
    <cellStyle name="Followed Hyperlink" xfId="2385" builtinId="9" hidden="true"/>
    <cellStyle name="Followed Hyperlink" xfId="2387" builtinId="9" hidden="true"/>
    <cellStyle name="Followed Hyperlink" xfId="2389" builtinId="9" hidden="true"/>
    <cellStyle name="Followed Hyperlink" xfId="2391" builtinId="9" hidden="true"/>
    <cellStyle name="Followed Hyperlink" xfId="2393" builtinId="9" hidden="true"/>
    <cellStyle name="Followed Hyperlink" xfId="2395" builtinId="9" hidden="true"/>
    <cellStyle name="Followed Hyperlink" xfId="2397" builtinId="9" hidden="true"/>
    <cellStyle name="Followed Hyperlink" xfId="2399" builtinId="9" hidden="true"/>
    <cellStyle name="Followed Hyperlink" xfId="2401" builtinId="9" hidden="true"/>
    <cellStyle name="Followed Hyperlink" xfId="2403" builtinId="9" hidden="true"/>
    <cellStyle name="Followed Hyperlink" xfId="2405" builtinId="9" hidden="true"/>
    <cellStyle name="Followed Hyperlink" xfId="2407" builtinId="9" hidden="true"/>
    <cellStyle name="Followed Hyperlink" xfId="2409" builtinId="9" hidden="true"/>
    <cellStyle name="Followed Hyperlink" xfId="2411" builtinId="9" hidden="true"/>
    <cellStyle name="Followed Hyperlink" xfId="2413" builtinId="9" hidden="true"/>
    <cellStyle name="Followed Hyperlink" xfId="2415" builtinId="9" hidden="true"/>
    <cellStyle name="Followed Hyperlink" xfId="2417" builtinId="9" hidden="true"/>
    <cellStyle name="Followed Hyperlink" xfId="2419" builtinId="9" hidden="true"/>
    <cellStyle name="Followed Hyperlink" xfId="2421" builtinId="9" hidden="true"/>
    <cellStyle name="Followed Hyperlink" xfId="2423" builtinId="9" hidden="true"/>
    <cellStyle name="Followed Hyperlink" xfId="2425" builtinId="9" hidden="true"/>
    <cellStyle name="Followed Hyperlink" xfId="2427" builtinId="9" hidden="true"/>
    <cellStyle name="Followed Hyperlink" xfId="2429" builtinId="9" hidden="true"/>
    <cellStyle name="Followed Hyperlink" xfId="2431" builtinId="9" hidden="true"/>
    <cellStyle name="Followed Hyperlink" xfId="2433" builtinId="9" hidden="true"/>
    <cellStyle name="Followed Hyperlink" xfId="2435" builtinId="9" hidden="true"/>
    <cellStyle name="Followed Hyperlink" xfId="2437" builtinId="9" hidden="true"/>
    <cellStyle name="Followed Hyperlink" xfId="2439" builtinId="9" hidden="true"/>
    <cellStyle name="Followed Hyperlink" xfId="2441" builtinId="9" hidden="true"/>
    <cellStyle name="Followed Hyperlink" xfId="2443" builtinId="9" hidden="true"/>
    <cellStyle name="Followed Hyperlink" xfId="2445" builtinId="9" hidden="true"/>
    <cellStyle name="Followed Hyperlink" xfId="2447" builtinId="9" hidden="true"/>
    <cellStyle name="Followed Hyperlink" xfId="2449" builtinId="9" hidden="true"/>
    <cellStyle name="Followed Hyperlink" xfId="2451" builtinId="9" hidden="true"/>
    <cellStyle name="Followed Hyperlink" xfId="2453" builtinId="9" hidden="true"/>
    <cellStyle name="Followed Hyperlink" xfId="2455" builtinId="9" hidden="true"/>
    <cellStyle name="Followed Hyperlink" xfId="2457" builtinId="9" hidden="true"/>
    <cellStyle name="Followed Hyperlink" xfId="2459" builtinId="9" hidden="true"/>
    <cellStyle name="Followed Hyperlink" xfId="2461" builtinId="9" hidden="true"/>
    <cellStyle name="Followed Hyperlink" xfId="2463" builtinId="9" hidden="true"/>
    <cellStyle name="Followed Hyperlink" xfId="2465" builtinId="9" hidden="true"/>
    <cellStyle name="Followed Hyperlink" xfId="2467" builtinId="9" hidden="true"/>
    <cellStyle name="Followed Hyperlink" xfId="2469" builtinId="9" hidden="true"/>
    <cellStyle name="Followed Hyperlink" xfId="2471" builtinId="9" hidden="true"/>
    <cellStyle name="Followed Hyperlink" xfId="2473" builtinId="9" hidden="true"/>
    <cellStyle name="Followed Hyperlink" xfId="2475" builtinId="9" hidden="true"/>
    <cellStyle name="Followed Hyperlink" xfId="2477" builtinId="9" hidden="true"/>
    <cellStyle name="Followed Hyperlink" xfId="2479" builtinId="9" hidden="true"/>
    <cellStyle name="Followed Hyperlink" xfId="2481" builtinId="9" hidden="true"/>
    <cellStyle name="Followed Hyperlink" xfId="2483" builtinId="9" hidden="true"/>
    <cellStyle name="Followed Hyperlink" xfId="2485" builtinId="9" hidden="true"/>
    <cellStyle name="Followed Hyperlink" xfId="2487" builtinId="9" hidden="true"/>
    <cellStyle name="Followed Hyperlink" xfId="2489" builtinId="9" hidden="true"/>
    <cellStyle name="Followed Hyperlink" xfId="2491" builtinId="9" hidden="true"/>
    <cellStyle name="Followed Hyperlink" xfId="2493" builtinId="9" hidden="true"/>
    <cellStyle name="Followed Hyperlink" xfId="2495" builtinId="9" hidden="true"/>
    <cellStyle name="Followed Hyperlink" xfId="2497" builtinId="9" hidden="true"/>
    <cellStyle name="Followed Hyperlink" xfId="2499" builtinId="9" hidden="true"/>
    <cellStyle name="Followed Hyperlink" xfId="2501" builtinId="9" hidden="true"/>
    <cellStyle name="Followed Hyperlink" xfId="2503" builtinId="9" hidden="true"/>
    <cellStyle name="Followed Hyperlink" xfId="2505" builtinId="9" hidden="true"/>
    <cellStyle name="Followed Hyperlink" xfId="2507" builtinId="9" hidden="true"/>
    <cellStyle name="Followed Hyperlink" xfId="2509" builtinId="9" hidden="true"/>
    <cellStyle name="Followed Hyperlink" xfId="2511" builtinId="9" hidden="true"/>
    <cellStyle name="Followed Hyperlink" xfId="2513" builtinId="9" hidden="true"/>
    <cellStyle name="Followed Hyperlink" xfId="2515" builtinId="9" hidden="true"/>
    <cellStyle name="Followed Hyperlink" xfId="2517" builtinId="9" hidden="true"/>
    <cellStyle name="Followed Hyperlink" xfId="2519" builtinId="9" hidden="true"/>
    <cellStyle name="Followed Hyperlink" xfId="2521" builtinId="9" hidden="true"/>
    <cellStyle name="Followed Hyperlink" xfId="2523" builtinId="9" hidden="true"/>
    <cellStyle name="Followed Hyperlink" xfId="2525" builtinId="9" hidden="true"/>
    <cellStyle name="Followed Hyperlink" xfId="2527" builtinId="9" hidden="true"/>
    <cellStyle name="Followed Hyperlink" xfId="2529" builtinId="9" hidden="true"/>
    <cellStyle name="Followed Hyperlink" xfId="2531" builtinId="9" hidden="true"/>
    <cellStyle name="Followed Hyperlink" xfId="2533" builtinId="9" hidden="true"/>
    <cellStyle name="Followed Hyperlink" xfId="2535" builtinId="9" hidden="true"/>
    <cellStyle name="Followed Hyperlink" xfId="2537" builtinId="9" hidden="true"/>
    <cellStyle name="Followed Hyperlink" xfId="2539" builtinId="9" hidden="true"/>
    <cellStyle name="Followed Hyperlink" xfId="2541" builtinId="9" hidden="true"/>
    <cellStyle name="Followed Hyperlink" xfId="2543" builtinId="9" hidden="true"/>
    <cellStyle name="Followed Hyperlink" xfId="2545" builtinId="9" hidden="true"/>
    <cellStyle name="Followed Hyperlink" xfId="2547" builtinId="9" hidden="true"/>
    <cellStyle name="Followed Hyperlink" xfId="2549" builtinId="9" hidden="true"/>
    <cellStyle name="Followed Hyperlink" xfId="2551" builtinId="9" hidden="true"/>
    <cellStyle name="Followed Hyperlink" xfId="2553" builtinId="9" hidden="true"/>
    <cellStyle name="Followed Hyperlink" xfId="2555" builtinId="9" hidden="true"/>
    <cellStyle name="Followed Hyperlink" xfId="2557" builtinId="9" hidden="true"/>
    <cellStyle name="Followed Hyperlink" xfId="2559" builtinId="9" hidden="true"/>
    <cellStyle name="Followed Hyperlink" xfId="2561" builtinId="9" hidden="true"/>
    <cellStyle name="Followed Hyperlink" xfId="2563" builtinId="9" hidden="true"/>
    <cellStyle name="Followed Hyperlink" xfId="2565" builtinId="9" hidden="true"/>
    <cellStyle name="Followed Hyperlink" xfId="2567" builtinId="9" hidden="true"/>
    <cellStyle name="Followed Hyperlink" xfId="2569" builtinId="9" hidden="true"/>
    <cellStyle name="Followed Hyperlink" xfId="2571" builtinId="9" hidden="true"/>
    <cellStyle name="Followed Hyperlink" xfId="2573" builtinId="9" hidden="true"/>
    <cellStyle name="Followed Hyperlink" xfId="2575" builtinId="9" hidden="true"/>
    <cellStyle name="Followed Hyperlink" xfId="2577" builtinId="9" hidden="true"/>
    <cellStyle name="Followed Hyperlink" xfId="2579" builtinId="9" hidden="true"/>
    <cellStyle name="Followed Hyperlink" xfId="2581" builtinId="9" hidden="true"/>
    <cellStyle name="Followed Hyperlink" xfId="2583" builtinId="9" hidden="true"/>
    <cellStyle name="Followed Hyperlink" xfId="2585" builtinId="9" hidden="true"/>
    <cellStyle name="Followed Hyperlink" xfId="2587" builtinId="9" hidden="true"/>
    <cellStyle name="Followed Hyperlink" xfId="2589" builtinId="9" hidden="true"/>
    <cellStyle name="Followed Hyperlink" xfId="2591" builtinId="9" hidden="true"/>
    <cellStyle name="Followed Hyperlink" xfId="2593" builtinId="9" hidden="true"/>
    <cellStyle name="Followed Hyperlink" xfId="2595" builtinId="9" hidden="true"/>
    <cellStyle name="Followed Hyperlink" xfId="2597" builtinId="9" hidden="true"/>
    <cellStyle name="Followed Hyperlink" xfId="2599" builtinId="9" hidden="true"/>
    <cellStyle name="Followed Hyperlink" xfId="2601" builtinId="9" hidden="true"/>
    <cellStyle name="Followed Hyperlink" xfId="2603" builtinId="9" hidden="true"/>
    <cellStyle name="Followed Hyperlink" xfId="2605" builtinId="9" hidden="true"/>
    <cellStyle name="Followed Hyperlink" xfId="2607" builtinId="9" hidden="true"/>
    <cellStyle name="Followed Hyperlink" xfId="2609" builtinId="9" hidden="true"/>
    <cellStyle name="Followed Hyperlink" xfId="2611" builtinId="9" hidden="true"/>
    <cellStyle name="Followed Hyperlink" xfId="2613" builtinId="9" hidden="true"/>
    <cellStyle name="Followed Hyperlink" xfId="2615" builtinId="9" hidden="true"/>
    <cellStyle name="Followed Hyperlink" xfId="2617" builtinId="9" hidden="true"/>
    <cellStyle name="Followed Hyperlink" xfId="2619" builtinId="9" hidden="true"/>
    <cellStyle name="Followed Hyperlink" xfId="2621" builtinId="9" hidden="true"/>
    <cellStyle name="Followed Hyperlink" xfId="2623" builtinId="9" hidden="true"/>
    <cellStyle name="Followed Hyperlink" xfId="2625" builtinId="9" hidden="true"/>
    <cellStyle name="Followed Hyperlink" xfId="2627" builtinId="9" hidden="true"/>
    <cellStyle name="Followed Hyperlink" xfId="2629" builtinId="9" hidden="true"/>
    <cellStyle name="Followed Hyperlink" xfId="2631" builtinId="9" hidden="true"/>
    <cellStyle name="Followed Hyperlink" xfId="2633" builtinId="9" hidden="true"/>
    <cellStyle name="Followed Hyperlink" xfId="2635" builtinId="9" hidden="true"/>
    <cellStyle name="Followed Hyperlink" xfId="2637" builtinId="9" hidden="true"/>
    <cellStyle name="Followed Hyperlink" xfId="2639" builtinId="9" hidden="true"/>
    <cellStyle name="Followed Hyperlink" xfId="2641" builtinId="9" hidden="true"/>
    <cellStyle name="Followed Hyperlink" xfId="2643" builtinId="9" hidden="true"/>
    <cellStyle name="Followed Hyperlink" xfId="2645" builtinId="9" hidden="true"/>
    <cellStyle name="Followed Hyperlink" xfId="2647" builtinId="9" hidden="true"/>
    <cellStyle name="Followed Hyperlink" xfId="2649" builtinId="9" hidden="true"/>
    <cellStyle name="Followed Hyperlink" xfId="2651" builtinId="9" hidden="true"/>
    <cellStyle name="Followed Hyperlink" xfId="2653" builtinId="9" hidden="true"/>
    <cellStyle name="Followed Hyperlink" xfId="2655" builtinId="9" hidden="true"/>
    <cellStyle name="Followed Hyperlink" xfId="2657" builtinId="9" hidden="true"/>
    <cellStyle name="Followed Hyperlink" xfId="2659" builtinId="9" hidden="true"/>
    <cellStyle name="Followed Hyperlink" xfId="2661" builtinId="9" hidden="true"/>
    <cellStyle name="Followed Hyperlink" xfId="2663" builtinId="9" hidden="true"/>
    <cellStyle name="Followed Hyperlink" xfId="2665" builtinId="9" hidden="true"/>
    <cellStyle name="Followed Hyperlink" xfId="2667" builtinId="9" hidden="true"/>
    <cellStyle name="Followed Hyperlink" xfId="2669" builtinId="9" hidden="true"/>
    <cellStyle name="Followed Hyperlink" xfId="2671" builtinId="9" hidden="true"/>
    <cellStyle name="Followed Hyperlink" xfId="2673" builtinId="9" hidden="true"/>
    <cellStyle name="Followed Hyperlink" xfId="2675" builtinId="9" hidden="true"/>
    <cellStyle name="Followed Hyperlink" xfId="2677" builtinId="9" hidden="true"/>
    <cellStyle name="Followed Hyperlink" xfId="2679" builtinId="9" hidden="true"/>
    <cellStyle name="Followed Hyperlink" xfId="2681" builtinId="9" hidden="true"/>
    <cellStyle name="Followed Hyperlink" xfId="2683" builtinId="9" hidden="true"/>
    <cellStyle name="Followed Hyperlink" xfId="2685" builtinId="9" hidden="true"/>
    <cellStyle name="Followed Hyperlink" xfId="2687" builtinId="9" hidden="true"/>
    <cellStyle name="Followed Hyperlink" xfId="2689" builtinId="9" hidden="true"/>
    <cellStyle name="Followed Hyperlink" xfId="2691" builtinId="9" hidden="true"/>
    <cellStyle name="Followed Hyperlink" xfId="2693" builtinId="9" hidden="true"/>
    <cellStyle name="Followed Hyperlink" xfId="2695" builtinId="9" hidden="true"/>
    <cellStyle name="Followed Hyperlink" xfId="2697" builtinId="9" hidden="true"/>
    <cellStyle name="Followed Hyperlink" xfId="2699" builtinId="9" hidden="true"/>
    <cellStyle name="Followed Hyperlink" xfId="2701" builtinId="9" hidden="true"/>
    <cellStyle name="Followed Hyperlink" xfId="2703" builtinId="9" hidden="true"/>
    <cellStyle name="Followed Hyperlink" xfId="2705" builtinId="9" hidden="true"/>
    <cellStyle name="Followed Hyperlink" xfId="2707" builtinId="9" hidden="true"/>
    <cellStyle name="Followed Hyperlink" xfId="2709" builtinId="9" hidden="true"/>
    <cellStyle name="Followed Hyperlink" xfId="2711" builtinId="9" hidden="true"/>
    <cellStyle name="Followed Hyperlink" xfId="2713" builtinId="9" hidden="true"/>
    <cellStyle name="Followed Hyperlink" xfId="2715" builtinId="9" hidden="true"/>
    <cellStyle name="Followed Hyperlink" xfId="2717" builtinId="9" hidden="true"/>
    <cellStyle name="Followed Hyperlink" xfId="2719" builtinId="9" hidden="true"/>
    <cellStyle name="Followed Hyperlink" xfId="2721" builtinId="9" hidden="true"/>
    <cellStyle name="Followed Hyperlink" xfId="2723" builtinId="9" hidden="true"/>
    <cellStyle name="Followed Hyperlink" xfId="2725" builtinId="9" hidden="true"/>
    <cellStyle name="Followed Hyperlink" xfId="2727" builtinId="9" hidden="true"/>
    <cellStyle name="Followed Hyperlink" xfId="2729" builtinId="9" hidden="true"/>
    <cellStyle name="Followed Hyperlink" xfId="2731" builtinId="9" hidden="true"/>
    <cellStyle name="Followed Hyperlink" xfId="2733" builtinId="9" hidden="true"/>
    <cellStyle name="Followed Hyperlink" xfId="2735" builtinId="9" hidden="true"/>
    <cellStyle name="Followed Hyperlink" xfId="2737" builtinId="9" hidden="true"/>
    <cellStyle name="Followed Hyperlink" xfId="2739" builtinId="9" hidden="true"/>
    <cellStyle name="Followed Hyperlink" xfId="2741" builtinId="9" hidden="true"/>
    <cellStyle name="Followed Hyperlink" xfId="2743" builtinId="9" hidden="true"/>
    <cellStyle name="Followed Hyperlink" xfId="2745" builtinId="9" hidden="true"/>
    <cellStyle name="Followed Hyperlink" xfId="2747" builtinId="9" hidden="true"/>
    <cellStyle name="Followed Hyperlink" xfId="2749" builtinId="9" hidden="true"/>
    <cellStyle name="Followed Hyperlink" xfId="2751" builtinId="9" hidden="true"/>
    <cellStyle name="Followed Hyperlink" xfId="2753" builtinId="9" hidden="true"/>
    <cellStyle name="Followed Hyperlink" xfId="2755" builtinId="9" hidden="true"/>
    <cellStyle name="Followed Hyperlink" xfId="2757" builtinId="9" hidden="true"/>
    <cellStyle name="Followed Hyperlink" xfId="2759" builtinId="9" hidden="true"/>
    <cellStyle name="Followed Hyperlink" xfId="2761" builtinId="9" hidden="true"/>
    <cellStyle name="Followed Hyperlink" xfId="2763" builtinId="9" hidden="true"/>
    <cellStyle name="Followed Hyperlink" xfId="2765" builtinId="9" hidden="true"/>
    <cellStyle name="Followed Hyperlink" xfId="2767" builtinId="9" hidden="true"/>
    <cellStyle name="Followed Hyperlink" xfId="2769" builtinId="9" hidden="true"/>
    <cellStyle name="Followed Hyperlink" xfId="2771" builtinId="9" hidden="true"/>
    <cellStyle name="Followed Hyperlink" xfId="2773" builtinId="9" hidden="true"/>
    <cellStyle name="Followed Hyperlink" xfId="2775" builtinId="9" hidden="true"/>
    <cellStyle name="Followed Hyperlink" xfId="2777" builtinId="9" hidden="true"/>
    <cellStyle name="Followed Hyperlink" xfId="2779" builtinId="9" hidden="true"/>
    <cellStyle name="Followed Hyperlink" xfId="2781" builtinId="9" hidden="true"/>
    <cellStyle name="Followed Hyperlink" xfId="2783" builtinId="9" hidden="true"/>
    <cellStyle name="Followed Hyperlink" xfId="2785" builtinId="9" hidden="true"/>
    <cellStyle name="Followed Hyperlink" xfId="2787" builtinId="9" hidden="true"/>
    <cellStyle name="Followed Hyperlink" xfId="2789" builtinId="9" hidden="true"/>
    <cellStyle name="Followed Hyperlink" xfId="2791" builtinId="9" hidden="true"/>
    <cellStyle name="Followed Hyperlink" xfId="2793" builtinId="9" hidden="true"/>
    <cellStyle name="Followed Hyperlink" xfId="2795" builtinId="9" hidden="true"/>
    <cellStyle name="Followed Hyperlink" xfId="2797" builtinId="9" hidden="true"/>
    <cellStyle name="Followed Hyperlink" xfId="2799" builtinId="9" hidden="true"/>
    <cellStyle name="Followed Hyperlink" xfId="2801" builtinId="9" hidden="true"/>
    <cellStyle name="Followed Hyperlink" xfId="2803" builtinId="9" hidden="true"/>
    <cellStyle name="Followed Hyperlink" xfId="2805" builtinId="9" hidden="true"/>
    <cellStyle name="Followed Hyperlink" xfId="2807" builtinId="9" hidden="true"/>
    <cellStyle name="Followed Hyperlink" xfId="2809" builtinId="9" hidden="true"/>
    <cellStyle name="Followed Hyperlink" xfId="2811" builtinId="9" hidden="true"/>
    <cellStyle name="Followed Hyperlink" xfId="2813" builtinId="9" hidden="true"/>
    <cellStyle name="Followed Hyperlink" xfId="2815" builtinId="9" hidden="true"/>
    <cellStyle name="Followed Hyperlink" xfId="2817" builtinId="9" hidden="true"/>
    <cellStyle name="Followed Hyperlink" xfId="2819" builtinId="9" hidden="true"/>
    <cellStyle name="Followed Hyperlink" xfId="2821" builtinId="9" hidden="true"/>
    <cellStyle name="Followed Hyperlink" xfId="2823" builtinId="9" hidden="true"/>
    <cellStyle name="Followed Hyperlink" xfId="2825" builtinId="9" hidden="true"/>
    <cellStyle name="Followed Hyperlink" xfId="2827" builtinId="9" hidden="true"/>
    <cellStyle name="Followed Hyperlink" xfId="2829" builtinId="9" hidden="true"/>
    <cellStyle name="Followed Hyperlink" xfId="2831" builtinId="9" hidden="true"/>
    <cellStyle name="Followed Hyperlink" xfId="2833" builtinId="9" hidden="true"/>
    <cellStyle name="Followed Hyperlink" xfId="2835" builtinId="9" hidden="true"/>
    <cellStyle name="Followed Hyperlink" xfId="2837" builtinId="9" hidden="true"/>
    <cellStyle name="Followed Hyperlink" xfId="2839" builtinId="9" hidden="true"/>
    <cellStyle name="Followed Hyperlink" xfId="2841" builtinId="9" hidden="true"/>
    <cellStyle name="Followed Hyperlink" xfId="2843" builtinId="9" hidden="true"/>
    <cellStyle name="Followed Hyperlink" xfId="2845" builtinId="9" hidden="true"/>
    <cellStyle name="Followed Hyperlink" xfId="2847" builtinId="9" hidden="true"/>
    <cellStyle name="Followed Hyperlink" xfId="2849" builtinId="9" hidden="true"/>
    <cellStyle name="Followed Hyperlink" xfId="2851" builtinId="9" hidden="true"/>
    <cellStyle name="Followed Hyperlink" xfId="2853" builtinId="9" hidden="true"/>
    <cellStyle name="Followed Hyperlink" xfId="2855" builtinId="9" hidden="true"/>
    <cellStyle name="Followed Hyperlink" xfId="2857" builtinId="9" hidden="true"/>
    <cellStyle name="Followed Hyperlink" xfId="2859" builtinId="9" hidden="true"/>
    <cellStyle name="Followed Hyperlink" xfId="2861" builtinId="9" hidden="true"/>
    <cellStyle name="Followed Hyperlink" xfId="2863" builtinId="9" hidden="true"/>
    <cellStyle name="Followed Hyperlink" xfId="2865" builtinId="9" hidden="true"/>
    <cellStyle name="Followed Hyperlink" xfId="2867" builtinId="9" hidden="true"/>
    <cellStyle name="Followed Hyperlink" xfId="2869" builtinId="9" hidden="true"/>
    <cellStyle name="Followed Hyperlink" xfId="2871" builtinId="9" hidden="true"/>
    <cellStyle name="Followed Hyperlink" xfId="2873" builtinId="9" hidden="true"/>
    <cellStyle name="Followed Hyperlink" xfId="2875" builtinId="9" hidden="true"/>
    <cellStyle name="Followed Hyperlink" xfId="2877" builtinId="9" hidden="true"/>
    <cellStyle name="Followed Hyperlink" xfId="2879" builtinId="9" hidden="true"/>
    <cellStyle name="Followed Hyperlink" xfId="2881" builtinId="9" hidden="true"/>
    <cellStyle name="Followed Hyperlink" xfId="2883" builtinId="9" hidden="true"/>
    <cellStyle name="Followed Hyperlink" xfId="2885" builtinId="9" hidden="true"/>
    <cellStyle name="Followed Hyperlink" xfId="2887" builtinId="9" hidden="true"/>
    <cellStyle name="Followed Hyperlink" xfId="2889" builtinId="9" hidden="true"/>
    <cellStyle name="Followed Hyperlink" xfId="2891" builtinId="9" hidden="true"/>
    <cellStyle name="Followed Hyperlink" xfId="2893" builtinId="9" hidden="true"/>
    <cellStyle name="Followed Hyperlink" xfId="2895" builtinId="9" hidden="true"/>
    <cellStyle name="Followed Hyperlink" xfId="2897" builtinId="9" hidden="true"/>
    <cellStyle name="Followed Hyperlink" xfId="2899" builtinId="9" hidden="true"/>
    <cellStyle name="Followed Hyperlink" xfId="2901" builtinId="9" hidden="true"/>
    <cellStyle name="Followed Hyperlink" xfId="2903" builtinId="9" hidden="true"/>
    <cellStyle name="Followed Hyperlink" xfId="2905" builtinId="9" hidden="true"/>
    <cellStyle name="Followed Hyperlink" xfId="2907" builtinId="9" hidden="true"/>
    <cellStyle name="Followed Hyperlink" xfId="2909" builtinId="9" hidden="true"/>
    <cellStyle name="Followed Hyperlink" xfId="2911" builtinId="9" hidden="true"/>
    <cellStyle name="Followed Hyperlink" xfId="2913" builtinId="9" hidden="true"/>
    <cellStyle name="Followed Hyperlink" xfId="2915" builtinId="9" hidden="true"/>
    <cellStyle name="Followed Hyperlink" xfId="2917" builtinId="9" hidden="true"/>
    <cellStyle name="Followed Hyperlink" xfId="2919" builtinId="9" hidden="true"/>
    <cellStyle name="Followed Hyperlink" xfId="2921" builtinId="9" hidden="true"/>
    <cellStyle name="Followed Hyperlink" xfId="2923" builtinId="9" hidden="true"/>
    <cellStyle name="Followed Hyperlink" xfId="2925" builtinId="9" hidden="true"/>
    <cellStyle name="Followed Hyperlink" xfId="2927" builtinId="9" hidden="true"/>
    <cellStyle name="Followed Hyperlink" xfId="2929" builtinId="9" hidden="true"/>
    <cellStyle name="Followed Hyperlink" xfId="2931" builtinId="9" hidden="true"/>
    <cellStyle name="Followed Hyperlink" xfId="2933" builtinId="9" hidden="true"/>
    <cellStyle name="Followed Hyperlink" xfId="2935" builtinId="9" hidden="true"/>
    <cellStyle name="Followed Hyperlink" xfId="2937" builtinId="9" hidden="true"/>
    <cellStyle name="Followed Hyperlink" xfId="2939" builtinId="9" hidden="true"/>
    <cellStyle name="Followed Hyperlink" xfId="2941" builtinId="9" hidden="true"/>
    <cellStyle name="Followed Hyperlink" xfId="2943" builtinId="9" hidden="true"/>
    <cellStyle name="Followed Hyperlink" xfId="2945" builtinId="9" hidden="true"/>
    <cellStyle name="Followed Hyperlink" xfId="2947" builtinId="9" hidden="true"/>
    <cellStyle name="Followed Hyperlink" xfId="2949" builtinId="9" hidden="true"/>
    <cellStyle name="Followed Hyperlink" xfId="2951" builtinId="9" hidden="true"/>
    <cellStyle name="Followed Hyperlink" xfId="2953" builtinId="9" hidden="true"/>
    <cellStyle name="Followed Hyperlink" xfId="2955" builtinId="9" hidden="true"/>
    <cellStyle name="Followed Hyperlink" xfId="2957" builtinId="9" hidden="true"/>
    <cellStyle name="Followed Hyperlink" xfId="2959" builtinId="9" hidden="true"/>
    <cellStyle name="Followed Hyperlink" xfId="2961" builtinId="9" hidden="true"/>
    <cellStyle name="Followed Hyperlink" xfId="2963" builtinId="9" hidden="true"/>
    <cellStyle name="Followed Hyperlink" xfId="2965" builtinId="9" hidden="true"/>
    <cellStyle name="Followed Hyperlink" xfId="2967" builtinId="9" hidden="true"/>
    <cellStyle name="Followed Hyperlink" xfId="2969" builtinId="9" hidden="true"/>
    <cellStyle name="Followed Hyperlink" xfId="2971" builtinId="9" hidden="true"/>
    <cellStyle name="Followed Hyperlink" xfId="2973" builtinId="9" hidden="true"/>
    <cellStyle name="Followed Hyperlink" xfId="2975" builtinId="9" hidden="true"/>
    <cellStyle name="Followed Hyperlink" xfId="2977" builtinId="9" hidden="true"/>
    <cellStyle name="Followed Hyperlink" xfId="2979" builtinId="9" hidden="true"/>
    <cellStyle name="Followed Hyperlink" xfId="2981" builtinId="9" hidden="true"/>
    <cellStyle name="Followed Hyperlink" xfId="2983" builtinId="9" hidden="true"/>
    <cellStyle name="Followed Hyperlink" xfId="2985" builtinId="9" hidden="true"/>
    <cellStyle name="Followed Hyperlink" xfId="2987" builtinId="9" hidden="true"/>
    <cellStyle name="Followed Hyperlink" xfId="2989" builtinId="9" hidden="true"/>
    <cellStyle name="Followed Hyperlink" xfId="2991" builtinId="9" hidden="true"/>
    <cellStyle name="Followed Hyperlink" xfId="2993" builtinId="9" hidden="true"/>
    <cellStyle name="Followed Hyperlink" xfId="2995" builtinId="9" hidden="true"/>
    <cellStyle name="Followed Hyperlink" xfId="2997" builtinId="9" hidden="true"/>
    <cellStyle name="Followed Hyperlink" xfId="2999" builtinId="9" hidden="true"/>
    <cellStyle name="Followed Hyperlink" xfId="3001" builtinId="9" hidden="true"/>
    <cellStyle name="Followed Hyperlink" xfId="3003" builtinId="9" hidden="true"/>
    <cellStyle name="Followed Hyperlink" xfId="3005" builtinId="9" hidden="true"/>
    <cellStyle name="Followed Hyperlink" xfId="3007" builtinId="9" hidden="true"/>
    <cellStyle name="Followed Hyperlink" xfId="3009" builtinId="9" hidden="true"/>
    <cellStyle name="Followed Hyperlink" xfId="3011" builtinId="9" hidden="true"/>
    <cellStyle name="Followed Hyperlink" xfId="3013" builtinId="9" hidden="true"/>
    <cellStyle name="Followed Hyperlink" xfId="3015" builtinId="9" hidden="true"/>
    <cellStyle name="Followed Hyperlink" xfId="3017" builtinId="9" hidden="true"/>
    <cellStyle name="Followed Hyperlink" xfId="3019" builtinId="9" hidden="true"/>
    <cellStyle name="Followed Hyperlink" xfId="3021" builtinId="9" hidden="true"/>
    <cellStyle name="Followed Hyperlink" xfId="3023" builtinId="9" hidden="true"/>
    <cellStyle name="Followed Hyperlink" xfId="3025" builtinId="9" hidden="true"/>
    <cellStyle name="Followed Hyperlink" xfId="3027" builtinId="9" hidden="true"/>
    <cellStyle name="Followed Hyperlink" xfId="3029" builtinId="9" hidden="true"/>
    <cellStyle name="Followed Hyperlink" xfId="3031" builtinId="9" hidden="true"/>
    <cellStyle name="Followed Hyperlink" xfId="3033" builtinId="9" hidden="true"/>
    <cellStyle name="Followed Hyperlink" xfId="3035" builtinId="9" hidden="true"/>
    <cellStyle name="Followed Hyperlink" xfId="3037" builtinId="9" hidden="true"/>
    <cellStyle name="Followed Hyperlink" xfId="3039" builtinId="9" hidden="true"/>
    <cellStyle name="Followed Hyperlink" xfId="3041" builtinId="9" hidden="true"/>
    <cellStyle name="Followed Hyperlink" xfId="3043" builtinId="9" hidden="true"/>
    <cellStyle name="Followed Hyperlink" xfId="3045" builtinId="9" hidden="true"/>
    <cellStyle name="Followed Hyperlink" xfId="3047" builtinId="9" hidden="true"/>
    <cellStyle name="Followed Hyperlink" xfId="3049" builtinId="9" hidden="true"/>
    <cellStyle name="Followed Hyperlink" xfId="3051" builtinId="9" hidden="true"/>
    <cellStyle name="Followed Hyperlink" xfId="3053" builtinId="9" hidden="true"/>
    <cellStyle name="Followed Hyperlink" xfId="3055" builtinId="9" hidden="true"/>
    <cellStyle name="Followed Hyperlink" xfId="3057" builtinId="9" hidden="true"/>
    <cellStyle name="Followed Hyperlink" xfId="3059" builtinId="9" hidden="true"/>
    <cellStyle name="Followed Hyperlink" xfId="3061" builtinId="9" hidden="true"/>
    <cellStyle name="Followed Hyperlink" xfId="3063" builtinId="9" hidden="true"/>
    <cellStyle name="Followed Hyperlink" xfId="3065" builtinId="9" hidden="true"/>
    <cellStyle name="Followed Hyperlink" xfId="3067" builtinId="9" hidden="true"/>
    <cellStyle name="Followed Hyperlink" xfId="3069" builtinId="9" hidden="true"/>
    <cellStyle name="Followed Hyperlink" xfId="3071" builtinId="9" hidden="true"/>
    <cellStyle name="Followed Hyperlink" xfId="3073" builtinId="9" hidden="true"/>
    <cellStyle name="Followed Hyperlink" xfId="3075" builtinId="9" hidden="true"/>
    <cellStyle name="Followed Hyperlink" xfId="3077" builtinId="9" hidden="true"/>
    <cellStyle name="Followed Hyperlink" xfId="3079" builtinId="9" hidden="true"/>
    <cellStyle name="Followed Hyperlink" xfId="3081" builtinId="9" hidden="true"/>
    <cellStyle name="Followed Hyperlink" xfId="3083" builtinId="9" hidden="true"/>
    <cellStyle name="Followed Hyperlink" xfId="3085" builtinId="9" hidden="true"/>
    <cellStyle name="Followed Hyperlink" xfId="3087" builtinId="9" hidden="true"/>
    <cellStyle name="Followed Hyperlink" xfId="3089" builtinId="9" hidden="true"/>
    <cellStyle name="Followed Hyperlink" xfId="3091" builtinId="9" hidden="true"/>
    <cellStyle name="Followed Hyperlink" xfId="3093" builtinId="9" hidden="true"/>
    <cellStyle name="Followed Hyperlink" xfId="3095" builtinId="9" hidden="true"/>
    <cellStyle name="Followed Hyperlink" xfId="3097" builtinId="9" hidden="true"/>
    <cellStyle name="Followed Hyperlink" xfId="3099" builtinId="9" hidden="true"/>
    <cellStyle name="Followed Hyperlink" xfId="3101" builtinId="9" hidden="true"/>
    <cellStyle name="Followed Hyperlink" xfId="3103" builtinId="9" hidden="true"/>
    <cellStyle name="Followed Hyperlink" xfId="3105" builtinId="9" hidden="true"/>
    <cellStyle name="Followed Hyperlink" xfId="3107" builtinId="9" hidden="true"/>
    <cellStyle name="Followed Hyperlink" xfId="3109" builtinId="9" hidden="true"/>
    <cellStyle name="Followed Hyperlink" xfId="3111" builtinId="9" hidden="true"/>
    <cellStyle name="Followed Hyperlink" xfId="3113" builtinId="9" hidden="true"/>
    <cellStyle name="Followed Hyperlink" xfId="3115" builtinId="9" hidden="true"/>
    <cellStyle name="Followed Hyperlink" xfId="3117" builtinId="9" hidden="true"/>
    <cellStyle name="Followed Hyperlink" xfId="3119" builtinId="9" hidden="true"/>
    <cellStyle name="Followed Hyperlink" xfId="3121" builtinId="9" hidden="true"/>
    <cellStyle name="Followed Hyperlink" xfId="3123" builtinId="9" hidden="true"/>
    <cellStyle name="Followed Hyperlink" xfId="3125" builtinId="9" hidden="true"/>
    <cellStyle name="Followed Hyperlink" xfId="3127" builtinId="9" hidden="true"/>
    <cellStyle name="Followed Hyperlink" xfId="3129" builtinId="9" hidden="true"/>
    <cellStyle name="Followed Hyperlink" xfId="3131" builtinId="9" hidden="true"/>
    <cellStyle name="Followed Hyperlink" xfId="3133" builtinId="9" hidden="true"/>
    <cellStyle name="Followed Hyperlink" xfId="3135" builtinId="9" hidden="true"/>
    <cellStyle name="Followed Hyperlink" xfId="3137" builtinId="9" hidden="true"/>
    <cellStyle name="Followed Hyperlink" xfId="3139" builtinId="9" hidden="true"/>
    <cellStyle name="Followed Hyperlink" xfId="3141" builtinId="9" hidden="true"/>
    <cellStyle name="Followed Hyperlink" xfId="3143" builtinId="9" hidden="true"/>
    <cellStyle name="Followed Hyperlink" xfId="3145" builtinId="9" hidden="true"/>
    <cellStyle name="Followed Hyperlink" xfId="3147" builtinId="9" hidden="true"/>
    <cellStyle name="Followed Hyperlink" xfId="3149" builtinId="9" hidden="true"/>
    <cellStyle name="Followed Hyperlink" xfId="3151" builtinId="9" hidden="true"/>
    <cellStyle name="Followed Hyperlink" xfId="3153" builtinId="9" hidden="true"/>
    <cellStyle name="Followed Hyperlink" xfId="3155" builtinId="9" hidden="true"/>
    <cellStyle name="Followed Hyperlink" xfId="3157" builtinId="9" hidden="true"/>
    <cellStyle name="Followed Hyperlink" xfId="3159" builtinId="9" hidden="true"/>
    <cellStyle name="Followed Hyperlink" xfId="3161" builtinId="9" hidden="true"/>
    <cellStyle name="Followed Hyperlink" xfId="3163" builtinId="9" hidden="true"/>
    <cellStyle name="Followed Hyperlink" xfId="3165" builtinId="9" hidden="true"/>
    <cellStyle name="Followed Hyperlink" xfId="3167" builtinId="9" hidden="true"/>
    <cellStyle name="Followed Hyperlink" xfId="3169" builtinId="9" hidden="true"/>
    <cellStyle name="Followed Hyperlink" xfId="3171" builtinId="9" hidden="true"/>
    <cellStyle name="Followed Hyperlink" xfId="3173" builtinId="9" hidden="true"/>
    <cellStyle name="Followed Hyperlink" xfId="3175" builtinId="9" hidden="true"/>
    <cellStyle name="Followed Hyperlink" xfId="3177" builtinId="9" hidden="true"/>
    <cellStyle name="Followed Hyperlink" xfId="3179" builtinId="9" hidden="true"/>
    <cellStyle name="Followed Hyperlink" xfId="3181" builtinId="9" hidden="true"/>
    <cellStyle name="Followed Hyperlink" xfId="3183" builtinId="9" hidden="true"/>
    <cellStyle name="Followed Hyperlink" xfId="3185" builtinId="9" hidden="true"/>
    <cellStyle name="Followed Hyperlink" xfId="3187" builtinId="9" hidden="true"/>
    <cellStyle name="Followed Hyperlink" xfId="3189" builtinId="9" hidden="true"/>
    <cellStyle name="Followed Hyperlink" xfId="3191" builtinId="9" hidden="true"/>
    <cellStyle name="Followed Hyperlink" xfId="3193" builtinId="9" hidden="true"/>
    <cellStyle name="Followed Hyperlink" xfId="3195" builtinId="9" hidden="true"/>
    <cellStyle name="Followed Hyperlink" xfId="3197" builtinId="9" hidden="true"/>
    <cellStyle name="Followed Hyperlink" xfId="3199" builtinId="9" hidden="true"/>
    <cellStyle name="Followed Hyperlink" xfId="3201" builtinId="9" hidden="true"/>
    <cellStyle name="Followed Hyperlink" xfId="3203" builtinId="9" hidden="true"/>
    <cellStyle name="Followed Hyperlink" xfId="3205" builtinId="9" hidden="true"/>
    <cellStyle name="Followed Hyperlink" xfId="3207" builtinId="9" hidden="true"/>
    <cellStyle name="Followed Hyperlink" xfId="3209" builtinId="9" hidden="true"/>
    <cellStyle name="Followed Hyperlink" xfId="3211" builtinId="9" hidden="true"/>
    <cellStyle name="Followed Hyperlink" xfId="3213" builtinId="9" hidden="true"/>
    <cellStyle name="Followed Hyperlink" xfId="3215" builtinId="9" hidden="true"/>
    <cellStyle name="Followed Hyperlink" xfId="3217" builtinId="9" hidden="true"/>
    <cellStyle name="Followed Hyperlink" xfId="3219" builtinId="9" hidden="true"/>
    <cellStyle name="Followed Hyperlink" xfId="3221" builtinId="9" hidden="true"/>
    <cellStyle name="Followed Hyperlink" xfId="3223" builtinId="9" hidden="true"/>
    <cellStyle name="Followed Hyperlink" xfId="3225" builtinId="9" hidden="true"/>
    <cellStyle name="Followed Hyperlink" xfId="3227" builtinId="9" hidden="true"/>
    <cellStyle name="Followed Hyperlink" xfId="3229" builtinId="9" hidden="true"/>
    <cellStyle name="Followed Hyperlink" xfId="3231" builtinId="9" hidden="true"/>
    <cellStyle name="Followed Hyperlink" xfId="3233" builtinId="9" hidden="true"/>
    <cellStyle name="Followed Hyperlink" xfId="3235" builtinId="9" hidden="true"/>
    <cellStyle name="Followed Hyperlink" xfId="3237" builtinId="9" hidden="true"/>
    <cellStyle name="Followed Hyperlink" xfId="3239" builtinId="9" hidden="true"/>
    <cellStyle name="Followed Hyperlink" xfId="3241" builtinId="9" hidden="true"/>
    <cellStyle name="Followed Hyperlink" xfId="3243" builtinId="9" hidden="true"/>
    <cellStyle name="Followed Hyperlink" xfId="3245" builtinId="9" hidden="true"/>
    <cellStyle name="Followed Hyperlink" xfId="3247" builtinId="9" hidden="true"/>
    <cellStyle name="Followed Hyperlink" xfId="3249" builtinId="9" hidden="true"/>
    <cellStyle name="Followed Hyperlink" xfId="3251" builtinId="9" hidden="true"/>
    <cellStyle name="Followed Hyperlink" xfId="3253" builtinId="9" hidden="true"/>
    <cellStyle name="Followed Hyperlink" xfId="3255" builtinId="9" hidden="true"/>
    <cellStyle name="Followed Hyperlink" xfId="3257" builtinId="9" hidden="true"/>
    <cellStyle name="Followed Hyperlink" xfId="3259" builtinId="9" hidden="true"/>
    <cellStyle name="Followed Hyperlink" xfId="3261" builtinId="9" hidden="true"/>
    <cellStyle name="Followed Hyperlink" xfId="3263" builtinId="9" hidden="true"/>
    <cellStyle name="Followed Hyperlink" xfId="3265" builtinId="9" hidden="true"/>
    <cellStyle name="Followed Hyperlink" xfId="3267" builtinId="9" hidden="true"/>
    <cellStyle name="Followed Hyperlink" xfId="3269" builtinId="9" hidden="true"/>
    <cellStyle name="Followed Hyperlink" xfId="3271" builtinId="9" hidden="true"/>
    <cellStyle name="Followed Hyperlink" xfId="3273" builtinId="9" hidden="true"/>
    <cellStyle name="Followed Hyperlink" xfId="3275" builtinId="9" hidden="true"/>
    <cellStyle name="Followed Hyperlink" xfId="3277" builtinId="9" hidden="true"/>
    <cellStyle name="Followed Hyperlink" xfId="3279" builtinId="9" hidden="true"/>
    <cellStyle name="Followed Hyperlink" xfId="3281" builtinId="9" hidden="true"/>
    <cellStyle name="Followed Hyperlink" xfId="3283" builtinId="9" hidden="true"/>
    <cellStyle name="Followed Hyperlink" xfId="3285" builtinId="9" hidden="true"/>
    <cellStyle name="Followed Hyperlink" xfId="3287" builtinId="9" hidden="true"/>
    <cellStyle name="Followed Hyperlink" xfId="3289" builtinId="9" hidden="true"/>
    <cellStyle name="Followed Hyperlink" xfId="3291" builtinId="9" hidden="true"/>
    <cellStyle name="Followed Hyperlink" xfId="3293" builtinId="9" hidden="true"/>
    <cellStyle name="Followed Hyperlink" xfId="3295" builtinId="9" hidden="true"/>
    <cellStyle name="Followed Hyperlink" xfId="3297" builtinId="9" hidden="true"/>
    <cellStyle name="Followed Hyperlink" xfId="3299" builtinId="9" hidden="true"/>
    <cellStyle name="Followed Hyperlink" xfId="3301" builtinId="9" hidden="true"/>
    <cellStyle name="Followed Hyperlink" xfId="3303" builtinId="9" hidden="true"/>
    <cellStyle name="Followed Hyperlink" xfId="3305" builtinId="9" hidden="true"/>
    <cellStyle name="Followed Hyperlink" xfId="3307" builtinId="9" hidden="true"/>
    <cellStyle name="Followed Hyperlink" xfId="3309" builtinId="9" hidden="true"/>
    <cellStyle name="Followed Hyperlink" xfId="3311" builtinId="9" hidden="true"/>
    <cellStyle name="Followed Hyperlink" xfId="3313" builtinId="9" hidden="true"/>
    <cellStyle name="Followed Hyperlink" xfId="3315" builtinId="9" hidden="true"/>
    <cellStyle name="Followed Hyperlink" xfId="3317" builtinId="9" hidden="true"/>
    <cellStyle name="Followed Hyperlink" xfId="3319" builtinId="9" hidden="true"/>
    <cellStyle name="Followed Hyperlink" xfId="3321" builtinId="9" hidden="true"/>
    <cellStyle name="Followed Hyperlink" xfId="3323" builtinId="9" hidden="true"/>
    <cellStyle name="Followed Hyperlink" xfId="3325" builtinId="9" hidden="true"/>
    <cellStyle name="Followed Hyperlink" xfId="3327" builtinId="9" hidden="true"/>
    <cellStyle name="Followed Hyperlink" xfId="3329" builtinId="9" hidden="true"/>
    <cellStyle name="Followed Hyperlink" xfId="3331" builtinId="9" hidden="true"/>
    <cellStyle name="Followed Hyperlink" xfId="3333" builtinId="9" hidden="true"/>
    <cellStyle name="Followed Hyperlink" xfId="3335" builtinId="9" hidden="true"/>
    <cellStyle name="Followed Hyperlink" xfId="3337" builtinId="9" hidden="true"/>
    <cellStyle name="Followed Hyperlink" xfId="3339" builtinId="9" hidden="true"/>
    <cellStyle name="Followed Hyperlink" xfId="3341" builtinId="9" hidden="true"/>
    <cellStyle name="Followed Hyperlink" xfId="3343" builtinId="9" hidden="true"/>
    <cellStyle name="Followed Hyperlink" xfId="3345" builtinId="9" hidden="true"/>
    <cellStyle name="Followed Hyperlink" xfId="3347" builtinId="9" hidden="true"/>
    <cellStyle name="Followed Hyperlink" xfId="3349" builtinId="9" hidden="true"/>
    <cellStyle name="Followed Hyperlink" xfId="3351" builtinId="9" hidden="true"/>
    <cellStyle name="Followed Hyperlink" xfId="3353" builtinId="9" hidden="true"/>
    <cellStyle name="Followed Hyperlink" xfId="3355" builtinId="9" hidden="true"/>
    <cellStyle name="Followed Hyperlink" xfId="3357" builtinId="9" hidden="true"/>
    <cellStyle name="Followed Hyperlink" xfId="3359" builtinId="9" hidden="true"/>
    <cellStyle name="Followed Hyperlink" xfId="3361" builtinId="9" hidden="true"/>
    <cellStyle name="Followed Hyperlink" xfId="3363" builtinId="9" hidden="true"/>
    <cellStyle name="Followed Hyperlink" xfId="3365" builtinId="9" hidden="true"/>
    <cellStyle name="Followed Hyperlink" xfId="3367" builtinId="9" hidden="true"/>
    <cellStyle name="Followed Hyperlink" xfId="3369" builtinId="9" hidden="true"/>
    <cellStyle name="Followed Hyperlink" xfId="3371" builtinId="9" hidden="true"/>
    <cellStyle name="Followed Hyperlink" xfId="3373" builtinId="9" hidden="true"/>
    <cellStyle name="Followed Hyperlink" xfId="3375" builtinId="9" hidden="true"/>
    <cellStyle name="Followed Hyperlink" xfId="3377" builtinId="9" hidden="true"/>
    <cellStyle name="Followed Hyperlink" xfId="3379" builtinId="9" hidden="true"/>
    <cellStyle name="Followed Hyperlink" xfId="3381" builtinId="9" hidden="true"/>
    <cellStyle name="Followed Hyperlink" xfId="3383" builtinId="9" hidden="true"/>
    <cellStyle name="Followed Hyperlink" xfId="3385" builtinId="9" hidden="true"/>
    <cellStyle name="Followed Hyperlink" xfId="3387" builtinId="9" hidden="true"/>
    <cellStyle name="Followed Hyperlink" xfId="3389" builtinId="9" hidden="true"/>
    <cellStyle name="Followed Hyperlink" xfId="3391" builtinId="9" hidden="true"/>
    <cellStyle name="Followed Hyperlink" xfId="3393" builtinId="9" hidden="true"/>
    <cellStyle name="Followed Hyperlink" xfId="3395" builtinId="9" hidden="true"/>
    <cellStyle name="Followed Hyperlink" xfId="3397" builtinId="9" hidden="true"/>
    <cellStyle name="Followed Hyperlink" xfId="3399" builtinId="9" hidden="true"/>
    <cellStyle name="Followed Hyperlink" xfId="3401" builtinId="9" hidden="true"/>
    <cellStyle name="Followed Hyperlink" xfId="3403" builtinId="9" hidden="true"/>
    <cellStyle name="Followed Hyperlink" xfId="3405" builtinId="9" hidden="true"/>
    <cellStyle name="Followed Hyperlink" xfId="3407" builtinId="9" hidden="true"/>
    <cellStyle name="Followed Hyperlink" xfId="3409" builtinId="9" hidden="true"/>
    <cellStyle name="Followed Hyperlink" xfId="3411" builtinId="9" hidden="true"/>
    <cellStyle name="Followed Hyperlink" xfId="3413" builtinId="9" hidden="true"/>
    <cellStyle name="Followed Hyperlink" xfId="3415" builtinId="9" hidden="true"/>
    <cellStyle name="Followed Hyperlink" xfId="3417" builtinId="9" hidden="true"/>
    <cellStyle name="Followed Hyperlink" xfId="3419" builtinId="9" hidden="true"/>
    <cellStyle name="Followed Hyperlink" xfId="3421" builtinId="9" hidden="true"/>
    <cellStyle name="Followed Hyperlink" xfId="3423" builtinId="9" hidden="true"/>
    <cellStyle name="Followed Hyperlink" xfId="3425" builtinId="9" hidden="true"/>
    <cellStyle name="Followed Hyperlink" xfId="3427" builtinId="9" hidden="true"/>
    <cellStyle name="Followed Hyperlink" xfId="3429" builtinId="9" hidden="true"/>
    <cellStyle name="Followed Hyperlink" xfId="3431" builtinId="9" hidden="true"/>
    <cellStyle name="Followed Hyperlink" xfId="3433" builtinId="9" hidden="true"/>
    <cellStyle name="Followed Hyperlink" xfId="3435" builtinId="9" hidden="true"/>
    <cellStyle name="Followed Hyperlink" xfId="3437" builtinId="9" hidden="true"/>
    <cellStyle name="Followed Hyperlink" xfId="3439" builtinId="9" hidden="true"/>
    <cellStyle name="Followed Hyperlink" xfId="3441" builtinId="9" hidden="true"/>
    <cellStyle name="Followed Hyperlink" xfId="3443" builtinId="9" hidden="true"/>
    <cellStyle name="Followed Hyperlink" xfId="3445" builtinId="9" hidden="true"/>
    <cellStyle name="Followed Hyperlink" xfId="3447" builtinId="9" hidden="true"/>
    <cellStyle name="Followed Hyperlink" xfId="3449" builtinId="9" hidden="true"/>
    <cellStyle name="Followed Hyperlink" xfId="3451" builtinId="9" hidden="true"/>
    <cellStyle name="Followed Hyperlink" xfId="3453" builtinId="9" hidden="true"/>
    <cellStyle name="Followed Hyperlink" xfId="3455" builtinId="9" hidden="true"/>
    <cellStyle name="Followed Hyperlink" xfId="3457" builtinId="9" hidden="true"/>
    <cellStyle name="Followed Hyperlink" xfId="3459" builtinId="9" hidden="true"/>
    <cellStyle name="Followed Hyperlink" xfId="3461" builtinId="9" hidden="true"/>
    <cellStyle name="Followed Hyperlink" xfId="3463" builtinId="9" hidden="true"/>
    <cellStyle name="Followed Hyperlink" xfId="3465" builtinId="9" hidden="true"/>
    <cellStyle name="Followed Hyperlink" xfId="3467" builtinId="9" hidden="true"/>
    <cellStyle name="Followed Hyperlink" xfId="3469" builtinId="9" hidden="true"/>
    <cellStyle name="Followed Hyperlink" xfId="3471" builtinId="9" hidden="true"/>
    <cellStyle name="Followed Hyperlink" xfId="3473" builtinId="9" hidden="true"/>
    <cellStyle name="Followed Hyperlink" xfId="3475" builtinId="9" hidden="true"/>
    <cellStyle name="Followed Hyperlink" xfId="3477" builtinId="9" hidden="true"/>
    <cellStyle name="Followed Hyperlink" xfId="3479" builtinId="9" hidden="true"/>
    <cellStyle name="Followed Hyperlink" xfId="3481" builtinId="9" hidden="true"/>
    <cellStyle name="Followed Hyperlink" xfId="3483" builtinId="9" hidden="true"/>
    <cellStyle name="Followed Hyperlink" xfId="3485" builtinId="9" hidden="true"/>
    <cellStyle name="Followed Hyperlink" xfId="3487" builtinId="9" hidden="true"/>
    <cellStyle name="Followed Hyperlink" xfId="3489" builtinId="9" hidden="true"/>
    <cellStyle name="Followed Hyperlink" xfId="3491" builtinId="9" hidden="true"/>
    <cellStyle name="Followed Hyperlink" xfId="3493" builtinId="9" hidden="true"/>
    <cellStyle name="Followed Hyperlink" xfId="3495" builtinId="9" hidden="true"/>
    <cellStyle name="Followed Hyperlink" xfId="3497" builtinId="9" hidden="true"/>
    <cellStyle name="Followed Hyperlink" xfId="3499" builtinId="9" hidden="true"/>
    <cellStyle name="Followed Hyperlink" xfId="3501" builtinId="9" hidden="true"/>
    <cellStyle name="Followed Hyperlink" xfId="3503" builtinId="9" hidden="true"/>
    <cellStyle name="Followed Hyperlink" xfId="3505" builtinId="9" hidden="true"/>
    <cellStyle name="Followed Hyperlink" xfId="3507" builtinId="9" hidden="true"/>
    <cellStyle name="Followed Hyperlink" xfId="3509" builtinId="9" hidden="true"/>
    <cellStyle name="Followed Hyperlink" xfId="3511" builtinId="9" hidden="true"/>
    <cellStyle name="Followed Hyperlink" xfId="3513" builtinId="9" hidden="true"/>
    <cellStyle name="Followed Hyperlink" xfId="3515" builtinId="9" hidden="true"/>
    <cellStyle name="Followed Hyperlink" xfId="3517" builtinId="9" hidden="true"/>
    <cellStyle name="Followed Hyperlink" xfId="3519" builtinId="9" hidden="true"/>
    <cellStyle name="Followed Hyperlink" xfId="3521" builtinId="9" hidden="true"/>
    <cellStyle name="Followed Hyperlink" xfId="3523" builtinId="9" hidden="true"/>
    <cellStyle name="Followed Hyperlink" xfId="3525" builtinId="9" hidden="true"/>
    <cellStyle name="Followed Hyperlink" xfId="3527" builtinId="9" hidden="true"/>
    <cellStyle name="Followed Hyperlink" xfId="3529" builtinId="9" hidden="true"/>
    <cellStyle name="Followed Hyperlink" xfId="3531" builtinId="9" hidden="true"/>
    <cellStyle name="Followed Hyperlink" xfId="3533" builtinId="9" hidden="true"/>
    <cellStyle name="Followed Hyperlink" xfId="3535" builtinId="9" hidden="true"/>
    <cellStyle name="Followed Hyperlink" xfId="3537" builtinId="9" hidden="true"/>
    <cellStyle name="Followed Hyperlink" xfId="3539" builtinId="9" hidden="true"/>
    <cellStyle name="Followed Hyperlink" xfId="3541" builtinId="9" hidden="true"/>
    <cellStyle name="Followed Hyperlink" xfId="3543" builtinId="9" hidden="true"/>
    <cellStyle name="Followed Hyperlink" xfId="3545" builtinId="9" hidden="true"/>
    <cellStyle name="Followed Hyperlink" xfId="3547" builtinId="9" hidden="true"/>
    <cellStyle name="Followed Hyperlink" xfId="3549" builtinId="9" hidden="true"/>
    <cellStyle name="Followed Hyperlink" xfId="3551" builtinId="9" hidden="true"/>
    <cellStyle name="Followed Hyperlink" xfId="3553" builtinId="9" hidden="true"/>
    <cellStyle name="Followed Hyperlink" xfId="3555" builtinId="9" hidden="true"/>
    <cellStyle name="Followed Hyperlink" xfId="3557" builtinId="9" hidden="true"/>
    <cellStyle name="Followed Hyperlink" xfId="3559" builtinId="9" hidden="true"/>
    <cellStyle name="Followed Hyperlink" xfId="3561" builtinId="9" hidden="true"/>
    <cellStyle name="Followed Hyperlink" xfId="3563" builtinId="9" hidden="true"/>
    <cellStyle name="Followed Hyperlink" xfId="3565" builtinId="9" hidden="true"/>
    <cellStyle name="Followed Hyperlink" xfId="3567" builtinId="9" hidden="true"/>
    <cellStyle name="Followed Hyperlink" xfId="3569" builtinId="9" hidden="true"/>
    <cellStyle name="Followed Hyperlink" xfId="3571" builtinId="9" hidden="true"/>
    <cellStyle name="Followed Hyperlink" xfId="3573" builtinId="9" hidden="true"/>
    <cellStyle name="Followed Hyperlink" xfId="3575" builtinId="9" hidden="true"/>
    <cellStyle name="Followed Hyperlink" xfId="3577" builtinId="9" hidden="true"/>
    <cellStyle name="Followed Hyperlink" xfId="3579" builtinId="9" hidden="true"/>
    <cellStyle name="Followed Hyperlink" xfId="3581" builtinId="9" hidden="true"/>
    <cellStyle name="Followed Hyperlink" xfId="3583" builtinId="9" hidden="true"/>
    <cellStyle name="Followed Hyperlink" xfId="3585" builtinId="9" hidden="true"/>
    <cellStyle name="Followed Hyperlink" xfId="3587" builtinId="9" hidden="true"/>
    <cellStyle name="Followed Hyperlink" xfId="3589" builtinId="9" hidden="true"/>
    <cellStyle name="Followed Hyperlink" xfId="3591" builtinId="9" hidden="true"/>
    <cellStyle name="Followed Hyperlink" xfId="3593" builtinId="9" hidden="true"/>
    <cellStyle name="Followed Hyperlink" xfId="3595" builtinId="9" hidden="true"/>
    <cellStyle name="Followed Hyperlink" xfId="3597" builtinId="9" hidden="true"/>
    <cellStyle name="Followed Hyperlink" xfId="3599" builtinId="9" hidden="true"/>
    <cellStyle name="Followed Hyperlink" xfId="3601" builtinId="9" hidden="true"/>
    <cellStyle name="Followed Hyperlink" xfId="3603" builtinId="9" hidden="true"/>
    <cellStyle name="Followed Hyperlink" xfId="3605" builtinId="9" hidden="true"/>
    <cellStyle name="Followed Hyperlink" xfId="3607" builtinId="9" hidden="true"/>
    <cellStyle name="Followed Hyperlink" xfId="3609" builtinId="9" hidden="true"/>
    <cellStyle name="Followed Hyperlink" xfId="3611" builtinId="9" hidden="true"/>
    <cellStyle name="Followed Hyperlink" xfId="3613" builtinId="9" hidden="true"/>
    <cellStyle name="Followed Hyperlink" xfId="3615" builtinId="9" hidden="true"/>
    <cellStyle name="Followed Hyperlink" xfId="3617" builtinId="9" hidden="true"/>
    <cellStyle name="Followed Hyperlink" xfId="3619" builtinId="9" hidden="true"/>
    <cellStyle name="Followed Hyperlink" xfId="3621" builtinId="9" hidden="true"/>
    <cellStyle name="Followed Hyperlink" xfId="3623" builtinId="9" hidden="true"/>
    <cellStyle name="Followed Hyperlink" xfId="3625" builtinId="9" hidden="true"/>
    <cellStyle name="Followed Hyperlink" xfId="3627" builtinId="9" hidden="true"/>
    <cellStyle name="Followed Hyperlink" xfId="3629" builtinId="9" hidden="true"/>
    <cellStyle name="Followed Hyperlink" xfId="3631" builtinId="9" hidden="true"/>
    <cellStyle name="Followed Hyperlink" xfId="3633" builtinId="9" hidden="true"/>
    <cellStyle name="Followed Hyperlink" xfId="3635" builtinId="9" hidden="true"/>
    <cellStyle name="Followed Hyperlink" xfId="3637" builtinId="9" hidden="true"/>
    <cellStyle name="Followed Hyperlink" xfId="3639" builtinId="9" hidden="true"/>
    <cellStyle name="Followed Hyperlink" xfId="3641" builtinId="9" hidden="true"/>
    <cellStyle name="Followed Hyperlink" xfId="3643" builtinId="9" hidden="true"/>
    <cellStyle name="Followed Hyperlink" xfId="3645" builtinId="9" hidden="true"/>
    <cellStyle name="Followed Hyperlink" xfId="3647" builtinId="9" hidden="true"/>
    <cellStyle name="Followed Hyperlink" xfId="3649" builtinId="9" hidden="true"/>
    <cellStyle name="Followed Hyperlink" xfId="3651" builtinId="9" hidden="true"/>
    <cellStyle name="Followed Hyperlink" xfId="3653" builtinId="9" hidden="true"/>
    <cellStyle name="Hyperlink" xfId="1" builtinId="8" hidden="true"/>
    <cellStyle name="Hyperlink" xfId="3" builtinId="8" hidden="true"/>
    <cellStyle name="Hyperlink" xfId="5" builtinId="8" hidden="true"/>
    <cellStyle name="Hyperlink" xfId="7" builtinId="8" hidden="true"/>
    <cellStyle name="Hyperlink" xfId="9" builtinId="8" hidden="true"/>
    <cellStyle name="Hyperlink" xfId="11" builtinId="8" hidden="true"/>
    <cellStyle name="Hyperlink" xfId="13" builtinId="8" hidden="true"/>
    <cellStyle name="Hyperlink" xfId="15" builtinId="8" hidden="true"/>
    <cellStyle name="Hyperlink" xfId="17" builtinId="8" hidden="true"/>
    <cellStyle name="Hyperlink" xfId="19" builtinId="8" hidden="true"/>
    <cellStyle name="Hyperlink" xfId="21" builtinId="8" hidden="true"/>
    <cellStyle name="Hyperlink" xfId="23" builtinId="8" hidden="true"/>
    <cellStyle name="Hyperlink" xfId="25" builtinId="8" hidden="true"/>
    <cellStyle name="Hyperlink" xfId="27" builtinId="8" hidden="true"/>
    <cellStyle name="Hyperlink" xfId="29" builtinId="8" hidden="true"/>
    <cellStyle name="Hyperlink" xfId="31" builtinId="8" hidden="true"/>
    <cellStyle name="Hyperlink" xfId="33" builtinId="8" hidden="true"/>
    <cellStyle name="Hyperlink" xfId="35" builtinId="8" hidden="true"/>
    <cellStyle name="Hyperlink" xfId="37" builtinId="8" hidden="true"/>
    <cellStyle name="Hyperlink" xfId="39" builtinId="8" hidden="true"/>
    <cellStyle name="Hyperlink" xfId="41" builtinId="8" hidden="true"/>
    <cellStyle name="Hyperlink" xfId="43" builtinId="8" hidden="true"/>
    <cellStyle name="Hyperlink" xfId="45" builtinId="8" hidden="true"/>
    <cellStyle name="Hyperlink" xfId="47" builtinId="8" hidden="true"/>
    <cellStyle name="Hyperlink" xfId="49" builtinId="8" hidden="true"/>
    <cellStyle name="Hyperlink" xfId="51" builtinId="8" hidden="true"/>
    <cellStyle name="Hyperlink" xfId="53" builtinId="8" hidden="true"/>
    <cellStyle name="Hyperlink" xfId="55" builtinId="8" hidden="true"/>
    <cellStyle name="Hyperlink" xfId="57" builtinId="8" hidden="true"/>
    <cellStyle name="Hyperlink" xfId="59" builtinId="8" hidden="true"/>
    <cellStyle name="Hyperlink" xfId="61" builtinId="8" hidden="true"/>
    <cellStyle name="Hyperlink" xfId="63" builtinId="8" hidden="true"/>
    <cellStyle name="Hyperlink" xfId="65" builtinId="8" hidden="true"/>
    <cellStyle name="Hyperlink" xfId="67" builtinId="8" hidden="true"/>
    <cellStyle name="Hyperlink" xfId="69" builtinId="8" hidden="true"/>
    <cellStyle name="Hyperlink" xfId="71" builtinId="8" hidden="true"/>
    <cellStyle name="Hyperlink" xfId="73" builtinId="8" hidden="true"/>
    <cellStyle name="Hyperlink" xfId="75" builtinId="8" hidden="true"/>
    <cellStyle name="Hyperlink" xfId="77" builtinId="8" hidden="true"/>
    <cellStyle name="Hyperlink" xfId="79" builtinId="8" hidden="true"/>
    <cellStyle name="Hyperlink" xfId="81" builtinId="8" hidden="true"/>
    <cellStyle name="Hyperlink" xfId="83" builtinId="8" hidden="true"/>
    <cellStyle name="Hyperlink" xfId="85" builtinId="8" hidden="true"/>
    <cellStyle name="Hyperlink" xfId="87" builtinId="8" hidden="true"/>
    <cellStyle name="Hyperlink" xfId="89" builtinId="8" hidden="true"/>
    <cellStyle name="Hyperlink" xfId="91" builtinId="8" hidden="true"/>
    <cellStyle name="Hyperlink" xfId="93" builtinId="8" hidden="true"/>
    <cellStyle name="Hyperlink" xfId="95" builtinId="8" hidden="true"/>
    <cellStyle name="Hyperlink" xfId="97" builtinId="8" hidden="true"/>
    <cellStyle name="Hyperlink" xfId="99" builtinId="8" hidden="true"/>
    <cellStyle name="Hyperlink" xfId="101" builtinId="8" hidden="true"/>
    <cellStyle name="Hyperlink" xfId="103" builtinId="8" hidden="true"/>
    <cellStyle name="Hyperlink" xfId="105" builtinId="8" hidden="true"/>
    <cellStyle name="Hyperlink" xfId="107" builtinId="8" hidden="true"/>
    <cellStyle name="Hyperlink" xfId="109" builtinId="8" hidden="true"/>
    <cellStyle name="Hyperlink" xfId="111" builtinId="8" hidden="true"/>
    <cellStyle name="Hyperlink" xfId="113" builtinId="8" hidden="true"/>
    <cellStyle name="Hyperlink" xfId="115" builtinId="8" hidden="true"/>
    <cellStyle name="Hyperlink" xfId="117" builtinId="8" hidden="true"/>
    <cellStyle name="Hyperlink" xfId="119" builtinId="8" hidden="true"/>
    <cellStyle name="Hyperlink" xfId="121" builtinId="8" hidden="true"/>
    <cellStyle name="Hyperlink" xfId="123" builtinId="8" hidden="true"/>
    <cellStyle name="Hyperlink" xfId="125" builtinId="8" hidden="true"/>
    <cellStyle name="Hyperlink" xfId="127" builtinId="8" hidden="true"/>
    <cellStyle name="Hyperlink" xfId="129" builtinId="8" hidden="true"/>
    <cellStyle name="Hyperlink" xfId="131" builtinId="8" hidden="true"/>
    <cellStyle name="Hyperlink" xfId="133" builtinId="8" hidden="true"/>
    <cellStyle name="Hyperlink" xfId="135" builtinId="8" hidden="true"/>
    <cellStyle name="Hyperlink" xfId="137" builtinId="8" hidden="true"/>
    <cellStyle name="Hyperlink" xfId="139" builtinId="8" hidden="true"/>
    <cellStyle name="Hyperlink" xfId="141" builtinId="8" hidden="true"/>
    <cellStyle name="Hyperlink" xfId="143" builtinId="8" hidden="true"/>
    <cellStyle name="Hyperlink" xfId="145" builtinId="8" hidden="true"/>
    <cellStyle name="Hyperlink" xfId="147" builtinId="8" hidden="true"/>
    <cellStyle name="Hyperlink" xfId="149" builtinId="8" hidden="true"/>
    <cellStyle name="Hyperlink" xfId="151" builtinId="8" hidden="true"/>
    <cellStyle name="Hyperlink" xfId="153" builtinId="8" hidden="true"/>
    <cellStyle name="Hyperlink" xfId="155" builtinId="8" hidden="true"/>
    <cellStyle name="Hyperlink" xfId="157" builtinId="8" hidden="true"/>
    <cellStyle name="Hyperlink" xfId="159" builtinId="8" hidden="true"/>
    <cellStyle name="Hyperlink" xfId="161" builtinId="8" hidden="true"/>
    <cellStyle name="Hyperlink" xfId="163" builtinId="8" hidden="true"/>
    <cellStyle name="Hyperlink" xfId="165" builtinId="8" hidden="true"/>
    <cellStyle name="Hyperlink" xfId="167" builtinId="8" hidden="true"/>
    <cellStyle name="Hyperlink" xfId="169" builtinId="8" hidden="true"/>
    <cellStyle name="Hyperlink" xfId="171" builtinId="8" hidden="true"/>
    <cellStyle name="Hyperlink" xfId="173" builtinId="8" hidden="true"/>
    <cellStyle name="Hyperlink" xfId="175" builtinId="8" hidden="true"/>
    <cellStyle name="Hyperlink" xfId="177" builtinId="8" hidden="true"/>
    <cellStyle name="Hyperlink" xfId="179" builtinId="8" hidden="true"/>
    <cellStyle name="Hyperlink" xfId="181" builtinId="8" hidden="true"/>
    <cellStyle name="Hyperlink" xfId="183" builtinId="8" hidden="true"/>
    <cellStyle name="Hyperlink" xfId="185" builtinId="8" hidden="true"/>
    <cellStyle name="Hyperlink" xfId="187" builtinId="8" hidden="true"/>
    <cellStyle name="Hyperlink" xfId="189" builtinId="8" hidden="true"/>
    <cellStyle name="Hyperlink" xfId="191" builtinId="8" hidden="true"/>
    <cellStyle name="Hyperlink" xfId="193" builtinId="8" hidden="true"/>
    <cellStyle name="Hyperlink" xfId="195" builtinId="8" hidden="true"/>
    <cellStyle name="Hyperlink" xfId="197" builtinId="8" hidden="true"/>
    <cellStyle name="Hyperlink" xfId="199" builtinId="8" hidden="true"/>
    <cellStyle name="Hyperlink" xfId="201" builtinId="8" hidden="true"/>
    <cellStyle name="Hyperlink" xfId="203" builtinId="8" hidden="true"/>
    <cellStyle name="Hyperlink" xfId="205" builtinId="8" hidden="true"/>
    <cellStyle name="Hyperlink" xfId="207" builtinId="8" hidden="true"/>
    <cellStyle name="Hyperlink" xfId="209" builtinId="8" hidden="true"/>
    <cellStyle name="Hyperlink" xfId="211" builtinId="8" hidden="true"/>
    <cellStyle name="Hyperlink" xfId="213" builtinId="8" hidden="true"/>
    <cellStyle name="Hyperlink" xfId="215" builtinId="8" hidden="true"/>
    <cellStyle name="Hyperlink" xfId="217" builtinId="8" hidden="true"/>
    <cellStyle name="Hyperlink" xfId="219" builtinId="8" hidden="true"/>
    <cellStyle name="Hyperlink" xfId="221" builtinId="8" hidden="true"/>
    <cellStyle name="Hyperlink" xfId="223" builtinId="8" hidden="true"/>
    <cellStyle name="Hyperlink" xfId="225" builtinId="8" hidden="true"/>
    <cellStyle name="Hyperlink" xfId="227" builtinId="8" hidden="true"/>
    <cellStyle name="Hyperlink" xfId="229" builtinId="8" hidden="true"/>
    <cellStyle name="Hyperlink" xfId="231" builtinId="8" hidden="true"/>
    <cellStyle name="Hyperlink" xfId="233" builtinId="8" hidden="true"/>
    <cellStyle name="Hyperlink" xfId="235" builtinId="8" hidden="true"/>
    <cellStyle name="Hyperlink" xfId="237" builtinId="8" hidden="true"/>
    <cellStyle name="Hyperlink" xfId="239" builtinId="8" hidden="true"/>
    <cellStyle name="Hyperlink" xfId="241" builtinId="8" hidden="true"/>
    <cellStyle name="Hyperlink" xfId="243" builtinId="8" hidden="true"/>
    <cellStyle name="Hyperlink" xfId="245" builtinId="8" hidden="true"/>
    <cellStyle name="Hyperlink" xfId="247" builtinId="8" hidden="true"/>
    <cellStyle name="Hyperlink" xfId="249" builtinId="8" hidden="true"/>
    <cellStyle name="Hyperlink" xfId="251" builtinId="8" hidden="true"/>
    <cellStyle name="Hyperlink" xfId="253" builtinId="8" hidden="true"/>
    <cellStyle name="Hyperlink" xfId="255" builtinId="8" hidden="true"/>
    <cellStyle name="Hyperlink" xfId="257" builtinId="8" hidden="true"/>
    <cellStyle name="Hyperlink" xfId="259" builtinId="8" hidden="true"/>
    <cellStyle name="Hyperlink" xfId="261" builtinId="8" hidden="true"/>
    <cellStyle name="Hyperlink" xfId="263" builtinId="8" hidden="true"/>
    <cellStyle name="Hyperlink" xfId="265" builtinId="8" hidden="true"/>
    <cellStyle name="Hyperlink" xfId="267" builtinId="8" hidden="true"/>
    <cellStyle name="Hyperlink" xfId="269" builtinId="8" hidden="true"/>
    <cellStyle name="Hyperlink" xfId="271" builtinId="8" hidden="true"/>
    <cellStyle name="Hyperlink" xfId="273" builtinId="8" hidden="true"/>
    <cellStyle name="Hyperlink" xfId="275" builtinId="8" hidden="true"/>
    <cellStyle name="Hyperlink" xfId="277" builtinId="8" hidden="true"/>
    <cellStyle name="Hyperlink" xfId="279" builtinId="8" hidden="true"/>
    <cellStyle name="Hyperlink" xfId="281" builtinId="8" hidden="true"/>
    <cellStyle name="Hyperlink" xfId="283" builtinId="8" hidden="true"/>
    <cellStyle name="Hyperlink" xfId="285" builtinId="8" hidden="true"/>
    <cellStyle name="Hyperlink" xfId="287" builtinId="8" hidden="true"/>
    <cellStyle name="Hyperlink" xfId="289" builtinId="8" hidden="true"/>
    <cellStyle name="Hyperlink" xfId="291" builtinId="8" hidden="true"/>
    <cellStyle name="Hyperlink" xfId="293" builtinId="8" hidden="true"/>
    <cellStyle name="Hyperlink" xfId="295" builtinId="8" hidden="true"/>
    <cellStyle name="Hyperlink" xfId="297" builtinId="8" hidden="true"/>
    <cellStyle name="Hyperlink" xfId="299" builtinId="8" hidden="true"/>
    <cellStyle name="Hyperlink" xfId="301" builtinId="8" hidden="true"/>
    <cellStyle name="Hyperlink" xfId="303" builtinId="8" hidden="true"/>
    <cellStyle name="Hyperlink" xfId="305" builtinId="8" hidden="true"/>
    <cellStyle name="Hyperlink" xfId="307" builtinId="8" hidden="true"/>
    <cellStyle name="Hyperlink" xfId="309" builtinId="8" hidden="true"/>
    <cellStyle name="Hyperlink" xfId="311" builtinId="8" hidden="true"/>
    <cellStyle name="Hyperlink" xfId="313" builtinId="8" hidden="true"/>
    <cellStyle name="Hyperlink" xfId="315" builtinId="8" hidden="true"/>
    <cellStyle name="Hyperlink" xfId="317" builtinId="8" hidden="true"/>
    <cellStyle name="Hyperlink" xfId="319" builtinId="8" hidden="true"/>
    <cellStyle name="Hyperlink" xfId="321" builtinId="8" hidden="true"/>
    <cellStyle name="Hyperlink" xfId="323" builtinId="8" hidden="true"/>
    <cellStyle name="Hyperlink" xfId="325" builtinId="8" hidden="true"/>
    <cellStyle name="Hyperlink" xfId="327" builtinId="8" hidden="true"/>
    <cellStyle name="Hyperlink" xfId="329" builtinId="8" hidden="true"/>
    <cellStyle name="Hyperlink" xfId="331" builtinId="8" hidden="true"/>
    <cellStyle name="Hyperlink" xfId="333" builtinId="8" hidden="true"/>
    <cellStyle name="Hyperlink" xfId="335" builtinId="8" hidden="true"/>
    <cellStyle name="Hyperlink" xfId="337" builtinId="8" hidden="true"/>
    <cellStyle name="Hyperlink" xfId="339" builtinId="8" hidden="true"/>
    <cellStyle name="Hyperlink" xfId="341" builtinId="8" hidden="true"/>
    <cellStyle name="Hyperlink" xfId="343" builtinId="8" hidden="true"/>
    <cellStyle name="Hyperlink" xfId="345" builtinId="8" hidden="true"/>
    <cellStyle name="Hyperlink" xfId="347" builtinId="8" hidden="true"/>
    <cellStyle name="Hyperlink" xfId="349" builtinId="8" hidden="true"/>
    <cellStyle name="Hyperlink" xfId="351" builtinId="8" hidden="true"/>
    <cellStyle name="Hyperlink" xfId="353" builtinId="8" hidden="true"/>
    <cellStyle name="Hyperlink" xfId="355" builtinId="8" hidden="true"/>
    <cellStyle name="Hyperlink" xfId="357" builtinId="8" hidden="true"/>
    <cellStyle name="Hyperlink" xfId="359" builtinId="8" hidden="true"/>
    <cellStyle name="Hyperlink" xfId="361" builtinId="8" hidden="true"/>
    <cellStyle name="Hyperlink" xfId="363" builtinId="8" hidden="true"/>
    <cellStyle name="Hyperlink" xfId="365" builtinId="8" hidden="true"/>
    <cellStyle name="Hyperlink" xfId="367" builtinId="8" hidden="true"/>
    <cellStyle name="Hyperlink" xfId="369" builtinId="8" hidden="true"/>
    <cellStyle name="Hyperlink" xfId="371" builtinId="8" hidden="true"/>
    <cellStyle name="Hyperlink" xfId="373" builtinId="8" hidden="true"/>
    <cellStyle name="Hyperlink" xfId="375" builtinId="8" hidden="true"/>
    <cellStyle name="Hyperlink" xfId="377" builtinId="8" hidden="true"/>
    <cellStyle name="Hyperlink" xfId="379" builtinId="8" hidden="true"/>
    <cellStyle name="Hyperlink" xfId="381" builtinId="8" hidden="true"/>
    <cellStyle name="Hyperlink" xfId="383" builtinId="8" hidden="true"/>
    <cellStyle name="Hyperlink" xfId="385" builtinId="8" hidden="true"/>
    <cellStyle name="Hyperlink" xfId="387" builtinId="8" hidden="true"/>
    <cellStyle name="Hyperlink" xfId="389" builtinId="8" hidden="true"/>
    <cellStyle name="Hyperlink" xfId="391" builtinId="8" hidden="true"/>
    <cellStyle name="Hyperlink" xfId="393" builtinId="8" hidden="true"/>
    <cellStyle name="Hyperlink" xfId="395" builtinId="8" hidden="true"/>
    <cellStyle name="Hyperlink" xfId="397" builtinId="8" hidden="true"/>
    <cellStyle name="Hyperlink" xfId="399" builtinId="8" hidden="true"/>
    <cellStyle name="Hyperlink" xfId="401" builtinId="8" hidden="true"/>
    <cellStyle name="Hyperlink" xfId="403" builtinId="8" hidden="true"/>
    <cellStyle name="Hyperlink" xfId="405" builtinId="8" hidden="true"/>
    <cellStyle name="Hyperlink" xfId="407" builtinId="8" hidden="true"/>
    <cellStyle name="Hyperlink" xfId="409" builtinId="8" hidden="true"/>
    <cellStyle name="Hyperlink" xfId="411" builtinId="8" hidden="true"/>
    <cellStyle name="Hyperlink" xfId="413" builtinId="8" hidden="true"/>
    <cellStyle name="Hyperlink" xfId="415" builtinId="8" hidden="true"/>
    <cellStyle name="Hyperlink" xfId="417" builtinId="8" hidden="true"/>
    <cellStyle name="Hyperlink" xfId="419" builtinId="8" hidden="true"/>
    <cellStyle name="Hyperlink" xfId="421" builtinId="8" hidden="true"/>
    <cellStyle name="Hyperlink" xfId="423" builtinId="8" hidden="true"/>
    <cellStyle name="Hyperlink" xfId="425" builtinId="8" hidden="true"/>
    <cellStyle name="Hyperlink" xfId="427" builtinId="8" hidden="true"/>
    <cellStyle name="Hyperlink" xfId="429" builtinId="8" hidden="true"/>
    <cellStyle name="Hyperlink" xfId="431" builtinId="8" hidden="true"/>
    <cellStyle name="Hyperlink" xfId="433" builtinId="8" hidden="true"/>
    <cellStyle name="Hyperlink" xfId="435" builtinId="8" hidden="true"/>
    <cellStyle name="Hyperlink" xfId="437" builtinId="8" hidden="true"/>
    <cellStyle name="Hyperlink" xfId="439" builtinId="8" hidden="true"/>
    <cellStyle name="Hyperlink" xfId="441" builtinId="8" hidden="true"/>
    <cellStyle name="Hyperlink" xfId="443" builtinId="8" hidden="true"/>
    <cellStyle name="Hyperlink" xfId="445" builtinId="8" hidden="true"/>
    <cellStyle name="Hyperlink" xfId="447" builtinId="8" hidden="true"/>
    <cellStyle name="Hyperlink" xfId="449" builtinId="8" hidden="true"/>
    <cellStyle name="Hyperlink" xfId="451" builtinId="8" hidden="true"/>
    <cellStyle name="Hyperlink" xfId="453" builtinId="8" hidden="true"/>
    <cellStyle name="Hyperlink" xfId="455" builtinId="8" hidden="true"/>
    <cellStyle name="Hyperlink" xfId="457" builtinId="8" hidden="true"/>
    <cellStyle name="Hyperlink" xfId="459" builtinId="8" hidden="true"/>
    <cellStyle name="Hyperlink" xfId="461" builtinId="8" hidden="true"/>
    <cellStyle name="Hyperlink" xfId="463" builtinId="8" hidden="true"/>
    <cellStyle name="Hyperlink" xfId="465" builtinId="8" hidden="true"/>
    <cellStyle name="Hyperlink" xfId="467" builtinId="8" hidden="true"/>
    <cellStyle name="Hyperlink" xfId="469" builtinId="8" hidden="true"/>
    <cellStyle name="Hyperlink" xfId="471" builtinId="8" hidden="true"/>
    <cellStyle name="Hyperlink" xfId="473" builtinId="8" hidden="true"/>
    <cellStyle name="Hyperlink" xfId="475" builtinId="8" hidden="true"/>
    <cellStyle name="Hyperlink" xfId="477" builtinId="8" hidden="true"/>
    <cellStyle name="Hyperlink" xfId="479" builtinId="8" hidden="true"/>
    <cellStyle name="Hyperlink" xfId="481" builtinId="8" hidden="true"/>
    <cellStyle name="Hyperlink" xfId="483" builtinId="8" hidden="true"/>
    <cellStyle name="Hyperlink" xfId="485" builtinId="8" hidden="true"/>
    <cellStyle name="Hyperlink" xfId="487" builtinId="8" hidden="true"/>
    <cellStyle name="Hyperlink" xfId="489" builtinId="8" hidden="true"/>
    <cellStyle name="Hyperlink" xfId="491" builtinId="8" hidden="true"/>
    <cellStyle name="Hyperlink" xfId="493" builtinId="8" hidden="true"/>
    <cellStyle name="Hyperlink" xfId="495" builtinId="8" hidden="true"/>
    <cellStyle name="Hyperlink" xfId="497" builtinId="8" hidden="true"/>
    <cellStyle name="Hyperlink" xfId="499" builtinId="8" hidden="true"/>
    <cellStyle name="Hyperlink" xfId="501" builtinId="8" hidden="true"/>
    <cellStyle name="Hyperlink" xfId="503" builtinId="8" hidden="true"/>
    <cellStyle name="Hyperlink" xfId="505" builtinId="8" hidden="true"/>
    <cellStyle name="Hyperlink" xfId="507" builtinId="8" hidden="true"/>
    <cellStyle name="Hyperlink" xfId="509" builtinId="8" hidden="true"/>
    <cellStyle name="Hyperlink" xfId="511" builtinId="8" hidden="true"/>
    <cellStyle name="Hyperlink" xfId="513" builtinId="8" hidden="true"/>
    <cellStyle name="Hyperlink" xfId="515" builtinId="8" hidden="true"/>
    <cellStyle name="Hyperlink" xfId="517" builtinId="8" hidden="true"/>
    <cellStyle name="Hyperlink" xfId="519" builtinId="8" hidden="true"/>
    <cellStyle name="Hyperlink" xfId="521" builtinId="8" hidden="true"/>
    <cellStyle name="Hyperlink" xfId="523" builtinId="8" hidden="true"/>
    <cellStyle name="Hyperlink" xfId="525" builtinId="8" hidden="true"/>
    <cellStyle name="Hyperlink" xfId="527" builtinId="8" hidden="true"/>
    <cellStyle name="Hyperlink" xfId="529" builtinId="8" hidden="true"/>
    <cellStyle name="Hyperlink" xfId="531" builtinId="8" hidden="true"/>
    <cellStyle name="Hyperlink" xfId="533" builtinId="8" hidden="true"/>
    <cellStyle name="Hyperlink" xfId="535" builtinId="8" hidden="true"/>
    <cellStyle name="Hyperlink" xfId="537" builtinId="8" hidden="true"/>
    <cellStyle name="Hyperlink" xfId="539" builtinId="8" hidden="true"/>
    <cellStyle name="Hyperlink" xfId="541" builtinId="8" hidden="true"/>
    <cellStyle name="Hyperlink" xfId="543" builtinId="8" hidden="true"/>
    <cellStyle name="Hyperlink" xfId="545" builtinId="8" hidden="true"/>
    <cellStyle name="Hyperlink" xfId="547" builtinId="8" hidden="true"/>
    <cellStyle name="Hyperlink" xfId="549" builtinId="8" hidden="true"/>
    <cellStyle name="Hyperlink" xfId="551" builtinId="8" hidden="true"/>
    <cellStyle name="Hyperlink" xfId="553" builtinId="8" hidden="true"/>
    <cellStyle name="Hyperlink" xfId="555" builtinId="8" hidden="true"/>
    <cellStyle name="Hyperlink" xfId="557" builtinId="8" hidden="true"/>
    <cellStyle name="Hyperlink" xfId="559" builtinId="8" hidden="true"/>
    <cellStyle name="Hyperlink" xfId="561" builtinId="8" hidden="true"/>
    <cellStyle name="Hyperlink" xfId="563" builtinId="8" hidden="true"/>
    <cellStyle name="Hyperlink" xfId="565" builtinId="8" hidden="true"/>
    <cellStyle name="Hyperlink" xfId="567" builtinId="8" hidden="true"/>
    <cellStyle name="Hyperlink" xfId="569" builtinId="8" hidden="true"/>
    <cellStyle name="Hyperlink" xfId="571" builtinId="8" hidden="true"/>
    <cellStyle name="Hyperlink" xfId="573" builtinId="8" hidden="true"/>
    <cellStyle name="Hyperlink" xfId="575" builtinId="8" hidden="true"/>
    <cellStyle name="Hyperlink" xfId="577" builtinId="8" hidden="true"/>
    <cellStyle name="Hyperlink" xfId="579" builtinId="8" hidden="true"/>
    <cellStyle name="Hyperlink" xfId="581" builtinId="8" hidden="true"/>
    <cellStyle name="Hyperlink" xfId="583" builtinId="8" hidden="true"/>
    <cellStyle name="Hyperlink" xfId="585" builtinId="8" hidden="true"/>
    <cellStyle name="Hyperlink" xfId="587" builtinId="8" hidden="true"/>
    <cellStyle name="Hyperlink" xfId="589" builtinId="8" hidden="true"/>
    <cellStyle name="Hyperlink" xfId="591" builtinId="8" hidden="true"/>
    <cellStyle name="Hyperlink" xfId="593" builtinId="8" hidden="true"/>
    <cellStyle name="Hyperlink" xfId="595" builtinId="8" hidden="true"/>
    <cellStyle name="Hyperlink" xfId="597" builtinId="8" hidden="true"/>
    <cellStyle name="Hyperlink" xfId="599" builtinId="8" hidden="true"/>
    <cellStyle name="Hyperlink" xfId="601" builtinId="8" hidden="true"/>
    <cellStyle name="Hyperlink" xfId="603" builtinId="8" hidden="true"/>
    <cellStyle name="Hyperlink" xfId="605" builtinId="8" hidden="true"/>
    <cellStyle name="Hyperlink" xfId="607" builtinId="8" hidden="true"/>
    <cellStyle name="Hyperlink" xfId="609" builtinId="8" hidden="true"/>
    <cellStyle name="Hyperlink" xfId="611" builtinId="8" hidden="true"/>
    <cellStyle name="Hyperlink" xfId="613" builtinId="8" hidden="true"/>
    <cellStyle name="Hyperlink" xfId="615" builtinId="8" hidden="true"/>
    <cellStyle name="Hyperlink" xfId="617" builtinId="8" hidden="true"/>
    <cellStyle name="Hyperlink" xfId="619" builtinId="8" hidden="true"/>
    <cellStyle name="Hyperlink" xfId="621" builtinId="8" hidden="true"/>
    <cellStyle name="Hyperlink" xfId="623" builtinId="8" hidden="true"/>
    <cellStyle name="Hyperlink" xfId="625" builtinId="8" hidden="true"/>
    <cellStyle name="Hyperlink" xfId="627" builtinId="8" hidden="true"/>
    <cellStyle name="Hyperlink" xfId="629" builtinId="8" hidden="true"/>
    <cellStyle name="Hyperlink" xfId="631" builtinId="8" hidden="true"/>
    <cellStyle name="Hyperlink" xfId="633" builtinId="8" hidden="true"/>
    <cellStyle name="Hyperlink" xfId="635" builtinId="8" hidden="true"/>
    <cellStyle name="Hyperlink" xfId="637" builtinId="8" hidden="true"/>
    <cellStyle name="Hyperlink" xfId="639" builtinId="8" hidden="true"/>
    <cellStyle name="Hyperlink" xfId="641" builtinId="8" hidden="true"/>
    <cellStyle name="Hyperlink" xfId="643" builtinId="8" hidden="true"/>
    <cellStyle name="Hyperlink" xfId="645" builtinId="8" hidden="true"/>
    <cellStyle name="Hyperlink" xfId="647" builtinId="8" hidden="true"/>
    <cellStyle name="Hyperlink" xfId="649" builtinId="8" hidden="true"/>
    <cellStyle name="Hyperlink" xfId="651" builtinId="8" hidden="true"/>
    <cellStyle name="Hyperlink" xfId="653" builtinId="8" hidden="true"/>
    <cellStyle name="Hyperlink" xfId="655" builtinId="8" hidden="true"/>
    <cellStyle name="Hyperlink" xfId="657" builtinId="8" hidden="true"/>
    <cellStyle name="Hyperlink" xfId="659" builtinId="8" hidden="true"/>
    <cellStyle name="Hyperlink" xfId="661" builtinId="8" hidden="true"/>
    <cellStyle name="Hyperlink" xfId="663" builtinId="8" hidden="true"/>
    <cellStyle name="Hyperlink" xfId="665" builtinId="8" hidden="true"/>
    <cellStyle name="Hyperlink" xfId="667" builtinId="8" hidden="true"/>
    <cellStyle name="Hyperlink" xfId="669" builtinId="8" hidden="true"/>
    <cellStyle name="Hyperlink" xfId="671" builtinId="8" hidden="true"/>
    <cellStyle name="Hyperlink" xfId="673" builtinId="8" hidden="true"/>
    <cellStyle name="Hyperlink" xfId="675" builtinId="8" hidden="true"/>
    <cellStyle name="Hyperlink" xfId="677" builtinId="8" hidden="true"/>
    <cellStyle name="Hyperlink" xfId="679" builtinId="8" hidden="true"/>
    <cellStyle name="Hyperlink" xfId="681" builtinId="8" hidden="true"/>
    <cellStyle name="Hyperlink" xfId="683" builtinId="8" hidden="true"/>
    <cellStyle name="Hyperlink" xfId="685" builtinId="8" hidden="true"/>
    <cellStyle name="Hyperlink" xfId="687" builtinId="8" hidden="true"/>
    <cellStyle name="Hyperlink" xfId="689" builtinId="8" hidden="true"/>
    <cellStyle name="Hyperlink" xfId="691" builtinId="8" hidden="true"/>
    <cellStyle name="Hyperlink" xfId="693" builtinId="8" hidden="true"/>
    <cellStyle name="Hyperlink" xfId="695" builtinId="8" hidden="true"/>
    <cellStyle name="Hyperlink" xfId="697" builtinId="8" hidden="true"/>
    <cellStyle name="Hyperlink" xfId="699" builtinId="8" hidden="true"/>
    <cellStyle name="Hyperlink" xfId="701" builtinId="8" hidden="true"/>
    <cellStyle name="Hyperlink" xfId="703" builtinId="8" hidden="true"/>
    <cellStyle name="Hyperlink" xfId="705" builtinId="8" hidden="true"/>
    <cellStyle name="Hyperlink" xfId="707" builtinId="8" hidden="true"/>
    <cellStyle name="Hyperlink" xfId="709" builtinId="8" hidden="true"/>
    <cellStyle name="Hyperlink" xfId="711" builtinId="8" hidden="true"/>
    <cellStyle name="Hyperlink" xfId="713" builtinId="8" hidden="true"/>
    <cellStyle name="Hyperlink" xfId="715" builtinId="8" hidden="true"/>
    <cellStyle name="Hyperlink" xfId="717" builtinId="8" hidden="true"/>
    <cellStyle name="Hyperlink" xfId="719" builtinId="8" hidden="true"/>
    <cellStyle name="Hyperlink" xfId="721" builtinId="8" hidden="true"/>
    <cellStyle name="Hyperlink" xfId="723" builtinId="8" hidden="true"/>
    <cellStyle name="Hyperlink" xfId="725" builtinId="8" hidden="true"/>
    <cellStyle name="Hyperlink" xfId="727" builtinId="8" hidden="true"/>
    <cellStyle name="Hyperlink" xfId="729" builtinId="8" hidden="true"/>
    <cellStyle name="Hyperlink" xfId="731" builtinId="8" hidden="true"/>
    <cellStyle name="Hyperlink" xfId="733" builtinId="8" hidden="true"/>
    <cellStyle name="Hyperlink" xfId="735" builtinId="8" hidden="true"/>
    <cellStyle name="Hyperlink" xfId="737" builtinId="8" hidden="true"/>
    <cellStyle name="Hyperlink" xfId="739" builtinId="8" hidden="true"/>
    <cellStyle name="Hyperlink" xfId="741" builtinId="8" hidden="true"/>
    <cellStyle name="Hyperlink" xfId="743" builtinId="8" hidden="true"/>
    <cellStyle name="Hyperlink" xfId="745" builtinId="8" hidden="true"/>
    <cellStyle name="Hyperlink" xfId="747" builtinId="8" hidden="true"/>
    <cellStyle name="Hyperlink" xfId="749" builtinId="8" hidden="true"/>
    <cellStyle name="Hyperlink" xfId="751" builtinId="8" hidden="true"/>
    <cellStyle name="Hyperlink" xfId="753" builtinId="8" hidden="true"/>
    <cellStyle name="Hyperlink" xfId="755" builtinId="8" hidden="true"/>
    <cellStyle name="Hyperlink" xfId="757" builtinId="8" hidden="true"/>
    <cellStyle name="Hyperlink" xfId="759" builtinId="8" hidden="true"/>
    <cellStyle name="Hyperlink" xfId="761" builtinId="8" hidden="true"/>
    <cellStyle name="Hyperlink" xfId="763" builtinId="8" hidden="true"/>
    <cellStyle name="Hyperlink" xfId="765" builtinId="8" hidden="true"/>
    <cellStyle name="Hyperlink" xfId="767" builtinId="8" hidden="true"/>
    <cellStyle name="Hyperlink" xfId="769" builtinId="8" hidden="true"/>
    <cellStyle name="Hyperlink" xfId="771" builtinId="8" hidden="true"/>
    <cellStyle name="Hyperlink" xfId="773" builtinId="8" hidden="true"/>
    <cellStyle name="Hyperlink" xfId="775" builtinId="8" hidden="true"/>
    <cellStyle name="Hyperlink" xfId="777" builtinId="8" hidden="true"/>
    <cellStyle name="Hyperlink" xfId="779" builtinId="8" hidden="true"/>
    <cellStyle name="Hyperlink" xfId="781" builtinId="8" hidden="true"/>
    <cellStyle name="Hyperlink" xfId="783" builtinId="8" hidden="true"/>
    <cellStyle name="Hyperlink" xfId="785" builtinId="8" hidden="true"/>
    <cellStyle name="Hyperlink" xfId="787" builtinId="8" hidden="true"/>
    <cellStyle name="Hyperlink" xfId="789" builtinId="8" hidden="true"/>
    <cellStyle name="Hyperlink" xfId="791" builtinId="8" hidden="true"/>
    <cellStyle name="Hyperlink" xfId="793" builtinId="8" hidden="true"/>
    <cellStyle name="Hyperlink" xfId="795" builtinId="8" hidden="true"/>
    <cellStyle name="Hyperlink" xfId="797" builtinId="8" hidden="true"/>
    <cellStyle name="Hyperlink" xfId="799" builtinId="8" hidden="true"/>
    <cellStyle name="Hyperlink" xfId="801" builtinId="8" hidden="true"/>
    <cellStyle name="Hyperlink" xfId="803" builtinId="8" hidden="true"/>
    <cellStyle name="Hyperlink" xfId="805" builtinId="8" hidden="true"/>
    <cellStyle name="Hyperlink" xfId="807" builtinId="8" hidden="true"/>
    <cellStyle name="Hyperlink" xfId="809" builtinId="8" hidden="true"/>
    <cellStyle name="Hyperlink" xfId="811" builtinId="8" hidden="true"/>
    <cellStyle name="Hyperlink" xfId="813" builtinId="8" hidden="true"/>
    <cellStyle name="Hyperlink" xfId="815" builtinId="8" hidden="true"/>
    <cellStyle name="Hyperlink" xfId="817" builtinId="8" hidden="true"/>
    <cellStyle name="Hyperlink" xfId="819" builtinId="8" hidden="true"/>
    <cellStyle name="Hyperlink" xfId="821" builtinId="8" hidden="true"/>
    <cellStyle name="Hyperlink" xfId="823" builtinId="8" hidden="true"/>
    <cellStyle name="Hyperlink" xfId="825" builtinId="8" hidden="true"/>
    <cellStyle name="Hyperlink" xfId="827" builtinId="8" hidden="true"/>
    <cellStyle name="Hyperlink" xfId="829" builtinId="8" hidden="true"/>
    <cellStyle name="Hyperlink" xfId="831" builtinId="8" hidden="true"/>
    <cellStyle name="Hyperlink" xfId="833" builtinId="8" hidden="true"/>
    <cellStyle name="Hyperlink" xfId="835" builtinId="8" hidden="true"/>
    <cellStyle name="Hyperlink" xfId="837" builtinId="8" hidden="true"/>
    <cellStyle name="Hyperlink" xfId="839" builtinId="8" hidden="true"/>
    <cellStyle name="Hyperlink" xfId="841" builtinId="8" hidden="true"/>
    <cellStyle name="Hyperlink" xfId="843" builtinId="8" hidden="true"/>
    <cellStyle name="Hyperlink" xfId="845" builtinId="8" hidden="true"/>
    <cellStyle name="Hyperlink" xfId="847" builtinId="8" hidden="true"/>
    <cellStyle name="Hyperlink" xfId="849" builtinId="8" hidden="true"/>
    <cellStyle name="Hyperlink" xfId="851" builtinId="8" hidden="true"/>
    <cellStyle name="Hyperlink" xfId="853" builtinId="8" hidden="true"/>
    <cellStyle name="Hyperlink" xfId="855" builtinId="8" hidden="true"/>
    <cellStyle name="Hyperlink" xfId="857" builtinId="8" hidden="true"/>
    <cellStyle name="Hyperlink" xfId="859" builtinId="8" hidden="true"/>
    <cellStyle name="Hyperlink" xfId="861" builtinId="8" hidden="true"/>
    <cellStyle name="Hyperlink" xfId="863" builtinId="8" hidden="true"/>
    <cellStyle name="Hyperlink" xfId="865" builtinId="8" hidden="true"/>
    <cellStyle name="Hyperlink" xfId="867" builtinId="8" hidden="true"/>
    <cellStyle name="Hyperlink" xfId="869" builtinId="8" hidden="true"/>
    <cellStyle name="Hyperlink" xfId="871" builtinId="8" hidden="true"/>
    <cellStyle name="Hyperlink" xfId="873" builtinId="8" hidden="true"/>
    <cellStyle name="Hyperlink" xfId="875" builtinId="8" hidden="true"/>
    <cellStyle name="Hyperlink" xfId="877" builtinId="8" hidden="true"/>
    <cellStyle name="Hyperlink" xfId="879" builtinId="8" hidden="true"/>
    <cellStyle name="Hyperlink" xfId="881" builtinId="8" hidden="true"/>
    <cellStyle name="Hyperlink" xfId="883" builtinId="8" hidden="true"/>
    <cellStyle name="Hyperlink" xfId="885" builtinId="8" hidden="true"/>
    <cellStyle name="Hyperlink" xfId="887" builtinId="8" hidden="true"/>
    <cellStyle name="Hyperlink" xfId="889" builtinId="8" hidden="true"/>
    <cellStyle name="Hyperlink" xfId="891" builtinId="8" hidden="true"/>
    <cellStyle name="Hyperlink" xfId="893" builtinId="8" hidden="true"/>
    <cellStyle name="Hyperlink" xfId="895" builtinId="8" hidden="true"/>
    <cellStyle name="Hyperlink" xfId="897" builtinId="8" hidden="true"/>
    <cellStyle name="Hyperlink" xfId="899" builtinId="8" hidden="true"/>
    <cellStyle name="Hyperlink" xfId="901" builtinId="8" hidden="true"/>
    <cellStyle name="Hyperlink" xfId="903" builtinId="8" hidden="true"/>
    <cellStyle name="Hyperlink" xfId="905" builtinId="8" hidden="true"/>
    <cellStyle name="Hyperlink" xfId="907" builtinId="8" hidden="true"/>
    <cellStyle name="Hyperlink" xfId="909" builtinId="8" hidden="true"/>
    <cellStyle name="Hyperlink" xfId="911" builtinId="8" hidden="true"/>
    <cellStyle name="Hyperlink" xfId="913" builtinId="8" hidden="true"/>
    <cellStyle name="Hyperlink" xfId="915" builtinId="8" hidden="true"/>
    <cellStyle name="Hyperlink" xfId="917" builtinId="8" hidden="true"/>
    <cellStyle name="Hyperlink" xfId="919" builtinId="8" hidden="true"/>
    <cellStyle name="Hyperlink" xfId="921" builtinId="8" hidden="true"/>
    <cellStyle name="Hyperlink" xfId="923" builtinId="8" hidden="true"/>
    <cellStyle name="Hyperlink" xfId="925" builtinId="8" hidden="true"/>
    <cellStyle name="Hyperlink" xfId="927" builtinId="8" hidden="true"/>
    <cellStyle name="Hyperlink" xfId="929" builtinId="8" hidden="true"/>
    <cellStyle name="Hyperlink" xfId="931" builtinId="8" hidden="true"/>
    <cellStyle name="Hyperlink" xfId="933" builtinId="8" hidden="true"/>
    <cellStyle name="Hyperlink" xfId="935" builtinId="8" hidden="true"/>
    <cellStyle name="Hyperlink" xfId="937" builtinId="8" hidden="true"/>
    <cellStyle name="Hyperlink" xfId="939" builtinId="8" hidden="true"/>
    <cellStyle name="Hyperlink" xfId="941" builtinId="8" hidden="true"/>
    <cellStyle name="Hyperlink" xfId="943" builtinId="8" hidden="true"/>
    <cellStyle name="Hyperlink" xfId="945" builtinId="8" hidden="true"/>
    <cellStyle name="Hyperlink" xfId="947" builtinId="8" hidden="true"/>
    <cellStyle name="Hyperlink" xfId="949" builtinId="8" hidden="true"/>
    <cellStyle name="Hyperlink" xfId="951" builtinId="8" hidden="true"/>
    <cellStyle name="Hyperlink" xfId="953" builtinId="8" hidden="true"/>
    <cellStyle name="Hyperlink" xfId="955" builtinId="8" hidden="true"/>
    <cellStyle name="Hyperlink" xfId="957" builtinId="8" hidden="true"/>
    <cellStyle name="Hyperlink" xfId="959" builtinId="8" hidden="true"/>
    <cellStyle name="Hyperlink" xfId="961" builtinId="8" hidden="true"/>
    <cellStyle name="Hyperlink" xfId="963" builtinId="8" hidden="true"/>
    <cellStyle name="Hyperlink" xfId="965" builtinId="8" hidden="true"/>
    <cellStyle name="Hyperlink" xfId="967" builtinId="8" hidden="true"/>
    <cellStyle name="Hyperlink" xfId="969" builtinId="8" hidden="true"/>
    <cellStyle name="Hyperlink" xfId="972" builtinId="8" hidden="true"/>
    <cellStyle name="Hyperlink" xfId="974" builtinId="8" hidden="true"/>
    <cellStyle name="Hyperlink" xfId="976" builtinId="8" hidden="true"/>
    <cellStyle name="Hyperlink" xfId="978" builtinId="8" hidden="true"/>
    <cellStyle name="Hyperlink" xfId="980" builtinId="8" hidden="true"/>
    <cellStyle name="Hyperlink" xfId="982" builtinId="8" hidden="true"/>
    <cellStyle name="Hyperlink" xfId="984" builtinId="8" hidden="true"/>
    <cellStyle name="Hyperlink" xfId="986" builtinId="8" hidden="true"/>
    <cellStyle name="Hyperlink" xfId="988" builtinId="8" hidden="true"/>
    <cellStyle name="Hyperlink" xfId="990" builtinId="8" hidden="true"/>
    <cellStyle name="Hyperlink" xfId="992" builtinId="8" hidden="true"/>
    <cellStyle name="Hyperlink" xfId="994" builtinId="8" hidden="true"/>
    <cellStyle name="Hyperlink" xfId="996" builtinId="8" hidden="true"/>
    <cellStyle name="Hyperlink" xfId="998" builtinId="8" hidden="true"/>
    <cellStyle name="Hyperlink" xfId="1000" builtinId="8" hidden="true"/>
    <cellStyle name="Hyperlink" xfId="1002" builtinId="8" hidden="true"/>
    <cellStyle name="Hyperlink" xfId="1004" builtinId="8" hidden="true"/>
    <cellStyle name="Hyperlink" xfId="1006" builtinId="8" hidden="true"/>
    <cellStyle name="Hyperlink" xfId="1008" builtinId="8" hidden="true"/>
    <cellStyle name="Hyperlink" xfId="1010" builtinId="8" hidden="true"/>
    <cellStyle name="Hyperlink" xfId="1012" builtinId="8" hidden="true"/>
    <cellStyle name="Hyperlink" xfId="1014" builtinId="8" hidden="true"/>
    <cellStyle name="Hyperlink" xfId="1016" builtinId="8" hidden="true"/>
    <cellStyle name="Hyperlink" xfId="1018" builtinId="8" hidden="true"/>
    <cellStyle name="Hyperlink" xfId="1020" builtinId="8" hidden="true"/>
    <cellStyle name="Hyperlink" xfId="1022" builtinId="8" hidden="true"/>
    <cellStyle name="Hyperlink" xfId="1024" builtinId="8" hidden="true"/>
    <cellStyle name="Hyperlink" xfId="1026" builtinId="8" hidden="true"/>
    <cellStyle name="Hyperlink" xfId="1028" builtinId="8" hidden="true"/>
    <cellStyle name="Hyperlink" xfId="1030" builtinId="8" hidden="true"/>
    <cellStyle name="Hyperlink" xfId="1032" builtinId="8" hidden="true"/>
    <cellStyle name="Hyperlink" xfId="1034" builtinId="8" hidden="true"/>
    <cellStyle name="Hyperlink" xfId="1036" builtinId="8" hidden="true"/>
    <cellStyle name="Hyperlink" xfId="1038" builtinId="8" hidden="true"/>
    <cellStyle name="Hyperlink" xfId="1040" builtinId="8" hidden="true"/>
    <cellStyle name="Hyperlink" xfId="1042" builtinId="8" hidden="true"/>
    <cellStyle name="Hyperlink" xfId="1044" builtinId="8" hidden="true"/>
    <cellStyle name="Hyperlink" xfId="1046" builtinId="8" hidden="true"/>
    <cellStyle name="Hyperlink" xfId="1048" builtinId="8" hidden="true"/>
    <cellStyle name="Hyperlink" xfId="1050" builtinId="8" hidden="true"/>
    <cellStyle name="Hyperlink" xfId="1052" builtinId="8" hidden="true"/>
    <cellStyle name="Hyperlink" xfId="1054" builtinId="8" hidden="true"/>
    <cellStyle name="Hyperlink" xfId="1056" builtinId="8" hidden="true"/>
    <cellStyle name="Hyperlink" xfId="1058" builtinId="8" hidden="true"/>
    <cellStyle name="Hyperlink" xfId="1060" builtinId="8" hidden="true"/>
    <cellStyle name="Hyperlink" xfId="1062" builtinId="8" hidden="true"/>
    <cellStyle name="Hyperlink" xfId="1064" builtinId="8" hidden="true"/>
    <cellStyle name="Hyperlink" xfId="1066" builtinId="8" hidden="true"/>
    <cellStyle name="Hyperlink" xfId="1068" builtinId="8" hidden="true"/>
    <cellStyle name="Hyperlink" xfId="1070" builtinId="8" hidden="true"/>
    <cellStyle name="Hyperlink" xfId="1072" builtinId="8" hidden="true"/>
    <cellStyle name="Hyperlink" xfId="1074" builtinId="8" hidden="true"/>
    <cellStyle name="Hyperlink" xfId="1076" builtinId="8" hidden="true"/>
    <cellStyle name="Hyperlink" xfId="1078" builtinId="8" hidden="true"/>
    <cellStyle name="Hyperlink" xfId="1080" builtinId="8" hidden="true"/>
    <cellStyle name="Hyperlink" xfId="1082" builtinId="8" hidden="true"/>
    <cellStyle name="Hyperlink" xfId="1084" builtinId="8" hidden="true"/>
    <cellStyle name="Hyperlink" xfId="1086" builtinId="8" hidden="true"/>
    <cellStyle name="Hyperlink" xfId="1088" builtinId="8" hidden="true"/>
    <cellStyle name="Hyperlink" xfId="1090" builtinId="8" hidden="true"/>
    <cellStyle name="Hyperlink" xfId="1092" builtinId="8" hidden="true"/>
    <cellStyle name="Hyperlink" xfId="1094" builtinId="8" hidden="true"/>
    <cellStyle name="Hyperlink" xfId="1096" builtinId="8" hidden="true"/>
    <cellStyle name="Hyperlink" xfId="1098" builtinId="8" hidden="true"/>
    <cellStyle name="Hyperlink" xfId="1100" builtinId="8" hidden="true"/>
    <cellStyle name="Hyperlink" xfId="1102" builtinId="8" hidden="true"/>
    <cellStyle name="Hyperlink" xfId="1104" builtinId="8" hidden="true"/>
    <cellStyle name="Hyperlink" xfId="1106" builtinId="8" hidden="true"/>
    <cellStyle name="Hyperlink" xfId="1108" builtinId="8" hidden="true"/>
    <cellStyle name="Hyperlink" xfId="1110" builtinId="8" hidden="true"/>
    <cellStyle name="Hyperlink" xfId="1112" builtinId="8" hidden="true"/>
    <cellStyle name="Hyperlink" xfId="1114" builtinId="8" hidden="true"/>
    <cellStyle name="Hyperlink" xfId="1116" builtinId="8" hidden="true"/>
    <cellStyle name="Hyperlink" xfId="1118" builtinId="8" hidden="true"/>
    <cellStyle name="Hyperlink" xfId="1120" builtinId="8" hidden="true"/>
    <cellStyle name="Hyperlink" xfId="1122" builtinId="8" hidden="true"/>
    <cellStyle name="Hyperlink" xfId="1124" builtinId="8" hidden="true"/>
    <cellStyle name="Hyperlink" xfId="1126" builtinId="8" hidden="true"/>
    <cellStyle name="Hyperlink" xfId="1128" builtinId="8" hidden="true"/>
    <cellStyle name="Hyperlink" xfId="1130" builtinId="8" hidden="true"/>
    <cellStyle name="Hyperlink" xfId="1132" builtinId="8" hidden="true"/>
    <cellStyle name="Hyperlink" xfId="1134" builtinId="8" hidden="true"/>
    <cellStyle name="Hyperlink" xfId="1136" builtinId="8" hidden="true"/>
    <cellStyle name="Hyperlink" xfId="1138" builtinId="8" hidden="true"/>
    <cellStyle name="Hyperlink" xfId="1140" builtinId="8" hidden="true"/>
    <cellStyle name="Hyperlink" xfId="1142" builtinId="8" hidden="true"/>
    <cellStyle name="Hyperlink" xfId="1144" builtinId="8" hidden="true"/>
    <cellStyle name="Hyperlink" xfId="1146" builtinId="8" hidden="true"/>
    <cellStyle name="Hyperlink" xfId="1148" builtinId="8" hidden="true"/>
    <cellStyle name="Hyperlink" xfId="1150" builtinId="8" hidden="true"/>
    <cellStyle name="Hyperlink" xfId="1152" builtinId="8" hidden="true"/>
    <cellStyle name="Hyperlink" xfId="1154" builtinId="8" hidden="true"/>
    <cellStyle name="Hyperlink" xfId="1156" builtinId="8" hidden="true"/>
    <cellStyle name="Hyperlink" xfId="1158" builtinId="8" hidden="true"/>
    <cellStyle name="Hyperlink" xfId="1160" builtinId="8" hidden="true"/>
    <cellStyle name="Hyperlink" xfId="1162" builtinId="8" hidden="true"/>
    <cellStyle name="Hyperlink" xfId="1164" builtinId="8" hidden="true"/>
    <cellStyle name="Hyperlink" xfId="1166" builtinId="8" hidden="true"/>
    <cellStyle name="Hyperlink" xfId="1168" builtinId="8" hidden="true"/>
    <cellStyle name="Hyperlink" xfId="1170" builtinId="8" hidden="true"/>
    <cellStyle name="Hyperlink" xfId="1172" builtinId="8" hidden="true"/>
    <cellStyle name="Hyperlink" xfId="1174" builtinId="8" hidden="true"/>
    <cellStyle name="Hyperlink" xfId="1176" builtinId="8" hidden="true"/>
    <cellStyle name="Hyperlink" xfId="1178" builtinId="8" hidden="true"/>
    <cellStyle name="Hyperlink" xfId="1180" builtinId="8" hidden="true"/>
    <cellStyle name="Hyperlink" xfId="1182" builtinId="8" hidden="true"/>
    <cellStyle name="Hyperlink" xfId="1184" builtinId="8" hidden="true"/>
    <cellStyle name="Hyperlink" xfId="1186" builtinId="8" hidden="true"/>
    <cellStyle name="Hyperlink" xfId="1188" builtinId="8" hidden="true"/>
    <cellStyle name="Hyperlink" xfId="1190" builtinId="8" hidden="true"/>
    <cellStyle name="Hyperlink" xfId="1192" builtinId="8" hidden="true"/>
    <cellStyle name="Hyperlink" xfId="1194" builtinId="8" hidden="true"/>
    <cellStyle name="Hyperlink" xfId="1196" builtinId="8" hidden="true"/>
    <cellStyle name="Hyperlink" xfId="1198" builtinId="8" hidden="true"/>
    <cellStyle name="Hyperlink" xfId="1200" builtinId="8" hidden="true"/>
    <cellStyle name="Hyperlink" xfId="1202" builtinId="8" hidden="true"/>
    <cellStyle name="Hyperlink" xfId="1204" builtinId="8" hidden="true"/>
    <cellStyle name="Hyperlink" xfId="1206" builtinId="8" hidden="true"/>
    <cellStyle name="Hyperlink" xfId="1208" builtinId="8" hidden="true"/>
    <cellStyle name="Hyperlink" xfId="1210" builtinId="8" hidden="true"/>
    <cellStyle name="Hyperlink" xfId="1212" builtinId="8" hidden="true"/>
    <cellStyle name="Hyperlink" xfId="1214" builtinId="8" hidden="true"/>
    <cellStyle name="Hyperlink" xfId="1216" builtinId="8" hidden="true"/>
    <cellStyle name="Hyperlink" xfId="1218" builtinId="8" hidden="true"/>
    <cellStyle name="Hyperlink" xfId="1220" builtinId="8" hidden="true"/>
    <cellStyle name="Hyperlink" xfId="1222" builtinId="8" hidden="true"/>
    <cellStyle name="Hyperlink" xfId="1224" builtinId="8" hidden="true"/>
    <cellStyle name="Hyperlink" xfId="1226" builtinId="8" hidden="true"/>
    <cellStyle name="Hyperlink" xfId="1228" builtinId="8" hidden="true"/>
    <cellStyle name="Hyperlink" xfId="1230" builtinId="8" hidden="true"/>
    <cellStyle name="Hyperlink" xfId="1232" builtinId="8" hidden="true"/>
    <cellStyle name="Hyperlink" xfId="1234" builtinId="8" hidden="true"/>
    <cellStyle name="Hyperlink" xfId="1236" builtinId="8" hidden="true"/>
    <cellStyle name="Hyperlink" xfId="1238" builtinId="8" hidden="true"/>
    <cellStyle name="Hyperlink" xfId="1240" builtinId="8" hidden="true"/>
    <cellStyle name="Hyperlink" xfId="1242" builtinId="8" hidden="true"/>
    <cellStyle name="Hyperlink" xfId="1244" builtinId="8" hidden="true"/>
    <cellStyle name="Hyperlink" xfId="1246" builtinId="8" hidden="true"/>
    <cellStyle name="Hyperlink" xfId="1248" builtinId="8" hidden="true"/>
    <cellStyle name="Hyperlink" xfId="1250" builtinId="8" hidden="true"/>
    <cellStyle name="Hyperlink" xfId="1252" builtinId="8" hidden="true"/>
    <cellStyle name="Hyperlink" xfId="1254" builtinId="8" hidden="true"/>
    <cellStyle name="Hyperlink" xfId="1256" builtinId="8" hidden="true"/>
    <cellStyle name="Hyperlink" xfId="1258" builtinId="8" hidden="true"/>
    <cellStyle name="Hyperlink" xfId="1260" builtinId="8" hidden="true"/>
    <cellStyle name="Hyperlink" xfId="1262" builtinId="8" hidden="true"/>
    <cellStyle name="Hyperlink" xfId="1264" builtinId="8" hidden="true"/>
    <cellStyle name="Hyperlink" xfId="1266" builtinId="8" hidden="true"/>
    <cellStyle name="Hyperlink" xfId="1268" builtinId="8" hidden="true"/>
    <cellStyle name="Hyperlink" xfId="1270" builtinId="8" hidden="true"/>
    <cellStyle name="Hyperlink" xfId="1272" builtinId="8" hidden="true"/>
    <cellStyle name="Hyperlink" xfId="1274" builtinId="8" hidden="true"/>
    <cellStyle name="Hyperlink" xfId="1276" builtinId="8" hidden="true"/>
    <cellStyle name="Hyperlink" xfId="1278" builtinId="8" hidden="true"/>
    <cellStyle name="Hyperlink" xfId="1280" builtinId="8" hidden="true"/>
    <cellStyle name="Hyperlink" xfId="1282" builtinId="8" hidden="true"/>
    <cellStyle name="Hyperlink" xfId="1284" builtinId="8" hidden="true"/>
    <cellStyle name="Hyperlink" xfId="1286" builtinId="8" hidden="true"/>
    <cellStyle name="Hyperlink" xfId="1288" builtinId="8" hidden="true"/>
    <cellStyle name="Hyperlink" xfId="1290" builtinId="8" hidden="true"/>
    <cellStyle name="Hyperlink" xfId="1292" builtinId="8" hidden="true"/>
    <cellStyle name="Hyperlink" xfId="1294" builtinId="8" hidden="true"/>
    <cellStyle name="Hyperlink" xfId="1296" builtinId="8" hidden="true"/>
    <cellStyle name="Hyperlink" xfId="1298" builtinId="8" hidden="true"/>
    <cellStyle name="Hyperlink" xfId="1300" builtinId="8" hidden="true"/>
    <cellStyle name="Hyperlink" xfId="1302" builtinId="8" hidden="true"/>
    <cellStyle name="Hyperlink" xfId="1304" builtinId="8" hidden="true"/>
    <cellStyle name="Hyperlink" xfId="1306" builtinId="8" hidden="true"/>
    <cellStyle name="Hyperlink" xfId="1308" builtinId="8" hidden="true"/>
    <cellStyle name="Hyperlink" xfId="1310" builtinId="8" hidden="true"/>
    <cellStyle name="Hyperlink" xfId="1312" builtinId="8" hidden="true"/>
    <cellStyle name="Hyperlink" xfId="1314" builtinId="8" hidden="true"/>
    <cellStyle name="Hyperlink" xfId="1316" builtinId="8" hidden="true"/>
    <cellStyle name="Hyperlink" xfId="1318" builtinId="8" hidden="true"/>
    <cellStyle name="Hyperlink" xfId="1320" builtinId="8" hidden="true"/>
    <cellStyle name="Hyperlink" xfId="1322" builtinId="8" hidden="true"/>
    <cellStyle name="Hyperlink" xfId="1324" builtinId="8" hidden="true"/>
    <cellStyle name="Hyperlink" xfId="1326" builtinId="8" hidden="true"/>
    <cellStyle name="Hyperlink" xfId="1328" builtinId="8" hidden="true"/>
    <cellStyle name="Hyperlink" xfId="1330" builtinId="8" hidden="true"/>
    <cellStyle name="Hyperlink" xfId="1332" builtinId="8" hidden="true"/>
    <cellStyle name="Hyperlink" xfId="1334" builtinId="8" hidden="true"/>
    <cellStyle name="Hyperlink" xfId="1336" builtinId="8" hidden="true"/>
    <cellStyle name="Hyperlink" xfId="1338" builtinId="8" hidden="true"/>
    <cellStyle name="Hyperlink" xfId="1340" builtinId="8" hidden="true"/>
    <cellStyle name="Hyperlink" xfId="1342" builtinId="8" hidden="true"/>
    <cellStyle name="Hyperlink" xfId="1344" builtinId="8" hidden="true"/>
    <cellStyle name="Hyperlink" xfId="1346" builtinId="8" hidden="true"/>
    <cellStyle name="Hyperlink" xfId="1348" builtinId="8" hidden="true"/>
    <cellStyle name="Hyperlink" xfId="1350" builtinId="8" hidden="true"/>
    <cellStyle name="Hyperlink" xfId="1352" builtinId="8" hidden="true"/>
    <cellStyle name="Hyperlink" xfId="1354" builtinId="8" hidden="true"/>
    <cellStyle name="Hyperlink" xfId="1356" builtinId="8" hidden="true"/>
    <cellStyle name="Hyperlink" xfId="1358" builtinId="8" hidden="true"/>
    <cellStyle name="Hyperlink" xfId="1360" builtinId="8" hidden="true"/>
    <cellStyle name="Hyperlink" xfId="1362" builtinId="8" hidden="true"/>
    <cellStyle name="Hyperlink" xfId="1364" builtinId="8" hidden="true"/>
    <cellStyle name="Hyperlink" xfId="1366" builtinId="8" hidden="true"/>
    <cellStyle name="Hyperlink" xfId="1368" builtinId="8" hidden="true"/>
    <cellStyle name="Hyperlink" xfId="1370" builtinId="8" hidden="true"/>
    <cellStyle name="Hyperlink" xfId="1372" builtinId="8" hidden="true"/>
    <cellStyle name="Hyperlink" xfId="1374" builtinId="8" hidden="true"/>
    <cellStyle name="Hyperlink" xfId="1376" builtinId="8" hidden="true"/>
    <cellStyle name="Hyperlink" xfId="1378" builtinId="8" hidden="true"/>
    <cellStyle name="Hyperlink" xfId="1380" builtinId="8" hidden="true"/>
    <cellStyle name="Hyperlink" xfId="1382" builtinId="8" hidden="true"/>
    <cellStyle name="Hyperlink" xfId="1384" builtinId="8" hidden="true"/>
    <cellStyle name="Hyperlink" xfId="1386" builtinId="8" hidden="true"/>
    <cellStyle name="Hyperlink" xfId="1388" builtinId="8" hidden="true"/>
    <cellStyle name="Hyperlink" xfId="1390" builtinId="8" hidden="true"/>
    <cellStyle name="Hyperlink" xfId="1392" builtinId="8" hidden="true"/>
    <cellStyle name="Hyperlink" xfId="1394" builtinId="8" hidden="true"/>
    <cellStyle name="Hyperlink" xfId="1396" builtinId="8" hidden="true"/>
    <cellStyle name="Hyperlink" xfId="1398" builtinId="8" hidden="true"/>
    <cellStyle name="Hyperlink" xfId="1400" builtinId="8" hidden="true"/>
    <cellStyle name="Hyperlink" xfId="1402" builtinId="8" hidden="true"/>
    <cellStyle name="Hyperlink" xfId="1404" builtinId="8" hidden="true"/>
    <cellStyle name="Hyperlink" xfId="1406" builtinId="8" hidden="true"/>
    <cellStyle name="Hyperlink" xfId="1408" builtinId="8" hidden="true"/>
    <cellStyle name="Hyperlink" xfId="1410" builtinId="8" hidden="true"/>
    <cellStyle name="Hyperlink" xfId="1412" builtinId="8" hidden="true"/>
    <cellStyle name="Hyperlink" xfId="1414" builtinId="8" hidden="true"/>
    <cellStyle name="Hyperlink" xfId="1416" builtinId="8" hidden="true"/>
    <cellStyle name="Hyperlink" xfId="1418" builtinId="8" hidden="true"/>
    <cellStyle name="Hyperlink" xfId="1420" builtinId="8" hidden="true"/>
    <cellStyle name="Hyperlink" xfId="1422" builtinId="8" hidden="true"/>
    <cellStyle name="Hyperlink" xfId="1424" builtinId="8" hidden="true"/>
    <cellStyle name="Hyperlink" xfId="1426" builtinId="8" hidden="true"/>
    <cellStyle name="Hyperlink" xfId="1428" builtinId="8" hidden="true"/>
    <cellStyle name="Hyperlink" xfId="1430" builtinId="8" hidden="true"/>
    <cellStyle name="Hyperlink" xfId="1432" builtinId="8" hidden="true"/>
    <cellStyle name="Hyperlink" xfId="1434" builtinId="8" hidden="true"/>
    <cellStyle name="Hyperlink" xfId="1436" builtinId="8" hidden="true"/>
    <cellStyle name="Hyperlink" xfId="1438" builtinId="8" hidden="true"/>
    <cellStyle name="Hyperlink" xfId="1440" builtinId="8" hidden="true"/>
    <cellStyle name="Hyperlink" xfId="1442" builtinId="8" hidden="true"/>
    <cellStyle name="Hyperlink" xfId="1444" builtinId="8" hidden="true"/>
    <cellStyle name="Hyperlink" xfId="1446" builtinId="8" hidden="true"/>
    <cellStyle name="Hyperlink" xfId="1448" builtinId="8" hidden="true"/>
    <cellStyle name="Hyperlink" xfId="1450" builtinId="8" hidden="true"/>
    <cellStyle name="Hyperlink" xfId="1452" builtinId="8" hidden="true"/>
    <cellStyle name="Hyperlink" xfId="1454" builtinId="8" hidden="true"/>
    <cellStyle name="Hyperlink" xfId="1456" builtinId="8" hidden="true"/>
    <cellStyle name="Hyperlink" xfId="1458" builtinId="8" hidden="true"/>
    <cellStyle name="Hyperlink" xfId="1460" builtinId="8" hidden="true"/>
    <cellStyle name="Hyperlink" xfId="1462" builtinId="8" hidden="true"/>
    <cellStyle name="Hyperlink" xfId="1464" builtinId="8" hidden="true"/>
    <cellStyle name="Hyperlink" xfId="1466" builtinId="8" hidden="true"/>
    <cellStyle name="Hyperlink" xfId="1468" builtinId="8" hidden="true"/>
    <cellStyle name="Hyperlink" xfId="1470" builtinId="8" hidden="true"/>
    <cellStyle name="Hyperlink" xfId="1472" builtinId="8" hidden="true"/>
    <cellStyle name="Hyperlink" xfId="1474" builtinId="8" hidden="true"/>
    <cellStyle name="Hyperlink" xfId="1476" builtinId="8" hidden="true"/>
    <cellStyle name="Hyperlink" xfId="1478" builtinId="8" hidden="true"/>
    <cellStyle name="Hyperlink" xfId="1480" builtinId="8" hidden="true"/>
    <cellStyle name="Hyperlink" xfId="1482" builtinId="8" hidden="true"/>
    <cellStyle name="Hyperlink" xfId="1484" builtinId="8" hidden="true"/>
    <cellStyle name="Hyperlink" xfId="1486" builtinId="8" hidden="true"/>
    <cellStyle name="Hyperlink" xfId="1488" builtinId="8" hidden="true"/>
    <cellStyle name="Hyperlink" xfId="1490" builtinId="8" hidden="true"/>
    <cellStyle name="Hyperlink" xfId="1492" builtinId="8" hidden="true"/>
    <cellStyle name="Hyperlink" xfId="1494" builtinId="8" hidden="true"/>
    <cellStyle name="Hyperlink" xfId="1496" builtinId="8" hidden="true"/>
    <cellStyle name="Hyperlink" xfId="1498" builtinId="8" hidden="true"/>
    <cellStyle name="Hyperlink" xfId="1500" builtinId="8" hidden="true"/>
    <cellStyle name="Hyperlink" xfId="1502" builtinId="8" hidden="true"/>
    <cellStyle name="Hyperlink" xfId="1504" builtinId="8" hidden="true"/>
    <cellStyle name="Hyperlink" xfId="1506" builtinId="8" hidden="true"/>
    <cellStyle name="Hyperlink" xfId="1508" builtinId="8" hidden="true"/>
    <cellStyle name="Hyperlink" xfId="1510" builtinId="8" hidden="true"/>
    <cellStyle name="Hyperlink" xfId="1512" builtinId="8" hidden="true"/>
    <cellStyle name="Hyperlink" xfId="1514" builtinId="8" hidden="true"/>
    <cellStyle name="Hyperlink" xfId="1516" builtinId="8" hidden="true"/>
    <cellStyle name="Hyperlink" xfId="1518" builtinId="8" hidden="true"/>
    <cellStyle name="Hyperlink" xfId="1520" builtinId="8" hidden="true"/>
    <cellStyle name="Hyperlink" xfId="1522" builtinId="8" hidden="true"/>
    <cellStyle name="Hyperlink" xfId="1524" builtinId="8" hidden="true"/>
    <cellStyle name="Hyperlink" xfId="1526" builtinId="8" hidden="true"/>
    <cellStyle name="Hyperlink" xfId="1528" builtinId="8" hidden="true"/>
    <cellStyle name="Hyperlink" xfId="1530" builtinId="8" hidden="true"/>
    <cellStyle name="Hyperlink" xfId="1532" builtinId="8" hidden="true"/>
    <cellStyle name="Hyperlink" xfId="1534" builtinId="8" hidden="true"/>
    <cellStyle name="Hyperlink" xfId="1536" builtinId="8" hidden="true"/>
    <cellStyle name="Hyperlink" xfId="1538" builtinId="8" hidden="true"/>
    <cellStyle name="Hyperlink" xfId="1540" builtinId="8" hidden="true"/>
    <cellStyle name="Hyperlink" xfId="1542" builtinId="8" hidden="true"/>
    <cellStyle name="Hyperlink" xfId="1544" builtinId="8" hidden="true"/>
    <cellStyle name="Hyperlink" xfId="1546" builtinId="8" hidden="true"/>
    <cellStyle name="Hyperlink" xfId="1548" builtinId="8" hidden="true"/>
    <cellStyle name="Hyperlink" xfId="1550" builtinId="8" hidden="true"/>
    <cellStyle name="Hyperlink" xfId="1552" builtinId="8" hidden="true"/>
    <cellStyle name="Hyperlink" xfId="1554" builtinId="8" hidden="true"/>
    <cellStyle name="Hyperlink" xfId="1556" builtinId="8" hidden="true"/>
    <cellStyle name="Hyperlink" xfId="1558" builtinId="8" hidden="true"/>
    <cellStyle name="Hyperlink" xfId="1560" builtinId="8" hidden="true"/>
    <cellStyle name="Hyperlink" xfId="1562" builtinId="8" hidden="true"/>
    <cellStyle name="Hyperlink" xfId="1564" builtinId="8" hidden="true"/>
    <cellStyle name="Hyperlink" xfId="1566" builtinId="8" hidden="true"/>
    <cellStyle name="Hyperlink" xfId="1568" builtinId="8" hidden="true"/>
    <cellStyle name="Hyperlink" xfId="1570" builtinId="8" hidden="true"/>
    <cellStyle name="Hyperlink" xfId="1572" builtinId="8" hidden="true"/>
    <cellStyle name="Hyperlink" xfId="1574" builtinId="8" hidden="true"/>
    <cellStyle name="Hyperlink" xfId="1576" builtinId="8" hidden="true"/>
    <cellStyle name="Hyperlink" xfId="1578" builtinId="8" hidden="true"/>
    <cellStyle name="Hyperlink" xfId="1580" builtinId="8" hidden="true"/>
    <cellStyle name="Hyperlink" xfId="1582" builtinId="8" hidden="true"/>
    <cellStyle name="Hyperlink" xfId="1584" builtinId="8" hidden="true"/>
    <cellStyle name="Hyperlink" xfId="1586" builtinId="8" hidden="true"/>
    <cellStyle name="Hyperlink" xfId="1588" builtinId="8" hidden="true"/>
    <cellStyle name="Hyperlink" xfId="1590" builtinId="8" hidden="true"/>
    <cellStyle name="Hyperlink" xfId="1592" builtinId="8" hidden="true"/>
    <cellStyle name="Hyperlink" xfId="1594" builtinId="8" hidden="true"/>
    <cellStyle name="Hyperlink" xfId="1596" builtinId="8" hidden="true"/>
    <cellStyle name="Hyperlink" xfId="1598" builtinId="8" hidden="true"/>
    <cellStyle name="Hyperlink" xfId="1600" builtinId="8" hidden="true"/>
    <cellStyle name="Hyperlink" xfId="1602" builtinId="8" hidden="true"/>
    <cellStyle name="Hyperlink" xfId="1604" builtinId="8" hidden="true"/>
    <cellStyle name="Hyperlink" xfId="1606" builtinId="8" hidden="true"/>
    <cellStyle name="Hyperlink" xfId="1608" builtinId="8" hidden="true"/>
    <cellStyle name="Hyperlink" xfId="1610" builtinId="8" hidden="true"/>
    <cellStyle name="Hyperlink" xfId="1612" builtinId="8" hidden="true"/>
    <cellStyle name="Hyperlink" xfId="1614" builtinId="8" hidden="true"/>
    <cellStyle name="Hyperlink" xfId="1616" builtinId="8" hidden="true"/>
    <cellStyle name="Hyperlink" xfId="1618" builtinId="8" hidden="true"/>
    <cellStyle name="Hyperlink" xfId="1620" builtinId="8" hidden="true"/>
    <cellStyle name="Hyperlink" xfId="1622" builtinId="8" hidden="true"/>
    <cellStyle name="Hyperlink" xfId="1624" builtinId="8" hidden="true"/>
    <cellStyle name="Hyperlink" xfId="1626" builtinId="8" hidden="true"/>
    <cellStyle name="Hyperlink" xfId="1628" builtinId="8" hidden="true"/>
    <cellStyle name="Hyperlink" xfId="1630" builtinId="8" hidden="true"/>
    <cellStyle name="Hyperlink" xfId="1632" builtinId="8" hidden="true"/>
    <cellStyle name="Hyperlink" xfId="1634" builtinId="8" hidden="true"/>
    <cellStyle name="Hyperlink" xfId="1636" builtinId="8" hidden="true"/>
    <cellStyle name="Hyperlink" xfId="1638" builtinId="8" hidden="true"/>
    <cellStyle name="Hyperlink" xfId="1640" builtinId="8" hidden="true"/>
    <cellStyle name="Hyperlink" xfId="1642" builtinId="8" hidden="true"/>
    <cellStyle name="Hyperlink" xfId="1644" builtinId="8" hidden="true"/>
    <cellStyle name="Hyperlink" xfId="1646" builtinId="8" hidden="true"/>
    <cellStyle name="Hyperlink" xfId="1648" builtinId="8" hidden="true"/>
    <cellStyle name="Hyperlink" xfId="1650" builtinId="8" hidden="true"/>
    <cellStyle name="Hyperlink" xfId="1652" builtinId="8" hidden="true"/>
    <cellStyle name="Hyperlink" xfId="1654" builtinId="8" hidden="true"/>
    <cellStyle name="Hyperlink" xfId="1656" builtinId="8" hidden="true"/>
    <cellStyle name="Hyperlink" xfId="1658" builtinId="8" hidden="true"/>
    <cellStyle name="Hyperlink" xfId="1660" builtinId="8" hidden="true"/>
    <cellStyle name="Hyperlink" xfId="1662" builtinId="8" hidden="true"/>
    <cellStyle name="Hyperlink" xfId="1664" builtinId="8" hidden="true"/>
    <cellStyle name="Hyperlink" xfId="1666" builtinId="8" hidden="true"/>
    <cellStyle name="Hyperlink" xfId="1668" builtinId="8" hidden="true"/>
    <cellStyle name="Hyperlink" xfId="1670" builtinId="8" hidden="true"/>
    <cellStyle name="Hyperlink" xfId="1672" builtinId="8" hidden="true"/>
    <cellStyle name="Hyperlink" xfId="1674" builtinId="8" hidden="true"/>
    <cellStyle name="Hyperlink" xfId="1676" builtinId="8" hidden="true"/>
    <cellStyle name="Hyperlink" xfId="1678" builtinId="8" hidden="true"/>
    <cellStyle name="Hyperlink" xfId="1680" builtinId="8" hidden="true"/>
    <cellStyle name="Hyperlink" xfId="1682" builtinId="8" hidden="true"/>
    <cellStyle name="Hyperlink" xfId="1684" builtinId="8" hidden="true"/>
    <cellStyle name="Hyperlink" xfId="1686" builtinId="8" hidden="true"/>
    <cellStyle name="Hyperlink" xfId="1688" builtinId="8" hidden="true"/>
    <cellStyle name="Hyperlink" xfId="1690" builtinId="8" hidden="true"/>
    <cellStyle name="Hyperlink" xfId="1692" builtinId="8" hidden="true"/>
    <cellStyle name="Hyperlink" xfId="1694" builtinId="8" hidden="true"/>
    <cellStyle name="Hyperlink" xfId="1696" builtinId="8" hidden="true"/>
    <cellStyle name="Hyperlink" xfId="1698" builtinId="8" hidden="true"/>
    <cellStyle name="Hyperlink" xfId="1700" builtinId="8" hidden="true"/>
    <cellStyle name="Hyperlink" xfId="1702" builtinId="8" hidden="true"/>
    <cellStyle name="Hyperlink" xfId="1704" builtinId="8" hidden="true"/>
    <cellStyle name="Hyperlink" xfId="1706" builtinId="8" hidden="true"/>
    <cellStyle name="Hyperlink" xfId="1708" builtinId="8" hidden="true"/>
    <cellStyle name="Hyperlink" xfId="1710" builtinId="8" hidden="true"/>
    <cellStyle name="Hyperlink" xfId="1712" builtinId="8" hidden="true"/>
    <cellStyle name="Hyperlink" xfId="1714" builtinId="8" hidden="true"/>
    <cellStyle name="Hyperlink" xfId="1716" builtinId="8" hidden="true"/>
    <cellStyle name="Hyperlink" xfId="1718" builtinId="8" hidden="true"/>
    <cellStyle name="Hyperlink" xfId="1720" builtinId="8" hidden="true"/>
    <cellStyle name="Hyperlink" xfId="1722" builtinId="8" hidden="true"/>
    <cellStyle name="Hyperlink" xfId="1724" builtinId="8" hidden="true"/>
    <cellStyle name="Hyperlink" xfId="1726" builtinId="8" hidden="true"/>
    <cellStyle name="Hyperlink" xfId="1728" builtinId="8" hidden="true"/>
    <cellStyle name="Hyperlink" xfId="1730" builtinId="8" hidden="true"/>
    <cellStyle name="Hyperlink" xfId="1732" builtinId="8" hidden="true"/>
    <cellStyle name="Hyperlink" xfId="1734" builtinId="8" hidden="true"/>
    <cellStyle name="Hyperlink" xfId="1736" builtinId="8" hidden="true"/>
    <cellStyle name="Hyperlink" xfId="1738" builtinId="8" hidden="true"/>
    <cellStyle name="Hyperlink" xfId="1740" builtinId="8" hidden="true"/>
    <cellStyle name="Hyperlink" xfId="1742" builtinId="8" hidden="true"/>
    <cellStyle name="Hyperlink" xfId="1744" builtinId="8" hidden="true"/>
    <cellStyle name="Hyperlink" xfId="1746" builtinId="8" hidden="true"/>
    <cellStyle name="Hyperlink" xfId="1748" builtinId="8" hidden="true"/>
    <cellStyle name="Hyperlink" xfId="1750" builtinId="8" hidden="true"/>
    <cellStyle name="Hyperlink" xfId="1752" builtinId="8" hidden="true"/>
    <cellStyle name="Hyperlink" xfId="1754" builtinId="8" hidden="true"/>
    <cellStyle name="Hyperlink" xfId="1756" builtinId="8" hidden="true"/>
    <cellStyle name="Hyperlink" xfId="1758" builtinId="8" hidden="true"/>
    <cellStyle name="Hyperlink" xfId="1760" builtinId="8" hidden="true"/>
    <cellStyle name="Hyperlink" xfId="1762" builtinId="8" hidden="true"/>
    <cellStyle name="Hyperlink" xfId="1764" builtinId="8" hidden="true"/>
    <cellStyle name="Hyperlink" xfId="1766" builtinId="8" hidden="true"/>
    <cellStyle name="Hyperlink" xfId="1768" builtinId="8" hidden="true"/>
    <cellStyle name="Hyperlink" xfId="1770" builtinId="8" hidden="true"/>
    <cellStyle name="Hyperlink" xfId="1772" builtinId="8" hidden="true"/>
    <cellStyle name="Hyperlink" xfId="1774" builtinId="8" hidden="true"/>
    <cellStyle name="Hyperlink" xfId="1776" builtinId="8" hidden="true"/>
    <cellStyle name="Hyperlink" xfId="1778" builtinId="8" hidden="true"/>
    <cellStyle name="Hyperlink" xfId="1780" builtinId="8" hidden="true"/>
    <cellStyle name="Hyperlink" xfId="1782" builtinId="8" hidden="true"/>
    <cellStyle name="Hyperlink" xfId="1784" builtinId="8" hidden="true"/>
    <cellStyle name="Hyperlink" xfId="1786" builtinId="8" hidden="true"/>
    <cellStyle name="Hyperlink" xfId="1788" builtinId="8" hidden="true"/>
    <cellStyle name="Hyperlink" xfId="1790" builtinId="8" hidden="true"/>
    <cellStyle name="Hyperlink" xfId="1792" builtinId="8" hidden="true"/>
    <cellStyle name="Hyperlink" xfId="1794" builtinId="8" hidden="true"/>
    <cellStyle name="Hyperlink" xfId="1796" builtinId="8" hidden="true"/>
    <cellStyle name="Hyperlink" xfId="1798" builtinId="8" hidden="true"/>
    <cellStyle name="Hyperlink" xfId="1800" builtinId="8" hidden="true"/>
    <cellStyle name="Hyperlink" xfId="1802" builtinId="8" hidden="true"/>
    <cellStyle name="Hyperlink" xfId="1804" builtinId="8" hidden="true"/>
    <cellStyle name="Hyperlink" xfId="1806" builtinId="8" hidden="true"/>
    <cellStyle name="Hyperlink" xfId="1808" builtinId="8" hidden="true"/>
    <cellStyle name="Hyperlink" xfId="1810" builtinId="8" hidden="true"/>
    <cellStyle name="Hyperlink" xfId="1812" builtinId="8" hidden="true"/>
    <cellStyle name="Hyperlink" xfId="1814" builtinId="8" hidden="true"/>
    <cellStyle name="Hyperlink" xfId="1816" builtinId="8" hidden="true"/>
    <cellStyle name="Hyperlink" xfId="1818" builtinId="8" hidden="true"/>
    <cellStyle name="Hyperlink" xfId="1820" builtinId="8" hidden="true"/>
    <cellStyle name="Hyperlink" xfId="1822" builtinId="8" hidden="true"/>
    <cellStyle name="Hyperlink" xfId="1824" builtinId="8" hidden="true"/>
    <cellStyle name="Hyperlink" xfId="1826" builtinId="8" hidden="true"/>
    <cellStyle name="Hyperlink" xfId="1828" builtinId="8" hidden="true"/>
    <cellStyle name="Hyperlink" xfId="1830" builtinId="8" hidden="true"/>
    <cellStyle name="Hyperlink" xfId="1832" builtinId="8" hidden="true"/>
    <cellStyle name="Hyperlink" xfId="1834" builtinId="8" hidden="true"/>
    <cellStyle name="Hyperlink" xfId="1836" builtinId="8" hidden="true"/>
    <cellStyle name="Hyperlink" xfId="1838" builtinId="8" hidden="true"/>
    <cellStyle name="Hyperlink" xfId="1840" builtinId="8" hidden="true"/>
    <cellStyle name="Hyperlink" xfId="1842" builtinId="8" hidden="true"/>
    <cellStyle name="Hyperlink" xfId="1844" builtinId="8" hidden="true"/>
    <cellStyle name="Hyperlink" xfId="1846" builtinId="8" hidden="true"/>
    <cellStyle name="Hyperlink" xfId="1848" builtinId="8" hidden="true"/>
    <cellStyle name="Hyperlink" xfId="1850" builtinId="8" hidden="true"/>
    <cellStyle name="Hyperlink" xfId="1852" builtinId="8" hidden="true"/>
    <cellStyle name="Hyperlink" xfId="1854" builtinId="8" hidden="true"/>
    <cellStyle name="Hyperlink" xfId="1856" builtinId="8" hidden="true"/>
    <cellStyle name="Hyperlink" xfId="1858" builtinId="8" hidden="true"/>
    <cellStyle name="Hyperlink" xfId="1860" builtinId="8" hidden="true"/>
    <cellStyle name="Hyperlink" xfId="1862" builtinId="8" hidden="true"/>
    <cellStyle name="Hyperlink" xfId="1864" builtinId="8" hidden="true"/>
    <cellStyle name="Hyperlink" xfId="1866" builtinId="8" hidden="true"/>
    <cellStyle name="Hyperlink" xfId="1868" builtinId="8" hidden="true"/>
    <cellStyle name="Hyperlink" xfId="1870" builtinId="8" hidden="true"/>
    <cellStyle name="Hyperlink" xfId="1872" builtinId="8" hidden="true"/>
    <cellStyle name="Hyperlink" xfId="1874" builtinId="8" hidden="true"/>
    <cellStyle name="Hyperlink" xfId="1876" builtinId="8" hidden="true"/>
    <cellStyle name="Hyperlink" xfId="1878" builtinId="8" hidden="true"/>
    <cellStyle name="Hyperlink" xfId="1880" builtinId="8" hidden="true"/>
    <cellStyle name="Hyperlink" xfId="1882" builtinId="8" hidden="true"/>
    <cellStyle name="Hyperlink" xfId="1884" builtinId="8" hidden="true"/>
    <cellStyle name="Hyperlink" xfId="1886" builtinId="8" hidden="true"/>
    <cellStyle name="Hyperlink" xfId="1888" builtinId="8" hidden="true"/>
    <cellStyle name="Hyperlink" xfId="1890" builtinId="8" hidden="true"/>
    <cellStyle name="Hyperlink" xfId="1892" builtinId="8" hidden="true"/>
    <cellStyle name="Hyperlink" xfId="1894" builtinId="8" hidden="true"/>
    <cellStyle name="Hyperlink" xfId="1896" builtinId="8" hidden="true"/>
    <cellStyle name="Hyperlink" xfId="1898" builtinId="8" hidden="true"/>
    <cellStyle name="Hyperlink" xfId="1900" builtinId="8" hidden="true"/>
    <cellStyle name="Hyperlink" xfId="1902" builtinId="8" hidden="true"/>
    <cellStyle name="Hyperlink" xfId="1904" builtinId="8" hidden="true"/>
    <cellStyle name="Hyperlink" xfId="1906" builtinId="8" hidden="true"/>
    <cellStyle name="Hyperlink" xfId="1908" builtinId="8" hidden="true"/>
    <cellStyle name="Hyperlink" xfId="1910" builtinId="8" hidden="true"/>
    <cellStyle name="Hyperlink" xfId="1912" builtinId="8" hidden="true"/>
    <cellStyle name="Hyperlink" xfId="1914" builtinId="8" hidden="true"/>
    <cellStyle name="Hyperlink" xfId="1916" builtinId="8" hidden="true"/>
    <cellStyle name="Hyperlink" xfId="1918" builtinId="8" hidden="true"/>
    <cellStyle name="Hyperlink" xfId="1920" builtinId="8" hidden="true"/>
    <cellStyle name="Hyperlink" xfId="1922" builtinId="8" hidden="true"/>
    <cellStyle name="Hyperlink" xfId="1924" builtinId="8" hidden="true"/>
    <cellStyle name="Hyperlink" xfId="1926" builtinId="8" hidden="true"/>
    <cellStyle name="Hyperlink" xfId="1928" builtinId="8" hidden="true"/>
    <cellStyle name="Hyperlink" xfId="1930" builtinId="8" hidden="true"/>
    <cellStyle name="Hyperlink" xfId="1932" builtinId="8" hidden="true"/>
    <cellStyle name="Hyperlink" xfId="1934" builtinId="8" hidden="true"/>
    <cellStyle name="Hyperlink" xfId="1936" builtinId="8" hidden="true"/>
    <cellStyle name="Hyperlink" xfId="1938" builtinId="8" hidden="true"/>
    <cellStyle name="Hyperlink" xfId="1940" builtinId="8" hidden="true"/>
    <cellStyle name="Hyperlink" xfId="1942" builtinId="8" hidden="true"/>
    <cellStyle name="Hyperlink" xfId="1944" builtinId="8" hidden="true"/>
    <cellStyle name="Hyperlink" xfId="1946" builtinId="8" hidden="true"/>
    <cellStyle name="Hyperlink" xfId="1948" builtinId="8" hidden="true"/>
    <cellStyle name="Hyperlink" xfId="1950" builtinId="8" hidden="true"/>
    <cellStyle name="Hyperlink" xfId="1952" builtinId="8" hidden="true"/>
    <cellStyle name="Hyperlink" xfId="1954" builtinId="8" hidden="true"/>
    <cellStyle name="Hyperlink" xfId="1956" builtinId="8" hidden="true"/>
    <cellStyle name="Hyperlink" xfId="1958" builtinId="8" hidden="true"/>
    <cellStyle name="Hyperlink" xfId="1960" builtinId="8" hidden="true"/>
    <cellStyle name="Hyperlink" xfId="1962" builtinId="8" hidden="true"/>
    <cellStyle name="Hyperlink" xfId="1964" builtinId="8" hidden="true"/>
    <cellStyle name="Hyperlink" xfId="1966" builtinId="8" hidden="true"/>
    <cellStyle name="Hyperlink" xfId="1968" builtinId="8" hidden="true"/>
    <cellStyle name="Hyperlink" xfId="1970" builtinId="8" hidden="true"/>
    <cellStyle name="Hyperlink" xfId="1972" builtinId="8" hidden="true"/>
    <cellStyle name="Hyperlink" xfId="1974" builtinId="8" hidden="true"/>
    <cellStyle name="Hyperlink" xfId="1976" builtinId="8" hidden="true"/>
    <cellStyle name="Hyperlink" xfId="1978" builtinId="8" hidden="true"/>
    <cellStyle name="Hyperlink" xfId="1980" builtinId="8" hidden="true"/>
    <cellStyle name="Hyperlink" xfId="1982" builtinId="8" hidden="true"/>
    <cellStyle name="Hyperlink" xfId="1984" builtinId="8" hidden="true"/>
    <cellStyle name="Hyperlink" xfId="1986" builtinId="8" hidden="true"/>
    <cellStyle name="Hyperlink" xfId="1988" builtinId="8" hidden="true"/>
    <cellStyle name="Hyperlink" xfId="1990" builtinId="8" hidden="true"/>
    <cellStyle name="Hyperlink" xfId="1992" builtinId="8" hidden="true"/>
    <cellStyle name="Hyperlink" xfId="1994" builtinId="8" hidden="true"/>
    <cellStyle name="Hyperlink" xfId="1996" builtinId="8" hidden="true"/>
    <cellStyle name="Hyperlink" xfId="1998" builtinId="8" hidden="true"/>
    <cellStyle name="Hyperlink" xfId="2000" builtinId="8" hidden="true"/>
    <cellStyle name="Hyperlink" xfId="2002" builtinId="8" hidden="true"/>
    <cellStyle name="Hyperlink" xfId="2004" builtinId="8" hidden="true"/>
    <cellStyle name="Hyperlink" xfId="2006" builtinId="8" hidden="true"/>
    <cellStyle name="Hyperlink" xfId="2008" builtinId="8" hidden="true"/>
    <cellStyle name="Hyperlink" xfId="2010" builtinId="8" hidden="true"/>
    <cellStyle name="Hyperlink" xfId="2012" builtinId="8" hidden="true"/>
    <cellStyle name="Hyperlink" xfId="2014" builtinId="8" hidden="true"/>
    <cellStyle name="Hyperlink" xfId="2016" builtinId="8" hidden="true"/>
    <cellStyle name="Hyperlink" xfId="2018" builtinId="8" hidden="true"/>
    <cellStyle name="Hyperlink" xfId="2020" builtinId="8" hidden="true"/>
    <cellStyle name="Hyperlink" xfId="2022" builtinId="8" hidden="true"/>
    <cellStyle name="Hyperlink" xfId="2024" builtinId="8" hidden="true"/>
    <cellStyle name="Hyperlink" xfId="2026" builtinId="8" hidden="true"/>
    <cellStyle name="Hyperlink" xfId="2028" builtinId="8" hidden="true"/>
    <cellStyle name="Hyperlink" xfId="2030" builtinId="8" hidden="true"/>
    <cellStyle name="Hyperlink" xfId="2032" builtinId="8" hidden="true"/>
    <cellStyle name="Hyperlink" xfId="2034" builtinId="8" hidden="true"/>
    <cellStyle name="Hyperlink" xfId="2036" builtinId="8" hidden="true"/>
    <cellStyle name="Hyperlink" xfId="2038" builtinId="8" hidden="true"/>
    <cellStyle name="Hyperlink" xfId="2040" builtinId="8" hidden="true"/>
    <cellStyle name="Hyperlink" xfId="2042" builtinId="8" hidden="true"/>
    <cellStyle name="Hyperlink" xfId="2044" builtinId="8" hidden="true"/>
    <cellStyle name="Hyperlink" xfId="2046" builtinId="8" hidden="true"/>
    <cellStyle name="Hyperlink" xfId="2048" builtinId="8" hidden="true"/>
    <cellStyle name="Hyperlink" xfId="2050" builtinId="8" hidden="true"/>
    <cellStyle name="Hyperlink" xfId="2052" builtinId="8" hidden="true"/>
    <cellStyle name="Hyperlink" xfId="2054" builtinId="8" hidden="true"/>
    <cellStyle name="Hyperlink" xfId="2056" builtinId="8" hidden="true"/>
    <cellStyle name="Hyperlink" xfId="2058" builtinId="8" hidden="true"/>
    <cellStyle name="Hyperlink" xfId="2060" builtinId="8" hidden="true"/>
    <cellStyle name="Hyperlink" xfId="2062" builtinId="8" hidden="true"/>
    <cellStyle name="Hyperlink" xfId="2064" builtinId="8" hidden="true"/>
    <cellStyle name="Hyperlink" xfId="2066" builtinId="8" hidden="true"/>
    <cellStyle name="Hyperlink" xfId="2068" builtinId="8" hidden="true"/>
    <cellStyle name="Hyperlink" xfId="2070" builtinId="8" hidden="true"/>
    <cellStyle name="Hyperlink" xfId="2072" builtinId="8" hidden="true"/>
    <cellStyle name="Hyperlink" xfId="2074" builtinId="8" hidden="true"/>
    <cellStyle name="Hyperlink" xfId="2076" builtinId="8" hidden="true"/>
    <cellStyle name="Hyperlink" xfId="2078" builtinId="8" hidden="true"/>
    <cellStyle name="Hyperlink" xfId="2080" builtinId="8" hidden="true"/>
    <cellStyle name="Hyperlink" xfId="2082" builtinId="8" hidden="true"/>
    <cellStyle name="Hyperlink" xfId="2084" builtinId="8" hidden="true"/>
    <cellStyle name="Hyperlink" xfId="2086" builtinId="8" hidden="true"/>
    <cellStyle name="Hyperlink" xfId="2088" builtinId="8" hidden="true"/>
    <cellStyle name="Hyperlink" xfId="2090" builtinId="8" hidden="true"/>
    <cellStyle name="Hyperlink" xfId="2092" builtinId="8" hidden="true"/>
    <cellStyle name="Hyperlink" xfId="2094" builtinId="8" hidden="true"/>
    <cellStyle name="Hyperlink" xfId="2096" builtinId="8" hidden="true"/>
    <cellStyle name="Hyperlink" xfId="2098" builtinId="8" hidden="true"/>
    <cellStyle name="Hyperlink" xfId="2100" builtinId="8" hidden="true"/>
    <cellStyle name="Hyperlink" xfId="2102" builtinId="8" hidden="true"/>
    <cellStyle name="Hyperlink" xfId="2104" builtinId="8" hidden="true"/>
    <cellStyle name="Hyperlink" xfId="2106" builtinId="8" hidden="true"/>
    <cellStyle name="Hyperlink" xfId="2108" builtinId="8" hidden="true"/>
    <cellStyle name="Hyperlink" xfId="2110" builtinId="8" hidden="true"/>
    <cellStyle name="Hyperlink" xfId="2112" builtinId="8" hidden="true"/>
    <cellStyle name="Hyperlink" xfId="2114" builtinId="8" hidden="true"/>
    <cellStyle name="Hyperlink" xfId="2116" builtinId="8" hidden="true"/>
    <cellStyle name="Hyperlink" xfId="2118" builtinId="8" hidden="true"/>
    <cellStyle name="Hyperlink" xfId="2120" builtinId="8" hidden="true"/>
    <cellStyle name="Hyperlink" xfId="2122" builtinId="8" hidden="true"/>
    <cellStyle name="Hyperlink" xfId="2124" builtinId="8" hidden="true"/>
    <cellStyle name="Hyperlink" xfId="2126" builtinId="8" hidden="true"/>
    <cellStyle name="Hyperlink" xfId="2128" builtinId="8" hidden="true"/>
    <cellStyle name="Hyperlink" xfId="2130" builtinId="8" hidden="true"/>
    <cellStyle name="Hyperlink" xfId="2132" builtinId="8" hidden="true"/>
    <cellStyle name="Hyperlink" xfId="2134" builtinId="8" hidden="true"/>
    <cellStyle name="Hyperlink" xfId="2136" builtinId="8" hidden="true"/>
    <cellStyle name="Hyperlink" xfId="2138" builtinId="8" hidden="true"/>
    <cellStyle name="Hyperlink" xfId="2140" builtinId="8" hidden="true"/>
    <cellStyle name="Hyperlink" xfId="2142" builtinId="8" hidden="true"/>
    <cellStyle name="Hyperlink" xfId="2144" builtinId="8" hidden="true"/>
    <cellStyle name="Hyperlink" xfId="2146" builtinId="8" hidden="true"/>
    <cellStyle name="Hyperlink" xfId="2148" builtinId="8" hidden="true"/>
    <cellStyle name="Hyperlink" xfId="2150" builtinId="8" hidden="true"/>
    <cellStyle name="Hyperlink" xfId="2152" builtinId="8" hidden="true"/>
    <cellStyle name="Hyperlink" xfId="2154" builtinId="8" hidden="true"/>
    <cellStyle name="Hyperlink" xfId="2156" builtinId="8" hidden="true"/>
    <cellStyle name="Hyperlink" xfId="2158" builtinId="8" hidden="true"/>
    <cellStyle name="Hyperlink" xfId="2160" builtinId="8" hidden="true"/>
    <cellStyle name="Hyperlink" xfId="2162" builtinId="8" hidden="true"/>
    <cellStyle name="Hyperlink" xfId="2164" builtinId="8" hidden="true"/>
    <cellStyle name="Hyperlink" xfId="2166" builtinId="8" hidden="true"/>
    <cellStyle name="Hyperlink" xfId="2168" builtinId="8" hidden="true"/>
    <cellStyle name="Hyperlink" xfId="2170" builtinId="8" hidden="true"/>
    <cellStyle name="Hyperlink" xfId="2172" builtinId="8" hidden="true"/>
    <cellStyle name="Hyperlink" xfId="2174" builtinId="8" hidden="true"/>
    <cellStyle name="Hyperlink" xfId="2176" builtinId="8" hidden="true"/>
    <cellStyle name="Hyperlink" xfId="2178" builtinId="8" hidden="true"/>
    <cellStyle name="Hyperlink" xfId="2180" builtinId="8" hidden="true"/>
    <cellStyle name="Hyperlink" xfId="2182" builtinId="8" hidden="true"/>
    <cellStyle name="Hyperlink" xfId="2184" builtinId="8" hidden="true"/>
    <cellStyle name="Hyperlink" xfId="2186" builtinId="8" hidden="true"/>
    <cellStyle name="Hyperlink" xfId="2188" builtinId="8" hidden="true"/>
    <cellStyle name="Hyperlink" xfId="2190" builtinId="8" hidden="true"/>
    <cellStyle name="Hyperlink" xfId="2192" builtinId="8" hidden="true"/>
    <cellStyle name="Hyperlink" xfId="2194" builtinId="8" hidden="true"/>
    <cellStyle name="Hyperlink" xfId="2196" builtinId="8" hidden="true"/>
    <cellStyle name="Hyperlink" xfId="2198" builtinId="8" hidden="true"/>
    <cellStyle name="Hyperlink" xfId="2200" builtinId="8" hidden="true"/>
    <cellStyle name="Hyperlink" xfId="2202" builtinId="8" hidden="true"/>
    <cellStyle name="Hyperlink" xfId="2204" builtinId="8" hidden="true"/>
    <cellStyle name="Hyperlink" xfId="2206" builtinId="8" hidden="true"/>
    <cellStyle name="Hyperlink" xfId="2208" builtinId="8" hidden="true"/>
    <cellStyle name="Hyperlink" xfId="2210" builtinId="8" hidden="true"/>
    <cellStyle name="Hyperlink" xfId="2212" builtinId="8" hidden="true"/>
    <cellStyle name="Hyperlink" xfId="2214" builtinId="8" hidden="true"/>
    <cellStyle name="Hyperlink" xfId="2216" builtinId="8" hidden="true"/>
    <cellStyle name="Hyperlink" xfId="2218" builtinId="8" hidden="true"/>
    <cellStyle name="Hyperlink" xfId="2220" builtinId="8" hidden="true"/>
    <cellStyle name="Hyperlink" xfId="2222" builtinId="8" hidden="true"/>
    <cellStyle name="Hyperlink" xfId="2224" builtinId="8" hidden="true"/>
    <cellStyle name="Hyperlink" xfId="2226" builtinId="8" hidden="true"/>
    <cellStyle name="Hyperlink" xfId="2228" builtinId="8" hidden="true"/>
    <cellStyle name="Hyperlink" xfId="2230" builtinId="8" hidden="true"/>
    <cellStyle name="Hyperlink" xfId="2232" builtinId="8" hidden="true"/>
    <cellStyle name="Hyperlink" xfId="2234" builtinId="8" hidden="true"/>
    <cellStyle name="Hyperlink" xfId="2236" builtinId="8" hidden="true"/>
    <cellStyle name="Hyperlink" xfId="2238" builtinId="8" hidden="true"/>
    <cellStyle name="Hyperlink" xfId="2240" builtinId="8" hidden="true"/>
    <cellStyle name="Hyperlink" xfId="2242" builtinId="8" hidden="true"/>
    <cellStyle name="Hyperlink" xfId="2244" builtinId="8" hidden="true"/>
    <cellStyle name="Hyperlink" xfId="2246" builtinId="8" hidden="true"/>
    <cellStyle name="Hyperlink" xfId="2248" builtinId="8" hidden="true"/>
    <cellStyle name="Hyperlink" xfId="2250" builtinId="8" hidden="true"/>
    <cellStyle name="Hyperlink" xfId="2252" builtinId="8" hidden="true"/>
    <cellStyle name="Hyperlink" xfId="2254" builtinId="8" hidden="true"/>
    <cellStyle name="Hyperlink" xfId="2256" builtinId="8" hidden="true"/>
    <cellStyle name="Hyperlink" xfId="2258" builtinId="8" hidden="true"/>
    <cellStyle name="Hyperlink" xfId="2260" builtinId="8" hidden="true"/>
    <cellStyle name="Hyperlink" xfId="2262" builtinId="8" hidden="true"/>
    <cellStyle name="Hyperlink" xfId="2264" builtinId="8" hidden="true"/>
    <cellStyle name="Hyperlink" xfId="2266" builtinId="8" hidden="true"/>
    <cellStyle name="Hyperlink" xfId="2268" builtinId="8" hidden="true"/>
    <cellStyle name="Hyperlink" xfId="2270" builtinId="8" hidden="true"/>
    <cellStyle name="Hyperlink" xfId="2272" builtinId="8" hidden="true"/>
    <cellStyle name="Hyperlink" xfId="2274" builtinId="8" hidden="true"/>
    <cellStyle name="Hyperlink" xfId="2276" builtinId="8" hidden="true"/>
    <cellStyle name="Hyperlink" xfId="2278" builtinId="8" hidden="true"/>
    <cellStyle name="Hyperlink" xfId="2280" builtinId="8" hidden="true"/>
    <cellStyle name="Hyperlink" xfId="2282" builtinId="8" hidden="true"/>
    <cellStyle name="Hyperlink" xfId="2284" builtinId="8" hidden="true"/>
    <cellStyle name="Hyperlink" xfId="2286" builtinId="8" hidden="true"/>
    <cellStyle name="Hyperlink" xfId="2288" builtinId="8" hidden="true"/>
    <cellStyle name="Hyperlink" xfId="2290" builtinId="8" hidden="true"/>
    <cellStyle name="Hyperlink" xfId="2292" builtinId="8" hidden="true"/>
    <cellStyle name="Hyperlink" xfId="2294" builtinId="8" hidden="true"/>
    <cellStyle name="Hyperlink" xfId="2296" builtinId="8" hidden="true"/>
    <cellStyle name="Hyperlink" xfId="2298" builtinId="8" hidden="true"/>
    <cellStyle name="Hyperlink" xfId="2300" builtinId="8" hidden="true"/>
    <cellStyle name="Hyperlink" xfId="2302" builtinId="8" hidden="true"/>
    <cellStyle name="Hyperlink" xfId="2304" builtinId="8" hidden="true"/>
    <cellStyle name="Hyperlink" xfId="2306" builtinId="8" hidden="true"/>
    <cellStyle name="Hyperlink" xfId="2308" builtinId="8" hidden="true"/>
    <cellStyle name="Hyperlink" xfId="2310" builtinId="8" hidden="true"/>
    <cellStyle name="Hyperlink" xfId="2312" builtinId="8" hidden="true"/>
    <cellStyle name="Hyperlink" xfId="2314" builtinId="8" hidden="true"/>
    <cellStyle name="Hyperlink" xfId="2316" builtinId="8" hidden="true"/>
    <cellStyle name="Hyperlink" xfId="2318" builtinId="8" hidden="true"/>
    <cellStyle name="Hyperlink" xfId="2320" builtinId="8" hidden="true"/>
    <cellStyle name="Hyperlink" xfId="2322" builtinId="8" hidden="true"/>
    <cellStyle name="Hyperlink" xfId="2324" builtinId="8" hidden="true"/>
    <cellStyle name="Hyperlink" xfId="2326" builtinId="8" hidden="true"/>
    <cellStyle name="Hyperlink" xfId="2328" builtinId="8" hidden="true"/>
    <cellStyle name="Hyperlink" xfId="2330" builtinId="8" hidden="true"/>
    <cellStyle name="Hyperlink" xfId="2332" builtinId="8" hidden="true"/>
    <cellStyle name="Hyperlink" xfId="2334" builtinId="8" hidden="true"/>
    <cellStyle name="Hyperlink" xfId="2336" builtinId="8" hidden="true"/>
    <cellStyle name="Hyperlink" xfId="2338" builtinId="8" hidden="true"/>
    <cellStyle name="Hyperlink" xfId="2340" builtinId="8" hidden="true"/>
    <cellStyle name="Hyperlink" xfId="2342" builtinId="8" hidden="true"/>
    <cellStyle name="Hyperlink" xfId="2344" builtinId="8" hidden="true"/>
    <cellStyle name="Hyperlink" xfId="2346" builtinId="8" hidden="true"/>
    <cellStyle name="Hyperlink" xfId="2348" builtinId="8" hidden="true"/>
    <cellStyle name="Hyperlink" xfId="2350" builtinId="8" hidden="true"/>
    <cellStyle name="Hyperlink" xfId="2352" builtinId="8" hidden="true"/>
    <cellStyle name="Hyperlink" xfId="2354" builtinId="8" hidden="true"/>
    <cellStyle name="Hyperlink" xfId="2356" builtinId="8" hidden="true"/>
    <cellStyle name="Hyperlink" xfId="2358" builtinId="8" hidden="true"/>
    <cellStyle name="Hyperlink" xfId="2360" builtinId="8" hidden="true"/>
    <cellStyle name="Hyperlink" xfId="2362" builtinId="8" hidden="true"/>
    <cellStyle name="Hyperlink" xfId="2364" builtinId="8" hidden="true"/>
    <cellStyle name="Hyperlink" xfId="2366" builtinId="8" hidden="true"/>
    <cellStyle name="Hyperlink" xfId="2368" builtinId="8" hidden="true"/>
    <cellStyle name="Hyperlink" xfId="2370" builtinId="8" hidden="true"/>
    <cellStyle name="Hyperlink" xfId="2372" builtinId="8" hidden="true"/>
    <cellStyle name="Hyperlink" xfId="2374" builtinId="8" hidden="true"/>
    <cellStyle name="Hyperlink" xfId="2376" builtinId="8" hidden="true"/>
    <cellStyle name="Hyperlink" xfId="2378" builtinId="8" hidden="true"/>
    <cellStyle name="Hyperlink" xfId="2380" builtinId="8" hidden="true"/>
    <cellStyle name="Hyperlink" xfId="2382" builtinId="8" hidden="true"/>
    <cellStyle name="Hyperlink" xfId="2384" builtinId="8" hidden="true"/>
    <cellStyle name="Hyperlink" xfId="2386" builtinId="8" hidden="true"/>
    <cellStyle name="Hyperlink" xfId="2388" builtinId="8" hidden="true"/>
    <cellStyle name="Hyperlink" xfId="2390" builtinId="8" hidden="true"/>
    <cellStyle name="Hyperlink" xfId="2392" builtinId="8" hidden="true"/>
    <cellStyle name="Hyperlink" xfId="2394" builtinId="8" hidden="true"/>
    <cellStyle name="Hyperlink" xfId="2396" builtinId="8" hidden="true"/>
    <cellStyle name="Hyperlink" xfId="2398" builtinId="8" hidden="true"/>
    <cellStyle name="Hyperlink" xfId="2400" builtinId="8" hidden="true"/>
    <cellStyle name="Hyperlink" xfId="2402" builtinId="8" hidden="true"/>
    <cellStyle name="Hyperlink" xfId="2404" builtinId="8" hidden="true"/>
    <cellStyle name="Hyperlink" xfId="2406" builtinId="8" hidden="true"/>
    <cellStyle name="Hyperlink" xfId="2408" builtinId="8" hidden="true"/>
    <cellStyle name="Hyperlink" xfId="2410" builtinId="8" hidden="true"/>
    <cellStyle name="Hyperlink" xfId="2412" builtinId="8" hidden="true"/>
    <cellStyle name="Hyperlink" xfId="2414" builtinId="8" hidden="true"/>
    <cellStyle name="Hyperlink" xfId="2416" builtinId="8" hidden="true"/>
    <cellStyle name="Hyperlink" xfId="2418" builtinId="8" hidden="true"/>
    <cellStyle name="Hyperlink" xfId="2420" builtinId="8" hidden="true"/>
    <cellStyle name="Hyperlink" xfId="2422" builtinId="8" hidden="true"/>
    <cellStyle name="Hyperlink" xfId="2424" builtinId="8" hidden="true"/>
    <cellStyle name="Hyperlink" xfId="2426" builtinId="8" hidden="true"/>
    <cellStyle name="Hyperlink" xfId="2428" builtinId="8" hidden="true"/>
    <cellStyle name="Hyperlink" xfId="2430" builtinId="8" hidden="true"/>
    <cellStyle name="Hyperlink" xfId="2432" builtinId="8" hidden="true"/>
    <cellStyle name="Hyperlink" xfId="2434" builtinId="8" hidden="true"/>
    <cellStyle name="Hyperlink" xfId="2436" builtinId="8" hidden="true"/>
    <cellStyle name="Hyperlink" xfId="2438" builtinId="8" hidden="true"/>
    <cellStyle name="Hyperlink" xfId="2440" builtinId="8" hidden="true"/>
    <cellStyle name="Hyperlink" xfId="2442" builtinId="8" hidden="true"/>
    <cellStyle name="Hyperlink" xfId="2444" builtinId="8" hidden="true"/>
    <cellStyle name="Hyperlink" xfId="2446" builtinId="8" hidden="true"/>
    <cellStyle name="Hyperlink" xfId="2448" builtinId="8" hidden="true"/>
    <cellStyle name="Hyperlink" xfId="2450" builtinId="8" hidden="true"/>
    <cellStyle name="Hyperlink" xfId="2452" builtinId="8" hidden="true"/>
    <cellStyle name="Hyperlink" xfId="2454" builtinId="8" hidden="true"/>
    <cellStyle name="Hyperlink" xfId="2456" builtinId="8" hidden="true"/>
    <cellStyle name="Hyperlink" xfId="2458" builtinId="8" hidden="true"/>
    <cellStyle name="Hyperlink" xfId="2460" builtinId="8" hidden="true"/>
    <cellStyle name="Hyperlink" xfId="2462" builtinId="8" hidden="true"/>
    <cellStyle name="Hyperlink" xfId="2464" builtinId="8" hidden="true"/>
    <cellStyle name="Hyperlink" xfId="2466" builtinId="8" hidden="true"/>
    <cellStyle name="Hyperlink" xfId="2468" builtinId="8" hidden="true"/>
    <cellStyle name="Hyperlink" xfId="2470" builtinId="8" hidden="true"/>
    <cellStyle name="Hyperlink" xfId="2472" builtinId="8" hidden="true"/>
    <cellStyle name="Hyperlink" xfId="2474" builtinId="8" hidden="true"/>
    <cellStyle name="Hyperlink" xfId="2476" builtinId="8" hidden="true"/>
    <cellStyle name="Hyperlink" xfId="2478" builtinId="8" hidden="true"/>
    <cellStyle name="Hyperlink" xfId="2480" builtinId="8" hidden="true"/>
    <cellStyle name="Hyperlink" xfId="2482" builtinId="8" hidden="true"/>
    <cellStyle name="Hyperlink" xfId="2484" builtinId="8" hidden="true"/>
    <cellStyle name="Hyperlink" xfId="2486" builtinId="8" hidden="true"/>
    <cellStyle name="Hyperlink" xfId="2488" builtinId="8" hidden="true"/>
    <cellStyle name="Hyperlink" xfId="2490" builtinId="8" hidden="true"/>
    <cellStyle name="Hyperlink" xfId="2492" builtinId="8" hidden="true"/>
    <cellStyle name="Hyperlink" xfId="2494" builtinId="8" hidden="true"/>
    <cellStyle name="Hyperlink" xfId="2496" builtinId="8" hidden="true"/>
    <cellStyle name="Hyperlink" xfId="2498" builtinId="8" hidden="true"/>
    <cellStyle name="Hyperlink" xfId="2500" builtinId="8" hidden="true"/>
    <cellStyle name="Hyperlink" xfId="2502" builtinId="8" hidden="true"/>
    <cellStyle name="Hyperlink" xfId="2504" builtinId="8" hidden="true"/>
    <cellStyle name="Hyperlink" xfId="2506" builtinId="8" hidden="true"/>
    <cellStyle name="Hyperlink" xfId="2508" builtinId="8" hidden="true"/>
    <cellStyle name="Hyperlink" xfId="2510" builtinId="8" hidden="true"/>
    <cellStyle name="Hyperlink" xfId="2512" builtinId="8" hidden="true"/>
    <cellStyle name="Hyperlink" xfId="2514" builtinId="8" hidden="true"/>
    <cellStyle name="Hyperlink" xfId="2516" builtinId="8" hidden="true"/>
    <cellStyle name="Hyperlink" xfId="2518" builtinId="8" hidden="true"/>
    <cellStyle name="Hyperlink" xfId="2520" builtinId="8" hidden="true"/>
    <cellStyle name="Hyperlink" xfId="2522" builtinId="8" hidden="true"/>
    <cellStyle name="Hyperlink" xfId="2524" builtinId="8" hidden="true"/>
    <cellStyle name="Hyperlink" xfId="2526" builtinId="8" hidden="true"/>
    <cellStyle name="Hyperlink" xfId="2528" builtinId="8" hidden="true"/>
    <cellStyle name="Hyperlink" xfId="2530" builtinId="8" hidden="true"/>
    <cellStyle name="Hyperlink" xfId="2532" builtinId="8" hidden="true"/>
    <cellStyle name="Hyperlink" xfId="2534" builtinId="8" hidden="true"/>
    <cellStyle name="Hyperlink" xfId="2536" builtinId="8" hidden="true"/>
    <cellStyle name="Hyperlink" xfId="2538" builtinId="8" hidden="true"/>
    <cellStyle name="Hyperlink" xfId="2540" builtinId="8" hidden="true"/>
    <cellStyle name="Hyperlink" xfId="2542" builtinId="8" hidden="true"/>
    <cellStyle name="Hyperlink" xfId="2544" builtinId="8" hidden="true"/>
    <cellStyle name="Hyperlink" xfId="2546" builtinId="8" hidden="true"/>
    <cellStyle name="Hyperlink" xfId="2548" builtinId="8" hidden="true"/>
    <cellStyle name="Hyperlink" xfId="2550" builtinId="8" hidden="true"/>
    <cellStyle name="Hyperlink" xfId="2552" builtinId="8" hidden="true"/>
    <cellStyle name="Hyperlink" xfId="2554" builtinId="8" hidden="true"/>
    <cellStyle name="Hyperlink" xfId="2556" builtinId="8" hidden="true"/>
    <cellStyle name="Hyperlink" xfId="2558" builtinId="8" hidden="true"/>
    <cellStyle name="Hyperlink" xfId="2560" builtinId="8" hidden="true"/>
    <cellStyle name="Hyperlink" xfId="2562" builtinId="8" hidden="true"/>
    <cellStyle name="Hyperlink" xfId="2564" builtinId="8" hidden="true"/>
    <cellStyle name="Hyperlink" xfId="2566" builtinId="8" hidden="true"/>
    <cellStyle name="Hyperlink" xfId="2568" builtinId="8" hidden="true"/>
    <cellStyle name="Hyperlink" xfId="2570" builtinId="8" hidden="true"/>
    <cellStyle name="Hyperlink" xfId="2572" builtinId="8" hidden="true"/>
    <cellStyle name="Hyperlink" xfId="2574" builtinId="8" hidden="true"/>
    <cellStyle name="Hyperlink" xfId="2576" builtinId="8" hidden="true"/>
    <cellStyle name="Hyperlink" xfId="2578" builtinId="8" hidden="true"/>
    <cellStyle name="Hyperlink" xfId="2580" builtinId="8" hidden="true"/>
    <cellStyle name="Hyperlink" xfId="2582" builtinId="8" hidden="true"/>
    <cellStyle name="Hyperlink" xfId="2584" builtinId="8" hidden="true"/>
    <cellStyle name="Hyperlink" xfId="2586" builtinId="8" hidden="true"/>
    <cellStyle name="Hyperlink" xfId="2588" builtinId="8" hidden="true"/>
    <cellStyle name="Hyperlink" xfId="2590" builtinId="8" hidden="true"/>
    <cellStyle name="Hyperlink" xfId="2592" builtinId="8" hidden="true"/>
    <cellStyle name="Hyperlink" xfId="2594" builtinId="8" hidden="true"/>
    <cellStyle name="Hyperlink" xfId="2596" builtinId="8" hidden="true"/>
    <cellStyle name="Hyperlink" xfId="2598" builtinId="8" hidden="true"/>
    <cellStyle name="Hyperlink" xfId="2600" builtinId="8" hidden="true"/>
    <cellStyle name="Hyperlink" xfId="2602" builtinId="8" hidden="true"/>
    <cellStyle name="Hyperlink" xfId="2604" builtinId="8" hidden="true"/>
    <cellStyle name="Hyperlink" xfId="2606" builtinId="8" hidden="true"/>
    <cellStyle name="Hyperlink" xfId="2608" builtinId="8" hidden="true"/>
    <cellStyle name="Hyperlink" xfId="2610" builtinId="8" hidden="true"/>
    <cellStyle name="Hyperlink" xfId="2612" builtinId="8" hidden="true"/>
    <cellStyle name="Hyperlink" xfId="2614" builtinId="8" hidden="true"/>
    <cellStyle name="Hyperlink" xfId="2616" builtinId="8" hidden="true"/>
    <cellStyle name="Hyperlink" xfId="2618" builtinId="8" hidden="true"/>
    <cellStyle name="Hyperlink" xfId="2620" builtinId="8" hidden="true"/>
    <cellStyle name="Hyperlink" xfId="2622" builtinId="8" hidden="true"/>
    <cellStyle name="Hyperlink" xfId="2624" builtinId="8" hidden="true"/>
    <cellStyle name="Hyperlink" xfId="2626" builtinId="8" hidden="true"/>
    <cellStyle name="Hyperlink" xfId="2628" builtinId="8" hidden="true"/>
    <cellStyle name="Hyperlink" xfId="2630" builtinId="8" hidden="true"/>
    <cellStyle name="Hyperlink" xfId="2632" builtinId="8" hidden="true"/>
    <cellStyle name="Hyperlink" xfId="2634" builtinId="8" hidden="true"/>
    <cellStyle name="Hyperlink" xfId="2636" builtinId="8" hidden="true"/>
    <cellStyle name="Hyperlink" xfId="2638" builtinId="8" hidden="true"/>
    <cellStyle name="Hyperlink" xfId="2640" builtinId="8" hidden="true"/>
    <cellStyle name="Hyperlink" xfId="2642" builtinId="8" hidden="true"/>
    <cellStyle name="Hyperlink" xfId="2644" builtinId="8" hidden="true"/>
    <cellStyle name="Hyperlink" xfId="2646" builtinId="8" hidden="true"/>
    <cellStyle name="Hyperlink" xfId="2648" builtinId="8" hidden="true"/>
    <cellStyle name="Hyperlink" xfId="2650" builtinId="8" hidden="true"/>
    <cellStyle name="Hyperlink" xfId="2652" builtinId="8" hidden="true"/>
    <cellStyle name="Hyperlink" xfId="2654" builtinId="8" hidden="true"/>
    <cellStyle name="Hyperlink" xfId="2656" builtinId="8" hidden="true"/>
    <cellStyle name="Hyperlink" xfId="2658" builtinId="8" hidden="true"/>
    <cellStyle name="Hyperlink" xfId="2660" builtinId="8" hidden="true"/>
    <cellStyle name="Hyperlink" xfId="2662" builtinId="8" hidden="true"/>
    <cellStyle name="Hyperlink" xfId="2664" builtinId="8" hidden="true"/>
    <cellStyle name="Hyperlink" xfId="2666" builtinId="8" hidden="true"/>
    <cellStyle name="Hyperlink" xfId="2668" builtinId="8" hidden="true"/>
    <cellStyle name="Hyperlink" xfId="2670" builtinId="8" hidden="true"/>
    <cellStyle name="Hyperlink" xfId="2672" builtinId="8" hidden="true"/>
    <cellStyle name="Hyperlink" xfId="2674" builtinId="8" hidden="true"/>
    <cellStyle name="Hyperlink" xfId="2676" builtinId="8" hidden="true"/>
    <cellStyle name="Hyperlink" xfId="2678" builtinId="8" hidden="true"/>
    <cellStyle name="Hyperlink" xfId="2680" builtinId="8" hidden="true"/>
    <cellStyle name="Hyperlink" xfId="2682" builtinId="8" hidden="true"/>
    <cellStyle name="Hyperlink" xfId="2684" builtinId="8" hidden="true"/>
    <cellStyle name="Hyperlink" xfId="2686" builtinId="8" hidden="true"/>
    <cellStyle name="Hyperlink" xfId="2688" builtinId="8" hidden="true"/>
    <cellStyle name="Hyperlink" xfId="2690" builtinId="8" hidden="true"/>
    <cellStyle name="Hyperlink" xfId="2692" builtinId="8" hidden="true"/>
    <cellStyle name="Hyperlink" xfId="2694" builtinId="8" hidden="true"/>
    <cellStyle name="Hyperlink" xfId="2696" builtinId="8" hidden="true"/>
    <cellStyle name="Hyperlink" xfId="2698" builtinId="8" hidden="true"/>
    <cellStyle name="Hyperlink" xfId="2700" builtinId="8" hidden="true"/>
    <cellStyle name="Hyperlink" xfId="2702" builtinId="8" hidden="true"/>
    <cellStyle name="Hyperlink" xfId="2704" builtinId="8" hidden="true"/>
    <cellStyle name="Hyperlink" xfId="2706" builtinId="8" hidden="true"/>
    <cellStyle name="Hyperlink" xfId="2708" builtinId="8" hidden="true"/>
    <cellStyle name="Hyperlink" xfId="2710" builtinId="8" hidden="true"/>
    <cellStyle name="Hyperlink" xfId="2712" builtinId="8" hidden="true"/>
    <cellStyle name="Hyperlink" xfId="2714" builtinId="8" hidden="true"/>
    <cellStyle name="Hyperlink" xfId="2716" builtinId="8" hidden="true"/>
    <cellStyle name="Hyperlink" xfId="2718" builtinId="8" hidden="true"/>
    <cellStyle name="Hyperlink" xfId="2720" builtinId="8" hidden="true"/>
    <cellStyle name="Hyperlink" xfId="2722" builtinId="8" hidden="true"/>
    <cellStyle name="Hyperlink" xfId="2724" builtinId="8" hidden="true"/>
    <cellStyle name="Hyperlink" xfId="2726" builtinId="8" hidden="true"/>
    <cellStyle name="Hyperlink" xfId="2728" builtinId="8" hidden="true"/>
    <cellStyle name="Hyperlink" xfId="2730" builtinId="8" hidden="true"/>
    <cellStyle name="Hyperlink" xfId="2732" builtinId="8" hidden="true"/>
    <cellStyle name="Hyperlink" xfId="2734" builtinId="8" hidden="true"/>
    <cellStyle name="Hyperlink" xfId="2736" builtinId="8" hidden="true"/>
    <cellStyle name="Hyperlink" xfId="2738" builtinId="8" hidden="true"/>
    <cellStyle name="Hyperlink" xfId="2740" builtinId="8" hidden="true"/>
    <cellStyle name="Hyperlink" xfId="2742" builtinId="8" hidden="true"/>
    <cellStyle name="Hyperlink" xfId="2744" builtinId="8" hidden="true"/>
    <cellStyle name="Hyperlink" xfId="2746" builtinId="8" hidden="true"/>
    <cellStyle name="Hyperlink" xfId="2748" builtinId="8" hidden="true"/>
    <cellStyle name="Hyperlink" xfId="2750" builtinId="8" hidden="true"/>
    <cellStyle name="Hyperlink" xfId="2752" builtinId="8" hidden="true"/>
    <cellStyle name="Hyperlink" xfId="2754" builtinId="8" hidden="true"/>
    <cellStyle name="Hyperlink" xfId="2756" builtinId="8" hidden="true"/>
    <cellStyle name="Hyperlink" xfId="2758" builtinId="8" hidden="true"/>
    <cellStyle name="Hyperlink" xfId="2760" builtinId="8" hidden="true"/>
    <cellStyle name="Hyperlink" xfId="2762" builtinId="8" hidden="true"/>
    <cellStyle name="Hyperlink" xfId="2764" builtinId="8" hidden="true"/>
    <cellStyle name="Hyperlink" xfId="2766" builtinId="8" hidden="true"/>
    <cellStyle name="Hyperlink" xfId="2768" builtinId="8" hidden="true"/>
    <cellStyle name="Hyperlink" xfId="2770" builtinId="8" hidden="true"/>
    <cellStyle name="Hyperlink" xfId="2772" builtinId="8" hidden="true"/>
    <cellStyle name="Hyperlink" xfId="2774" builtinId="8" hidden="true"/>
    <cellStyle name="Hyperlink" xfId="2776" builtinId="8" hidden="true"/>
    <cellStyle name="Hyperlink" xfId="2778" builtinId="8" hidden="true"/>
    <cellStyle name="Hyperlink" xfId="2780" builtinId="8" hidden="true"/>
    <cellStyle name="Hyperlink" xfId="2782" builtinId="8" hidden="true"/>
    <cellStyle name="Hyperlink" xfId="2784" builtinId="8" hidden="true"/>
    <cellStyle name="Hyperlink" xfId="2786" builtinId="8" hidden="true"/>
    <cellStyle name="Hyperlink" xfId="2788" builtinId="8" hidden="true"/>
    <cellStyle name="Hyperlink" xfId="2790" builtinId="8" hidden="true"/>
    <cellStyle name="Hyperlink" xfId="2792" builtinId="8" hidden="true"/>
    <cellStyle name="Hyperlink" xfId="2794" builtinId="8" hidden="true"/>
    <cellStyle name="Hyperlink" xfId="2796" builtinId="8" hidden="true"/>
    <cellStyle name="Hyperlink" xfId="2798" builtinId="8" hidden="true"/>
    <cellStyle name="Hyperlink" xfId="2800" builtinId="8" hidden="true"/>
    <cellStyle name="Hyperlink" xfId="2802" builtinId="8" hidden="true"/>
    <cellStyle name="Hyperlink" xfId="2804" builtinId="8" hidden="true"/>
    <cellStyle name="Hyperlink" xfId="2806" builtinId="8" hidden="true"/>
    <cellStyle name="Hyperlink" xfId="2808" builtinId="8" hidden="true"/>
    <cellStyle name="Hyperlink" xfId="2810" builtinId="8" hidden="true"/>
    <cellStyle name="Hyperlink" xfId="2812" builtinId="8" hidden="true"/>
    <cellStyle name="Hyperlink" xfId="2814" builtinId="8" hidden="true"/>
    <cellStyle name="Hyperlink" xfId="2816" builtinId="8" hidden="true"/>
    <cellStyle name="Hyperlink" xfId="2818" builtinId="8" hidden="true"/>
    <cellStyle name="Hyperlink" xfId="2820" builtinId="8" hidden="true"/>
    <cellStyle name="Hyperlink" xfId="2822" builtinId="8" hidden="true"/>
    <cellStyle name="Hyperlink" xfId="2824" builtinId="8" hidden="true"/>
    <cellStyle name="Hyperlink" xfId="2826" builtinId="8" hidden="true"/>
    <cellStyle name="Hyperlink" xfId="2828" builtinId="8" hidden="true"/>
    <cellStyle name="Hyperlink" xfId="2830" builtinId="8" hidden="true"/>
    <cellStyle name="Hyperlink" xfId="2832" builtinId="8" hidden="true"/>
    <cellStyle name="Hyperlink" xfId="2834" builtinId="8" hidden="true"/>
    <cellStyle name="Hyperlink" xfId="2836" builtinId="8" hidden="true"/>
    <cellStyle name="Hyperlink" xfId="2838" builtinId="8" hidden="true"/>
    <cellStyle name="Hyperlink" xfId="2840" builtinId="8" hidden="true"/>
    <cellStyle name="Hyperlink" xfId="2842" builtinId="8" hidden="true"/>
    <cellStyle name="Hyperlink" xfId="2844" builtinId="8" hidden="true"/>
    <cellStyle name="Hyperlink" xfId="2846" builtinId="8" hidden="true"/>
    <cellStyle name="Hyperlink" xfId="2848" builtinId="8" hidden="true"/>
    <cellStyle name="Hyperlink" xfId="2850" builtinId="8" hidden="true"/>
    <cellStyle name="Hyperlink" xfId="2852" builtinId="8" hidden="true"/>
    <cellStyle name="Hyperlink" xfId="2854" builtinId="8" hidden="true"/>
    <cellStyle name="Hyperlink" xfId="2856" builtinId="8" hidden="true"/>
    <cellStyle name="Hyperlink" xfId="2858" builtinId="8" hidden="true"/>
    <cellStyle name="Hyperlink" xfId="2860" builtinId="8" hidden="true"/>
    <cellStyle name="Hyperlink" xfId="2862" builtinId="8" hidden="true"/>
    <cellStyle name="Hyperlink" xfId="2864" builtinId="8" hidden="true"/>
    <cellStyle name="Hyperlink" xfId="2866" builtinId="8" hidden="true"/>
    <cellStyle name="Hyperlink" xfId="2868" builtinId="8" hidden="true"/>
    <cellStyle name="Hyperlink" xfId="2870" builtinId="8" hidden="true"/>
    <cellStyle name="Hyperlink" xfId="2872" builtinId="8" hidden="true"/>
    <cellStyle name="Hyperlink" xfId="2874" builtinId="8" hidden="true"/>
    <cellStyle name="Hyperlink" xfId="2876" builtinId="8" hidden="true"/>
    <cellStyle name="Hyperlink" xfId="2878" builtinId="8" hidden="true"/>
    <cellStyle name="Hyperlink" xfId="2880" builtinId="8" hidden="true"/>
    <cellStyle name="Hyperlink" xfId="2882" builtinId="8" hidden="true"/>
    <cellStyle name="Hyperlink" xfId="2884" builtinId="8" hidden="true"/>
    <cellStyle name="Hyperlink" xfId="2886" builtinId="8" hidden="true"/>
    <cellStyle name="Hyperlink" xfId="2888" builtinId="8" hidden="true"/>
    <cellStyle name="Hyperlink" xfId="2890" builtinId="8" hidden="true"/>
    <cellStyle name="Hyperlink" xfId="2892" builtinId="8" hidden="true"/>
    <cellStyle name="Hyperlink" xfId="2894" builtinId="8" hidden="true"/>
    <cellStyle name="Hyperlink" xfId="2896" builtinId="8" hidden="true"/>
    <cellStyle name="Hyperlink" xfId="2898" builtinId="8" hidden="true"/>
    <cellStyle name="Hyperlink" xfId="2900" builtinId="8" hidden="true"/>
    <cellStyle name="Hyperlink" xfId="2902" builtinId="8" hidden="true"/>
    <cellStyle name="Hyperlink" xfId="2904" builtinId="8" hidden="true"/>
    <cellStyle name="Hyperlink" xfId="2906" builtinId="8" hidden="true"/>
    <cellStyle name="Hyperlink" xfId="2908" builtinId="8" hidden="true"/>
    <cellStyle name="Hyperlink" xfId="2910" builtinId="8" hidden="true"/>
    <cellStyle name="Hyperlink" xfId="2912" builtinId="8" hidden="true"/>
    <cellStyle name="Hyperlink" xfId="2914" builtinId="8" hidden="true"/>
    <cellStyle name="Hyperlink" xfId="2916" builtinId="8" hidden="true"/>
    <cellStyle name="Hyperlink" xfId="2918" builtinId="8" hidden="true"/>
    <cellStyle name="Hyperlink" xfId="2920" builtinId="8" hidden="true"/>
    <cellStyle name="Hyperlink" xfId="2922" builtinId="8" hidden="true"/>
    <cellStyle name="Hyperlink" xfId="2924" builtinId="8" hidden="true"/>
    <cellStyle name="Hyperlink" xfId="2926" builtinId="8" hidden="true"/>
    <cellStyle name="Hyperlink" xfId="2928" builtinId="8" hidden="true"/>
    <cellStyle name="Hyperlink" xfId="2930" builtinId="8" hidden="true"/>
    <cellStyle name="Hyperlink" xfId="2932" builtinId="8" hidden="true"/>
    <cellStyle name="Hyperlink" xfId="2934" builtinId="8" hidden="true"/>
    <cellStyle name="Hyperlink" xfId="2936" builtinId="8" hidden="true"/>
    <cellStyle name="Hyperlink" xfId="2938" builtinId="8" hidden="true"/>
    <cellStyle name="Hyperlink" xfId="2940" builtinId="8" hidden="true"/>
    <cellStyle name="Hyperlink" xfId="2942" builtinId="8" hidden="true"/>
    <cellStyle name="Hyperlink" xfId="2944" builtinId="8" hidden="true"/>
    <cellStyle name="Hyperlink" xfId="2946" builtinId="8" hidden="true"/>
    <cellStyle name="Hyperlink" xfId="2948" builtinId="8" hidden="true"/>
    <cellStyle name="Hyperlink" xfId="2950" builtinId="8" hidden="true"/>
    <cellStyle name="Hyperlink" xfId="2952" builtinId="8" hidden="true"/>
    <cellStyle name="Hyperlink" xfId="2954" builtinId="8" hidden="true"/>
    <cellStyle name="Hyperlink" xfId="2956" builtinId="8" hidden="true"/>
    <cellStyle name="Hyperlink" xfId="2958" builtinId="8" hidden="true"/>
    <cellStyle name="Hyperlink" xfId="2960" builtinId="8" hidden="true"/>
    <cellStyle name="Hyperlink" xfId="2962" builtinId="8" hidden="true"/>
    <cellStyle name="Hyperlink" xfId="2964" builtinId="8" hidden="true"/>
    <cellStyle name="Hyperlink" xfId="2966" builtinId="8" hidden="true"/>
    <cellStyle name="Hyperlink" xfId="2968" builtinId="8" hidden="true"/>
    <cellStyle name="Hyperlink" xfId="2970" builtinId="8" hidden="true"/>
    <cellStyle name="Hyperlink" xfId="2972" builtinId="8" hidden="true"/>
    <cellStyle name="Hyperlink" xfId="2974" builtinId="8" hidden="true"/>
    <cellStyle name="Hyperlink" xfId="2976" builtinId="8" hidden="true"/>
    <cellStyle name="Hyperlink" xfId="2978" builtinId="8" hidden="true"/>
    <cellStyle name="Hyperlink" xfId="2980" builtinId="8" hidden="true"/>
    <cellStyle name="Hyperlink" xfId="2982" builtinId="8" hidden="true"/>
    <cellStyle name="Hyperlink" xfId="2984" builtinId="8" hidden="true"/>
    <cellStyle name="Hyperlink" xfId="2986" builtinId="8" hidden="true"/>
    <cellStyle name="Hyperlink" xfId="2988" builtinId="8" hidden="true"/>
    <cellStyle name="Hyperlink" xfId="2990" builtinId="8" hidden="true"/>
    <cellStyle name="Hyperlink" xfId="2992" builtinId="8" hidden="true"/>
    <cellStyle name="Hyperlink" xfId="2994" builtinId="8" hidden="true"/>
    <cellStyle name="Hyperlink" xfId="2996" builtinId="8" hidden="true"/>
    <cellStyle name="Hyperlink" xfId="2998" builtinId="8" hidden="true"/>
    <cellStyle name="Hyperlink" xfId="3000" builtinId="8" hidden="true"/>
    <cellStyle name="Hyperlink" xfId="3002" builtinId="8" hidden="true"/>
    <cellStyle name="Hyperlink" xfId="3004" builtinId="8" hidden="true"/>
    <cellStyle name="Hyperlink" xfId="3006" builtinId="8" hidden="true"/>
    <cellStyle name="Hyperlink" xfId="3008" builtinId="8" hidden="true"/>
    <cellStyle name="Hyperlink" xfId="3010" builtinId="8" hidden="true"/>
    <cellStyle name="Hyperlink" xfId="3012" builtinId="8" hidden="true"/>
    <cellStyle name="Hyperlink" xfId="3014" builtinId="8" hidden="true"/>
    <cellStyle name="Hyperlink" xfId="3016" builtinId="8" hidden="true"/>
    <cellStyle name="Hyperlink" xfId="3018" builtinId="8" hidden="true"/>
    <cellStyle name="Hyperlink" xfId="3020" builtinId="8" hidden="true"/>
    <cellStyle name="Hyperlink" xfId="3022" builtinId="8" hidden="true"/>
    <cellStyle name="Hyperlink" xfId="3024" builtinId="8" hidden="true"/>
    <cellStyle name="Hyperlink" xfId="3026" builtinId="8" hidden="true"/>
    <cellStyle name="Hyperlink" xfId="3028" builtinId="8" hidden="true"/>
    <cellStyle name="Hyperlink" xfId="3030" builtinId="8" hidden="true"/>
    <cellStyle name="Hyperlink" xfId="3032" builtinId="8" hidden="true"/>
    <cellStyle name="Hyperlink" xfId="3034" builtinId="8" hidden="true"/>
    <cellStyle name="Hyperlink" xfId="3036" builtinId="8" hidden="true"/>
    <cellStyle name="Hyperlink" xfId="3038" builtinId="8" hidden="true"/>
    <cellStyle name="Hyperlink" xfId="3040" builtinId="8" hidden="true"/>
    <cellStyle name="Hyperlink" xfId="3042" builtinId="8" hidden="true"/>
    <cellStyle name="Hyperlink" xfId="3044" builtinId="8" hidden="true"/>
    <cellStyle name="Hyperlink" xfId="3046" builtinId="8" hidden="true"/>
    <cellStyle name="Hyperlink" xfId="3048" builtinId="8" hidden="true"/>
    <cellStyle name="Hyperlink" xfId="3050" builtinId="8" hidden="true"/>
    <cellStyle name="Hyperlink" xfId="3052" builtinId="8" hidden="true"/>
    <cellStyle name="Hyperlink" xfId="3054" builtinId="8" hidden="true"/>
    <cellStyle name="Hyperlink" xfId="3056" builtinId="8" hidden="true"/>
    <cellStyle name="Hyperlink" xfId="3058" builtinId="8" hidden="true"/>
    <cellStyle name="Hyperlink" xfId="3060" builtinId="8" hidden="true"/>
    <cellStyle name="Hyperlink" xfId="3062" builtinId="8" hidden="true"/>
    <cellStyle name="Hyperlink" xfId="3064" builtinId="8" hidden="true"/>
    <cellStyle name="Hyperlink" xfId="3066" builtinId="8" hidden="true"/>
    <cellStyle name="Hyperlink" xfId="3068" builtinId="8" hidden="true"/>
    <cellStyle name="Hyperlink" xfId="3070" builtinId="8" hidden="true"/>
    <cellStyle name="Hyperlink" xfId="3072" builtinId="8" hidden="true"/>
    <cellStyle name="Hyperlink" xfId="3074" builtinId="8" hidden="true"/>
    <cellStyle name="Hyperlink" xfId="3076" builtinId="8" hidden="true"/>
    <cellStyle name="Hyperlink" xfId="3078" builtinId="8" hidden="true"/>
    <cellStyle name="Hyperlink" xfId="3080" builtinId="8" hidden="true"/>
    <cellStyle name="Hyperlink" xfId="3082" builtinId="8" hidden="true"/>
    <cellStyle name="Hyperlink" xfId="3084" builtinId="8" hidden="true"/>
    <cellStyle name="Hyperlink" xfId="3086" builtinId="8" hidden="true"/>
    <cellStyle name="Hyperlink" xfId="3088" builtinId="8" hidden="true"/>
    <cellStyle name="Hyperlink" xfId="3090" builtinId="8" hidden="true"/>
    <cellStyle name="Hyperlink" xfId="3092" builtinId="8" hidden="true"/>
    <cellStyle name="Hyperlink" xfId="3094" builtinId="8" hidden="true"/>
    <cellStyle name="Hyperlink" xfId="3096" builtinId="8" hidden="true"/>
    <cellStyle name="Hyperlink" xfId="3098" builtinId="8" hidden="true"/>
    <cellStyle name="Hyperlink" xfId="3100" builtinId="8" hidden="true"/>
    <cellStyle name="Hyperlink" xfId="3102" builtinId="8" hidden="true"/>
    <cellStyle name="Hyperlink" xfId="3104" builtinId="8" hidden="true"/>
    <cellStyle name="Hyperlink" xfId="3106" builtinId="8" hidden="true"/>
    <cellStyle name="Hyperlink" xfId="3108" builtinId="8" hidden="true"/>
    <cellStyle name="Hyperlink" xfId="3110" builtinId="8" hidden="true"/>
    <cellStyle name="Hyperlink" xfId="3112" builtinId="8" hidden="true"/>
    <cellStyle name="Hyperlink" xfId="3114" builtinId="8" hidden="true"/>
    <cellStyle name="Hyperlink" xfId="3116" builtinId="8" hidden="true"/>
    <cellStyle name="Hyperlink" xfId="3118" builtinId="8" hidden="true"/>
    <cellStyle name="Hyperlink" xfId="3120" builtinId="8" hidden="true"/>
    <cellStyle name="Hyperlink" xfId="3122" builtinId="8" hidden="true"/>
    <cellStyle name="Hyperlink" xfId="3124" builtinId="8" hidden="true"/>
    <cellStyle name="Hyperlink" xfId="3126" builtinId="8" hidden="true"/>
    <cellStyle name="Hyperlink" xfId="3128" builtinId="8" hidden="true"/>
    <cellStyle name="Hyperlink" xfId="3130" builtinId="8" hidden="true"/>
    <cellStyle name="Hyperlink" xfId="3132" builtinId="8" hidden="true"/>
    <cellStyle name="Hyperlink" xfId="3134" builtinId="8" hidden="true"/>
    <cellStyle name="Hyperlink" xfId="3136" builtinId="8" hidden="true"/>
    <cellStyle name="Hyperlink" xfId="3138" builtinId="8" hidden="true"/>
    <cellStyle name="Hyperlink" xfId="3140" builtinId="8" hidden="true"/>
    <cellStyle name="Hyperlink" xfId="3142" builtinId="8" hidden="true"/>
    <cellStyle name="Hyperlink" xfId="3144" builtinId="8" hidden="true"/>
    <cellStyle name="Hyperlink" xfId="3146" builtinId="8" hidden="true"/>
    <cellStyle name="Hyperlink" xfId="3148" builtinId="8" hidden="true"/>
    <cellStyle name="Hyperlink" xfId="3150" builtinId="8" hidden="true"/>
    <cellStyle name="Hyperlink" xfId="3152" builtinId="8" hidden="true"/>
    <cellStyle name="Hyperlink" xfId="3154" builtinId="8" hidden="true"/>
    <cellStyle name="Hyperlink" xfId="3156" builtinId="8" hidden="true"/>
    <cellStyle name="Hyperlink" xfId="3158" builtinId="8" hidden="true"/>
    <cellStyle name="Hyperlink" xfId="3160" builtinId="8" hidden="true"/>
    <cellStyle name="Hyperlink" xfId="3162" builtinId="8" hidden="true"/>
    <cellStyle name="Hyperlink" xfId="3164" builtinId="8" hidden="true"/>
    <cellStyle name="Hyperlink" xfId="3166" builtinId="8" hidden="true"/>
    <cellStyle name="Hyperlink" xfId="3168" builtinId="8" hidden="true"/>
    <cellStyle name="Hyperlink" xfId="3170" builtinId="8" hidden="true"/>
    <cellStyle name="Hyperlink" xfId="3172" builtinId="8" hidden="true"/>
    <cellStyle name="Hyperlink" xfId="3174" builtinId="8" hidden="true"/>
    <cellStyle name="Hyperlink" xfId="3176" builtinId="8" hidden="true"/>
    <cellStyle name="Hyperlink" xfId="3178" builtinId="8" hidden="true"/>
    <cellStyle name="Hyperlink" xfId="3180" builtinId="8" hidden="true"/>
    <cellStyle name="Hyperlink" xfId="3182" builtinId="8" hidden="true"/>
    <cellStyle name="Hyperlink" xfId="3184" builtinId="8" hidden="true"/>
    <cellStyle name="Hyperlink" xfId="3186" builtinId="8" hidden="true"/>
    <cellStyle name="Hyperlink" xfId="3188" builtinId="8" hidden="true"/>
    <cellStyle name="Hyperlink" xfId="3190" builtinId="8" hidden="true"/>
    <cellStyle name="Hyperlink" xfId="3192" builtinId="8" hidden="true"/>
    <cellStyle name="Hyperlink" xfId="3194" builtinId="8" hidden="true"/>
    <cellStyle name="Hyperlink" xfId="3196" builtinId="8" hidden="true"/>
    <cellStyle name="Hyperlink" xfId="3198" builtinId="8" hidden="true"/>
    <cellStyle name="Hyperlink" xfId="3200" builtinId="8" hidden="true"/>
    <cellStyle name="Hyperlink" xfId="3202" builtinId="8" hidden="true"/>
    <cellStyle name="Hyperlink" xfId="3204" builtinId="8" hidden="true"/>
    <cellStyle name="Hyperlink" xfId="3206" builtinId="8" hidden="true"/>
    <cellStyle name="Hyperlink" xfId="3208" builtinId="8" hidden="true"/>
    <cellStyle name="Hyperlink" xfId="3210" builtinId="8" hidden="true"/>
    <cellStyle name="Hyperlink" xfId="3212" builtinId="8" hidden="true"/>
    <cellStyle name="Hyperlink" xfId="3214" builtinId="8" hidden="true"/>
    <cellStyle name="Hyperlink" xfId="3216" builtinId="8" hidden="true"/>
    <cellStyle name="Hyperlink" xfId="3218" builtinId="8" hidden="true"/>
    <cellStyle name="Hyperlink" xfId="3220" builtinId="8" hidden="true"/>
    <cellStyle name="Hyperlink" xfId="3222" builtinId="8" hidden="true"/>
    <cellStyle name="Hyperlink" xfId="3224" builtinId="8" hidden="true"/>
    <cellStyle name="Hyperlink" xfId="3226" builtinId="8" hidden="true"/>
    <cellStyle name="Hyperlink" xfId="3228" builtinId="8" hidden="true"/>
    <cellStyle name="Hyperlink" xfId="3230" builtinId="8" hidden="true"/>
    <cellStyle name="Hyperlink" xfId="3232" builtinId="8" hidden="true"/>
    <cellStyle name="Hyperlink" xfId="3234" builtinId="8" hidden="true"/>
    <cellStyle name="Hyperlink" xfId="3236" builtinId="8" hidden="true"/>
    <cellStyle name="Hyperlink" xfId="3238" builtinId="8" hidden="true"/>
    <cellStyle name="Hyperlink" xfId="3240" builtinId="8" hidden="true"/>
    <cellStyle name="Hyperlink" xfId="3242" builtinId="8" hidden="true"/>
    <cellStyle name="Hyperlink" xfId="3244" builtinId="8" hidden="true"/>
    <cellStyle name="Hyperlink" xfId="3246" builtinId="8" hidden="true"/>
    <cellStyle name="Hyperlink" xfId="3248" builtinId="8" hidden="true"/>
    <cellStyle name="Hyperlink" xfId="3250" builtinId="8" hidden="true"/>
    <cellStyle name="Hyperlink" xfId="3252" builtinId="8" hidden="true"/>
    <cellStyle name="Hyperlink" xfId="3254" builtinId="8" hidden="true"/>
    <cellStyle name="Hyperlink" xfId="3256" builtinId="8" hidden="true"/>
    <cellStyle name="Hyperlink" xfId="3258" builtinId="8" hidden="true"/>
    <cellStyle name="Hyperlink" xfId="3260" builtinId="8" hidden="true"/>
    <cellStyle name="Hyperlink" xfId="3262" builtinId="8" hidden="true"/>
    <cellStyle name="Hyperlink" xfId="3264" builtinId="8" hidden="true"/>
    <cellStyle name="Hyperlink" xfId="3266" builtinId="8" hidden="true"/>
    <cellStyle name="Hyperlink" xfId="3268" builtinId="8" hidden="true"/>
    <cellStyle name="Hyperlink" xfId="3270" builtinId="8" hidden="true"/>
    <cellStyle name="Hyperlink" xfId="3272" builtinId="8" hidden="true"/>
    <cellStyle name="Hyperlink" xfId="3274" builtinId="8" hidden="true"/>
    <cellStyle name="Hyperlink" xfId="3276" builtinId="8" hidden="true"/>
    <cellStyle name="Hyperlink" xfId="3278" builtinId="8" hidden="true"/>
    <cellStyle name="Hyperlink" xfId="3280" builtinId="8" hidden="true"/>
    <cellStyle name="Hyperlink" xfId="3282" builtinId="8" hidden="true"/>
    <cellStyle name="Hyperlink" xfId="3284" builtinId="8" hidden="true"/>
    <cellStyle name="Hyperlink" xfId="3286" builtinId="8" hidden="true"/>
    <cellStyle name="Hyperlink" xfId="3288" builtinId="8" hidden="true"/>
    <cellStyle name="Hyperlink" xfId="3290" builtinId="8" hidden="true"/>
    <cellStyle name="Hyperlink" xfId="3292" builtinId="8" hidden="true"/>
    <cellStyle name="Hyperlink" xfId="3294" builtinId="8" hidden="true"/>
    <cellStyle name="Hyperlink" xfId="3296" builtinId="8" hidden="true"/>
    <cellStyle name="Hyperlink" xfId="3298" builtinId="8" hidden="true"/>
    <cellStyle name="Hyperlink" xfId="3300" builtinId="8" hidden="true"/>
    <cellStyle name="Hyperlink" xfId="3302" builtinId="8" hidden="true"/>
    <cellStyle name="Hyperlink" xfId="3304" builtinId="8" hidden="true"/>
    <cellStyle name="Hyperlink" xfId="3306" builtinId="8" hidden="true"/>
    <cellStyle name="Hyperlink" xfId="3308" builtinId="8" hidden="true"/>
    <cellStyle name="Hyperlink" xfId="3310" builtinId="8" hidden="true"/>
    <cellStyle name="Hyperlink" xfId="3312" builtinId="8" hidden="true"/>
    <cellStyle name="Hyperlink" xfId="3314" builtinId="8" hidden="true"/>
    <cellStyle name="Hyperlink" xfId="3316" builtinId="8" hidden="true"/>
    <cellStyle name="Hyperlink" xfId="3318" builtinId="8" hidden="true"/>
    <cellStyle name="Hyperlink" xfId="3320" builtinId="8" hidden="true"/>
    <cellStyle name="Hyperlink" xfId="3322" builtinId="8" hidden="true"/>
    <cellStyle name="Hyperlink" xfId="3324" builtinId="8" hidden="true"/>
    <cellStyle name="Hyperlink" xfId="3326" builtinId="8" hidden="true"/>
    <cellStyle name="Hyperlink" xfId="3328" builtinId="8" hidden="true"/>
    <cellStyle name="Hyperlink" xfId="3330" builtinId="8" hidden="true"/>
    <cellStyle name="Hyperlink" xfId="3332" builtinId="8" hidden="true"/>
    <cellStyle name="Hyperlink" xfId="3334" builtinId="8" hidden="true"/>
    <cellStyle name="Hyperlink" xfId="3336" builtinId="8" hidden="true"/>
    <cellStyle name="Hyperlink" xfId="3338" builtinId="8" hidden="true"/>
    <cellStyle name="Hyperlink" xfId="3340" builtinId="8" hidden="true"/>
    <cellStyle name="Hyperlink" xfId="3342" builtinId="8" hidden="true"/>
    <cellStyle name="Hyperlink" xfId="3344" builtinId="8" hidden="true"/>
    <cellStyle name="Hyperlink" xfId="3346" builtinId="8" hidden="true"/>
    <cellStyle name="Hyperlink" xfId="3348" builtinId="8" hidden="true"/>
    <cellStyle name="Hyperlink" xfId="3350" builtinId="8" hidden="true"/>
    <cellStyle name="Hyperlink" xfId="3352" builtinId="8" hidden="true"/>
    <cellStyle name="Hyperlink" xfId="3354" builtinId="8" hidden="true"/>
    <cellStyle name="Hyperlink" xfId="3356" builtinId="8" hidden="true"/>
    <cellStyle name="Hyperlink" xfId="3358" builtinId="8" hidden="true"/>
    <cellStyle name="Hyperlink" xfId="3360" builtinId="8" hidden="true"/>
    <cellStyle name="Hyperlink" xfId="3362" builtinId="8" hidden="true"/>
    <cellStyle name="Hyperlink" xfId="3364" builtinId="8" hidden="true"/>
    <cellStyle name="Hyperlink" xfId="3366" builtinId="8" hidden="true"/>
    <cellStyle name="Hyperlink" xfId="3368" builtinId="8" hidden="true"/>
    <cellStyle name="Hyperlink" xfId="3370" builtinId="8" hidden="true"/>
    <cellStyle name="Hyperlink" xfId="3372" builtinId="8" hidden="true"/>
    <cellStyle name="Hyperlink" xfId="3374" builtinId="8" hidden="true"/>
    <cellStyle name="Hyperlink" xfId="3376" builtinId="8" hidden="true"/>
    <cellStyle name="Hyperlink" xfId="3378" builtinId="8" hidden="true"/>
    <cellStyle name="Hyperlink" xfId="3380" builtinId="8" hidden="true"/>
    <cellStyle name="Hyperlink" xfId="3382" builtinId="8" hidden="true"/>
    <cellStyle name="Hyperlink" xfId="3384" builtinId="8" hidden="true"/>
    <cellStyle name="Hyperlink" xfId="3386" builtinId="8" hidden="true"/>
    <cellStyle name="Hyperlink" xfId="3388" builtinId="8" hidden="true"/>
    <cellStyle name="Hyperlink" xfId="3390" builtinId="8" hidden="true"/>
    <cellStyle name="Hyperlink" xfId="3392" builtinId="8" hidden="true"/>
    <cellStyle name="Hyperlink" xfId="3394" builtinId="8" hidden="true"/>
    <cellStyle name="Hyperlink" xfId="3396" builtinId="8" hidden="true"/>
    <cellStyle name="Hyperlink" xfId="3398" builtinId="8" hidden="true"/>
    <cellStyle name="Hyperlink" xfId="3400" builtinId="8" hidden="true"/>
    <cellStyle name="Hyperlink" xfId="3402" builtinId="8" hidden="true"/>
    <cellStyle name="Hyperlink" xfId="3404" builtinId="8" hidden="true"/>
    <cellStyle name="Hyperlink" xfId="3406" builtinId="8" hidden="true"/>
    <cellStyle name="Hyperlink" xfId="3408" builtinId="8" hidden="true"/>
    <cellStyle name="Hyperlink" xfId="3410" builtinId="8" hidden="true"/>
    <cellStyle name="Hyperlink" xfId="3412" builtinId="8" hidden="true"/>
    <cellStyle name="Hyperlink" xfId="3414" builtinId="8" hidden="true"/>
    <cellStyle name="Hyperlink" xfId="3416" builtinId="8" hidden="true"/>
    <cellStyle name="Hyperlink" xfId="3418" builtinId="8" hidden="true"/>
    <cellStyle name="Hyperlink" xfId="3420" builtinId="8" hidden="true"/>
    <cellStyle name="Hyperlink" xfId="3422" builtinId="8" hidden="true"/>
    <cellStyle name="Hyperlink" xfId="3424" builtinId="8" hidden="true"/>
    <cellStyle name="Hyperlink" xfId="3426" builtinId="8" hidden="true"/>
    <cellStyle name="Hyperlink" xfId="3428" builtinId="8" hidden="true"/>
    <cellStyle name="Hyperlink" xfId="3430" builtinId="8" hidden="true"/>
    <cellStyle name="Hyperlink" xfId="3432" builtinId="8" hidden="true"/>
    <cellStyle name="Hyperlink" xfId="3434" builtinId="8" hidden="true"/>
    <cellStyle name="Hyperlink" xfId="3436" builtinId="8" hidden="true"/>
    <cellStyle name="Hyperlink" xfId="3438" builtinId="8" hidden="true"/>
    <cellStyle name="Hyperlink" xfId="3440" builtinId="8" hidden="true"/>
    <cellStyle name="Hyperlink" xfId="3442" builtinId="8" hidden="true"/>
    <cellStyle name="Hyperlink" xfId="3444" builtinId="8" hidden="true"/>
    <cellStyle name="Hyperlink" xfId="3446" builtinId="8" hidden="true"/>
    <cellStyle name="Hyperlink" xfId="3448" builtinId="8" hidden="true"/>
    <cellStyle name="Hyperlink" xfId="3450" builtinId="8" hidden="true"/>
    <cellStyle name="Hyperlink" xfId="3452" builtinId="8" hidden="true"/>
    <cellStyle name="Hyperlink" xfId="3454" builtinId="8" hidden="true"/>
    <cellStyle name="Hyperlink" xfId="3456" builtinId="8" hidden="true"/>
    <cellStyle name="Hyperlink" xfId="3458" builtinId="8" hidden="true"/>
    <cellStyle name="Hyperlink" xfId="3460" builtinId="8" hidden="true"/>
    <cellStyle name="Hyperlink" xfId="3462" builtinId="8" hidden="true"/>
    <cellStyle name="Hyperlink" xfId="3464" builtinId="8" hidden="true"/>
    <cellStyle name="Hyperlink" xfId="3466" builtinId="8" hidden="true"/>
    <cellStyle name="Hyperlink" xfId="3468" builtinId="8" hidden="true"/>
    <cellStyle name="Hyperlink" xfId="3470" builtinId="8" hidden="true"/>
    <cellStyle name="Hyperlink" xfId="3472" builtinId="8" hidden="true"/>
    <cellStyle name="Hyperlink" xfId="3474" builtinId="8" hidden="true"/>
    <cellStyle name="Hyperlink" xfId="3476" builtinId="8" hidden="true"/>
    <cellStyle name="Hyperlink" xfId="3478" builtinId="8" hidden="true"/>
    <cellStyle name="Hyperlink" xfId="3480" builtinId="8" hidden="true"/>
    <cellStyle name="Hyperlink" xfId="3482" builtinId="8" hidden="true"/>
    <cellStyle name="Hyperlink" xfId="3484" builtinId="8" hidden="true"/>
    <cellStyle name="Hyperlink" xfId="3486" builtinId="8" hidden="true"/>
    <cellStyle name="Hyperlink" xfId="3488" builtinId="8" hidden="true"/>
    <cellStyle name="Hyperlink" xfId="3490" builtinId="8" hidden="true"/>
    <cellStyle name="Hyperlink" xfId="3492" builtinId="8" hidden="true"/>
    <cellStyle name="Hyperlink" xfId="3494" builtinId="8" hidden="true"/>
    <cellStyle name="Hyperlink" xfId="3496" builtinId="8" hidden="true"/>
    <cellStyle name="Hyperlink" xfId="3498" builtinId="8" hidden="true"/>
    <cellStyle name="Hyperlink" xfId="3500" builtinId="8" hidden="true"/>
    <cellStyle name="Hyperlink" xfId="3502" builtinId="8" hidden="true"/>
    <cellStyle name="Hyperlink" xfId="3504" builtinId="8" hidden="true"/>
    <cellStyle name="Hyperlink" xfId="3506" builtinId="8" hidden="true"/>
    <cellStyle name="Hyperlink" xfId="3508" builtinId="8" hidden="true"/>
    <cellStyle name="Hyperlink" xfId="3510" builtinId="8" hidden="true"/>
    <cellStyle name="Hyperlink" xfId="3512" builtinId="8" hidden="true"/>
    <cellStyle name="Hyperlink" xfId="3514" builtinId="8" hidden="true"/>
    <cellStyle name="Hyperlink" xfId="3516" builtinId="8" hidden="true"/>
    <cellStyle name="Hyperlink" xfId="3518" builtinId="8" hidden="true"/>
    <cellStyle name="Hyperlink" xfId="3520" builtinId="8" hidden="true"/>
    <cellStyle name="Hyperlink" xfId="3522" builtinId="8" hidden="true"/>
    <cellStyle name="Hyperlink" xfId="3524" builtinId="8" hidden="true"/>
    <cellStyle name="Hyperlink" xfId="3526" builtinId="8" hidden="true"/>
    <cellStyle name="Hyperlink" xfId="3528" builtinId="8" hidden="true"/>
    <cellStyle name="Hyperlink" xfId="3530" builtinId="8" hidden="true"/>
    <cellStyle name="Hyperlink" xfId="3532" builtinId="8" hidden="true"/>
    <cellStyle name="Hyperlink" xfId="3534" builtinId="8" hidden="true"/>
    <cellStyle name="Hyperlink" xfId="3536" builtinId="8" hidden="true"/>
    <cellStyle name="Hyperlink" xfId="3538" builtinId="8" hidden="true"/>
    <cellStyle name="Hyperlink" xfId="3540" builtinId="8" hidden="true"/>
    <cellStyle name="Hyperlink" xfId="3542" builtinId="8" hidden="true"/>
    <cellStyle name="Hyperlink" xfId="3544" builtinId="8" hidden="true"/>
    <cellStyle name="Hyperlink" xfId="3546" builtinId="8" hidden="true"/>
    <cellStyle name="Hyperlink" xfId="3548" builtinId="8" hidden="true"/>
    <cellStyle name="Hyperlink" xfId="3550" builtinId="8" hidden="true"/>
    <cellStyle name="Hyperlink" xfId="3552" builtinId="8" hidden="true"/>
    <cellStyle name="Hyperlink" xfId="3554" builtinId="8" hidden="true"/>
    <cellStyle name="Hyperlink" xfId="3556" builtinId="8" hidden="true"/>
    <cellStyle name="Hyperlink" xfId="3558" builtinId="8" hidden="true"/>
    <cellStyle name="Hyperlink" xfId="3560" builtinId="8" hidden="true"/>
    <cellStyle name="Hyperlink" xfId="3562" builtinId="8" hidden="true"/>
    <cellStyle name="Hyperlink" xfId="3564" builtinId="8" hidden="true"/>
    <cellStyle name="Hyperlink" xfId="3566" builtinId="8" hidden="true"/>
    <cellStyle name="Hyperlink" xfId="3568" builtinId="8" hidden="true"/>
    <cellStyle name="Hyperlink" xfId="3570" builtinId="8" hidden="true"/>
    <cellStyle name="Hyperlink" xfId="3572" builtinId="8" hidden="true"/>
    <cellStyle name="Hyperlink" xfId="3574" builtinId="8" hidden="true"/>
    <cellStyle name="Hyperlink" xfId="3576" builtinId="8" hidden="true"/>
    <cellStyle name="Hyperlink" xfId="3578" builtinId="8" hidden="true"/>
    <cellStyle name="Hyperlink" xfId="3580" builtinId="8" hidden="true"/>
    <cellStyle name="Hyperlink" xfId="3582" builtinId="8" hidden="true"/>
    <cellStyle name="Hyperlink" xfId="3584" builtinId="8" hidden="true"/>
    <cellStyle name="Hyperlink" xfId="3586" builtinId="8" hidden="true"/>
    <cellStyle name="Hyperlink" xfId="3588" builtinId="8" hidden="true"/>
    <cellStyle name="Hyperlink" xfId="3590" builtinId="8" hidden="true"/>
    <cellStyle name="Hyperlink" xfId="3592" builtinId="8" hidden="true"/>
    <cellStyle name="Hyperlink" xfId="3594" builtinId="8" hidden="true"/>
    <cellStyle name="Hyperlink" xfId="3596" builtinId="8" hidden="true"/>
    <cellStyle name="Hyperlink" xfId="3598" builtinId="8" hidden="true"/>
    <cellStyle name="Hyperlink" xfId="3600" builtinId="8" hidden="true"/>
    <cellStyle name="Hyperlink" xfId="3602" builtinId="8" hidden="true"/>
    <cellStyle name="Hyperlink" xfId="3604" builtinId="8" hidden="true"/>
    <cellStyle name="Hyperlink" xfId="3606" builtinId="8" hidden="true"/>
    <cellStyle name="Hyperlink" xfId="3608" builtinId="8" hidden="true"/>
    <cellStyle name="Hyperlink" xfId="3610" builtinId="8" hidden="true"/>
    <cellStyle name="Hyperlink" xfId="3612" builtinId="8" hidden="true"/>
    <cellStyle name="Hyperlink" xfId="3614" builtinId="8" hidden="true"/>
    <cellStyle name="Hyperlink" xfId="3616" builtinId="8" hidden="true"/>
    <cellStyle name="Hyperlink" xfId="3618" builtinId="8" hidden="true"/>
    <cellStyle name="Hyperlink" xfId="3620" builtinId="8" hidden="true"/>
    <cellStyle name="Hyperlink" xfId="3622" builtinId="8" hidden="true"/>
    <cellStyle name="Hyperlink" xfId="3624" builtinId="8" hidden="true"/>
    <cellStyle name="Hyperlink" xfId="3626" builtinId="8" hidden="true"/>
    <cellStyle name="Hyperlink" xfId="3628" builtinId="8" hidden="true"/>
    <cellStyle name="Hyperlink" xfId="3630" builtinId="8" hidden="true"/>
    <cellStyle name="Hyperlink" xfId="3632" builtinId="8" hidden="true"/>
    <cellStyle name="Hyperlink" xfId="3634" builtinId="8" hidden="true"/>
    <cellStyle name="Hyperlink" xfId="3636" builtinId="8" hidden="true"/>
    <cellStyle name="Hyperlink" xfId="3638" builtinId="8" hidden="true"/>
    <cellStyle name="Hyperlink" xfId="3640" builtinId="8" hidden="true"/>
    <cellStyle name="Hyperlink" xfId="3642" builtinId="8" hidden="true"/>
    <cellStyle name="Hyperlink" xfId="3644" builtinId="8" hidden="true"/>
    <cellStyle name="Hyperlink" xfId="3646" builtinId="8" hidden="true"/>
    <cellStyle name="Hyperlink" xfId="3648" builtinId="8" hidden="true"/>
    <cellStyle name="Hyperlink" xfId="3650" builtinId="8" hidden="true"/>
    <cellStyle name="Hyperlink" xfId="3652" builtinId="8" hidden="true"/>
    <cellStyle name="Normal" xfId="0" builtinId="0"/>
    <cellStyle name="Normal 2" xfId="971" xr:uid="{00000000-0005-0000-0000-0000450E0000}"/>
  </cellStyles>
  <dxfs count="11">
    <dxf>
      <numFmt numFmtId="1" formatCode="0"/>
    </dxf>
    <dxf>
      <numFmt numFmtId="1" formatCode="0"/>
    </dxf>
    <dxf>
      <numFmt numFmtId="1" formatCode="0"/>
    </dxf>
    <dxf>
      <font>
        <color theme="0" tint="-0.49995422223579"/>
      </font>
      <numFmt numFmtId="1" formatCode="0"/>
    </dxf>
    <dxf>
      <font>
        <color theme="0" tint="-0.49995422223579"/>
      </font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<Relationships xmlns="http://schemas.openxmlformats.org/package/2006/relationships"><Relationship Target="worksheets/sheet8.xml" Type="http://schemas.openxmlformats.org/officeDocument/2006/relationships/worksheet" Id="rId8"/><Relationship Target="worksheets/sheet13.xml" Type="http://schemas.openxmlformats.org/officeDocument/2006/relationships/worksheet" Id="rId13"/><Relationship Target="styles.xml" Type="http://schemas.openxmlformats.org/officeDocument/2006/relationships/styles" Id="rId18"/><Relationship Target="worksheets/sheet3.xml" Type="http://schemas.openxmlformats.org/officeDocument/2006/relationships/worksheet" Id="rId3"/><Relationship Target="vbaProject.bin" Type="http://schemas.microsoft.com/office/2006/relationships/vbaProject" Id="rId21"/><Relationship Target="worksheets/sheet7.xml" Type="http://schemas.openxmlformats.org/officeDocument/2006/relationships/worksheet" Id="rId7"/><Relationship Target="worksheets/sheet12.xml" Type="http://schemas.openxmlformats.org/officeDocument/2006/relationships/worksheet" Id="rId12"/><Relationship Target="theme/theme1.xml" Type="http://schemas.openxmlformats.org/officeDocument/2006/relationships/theme" Id="rId17"/><Relationship Target="worksheets/sheet2.xml" Type="http://schemas.openxmlformats.org/officeDocument/2006/relationships/worksheet" Id="rId2"/><Relationship Target="worksheets/sheet16.xml" Type="http://schemas.openxmlformats.org/officeDocument/2006/relationships/worksheet" Id="rId16"/><Relationship Target="worksheets/sheet1.xml" Type="http://schemas.openxmlformats.org/officeDocument/2006/relationships/worksheet" Id="rId1"/><Relationship Target="worksheets/sheet6.xml" Type="http://schemas.openxmlformats.org/officeDocument/2006/relationships/worksheet" Id="rId6"/><Relationship Target="worksheets/sheet11.xml" Type="http://schemas.openxmlformats.org/officeDocument/2006/relationships/worksheet" Id="rId11"/><Relationship Target="worksheets/sheet5.xml" Type="http://schemas.openxmlformats.org/officeDocument/2006/relationships/worksheet" Id="rId5"/><Relationship Target="worksheets/sheet15.xml" Type="http://schemas.openxmlformats.org/officeDocument/2006/relationships/worksheet" Id="rId15"/><Relationship Target="worksheets/sheet10.xml" Type="http://schemas.openxmlformats.org/officeDocument/2006/relationships/worksheet" Id="rId10"/><Relationship Target="sharedStrings.xml" Type="http://schemas.openxmlformats.org/officeDocument/2006/relationships/sharedStrings" Id="rId19"/><Relationship Target="worksheets/sheet4.xml" Type="http://schemas.openxmlformats.org/officeDocument/2006/relationships/worksheet" Id="rId4"/><Relationship Target="worksheets/sheet9.xml" Type="http://schemas.openxmlformats.org/officeDocument/2006/relationships/worksheet" Id="rId9"/><Relationship Target="worksheets/sheet14.xml" Type="http://schemas.openxmlformats.org/officeDocument/2006/relationships/worksheet" Id="rId14"/></Relationships>
</file>

<file path=xl/drawings/_rels/drawing1.xml.rels><?xml version="1.0" encoding="UTF-8"?><Relationships xmlns="http://schemas.openxmlformats.org/package/2006/relationships"><Relationship Target="../media/image2.png" Type="http://schemas.openxmlformats.org/officeDocument/2006/relationships/image" Id="rId2"/><Relationship Target="../media/image1.png" Type="http://schemas.openxmlformats.org/officeDocument/2006/relationships/image" Id="rId1"/></Relationships>
</file>

<file path=xl/drawings/drawing1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true">
          <a:extLst>
            <a:ext xmlns:a14="http://schemas.microsoft.com/office/drawing/2010/main" uri="{63B3BB69-23CF-44E3-9099-C40C66FF867C}">
              <a14:compatExt xmlns:a14="http://schemas.microsoft.com/office/drawing/2010/main" spid="_x0000_s5123"/>
            </a:ext>
            <a:ext xmlns:a16="http://schemas.microsoft.com/office/drawing/2014/main"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xmlns:a16="http://schemas.microsoft.com/office/drawing/2014/main"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true"/>
        </xdr:cNvPicPr>
      </xdr:nvPicPr>
      <xdr:blipFill rotWithShape="true">
        <a:blip r:embed="rId1">
          <a:extLst>
            <a:ext xmlns:a14="http://schemas.microsoft.com/office/drawing/2010/main"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xmlns:a16="http://schemas.microsoft.com/office/drawing/2014/main"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true"/>
        </xdr:cNvPicPr>
      </xdr:nvPicPr>
      <xdr:blipFill rotWithShape="true">
        <a:blip r:embed="rId2">
          <a:extLst>
            <a:ext xmlns:a14="http://schemas.microsoft.com/office/drawing/2010/main"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true">
          <a:extLst>
            <a:ext xmlns:a14="http://schemas.microsoft.com/office/drawing/2010/main" uri="{63B3BB69-23CF-44E3-9099-C40C66FF867C}">
              <a14:compatExt xmlns:a14="http://schemas.microsoft.com/office/drawing/2010/main" spid="_x0000_s19459"/>
            </a:ext>
            <a:ext xmlns:a16="http://schemas.microsoft.com/office/drawing/2014/main"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true">
          <a:extLst>
            <a:ext xmlns:a14="http://schemas.microsoft.com/office/drawing/2010/main" uri="{63B3BB69-23CF-44E3-9099-C40C66FF867C}">
              <a14:compatExt xmlns:a14="http://schemas.microsoft.com/office/drawing/2010/main" spid="_x0000_s19460"/>
            </a:ext>
            <a:ext xmlns:a16="http://schemas.microsoft.com/office/drawing/2014/main"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?><Relationships xmlns="http://schemas.openxmlformats.org/package/2006/relationships"><Relationship Target="../drawings/drawing1.xml" Type="http://schemas.openxmlformats.org/officeDocument/2006/relationships/drawing" Id="rId1"/></Relationships>
</file>

<file path=xl/worksheets/_rels/sheet12.xml.rels><?xml version="1.0" encoding="UTF-8"?><Relationships xmlns="http://schemas.openxmlformats.org/package/2006/relationships"><Relationship Target="../drawings/drawing2.xml" Type="http://schemas.openxmlformats.org/officeDocument/2006/relationships/drawing" Id="rId1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51"/>
  <sheetViews>
    <sheetView zoomScale="125" zoomScaleNormal="125" zoomScalePageLayoutView="125" workbookViewId="0">
      <selection activeCell="B14" sqref="B14"/>
    </sheetView>
  </sheetViews>
  <sheetFormatPr baseColWidth="10" defaultColWidth="8.83203125" defaultRowHeight="13"/>
  <cols>
    <col min="2" max="2" width="34.83203125" customWidth="true"/>
  </cols>
  <sheetData>
    <row r="2">
      <c r="B2" t="s">
        <v>144</v>
      </c>
    </row>
    <row r="3">
      <c r="B3" t="s">
        <v>145</v>
      </c>
    </row>
    <row r="4">
      <c r="B4" s="54" t="s">
        <v>167</v>
      </c>
    </row>
    <row r="6" ht="14" thickBot="true">
      <c r="B6" s="41" t="s">
        <v>140</v>
      </c>
    </row>
    <row r="7">
      <c r="B7" s="54" t="s">
        <v>142</v>
      </c>
    </row>
    <row r="8">
      <c r="B8" s="54" t="s">
        <v>141</v>
      </c>
    </row>
    <row r="9">
      <c r="B9" s="54" t="s">
        <v>143</v>
      </c>
    </row>
    <row r="10">
      <c r="B10" s="54" t="s">
        <v>146</v>
      </c>
    </row>
    <row r="11">
      <c r="B11" s="54" t="s">
        <v>150</v>
      </c>
    </row>
    <row r="12">
      <c r="B12" s="54" t="s">
        <v>152</v>
      </c>
    </row>
    <row r="13">
      <c r="B13" s="54" t="s">
        <v>168</v>
      </c>
    </row>
    <row r="15" ht="14" thickBot="true"/>
    <row r="16" ht="14" thickBot="true">
      <c r="B16" s="42" t="s">
        <v>137</v>
      </c>
      <c r="C16" s="43"/>
      <c r="D16" s="25">
        <v>41373</v>
      </c>
    </row>
    <row r="17">
      <c r="B17" s="44" t="s">
        <v>58</v>
      </c>
      <c r="C17" s="28">
        <v>0</v>
      </c>
    </row>
    <row r="18">
      <c r="B18" s="44" t="s">
        <v>59</v>
      </c>
      <c r="C18" s="28">
        <v>1</v>
      </c>
    </row>
    <row r="19">
      <c r="B19" s="44" t="s">
        <v>60</v>
      </c>
      <c r="C19" s="28">
        <v>2</v>
      </c>
    </row>
    <row r="20" ht="14" thickBot="true">
      <c r="B20" s="45" t="s">
        <v>44</v>
      </c>
      <c r="C20" s="29">
        <v>3</v>
      </c>
    </row>
    <row r="21">
      <c r="B21" s="46" t="s">
        <v>139</v>
      </c>
    </row>
    <row r="22" ht="14" thickBot="true"/>
    <row r="23" ht="14" thickBot="true">
      <c r="B23" s="42" t="s">
        <v>66</v>
      </c>
      <c r="C23" s="43"/>
      <c r="D23" s="25" t="s">
        <v>147</v>
      </c>
    </row>
    <row r="24">
      <c r="B24" s="47" t="s">
        <v>38</v>
      </c>
      <c r="C24" s="26">
        <v>1</v>
      </c>
    </row>
    <row r="25">
      <c r="B25" s="44" t="s">
        <v>40</v>
      </c>
      <c r="C25" s="28">
        <v>1.1000000000000001</v>
      </c>
    </row>
    <row r="26">
      <c r="B26" s="44" t="s">
        <v>41</v>
      </c>
      <c r="C26" s="28">
        <v>1.2</v>
      </c>
    </row>
    <row r="27">
      <c r="B27" s="44"/>
      <c r="C27" s="28"/>
    </row>
    <row r="28">
      <c r="B28" s="44" t="s">
        <v>42</v>
      </c>
      <c r="C28" s="28">
        <v>2.1</v>
      </c>
    </row>
    <row r="29">
      <c r="B29" s="44" t="s">
        <v>43</v>
      </c>
      <c r="C29" s="28">
        <v>2.2000000000000002</v>
      </c>
    </row>
    <row r="30">
      <c r="B30" s="44" t="s">
        <v>68</v>
      </c>
      <c r="C30" s="28">
        <v>2.2999999999999998</v>
      </c>
    </row>
    <row r="31">
      <c r="B31" s="44"/>
      <c r="C31" s="28"/>
    </row>
    <row r="32">
      <c r="B32" s="44" t="s">
        <v>63</v>
      </c>
      <c r="C32" s="28">
        <v>3.11</v>
      </c>
    </row>
    <row r="33">
      <c r="B33" s="44" t="s">
        <v>62</v>
      </c>
      <c r="C33" s="28">
        <v>3.12</v>
      </c>
    </row>
    <row r="34">
      <c r="B34" s="44" t="s">
        <v>69</v>
      </c>
      <c r="C34" s="28">
        <v>3.13</v>
      </c>
    </row>
    <row r="35">
      <c r="B35" s="44"/>
      <c r="C35" s="28"/>
    </row>
    <row r="36">
      <c r="B36" s="44" t="s">
        <v>67</v>
      </c>
      <c r="C36" s="28">
        <v>3.21</v>
      </c>
    </row>
    <row r="37">
      <c r="B37" s="44" t="s">
        <v>64</v>
      </c>
      <c r="C37" s="28">
        <v>3.22</v>
      </c>
    </row>
    <row r="38">
      <c r="B38" s="44" t="s">
        <v>70</v>
      </c>
      <c r="C38" s="28">
        <v>3.23</v>
      </c>
    </row>
    <row r="39">
      <c r="B39" s="44"/>
      <c r="C39" s="28"/>
    </row>
    <row r="40">
      <c r="B40" s="44" t="s">
        <v>65</v>
      </c>
      <c r="C40" s="28">
        <v>8</v>
      </c>
    </row>
    <row r="41">
      <c r="B41" s="44"/>
      <c r="C41" s="28"/>
    </row>
    <row r="42">
      <c r="B42" s="44" t="s">
        <v>72</v>
      </c>
      <c r="C42" s="28">
        <v>4.0999999999999996</v>
      </c>
    </row>
    <row r="43">
      <c r="B43" s="44" t="s">
        <v>71</v>
      </c>
      <c r="C43" s="28">
        <v>4.2</v>
      </c>
    </row>
    <row r="44">
      <c r="B44" s="44" t="s">
        <v>73</v>
      </c>
      <c r="C44" s="28">
        <v>4.3</v>
      </c>
    </row>
    <row r="45">
      <c r="B45" s="27"/>
      <c r="C45" s="28"/>
    </row>
    <row r="46">
      <c r="B46" s="44" t="s">
        <v>138</v>
      </c>
      <c r="C46" s="28">
        <v>6.1</v>
      </c>
    </row>
    <row r="47">
      <c r="B47" s="44" t="s">
        <v>45</v>
      </c>
      <c r="C47" s="28">
        <v>6.2</v>
      </c>
    </row>
    <row r="48">
      <c r="B48" s="44"/>
      <c r="C48" s="28"/>
    </row>
    <row r="49">
      <c r="B49" s="44" t="s">
        <v>44</v>
      </c>
      <c r="C49" s="28">
        <v>5</v>
      </c>
    </row>
    <row r="50">
      <c r="B50" s="44"/>
      <c r="C50" s="28"/>
    </row>
    <row r="51" ht="14" thickBot="true">
      <c r="B51" s="45" t="s">
        <v>74</v>
      </c>
      <c r="C51" s="29">
        <v>7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X78"/>
  <sheetViews>
    <sheetView topLeftCell="A31" workbookViewId="0">
      <selection activeCell="E59" sqref="E59"/>
    </sheetView>
  </sheetViews>
  <sheetFormatPr baseColWidth="10" defaultColWidth="8.83203125" defaultRowHeight="15" customHeight="true"/>
  <cols>
    <col min="1" max="1" width="22.5" style="73" customWidth="true"/>
    <col min="2" max="2" width="7.6640625" style="73" customWidth="true"/>
    <col min="3" max="3" width="8.83203125" style="73"/>
    <col min="4" max="4" width="14.33203125" style="73" customWidth="true"/>
    <col min="5" max="5" width="41.83203125" style="75" bestFit="true" customWidth="true"/>
    <col min="6" max="6" width="9.5" style="73" bestFit="true" customWidth="true"/>
    <col min="7" max="7" width="12.83203125" style="73" customWidth="true"/>
    <col min="8" max="9" width="8.83203125" style="73"/>
    <col min="10" max="10" width="9.1640625" style="73" bestFit="true" customWidth="true"/>
    <col min="11" max="16384" width="8.83203125" style="73"/>
  </cols>
  <sheetData>
    <row r="1" s="79" customFormat="true" ht="15" customHeight="true">
      <c r="A1" s="78" t="s">
        <v>19</v>
      </c>
      <c r="C1" s="80" t="s">
        <v>8</v>
      </c>
      <c r="D1" s="78" t="s">
        <v>23</v>
      </c>
      <c r="E1" s="81" t="s">
        <v>0</v>
      </c>
      <c r="F1" s="78" t="s">
        <v>7</v>
      </c>
      <c r="G1" s="81" t="s">
        <v>14</v>
      </c>
      <c r="H1" s="78" t="s">
        <v>1</v>
      </c>
      <c r="I1" s="78" t="s">
        <v>2</v>
      </c>
      <c r="J1" s="78" t="s">
        <v>15</v>
      </c>
      <c r="K1" s="78" t="s">
        <v>3</v>
      </c>
      <c r="L1" s="78" t="s">
        <v>4</v>
      </c>
      <c r="M1" s="78" t="s">
        <v>5</v>
      </c>
      <c r="N1" s="78" t="s">
        <v>6</v>
      </c>
      <c r="O1" s="73"/>
      <c r="P1" s="76" t="s">
        <v>172</v>
      </c>
    </row>
    <row r="2" ht="15" customHeight="true">
      <c r="C2">
        <v>1</v>
      </c>
      <c r="D2"/>
      <c r="E2" s="136" t="s">
        <v>175</v>
      </c>
      <c r="F2" s="3">
        <v>1</v>
      </c>
      <c r="G2" s="220">
        <v>24.188064575195312</v>
      </c>
      <c r="H2" s="220">
        <v>254.05999755859375</v>
      </c>
      <c r="I2" s="3"/>
      <c r="J2"/>
      <c r="K2"/>
      <c r="L2" s="3">
        <v>0</v>
      </c>
      <c r="M2" s="3">
        <v>0</v>
      </c>
      <c r="N2" s="3">
        <v>0</v>
      </c>
      <c r="O2" s="137" t="s">
        <v>234</v>
      </c>
    </row>
    <row r="3" ht="15" customHeight="true">
      <c r="A3" s="82" t="s">
        <v>9</v>
      </c>
      <c r="B3" s="72">
        <v>50</v>
      </c>
      <c r="C3">
        <v>2</v>
      </c>
      <c r="D3"/>
      <c r="E3" t="s">
        <v>176</v>
      </c>
      <c r="F3" s="3">
        <v>1</v>
      </c>
      <c r="G3" s="220">
        <v>205.3800048828125</v>
      </c>
      <c r="H3" s="220">
        <v>17.006999969482422</v>
      </c>
      <c r="I3" s="3"/>
      <c r="J3"/>
      <c r="K3"/>
      <c r="L3" s="3">
        <v>0</v>
      </c>
      <c r="M3" s="3">
        <v>0</v>
      </c>
      <c r="N3" s="3">
        <v>0</v>
      </c>
      <c r="O3" s="137" t="s">
        <v>235</v>
      </c>
    </row>
    <row r="4" ht="15" customHeight="true">
      <c r="A4" s="82" t="s">
        <v>10</v>
      </c>
      <c r="B4" s="72">
        <v>4</v>
      </c>
      <c r="C4">
        <v>3</v>
      </c>
      <c r="D4"/>
      <c r="E4" s="137" t="s">
        <v>177</v>
      </c>
      <c r="F4" s="3">
        <v>0</v>
      </c>
      <c r="G4" s="220"/>
      <c r="H4" s="220">
        <v>200</v>
      </c>
      <c r="I4" s="221">
        <v>215</v>
      </c>
      <c r="J4" s="267">
        <v>0.95</v>
      </c>
      <c r="K4"/>
      <c r="L4" s="3">
        <v>0</v>
      </c>
      <c r="M4" s="3">
        <v>9.9999999999999978E-2</v>
      </c>
      <c r="N4" s="3">
        <v>0</v>
      </c>
      <c r="O4" s="137" t="s">
        <v>236</v>
      </c>
      <c r="V4" s="82" t="s">
        <v>29</v>
      </c>
    </row>
    <row r="5" ht="15" customHeight="true" thickBot="true">
      <c r="A5" s="82" t="s">
        <v>11</v>
      </c>
      <c r="B5" s="72">
        <v>2</v>
      </c>
      <c r="C5">
        <f>C4+1</f>
        <v>4</v>
      </c>
      <c r="D5"/>
      <c r="E5" s="137" t="s">
        <v>220</v>
      </c>
      <c r="F5" s="3">
        <v>0</v>
      </c>
      <c r="G5" s="220">
        <v>4.3924655914306641</v>
      </c>
      <c r="H5" s="220">
        <v>27</v>
      </c>
      <c r="I5" s="222"/>
      <c r="J5"/>
      <c r="K5" s="257">
        <v>0.4</v>
      </c>
      <c r="L5" s="3">
        <v>0</v>
      </c>
      <c r="M5" s="3">
        <v>9.9999999999999978E-2</v>
      </c>
      <c r="N5" s="3">
        <v>0</v>
      </c>
      <c r="O5" s="137" t="s">
        <v>237</v>
      </c>
      <c r="R5" s="75"/>
    </row>
    <row r="6" ht="15" customHeight="true" thickBot="true">
      <c r="B6" s="82"/>
      <c r="C6">
        <f t="shared" ref="C6:C53" si="0">C5+1</f>
        <v>5</v>
      </c>
      <c r="D6" s="139"/>
      <c r="E6" s="137" t="s">
        <v>221</v>
      </c>
      <c r="F6" s="3">
        <v>0</v>
      </c>
      <c r="G6" s="220">
        <v>8.3000001907348633</v>
      </c>
      <c r="H6" s="220">
        <v>45</v>
      </c>
      <c r="I6" s="222"/>
      <c r="J6"/>
      <c r="K6" s="257">
        <v>0.4</v>
      </c>
      <c r="L6" s="3">
        <v>0</v>
      </c>
      <c r="M6" s="3">
        <v>9.9999999999999978E-2</v>
      </c>
      <c r="N6" s="3">
        <v>0</v>
      </c>
      <c r="O6" s="137" t="s">
        <v>238</v>
      </c>
      <c r="R6" s="75"/>
      <c r="W6" s="83" t="s">
        <v>31</v>
      </c>
      <c r="X6" s="84">
        <f>MAX(MainOutputs!G:G)</f>
        <v>0.99618685245513916</v>
      </c>
    </row>
    <row r="7" ht="15" customHeight="true">
      <c r="A7" s="85" t="s">
        <v>27</v>
      </c>
      <c r="B7" s="73">
        <f ca="true">COUNTIF(OFFSET(cornerDiets,1,1,NumLiving+NumDead+1,NumLiving+NumDead),"&gt;0")+NumLiving+NumDead+1</f>
        <v>491</v>
      </c>
      <c r="C7">
        <f t="shared" si="0"/>
        <v>6</v>
      </c>
      <c r="D7"/>
      <c r="E7" t="s">
        <v>178</v>
      </c>
      <c r="F7" s="3">
        <v>0</v>
      </c>
      <c r="G7" s="220">
        <v>1.2495787143707275</v>
      </c>
      <c r="H7" s="220">
        <v>20.700000762939453</v>
      </c>
      <c r="I7" s="222"/>
      <c r="J7"/>
      <c r="K7" s="257">
        <v>0.4</v>
      </c>
      <c r="L7" s="3">
        <v>0</v>
      </c>
      <c r="M7" s="3">
        <v>9.9999999999999978E-2</v>
      </c>
      <c r="N7" s="3">
        <v>0</v>
      </c>
      <c r="O7" t="s">
        <v>239</v>
      </c>
      <c r="R7" s="75"/>
    </row>
    <row r="8" ht="15" customHeight="true">
      <c r="A8" s="85" t="s">
        <v>28</v>
      </c>
      <c r="B8" s="73">
        <f ca="true">COUNTIF(OFFSET(cornerFishing,1,2,NumLiving+NumDead,NumGears),"&gt;0")+NumDead*COUNTIF(OFFSET(cornerDiscards,1,2,NumLiving+NumDead,NumGears),"&gt;0")+NumLiving+NumDead+1</f>
        <v>306</v>
      </c>
      <c r="C8">
        <f t="shared" si="0"/>
        <v>7</v>
      </c>
      <c r="D8"/>
      <c r="E8" s="137" t="s">
        <v>222</v>
      </c>
      <c r="F8" s="3">
        <v>0</v>
      </c>
      <c r="G8" s="220">
        <v>195.94921875</v>
      </c>
      <c r="H8" s="220">
        <v>19</v>
      </c>
      <c r="I8" s="222"/>
      <c r="J8"/>
      <c r="K8" s="257">
        <v>0.4</v>
      </c>
      <c r="L8" s="3">
        <v>0</v>
      </c>
      <c r="M8" s="3">
        <v>9.9999999999999978E-2</v>
      </c>
      <c r="N8" s="3">
        <v>0</v>
      </c>
      <c r="O8" t="s">
        <v>240</v>
      </c>
      <c r="R8" s="75"/>
    </row>
    <row r="9" ht="15" customHeight="true">
      <c r="B9" s="82"/>
      <c r="C9">
        <f t="shared" si="0"/>
        <v>8</v>
      </c>
      <c r="D9"/>
      <c r="E9" t="s">
        <v>179</v>
      </c>
      <c r="F9" s="3">
        <v>0</v>
      </c>
      <c r="G9" s="220">
        <v>0.21048000454902649</v>
      </c>
      <c r="H9" s="220">
        <v>90.449996948242188</v>
      </c>
      <c r="I9" s="221">
        <v>110</v>
      </c>
      <c r="J9"/>
      <c r="K9"/>
      <c r="L9" s="3">
        <v>0</v>
      </c>
      <c r="M9" s="3">
        <v>0.44999999999999996</v>
      </c>
      <c r="N9" s="3">
        <v>0</v>
      </c>
      <c r="O9" s="137" t="s">
        <v>241</v>
      </c>
      <c r="R9" s="75"/>
    </row>
    <row r="10" ht="15" customHeight="true">
      <c r="B10" s="82"/>
      <c r="C10">
        <f t="shared" si="0"/>
        <v>9</v>
      </c>
      <c r="D10"/>
      <c r="E10" t="s">
        <v>180</v>
      </c>
      <c r="F10" s="3">
        <v>0</v>
      </c>
      <c r="G10" s="220">
        <v>1.5189970731735229</v>
      </c>
      <c r="H10" s="220">
        <v>14.680000305175781</v>
      </c>
      <c r="I10" s="222"/>
      <c r="J10"/>
      <c r="K10" s="257">
        <v>0.25</v>
      </c>
      <c r="L10" s="3">
        <v>0</v>
      </c>
      <c r="M10" s="3">
        <v>0.15000000000000002</v>
      </c>
      <c r="N10" s="3">
        <v>0</v>
      </c>
      <c r="O10" s="137" t="s">
        <v>242</v>
      </c>
    </row>
    <row r="11" ht="15" customHeight="true">
      <c r="C11">
        <f t="shared" si="0"/>
        <v>10</v>
      </c>
      <c r="D11"/>
      <c r="E11" s="137" t="s">
        <v>223</v>
      </c>
      <c r="F11" s="3">
        <v>0</v>
      </c>
      <c r="G11" s="220">
        <v>4.8008999824523926</v>
      </c>
      <c r="H11" s="220">
        <v>18.25</v>
      </c>
      <c r="I11" s="221">
        <v>60</v>
      </c>
      <c r="J11"/>
      <c r="K11"/>
      <c r="L11" s="3">
        <v>0</v>
      </c>
      <c r="M11" s="3">
        <v>9.9999999999999978E-2</v>
      </c>
      <c r="N11" s="3">
        <v>0</v>
      </c>
      <c r="O11" s="137" t="s">
        <v>243</v>
      </c>
    </row>
    <row r="12" ht="15" customHeight="true">
      <c r="C12">
        <f t="shared" si="0"/>
        <v>11</v>
      </c>
      <c r="D12"/>
      <c r="E12" t="s">
        <v>181</v>
      </c>
      <c r="F12" s="3">
        <v>0</v>
      </c>
      <c r="G12" s="220">
        <v>1.4171229600906372</v>
      </c>
      <c r="H12" s="220">
        <v>90.099998474121094</v>
      </c>
      <c r="I12" s="222"/>
      <c r="J12"/>
      <c r="K12" s="257">
        <v>0.4</v>
      </c>
      <c r="L12" s="3">
        <v>0</v>
      </c>
      <c r="M12" s="3">
        <v>9.9999999999999978E-2</v>
      </c>
      <c r="N12" s="3">
        <v>0</v>
      </c>
      <c r="O12" t="s">
        <v>244</v>
      </c>
    </row>
    <row r="13" ht="15" customHeight="true">
      <c r="C13">
        <f t="shared" si="0"/>
        <v>12</v>
      </c>
      <c r="D13"/>
      <c r="E13" s="137" t="s">
        <v>224</v>
      </c>
      <c r="F13" s="3">
        <v>0</v>
      </c>
      <c r="G13" s="220">
        <v>4.1688446998596191</v>
      </c>
      <c r="H13" s="220">
        <v>19.827499389648438</v>
      </c>
      <c r="I13" s="222"/>
      <c r="J13"/>
      <c r="K13" s="257">
        <v>0.4</v>
      </c>
      <c r="L13" s="3">
        <v>0</v>
      </c>
      <c r="M13" s="3">
        <v>9.9999999999999978E-2</v>
      </c>
      <c r="N13" s="3">
        <v>0</v>
      </c>
      <c r="O13" s="137" t="s">
        <v>245</v>
      </c>
    </row>
    <row r="14" ht="15" customHeight="true">
      <c r="C14">
        <f t="shared" si="0"/>
        <v>13</v>
      </c>
      <c r="D14"/>
      <c r="E14" t="s">
        <v>182</v>
      </c>
      <c r="F14" s="3">
        <v>0</v>
      </c>
      <c r="G14" s="220">
        <v>9.1770124435424805</v>
      </c>
      <c r="H14" s="220">
        <v>2.4430000782012939</v>
      </c>
      <c r="I14" s="221">
        <v>12.109999656677246</v>
      </c>
      <c r="J14"/>
      <c r="K14"/>
      <c r="L14" s="3">
        <v>0</v>
      </c>
      <c r="M14" s="3">
        <v>0.19999999999999996</v>
      </c>
      <c r="N14" s="3">
        <v>0</v>
      </c>
      <c r="O14" t="s">
        <v>246</v>
      </c>
    </row>
    <row r="15" ht="15" customHeight="true">
      <c r="C15">
        <f t="shared" si="0"/>
        <v>14</v>
      </c>
      <c r="D15"/>
      <c r="E15" t="s">
        <v>183</v>
      </c>
      <c r="F15" s="3">
        <v>0</v>
      </c>
      <c r="G15" s="220">
        <v>7.178797721862793</v>
      </c>
      <c r="H15" s="220">
        <v>0.60000002384185791</v>
      </c>
      <c r="I15" s="221">
        <v>11</v>
      </c>
      <c r="J15"/>
      <c r="K15"/>
      <c r="L15" s="3">
        <v>0</v>
      </c>
      <c r="M15" s="3">
        <v>0.19999999999999996</v>
      </c>
      <c r="N15" s="3">
        <v>0</v>
      </c>
      <c r="O15" t="s">
        <v>247</v>
      </c>
    </row>
    <row r="16" ht="15" customHeight="true">
      <c r="C16">
        <f t="shared" si="0"/>
        <v>15</v>
      </c>
      <c r="D16"/>
      <c r="E16" t="s">
        <v>184</v>
      </c>
      <c r="F16" s="3">
        <v>0</v>
      </c>
      <c r="G16" s="220">
        <v>17.267030715942383</v>
      </c>
      <c r="H16" s="220">
        <v>0.80000001192092896</v>
      </c>
      <c r="I16" s="221">
        <v>1.8500000238418579</v>
      </c>
      <c r="J16"/>
      <c r="K16"/>
      <c r="L16" s="3">
        <v>0</v>
      </c>
      <c r="M16" s="3">
        <v>0.19999999999999996</v>
      </c>
      <c r="N16" s="3">
        <v>0</v>
      </c>
      <c r="O16" t="s">
        <v>248</v>
      </c>
    </row>
    <row r="17" ht="15" customHeight="true">
      <c r="C17">
        <f t="shared" si="0"/>
        <v>16</v>
      </c>
      <c r="D17"/>
      <c r="E17" t="s">
        <v>185</v>
      </c>
      <c r="F17" s="3">
        <v>0</v>
      </c>
      <c r="G17" s="223"/>
      <c r="H17" s="220">
        <v>0.85500001907348633</v>
      </c>
      <c r="I17" s="221">
        <v>12.920000076293945</v>
      </c>
      <c r="J17" s="256">
        <v>0.80000001192092896</v>
      </c>
      <c r="K17"/>
      <c r="L17" s="3">
        <v>0</v>
      </c>
      <c r="M17" s="3">
        <v>0.19999999999999996</v>
      </c>
      <c r="N17" s="3">
        <v>0</v>
      </c>
      <c r="O17" s="137" t="s">
        <v>249</v>
      </c>
      <c r="V17" s="82" t="s">
        <v>30</v>
      </c>
    </row>
    <row r="18" ht="15" customHeight="true">
      <c r="C18">
        <f t="shared" si="0"/>
        <v>17</v>
      </c>
      <c r="D18"/>
      <c r="E18" t="s">
        <v>186</v>
      </c>
      <c r="F18" s="3">
        <v>0</v>
      </c>
      <c r="G18" s="220">
        <v>10.844343185424805</v>
      </c>
      <c r="H18" s="220">
        <v>1.6000000238418579</v>
      </c>
      <c r="I18" s="221">
        <v>13.260000228881836</v>
      </c>
      <c r="J18"/>
      <c r="K18"/>
      <c r="L18" s="3">
        <v>0</v>
      </c>
      <c r="M18" s="3">
        <v>0.19999999999999996</v>
      </c>
      <c r="N18" s="3">
        <v>0</v>
      </c>
      <c r="O18" t="s">
        <v>250</v>
      </c>
      <c r="V18" s="82"/>
    </row>
    <row r="19" ht="15" customHeight="true">
      <c r="C19">
        <f t="shared" si="0"/>
        <v>18</v>
      </c>
      <c r="D19"/>
      <c r="E19" t="s">
        <v>187</v>
      </c>
      <c r="F19" s="3">
        <v>0</v>
      </c>
      <c r="G19" s="220">
        <v>8.7219915390014648</v>
      </c>
      <c r="H19" s="220">
        <v>2.0999999046325684</v>
      </c>
      <c r="I19" s="221">
        <v>13.640000343322754</v>
      </c>
      <c r="J19"/>
      <c r="K19"/>
      <c r="L19" s="3">
        <v>0</v>
      </c>
      <c r="M19" s="3">
        <v>0.19999999999999996</v>
      </c>
      <c r="N19" s="3">
        <v>0</v>
      </c>
      <c r="O19" t="s">
        <v>251</v>
      </c>
    </row>
    <row r="20" ht="15" customHeight="true" thickBot="true">
      <c r="C20">
        <f t="shared" si="0"/>
        <v>19</v>
      </c>
      <c r="D20"/>
      <c r="E20" t="s">
        <v>188</v>
      </c>
      <c r="F20" s="3">
        <v>0</v>
      </c>
      <c r="G20" s="220">
        <v>0.32159999012947083</v>
      </c>
      <c r="H20" s="220">
        <v>1.7999999523162842</v>
      </c>
      <c r="I20" s="221">
        <v>18.225299835205078</v>
      </c>
      <c r="J20"/>
      <c r="K20"/>
      <c r="L20" s="3">
        <v>0</v>
      </c>
      <c r="M20" s="3">
        <v>0.19999999999999996</v>
      </c>
      <c r="N20" s="3">
        <v>0</v>
      </c>
      <c r="O20" s="137" t="s">
        <v>252</v>
      </c>
    </row>
    <row r="21" ht="15" customHeight="true" thickBot="true">
      <c r="A21" s="86" t="s">
        <v>137</v>
      </c>
      <c r="B21" s="87"/>
      <c r="C21">
        <f t="shared" si="0"/>
        <v>20</v>
      </c>
      <c r="D21"/>
      <c r="E21" t="s">
        <v>189</v>
      </c>
      <c r="F21" s="3">
        <v>0</v>
      </c>
      <c r="G21" s="220">
        <v>0.23702399432659149</v>
      </c>
      <c r="H21" s="220">
        <v>0.34999999403953552</v>
      </c>
      <c r="I21" s="221">
        <v>3.6700000762939453</v>
      </c>
      <c r="J21"/>
      <c r="K21"/>
      <c r="L21" s="3">
        <v>0</v>
      </c>
      <c r="M21" s="3">
        <v>0.19999999999999996</v>
      </c>
      <c r="N21" s="3">
        <v>0</v>
      </c>
      <c r="O21" s="137" t="s">
        <v>253</v>
      </c>
    </row>
    <row r="22" ht="15" customHeight="true">
      <c r="A22" s="88" t="s">
        <v>58</v>
      </c>
      <c r="B22" s="89">
        <v>0</v>
      </c>
      <c r="C22">
        <f t="shared" si="0"/>
        <v>21</v>
      </c>
      <c r="D22"/>
      <c r="E22" t="s">
        <v>190</v>
      </c>
      <c r="F22" s="3">
        <v>0</v>
      </c>
      <c r="G22" s="220">
        <v>5.1344960927963257E-2</v>
      </c>
      <c r="H22" s="220">
        <v>0.56999999284744263</v>
      </c>
      <c r="I22" s="221">
        <v>4.9499998092651367</v>
      </c>
      <c r="J22"/>
      <c r="K22"/>
      <c r="L22" s="3">
        <v>0</v>
      </c>
      <c r="M22" s="3">
        <v>0.19999999999999996</v>
      </c>
      <c r="N22" s="3">
        <v>0</v>
      </c>
      <c r="O22" t="s">
        <v>254</v>
      </c>
    </row>
    <row r="23" ht="15" customHeight="true">
      <c r="A23" s="88" t="s">
        <v>59</v>
      </c>
      <c r="B23" s="89">
        <v>1</v>
      </c>
      <c r="C23">
        <f t="shared" si="0"/>
        <v>22</v>
      </c>
      <c r="D23"/>
      <c r="E23" t="s">
        <v>191</v>
      </c>
      <c r="F23" s="3">
        <v>0</v>
      </c>
      <c r="G23" s="220">
        <v>0.3618634045124054</v>
      </c>
      <c r="H23" s="220">
        <v>0.37999999523162842</v>
      </c>
      <c r="I23" s="221">
        <v>7.8400001525878906</v>
      </c>
      <c r="J23"/>
      <c r="K23"/>
      <c r="L23" s="3">
        <v>0</v>
      </c>
      <c r="M23" s="3">
        <v>0.19999999999999996</v>
      </c>
      <c r="N23" s="3">
        <v>0</v>
      </c>
      <c r="O23" s="137" t="s">
        <v>255</v>
      </c>
    </row>
    <row r="24" ht="15" customHeight="true">
      <c r="A24" s="88" t="s">
        <v>60</v>
      </c>
      <c r="B24" s="89">
        <v>2</v>
      </c>
      <c r="C24">
        <f t="shared" si="0"/>
        <v>23</v>
      </c>
      <c r="D24"/>
      <c r="E24" t="s">
        <v>192</v>
      </c>
      <c r="F24" s="3">
        <v>0</v>
      </c>
      <c r="G24" s="223"/>
      <c r="H24" s="220">
        <v>0.87000000476837158</v>
      </c>
      <c r="I24" s="221">
        <v>11.710000038146973</v>
      </c>
      <c r="J24" s="256">
        <v>0.80000007152557373</v>
      </c>
      <c r="K24"/>
      <c r="L24" s="3">
        <v>0</v>
      </c>
      <c r="M24" s="3">
        <v>0.19999999999999996</v>
      </c>
      <c r="N24" s="3">
        <v>0</v>
      </c>
      <c r="O24"/>
    </row>
    <row r="25" ht="15" customHeight="true" thickBot="true">
      <c r="A25" s="90" t="s">
        <v>44</v>
      </c>
      <c r="B25" s="91">
        <v>3</v>
      </c>
      <c r="C25">
        <f t="shared" si="0"/>
        <v>24</v>
      </c>
      <c r="D25"/>
      <c r="E25" s="137" t="s">
        <v>225</v>
      </c>
      <c r="F25" s="3">
        <v>0</v>
      </c>
      <c r="G25" s="220">
        <v>0.31892943382263184</v>
      </c>
      <c r="H25" s="220">
        <v>2.4500000476837158</v>
      </c>
      <c r="I25" s="221">
        <v>4.5199999809265137</v>
      </c>
      <c r="J25"/>
      <c r="K25"/>
      <c r="L25" s="3">
        <v>0</v>
      </c>
      <c r="M25" s="3">
        <v>0.19999999999999996</v>
      </c>
      <c r="N25" s="3">
        <v>0</v>
      </c>
      <c r="O25" t="s">
        <v>256</v>
      </c>
    </row>
    <row r="26" ht="15" customHeight="true">
      <c r="A26" s="92" t="s">
        <v>139</v>
      </c>
      <c r="C26">
        <f t="shared" si="0"/>
        <v>25</v>
      </c>
      <c r="D26"/>
      <c r="E26" s="137" t="s">
        <v>226</v>
      </c>
      <c r="F26" s="3">
        <v>0</v>
      </c>
      <c r="G26" s="223"/>
      <c r="H26" s="220">
        <v>0.77499997615814209</v>
      </c>
      <c r="I26" s="221">
        <v>9.4600000381469727</v>
      </c>
      <c r="J26" s="256">
        <v>0.99000000953674316</v>
      </c>
      <c r="K26"/>
      <c r="L26" s="3">
        <v>0</v>
      </c>
      <c r="M26" s="3">
        <v>0.19999999999999996</v>
      </c>
      <c r="N26" s="3">
        <v>0</v>
      </c>
      <c r="O26" s="137" t="s">
        <v>257</v>
      </c>
    </row>
    <row r="27" ht="15" customHeight="true">
      <c r="C27">
        <f t="shared" si="0"/>
        <v>26</v>
      </c>
      <c r="D27"/>
      <c r="E27" s="137" t="s">
        <v>227</v>
      </c>
      <c r="F27" s="3">
        <v>0</v>
      </c>
      <c r="G27" s="220">
        <v>0.14571943879127502</v>
      </c>
      <c r="H27" s="220">
        <v>0.43000000715255737</v>
      </c>
      <c r="I27" s="221">
        <v>2.4800000190734863</v>
      </c>
      <c r="J27"/>
      <c r="K27"/>
      <c r="L27" s="3">
        <v>0</v>
      </c>
      <c r="M27" s="3">
        <v>0.19999999999999996</v>
      </c>
      <c r="N27" s="3">
        <v>0</v>
      </c>
      <c r="O27" s="137" t="s">
        <v>258</v>
      </c>
    </row>
    <row r="28" ht="15" customHeight="true">
      <c r="C28">
        <f t="shared" si="0"/>
        <v>27</v>
      </c>
      <c r="D28"/>
      <c r="E28" s="137" t="s">
        <v>228</v>
      </c>
      <c r="F28" s="3">
        <v>0</v>
      </c>
      <c r="G28" s="220">
        <v>1.3542665243148804</v>
      </c>
      <c r="H28" s="220">
        <v>1.0399999618530273</v>
      </c>
      <c r="I28" s="221">
        <v>4.6999998092651367</v>
      </c>
      <c r="J28"/>
      <c r="K28"/>
      <c r="L28" s="3">
        <v>0</v>
      </c>
      <c r="M28" s="3">
        <v>0.19999999999999996</v>
      </c>
      <c r="N28" s="3">
        <v>0</v>
      </c>
      <c r="O28" s="137" t="s">
        <v>259</v>
      </c>
    </row>
    <row r="29" ht="15" customHeight="true">
      <c r="C29">
        <f t="shared" si="0"/>
        <v>28</v>
      </c>
      <c r="D29"/>
      <c r="E29" t="s">
        <v>197</v>
      </c>
      <c r="F29" s="3">
        <v>0</v>
      </c>
      <c r="G29" s="220">
        <v>7.2448002174496651E-4</v>
      </c>
      <c r="H29" s="220">
        <v>0.43000000715255737</v>
      </c>
      <c r="I29" s="221">
        <v>2.4800000190734863</v>
      </c>
      <c r="J29"/>
      <c r="K29"/>
      <c r="L29" s="3">
        <v>0</v>
      </c>
      <c r="M29" s="3">
        <v>0.19999999999999996</v>
      </c>
      <c r="N29" s="3">
        <v>0</v>
      </c>
      <c r="O29" t="s">
        <v>260</v>
      </c>
    </row>
    <row r="30" ht="15" customHeight="true">
      <c r="C30">
        <f t="shared" si="0"/>
        <v>29</v>
      </c>
      <c r="D30"/>
      <c r="E30" t="s">
        <v>198</v>
      </c>
      <c r="F30" s="3">
        <v>0</v>
      </c>
      <c r="G30" s="220">
        <v>0.92208057641983032</v>
      </c>
      <c r="H30" s="220">
        <v>2.4500000476837158</v>
      </c>
      <c r="I30" s="221">
        <v>9.6700000762939453</v>
      </c>
      <c r="J30"/>
      <c r="K30"/>
      <c r="L30" s="3">
        <v>0</v>
      </c>
      <c r="M30" s="3">
        <v>0.19999999999999996</v>
      </c>
      <c r="N30" s="3">
        <v>0</v>
      </c>
      <c r="O30" t="s">
        <v>261</v>
      </c>
    </row>
    <row r="31" ht="15" customHeight="true">
      <c r="C31">
        <f t="shared" si="0"/>
        <v>30</v>
      </c>
      <c r="D31"/>
      <c r="E31" t="s">
        <v>199</v>
      </c>
      <c r="F31" s="3">
        <v>0</v>
      </c>
      <c r="G31" s="220">
        <v>0.54690420627593994</v>
      </c>
      <c r="H31" s="220">
        <v>0.40000000596046448</v>
      </c>
      <c r="I31" s="221">
        <v>10.210000038146973</v>
      </c>
      <c r="J31"/>
      <c r="K31"/>
      <c r="L31" s="3">
        <v>0</v>
      </c>
      <c r="M31" s="3">
        <v>0.19999999999999996</v>
      </c>
      <c r="N31" s="3">
        <v>0</v>
      </c>
      <c r="O31" t="s">
        <v>262</v>
      </c>
    </row>
    <row r="32" ht="15" customHeight="true">
      <c r="C32">
        <f t="shared" si="0"/>
        <v>31</v>
      </c>
      <c r="D32"/>
      <c r="E32" s="137" t="s">
        <v>229</v>
      </c>
      <c r="F32" s="3">
        <v>0</v>
      </c>
      <c r="G32" s="220">
        <v>17.775260925292969</v>
      </c>
      <c r="H32" s="220">
        <v>2.5999999046325684</v>
      </c>
      <c r="I32" s="221">
        <v>25.540000915527344</v>
      </c>
      <c r="J32"/>
      <c r="K32"/>
      <c r="L32" s="3">
        <v>0</v>
      </c>
      <c r="M32" s="3">
        <v>0.19999999999999996</v>
      </c>
      <c r="N32" s="3">
        <v>0</v>
      </c>
      <c r="O32" s="137" t="s">
        <v>263</v>
      </c>
    </row>
    <row r="33" ht="15" customHeight="true">
      <c r="C33">
        <f t="shared" si="0"/>
        <v>32</v>
      </c>
      <c r="D33"/>
      <c r="E33" s="137" t="s">
        <v>230</v>
      </c>
      <c r="F33" s="3">
        <v>0</v>
      </c>
      <c r="G33" s="220">
        <v>10.369647026062012</v>
      </c>
      <c r="H33" s="220">
        <v>0.69999998807907104</v>
      </c>
      <c r="I33" s="221">
        <v>5.4000000953674316</v>
      </c>
      <c r="J33"/>
      <c r="K33"/>
      <c r="L33" s="3">
        <v>0</v>
      </c>
      <c r="M33" s="3">
        <v>0.19999999999999996</v>
      </c>
      <c r="N33" s="3">
        <v>0</v>
      </c>
      <c r="O33" s="137" t="s">
        <v>264</v>
      </c>
    </row>
    <row r="34" ht="15" customHeight="true">
      <c r="C34">
        <f t="shared" si="0"/>
        <v>33</v>
      </c>
      <c r="D34"/>
      <c r="E34" s="137" t="s">
        <v>231</v>
      </c>
      <c r="F34" s="3">
        <v>0</v>
      </c>
      <c r="G34" s="220">
        <v>83.09423828125</v>
      </c>
      <c r="H34" s="220">
        <v>1.5800000429153442</v>
      </c>
      <c r="I34" s="221">
        <v>5.4099998474121094</v>
      </c>
      <c r="J34"/>
      <c r="K34"/>
      <c r="L34" s="3">
        <v>0</v>
      </c>
      <c r="M34" s="3">
        <v>0.19999999999999996</v>
      </c>
      <c r="N34" s="3">
        <v>0</v>
      </c>
      <c r="O34" s="137" t="s">
        <v>265</v>
      </c>
    </row>
    <row r="35" ht="15" customHeight="true">
      <c r="C35">
        <f t="shared" si="0"/>
        <v>34</v>
      </c>
      <c r="D35"/>
      <c r="E35" s="137" t="s">
        <v>232</v>
      </c>
      <c r="F35" s="3">
        <v>0</v>
      </c>
      <c r="G35" s="266">
        <v>0.6</v>
      </c>
      <c r="H35" s="220">
        <v>1.5800000429153442</v>
      </c>
      <c r="I35" s="221">
        <v>3.6700000762939453</v>
      </c>
      <c r="J35"/>
      <c r="K35"/>
      <c r="L35" s="3">
        <v>0</v>
      </c>
      <c r="M35" s="3">
        <v>0.19999999999999996</v>
      </c>
      <c r="N35" s="3">
        <v>0</v>
      </c>
      <c r="O35" s="137" t="s">
        <v>266</v>
      </c>
    </row>
    <row r="36" ht="15" customHeight="true">
      <c r="C36">
        <f t="shared" si="0"/>
        <v>35</v>
      </c>
      <c r="D36"/>
      <c r="E36" s="137" t="s">
        <v>233</v>
      </c>
      <c r="F36" s="3">
        <v>0</v>
      </c>
      <c r="G36" s="220">
        <v>4.1040782928466797</v>
      </c>
      <c r="H36" s="220">
        <v>4.3000001907348633</v>
      </c>
      <c r="I36" s="221">
        <v>10</v>
      </c>
      <c r="J36"/>
      <c r="K36"/>
      <c r="L36" s="3">
        <v>0</v>
      </c>
      <c r="M36" s="3">
        <v>0.19999999999999996</v>
      </c>
      <c r="N36" s="3">
        <v>0</v>
      </c>
      <c r="O36" s="141" t="s">
        <v>267</v>
      </c>
    </row>
    <row r="37" ht="15" customHeight="true">
      <c r="C37">
        <f t="shared" si="0"/>
        <v>36</v>
      </c>
      <c r="D37"/>
      <c r="E37" t="s">
        <v>205</v>
      </c>
      <c r="F37" s="3">
        <v>0</v>
      </c>
      <c r="G37" s="220">
        <v>1.9287047386169434</v>
      </c>
      <c r="H37" s="220">
        <v>2.4000000953674316</v>
      </c>
      <c r="I37" s="221">
        <v>8.5</v>
      </c>
      <c r="J37"/>
      <c r="K37"/>
      <c r="L37" s="3">
        <v>0</v>
      </c>
      <c r="M37" s="3">
        <v>0.19999999999999996</v>
      </c>
      <c r="N37" s="3">
        <v>0</v>
      </c>
      <c r="O37" s="137" t="s">
        <v>268</v>
      </c>
    </row>
    <row r="38" ht="15" customHeight="true">
      <c r="C38">
        <f t="shared" si="0"/>
        <v>37</v>
      </c>
      <c r="D38"/>
      <c r="E38" t="s">
        <v>206</v>
      </c>
      <c r="F38" s="3">
        <v>0</v>
      </c>
      <c r="G38" s="222"/>
      <c r="H38" s="220">
        <v>0.80000001192092896</v>
      </c>
      <c r="I38" s="221">
        <v>9</v>
      </c>
      <c r="J38" s="256">
        <v>0.80000007152557373</v>
      </c>
      <c r="K38"/>
      <c r="L38" s="3">
        <v>0</v>
      </c>
      <c r="M38" s="3">
        <v>0.6</v>
      </c>
      <c r="N38" s="3">
        <v>0</v>
      </c>
      <c r="O38" s="137" t="s">
        <v>269</v>
      </c>
    </row>
    <row r="39" ht="15" customHeight="true">
      <c r="C39">
        <f t="shared" si="0"/>
        <v>38</v>
      </c>
      <c r="D39"/>
      <c r="E39" t="s">
        <v>207</v>
      </c>
      <c r="F39" s="3">
        <v>0</v>
      </c>
      <c r="G39" s="223"/>
      <c r="H39" s="220">
        <v>12.5</v>
      </c>
      <c r="I39" s="222"/>
      <c r="J39" s="256">
        <v>0.79999995231628418</v>
      </c>
      <c r="K39" s="257">
        <v>0.5</v>
      </c>
      <c r="L39" s="3">
        <v>0</v>
      </c>
      <c r="M39" s="3">
        <v>0.5</v>
      </c>
      <c r="N39" s="3">
        <v>0</v>
      </c>
      <c r="O39" s="137" t="s">
        <v>270</v>
      </c>
    </row>
    <row r="40" ht="15" customHeight="true">
      <c r="C40">
        <f t="shared" si="0"/>
        <v>39</v>
      </c>
      <c r="D40"/>
      <c r="E40" t="s">
        <v>208</v>
      </c>
      <c r="F40" s="3">
        <v>0</v>
      </c>
      <c r="G40" s="220">
        <v>36.4910888671875</v>
      </c>
      <c r="H40" s="220">
        <v>2.2999999523162842</v>
      </c>
      <c r="I40" s="221">
        <v>23</v>
      </c>
      <c r="J40"/>
      <c r="K40"/>
      <c r="L40" s="3">
        <v>0</v>
      </c>
      <c r="M40" s="3">
        <v>0.5</v>
      </c>
      <c r="N40" s="3">
        <v>0</v>
      </c>
      <c r="O40" s="137" t="s">
        <v>271</v>
      </c>
    </row>
    <row r="41" ht="15" customHeight="true">
      <c r="C41">
        <f t="shared" si="0"/>
        <v>40</v>
      </c>
      <c r="D41"/>
      <c r="E41" t="s">
        <v>209</v>
      </c>
      <c r="F41" s="3">
        <v>0</v>
      </c>
      <c r="G41" s="220">
        <v>38.472000122070312</v>
      </c>
      <c r="H41" s="220">
        <v>6.4000000953674316</v>
      </c>
      <c r="I41" s="221">
        <v>7.4320001602172852</v>
      </c>
      <c r="J41"/>
      <c r="K41"/>
      <c r="L41" s="3">
        <v>0</v>
      </c>
      <c r="M41" s="3">
        <v>0.13</v>
      </c>
      <c r="N41" s="3">
        <v>0</v>
      </c>
      <c r="O41" s="137" t="s">
        <v>272</v>
      </c>
    </row>
    <row r="42" ht="15" customHeight="true">
      <c r="C42">
        <f t="shared" si="0"/>
        <v>41</v>
      </c>
      <c r="D42"/>
      <c r="E42" t="s">
        <v>210</v>
      </c>
      <c r="F42" s="3">
        <v>0</v>
      </c>
      <c r="G42" s="220">
        <v>8.609999786131084E-4</v>
      </c>
      <c r="H42" s="220">
        <v>5.4000000953674316</v>
      </c>
      <c r="I42" s="221">
        <v>80</v>
      </c>
      <c r="J42"/>
      <c r="K42"/>
      <c r="L42" s="3">
        <v>0</v>
      </c>
      <c r="M42" s="3">
        <v>0.19999999999999996</v>
      </c>
      <c r="N42" s="3">
        <v>0</v>
      </c>
      <c r="O42" t="s">
        <v>273</v>
      </c>
    </row>
    <row r="43" ht="15" customHeight="true">
      <c r="C43">
        <f t="shared" si="0"/>
        <v>42</v>
      </c>
      <c r="D43"/>
      <c r="E43" t="s">
        <v>211</v>
      </c>
      <c r="F43" s="3">
        <v>0</v>
      </c>
      <c r="G43" s="220">
        <v>4.216466550133191E-5</v>
      </c>
      <c r="H43" s="220">
        <v>5.4000000953674316</v>
      </c>
      <c r="I43" s="221">
        <v>80</v>
      </c>
      <c r="J43"/>
      <c r="K43"/>
      <c r="L43" s="3">
        <v>0</v>
      </c>
      <c r="M43" s="3">
        <v>0.19999999999999996</v>
      </c>
      <c r="N43" s="3">
        <v>0</v>
      </c>
      <c r="O43" t="s">
        <v>273</v>
      </c>
    </row>
    <row r="44" ht="15" customHeight="true">
      <c r="C44">
        <f t="shared" si="0"/>
        <v>43</v>
      </c>
      <c r="D44"/>
      <c r="E44" t="s">
        <v>212</v>
      </c>
      <c r="F44" s="3">
        <v>0</v>
      </c>
      <c r="G44" s="220">
        <v>1.9600000086938962E-5</v>
      </c>
      <c r="H44" s="220">
        <v>5.4000000953674316</v>
      </c>
      <c r="I44" s="221">
        <v>80</v>
      </c>
      <c r="J44"/>
      <c r="K44"/>
      <c r="L44" s="3">
        <v>0</v>
      </c>
      <c r="M44" s="3">
        <v>0.19999999999999996</v>
      </c>
      <c r="N44" s="3">
        <v>0</v>
      </c>
      <c r="O44" t="s">
        <v>273</v>
      </c>
    </row>
    <row r="45" ht="15" customHeight="true">
      <c r="C45">
        <f t="shared" si="0"/>
        <v>44</v>
      </c>
      <c r="D45"/>
      <c r="E45" t="s">
        <v>213</v>
      </c>
      <c r="F45" s="3">
        <v>0</v>
      </c>
      <c r="G45" s="220">
        <v>2.0046918652951717E-3</v>
      </c>
      <c r="H45" s="220">
        <v>0.19200000166893005</v>
      </c>
      <c r="I45" s="221">
        <v>3.5</v>
      </c>
      <c r="J45"/>
      <c r="K45"/>
      <c r="L45" s="3">
        <v>0</v>
      </c>
      <c r="M45" s="3">
        <v>0.19999999999999996</v>
      </c>
      <c r="N45" s="3">
        <v>0</v>
      </c>
      <c r="O45" t="s">
        <v>274</v>
      </c>
    </row>
    <row r="46" ht="15" customHeight="true">
      <c r="C46">
        <f t="shared" si="0"/>
        <v>45</v>
      </c>
      <c r="D46"/>
      <c r="E46" t="s">
        <v>214</v>
      </c>
      <c r="F46" s="3">
        <v>0</v>
      </c>
      <c r="G46" s="220">
        <v>9.8629592685028911E-5</v>
      </c>
      <c r="H46" s="220">
        <v>0.19200000166893005</v>
      </c>
      <c r="I46" s="221">
        <v>3.5</v>
      </c>
      <c r="J46"/>
      <c r="K46"/>
      <c r="L46" s="3">
        <v>0</v>
      </c>
      <c r="M46" s="3">
        <v>0.19999999999999996</v>
      </c>
      <c r="N46" s="3">
        <v>0</v>
      </c>
      <c r="O46" t="s">
        <v>274</v>
      </c>
    </row>
    <row r="47" ht="15" customHeight="true">
      <c r="C47">
        <f t="shared" si="0"/>
        <v>46</v>
      </c>
      <c r="D47"/>
      <c r="E47" s="137" t="s">
        <v>304</v>
      </c>
      <c r="F47" s="3">
        <v>0</v>
      </c>
      <c r="G47" s="220">
        <v>6.8774999817833304E-5</v>
      </c>
      <c r="H47" s="220">
        <v>0.19200000166893005</v>
      </c>
      <c r="I47" s="221">
        <v>3.5</v>
      </c>
      <c r="J47"/>
      <c r="K47"/>
      <c r="L47" s="3">
        <v>0</v>
      </c>
      <c r="M47" s="3">
        <v>0.19999999999999996</v>
      </c>
      <c r="N47" s="3">
        <v>0</v>
      </c>
      <c r="O47" t="s">
        <v>274</v>
      </c>
    </row>
    <row r="48" ht="15" customHeight="true">
      <c r="C48">
        <f t="shared" si="0"/>
        <v>47</v>
      </c>
      <c r="D48"/>
      <c r="E48" t="s">
        <v>215</v>
      </c>
      <c r="F48" s="3">
        <v>0</v>
      </c>
      <c r="G48" s="220">
        <v>7.6199998147785664E-4</v>
      </c>
      <c r="H48" s="220">
        <v>0.19200000166893005</v>
      </c>
      <c r="I48" s="221">
        <v>3.5</v>
      </c>
      <c r="J48"/>
      <c r="K48"/>
      <c r="L48" s="3">
        <v>0</v>
      </c>
      <c r="M48" s="3">
        <v>0.19999999999999996</v>
      </c>
      <c r="N48" s="3">
        <v>0</v>
      </c>
      <c r="O48" t="s">
        <v>274</v>
      </c>
    </row>
    <row r="49" ht="15" customHeight="true">
      <c r="C49">
        <f t="shared" si="0"/>
        <v>48</v>
      </c>
      <c r="D49"/>
      <c r="E49" t="s">
        <v>216</v>
      </c>
      <c r="F49" s="3">
        <v>0</v>
      </c>
      <c r="G49" s="220">
        <v>4.0699560195207596E-2</v>
      </c>
      <c r="H49" s="220">
        <v>0.10000000149011612</v>
      </c>
      <c r="I49" s="221">
        <v>24.979999542236328</v>
      </c>
      <c r="J49"/>
      <c r="K49"/>
      <c r="L49" s="3">
        <v>0</v>
      </c>
      <c r="M49" s="3">
        <v>0.19999999999999996</v>
      </c>
      <c r="N49" s="3">
        <v>0</v>
      </c>
      <c r="O49" t="s">
        <v>275</v>
      </c>
    </row>
    <row r="50" ht="15" customHeight="true">
      <c r="C50">
        <f t="shared" si="0"/>
        <v>49</v>
      </c>
      <c r="D50"/>
      <c r="E50" t="s">
        <v>217</v>
      </c>
      <c r="F50" s="3">
        <v>0</v>
      </c>
      <c r="G50" s="220">
        <v>8.7754358537495136E-4</v>
      </c>
      <c r="H50" s="220">
        <v>4.6999998390674591E-2</v>
      </c>
      <c r="I50" s="221">
        <v>6.6090002059936523</v>
      </c>
      <c r="J50"/>
      <c r="K50"/>
      <c r="L50" s="3">
        <v>0</v>
      </c>
      <c r="M50" s="3">
        <v>0.19999999999999996</v>
      </c>
      <c r="N50" s="3">
        <v>0</v>
      </c>
      <c r="O50" t="s">
        <v>276</v>
      </c>
    </row>
    <row r="51" ht="15" customHeight="true">
      <c r="C51">
        <f t="shared" si="0"/>
        <v>50</v>
      </c>
      <c r="D51"/>
      <c r="E51" t="s">
        <v>218</v>
      </c>
      <c r="F51" s="3">
        <v>0</v>
      </c>
      <c r="G51" s="220">
        <v>3.3884374715853482E-5</v>
      </c>
      <c r="H51" s="220">
        <v>3.7999998778104782E-2</v>
      </c>
      <c r="I51" s="221">
        <v>7.570000171661377</v>
      </c>
      <c r="J51"/>
      <c r="K51"/>
      <c r="L51" s="3">
        <v>0</v>
      </c>
      <c r="M51" s="3">
        <v>0.19999999999999996</v>
      </c>
      <c r="N51" s="3">
        <v>0</v>
      </c>
      <c r="O51" t="s">
        <v>277</v>
      </c>
    </row>
    <row r="52" ht="15" customHeight="true">
      <c r="C52">
        <f t="shared" si="0"/>
        <v>51</v>
      </c>
      <c r="D52"/>
      <c r="E52" t="s">
        <v>72</v>
      </c>
      <c r="F52" s="3">
        <v>2</v>
      </c>
      <c r="G52" s="220">
        <v>5</v>
      </c>
      <c r="H52" s="3"/>
      <c r="I52" s="3"/>
      <c r="J52"/>
      <c r="K52"/>
      <c r="L52" s="3">
        <v>0</v>
      </c>
      <c r="M52" s="3">
        <v>0</v>
      </c>
      <c r="N52" s="3">
        <v>0</v>
      </c>
      <c r="O52" t="s">
        <v>278</v>
      </c>
    </row>
    <row r="53" ht="15" customHeight="true">
      <c r="C53">
        <f t="shared" si="0"/>
        <v>52</v>
      </c>
      <c r="D53"/>
      <c r="E53" t="s">
        <v>219</v>
      </c>
      <c r="F53" s="3">
        <v>2</v>
      </c>
      <c r="G53" s="220">
        <v>1.9779600203037262E-2</v>
      </c>
      <c r="H53" s="3"/>
      <c r="I53" s="3"/>
      <c r="J53"/>
      <c r="K53"/>
      <c r="L53" s="3">
        <v>0</v>
      </c>
      <c r="M53" s="3">
        <v>0</v>
      </c>
      <c r="N53" s="3">
        <v>0</v>
      </c>
      <c r="O53" t="s">
        <v>278</v>
      </c>
    </row>
    <row r="54" ht="15" customHeight="true">
      <c r="C54">
        <f>C53+1</f>
        <v>53</v>
      </c>
      <c r="D54"/>
      <c r="E54" t="s">
        <v>71</v>
      </c>
      <c r="F54" s="3">
        <v>2</v>
      </c>
      <c r="G54" s="220">
        <v>5.000000074505806E-2</v>
      </c>
      <c r="H54" s="3"/>
      <c r="I54" s="3"/>
      <c r="J54"/>
      <c r="K54"/>
      <c r="L54" s="3">
        <v>0</v>
      </c>
      <c r="M54" s="3">
        <v>0</v>
      </c>
      <c r="N54" s="3">
        <v>0</v>
      </c>
      <c r="O54" t="s">
        <v>279</v>
      </c>
    </row>
    <row r="55" ht="15" customHeight="true">
      <c r="C55">
        <f>C54+1</f>
        <v>54</v>
      </c>
      <c r="D55"/>
      <c r="E55" t="s">
        <v>73</v>
      </c>
      <c r="F55" s="3">
        <v>2</v>
      </c>
      <c r="G55" s="221">
        <v>15</v>
      </c>
      <c r="H55" s="3"/>
      <c r="I55" s="3"/>
      <c r="J55"/>
      <c r="K55"/>
      <c r="L55" s="3">
        <v>0</v>
      </c>
      <c r="M55" s="3">
        <v>0</v>
      </c>
      <c r="N55" s="3">
        <v>0</v>
      </c>
      <c r="O55" t="s">
        <v>278</v>
      </c>
    </row>
    <row r="56" ht="15" customHeight="true">
      <c r="C56">
        <f>C55+1</f>
        <v>55</v>
      </c>
      <c r="D56"/>
      <c r="E56" s="137" t="s">
        <v>280</v>
      </c>
      <c r="F56">
        <v>3</v>
      </c>
      <c r="G56" s="138"/>
      <c r="H56"/>
      <c r="I56"/>
      <c r="J56"/>
      <c r="K56"/>
      <c r="L56"/>
      <c r="M56"/>
      <c r="N56"/>
      <c r="O56"/>
    </row>
    <row r="57" ht="15" customHeight="true">
      <c r="C57">
        <v>56</v>
      </c>
      <c r="D57"/>
      <c r="E57" t="s">
        <v>281</v>
      </c>
      <c r="F57">
        <v>3</v>
      </c>
      <c r="G57" s="138"/>
      <c r="H57"/>
      <c r="I57"/>
      <c r="J57"/>
      <c r="K57"/>
      <c r="L57"/>
      <c r="M57"/>
      <c r="N57"/>
      <c r="O57"/>
    </row>
    <row r="58" ht="15" customHeight="true">
      <c r="C58"/>
      <c r="D58"/>
      <c r="E58"/>
      <c r="F58"/>
      <c r="G58" s="138"/>
      <c r="H58"/>
      <c r="I58"/>
      <c r="J58"/>
      <c r="K58"/>
      <c r="L58"/>
      <c r="M58"/>
      <c r="N58"/>
      <c r="O58"/>
    </row>
    <row r="59" ht="15" customHeight="true">
      <c r="C59"/>
      <c r="D59"/>
      <c r="E59"/>
      <c r="F59"/>
      <c r="G59" s="138"/>
      <c r="H59"/>
      <c r="I59"/>
      <c r="J59"/>
      <c r="K59"/>
      <c r="L59"/>
      <c r="M59"/>
      <c r="N59"/>
      <c r="O59"/>
    </row>
    <row r="60" ht="15" customHeight="true">
      <c r="C60"/>
      <c r="D60"/>
      <c r="E60"/>
      <c r="F60"/>
      <c r="G60"/>
      <c r="H60"/>
      <c r="I60"/>
      <c r="J60"/>
      <c r="K60"/>
      <c r="L60"/>
      <c r="M60"/>
      <c r="N60"/>
      <c r="O60"/>
    </row>
    <row r="61" ht="15" customHeight="true">
      <c r="C61"/>
      <c r="D61"/>
      <c r="E61"/>
      <c r="F61"/>
      <c r="G61"/>
      <c r="H61"/>
      <c r="I61"/>
      <c r="J61"/>
      <c r="K61"/>
      <c r="L61"/>
      <c r="M61"/>
      <c r="N61"/>
      <c r="O61"/>
    </row>
    <row r="62" ht="15" customHeight="true">
      <c r="C62"/>
      <c r="D62"/>
      <c r="E62"/>
      <c r="F62"/>
      <c r="G62"/>
      <c r="H62"/>
      <c r="I62"/>
      <c r="J62"/>
      <c r="K62"/>
      <c r="L62"/>
      <c r="M62"/>
      <c r="N62"/>
      <c r="O62"/>
    </row>
    <row r="63" ht="15" customHeight="true">
      <c r="C63"/>
      <c r="D63"/>
      <c r="E63"/>
      <c r="F63"/>
      <c r="G63"/>
      <c r="H63"/>
      <c r="I63"/>
      <c r="J63"/>
      <c r="K63"/>
      <c r="L63"/>
      <c r="M63"/>
      <c r="N63"/>
      <c r="O63"/>
    </row>
    <row r="64" ht="15" customHeight="true">
      <c r="C64"/>
      <c r="D64"/>
      <c r="E64"/>
      <c r="F64"/>
      <c r="G64"/>
      <c r="H64"/>
      <c r="I64"/>
      <c r="J64"/>
      <c r="K64"/>
      <c r="L64"/>
      <c r="M64"/>
      <c r="N64"/>
      <c r="O64"/>
    </row>
    <row r="65" ht="15" customHeight="true">
      <c r="C65"/>
      <c r="D65"/>
      <c r="E65"/>
      <c r="F65"/>
      <c r="G65"/>
      <c r="H65"/>
      <c r="I65"/>
      <c r="J65"/>
      <c r="K65"/>
      <c r="L65"/>
      <c r="M65"/>
      <c r="N65"/>
      <c r="O65"/>
    </row>
    <row r="66" ht="15" customHeight="true">
      <c r="C66"/>
      <c r="D66"/>
      <c r="E66"/>
      <c r="F66"/>
      <c r="G66"/>
      <c r="H66"/>
      <c r="I66"/>
      <c r="J66"/>
      <c r="K66"/>
      <c r="L66"/>
      <c r="M66"/>
      <c r="N66"/>
      <c r="O66"/>
    </row>
    <row r="67" ht="15" customHeight="true">
      <c r="C67"/>
      <c r="D67"/>
      <c r="E67"/>
      <c r="F67"/>
      <c r="G67"/>
      <c r="H67"/>
      <c r="I67"/>
      <c r="J67"/>
      <c r="K67"/>
      <c r="L67"/>
      <c r="M67"/>
      <c r="N67"/>
      <c r="O67"/>
    </row>
    <row r="68" ht="15" customHeight="true">
      <c r="C68"/>
      <c r="D68"/>
      <c r="E68" s="137" t="s">
        <v>302</v>
      </c>
      <c r="F68"/>
      <c r="G68"/>
      <c r="H68"/>
      <c r="I68"/>
      <c r="J68"/>
      <c r="K68"/>
      <c r="L68"/>
      <c r="M68"/>
      <c r="N68"/>
      <c r="O68"/>
    </row>
    <row r="69" ht="15" customHeight="true">
      <c r="C69"/>
      <c r="D69"/>
      <c r="E69"/>
      <c r="F69" s="137" t="s">
        <v>303</v>
      </c>
      <c r="G69"/>
      <c r="H69"/>
      <c r="I69"/>
      <c r="J69"/>
      <c r="K69"/>
      <c r="L69"/>
      <c r="M69"/>
      <c r="N69"/>
      <c r="O69"/>
    </row>
    <row r="70" ht="15" customHeight="true">
      <c r="C70"/>
      <c r="D70"/>
      <c r="E70"/>
      <c r="F70"/>
      <c r="G70"/>
      <c r="H70"/>
      <c r="I70"/>
      <c r="J70"/>
      <c r="K70"/>
      <c r="L70"/>
      <c r="M70"/>
      <c r="N70"/>
      <c r="O70"/>
    </row>
    <row r="71" ht="15" customHeight="true">
      <c r="C71"/>
      <c r="D71"/>
      <c r="E71"/>
      <c r="F71"/>
      <c r="G71"/>
      <c r="H71"/>
      <c r="I71"/>
      <c r="J71"/>
      <c r="K71"/>
      <c r="L71"/>
      <c r="M71"/>
      <c r="N71"/>
      <c r="O71"/>
    </row>
    <row r="72" ht="15" customHeight="true">
      <c r="C72"/>
      <c r="D72"/>
      <c r="E72"/>
      <c r="F72"/>
      <c r="G72"/>
      <c r="H72"/>
      <c r="I72"/>
      <c r="J72"/>
      <c r="K72"/>
      <c r="L72"/>
      <c r="M72"/>
      <c r="N72"/>
      <c r="O72"/>
    </row>
    <row r="73" ht="15" customHeight="true">
      <c r="C73"/>
      <c r="D73"/>
      <c r="E73"/>
      <c r="F73"/>
      <c r="G73"/>
      <c r="H73"/>
      <c r="I73"/>
      <c r="J73"/>
      <c r="K73"/>
      <c r="L73"/>
      <c r="M73"/>
      <c r="N73"/>
      <c r="O73"/>
    </row>
    <row r="74" ht="15" customHeight="true">
      <c r="C74"/>
      <c r="D74"/>
      <c r="E74"/>
      <c r="F74"/>
      <c r="G74"/>
      <c r="H74"/>
      <c r="I74"/>
      <c r="J74"/>
      <c r="K74"/>
      <c r="L74"/>
      <c r="M74"/>
      <c r="N74"/>
      <c r="O74"/>
    </row>
    <row r="75" ht="15" customHeight="true">
      <c r="C75"/>
      <c r="D75"/>
      <c r="E75"/>
      <c r="F75"/>
      <c r="G75"/>
      <c r="H75"/>
      <c r="I75"/>
      <c r="J75"/>
      <c r="K75"/>
      <c r="L75"/>
      <c r="M75"/>
      <c r="N75"/>
      <c r="O75"/>
    </row>
    <row r="76" ht="15" customHeight="true">
      <c r="C76"/>
      <c r="D76"/>
      <c r="E76"/>
      <c r="F76"/>
      <c r="G76"/>
      <c r="H76"/>
      <c r="I76"/>
      <c r="J76"/>
      <c r="K76"/>
      <c r="L76"/>
      <c r="M76"/>
      <c r="N76"/>
      <c r="O76"/>
    </row>
    <row r="77" ht="15" customHeight="true">
      <c r="C77"/>
      <c r="D77"/>
      <c r="E77"/>
      <c r="F77"/>
      <c r="G77"/>
      <c r="H77"/>
      <c r="I77"/>
      <c r="J77"/>
      <c r="K77"/>
      <c r="L77"/>
      <c r="M77"/>
      <c r="N77"/>
      <c r="O77"/>
    </row>
    <row r="78" ht="15" customHeight="true">
      <c r="D78"/>
      <c r="E78"/>
    </row>
  </sheetData>
  <phoneticPr fontId="2" type="noConversion"/>
  <conditionalFormatting sqref="H52:I55 I2:I3">
    <cfRule type="cellIs" dxfId="10" priority="9" operator="equal">
      <formula>0</formula>
    </cfRule>
  </conditionalFormatting>
  <conditionalFormatting sqref="G2:H3 G4:G51">
    <cfRule type="cellIs" dxfId="9" priority="6" operator="equal">
      <formula>0</formula>
    </cfRule>
  </conditionalFormatting>
  <conditionalFormatting sqref="G52:G55">
    <cfRule type="cellIs" dxfId="8" priority="5" operator="equal">
      <formula>0</formula>
    </cfRule>
  </conditionalFormatting>
  <conditionalFormatting sqref="H4:I51">
    <cfRule type="cellIs" dxfId="7" priority="4" operator="equal">
      <formula>0</formula>
    </cfRule>
  </conditionalFormatting>
  <conditionalFormatting sqref="J17 J24 J26 J38:J39">
    <cfRule type="cellIs" dxfId="6" priority="2" operator="equal">
      <formula>0</formula>
    </cfRule>
  </conditionalFormatting>
  <conditionalFormatting sqref="K5:K8 K10 K12:K13 K39">
    <cfRule type="cellIs" dxfId="5" priority="1" operator="equal">
      <formula>0</formula>
    </cfRule>
  </conditionalFormatting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BC386"/>
  <sheetViews>
    <sheetView workbookViewId="0">
      <pane xSplit="1" ySplit="1" topLeftCell="B32" activePane="bottomRight" state="frozen"/>
      <selection pane="topRight" activeCell="B1" sqref="B1"/>
      <selection pane="bottomLeft" activeCell="A2" sqref="A2"/>
      <selection pane="bottomRight" activeCell="A47" sqref="A47"/>
    </sheetView>
  </sheetViews>
  <sheetFormatPr baseColWidth="10" defaultColWidth="8.83203125" defaultRowHeight="13"/>
  <cols>
    <col min="1" max="1" width="24.6640625" bestFit="true" customWidth="true"/>
    <col min="2" max="2" width="13.5" style="3" customWidth="true"/>
    <col min="3" max="3" width="17.1640625" customWidth="true"/>
    <col min="4" max="5" width="13.5" style="3" bestFit="true" customWidth="true"/>
    <col min="6" max="6" width="12.1640625" style="3" customWidth="true"/>
    <col min="7" max="7" width="14.83203125" style="3" customWidth="true"/>
    <col min="8" max="8" width="13.33203125" style="3" bestFit="true" customWidth="true"/>
    <col min="9" max="9" width="9.33203125" style="3" bestFit="true" customWidth="true"/>
    <col min="10" max="10" width="13.5" style="3" bestFit="true" customWidth="true"/>
    <col min="11" max="11" width="12" style="3" bestFit="true" customWidth="true"/>
    <col min="12" max="12" width="14.33203125" style="3" customWidth="true"/>
    <col min="13" max="13" width="15.1640625" style="3" customWidth="true"/>
    <col min="14" max="14" width="12" style="3" bestFit="true" customWidth="true"/>
    <col min="15" max="15" width="13.6640625" style="3" bestFit="true" customWidth="true"/>
    <col min="16" max="16" width="11.6640625" style="3" customWidth="true"/>
    <col min="17" max="17" width="9" style="3" bestFit="true" customWidth="true"/>
    <col min="18" max="18" width="11.5" style="3" customWidth="true"/>
    <col min="19" max="19" width="13.33203125" style="3" bestFit="true" customWidth="true"/>
    <col min="20" max="20" width="12" style="3" bestFit="true" customWidth="true"/>
    <col min="21" max="21" width="13.6640625" style="3" customWidth="true"/>
    <col min="22" max="22" width="15" style="3" bestFit="true" customWidth="true"/>
    <col min="23" max="23" width="13.83203125" style="3" bestFit="true" customWidth="true"/>
    <col min="24" max="24" width="12" style="3" bestFit="true" customWidth="true"/>
    <col min="25" max="25" width="10.6640625" style="3" bestFit="true" customWidth="true"/>
    <col min="26" max="26" width="13.83203125" style="3" customWidth="true"/>
    <col min="27" max="28" width="17.33203125" style="3" bestFit="true" customWidth="true"/>
    <col min="29" max="29" width="13.6640625" style="3" bestFit="true" customWidth="true"/>
    <col min="30" max="30" width="15" style="3" bestFit="true" customWidth="true"/>
    <col min="31" max="31" width="12" style="3" bestFit="true" customWidth="true"/>
    <col min="32" max="32" width="17.6640625" style="3" customWidth="true"/>
    <col min="33" max="33" width="12.33203125" style="3" bestFit="true" customWidth="true"/>
    <col min="34" max="35" width="12.83203125" style="3" bestFit="true" customWidth="true"/>
    <col min="36" max="36" width="10.6640625" style="3" bestFit="true" customWidth="true"/>
    <col min="37" max="37" width="12" style="3" bestFit="true" customWidth="true"/>
    <col min="38" max="38" width="16.83203125" style="3" bestFit="true" customWidth="true"/>
    <col min="39" max="39" width="13.5" style="3" bestFit="true" customWidth="true"/>
    <col min="40" max="40" width="12" style="3" bestFit="true" customWidth="true"/>
    <col min="41" max="41" width="14.5" style="3" bestFit="true" customWidth="true"/>
    <col min="42" max="42" width="12.33203125" style="3" bestFit="true" customWidth="true"/>
    <col min="43" max="43" width="10.5" style="3" customWidth="true"/>
    <col min="44" max="44" width="12.5" style="3" bestFit="true" customWidth="true"/>
    <col min="45" max="45" width="13.6640625" style="3" bestFit="true" customWidth="true"/>
    <col min="46" max="46" width="12.33203125" style="3" customWidth="true"/>
    <col min="47" max="47" width="14.1640625" style="3" customWidth="true"/>
    <col min="48" max="48" width="12.6640625" style="3" customWidth="true"/>
    <col min="49" max="50" width="12" style="3" bestFit="true" customWidth="true"/>
    <col min="51" max="51" width="6.5" style="3" bestFit="true" customWidth="true"/>
    <col min="52" max="52" width="6.83203125" style="3" bestFit="true" customWidth="true"/>
    <col min="53" max="54" width="6.83203125" style="3" customWidth="true"/>
    <col min="55" max="55" width="6.83203125" style="3" bestFit="true" customWidth="true"/>
  </cols>
  <sheetData>
    <row r="1" s="150" customFormat="true" ht="26.5" customHeight="true">
      <c r="A1" s="148" t="s">
        <v>282</v>
      </c>
      <c r="B1" s="149" t="s">
        <v>175</v>
      </c>
      <c r="C1" s="149" t="s">
        <v>283</v>
      </c>
      <c r="D1" s="243" t="s">
        <v>177</v>
      </c>
      <c r="E1" s="243" t="s">
        <v>220</v>
      </c>
      <c r="F1" s="243" t="s">
        <v>221</v>
      </c>
      <c r="G1" s="243" t="s">
        <v>178</v>
      </c>
      <c r="H1" s="243" t="s">
        <v>222</v>
      </c>
      <c r="I1" s="243" t="s">
        <v>179</v>
      </c>
      <c r="J1" s="243" t="s">
        <v>180</v>
      </c>
      <c r="K1" s="243" t="s">
        <v>223</v>
      </c>
      <c r="L1" s="243" t="s">
        <v>181</v>
      </c>
      <c r="M1" s="243" t="s">
        <v>224</v>
      </c>
      <c r="N1" s="243" t="s">
        <v>182</v>
      </c>
      <c r="O1" s="243" t="s">
        <v>183</v>
      </c>
      <c r="P1" s="243" t="s">
        <v>284</v>
      </c>
      <c r="Q1" s="243" t="s">
        <v>185</v>
      </c>
      <c r="R1" s="243" t="s">
        <v>186</v>
      </c>
      <c r="S1" s="243" t="s">
        <v>285</v>
      </c>
      <c r="T1" s="243" t="s">
        <v>188</v>
      </c>
      <c r="U1" s="243" t="s">
        <v>189</v>
      </c>
      <c r="V1" s="243" t="s">
        <v>190</v>
      </c>
      <c r="W1" s="243" t="s">
        <v>191</v>
      </c>
      <c r="X1" s="243" t="s">
        <v>192</v>
      </c>
      <c r="Y1" s="243" t="s">
        <v>193</v>
      </c>
      <c r="Z1" s="243" t="s">
        <v>194</v>
      </c>
      <c r="AA1" s="243" t="s">
        <v>195</v>
      </c>
      <c r="AB1" s="243" t="s">
        <v>196</v>
      </c>
      <c r="AC1" s="243" t="s">
        <v>197</v>
      </c>
      <c r="AD1" s="243" t="s">
        <v>198</v>
      </c>
      <c r="AE1" s="243" t="s">
        <v>199</v>
      </c>
      <c r="AF1" s="243" t="s">
        <v>200</v>
      </c>
      <c r="AG1" s="243" t="s">
        <v>201</v>
      </c>
      <c r="AH1" s="243" t="s">
        <v>202</v>
      </c>
      <c r="AI1" s="243" t="s">
        <v>203</v>
      </c>
      <c r="AJ1" s="243" t="s">
        <v>204</v>
      </c>
      <c r="AK1" s="243" t="s">
        <v>205</v>
      </c>
      <c r="AL1" s="243" t="s">
        <v>206</v>
      </c>
      <c r="AM1" s="243" t="s">
        <v>207</v>
      </c>
      <c r="AN1" s="243" t="s">
        <v>208</v>
      </c>
      <c r="AO1" s="243" t="s">
        <v>209</v>
      </c>
      <c r="AP1" s="243" t="s">
        <v>210</v>
      </c>
      <c r="AQ1" s="243" t="s">
        <v>211</v>
      </c>
      <c r="AR1" s="243" t="s">
        <v>212</v>
      </c>
      <c r="AS1" s="243" t="s">
        <v>213</v>
      </c>
      <c r="AT1" s="243" t="s">
        <v>214</v>
      </c>
      <c r="AU1" s="243" t="s">
        <v>304</v>
      </c>
      <c r="AV1" s="243" t="s">
        <v>215</v>
      </c>
      <c r="AW1" s="243" t="s">
        <v>216</v>
      </c>
      <c r="AX1" s="243" t="s">
        <v>217</v>
      </c>
      <c r="AY1" s="243" t="s">
        <v>218</v>
      </c>
      <c r="AZ1" s="243" t="s">
        <v>72</v>
      </c>
      <c r="BA1" s="243" t="s">
        <v>219</v>
      </c>
      <c r="BB1" s="243" t="s">
        <v>71</v>
      </c>
      <c r="BC1" s="243" t="s">
        <v>73</v>
      </c>
    </row>
    <row r="2" ht="15">
      <c r="A2" s="136" t="s">
        <v>175</v>
      </c>
      <c r="B2" s="244">
        <v>0</v>
      </c>
      <c r="C2" s="119">
        <v>0</v>
      </c>
      <c r="D2" s="245">
        <v>0.6</v>
      </c>
      <c r="E2" s="245">
        <v>0.6</v>
      </c>
      <c r="F2" s="245">
        <v>0.26</v>
      </c>
      <c r="G2" s="245">
        <v>5.7500000000000002E-2</v>
      </c>
      <c r="H2" s="245">
        <v>0.32</v>
      </c>
      <c r="I2" s="245">
        <v>0</v>
      </c>
      <c r="J2" s="245">
        <v>0.04</v>
      </c>
      <c r="K2" s="245">
        <v>0</v>
      </c>
      <c r="L2" s="245">
        <v>0.45</v>
      </c>
      <c r="M2" s="245">
        <v>0</v>
      </c>
      <c r="N2" s="245">
        <v>0</v>
      </c>
      <c r="O2" s="245">
        <v>0</v>
      </c>
      <c r="P2" s="245">
        <v>0</v>
      </c>
      <c r="Q2" s="245">
        <v>0</v>
      </c>
      <c r="R2" s="245">
        <v>8.3000000000000001E-4</v>
      </c>
      <c r="S2" s="245">
        <v>0.39700000000000002</v>
      </c>
      <c r="T2" s="245">
        <v>7.41666666666667E-2</v>
      </c>
      <c r="U2" s="245">
        <v>0</v>
      </c>
      <c r="V2" s="245">
        <v>0</v>
      </c>
      <c r="W2" s="245">
        <v>0</v>
      </c>
      <c r="X2" s="245">
        <v>0</v>
      </c>
      <c r="Y2" s="245">
        <v>0</v>
      </c>
      <c r="Z2" s="245">
        <v>0</v>
      </c>
      <c r="AA2" s="245">
        <v>0</v>
      </c>
      <c r="AB2" s="245">
        <v>0</v>
      </c>
      <c r="AC2" s="245">
        <v>0</v>
      </c>
      <c r="AD2" s="245">
        <v>0</v>
      </c>
      <c r="AE2" s="245">
        <v>0</v>
      </c>
      <c r="AF2" s="245">
        <v>0</v>
      </c>
      <c r="AG2" s="245">
        <v>0</v>
      </c>
      <c r="AH2" s="245">
        <v>7.5052664502164509E-3</v>
      </c>
      <c r="AI2" s="245">
        <v>0</v>
      </c>
      <c r="AJ2" s="245">
        <v>0</v>
      </c>
      <c r="AK2" s="245">
        <v>0</v>
      </c>
      <c r="AL2" s="245">
        <v>0.43</v>
      </c>
      <c r="AM2" s="245">
        <v>1.7857142857142901E-2</v>
      </c>
      <c r="AN2" s="245">
        <v>0.18667</v>
      </c>
      <c r="AO2" s="245">
        <v>0.11777777777777779</v>
      </c>
      <c r="AP2" s="245">
        <v>0</v>
      </c>
      <c r="AQ2" s="245">
        <v>0</v>
      </c>
      <c r="AR2" s="245">
        <v>0</v>
      </c>
      <c r="AS2" s="245">
        <v>0</v>
      </c>
      <c r="AT2" s="245">
        <v>0</v>
      </c>
      <c r="AU2" s="245">
        <v>0</v>
      </c>
      <c r="AV2" s="245">
        <v>0</v>
      </c>
      <c r="AW2" s="245">
        <v>0</v>
      </c>
      <c r="AX2" s="245">
        <v>0</v>
      </c>
      <c r="AY2" s="245">
        <v>0</v>
      </c>
      <c r="AZ2" s="245">
        <v>0</v>
      </c>
      <c r="BA2" s="245">
        <v>0</v>
      </c>
      <c r="BB2" s="245">
        <v>0</v>
      </c>
      <c r="BC2" s="245">
        <v>0</v>
      </c>
    </row>
    <row r="3" ht="15">
      <c r="A3" t="s">
        <v>176</v>
      </c>
      <c r="B3" s="119">
        <v>0</v>
      </c>
      <c r="C3" s="119">
        <v>0</v>
      </c>
      <c r="D3" s="245">
        <v>0</v>
      </c>
      <c r="E3" s="245">
        <v>0</v>
      </c>
      <c r="F3" s="245">
        <v>0</v>
      </c>
      <c r="G3" s="245">
        <v>0</v>
      </c>
      <c r="H3" s="245">
        <v>0</v>
      </c>
      <c r="I3" s="245">
        <v>0</v>
      </c>
      <c r="J3" s="245">
        <v>0.08</v>
      </c>
      <c r="K3" s="245">
        <v>0</v>
      </c>
      <c r="L3" s="245">
        <v>0</v>
      </c>
      <c r="M3" s="245">
        <v>0</v>
      </c>
      <c r="N3" s="245">
        <v>0</v>
      </c>
      <c r="O3" s="245">
        <v>0</v>
      </c>
      <c r="P3" s="245">
        <v>0</v>
      </c>
      <c r="Q3" s="245">
        <v>2.3525000000000001E-2</v>
      </c>
      <c r="R3" s="245">
        <v>4.79E-3</v>
      </c>
      <c r="S3" s="245">
        <v>0</v>
      </c>
      <c r="T3" s="245">
        <v>0.461716666666667</v>
      </c>
      <c r="U3" s="245">
        <v>0</v>
      </c>
      <c r="V3" s="245">
        <v>5.4444444444444401E-3</v>
      </c>
      <c r="W3" s="245">
        <v>2.2222222222222199E-4</v>
      </c>
      <c r="X3" s="245">
        <v>0</v>
      </c>
      <c r="Y3" s="245">
        <v>8.0000000000000004E-4</v>
      </c>
      <c r="Z3" s="245">
        <v>0</v>
      </c>
      <c r="AA3" s="245">
        <v>2.3333333333333301E-3</v>
      </c>
      <c r="AB3" s="245">
        <v>4.4477303648732217E-2</v>
      </c>
      <c r="AC3" s="245">
        <v>0</v>
      </c>
      <c r="AD3" s="245">
        <v>2.7785714285714299E-2</v>
      </c>
      <c r="AE3" s="245">
        <v>0</v>
      </c>
      <c r="AF3" s="245">
        <v>0.36803030666666697</v>
      </c>
      <c r="AG3" s="245">
        <v>0</v>
      </c>
      <c r="AH3" s="245">
        <v>6.0049307359307351E-2</v>
      </c>
      <c r="AI3" s="245">
        <v>0</v>
      </c>
      <c r="AJ3" s="245">
        <v>0</v>
      </c>
      <c r="AK3" s="245">
        <v>0</v>
      </c>
      <c r="AL3" s="245">
        <v>0.4325</v>
      </c>
      <c r="AM3" s="245">
        <v>0.30214285714285699</v>
      </c>
      <c r="AN3" s="245">
        <v>0.4</v>
      </c>
      <c r="AO3" s="245">
        <v>0.21077777777777779</v>
      </c>
      <c r="AP3" s="245">
        <v>0</v>
      </c>
      <c r="AQ3" s="245">
        <v>0</v>
      </c>
      <c r="AR3" s="245">
        <v>0</v>
      </c>
      <c r="AS3" s="245">
        <v>0.66999833333333303</v>
      </c>
      <c r="AT3" s="245">
        <v>3.6526785714285699E-2</v>
      </c>
      <c r="AU3" s="245">
        <v>2.5000000000000001E-3</v>
      </c>
      <c r="AV3" s="245">
        <v>0</v>
      </c>
      <c r="AW3" s="245">
        <v>0</v>
      </c>
      <c r="AX3" s="245">
        <v>0</v>
      </c>
      <c r="AY3" s="245">
        <v>0</v>
      </c>
      <c r="AZ3" s="245">
        <v>0</v>
      </c>
      <c r="BA3" s="245">
        <v>0</v>
      </c>
      <c r="BB3" s="245">
        <v>0</v>
      </c>
      <c r="BC3" s="245">
        <v>0</v>
      </c>
    </row>
    <row r="4" ht="15">
      <c r="A4" t="s">
        <v>177</v>
      </c>
      <c r="B4" s="119">
        <v>0</v>
      </c>
      <c r="C4" s="119">
        <v>0</v>
      </c>
      <c r="D4" s="245">
        <v>0.15</v>
      </c>
      <c r="E4" s="245">
        <v>0.4</v>
      </c>
      <c r="F4" s="245">
        <v>0.35</v>
      </c>
      <c r="G4" s="245">
        <v>0</v>
      </c>
      <c r="H4" s="245">
        <v>0.23499999999999999</v>
      </c>
      <c r="I4" s="245">
        <v>0</v>
      </c>
      <c r="J4" s="245">
        <v>0</v>
      </c>
      <c r="K4" s="245">
        <v>6.8612500000000007E-2</v>
      </c>
      <c r="L4" s="245">
        <v>0.21199999999999999</v>
      </c>
      <c r="M4" s="245">
        <v>4.2056060606060638E-2</v>
      </c>
      <c r="N4" s="245">
        <v>0</v>
      </c>
      <c r="O4" s="245">
        <v>0</v>
      </c>
      <c r="P4" s="245">
        <v>0</v>
      </c>
      <c r="Q4" s="245">
        <v>0</v>
      </c>
      <c r="R4" s="245">
        <v>0</v>
      </c>
      <c r="S4" s="245">
        <v>0.17499999999999999</v>
      </c>
      <c r="T4" s="245">
        <v>0</v>
      </c>
      <c r="U4" s="245">
        <v>0</v>
      </c>
      <c r="V4" s="245">
        <v>0</v>
      </c>
      <c r="W4" s="245">
        <v>0</v>
      </c>
      <c r="X4" s="245">
        <v>0</v>
      </c>
      <c r="Y4" s="245">
        <v>0</v>
      </c>
      <c r="Z4" s="245">
        <v>0</v>
      </c>
      <c r="AA4" s="245">
        <v>0</v>
      </c>
      <c r="AB4" s="245">
        <v>0</v>
      </c>
      <c r="AC4" s="245">
        <v>0</v>
      </c>
      <c r="AD4" s="245">
        <v>0</v>
      </c>
      <c r="AE4" s="245">
        <v>0</v>
      </c>
      <c r="AF4" s="245">
        <v>0</v>
      </c>
      <c r="AG4" s="245">
        <v>0</v>
      </c>
      <c r="AH4" s="245">
        <v>0</v>
      </c>
      <c r="AI4" s="245">
        <v>0</v>
      </c>
      <c r="AJ4" s="245">
        <v>0</v>
      </c>
      <c r="AK4" s="245">
        <v>0</v>
      </c>
      <c r="AL4" s="245">
        <v>0</v>
      </c>
      <c r="AM4" s="245">
        <v>0</v>
      </c>
      <c r="AN4" s="245">
        <v>0</v>
      </c>
      <c r="AO4" s="245">
        <v>0</v>
      </c>
      <c r="AP4" s="245">
        <v>0</v>
      </c>
      <c r="AQ4" s="245">
        <v>0</v>
      </c>
      <c r="AR4" s="245">
        <v>0</v>
      </c>
      <c r="AS4" s="245">
        <v>0</v>
      </c>
      <c r="AT4" s="245">
        <v>0</v>
      </c>
      <c r="AU4" s="245">
        <v>0</v>
      </c>
      <c r="AV4" s="245">
        <v>0</v>
      </c>
      <c r="AW4" s="245">
        <v>6.8033340000000003E-3</v>
      </c>
      <c r="AX4" s="245">
        <v>0</v>
      </c>
      <c r="AY4" s="245">
        <v>0</v>
      </c>
      <c r="AZ4" s="245">
        <v>0</v>
      </c>
      <c r="BA4" s="245">
        <v>0</v>
      </c>
      <c r="BB4" s="245">
        <v>0</v>
      </c>
      <c r="BC4" s="245">
        <v>0</v>
      </c>
    </row>
    <row r="5" ht="15">
      <c r="A5" t="s">
        <v>220</v>
      </c>
      <c r="B5" s="119">
        <v>0</v>
      </c>
      <c r="C5" s="119">
        <v>0</v>
      </c>
      <c r="D5" s="245">
        <v>0</v>
      </c>
      <c r="E5" s="245">
        <v>0</v>
      </c>
      <c r="F5" s="245">
        <v>0</v>
      </c>
      <c r="G5" s="245">
        <v>0</v>
      </c>
      <c r="H5" s="245">
        <v>0</v>
      </c>
      <c r="I5" s="245">
        <v>0.23664285714285699</v>
      </c>
      <c r="J5" s="245">
        <v>0</v>
      </c>
      <c r="K5" s="245">
        <v>9.7704207564789008E-2</v>
      </c>
      <c r="L5" s="245">
        <v>0</v>
      </c>
      <c r="M5" s="245">
        <v>0.12364242424242433</v>
      </c>
      <c r="N5" s="245">
        <v>7.9233333333333295E-2</v>
      </c>
      <c r="O5" s="245">
        <v>0</v>
      </c>
      <c r="P5" s="245">
        <v>2.2155555555555557E-2</v>
      </c>
      <c r="Q5" s="245">
        <v>0</v>
      </c>
      <c r="R5" s="245">
        <v>5.6599999999999998E-2</v>
      </c>
      <c r="S5" s="245">
        <v>0</v>
      </c>
      <c r="T5" s="245">
        <v>0</v>
      </c>
      <c r="U5" s="245">
        <v>0.03</v>
      </c>
      <c r="V5" s="245">
        <v>1.01111111111111E-3</v>
      </c>
      <c r="W5" s="245">
        <v>0</v>
      </c>
      <c r="X5" s="245">
        <v>0.65</v>
      </c>
      <c r="Y5" s="245">
        <v>0</v>
      </c>
      <c r="Z5" s="245">
        <v>0</v>
      </c>
      <c r="AA5" s="245">
        <v>0</v>
      </c>
      <c r="AB5" s="245">
        <v>0</v>
      </c>
      <c r="AC5" s="245">
        <v>0</v>
      </c>
      <c r="AD5" s="245">
        <v>0</v>
      </c>
      <c r="AE5" s="245">
        <v>0</v>
      </c>
      <c r="AF5" s="245">
        <v>4.7863639999999999E-2</v>
      </c>
      <c r="AG5" s="245">
        <v>0</v>
      </c>
      <c r="AH5" s="245">
        <v>1.9486580086580055E-2</v>
      </c>
      <c r="AI5" s="245">
        <v>0</v>
      </c>
      <c r="AJ5" s="245">
        <v>0</v>
      </c>
      <c r="AK5" s="245">
        <v>0</v>
      </c>
      <c r="AL5" s="245">
        <v>0</v>
      </c>
      <c r="AM5" s="245">
        <v>0</v>
      </c>
      <c r="AN5" s="245">
        <v>0</v>
      </c>
      <c r="AO5" s="245">
        <v>0</v>
      </c>
      <c r="AP5" s="245">
        <v>0</v>
      </c>
      <c r="AQ5" s="245">
        <v>0</v>
      </c>
      <c r="AR5" s="245">
        <v>0</v>
      </c>
      <c r="AS5" s="245">
        <v>0</v>
      </c>
      <c r="AT5" s="245">
        <v>0</v>
      </c>
      <c r="AU5" s="245">
        <v>0</v>
      </c>
      <c r="AV5" s="245">
        <v>0</v>
      </c>
      <c r="AW5" s="245">
        <v>0</v>
      </c>
      <c r="AX5" s="245">
        <v>0</v>
      </c>
      <c r="AY5" s="245">
        <v>0.2</v>
      </c>
      <c r="AZ5" s="245">
        <v>0</v>
      </c>
      <c r="BA5" s="245">
        <v>0</v>
      </c>
      <c r="BB5" s="245">
        <v>0</v>
      </c>
      <c r="BC5" s="245">
        <v>0</v>
      </c>
    </row>
    <row r="6" ht="15">
      <c r="A6" t="s">
        <v>221</v>
      </c>
      <c r="B6" s="119">
        <v>0</v>
      </c>
      <c r="C6" s="119">
        <v>0</v>
      </c>
      <c r="D6" s="245">
        <v>0</v>
      </c>
      <c r="E6" s="245">
        <v>0</v>
      </c>
      <c r="F6" s="245">
        <v>0</v>
      </c>
      <c r="G6" s="245">
        <v>0.05</v>
      </c>
      <c r="H6" s="245">
        <v>0</v>
      </c>
      <c r="I6" s="245">
        <v>0.20557142857142899</v>
      </c>
      <c r="J6" s="245">
        <v>3.5000000000000003E-2</v>
      </c>
      <c r="K6" s="245">
        <v>4.0213219239648799E-3</v>
      </c>
      <c r="L6" s="245">
        <v>0.03</v>
      </c>
      <c r="M6" s="245">
        <v>6.7153636461444136E-2</v>
      </c>
      <c r="N6" s="245">
        <v>0.38850000000000001</v>
      </c>
      <c r="O6" s="245">
        <v>0</v>
      </c>
      <c r="P6" s="245">
        <v>0</v>
      </c>
      <c r="Q6" s="245">
        <v>0</v>
      </c>
      <c r="R6" s="245">
        <v>1.9560000000000001E-2</v>
      </c>
      <c r="S6" s="245">
        <v>0</v>
      </c>
      <c r="T6" s="245">
        <v>0</v>
      </c>
      <c r="U6" s="245">
        <v>0</v>
      </c>
      <c r="V6" s="245">
        <v>1.1111111111111099E-4</v>
      </c>
      <c r="W6" s="245">
        <v>0</v>
      </c>
      <c r="X6" s="245">
        <v>2.8233333333333301E-2</v>
      </c>
      <c r="Y6" s="245">
        <v>1.7479999999999999E-2</v>
      </c>
      <c r="Z6" s="245">
        <v>0</v>
      </c>
      <c r="AA6" s="245">
        <v>0</v>
      </c>
      <c r="AB6" s="245">
        <v>0</v>
      </c>
      <c r="AC6" s="245">
        <v>0</v>
      </c>
      <c r="AD6" s="245">
        <v>8.5714285714285699E-5</v>
      </c>
      <c r="AE6" s="245">
        <v>0</v>
      </c>
      <c r="AF6" s="245">
        <v>4.7863639999999999E-2</v>
      </c>
      <c r="AG6" s="245">
        <v>0</v>
      </c>
      <c r="AH6" s="245">
        <v>1.461435735930736E-2</v>
      </c>
      <c r="AI6" s="245">
        <v>0</v>
      </c>
      <c r="AJ6" s="245">
        <v>2.6083333333333333E-2</v>
      </c>
      <c r="AK6" s="245">
        <v>0</v>
      </c>
      <c r="AL6" s="245">
        <v>0</v>
      </c>
      <c r="AM6" s="245">
        <v>3.57142857142857E-3</v>
      </c>
      <c r="AN6" s="245">
        <v>0</v>
      </c>
      <c r="AO6" s="245">
        <v>2.6777777777777775E-2</v>
      </c>
      <c r="AP6" s="245">
        <v>0</v>
      </c>
      <c r="AQ6" s="245">
        <v>0</v>
      </c>
      <c r="AR6" s="245">
        <v>0</v>
      </c>
      <c r="AS6" s="245">
        <v>0</v>
      </c>
      <c r="AT6" s="245">
        <v>0</v>
      </c>
      <c r="AU6" s="245">
        <v>0</v>
      </c>
      <c r="AV6" s="245">
        <v>0</v>
      </c>
      <c r="AW6" s="245">
        <v>0</v>
      </c>
      <c r="AX6" s="245">
        <v>0</v>
      </c>
      <c r="AY6" s="245">
        <v>0</v>
      </c>
      <c r="AZ6" s="245">
        <v>0</v>
      </c>
      <c r="BA6" s="245">
        <v>0</v>
      </c>
      <c r="BB6" s="245">
        <v>0</v>
      </c>
      <c r="BC6" s="245">
        <v>0</v>
      </c>
    </row>
    <row r="7" ht="15">
      <c r="A7" t="s">
        <v>178</v>
      </c>
      <c r="B7" s="119">
        <v>0</v>
      </c>
      <c r="C7" s="119">
        <v>0</v>
      </c>
      <c r="D7" s="245">
        <v>0</v>
      </c>
      <c r="E7" s="245">
        <v>0</v>
      </c>
      <c r="F7" s="245">
        <v>0</v>
      </c>
      <c r="G7" s="245">
        <v>0</v>
      </c>
      <c r="H7" s="245">
        <v>0</v>
      </c>
      <c r="I7" s="245">
        <v>0</v>
      </c>
      <c r="J7" s="245">
        <v>0</v>
      </c>
      <c r="K7" s="245">
        <v>5.1000000000000004E-2</v>
      </c>
      <c r="L7" s="245">
        <v>0</v>
      </c>
      <c r="M7" s="245">
        <v>0</v>
      </c>
      <c r="N7" s="245">
        <v>0</v>
      </c>
      <c r="O7" s="245">
        <v>0</v>
      </c>
      <c r="P7" s="245">
        <v>0</v>
      </c>
      <c r="Q7" s="245">
        <v>0</v>
      </c>
      <c r="R7" s="245">
        <v>0</v>
      </c>
      <c r="S7" s="245">
        <v>0</v>
      </c>
      <c r="T7" s="245">
        <v>0</v>
      </c>
      <c r="U7" s="245">
        <v>0</v>
      </c>
      <c r="V7" s="245">
        <v>8.3333333333333295E-4</v>
      </c>
      <c r="W7" s="245">
        <v>1E-3</v>
      </c>
      <c r="X7" s="245">
        <v>5.9933333333333297E-2</v>
      </c>
      <c r="Y7" s="245">
        <v>0</v>
      </c>
      <c r="Z7" s="245">
        <v>0</v>
      </c>
      <c r="AA7" s="245">
        <v>0</v>
      </c>
      <c r="AB7" s="245">
        <v>0</v>
      </c>
      <c r="AC7" s="245">
        <v>0</v>
      </c>
      <c r="AD7" s="245">
        <v>0</v>
      </c>
      <c r="AE7" s="245">
        <v>0</v>
      </c>
      <c r="AF7" s="245">
        <v>0</v>
      </c>
      <c r="AG7" s="245">
        <v>0</v>
      </c>
      <c r="AH7" s="245">
        <v>0</v>
      </c>
      <c r="AI7" s="245">
        <v>0</v>
      </c>
      <c r="AJ7" s="245">
        <v>2.6583333333333334E-2</v>
      </c>
      <c r="AK7" s="245">
        <v>0</v>
      </c>
      <c r="AL7" s="245">
        <v>0</v>
      </c>
      <c r="AM7" s="245">
        <v>0</v>
      </c>
      <c r="AN7" s="245">
        <v>0</v>
      </c>
      <c r="AO7" s="245">
        <v>0</v>
      </c>
      <c r="AP7" s="245">
        <v>0</v>
      </c>
      <c r="AQ7" s="245">
        <v>0</v>
      </c>
      <c r="AR7" s="245">
        <v>0</v>
      </c>
      <c r="AS7" s="245">
        <v>0</v>
      </c>
      <c r="AT7" s="245">
        <v>0</v>
      </c>
      <c r="AU7" s="245">
        <v>0</v>
      </c>
      <c r="AV7" s="245">
        <v>0</v>
      </c>
      <c r="AW7" s="245">
        <v>0</v>
      </c>
      <c r="AX7" s="245">
        <v>0</v>
      </c>
      <c r="AY7" s="245">
        <v>0.2</v>
      </c>
      <c r="AZ7" s="245">
        <v>0</v>
      </c>
      <c r="BA7" s="245">
        <v>0</v>
      </c>
      <c r="BB7" s="245">
        <v>0</v>
      </c>
      <c r="BC7" s="245">
        <v>0</v>
      </c>
    </row>
    <row r="8" ht="15">
      <c r="A8" t="s">
        <v>222</v>
      </c>
      <c r="B8" s="119">
        <v>0</v>
      </c>
      <c r="C8" s="119">
        <v>0</v>
      </c>
      <c r="D8" s="245">
        <v>0</v>
      </c>
      <c r="E8" s="245">
        <v>0</v>
      </c>
      <c r="F8" s="245">
        <v>0</v>
      </c>
      <c r="G8" s="245">
        <v>0.01</v>
      </c>
      <c r="H8" s="245">
        <v>0.28875000000000001</v>
      </c>
      <c r="I8" s="245">
        <v>0.55599999999999994</v>
      </c>
      <c r="J8" s="245">
        <v>0.15666666666666701</v>
      </c>
      <c r="K8" s="245">
        <v>0.439015052063157</v>
      </c>
      <c r="L8" s="245">
        <v>2E-3</v>
      </c>
      <c r="M8" s="245">
        <v>0.49674775318034636</v>
      </c>
      <c r="N8" s="245">
        <v>0.40400000000000003</v>
      </c>
      <c r="O8" s="245">
        <v>0.38440000000000002</v>
      </c>
      <c r="P8" s="245">
        <v>0.10735555555555555</v>
      </c>
      <c r="Q8" s="245">
        <v>2.9325000000000004E-2</v>
      </c>
      <c r="R8" s="245">
        <v>0.48444000000000004</v>
      </c>
      <c r="S8" s="245">
        <v>0.40175</v>
      </c>
      <c r="T8" s="245">
        <v>6.4399999999999999E-2</v>
      </c>
      <c r="U8" s="245">
        <v>0</v>
      </c>
      <c r="V8" s="245">
        <v>4.6744444444444498E-2</v>
      </c>
      <c r="W8" s="245">
        <v>5.9055555555555597E-2</v>
      </c>
      <c r="X8" s="245">
        <v>0.126733333333333</v>
      </c>
      <c r="Y8" s="245">
        <v>6.9679999999999992E-2</v>
      </c>
      <c r="Z8" s="245">
        <v>8.0500000000000002E-2</v>
      </c>
      <c r="AA8" s="245">
        <v>0</v>
      </c>
      <c r="AB8" s="245">
        <v>0</v>
      </c>
      <c r="AC8" s="245">
        <v>0</v>
      </c>
      <c r="AD8" s="245">
        <v>0.18328571428571444</v>
      </c>
      <c r="AE8" s="245">
        <v>8.0000000000000004E-4</v>
      </c>
      <c r="AF8" s="245">
        <v>0.28131616888888877</v>
      </c>
      <c r="AG8" s="245">
        <v>5.7554271708683456E-2</v>
      </c>
      <c r="AH8" s="245">
        <v>0.26916087251082288</v>
      </c>
      <c r="AI8" s="245">
        <v>0</v>
      </c>
      <c r="AJ8" s="245">
        <v>0.28788733333333333</v>
      </c>
      <c r="AK8" s="245">
        <v>0.16516666666666668</v>
      </c>
      <c r="AL8" s="245">
        <v>0</v>
      </c>
      <c r="AM8" s="245">
        <v>0</v>
      </c>
      <c r="AN8" s="245">
        <v>0</v>
      </c>
      <c r="AO8" s="245">
        <v>2.751777777777778E-2</v>
      </c>
      <c r="AP8" s="245">
        <v>0</v>
      </c>
      <c r="AQ8" s="245">
        <v>0</v>
      </c>
      <c r="AR8" s="245">
        <v>0</v>
      </c>
      <c r="AS8" s="245">
        <v>0.255</v>
      </c>
      <c r="AT8" s="245">
        <v>4.9541355032194832E-2</v>
      </c>
      <c r="AU8" s="245">
        <v>0</v>
      </c>
      <c r="AV8" s="245">
        <v>0</v>
      </c>
      <c r="AW8" s="245">
        <v>0</v>
      </c>
      <c r="AX8" s="245">
        <v>0</v>
      </c>
      <c r="AY8" s="245">
        <v>0</v>
      </c>
      <c r="AZ8" s="245">
        <v>0</v>
      </c>
      <c r="BA8" s="245">
        <v>0</v>
      </c>
      <c r="BB8" s="245">
        <v>0</v>
      </c>
      <c r="BC8" s="245">
        <v>0</v>
      </c>
    </row>
    <row r="9" ht="15">
      <c r="A9" t="s">
        <v>179</v>
      </c>
      <c r="B9" s="119">
        <v>0</v>
      </c>
      <c r="C9" s="119">
        <v>0</v>
      </c>
      <c r="D9" s="245">
        <v>0</v>
      </c>
      <c r="E9" s="245">
        <v>0</v>
      </c>
      <c r="F9" s="245">
        <v>0</v>
      </c>
      <c r="G9" s="245">
        <v>0</v>
      </c>
      <c r="H9" s="245">
        <v>0</v>
      </c>
      <c r="I9" s="245">
        <v>1.57142857142857E-3</v>
      </c>
      <c r="J9" s="245">
        <v>0</v>
      </c>
      <c r="K9" s="245">
        <v>1.91033058881129E-2</v>
      </c>
      <c r="L9" s="245">
        <v>0</v>
      </c>
      <c r="M9" s="245">
        <v>1.5540909090908994E-2</v>
      </c>
      <c r="N9" s="245">
        <v>2.2100000000000002E-2</v>
      </c>
      <c r="O9" s="245">
        <v>0</v>
      </c>
      <c r="P9" s="245">
        <v>0</v>
      </c>
      <c r="Q9" s="245">
        <v>0</v>
      </c>
      <c r="R9" s="245">
        <v>0</v>
      </c>
      <c r="S9" s="245">
        <v>0</v>
      </c>
      <c r="T9" s="245">
        <v>0</v>
      </c>
      <c r="U9" s="245">
        <v>0</v>
      </c>
      <c r="V9" s="245">
        <v>7.4999999999999997E-3</v>
      </c>
      <c r="W9" s="245">
        <v>0</v>
      </c>
      <c r="X9" s="245">
        <v>0</v>
      </c>
      <c r="Y9" s="245">
        <v>0</v>
      </c>
      <c r="Z9" s="245">
        <v>0</v>
      </c>
      <c r="AA9" s="245">
        <v>0</v>
      </c>
      <c r="AB9" s="245">
        <v>0</v>
      </c>
      <c r="AC9" s="245">
        <v>0</v>
      </c>
      <c r="AD9" s="245">
        <v>0</v>
      </c>
      <c r="AE9" s="245">
        <v>0</v>
      </c>
      <c r="AF9" s="245">
        <v>8.9999999999999993E-3</v>
      </c>
      <c r="AG9" s="245">
        <v>0</v>
      </c>
      <c r="AH9" s="245">
        <v>0</v>
      </c>
      <c r="AI9" s="245">
        <v>0</v>
      </c>
      <c r="AJ9" s="245">
        <v>2.132333333333333E-2</v>
      </c>
      <c r="AK9" s="245">
        <v>0</v>
      </c>
      <c r="AL9" s="245">
        <v>0</v>
      </c>
      <c r="AM9" s="245">
        <v>0</v>
      </c>
      <c r="AN9" s="245">
        <v>0</v>
      </c>
      <c r="AO9" s="245">
        <v>0</v>
      </c>
      <c r="AP9" s="245">
        <v>0</v>
      </c>
      <c r="AQ9" s="245">
        <v>0</v>
      </c>
      <c r="AR9" s="245">
        <v>0</v>
      </c>
      <c r="AS9" s="245">
        <v>0</v>
      </c>
      <c r="AT9" s="245">
        <v>0</v>
      </c>
      <c r="AU9" s="245">
        <v>0</v>
      </c>
      <c r="AV9" s="245">
        <v>0</v>
      </c>
      <c r="AW9" s="245">
        <v>0</v>
      </c>
      <c r="AX9" s="245">
        <v>0</v>
      </c>
      <c r="AY9" s="245">
        <v>0</v>
      </c>
      <c r="AZ9" s="245">
        <v>0</v>
      </c>
      <c r="BA9" s="245">
        <v>0</v>
      </c>
      <c r="BB9" s="245">
        <v>0</v>
      </c>
      <c r="BC9" s="245">
        <v>0</v>
      </c>
    </row>
    <row r="10" ht="15">
      <c r="A10" s="137" t="s">
        <v>180</v>
      </c>
      <c r="B10" s="152">
        <v>0</v>
      </c>
      <c r="C10" s="119">
        <v>0</v>
      </c>
      <c r="D10" s="245">
        <v>0</v>
      </c>
      <c r="E10" s="245">
        <v>0</v>
      </c>
      <c r="F10" s="245">
        <v>0</v>
      </c>
      <c r="G10" s="245">
        <v>0</v>
      </c>
      <c r="H10" s="245">
        <v>0</v>
      </c>
      <c r="I10" s="245">
        <v>0</v>
      </c>
      <c r="J10" s="245">
        <v>0</v>
      </c>
      <c r="K10" s="245">
        <v>0</v>
      </c>
      <c r="L10" s="245">
        <v>0</v>
      </c>
      <c r="M10" s="245">
        <v>0</v>
      </c>
      <c r="N10" s="245">
        <v>5.6666666666666697E-3</v>
      </c>
      <c r="O10" s="245">
        <v>0</v>
      </c>
      <c r="P10" s="245">
        <v>4.1155555555555556E-2</v>
      </c>
      <c r="Q10" s="245">
        <v>0</v>
      </c>
      <c r="R10" s="245">
        <v>0</v>
      </c>
      <c r="S10" s="245">
        <v>0</v>
      </c>
      <c r="T10" s="245">
        <v>0</v>
      </c>
      <c r="U10" s="245">
        <v>0</v>
      </c>
      <c r="V10" s="245">
        <v>3.1911111111111098E-2</v>
      </c>
      <c r="W10" s="245">
        <v>7.8333333333333293E-3</v>
      </c>
      <c r="X10" s="245">
        <v>0</v>
      </c>
      <c r="Y10" s="245">
        <v>9.894E-2</v>
      </c>
      <c r="Z10" s="245">
        <v>0.58699999999999997</v>
      </c>
      <c r="AA10" s="245">
        <v>0</v>
      </c>
      <c r="AB10" s="245">
        <v>9.8591218305504012E-3</v>
      </c>
      <c r="AC10" s="245">
        <v>0</v>
      </c>
      <c r="AD10" s="245">
        <v>0</v>
      </c>
      <c r="AE10" s="245">
        <v>0</v>
      </c>
      <c r="AF10" s="245">
        <v>0</v>
      </c>
      <c r="AG10" s="246">
        <v>8.2485994397759298E-4</v>
      </c>
      <c r="AH10" s="245">
        <v>7.9909090909090971E-3</v>
      </c>
      <c r="AI10" s="245">
        <v>0</v>
      </c>
      <c r="AJ10" s="245">
        <v>0</v>
      </c>
      <c r="AK10" s="245">
        <v>0</v>
      </c>
      <c r="AL10" s="245">
        <v>0</v>
      </c>
      <c r="AM10" s="245">
        <v>0</v>
      </c>
      <c r="AN10" s="245">
        <v>0</v>
      </c>
      <c r="AO10" s="245">
        <v>0</v>
      </c>
      <c r="AP10" s="245">
        <v>0</v>
      </c>
      <c r="AQ10" s="245">
        <v>0</v>
      </c>
      <c r="AR10" s="245">
        <v>0</v>
      </c>
      <c r="AS10" s="245">
        <v>0</v>
      </c>
      <c r="AT10" s="245">
        <v>0</v>
      </c>
      <c r="AU10" s="245">
        <v>0</v>
      </c>
      <c r="AV10" s="245">
        <v>0</v>
      </c>
      <c r="AW10" s="245">
        <v>0</v>
      </c>
      <c r="AX10" s="245">
        <v>0</v>
      </c>
      <c r="AY10" s="245">
        <v>0</v>
      </c>
      <c r="AZ10" s="245">
        <v>0</v>
      </c>
      <c r="BA10" s="245">
        <v>0</v>
      </c>
      <c r="BB10" s="245">
        <v>0</v>
      </c>
      <c r="BC10" s="245">
        <v>0</v>
      </c>
    </row>
    <row r="11" ht="15">
      <c r="A11" t="s">
        <v>223</v>
      </c>
      <c r="B11" s="119">
        <v>0</v>
      </c>
      <c r="C11" s="119">
        <v>0</v>
      </c>
      <c r="D11" s="245">
        <v>0</v>
      </c>
      <c r="E11" s="245">
        <v>0</v>
      </c>
      <c r="F11" s="245">
        <v>0</v>
      </c>
      <c r="G11" s="245">
        <v>0</v>
      </c>
      <c r="H11" s="245">
        <v>0</v>
      </c>
      <c r="I11" s="245">
        <v>0</v>
      </c>
      <c r="J11" s="245">
        <v>0</v>
      </c>
      <c r="K11" s="245">
        <v>9.8000000000000004E-2</v>
      </c>
      <c r="L11" s="245">
        <v>0</v>
      </c>
      <c r="M11" s="245">
        <v>0</v>
      </c>
      <c r="N11" s="245">
        <v>0</v>
      </c>
      <c r="O11" s="245">
        <v>0</v>
      </c>
      <c r="P11" s="245">
        <v>0.22115555555555558</v>
      </c>
      <c r="Q11" s="245">
        <v>0</v>
      </c>
      <c r="R11" s="245">
        <v>0</v>
      </c>
      <c r="S11" s="245">
        <v>0</v>
      </c>
      <c r="T11" s="245">
        <v>0</v>
      </c>
      <c r="U11" s="245">
        <v>0</v>
      </c>
      <c r="V11" s="245">
        <v>0</v>
      </c>
      <c r="W11" s="245">
        <v>0</v>
      </c>
      <c r="X11" s="245">
        <v>0</v>
      </c>
      <c r="Y11" s="245">
        <v>0</v>
      </c>
      <c r="Z11" s="245">
        <v>0</v>
      </c>
      <c r="AA11" s="245">
        <v>0</v>
      </c>
      <c r="AB11" s="245">
        <v>0</v>
      </c>
      <c r="AC11" s="245">
        <v>0</v>
      </c>
      <c r="AD11" s="245">
        <v>0.14101428571428601</v>
      </c>
      <c r="AE11" s="245">
        <v>0</v>
      </c>
      <c r="AF11" s="245">
        <v>0</v>
      </c>
      <c r="AG11" s="245">
        <v>0</v>
      </c>
      <c r="AH11" s="245">
        <v>0</v>
      </c>
      <c r="AI11" s="245">
        <v>0</v>
      </c>
      <c r="AJ11" s="245">
        <v>0</v>
      </c>
      <c r="AK11" s="245">
        <v>0</v>
      </c>
      <c r="AL11" s="245">
        <v>0</v>
      </c>
      <c r="AM11" s="245">
        <v>0</v>
      </c>
      <c r="AN11" s="245">
        <v>0</v>
      </c>
      <c r="AO11" s="245">
        <v>0</v>
      </c>
      <c r="AP11" s="245">
        <v>0</v>
      </c>
      <c r="AQ11" s="245">
        <v>0</v>
      </c>
      <c r="AR11" s="245">
        <v>0</v>
      </c>
      <c r="AS11" s="245">
        <v>0</v>
      </c>
      <c r="AT11" s="245">
        <v>3.5714285714285698E-2</v>
      </c>
      <c r="AU11" s="245">
        <v>0</v>
      </c>
      <c r="AV11" s="245">
        <v>0.8</v>
      </c>
      <c r="AW11" s="245">
        <v>0</v>
      </c>
      <c r="AX11" s="245">
        <v>0</v>
      </c>
      <c r="AY11" s="245">
        <v>0</v>
      </c>
      <c r="AZ11" s="245">
        <v>0</v>
      </c>
      <c r="BA11" s="245">
        <v>0</v>
      </c>
      <c r="BB11" s="245">
        <v>0</v>
      </c>
      <c r="BC11" s="245">
        <v>0</v>
      </c>
    </row>
    <row r="12" ht="15">
      <c r="A12" t="s">
        <v>181</v>
      </c>
      <c r="B12" s="119">
        <v>0</v>
      </c>
      <c r="C12" s="119">
        <v>0</v>
      </c>
      <c r="D12" s="245">
        <v>0</v>
      </c>
      <c r="E12" s="245">
        <v>0</v>
      </c>
      <c r="F12" s="245">
        <v>0</v>
      </c>
      <c r="G12" s="245">
        <v>0</v>
      </c>
      <c r="H12" s="245">
        <v>0</v>
      </c>
      <c r="I12" s="245">
        <v>0</v>
      </c>
      <c r="J12" s="245">
        <v>0</v>
      </c>
      <c r="K12" s="245">
        <v>7.3274746968123694E-2</v>
      </c>
      <c r="L12" s="245">
        <v>0</v>
      </c>
      <c r="M12" s="245">
        <v>0</v>
      </c>
      <c r="N12" s="245">
        <v>0</v>
      </c>
      <c r="O12" s="245">
        <v>0</v>
      </c>
      <c r="P12" s="245">
        <v>0.24595555555555557</v>
      </c>
      <c r="Q12" s="245">
        <v>0</v>
      </c>
      <c r="R12" s="245">
        <v>0</v>
      </c>
      <c r="S12" s="245">
        <v>0</v>
      </c>
      <c r="T12" s="245">
        <v>3.0300000000000001E-2</v>
      </c>
      <c r="U12" s="245">
        <v>0</v>
      </c>
      <c r="V12" s="245">
        <v>0</v>
      </c>
      <c r="W12" s="245">
        <v>0</v>
      </c>
      <c r="X12" s="245">
        <v>0</v>
      </c>
      <c r="Y12" s="245">
        <v>0</v>
      </c>
      <c r="Z12" s="245">
        <v>0</v>
      </c>
      <c r="AA12" s="245">
        <v>0</v>
      </c>
      <c r="AB12" s="245">
        <v>0</v>
      </c>
      <c r="AC12" s="245">
        <v>0</v>
      </c>
      <c r="AD12" s="245">
        <v>1.7999999999999999E-2</v>
      </c>
      <c r="AE12" s="245">
        <v>0</v>
      </c>
      <c r="AF12" s="245">
        <v>0</v>
      </c>
      <c r="AG12" s="245">
        <v>0</v>
      </c>
      <c r="AH12" s="245">
        <v>0</v>
      </c>
      <c r="AI12" s="245">
        <v>0</v>
      </c>
      <c r="AJ12" s="245">
        <v>1.6098333333333333E-2</v>
      </c>
      <c r="AK12" s="245">
        <v>0</v>
      </c>
      <c r="AL12" s="245">
        <v>0</v>
      </c>
      <c r="AM12" s="245">
        <v>0</v>
      </c>
      <c r="AN12" s="245">
        <v>0</v>
      </c>
      <c r="AO12" s="245">
        <v>0</v>
      </c>
      <c r="AP12" s="245">
        <v>0</v>
      </c>
      <c r="AQ12" s="245">
        <v>0</v>
      </c>
      <c r="AR12" s="245">
        <v>0</v>
      </c>
      <c r="AS12" s="245">
        <v>0.05</v>
      </c>
      <c r="AT12" s="245">
        <v>0.111756480637584</v>
      </c>
      <c r="AU12" s="245">
        <v>0</v>
      </c>
      <c r="AV12" s="245">
        <v>0</v>
      </c>
      <c r="AW12" s="245">
        <v>0</v>
      </c>
      <c r="AX12" s="245">
        <v>0</v>
      </c>
      <c r="AY12" s="245">
        <v>0</v>
      </c>
      <c r="AZ12" s="245">
        <v>0</v>
      </c>
      <c r="BA12" s="245">
        <v>0</v>
      </c>
      <c r="BB12" s="245">
        <v>0</v>
      </c>
      <c r="BC12" s="245">
        <v>0</v>
      </c>
    </row>
    <row r="13" ht="15">
      <c r="A13" t="s">
        <v>224</v>
      </c>
      <c r="B13" s="119">
        <v>0</v>
      </c>
      <c r="C13" s="119">
        <v>0</v>
      </c>
      <c r="D13" s="245">
        <v>0</v>
      </c>
      <c r="E13" s="245">
        <v>0</v>
      </c>
      <c r="F13" s="245">
        <v>0</v>
      </c>
      <c r="G13" s="245">
        <v>0</v>
      </c>
      <c r="H13" s="245">
        <v>0</v>
      </c>
      <c r="I13" s="245">
        <v>0</v>
      </c>
      <c r="J13" s="245">
        <v>0</v>
      </c>
      <c r="K13" s="245">
        <v>0.10100000000000001</v>
      </c>
      <c r="L13" s="245">
        <v>0</v>
      </c>
      <c r="M13" s="245">
        <v>0.22663333333333333</v>
      </c>
      <c r="N13" s="245">
        <v>0</v>
      </c>
      <c r="O13" s="245">
        <v>0</v>
      </c>
      <c r="P13" s="245">
        <v>2.7355555555555557E-2</v>
      </c>
      <c r="Q13" s="245">
        <v>0</v>
      </c>
      <c r="R13" s="245">
        <v>6.9999999999999999E-4</v>
      </c>
      <c r="S13" s="245">
        <v>0</v>
      </c>
      <c r="T13" s="245">
        <v>0</v>
      </c>
      <c r="U13" s="245">
        <v>0</v>
      </c>
      <c r="V13" s="245">
        <v>1.84444444444444E-3</v>
      </c>
      <c r="W13" s="245">
        <v>0</v>
      </c>
      <c r="X13" s="245">
        <v>2.0566666666666698E-2</v>
      </c>
      <c r="Y13" s="245">
        <v>0</v>
      </c>
      <c r="Z13" s="245">
        <v>0</v>
      </c>
      <c r="AA13" s="245">
        <v>0</v>
      </c>
      <c r="AB13" s="245">
        <v>0</v>
      </c>
      <c r="AC13" s="245">
        <v>1.1428571428571399E-3</v>
      </c>
      <c r="AD13" s="245">
        <v>0</v>
      </c>
      <c r="AE13" s="245">
        <v>0</v>
      </c>
      <c r="AF13" s="245">
        <v>0</v>
      </c>
      <c r="AG13" s="245">
        <v>0</v>
      </c>
      <c r="AH13" s="245">
        <v>0</v>
      </c>
      <c r="AI13" s="245">
        <v>0</v>
      </c>
      <c r="AJ13" s="245">
        <v>2.6676410256410252E-2</v>
      </c>
      <c r="AK13" s="245">
        <v>0</v>
      </c>
      <c r="AL13" s="245">
        <v>0</v>
      </c>
      <c r="AM13" s="245">
        <v>0</v>
      </c>
      <c r="AN13" s="245">
        <v>0</v>
      </c>
      <c r="AO13" s="245">
        <v>0</v>
      </c>
      <c r="AP13" s="245">
        <v>0</v>
      </c>
      <c r="AQ13" s="245">
        <v>0</v>
      </c>
      <c r="AR13" s="245">
        <v>0</v>
      </c>
      <c r="AS13" s="245">
        <v>0</v>
      </c>
      <c r="AT13" s="245">
        <v>0.2</v>
      </c>
      <c r="AU13" s="245">
        <v>0</v>
      </c>
      <c r="AV13" s="245">
        <v>0.2</v>
      </c>
      <c r="AW13" s="245">
        <v>0</v>
      </c>
      <c r="AX13" s="245">
        <v>0</v>
      </c>
      <c r="AY13" s="245">
        <v>0</v>
      </c>
      <c r="AZ13" s="245">
        <v>0</v>
      </c>
      <c r="BA13" s="245">
        <v>0</v>
      </c>
      <c r="BB13" s="245">
        <v>0</v>
      </c>
      <c r="BC13" s="245">
        <v>0</v>
      </c>
    </row>
    <row r="14" ht="15">
      <c r="A14" t="s">
        <v>182</v>
      </c>
      <c r="B14" s="119">
        <v>0</v>
      </c>
      <c r="C14" s="119">
        <v>0</v>
      </c>
      <c r="D14" s="245">
        <v>0</v>
      </c>
      <c r="E14" s="245">
        <v>0</v>
      </c>
      <c r="F14" s="245">
        <v>0</v>
      </c>
      <c r="G14" s="245">
        <v>0</v>
      </c>
      <c r="H14" s="245">
        <v>0</v>
      </c>
      <c r="I14" s="245">
        <v>0</v>
      </c>
      <c r="J14" s="245">
        <v>0</v>
      </c>
      <c r="K14" s="245">
        <v>0</v>
      </c>
      <c r="L14" s="245">
        <v>0</v>
      </c>
      <c r="M14" s="245">
        <v>0</v>
      </c>
      <c r="N14" s="245">
        <v>0</v>
      </c>
      <c r="O14" s="245">
        <v>0</v>
      </c>
      <c r="P14" s="245">
        <v>0</v>
      </c>
      <c r="Q14" s="245">
        <v>0</v>
      </c>
      <c r="R14" s="245">
        <v>0.04</v>
      </c>
      <c r="S14" s="245">
        <v>0</v>
      </c>
      <c r="T14" s="245">
        <v>0</v>
      </c>
      <c r="U14" s="245">
        <v>0</v>
      </c>
      <c r="V14" s="245">
        <v>1.2555555555555601E-3</v>
      </c>
      <c r="W14" s="245">
        <v>5.06666666666667E-2</v>
      </c>
      <c r="X14" s="245">
        <v>0</v>
      </c>
      <c r="Y14" s="245">
        <v>0</v>
      </c>
      <c r="Z14" s="245">
        <v>0</v>
      </c>
      <c r="AA14" s="245">
        <v>2.01E-2</v>
      </c>
      <c r="AB14" s="245">
        <v>1.6550030921459492E-2</v>
      </c>
      <c r="AC14" s="245">
        <v>7.1428571428571396E-4</v>
      </c>
      <c r="AD14" s="245">
        <v>0</v>
      </c>
      <c r="AE14" s="245">
        <v>0</v>
      </c>
      <c r="AF14" s="245">
        <v>0</v>
      </c>
      <c r="AG14" s="245">
        <v>0.13184838935574236</v>
      </c>
      <c r="AH14" s="245">
        <v>0</v>
      </c>
      <c r="AI14" s="245">
        <v>0</v>
      </c>
      <c r="AJ14" s="245">
        <v>0</v>
      </c>
      <c r="AK14" s="245">
        <v>0</v>
      </c>
      <c r="AL14" s="245">
        <v>0</v>
      </c>
      <c r="AM14" s="245">
        <v>0</v>
      </c>
      <c r="AN14" s="245">
        <v>0</v>
      </c>
      <c r="AO14" s="245">
        <v>0</v>
      </c>
      <c r="AP14" s="245">
        <v>1.2999999999999999E-2</v>
      </c>
      <c r="AQ14" s="245">
        <v>3.6249999999999998E-2</v>
      </c>
      <c r="AR14" s="245">
        <v>0</v>
      </c>
      <c r="AS14" s="245">
        <v>0</v>
      </c>
      <c r="AT14" s="245">
        <v>0</v>
      </c>
      <c r="AU14" s="245">
        <v>0</v>
      </c>
      <c r="AV14" s="245">
        <v>0</v>
      </c>
      <c r="AW14" s="245">
        <v>5.6633333999999997E-3</v>
      </c>
      <c r="AX14" s="245">
        <v>0</v>
      </c>
      <c r="AY14" s="245">
        <v>0</v>
      </c>
      <c r="AZ14" s="245">
        <v>0</v>
      </c>
      <c r="BA14" s="245">
        <v>0</v>
      </c>
      <c r="BB14" s="245">
        <v>0</v>
      </c>
      <c r="BC14" s="245">
        <v>0</v>
      </c>
    </row>
    <row r="15" ht="15">
      <c r="A15" t="s">
        <v>183</v>
      </c>
      <c r="B15" s="119">
        <v>0</v>
      </c>
      <c r="C15" s="119">
        <v>0</v>
      </c>
      <c r="D15" s="245">
        <v>0</v>
      </c>
      <c r="E15" s="245">
        <v>0</v>
      </c>
      <c r="F15" s="245">
        <v>0</v>
      </c>
      <c r="G15" s="245">
        <v>0</v>
      </c>
      <c r="H15" s="245">
        <v>0</v>
      </c>
      <c r="I15" s="245">
        <v>0</v>
      </c>
      <c r="J15" s="245">
        <v>0</v>
      </c>
      <c r="K15" s="245">
        <v>0</v>
      </c>
      <c r="L15" s="245">
        <v>0</v>
      </c>
      <c r="M15" s="245">
        <v>0</v>
      </c>
      <c r="N15" s="245">
        <v>0</v>
      </c>
      <c r="O15" s="245">
        <v>0</v>
      </c>
      <c r="P15" s="245">
        <v>0</v>
      </c>
      <c r="Q15" s="245">
        <v>0</v>
      </c>
      <c r="R15" s="245">
        <v>0</v>
      </c>
      <c r="S15" s="245">
        <v>0</v>
      </c>
      <c r="T15" s="245">
        <v>0</v>
      </c>
      <c r="U15" s="245">
        <v>0</v>
      </c>
      <c r="V15" s="245">
        <v>0</v>
      </c>
      <c r="W15" s="245">
        <v>0</v>
      </c>
      <c r="X15" s="245">
        <v>0</v>
      </c>
      <c r="Y15" s="245">
        <v>0</v>
      </c>
      <c r="Z15" s="245">
        <v>0</v>
      </c>
      <c r="AA15" s="245">
        <v>0</v>
      </c>
      <c r="AB15" s="245">
        <v>0</v>
      </c>
      <c r="AC15" s="245">
        <v>0</v>
      </c>
      <c r="AD15" s="245">
        <v>0</v>
      </c>
      <c r="AE15" s="245">
        <v>0</v>
      </c>
      <c r="AF15" s="245">
        <v>0</v>
      </c>
      <c r="AG15" s="245">
        <v>0</v>
      </c>
      <c r="AH15" s="245">
        <v>0</v>
      </c>
      <c r="AI15" s="245">
        <v>0</v>
      </c>
      <c r="AJ15" s="245">
        <v>0</v>
      </c>
      <c r="AK15" s="245">
        <v>0</v>
      </c>
      <c r="AL15" s="245">
        <v>0</v>
      </c>
      <c r="AM15" s="245">
        <v>0</v>
      </c>
      <c r="AN15" s="245">
        <v>0</v>
      </c>
      <c r="AO15" s="245">
        <v>0</v>
      </c>
      <c r="AP15" s="245">
        <v>0</v>
      </c>
      <c r="AQ15" s="245">
        <v>0</v>
      </c>
      <c r="AR15" s="245">
        <v>0</v>
      </c>
      <c r="AS15" s="245">
        <v>0</v>
      </c>
      <c r="AT15" s="245">
        <v>0</v>
      </c>
      <c r="AU15" s="245">
        <v>0</v>
      </c>
      <c r="AV15" s="245">
        <v>0</v>
      </c>
      <c r="AW15" s="245">
        <v>0</v>
      </c>
      <c r="AX15" s="245">
        <v>0</v>
      </c>
      <c r="AY15" s="245">
        <v>0</v>
      </c>
      <c r="AZ15" s="245">
        <v>0</v>
      </c>
      <c r="BA15" s="245">
        <v>0</v>
      </c>
      <c r="BB15" s="245">
        <v>0</v>
      </c>
      <c r="BC15" s="245">
        <v>0</v>
      </c>
    </row>
    <row r="16" ht="15">
      <c r="A16" t="s">
        <v>184</v>
      </c>
      <c r="B16" s="119">
        <v>0</v>
      </c>
      <c r="C16" s="119">
        <v>0</v>
      </c>
      <c r="D16" s="245">
        <v>0</v>
      </c>
      <c r="E16" s="245">
        <v>0</v>
      </c>
      <c r="F16" s="245">
        <v>0</v>
      </c>
      <c r="G16" s="245">
        <v>0</v>
      </c>
      <c r="H16" s="245">
        <v>0</v>
      </c>
      <c r="I16" s="245">
        <v>0</v>
      </c>
      <c r="J16" s="245">
        <v>0</v>
      </c>
      <c r="K16" s="245">
        <v>0</v>
      </c>
      <c r="L16" s="245">
        <v>0</v>
      </c>
      <c r="M16" s="245">
        <v>0</v>
      </c>
      <c r="N16" s="245">
        <v>0</v>
      </c>
      <c r="O16" s="245">
        <v>0</v>
      </c>
      <c r="P16" s="245">
        <v>0</v>
      </c>
      <c r="Q16" s="245">
        <v>0</v>
      </c>
      <c r="R16" s="245">
        <v>0</v>
      </c>
      <c r="S16" s="245">
        <v>0</v>
      </c>
      <c r="T16" s="245">
        <v>0</v>
      </c>
      <c r="U16" s="245">
        <v>0</v>
      </c>
      <c r="V16" s="245">
        <v>0</v>
      </c>
      <c r="W16" s="245">
        <v>3.9444444444444397E-3</v>
      </c>
      <c r="X16" s="245">
        <v>0</v>
      </c>
      <c r="Y16" s="245">
        <v>0</v>
      </c>
      <c r="Z16" s="245">
        <v>0</v>
      </c>
      <c r="AA16" s="245">
        <v>0</v>
      </c>
      <c r="AB16" s="245">
        <v>0</v>
      </c>
      <c r="AC16" s="245">
        <v>7.5714285714285701E-3</v>
      </c>
      <c r="AD16" s="245">
        <v>0</v>
      </c>
      <c r="AE16" s="245">
        <v>0</v>
      </c>
      <c r="AF16" s="245">
        <v>0</v>
      </c>
      <c r="AG16" s="245">
        <v>0</v>
      </c>
      <c r="AH16" s="245">
        <v>0</v>
      </c>
      <c r="AI16" s="245">
        <v>0</v>
      </c>
      <c r="AJ16" s="245">
        <v>0</v>
      </c>
      <c r="AK16" s="245">
        <v>0</v>
      </c>
      <c r="AL16" s="245">
        <v>0</v>
      </c>
      <c r="AM16" s="245">
        <v>0</v>
      </c>
      <c r="AN16" s="245">
        <v>0</v>
      </c>
      <c r="AO16" s="245">
        <v>0</v>
      </c>
      <c r="AP16" s="245">
        <v>2E-3</v>
      </c>
      <c r="AQ16" s="245">
        <v>0</v>
      </c>
      <c r="AR16" s="245">
        <v>0</v>
      </c>
      <c r="AS16" s="245">
        <v>0</v>
      </c>
      <c r="AT16" s="245">
        <v>0</v>
      </c>
      <c r="AU16" s="245">
        <v>0</v>
      </c>
      <c r="AV16" s="245">
        <v>0</v>
      </c>
      <c r="AW16" s="245">
        <v>7.4527272727272697E-3</v>
      </c>
      <c r="AX16" s="245">
        <v>1.06060606060606E-2</v>
      </c>
      <c r="AY16" s="245">
        <v>0.02</v>
      </c>
      <c r="AZ16" s="245">
        <v>0</v>
      </c>
      <c r="BA16" s="245">
        <v>0</v>
      </c>
      <c r="BB16" s="245">
        <v>0</v>
      </c>
      <c r="BC16" s="245">
        <v>0</v>
      </c>
    </row>
    <row r="17" ht="15">
      <c r="A17" t="s">
        <v>185</v>
      </c>
      <c r="B17" s="119">
        <v>0</v>
      </c>
      <c r="C17" s="119">
        <v>0</v>
      </c>
      <c r="D17" s="245">
        <v>0</v>
      </c>
      <c r="E17" s="245">
        <v>0</v>
      </c>
      <c r="F17" s="245">
        <v>0</v>
      </c>
      <c r="G17" s="245">
        <v>0</v>
      </c>
      <c r="H17" s="245">
        <v>0</v>
      </c>
      <c r="I17" s="245">
        <v>0</v>
      </c>
      <c r="J17" s="245">
        <v>0</v>
      </c>
      <c r="K17" s="245">
        <v>0</v>
      </c>
      <c r="L17" s="245">
        <v>0</v>
      </c>
      <c r="M17" s="245">
        <v>0</v>
      </c>
      <c r="N17" s="245">
        <v>0</v>
      </c>
      <c r="O17" s="245">
        <v>0</v>
      </c>
      <c r="P17" s="245">
        <v>0</v>
      </c>
      <c r="Q17" s="245">
        <v>0</v>
      </c>
      <c r="R17" s="245">
        <v>0</v>
      </c>
      <c r="S17" s="245">
        <v>0</v>
      </c>
      <c r="T17" s="245">
        <v>0</v>
      </c>
      <c r="U17" s="245">
        <v>0</v>
      </c>
      <c r="V17" s="245">
        <v>5.5444444444444404E-3</v>
      </c>
      <c r="W17" s="245">
        <v>0</v>
      </c>
      <c r="X17" s="245">
        <v>0</v>
      </c>
      <c r="Y17" s="245">
        <v>0</v>
      </c>
      <c r="Z17" s="245">
        <v>0</v>
      </c>
      <c r="AA17" s="245">
        <v>0</v>
      </c>
      <c r="AB17" s="245">
        <v>2.1774891774891791E-4</v>
      </c>
      <c r="AC17" s="245">
        <v>1.42857142857143E-4</v>
      </c>
      <c r="AD17" s="245">
        <v>0</v>
      </c>
      <c r="AE17" s="245">
        <v>0</v>
      </c>
      <c r="AF17" s="245">
        <v>0</v>
      </c>
      <c r="AG17" s="245">
        <v>9.0169467787114856E-3</v>
      </c>
      <c r="AH17" s="245">
        <v>0</v>
      </c>
      <c r="AI17" s="245">
        <v>0</v>
      </c>
      <c r="AJ17" s="245">
        <v>0</v>
      </c>
      <c r="AK17" s="245">
        <v>0</v>
      </c>
      <c r="AL17" s="245">
        <v>0</v>
      </c>
      <c r="AM17" s="245">
        <v>0</v>
      </c>
      <c r="AN17" s="245">
        <v>0</v>
      </c>
      <c r="AO17" s="245">
        <v>0</v>
      </c>
      <c r="AP17" s="245">
        <v>0</v>
      </c>
      <c r="AQ17" s="245">
        <v>1.15E-3</v>
      </c>
      <c r="AR17" s="245">
        <v>0</v>
      </c>
      <c r="AS17" s="245">
        <v>0</v>
      </c>
      <c r="AT17" s="245">
        <v>0</v>
      </c>
      <c r="AU17" s="245">
        <v>0</v>
      </c>
      <c r="AV17" s="245">
        <v>0</v>
      </c>
      <c r="AW17" s="245">
        <v>6.0637272727272987E-3</v>
      </c>
      <c r="AX17" s="245">
        <v>1.06060606060606E-2</v>
      </c>
      <c r="AY17" s="245">
        <v>0.02</v>
      </c>
      <c r="AZ17" s="245">
        <v>0</v>
      </c>
      <c r="BA17" s="245">
        <v>0</v>
      </c>
      <c r="BB17" s="245">
        <v>0</v>
      </c>
      <c r="BC17" s="245">
        <v>0</v>
      </c>
    </row>
    <row r="18" ht="15">
      <c r="A18" t="s">
        <v>186</v>
      </c>
      <c r="B18" s="119">
        <v>0</v>
      </c>
      <c r="C18" s="119">
        <v>0</v>
      </c>
      <c r="D18" s="245">
        <v>0</v>
      </c>
      <c r="E18" s="245">
        <v>0</v>
      </c>
      <c r="F18" s="245">
        <v>0</v>
      </c>
      <c r="G18" s="245">
        <v>0</v>
      </c>
      <c r="H18" s="245">
        <v>0</v>
      </c>
      <c r="I18" s="245">
        <v>0</v>
      </c>
      <c r="J18" s="245">
        <v>0</v>
      </c>
      <c r="K18" s="245">
        <v>0</v>
      </c>
      <c r="L18" s="245">
        <v>0</v>
      </c>
      <c r="M18" s="245">
        <v>0</v>
      </c>
      <c r="N18" s="245">
        <v>0</v>
      </c>
      <c r="O18" s="245">
        <v>0</v>
      </c>
      <c r="P18" s="245">
        <v>0</v>
      </c>
      <c r="Q18" s="245">
        <v>0</v>
      </c>
      <c r="R18" s="245">
        <v>0</v>
      </c>
      <c r="S18" s="245">
        <v>0</v>
      </c>
      <c r="T18" s="245">
        <v>0</v>
      </c>
      <c r="U18" s="245">
        <v>0</v>
      </c>
      <c r="V18" s="245">
        <v>0</v>
      </c>
      <c r="W18" s="245">
        <v>0</v>
      </c>
      <c r="X18" s="245">
        <v>0</v>
      </c>
      <c r="Y18" s="245">
        <v>0</v>
      </c>
      <c r="Z18" s="245">
        <v>0</v>
      </c>
      <c r="AA18" s="245">
        <f>0.00101666666666667*0.58</f>
        <v>5.8966666666666857E-4</v>
      </c>
      <c r="AB18" s="245">
        <f>0.0218045763760049*0.58</f>
        <v>1.2646654298082842E-2</v>
      </c>
      <c r="AC18" s="245">
        <f>0.002*0.58</f>
        <v>1.16E-3</v>
      </c>
      <c r="AD18" s="245">
        <v>0</v>
      </c>
      <c r="AE18" s="245">
        <v>0</v>
      </c>
      <c r="AF18" s="245">
        <f>0.0150580832444444*0.58</f>
        <v>8.733688281777752E-3</v>
      </c>
      <c r="AG18" s="245">
        <f>0.105667016806723*0.58</f>
        <v>6.1286869747899334E-2</v>
      </c>
      <c r="AH18" s="245">
        <v>0</v>
      </c>
      <c r="AI18" s="245">
        <v>0</v>
      </c>
      <c r="AJ18" s="245">
        <v>0</v>
      </c>
      <c r="AK18" s="245">
        <v>0</v>
      </c>
      <c r="AL18" s="245">
        <v>0</v>
      </c>
      <c r="AM18" s="245">
        <v>0</v>
      </c>
      <c r="AN18" s="245">
        <v>0</v>
      </c>
      <c r="AO18" s="245">
        <v>0</v>
      </c>
      <c r="AP18" s="245">
        <v>5.0999999999999997E-2</v>
      </c>
      <c r="AQ18" s="245">
        <v>0.11685</v>
      </c>
      <c r="AR18" s="245">
        <v>0</v>
      </c>
      <c r="AS18" s="245">
        <v>0</v>
      </c>
      <c r="AT18" s="245">
        <f>0.0759925609645094*0.58</f>
        <v>4.4075685359415452E-2</v>
      </c>
      <c r="AU18" s="245">
        <v>0</v>
      </c>
      <c r="AV18" s="245">
        <v>0</v>
      </c>
      <c r="AW18" s="245">
        <v>7.4859439023450304E-3</v>
      </c>
      <c r="AX18" s="245">
        <v>1.06060606060606E-2</v>
      </c>
      <c r="AY18" s="245">
        <v>0.02</v>
      </c>
      <c r="AZ18" s="245">
        <v>0</v>
      </c>
      <c r="BA18" s="245">
        <v>0</v>
      </c>
      <c r="BB18" s="245">
        <v>0</v>
      </c>
      <c r="BC18" s="245">
        <v>0</v>
      </c>
    </row>
    <row r="19" ht="15">
      <c r="A19" t="s">
        <v>187</v>
      </c>
      <c r="B19" s="119">
        <v>0</v>
      </c>
      <c r="C19" s="119">
        <v>0</v>
      </c>
      <c r="D19" s="245">
        <v>0</v>
      </c>
      <c r="E19" s="245">
        <v>0</v>
      </c>
      <c r="F19" s="245">
        <v>0</v>
      </c>
      <c r="G19" s="245">
        <v>0</v>
      </c>
      <c r="H19" s="245">
        <v>0</v>
      </c>
      <c r="I19" s="245">
        <v>0</v>
      </c>
      <c r="J19" s="245">
        <v>0</v>
      </c>
      <c r="K19" s="245">
        <v>0</v>
      </c>
      <c r="L19" s="245">
        <v>0</v>
      </c>
      <c r="M19" s="245">
        <v>0</v>
      </c>
      <c r="N19" s="245">
        <v>0</v>
      </c>
      <c r="O19" s="245">
        <v>0</v>
      </c>
      <c r="P19" s="245">
        <v>0</v>
      </c>
      <c r="Q19" s="245">
        <v>0</v>
      </c>
      <c r="R19" s="245">
        <v>0</v>
      </c>
      <c r="S19" s="245">
        <v>0</v>
      </c>
      <c r="T19" s="245">
        <v>0</v>
      </c>
      <c r="U19" s="245">
        <v>0</v>
      </c>
      <c r="V19" s="245">
        <v>0</v>
      </c>
      <c r="W19" s="245">
        <v>0</v>
      </c>
      <c r="X19" s="245">
        <v>0</v>
      </c>
      <c r="Y19" s="245">
        <v>0</v>
      </c>
      <c r="Z19" s="245">
        <v>0</v>
      </c>
      <c r="AA19" s="245">
        <f>0.00101666666666667*0.42</f>
        <v>4.2700000000000143E-4</v>
      </c>
      <c r="AB19" s="245">
        <f>0.0218045763760049*0.42</f>
        <v>9.1579220779220583E-3</v>
      </c>
      <c r="AC19" s="245">
        <f>0.002*0.42</f>
        <v>8.4000000000000003E-4</v>
      </c>
      <c r="AD19" s="245">
        <v>0</v>
      </c>
      <c r="AE19" s="245">
        <v>0</v>
      </c>
      <c r="AF19" s="245">
        <f>0.0150580832444444*0.42</f>
        <v>6.3243949626666483E-3</v>
      </c>
      <c r="AG19" s="245">
        <f>0.105667016806723*0.42</f>
        <v>4.4380147058823656E-2</v>
      </c>
      <c r="AH19" s="245">
        <v>0</v>
      </c>
      <c r="AI19" s="245">
        <v>0</v>
      </c>
      <c r="AJ19" s="245">
        <v>0</v>
      </c>
      <c r="AK19" s="245">
        <v>0</v>
      </c>
      <c r="AL19" s="245">
        <v>0</v>
      </c>
      <c r="AM19" s="245">
        <v>0</v>
      </c>
      <c r="AN19" s="245">
        <v>0</v>
      </c>
      <c r="AO19" s="245">
        <v>0</v>
      </c>
      <c r="AP19" s="245">
        <v>0.13700000000000001</v>
      </c>
      <c r="AQ19" s="245">
        <v>0.1903</v>
      </c>
      <c r="AR19" s="245">
        <v>0.15897</v>
      </c>
      <c r="AS19" s="245">
        <v>0</v>
      </c>
      <c r="AT19" s="245">
        <f>0.0759925609645094*0.42</f>
        <v>3.1916875605093951E-2</v>
      </c>
      <c r="AU19" s="245">
        <v>0</v>
      </c>
      <c r="AV19" s="245">
        <v>0</v>
      </c>
      <c r="AW19" s="245">
        <v>1.17365989165755E-2</v>
      </c>
      <c r="AX19" s="245">
        <v>1.06060606060606E-2</v>
      </c>
      <c r="AY19" s="245">
        <v>0.02</v>
      </c>
      <c r="AZ19" s="245">
        <v>0</v>
      </c>
      <c r="BA19" s="245">
        <v>0</v>
      </c>
      <c r="BB19" s="245">
        <v>0</v>
      </c>
      <c r="BC19" s="245">
        <v>0</v>
      </c>
    </row>
    <row r="20" ht="15">
      <c r="A20" t="s">
        <v>188</v>
      </c>
      <c r="B20" s="119">
        <v>0</v>
      </c>
      <c r="C20" s="119">
        <v>0</v>
      </c>
      <c r="D20" s="245">
        <v>0</v>
      </c>
      <c r="E20" s="245">
        <v>0</v>
      </c>
      <c r="F20" s="245">
        <v>0</v>
      </c>
      <c r="G20" s="245">
        <v>0</v>
      </c>
      <c r="H20" s="245">
        <v>0</v>
      </c>
      <c r="I20" s="245">
        <v>0</v>
      </c>
      <c r="J20" s="245">
        <v>0</v>
      </c>
      <c r="K20" s="245">
        <v>0</v>
      </c>
      <c r="L20" s="245">
        <v>0</v>
      </c>
      <c r="M20" s="245">
        <v>0</v>
      </c>
      <c r="N20" s="245">
        <v>0</v>
      </c>
      <c r="O20" s="245">
        <v>0</v>
      </c>
      <c r="P20" s="245">
        <v>0</v>
      </c>
      <c r="Q20" s="245">
        <v>0</v>
      </c>
      <c r="R20" s="245">
        <v>0</v>
      </c>
      <c r="S20" s="245">
        <v>0</v>
      </c>
      <c r="T20" s="245">
        <v>0</v>
      </c>
      <c r="U20" s="245">
        <v>0</v>
      </c>
      <c r="V20" s="245">
        <v>0</v>
      </c>
      <c r="W20" s="245">
        <v>0</v>
      </c>
      <c r="X20" s="245">
        <v>0</v>
      </c>
      <c r="Y20" s="245">
        <v>0</v>
      </c>
      <c r="Z20" s="245">
        <v>0</v>
      </c>
      <c r="AA20" s="245">
        <v>2.8833333333333302E-3</v>
      </c>
      <c r="AB20" s="245">
        <v>0</v>
      </c>
      <c r="AC20" s="245">
        <v>0</v>
      </c>
      <c r="AD20" s="245">
        <v>0</v>
      </c>
      <c r="AE20" s="245">
        <v>0</v>
      </c>
      <c r="AF20" s="245">
        <v>0</v>
      </c>
      <c r="AG20" s="245">
        <v>0</v>
      </c>
      <c r="AH20" s="245">
        <v>0</v>
      </c>
      <c r="AI20" s="245">
        <v>0</v>
      </c>
      <c r="AJ20" s="245">
        <v>0</v>
      </c>
      <c r="AK20" s="245">
        <v>0</v>
      </c>
      <c r="AL20" s="245">
        <v>0</v>
      </c>
      <c r="AM20" s="245">
        <v>0</v>
      </c>
      <c r="AN20" s="245">
        <v>0</v>
      </c>
      <c r="AO20" s="245">
        <v>0</v>
      </c>
      <c r="AP20" s="245">
        <v>0.17100000000000001</v>
      </c>
      <c r="AQ20" s="245">
        <v>0.13200000000000001</v>
      </c>
      <c r="AR20" s="245">
        <v>0.59621000000000002</v>
      </c>
      <c r="AS20" s="245">
        <v>0</v>
      </c>
      <c r="AT20" s="245">
        <v>0</v>
      </c>
      <c r="AU20" s="245">
        <v>0</v>
      </c>
      <c r="AV20" s="245">
        <v>0</v>
      </c>
      <c r="AW20" s="245">
        <v>1.0154186198685602E-2</v>
      </c>
      <c r="AX20" s="245">
        <v>1.06060606060606E-2</v>
      </c>
      <c r="AY20" s="245">
        <v>0.02</v>
      </c>
      <c r="AZ20" s="245">
        <v>0</v>
      </c>
      <c r="BA20" s="245">
        <v>0</v>
      </c>
      <c r="BB20" s="245">
        <v>0</v>
      </c>
      <c r="BC20" s="245">
        <v>0</v>
      </c>
    </row>
    <row r="21" ht="15">
      <c r="A21" t="s">
        <v>189</v>
      </c>
      <c r="B21" s="119">
        <v>0</v>
      </c>
      <c r="C21" s="119">
        <v>0</v>
      </c>
      <c r="D21" s="245">
        <v>0</v>
      </c>
      <c r="E21" s="245">
        <v>0</v>
      </c>
      <c r="F21" s="245">
        <v>0</v>
      </c>
      <c r="G21" s="245">
        <v>0</v>
      </c>
      <c r="H21" s="245">
        <v>0</v>
      </c>
      <c r="I21" s="245">
        <v>0</v>
      </c>
      <c r="J21" s="245">
        <v>0</v>
      </c>
      <c r="K21" s="245">
        <v>0</v>
      </c>
      <c r="L21" s="245">
        <v>0</v>
      </c>
      <c r="M21" s="245">
        <v>0</v>
      </c>
      <c r="N21" s="245">
        <v>0</v>
      </c>
      <c r="O21" s="245">
        <v>0</v>
      </c>
      <c r="P21" s="245">
        <v>0</v>
      </c>
      <c r="Q21" s="245">
        <v>0</v>
      </c>
      <c r="R21" s="245">
        <v>0</v>
      </c>
      <c r="S21" s="245">
        <v>0</v>
      </c>
      <c r="T21" s="245">
        <v>0</v>
      </c>
      <c r="U21" s="245">
        <v>0</v>
      </c>
      <c r="V21" s="245">
        <v>0</v>
      </c>
      <c r="W21" s="245">
        <v>0</v>
      </c>
      <c r="X21" s="245">
        <v>0</v>
      </c>
      <c r="Y21" s="245">
        <v>0</v>
      </c>
      <c r="Z21" s="245">
        <v>0</v>
      </c>
      <c r="AA21" s="245">
        <v>0</v>
      </c>
      <c r="AB21" s="245">
        <v>0</v>
      </c>
      <c r="AC21" s="245">
        <v>0</v>
      </c>
      <c r="AD21" s="245">
        <v>0</v>
      </c>
      <c r="AE21" s="245">
        <v>0</v>
      </c>
      <c r="AF21" s="245">
        <v>0</v>
      </c>
      <c r="AG21" s="245">
        <v>0</v>
      </c>
      <c r="AH21" s="245">
        <v>0</v>
      </c>
      <c r="AI21" s="245">
        <v>0</v>
      </c>
      <c r="AJ21" s="245">
        <v>0</v>
      </c>
      <c r="AK21" s="245">
        <v>0</v>
      </c>
      <c r="AL21" s="245">
        <v>0</v>
      </c>
      <c r="AM21" s="245">
        <v>0</v>
      </c>
      <c r="AN21" s="245">
        <v>0</v>
      </c>
      <c r="AO21" s="245">
        <v>0</v>
      </c>
      <c r="AP21" s="245">
        <v>0</v>
      </c>
      <c r="AQ21" s="245">
        <v>0</v>
      </c>
      <c r="AR21" s="245">
        <v>0</v>
      </c>
      <c r="AS21" s="245">
        <v>0</v>
      </c>
      <c r="AT21" s="245">
        <v>0</v>
      </c>
      <c r="AU21" s="245">
        <v>0</v>
      </c>
      <c r="AV21" s="245">
        <v>0</v>
      </c>
      <c r="AW21" s="245">
        <v>0</v>
      </c>
      <c r="AX21" s="245">
        <v>0</v>
      </c>
      <c r="AY21" s="245">
        <v>0</v>
      </c>
      <c r="AZ21" s="245">
        <v>0</v>
      </c>
      <c r="BA21" s="245">
        <v>0</v>
      </c>
      <c r="BB21" s="245">
        <v>0</v>
      </c>
      <c r="BC21" s="245">
        <v>0</v>
      </c>
    </row>
    <row r="22" ht="15">
      <c r="A22" t="s">
        <v>190</v>
      </c>
      <c r="B22" s="119">
        <v>0</v>
      </c>
      <c r="C22" s="119">
        <v>0</v>
      </c>
      <c r="D22" s="245">
        <v>0</v>
      </c>
      <c r="E22" s="245">
        <v>0</v>
      </c>
      <c r="F22" s="245">
        <v>0</v>
      </c>
      <c r="G22" s="245">
        <v>0</v>
      </c>
      <c r="H22" s="245">
        <v>0</v>
      </c>
      <c r="I22" s="245">
        <v>0</v>
      </c>
      <c r="J22" s="245">
        <v>0</v>
      </c>
      <c r="K22" s="245">
        <v>0</v>
      </c>
      <c r="L22" s="245">
        <v>0</v>
      </c>
      <c r="M22" s="245">
        <v>0</v>
      </c>
      <c r="N22" s="245">
        <v>0</v>
      </c>
      <c r="O22" s="245">
        <v>0</v>
      </c>
      <c r="P22" s="245">
        <v>0</v>
      </c>
      <c r="Q22" s="245">
        <v>0</v>
      </c>
      <c r="R22" s="245">
        <v>0</v>
      </c>
      <c r="S22" s="245">
        <v>0</v>
      </c>
      <c r="T22" s="245">
        <v>0</v>
      </c>
      <c r="U22" s="245">
        <v>0</v>
      </c>
      <c r="V22" s="245">
        <v>0</v>
      </c>
      <c r="W22" s="245">
        <v>0</v>
      </c>
      <c r="X22" s="245">
        <v>0</v>
      </c>
      <c r="Y22" s="245">
        <v>0</v>
      </c>
      <c r="Z22" s="245">
        <v>0</v>
      </c>
      <c r="AA22" s="245">
        <v>0</v>
      </c>
      <c r="AB22" s="245">
        <v>0</v>
      </c>
      <c r="AC22" s="245">
        <v>0</v>
      </c>
      <c r="AD22" s="245">
        <v>0</v>
      </c>
      <c r="AE22" s="245">
        <v>0</v>
      </c>
      <c r="AF22" s="245">
        <v>0</v>
      </c>
      <c r="AG22" s="245">
        <v>0</v>
      </c>
      <c r="AH22" s="245">
        <v>0</v>
      </c>
      <c r="AI22" s="245">
        <v>0</v>
      </c>
      <c r="AJ22" s="245">
        <v>0</v>
      </c>
      <c r="AK22" s="245">
        <v>0</v>
      </c>
      <c r="AL22" s="245">
        <v>0</v>
      </c>
      <c r="AM22" s="245">
        <v>0</v>
      </c>
      <c r="AN22" s="245">
        <v>0</v>
      </c>
      <c r="AO22" s="245">
        <v>0</v>
      </c>
      <c r="AP22" s="245">
        <v>0</v>
      </c>
      <c r="AQ22" s="245">
        <v>0</v>
      </c>
      <c r="AR22" s="245">
        <v>0</v>
      </c>
      <c r="AS22" s="245">
        <v>0</v>
      </c>
      <c r="AT22" s="245">
        <v>0</v>
      </c>
      <c r="AU22" s="245">
        <v>0</v>
      </c>
      <c r="AV22" s="245">
        <v>0</v>
      </c>
      <c r="AW22" s="245">
        <v>7.4527272727272697E-3</v>
      </c>
      <c r="AX22" s="245">
        <v>1.06060606060606E-2</v>
      </c>
      <c r="AY22" s="245">
        <v>0.02</v>
      </c>
      <c r="AZ22" s="245">
        <v>0</v>
      </c>
      <c r="BA22" s="245">
        <v>0</v>
      </c>
      <c r="BB22" s="245">
        <v>0</v>
      </c>
      <c r="BC22" s="245">
        <v>0</v>
      </c>
    </row>
    <row r="23" ht="15">
      <c r="A23" t="s">
        <v>191</v>
      </c>
      <c r="B23" s="119">
        <v>0</v>
      </c>
      <c r="C23" s="119">
        <v>0</v>
      </c>
      <c r="D23" s="245">
        <v>0</v>
      </c>
      <c r="E23" s="245">
        <v>0</v>
      </c>
      <c r="F23" s="245">
        <v>0</v>
      </c>
      <c r="G23" s="245">
        <v>0</v>
      </c>
      <c r="H23" s="245">
        <v>0</v>
      </c>
      <c r="I23" s="245">
        <v>0</v>
      </c>
      <c r="J23" s="245">
        <v>0</v>
      </c>
      <c r="K23" s="245">
        <v>0</v>
      </c>
      <c r="L23" s="245">
        <v>0</v>
      </c>
      <c r="M23" s="245">
        <v>0</v>
      </c>
      <c r="N23" s="245">
        <v>0</v>
      </c>
      <c r="O23" s="245">
        <v>0</v>
      </c>
      <c r="P23" s="245">
        <v>0</v>
      </c>
      <c r="Q23" s="245">
        <v>0</v>
      </c>
      <c r="R23" s="245">
        <v>0</v>
      </c>
      <c r="S23" s="245">
        <v>0</v>
      </c>
      <c r="T23" s="245">
        <v>0</v>
      </c>
      <c r="U23" s="245">
        <v>0</v>
      </c>
      <c r="V23" s="245">
        <v>3.6111111111111101E-3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245">
        <v>0</v>
      </c>
      <c r="AD23" s="245">
        <v>0</v>
      </c>
      <c r="AE23" s="245">
        <v>0</v>
      </c>
      <c r="AF23" s="245">
        <v>0</v>
      </c>
      <c r="AG23" s="245">
        <v>0</v>
      </c>
      <c r="AH23" s="245">
        <v>0</v>
      </c>
      <c r="AI23" s="245">
        <v>0</v>
      </c>
      <c r="AJ23" s="247">
        <v>2.0162999999999986E-3</v>
      </c>
      <c r="AK23" s="245">
        <v>0</v>
      </c>
      <c r="AL23" s="245">
        <v>0</v>
      </c>
      <c r="AM23" s="245">
        <v>0</v>
      </c>
      <c r="AN23" s="245">
        <v>0</v>
      </c>
      <c r="AO23" s="245">
        <v>0</v>
      </c>
      <c r="AP23" s="245">
        <v>0</v>
      </c>
      <c r="AQ23" s="245">
        <v>0</v>
      </c>
      <c r="AR23" s="245">
        <v>0</v>
      </c>
      <c r="AS23" s="245">
        <v>0</v>
      </c>
      <c r="AT23" s="245">
        <v>5.0000000000000001E-4</v>
      </c>
      <c r="AU23" s="245">
        <v>0</v>
      </c>
      <c r="AV23" s="245">
        <v>0</v>
      </c>
      <c r="AW23" s="245">
        <v>1.23387166683138E-2</v>
      </c>
      <c r="AX23" s="245">
        <v>1.06060606060606E-2</v>
      </c>
      <c r="AY23" s="245">
        <v>0</v>
      </c>
      <c r="AZ23" s="245">
        <v>0</v>
      </c>
      <c r="BA23" s="245">
        <v>0</v>
      </c>
      <c r="BB23" s="245">
        <v>0</v>
      </c>
      <c r="BC23" s="245">
        <v>0</v>
      </c>
    </row>
    <row r="24" ht="15">
      <c r="A24" t="s">
        <v>192</v>
      </c>
      <c r="B24" s="119">
        <v>0</v>
      </c>
      <c r="C24" s="119">
        <v>0</v>
      </c>
      <c r="D24" s="245">
        <v>0</v>
      </c>
      <c r="E24" s="245">
        <v>0</v>
      </c>
      <c r="F24" s="245">
        <v>0</v>
      </c>
      <c r="G24" s="245">
        <v>0</v>
      </c>
      <c r="H24" s="245">
        <v>0</v>
      </c>
      <c r="I24" s="245">
        <v>0</v>
      </c>
      <c r="J24" s="245">
        <v>0</v>
      </c>
      <c r="K24" s="245">
        <v>0</v>
      </c>
      <c r="L24" s="245">
        <v>0</v>
      </c>
      <c r="M24" s="245">
        <v>0</v>
      </c>
      <c r="N24" s="245">
        <v>0</v>
      </c>
      <c r="O24" s="245">
        <v>0</v>
      </c>
      <c r="P24" s="245">
        <v>0</v>
      </c>
      <c r="Q24" s="245">
        <v>0</v>
      </c>
      <c r="R24" s="245">
        <v>0</v>
      </c>
      <c r="S24" s="245">
        <v>0</v>
      </c>
      <c r="T24" s="245">
        <v>0</v>
      </c>
      <c r="U24" s="245">
        <v>0</v>
      </c>
      <c r="V24" s="245">
        <v>0</v>
      </c>
      <c r="W24" s="245">
        <v>0</v>
      </c>
      <c r="X24" s="245">
        <v>0</v>
      </c>
      <c r="Y24" s="245">
        <v>0</v>
      </c>
      <c r="Z24" s="245">
        <v>0</v>
      </c>
      <c r="AA24" s="245">
        <v>0</v>
      </c>
      <c r="AB24" s="245">
        <v>0</v>
      </c>
      <c r="AC24" s="245">
        <v>0</v>
      </c>
      <c r="AD24" s="245">
        <v>0</v>
      </c>
      <c r="AE24" s="245">
        <v>0</v>
      </c>
      <c r="AF24" s="245">
        <v>0</v>
      </c>
      <c r="AG24" s="245">
        <v>0</v>
      </c>
      <c r="AH24" s="245">
        <v>0</v>
      </c>
      <c r="AI24" s="245">
        <v>0</v>
      </c>
      <c r="AJ24" s="245">
        <v>0</v>
      </c>
      <c r="AK24" s="245">
        <v>0</v>
      </c>
      <c r="AL24" s="245">
        <v>0</v>
      </c>
      <c r="AM24" s="245">
        <v>0</v>
      </c>
      <c r="AN24" s="245">
        <v>0</v>
      </c>
      <c r="AO24" s="245">
        <v>0</v>
      </c>
      <c r="AP24" s="245">
        <v>0</v>
      </c>
      <c r="AQ24" s="245">
        <v>0</v>
      </c>
      <c r="AR24" s="245">
        <v>0</v>
      </c>
      <c r="AS24" s="245">
        <v>0</v>
      </c>
      <c r="AT24" s="245">
        <v>0</v>
      </c>
      <c r="AU24" s="245">
        <v>0</v>
      </c>
      <c r="AV24" s="245">
        <v>0</v>
      </c>
      <c r="AW24" s="245">
        <v>0.25499506127272703</v>
      </c>
      <c r="AX24" s="245">
        <v>6.9444444444444406E-2</v>
      </c>
      <c r="AY24" s="245">
        <v>0.2</v>
      </c>
      <c r="AZ24" s="245">
        <v>0</v>
      </c>
      <c r="BA24" s="245">
        <v>0</v>
      </c>
      <c r="BB24" s="245">
        <v>0</v>
      </c>
      <c r="BC24" s="245">
        <v>0</v>
      </c>
    </row>
    <row r="25" ht="15">
      <c r="A25" t="s">
        <v>225</v>
      </c>
      <c r="B25" s="119">
        <v>0</v>
      </c>
      <c r="C25" s="119">
        <v>0</v>
      </c>
      <c r="D25" s="245">
        <v>0</v>
      </c>
      <c r="E25" s="245">
        <v>0</v>
      </c>
      <c r="F25" s="245">
        <v>0</v>
      </c>
      <c r="G25" s="245">
        <v>0</v>
      </c>
      <c r="H25" s="245">
        <v>0</v>
      </c>
      <c r="I25" s="245">
        <v>0</v>
      </c>
      <c r="J25" s="245">
        <v>0</v>
      </c>
      <c r="K25" s="245">
        <v>0</v>
      </c>
      <c r="L25" s="245">
        <v>0</v>
      </c>
      <c r="M25" s="245">
        <v>0</v>
      </c>
      <c r="N25" s="245">
        <v>0</v>
      </c>
      <c r="O25" s="245">
        <v>0</v>
      </c>
      <c r="P25" s="245">
        <v>0</v>
      </c>
      <c r="Q25" s="245">
        <v>0</v>
      </c>
      <c r="R25" s="245">
        <v>0</v>
      </c>
      <c r="S25" s="245">
        <v>0</v>
      </c>
      <c r="T25" s="245">
        <v>0</v>
      </c>
      <c r="U25" s="245">
        <v>0</v>
      </c>
      <c r="V25" s="245">
        <v>8.1111111111111097E-4</v>
      </c>
      <c r="W25" s="245">
        <v>0</v>
      </c>
      <c r="X25" s="245">
        <v>0</v>
      </c>
      <c r="Y25" s="245">
        <v>7.5199999999999998E-3</v>
      </c>
      <c r="Z25" s="245">
        <v>0</v>
      </c>
      <c r="AA25" s="245">
        <v>0</v>
      </c>
      <c r="AB25" s="245">
        <v>0</v>
      </c>
      <c r="AC25" s="245">
        <v>0</v>
      </c>
      <c r="AD25" s="245">
        <v>0</v>
      </c>
      <c r="AE25" s="245">
        <v>0</v>
      </c>
      <c r="AF25" s="245">
        <v>0</v>
      </c>
      <c r="AG25" s="245">
        <v>0</v>
      </c>
      <c r="AH25" s="245">
        <v>0</v>
      </c>
      <c r="AI25" s="245">
        <v>0</v>
      </c>
      <c r="AJ25" s="245">
        <v>0</v>
      </c>
      <c r="AK25" s="245">
        <v>0</v>
      </c>
      <c r="AL25" s="245">
        <v>0</v>
      </c>
      <c r="AM25" s="245">
        <v>0</v>
      </c>
      <c r="AN25" s="245">
        <v>0</v>
      </c>
      <c r="AO25" s="245">
        <v>0</v>
      </c>
      <c r="AP25" s="245">
        <v>0</v>
      </c>
      <c r="AQ25" s="245">
        <v>1.2500000000000001E-2</v>
      </c>
      <c r="AR25" s="245">
        <v>0</v>
      </c>
      <c r="AS25" s="245">
        <v>0</v>
      </c>
      <c r="AT25" s="245">
        <v>0</v>
      </c>
      <c r="AU25" s="245">
        <v>0</v>
      </c>
      <c r="AV25" s="245">
        <v>0</v>
      </c>
      <c r="AW25" s="245">
        <v>0</v>
      </c>
      <c r="AX25" s="245">
        <v>0</v>
      </c>
      <c r="AY25" s="245">
        <v>0</v>
      </c>
      <c r="AZ25" s="245">
        <v>0</v>
      </c>
      <c r="BA25" s="245">
        <v>0</v>
      </c>
      <c r="BB25" s="245">
        <v>0</v>
      </c>
      <c r="BC25" s="245">
        <v>0</v>
      </c>
    </row>
    <row r="26" ht="15">
      <c r="A26" t="s">
        <v>226</v>
      </c>
      <c r="B26" s="119">
        <v>0</v>
      </c>
      <c r="C26" s="119">
        <v>0</v>
      </c>
      <c r="D26" s="245">
        <v>0</v>
      </c>
      <c r="E26" s="245">
        <v>0</v>
      </c>
      <c r="F26" s="245">
        <v>0</v>
      </c>
      <c r="G26" s="245">
        <v>0</v>
      </c>
      <c r="H26" s="245">
        <v>0</v>
      </c>
      <c r="I26" s="245">
        <v>0</v>
      </c>
      <c r="J26" s="245">
        <v>0</v>
      </c>
      <c r="K26" s="245">
        <v>0</v>
      </c>
      <c r="L26" s="245">
        <v>0</v>
      </c>
      <c r="M26" s="245">
        <v>0</v>
      </c>
      <c r="N26" s="245">
        <v>0</v>
      </c>
      <c r="O26" s="245">
        <v>0</v>
      </c>
      <c r="P26" s="245">
        <v>0</v>
      </c>
      <c r="Q26" s="245">
        <v>0</v>
      </c>
      <c r="R26" s="245">
        <v>0</v>
      </c>
      <c r="S26" s="245">
        <v>0</v>
      </c>
      <c r="T26" s="245">
        <v>0</v>
      </c>
      <c r="U26" s="245">
        <v>0</v>
      </c>
      <c r="V26" s="245">
        <v>0</v>
      </c>
      <c r="W26" s="245">
        <v>0</v>
      </c>
      <c r="X26" s="245">
        <v>0</v>
      </c>
      <c r="Y26" s="245">
        <v>0</v>
      </c>
      <c r="Z26" s="245">
        <v>0</v>
      </c>
      <c r="AA26" s="245">
        <v>0</v>
      </c>
      <c r="AB26" s="245">
        <v>9.4409400123685819E-3</v>
      </c>
      <c r="AC26" s="245">
        <v>0</v>
      </c>
      <c r="AD26" s="245">
        <v>0</v>
      </c>
      <c r="AE26" s="245">
        <v>0</v>
      </c>
      <c r="AF26" s="245">
        <v>0</v>
      </c>
      <c r="AG26" s="245">
        <v>1.8671918767506956E-2</v>
      </c>
      <c r="AH26" s="245">
        <v>0</v>
      </c>
      <c r="AI26" s="245">
        <v>0</v>
      </c>
      <c r="AJ26" s="245">
        <v>0</v>
      </c>
      <c r="AK26" s="245">
        <v>0</v>
      </c>
      <c r="AL26" s="245">
        <v>0</v>
      </c>
      <c r="AM26" s="245">
        <v>0</v>
      </c>
      <c r="AN26" s="245">
        <v>0</v>
      </c>
      <c r="AO26" s="245">
        <v>0</v>
      </c>
      <c r="AP26" s="245">
        <v>0</v>
      </c>
      <c r="AQ26" s="245">
        <v>0</v>
      </c>
      <c r="AR26" s="245">
        <v>0</v>
      </c>
      <c r="AS26" s="245">
        <v>0</v>
      </c>
      <c r="AT26" s="245">
        <v>0</v>
      </c>
      <c r="AU26" s="245">
        <v>0</v>
      </c>
      <c r="AV26" s="245">
        <v>0</v>
      </c>
      <c r="AW26" s="245">
        <v>0</v>
      </c>
      <c r="AX26" s="245">
        <v>0</v>
      </c>
      <c r="AY26" s="245">
        <v>0</v>
      </c>
      <c r="AZ26" s="245">
        <v>0</v>
      </c>
      <c r="BA26" s="245">
        <v>0</v>
      </c>
      <c r="BB26" s="245">
        <v>0</v>
      </c>
      <c r="BC26" s="245">
        <v>0</v>
      </c>
    </row>
    <row r="27" ht="15">
      <c r="A27" t="s">
        <v>227</v>
      </c>
      <c r="B27" s="119">
        <v>0</v>
      </c>
      <c r="C27" s="119">
        <v>0</v>
      </c>
      <c r="D27" s="245">
        <v>0</v>
      </c>
      <c r="E27" s="245">
        <v>0</v>
      </c>
      <c r="F27" s="245">
        <v>0</v>
      </c>
      <c r="G27" s="245">
        <v>0</v>
      </c>
      <c r="H27" s="245">
        <v>0</v>
      </c>
      <c r="I27" s="245">
        <v>0</v>
      </c>
      <c r="J27" s="245">
        <v>0</v>
      </c>
      <c r="K27" s="245">
        <v>0</v>
      </c>
      <c r="L27" s="245">
        <v>0</v>
      </c>
      <c r="M27" s="245">
        <v>0</v>
      </c>
      <c r="N27" s="245">
        <v>0</v>
      </c>
      <c r="O27" s="245">
        <v>0</v>
      </c>
      <c r="P27" s="245">
        <v>0</v>
      </c>
      <c r="Q27" s="245">
        <v>0</v>
      </c>
      <c r="R27" s="245">
        <v>0</v>
      </c>
      <c r="S27" s="245">
        <v>0</v>
      </c>
      <c r="T27" s="245">
        <v>0</v>
      </c>
      <c r="U27" s="245">
        <v>0</v>
      </c>
      <c r="V27" s="245">
        <v>0</v>
      </c>
      <c r="W27" s="245">
        <v>0</v>
      </c>
      <c r="X27" s="245">
        <v>0</v>
      </c>
      <c r="Y27" s="245">
        <v>0</v>
      </c>
      <c r="Z27" s="245">
        <v>0</v>
      </c>
      <c r="AA27" s="245">
        <v>0</v>
      </c>
      <c r="AB27" s="245">
        <v>0</v>
      </c>
      <c r="AC27" s="245">
        <v>0</v>
      </c>
      <c r="AD27" s="245">
        <v>0</v>
      </c>
      <c r="AE27" s="245">
        <v>0</v>
      </c>
      <c r="AF27" s="245">
        <v>0</v>
      </c>
      <c r="AG27" s="245">
        <v>0</v>
      </c>
      <c r="AH27" s="245">
        <v>0</v>
      </c>
      <c r="AI27" s="245">
        <v>0</v>
      </c>
      <c r="AJ27" s="245">
        <v>0</v>
      </c>
      <c r="AK27" s="245">
        <v>0</v>
      </c>
      <c r="AL27" s="245">
        <v>0</v>
      </c>
      <c r="AM27" s="245">
        <v>0</v>
      </c>
      <c r="AN27" s="245">
        <v>0</v>
      </c>
      <c r="AO27" s="245">
        <v>0</v>
      </c>
      <c r="AP27" s="245">
        <v>0</v>
      </c>
      <c r="AQ27" s="245">
        <v>0</v>
      </c>
      <c r="AR27" s="245">
        <v>0</v>
      </c>
      <c r="AS27" s="245">
        <v>0</v>
      </c>
      <c r="AT27" s="245">
        <v>0</v>
      </c>
      <c r="AU27" s="245">
        <v>0</v>
      </c>
      <c r="AV27" s="245">
        <v>0</v>
      </c>
      <c r="AW27" s="245">
        <v>0</v>
      </c>
      <c r="AX27" s="245">
        <v>0</v>
      </c>
      <c r="AY27" s="245">
        <v>0</v>
      </c>
      <c r="AZ27" s="245">
        <v>0</v>
      </c>
      <c r="BA27" s="245">
        <v>0</v>
      </c>
      <c r="BB27" s="245">
        <v>0</v>
      </c>
      <c r="BC27" s="245">
        <v>0</v>
      </c>
    </row>
    <row r="28" ht="15">
      <c r="A28" t="s">
        <v>228</v>
      </c>
      <c r="B28" s="119">
        <v>0</v>
      </c>
      <c r="C28" s="119">
        <v>0</v>
      </c>
      <c r="D28" s="245">
        <v>0</v>
      </c>
      <c r="E28" s="245">
        <v>0</v>
      </c>
      <c r="F28" s="245">
        <v>0</v>
      </c>
      <c r="G28" s="245">
        <v>0</v>
      </c>
      <c r="H28" s="245">
        <v>0</v>
      </c>
      <c r="I28" s="245">
        <v>0</v>
      </c>
      <c r="J28" s="245">
        <v>0</v>
      </c>
      <c r="K28" s="245">
        <v>0</v>
      </c>
      <c r="L28" s="245">
        <v>0</v>
      </c>
      <c r="M28" s="245">
        <v>0</v>
      </c>
      <c r="N28" s="245">
        <v>0</v>
      </c>
      <c r="O28" s="245">
        <v>0</v>
      </c>
      <c r="P28" s="245">
        <v>0</v>
      </c>
      <c r="Q28" s="245">
        <v>0</v>
      </c>
      <c r="R28" s="245">
        <v>0</v>
      </c>
      <c r="S28" s="245">
        <v>0</v>
      </c>
      <c r="T28" s="245">
        <v>0</v>
      </c>
      <c r="U28" s="245">
        <v>0</v>
      </c>
      <c r="V28" s="245">
        <v>0</v>
      </c>
      <c r="W28" s="245">
        <v>0</v>
      </c>
      <c r="X28" s="245">
        <v>0</v>
      </c>
      <c r="Y28" s="245">
        <v>0</v>
      </c>
      <c r="Z28" s="245">
        <v>0</v>
      </c>
      <c r="AA28" s="245">
        <v>0</v>
      </c>
      <c r="AB28" s="245">
        <v>0</v>
      </c>
      <c r="AC28" s="245">
        <v>0</v>
      </c>
      <c r="AD28" s="245">
        <v>0</v>
      </c>
      <c r="AE28" s="245">
        <v>0</v>
      </c>
      <c r="AF28" s="245">
        <v>0</v>
      </c>
      <c r="AG28" s="245">
        <v>0</v>
      </c>
      <c r="AH28" s="245">
        <v>0</v>
      </c>
      <c r="AI28" s="245">
        <v>0</v>
      </c>
      <c r="AJ28" s="245">
        <v>0</v>
      </c>
      <c r="AK28" s="245">
        <v>0</v>
      </c>
      <c r="AL28" s="245">
        <v>0</v>
      </c>
      <c r="AM28" s="245">
        <v>0</v>
      </c>
      <c r="AN28" s="245">
        <v>0</v>
      </c>
      <c r="AO28" s="245">
        <v>0</v>
      </c>
      <c r="AP28" s="245">
        <v>0</v>
      </c>
      <c r="AQ28" s="245">
        <v>0</v>
      </c>
      <c r="AR28" s="245">
        <v>0</v>
      </c>
      <c r="AS28" s="245">
        <v>0</v>
      </c>
      <c r="AT28" s="245">
        <v>0</v>
      </c>
      <c r="AU28" s="245">
        <v>0</v>
      </c>
      <c r="AV28" s="245">
        <v>0</v>
      </c>
      <c r="AW28" s="245">
        <v>0</v>
      </c>
      <c r="AX28" s="245">
        <v>0</v>
      </c>
      <c r="AY28" s="245">
        <v>0</v>
      </c>
      <c r="AZ28" s="245">
        <v>0</v>
      </c>
      <c r="BA28" s="245">
        <v>0</v>
      </c>
      <c r="BB28" s="245">
        <v>0</v>
      </c>
      <c r="BC28" s="245">
        <v>0</v>
      </c>
    </row>
    <row r="29" ht="15">
      <c r="A29" t="s">
        <v>197</v>
      </c>
      <c r="B29" s="119">
        <v>0</v>
      </c>
      <c r="C29" s="119">
        <v>0</v>
      </c>
      <c r="D29" s="245">
        <v>0</v>
      </c>
      <c r="E29" s="245">
        <v>0</v>
      </c>
      <c r="F29" s="245">
        <v>0</v>
      </c>
      <c r="G29" s="245">
        <v>0</v>
      </c>
      <c r="H29" s="245">
        <v>0</v>
      </c>
      <c r="I29" s="245">
        <v>0</v>
      </c>
      <c r="J29" s="245">
        <v>0</v>
      </c>
      <c r="K29" s="245">
        <v>0</v>
      </c>
      <c r="L29" s="245">
        <v>0</v>
      </c>
      <c r="M29" s="245">
        <v>0</v>
      </c>
      <c r="N29" s="245">
        <v>0</v>
      </c>
      <c r="O29" s="245">
        <v>0</v>
      </c>
      <c r="P29" s="245">
        <v>0</v>
      </c>
      <c r="Q29" s="245">
        <v>0</v>
      </c>
      <c r="R29" s="245">
        <v>0</v>
      </c>
      <c r="S29" s="245">
        <v>0</v>
      </c>
      <c r="T29" s="245">
        <v>0</v>
      </c>
      <c r="U29" s="245">
        <v>0</v>
      </c>
      <c r="V29" s="245">
        <v>0</v>
      </c>
      <c r="W29" s="245">
        <v>0</v>
      </c>
      <c r="X29" s="245">
        <v>0</v>
      </c>
      <c r="Y29" s="245">
        <v>0</v>
      </c>
      <c r="Z29" s="245">
        <v>0</v>
      </c>
      <c r="AA29" s="245">
        <v>0</v>
      </c>
      <c r="AB29" s="245">
        <v>0</v>
      </c>
      <c r="AC29" s="245">
        <v>0</v>
      </c>
      <c r="AD29" s="245">
        <v>0</v>
      </c>
      <c r="AE29" s="245">
        <v>0</v>
      </c>
      <c r="AF29" s="245">
        <v>0</v>
      </c>
      <c r="AG29" s="245">
        <v>0</v>
      </c>
      <c r="AH29" s="245">
        <v>0</v>
      </c>
      <c r="AI29" s="245">
        <v>0</v>
      </c>
      <c r="AJ29" s="245">
        <v>0</v>
      </c>
      <c r="AK29" s="245">
        <v>0</v>
      </c>
      <c r="AL29" s="245">
        <v>0</v>
      </c>
      <c r="AM29" s="245">
        <v>0</v>
      </c>
      <c r="AN29" s="245">
        <v>0</v>
      </c>
      <c r="AO29" s="245">
        <v>0</v>
      </c>
      <c r="AP29" s="245">
        <v>0</v>
      </c>
      <c r="AQ29" s="245">
        <v>0</v>
      </c>
      <c r="AR29" s="245">
        <v>0</v>
      </c>
      <c r="AS29" s="245">
        <v>0</v>
      </c>
      <c r="AT29" s="245">
        <v>0</v>
      </c>
      <c r="AU29" s="245">
        <v>0</v>
      </c>
      <c r="AV29" s="245">
        <v>0</v>
      </c>
      <c r="AW29" s="245">
        <v>0</v>
      </c>
      <c r="AX29" s="245">
        <v>0</v>
      </c>
      <c r="AY29" s="245">
        <v>0</v>
      </c>
      <c r="AZ29" s="245">
        <v>0</v>
      </c>
      <c r="BA29" s="245">
        <v>0</v>
      </c>
      <c r="BB29" s="245">
        <v>0</v>
      </c>
      <c r="BC29" s="245">
        <v>0</v>
      </c>
    </row>
    <row r="30" ht="15">
      <c r="A30" t="s">
        <v>198</v>
      </c>
      <c r="B30" s="119">
        <v>0</v>
      </c>
      <c r="C30" s="119">
        <v>0</v>
      </c>
      <c r="D30" s="245">
        <v>0</v>
      </c>
      <c r="E30" s="245">
        <v>0</v>
      </c>
      <c r="F30" s="245">
        <v>0</v>
      </c>
      <c r="G30" s="245">
        <v>0</v>
      </c>
      <c r="H30" s="245">
        <v>0</v>
      </c>
      <c r="I30" s="245">
        <v>0</v>
      </c>
      <c r="J30" s="245">
        <v>0</v>
      </c>
      <c r="K30" s="245">
        <v>0</v>
      </c>
      <c r="L30" s="245">
        <v>0</v>
      </c>
      <c r="M30" s="245">
        <v>0</v>
      </c>
      <c r="N30" s="245">
        <v>0</v>
      </c>
      <c r="O30" s="245">
        <v>0</v>
      </c>
      <c r="P30" s="245">
        <v>0</v>
      </c>
      <c r="Q30" s="245">
        <v>0.14624999999999999</v>
      </c>
      <c r="R30" s="245">
        <v>0</v>
      </c>
      <c r="S30" s="245">
        <v>0</v>
      </c>
      <c r="T30" s="245">
        <v>0</v>
      </c>
      <c r="U30" s="245">
        <v>0</v>
      </c>
      <c r="V30" s="245">
        <v>6.9555555555555603E-3</v>
      </c>
      <c r="W30" s="245">
        <v>1.55555555555556E-3</v>
      </c>
      <c r="X30" s="245">
        <v>0</v>
      </c>
      <c r="Y30" s="245">
        <v>0</v>
      </c>
      <c r="Z30" s="245">
        <v>0</v>
      </c>
      <c r="AA30" s="245">
        <v>5.4166666666666703E-3</v>
      </c>
      <c r="AB30" s="245">
        <v>0</v>
      </c>
      <c r="AC30" s="245">
        <v>0</v>
      </c>
      <c r="AD30" s="245">
        <v>0</v>
      </c>
      <c r="AE30" s="245">
        <v>0</v>
      </c>
      <c r="AF30" s="245">
        <v>0</v>
      </c>
      <c r="AG30" s="245">
        <v>0</v>
      </c>
      <c r="AH30" s="245">
        <v>0</v>
      </c>
      <c r="AI30" s="245">
        <v>0</v>
      </c>
      <c r="AJ30" s="245">
        <v>0</v>
      </c>
      <c r="AK30" s="245">
        <v>0</v>
      </c>
      <c r="AL30" s="245">
        <v>0</v>
      </c>
      <c r="AM30" s="245">
        <v>0</v>
      </c>
      <c r="AN30" s="245">
        <v>0</v>
      </c>
      <c r="AO30" s="245">
        <v>0</v>
      </c>
      <c r="AP30" s="245">
        <v>4.0000000000000001E-3</v>
      </c>
      <c r="AQ30" s="245">
        <v>7.6649999999999996E-2</v>
      </c>
      <c r="AR30" s="245">
        <v>0</v>
      </c>
      <c r="AS30" s="245">
        <v>0</v>
      </c>
      <c r="AT30" s="245">
        <v>0</v>
      </c>
      <c r="AU30" s="245">
        <v>0</v>
      </c>
      <c r="AV30" s="245">
        <v>0</v>
      </c>
      <c r="AW30" s="245">
        <v>1.4119547442315302E-2</v>
      </c>
      <c r="AX30" s="245">
        <v>1.06060606060606E-2</v>
      </c>
      <c r="AY30" s="245">
        <v>0.02</v>
      </c>
      <c r="AZ30" s="245">
        <v>0</v>
      </c>
      <c r="BA30" s="245">
        <v>0</v>
      </c>
      <c r="BB30" s="245">
        <v>0</v>
      </c>
      <c r="BC30" s="245">
        <v>0</v>
      </c>
    </row>
    <row r="31" ht="15">
      <c r="A31" t="s">
        <v>199</v>
      </c>
      <c r="B31" s="119">
        <v>0</v>
      </c>
      <c r="C31" s="119">
        <v>0</v>
      </c>
      <c r="D31" s="245">
        <v>0</v>
      </c>
      <c r="E31" s="245">
        <v>0</v>
      </c>
      <c r="F31" s="245">
        <v>0</v>
      </c>
      <c r="G31" s="245">
        <v>0</v>
      </c>
      <c r="H31" s="245">
        <v>0</v>
      </c>
      <c r="I31" s="245">
        <v>0</v>
      </c>
      <c r="J31" s="245">
        <v>0</v>
      </c>
      <c r="K31" s="245">
        <v>0</v>
      </c>
      <c r="L31" s="245">
        <v>0</v>
      </c>
      <c r="M31" s="245">
        <v>0</v>
      </c>
      <c r="N31" s="245">
        <v>0</v>
      </c>
      <c r="O31" s="245">
        <v>0</v>
      </c>
      <c r="P31" s="245">
        <v>0</v>
      </c>
      <c r="Q31" s="245">
        <v>0</v>
      </c>
      <c r="R31" s="245">
        <v>0</v>
      </c>
      <c r="S31" s="245">
        <v>0</v>
      </c>
      <c r="T31" s="245">
        <v>0</v>
      </c>
      <c r="U31" s="245">
        <v>0</v>
      </c>
      <c r="V31" s="245">
        <v>0</v>
      </c>
      <c r="W31" s="245">
        <v>0</v>
      </c>
      <c r="X31" s="245">
        <v>0</v>
      </c>
      <c r="Y31" s="245">
        <v>0</v>
      </c>
      <c r="Z31" s="245">
        <v>0</v>
      </c>
      <c r="AA31" s="245">
        <v>0</v>
      </c>
      <c r="AB31" s="245">
        <v>0</v>
      </c>
      <c r="AC31" s="245">
        <v>0</v>
      </c>
      <c r="AD31" s="245">
        <v>0</v>
      </c>
      <c r="AE31" s="245">
        <v>0</v>
      </c>
      <c r="AF31" s="245">
        <v>0</v>
      </c>
      <c r="AG31" s="245">
        <v>0</v>
      </c>
      <c r="AH31" s="245">
        <v>0</v>
      </c>
      <c r="AI31" s="245">
        <v>0</v>
      </c>
      <c r="AJ31" s="245">
        <v>0</v>
      </c>
      <c r="AK31" s="245">
        <v>0</v>
      </c>
      <c r="AL31" s="245">
        <v>0</v>
      </c>
      <c r="AM31" s="245">
        <v>0</v>
      </c>
      <c r="AN31" s="245">
        <v>0</v>
      </c>
      <c r="AO31" s="245">
        <v>0</v>
      </c>
      <c r="AP31" s="245">
        <v>5.6000000000000001E-2</v>
      </c>
      <c r="AQ31" s="245">
        <v>0</v>
      </c>
      <c r="AR31" s="245">
        <v>0</v>
      </c>
      <c r="AS31" s="245">
        <v>0</v>
      </c>
      <c r="AT31" s="245">
        <v>0</v>
      </c>
      <c r="AU31" s="245">
        <v>0</v>
      </c>
      <c r="AV31" s="245">
        <v>0</v>
      </c>
      <c r="AW31" s="245">
        <v>7.3717272727272989E-3</v>
      </c>
      <c r="AX31" s="245">
        <v>1.06060606060606E-2</v>
      </c>
      <c r="AY31" s="245">
        <v>0.02</v>
      </c>
      <c r="AZ31" s="245">
        <v>0</v>
      </c>
      <c r="BA31" s="245">
        <v>0</v>
      </c>
      <c r="BB31" s="245">
        <v>0</v>
      </c>
      <c r="BC31" s="245">
        <v>0</v>
      </c>
    </row>
    <row r="32" ht="15">
      <c r="A32" t="s">
        <v>229</v>
      </c>
      <c r="B32" s="119">
        <v>0</v>
      </c>
      <c r="C32" s="119">
        <v>0</v>
      </c>
      <c r="D32" s="245">
        <v>0</v>
      </c>
      <c r="E32" s="245">
        <v>0</v>
      </c>
      <c r="F32" s="245">
        <v>0</v>
      </c>
      <c r="G32" s="245">
        <v>0</v>
      </c>
      <c r="H32" s="245">
        <v>0</v>
      </c>
      <c r="I32" s="245">
        <v>0</v>
      </c>
      <c r="J32" s="245">
        <v>0</v>
      </c>
      <c r="K32" s="245">
        <v>0</v>
      </c>
      <c r="L32" s="245">
        <v>0</v>
      </c>
      <c r="M32" s="245">
        <v>0</v>
      </c>
      <c r="N32" s="245">
        <v>0</v>
      </c>
      <c r="O32" s="245">
        <v>1.1299999999999999E-2</v>
      </c>
      <c r="P32" s="245">
        <v>2.1755555555555556E-2</v>
      </c>
      <c r="Q32" s="245">
        <v>2.1500000000000002E-2</v>
      </c>
      <c r="R32" s="245">
        <v>0</v>
      </c>
      <c r="S32" s="245">
        <v>0</v>
      </c>
      <c r="T32" s="245">
        <v>0</v>
      </c>
      <c r="U32" s="245">
        <v>0</v>
      </c>
      <c r="V32" s="245">
        <v>0.14738888888888901</v>
      </c>
      <c r="W32" s="245">
        <v>5.0000000000000001E-4</v>
      </c>
      <c r="X32" s="245">
        <v>3.5999999999999997E-2</v>
      </c>
      <c r="Y32" s="245">
        <v>0</v>
      </c>
      <c r="Z32" s="245">
        <v>0</v>
      </c>
      <c r="AA32" s="245">
        <v>0.37258333333333299</v>
      </c>
      <c r="AB32" s="245">
        <v>0.18165652442795349</v>
      </c>
      <c r="AC32" s="245">
        <v>6.0342857142857101E-2</v>
      </c>
      <c r="AD32" s="245">
        <v>0</v>
      </c>
      <c r="AE32" s="245">
        <v>0</v>
      </c>
      <c r="AF32" s="245">
        <v>1.5030306666666699E-2</v>
      </c>
      <c r="AG32" s="245">
        <v>0.25015721288515436</v>
      </c>
      <c r="AH32" s="245">
        <v>0</v>
      </c>
      <c r="AI32" s="245">
        <v>0</v>
      </c>
      <c r="AJ32" s="245">
        <v>0.20758333333333334</v>
      </c>
      <c r="AK32" s="245">
        <v>0</v>
      </c>
      <c r="AL32" s="245">
        <v>0</v>
      </c>
      <c r="AM32" s="245">
        <v>0</v>
      </c>
      <c r="AN32" s="245">
        <v>0</v>
      </c>
      <c r="AO32" s="245">
        <v>0</v>
      </c>
      <c r="AP32" s="245">
        <v>5.2999999999999999E-2</v>
      </c>
      <c r="AQ32" s="245">
        <v>0.21729999999999999</v>
      </c>
      <c r="AR32" s="245">
        <v>5.5789999999999999E-2</v>
      </c>
      <c r="AS32" s="245">
        <v>0</v>
      </c>
      <c r="AT32" s="245">
        <v>4.2408294648693802E-5</v>
      </c>
      <c r="AU32" s="245">
        <v>0</v>
      </c>
      <c r="AV32" s="245">
        <v>0</v>
      </c>
      <c r="AW32" s="245">
        <v>1.9559460288112899E-2</v>
      </c>
      <c r="AX32" s="245">
        <v>1.6666666666666701E-2</v>
      </c>
      <c r="AY32" s="245">
        <v>0.2</v>
      </c>
      <c r="AZ32" s="245">
        <v>0</v>
      </c>
      <c r="BA32" s="245">
        <v>0</v>
      </c>
      <c r="BB32" s="245">
        <v>0</v>
      </c>
      <c r="BC32" s="245">
        <v>0</v>
      </c>
    </row>
    <row r="33" ht="15">
      <c r="A33" t="s">
        <v>230</v>
      </c>
      <c r="B33" s="119">
        <v>0</v>
      </c>
      <c r="C33" s="119">
        <v>0</v>
      </c>
      <c r="D33" s="245">
        <v>0</v>
      </c>
      <c r="E33" s="245">
        <v>0</v>
      </c>
      <c r="F33" s="245">
        <v>0</v>
      </c>
      <c r="G33" s="245">
        <v>0</v>
      </c>
      <c r="H33" s="245">
        <v>0</v>
      </c>
      <c r="I33" s="245">
        <v>0</v>
      </c>
      <c r="J33" s="245">
        <v>0</v>
      </c>
      <c r="K33" s="245">
        <v>0</v>
      </c>
      <c r="L33" s="245">
        <v>0</v>
      </c>
      <c r="M33" s="245">
        <v>0</v>
      </c>
      <c r="N33" s="245">
        <v>0</v>
      </c>
      <c r="O33" s="245">
        <v>0</v>
      </c>
      <c r="P33" s="245">
        <v>0</v>
      </c>
      <c r="Q33" s="245">
        <v>0</v>
      </c>
      <c r="R33" s="245">
        <v>0</v>
      </c>
      <c r="S33" s="245">
        <v>0</v>
      </c>
      <c r="T33" s="245">
        <v>0</v>
      </c>
      <c r="U33" s="245">
        <v>0</v>
      </c>
      <c r="V33" s="245">
        <v>0</v>
      </c>
      <c r="W33" s="245">
        <v>0</v>
      </c>
      <c r="X33" s="245">
        <v>0</v>
      </c>
      <c r="Y33" s="245">
        <v>0</v>
      </c>
      <c r="Z33" s="245">
        <v>0</v>
      </c>
      <c r="AA33" s="245">
        <v>0.37258333333333299</v>
      </c>
      <c r="AB33" s="245">
        <v>6.9227153798582408E-2</v>
      </c>
      <c r="AC33" s="245">
        <v>5.3885714285714301E-2</v>
      </c>
      <c r="AD33" s="245">
        <v>0</v>
      </c>
      <c r="AE33" s="245">
        <v>0</v>
      </c>
      <c r="AF33" s="245">
        <v>0</v>
      </c>
      <c r="AG33" s="245">
        <v>3.9918977591036457E-2</v>
      </c>
      <c r="AH33" s="245">
        <v>0</v>
      </c>
      <c r="AI33" s="245">
        <v>0</v>
      </c>
      <c r="AJ33" s="245">
        <v>0</v>
      </c>
      <c r="AK33" s="245">
        <v>0</v>
      </c>
      <c r="AL33" s="245">
        <v>0</v>
      </c>
      <c r="AM33" s="245">
        <v>0</v>
      </c>
      <c r="AN33" s="245">
        <v>0</v>
      </c>
      <c r="AO33" s="245">
        <v>0</v>
      </c>
      <c r="AP33" s="245">
        <v>0.01</v>
      </c>
      <c r="AQ33" s="245">
        <v>9.4899999999999998E-2</v>
      </c>
      <c r="AR33" s="245">
        <v>0</v>
      </c>
      <c r="AS33" s="245">
        <v>0</v>
      </c>
      <c r="AT33" s="245">
        <v>0</v>
      </c>
      <c r="AU33" s="245">
        <v>0</v>
      </c>
      <c r="AV33" s="245">
        <v>0</v>
      </c>
      <c r="AW33" s="245">
        <v>7.7507674917362025E-3</v>
      </c>
      <c r="AX33" s="245">
        <v>1.06060606060606E-2</v>
      </c>
      <c r="AY33" s="245">
        <v>0.02</v>
      </c>
      <c r="AZ33" s="245">
        <v>0</v>
      </c>
      <c r="BA33" s="245">
        <v>0</v>
      </c>
      <c r="BB33" s="245">
        <v>0</v>
      </c>
      <c r="BC33" s="245">
        <v>0</v>
      </c>
    </row>
    <row r="34" ht="15">
      <c r="A34" t="s">
        <v>231</v>
      </c>
      <c r="B34" s="119">
        <v>0</v>
      </c>
      <c r="C34" s="119">
        <v>0</v>
      </c>
      <c r="D34" s="245">
        <v>0</v>
      </c>
      <c r="E34" s="245">
        <v>0</v>
      </c>
      <c r="F34" s="245">
        <v>0</v>
      </c>
      <c r="G34" s="245">
        <v>0</v>
      </c>
      <c r="H34" s="245">
        <v>0</v>
      </c>
      <c r="I34" s="245">
        <v>0</v>
      </c>
      <c r="J34" s="245">
        <v>3.3333333333333298E-2</v>
      </c>
      <c r="K34" s="245">
        <v>0</v>
      </c>
      <c r="L34" s="245">
        <v>0</v>
      </c>
      <c r="M34" s="245">
        <v>0</v>
      </c>
      <c r="N34" s="245">
        <v>0</v>
      </c>
      <c r="O34" s="245">
        <v>0</v>
      </c>
      <c r="P34" s="245">
        <v>0</v>
      </c>
      <c r="Q34" s="245">
        <v>0.47715000000000002</v>
      </c>
      <c r="R34" s="245">
        <v>0</v>
      </c>
      <c r="S34" s="245">
        <v>0</v>
      </c>
      <c r="T34" s="245">
        <v>0</v>
      </c>
      <c r="U34" s="245">
        <v>0.57325000000000004</v>
      </c>
      <c r="V34" s="245">
        <v>0.135066666666667</v>
      </c>
      <c r="W34" s="245">
        <v>0.1431</v>
      </c>
      <c r="X34" s="245">
        <v>0</v>
      </c>
      <c r="Y34" s="245">
        <v>0.32800000000000001</v>
      </c>
      <c r="Z34" s="245">
        <v>0</v>
      </c>
      <c r="AA34" s="245">
        <v>7.0183333333333306E-2</v>
      </c>
      <c r="AB34" s="245">
        <v>9.6740940012368618E-2</v>
      </c>
      <c r="AC34" s="245">
        <v>1.08571428571429E-2</v>
      </c>
      <c r="AD34" s="245">
        <v>7.4999999999999997E-2</v>
      </c>
      <c r="AE34" s="245">
        <v>0.63644999999999996</v>
      </c>
      <c r="AF34" s="245">
        <v>0</v>
      </c>
      <c r="AG34" s="245">
        <v>2.2607212885154056E-2</v>
      </c>
      <c r="AH34" s="245">
        <v>9.5999617099566753E-2</v>
      </c>
      <c r="AI34" s="245">
        <v>0.33333000000000002</v>
      </c>
      <c r="AJ34" s="245">
        <v>0</v>
      </c>
      <c r="AK34" s="245">
        <v>0.19400000000000001</v>
      </c>
      <c r="AL34" s="245">
        <v>0</v>
      </c>
      <c r="AM34" s="245">
        <v>0</v>
      </c>
      <c r="AN34" s="245">
        <v>0</v>
      </c>
      <c r="AO34" s="245">
        <v>3.7777777777777778E-2</v>
      </c>
      <c r="AP34" s="245">
        <v>0.5</v>
      </c>
      <c r="AQ34" s="245">
        <v>0.1007</v>
      </c>
      <c r="AR34" s="245">
        <v>0.189</v>
      </c>
      <c r="AS34" s="245">
        <v>0</v>
      </c>
      <c r="AT34" s="245">
        <v>4.8925000000000003E-2</v>
      </c>
      <c r="AU34" s="245">
        <v>0.03</v>
      </c>
      <c r="AV34" s="245">
        <v>0</v>
      </c>
      <c r="AW34" s="245">
        <v>0.101641210728279</v>
      </c>
      <c r="AX34" s="245">
        <v>1.06060606060606E-2</v>
      </c>
      <c r="AY34" s="245">
        <v>0.02</v>
      </c>
      <c r="AZ34" s="245">
        <v>0</v>
      </c>
      <c r="BA34" s="245">
        <v>0</v>
      </c>
      <c r="BB34" s="245">
        <v>0</v>
      </c>
      <c r="BC34" s="245">
        <v>0</v>
      </c>
    </row>
    <row r="35" ht="15">
      <c r="A35" t="s">
        <v>232</v>
      </c>
      <c r="B35" s="119">
        <v>0</v>
      </c>
      <c r="C35" s="119">
        <v>0</v>
      </c>
      <c r="D35" s="245">
        <v>0</v>
      </c>
      <c r="E35" s="245">
        <v>0</v>
      </c>
      <c r="F35" s="245">
        <v>0</v>
      </c>
      <c r="G35" s="245">
        <v>0</v>
      </c>
      <c r="H35" s="245">
        <v>0</v>
      </c>
      <c r="I35" s="245">
        <v>0</v>
      </c>
      <c r="J35" s="245">
        <v>0</v>
      </c>
      <c r="K35" s="245">
        <v>0</v>
      </c>
      <c r="L35" s="245">
        <v>0</v>
      </c>
      <c r="M35" s="245">
        <v>0</v>
      </c>
      <c r="N35" s="245">
        <v>0</v>
      </c>
      <c r="O35" s="245">
        <v>0</v>
      </c>
      <c r="P35" s="245">
        <v>0</v>
      </c>
      <c r="Q35" s="245">
        <v>7.0874999999999994E-2</v>
      </c>
      <c r="R35" s="245">
        <v>0</v>
      </c>
      <c r="S35" s="245">
        <v>0</v>
      </c>
      <c r="T35" s="245">
        <v>0</v>
      </c>
      <c r="U35" s="245">
        <v>0</v>
      </c>
      <c r="V35" s="245">
        <v>0</v>
      </c>
      <c r="W35" s="245">
        <v>3.4444444444444401E-3</v>
      </c>
      <c r="X35" s="245">
        <v>0</v>
      </c>
      <c r="Y35" s="245">
        <v>0</v>
      </c>
      <c r="Z35" s="245">
        <v>0</v>
      </c>
      <c r="AA35" s="245">
        <v>0</v>
      </c>
      <c r="AB35" s="245">
        <v>0</v>
      </c>
      <c r="AC35" s="245">
        <v>4.2857142857142898E-4</v>
      </c>
      <c r="AD35" s="245">
        <v>0</v>
      </c>
      <c r="AE35" s="245">
        <v>0</v>
      </c>
      <c r="AF35" s="245">
        <v>0</v>
      </c>
      <c r="AG35" s="245">
        <v>3.5778011204481569E-3</v>
      </c>
      <c r="AH35" s="245">
        <v>0</v>
      </c>
      <c r="AI35" s="245">
        <v>0</v>
      </c>
      <c r="AJ35" s="246">
        <v>0</v>
      </c>
      <c r="AK35" s="245">
        <v>0</v>
      </c>
      <c r="AL35" s="245">
        <v>0</v>
      </c>
      <c r="AM35" s="245">
        <v>0</v>
      </c>
      <c r="AN35" s="245">
        <v>0</v>
      </c>
      <c r="AO35" s="245">
        <v>0</v>
      </c>
      <c r="AP35" s="245">
        <v>0</v>
      </c>
      <c r="AQ35" s="245">
        <v>0</v>
      </c>
      <c r="AR35" s="245">
        <v>0</v>
      </c>
      <c r="AS35" s="245">
        <v>0</v>
      </c>
      <c r="AT35" s="245">
        <v>0</v>
      </c>
      <c r="AU35" s="245">
        <v>0</v>
      </c>
      <c r="AV35" s="245">
        <v>0</v>
      </c>
      <c r="AW35" s="245">
        <v>0</v>
      </c>
      <c r="AX35" s="245">
        <v>0</v>
      </c>
      <c r="AY35" s="245">
        <v>0</v>
      </c>
      <c r="AZ35" s="245">
        <v>0</v>
      </c>
      <c r="BA35" s="245">
        <v>0</v>
      </c>
      <c r="BB35" s="245">
        <v>0</v>
      </c>
      <c r="BC35" s="245">
        <v>0</v>
      </c>
    </row>
    <row r="36" ht="15">
      <c r="A36" s="137" t="s">
        <v>233</v>
      </c>
      <c r="B36" s="119">
        <v>0</v>
      </c>
      <c r="C36" s="119">
        <v>0</v>
      </c>
      <c r="D36" s="245">
        <v>0</v>
      </c>
      <c r="E36" s="245">
        <v>0</v>
      </c>
      <c r="F36" s="245">
        <v>0</v>
      </c>
      <c r="G36" s="245">
        <v>0</v>
      </c>
      <c r="H36" s="245">
        <v>0</v>
      </c>
      <c r="I36" s="245">
        <v>0</v>
      </c>
      <c r="J36" s="245">
        <v>1.6666666666666701E-2</v>
      </c>
      <c r="K36" s="245">
        <v>0</v>
      </c>
      <c r="L36" s="245">
        <v>0</v>
      </c>
      <c r="M36" s="245">
        <v>0</v>
      </c>
      <c r="N36" s="245">
        <v>0</v>
      </c>
      <c r="O36" s="245">
        <v>0</v>
      </c>
      <c r="P36" s="245">
        <v>0</v>
      </c>
      <c r="Q36" s="245">
        <v>0</v>
      </c>
      <c r="R36" s="245">
        <v>0</v>
      </c>
      <c r="S36" s="245">
        <v>0</v>
      </c>
      <c r="T36" s="245">
        <v>0</v>
      </c>
      <c r="U36" s="245">
        <v>0</v>
      </c>
      <c r="V36" s="245">
        <v>3.5866666666666699E-2</v>
      </c>
      <c r="W36" s="245">
        <v>1.77777777777778E-3</v>
      </c>
      <c r="X36" s="245">
        <v>0</v>
      </c>
      <c r="Y36" s="245">
        <v>0</v>
      </c>
      <c r="Z36" s="245">
        <v>0</v>
      </c>
      <c r="AA36" s="245">
        <v>4.7E-2</v>
      </c>
      <c r="AB36" s="245">
        <v>6.1322758194186811E-2</v>
      </c>
      <c r="AC36" s="245">
        <v>2.0714285714285699E-2</v>
      </c>
      <c r="AD36" s="245">
        <v>2.9999999999999997E-4</v>
      </c>
      <c r="AE36" s="245">
        <v>0</v>
      </c>
      <c r="AF36" s="245">
        <v>0</v>
      </c>
      <c r="AG36" s="245">
        <v>6.3554271708683455E-2</v>
      </c>
      <c r="AH36" s="245">
        <v>3.7372294372294348E-3</v>
      </c>
      <c r="AI36" s="245">
        <v>0</v>
      </c>
      <c r="AJ36" s="245">
        <v>0.10358333333333332</v>
      </c>
      <c r="AK36" s="245">
        <v>0</v>
      </c>
      <c r="AL36" s="245">
        <v>0</v>
      </c>
      <c r="AM36" s="245">
        <v>0</v>
      </c>
      <c r="AN36" s="245">
        <v>0</v>
      </c>
      <c r="AO36" s="245">
        <v>0</v>
      </c>
      <c r="AP36" s="245">
        <v>0</v>
      </c>
      <c r="AQ36" s="245">
        <v>1.355E-2</v>
      </c>
      <c r="AR36" s="245">
        <v>0</v>
      </c>
      <c r="AS36" s="245">
        <v>0</v>
      </c>
      <c r="AT36" s="245">
        <v>0.16971696083542301</v>
      </c>
      <c r="AU36" s="245">
        <v>0</v>
      </c>
      <c r="AV36" s="245">
        <v>0</v>
      </c>
      <c r="AW36" s="245">
        <v>0.3953991</v>
      </c>
      <c r="AX36" s="245">
        <v>0.75555555555555598</v>
      </c>
      <c r="AY36" s="245">
        <v>0</v>
      </c>
      <c r="AZ36" s="245">
        <v>0</v>
      </c>
      <c r="BA36" s="245">
        <v>0</v>
      </c>
      <c r="BB36" s="245">
        <v>0</v>
      </c>
      <c r="BC36" s="245">
        <v>0</v>
      </c>
    </row>
    <row r="37" ht="15">
      <c r="A37" t="s">
        <v>205</v>
      </c>
      <c r="B37" s="119">
        <v>0</v>
      </c>
      <c r="C37" s="119">
        <v>0</v>
      </c>
      <c r="D37" s="245">
        <v>0</v>
      </c>
      <c r="E37" s="245">
        <v>0</v>
      </c>
      <c r="F37" s="245">
        <v>0</v>
      </c>
      <c r="G37" s="245">
        <v>0</v>
      </c>
      <c r="H37" s="245">
        <v>0</v>
      </c>
      <c r="I37" s="245">
        <v>0</v>
      </c>
      <c r="J37" s="245">
        <v>0</v>
      </c>
      <c r="K37" s="245">
        <v>0</v>
      </c>
      <c r="L37" s="245">
        <v>0</v>
      </c>
      <c r="M37" s="245">
        <v>0</v>
      </c>
      <c r="N37" s="245">
        <v>0</v>
      </c>
      <c r="O37" s="245">
        <v>0</v>
      </c>
      <c r="P37" s="245">
        <v>0</v>
      </c>
      <c r="Q37" s="245">
        <v>0</v>
      </c>
      <c r="R37" s="245">
        <v>0</v>
      </c>
      <c r="S37" s="245">
        <v>0</v>
      </c>
      <c r="T37" s="245">
        <v>0</v>
      </c>
      <c r="U37" s="245">
        <v>0</v>
      </c>
      <c r="V37" s="245">
        <v>3.4444444444444399E-4</v>
      </c>
      <c r="W37" s="245">
        <v>0</v>
      </c>
      <c r="X37" s="245">
        <v>0</v>
      </c>
      <c r="Y37" s="245">
        <v>0</v>
      </c>
      <c r="Z37" s="245">
        <v>0</v>
      </c>
      <c r="AA37" s="245">
        <v>0</v>
      </c>
      <c r="AB37" s="245">
        <v>0</v>
      </c>
      <c r="AC37" s="245">
        <v>0</v>
      </c>
      <c r="AD37" s="245">
        <v>0</v>
      </c>
      <c r="AE37" s="245">
        <v>0</v>
      </c>
      <c r="AF37" s="245">
        <v>0</v>
      </c>
      <c r="AG37" s="245">
        <v>0</v>
      </c>
      <c r="AH37" s="245">
        <v>5.0456709956710009E-3</v>
      </c>
      <c r="AI37" s="245">
        <v>0</v>
      </c>
      <c r="AJ37" s="245">
        <v>0</v>
      </c>
      <c r="AK37" s="245">
        <v>0</v>
      </c>
      <c r="AL37" s="245">
        <v>0</v>
      </c>
      <c r="AM37" s="245">
        <v>0</v>
      </c>
      <c r="AN37" s="245">
        <v>0</v>
      </c>
      <c r="AO37" s="245">
        <v>0</v>
      </c>
      <c r="AP37" s="245">
        <v>0</v>
      </c>
      <c r="AQ37" s="245">
        <v>0</v>
      </c>
      <c r="AR37" s="245">
        <v>0</v>
      </c>
      <c r="AS37" s="245">
        <v>0</v>
      </c>
      <c r="AT37" s="245">
        <v>4.9437500000000002E-2</v>
      </c>
      <c r="AU37" s="245">
        <v>0.245</v>
      </c>
      <c r="AV37" s="245">
        <v>0</v>
      </c>
      <c r="AW37" s="245">
        <v>0</v>
      </c>
      <c r="AX37" s="245">
        <v>0</v>
      </c>
      <c r="AY37" s="245">
        <v>0</v>
      </c>
      <c r="AZ37" s="245">
        <v>0</v>
      </c>
      <c r="BA37" s="245">
        <v>0</v>
      </c>
      <c r="BB37" s="245">
        <v>0</v>
      </c>
      <c r="BC37" s="245">
        <v>0</v>
      </c>
    </row>
    <row r="38" ht="15">
      <c r="A38" t="s">
        <v>206</v>
      </c>
      <c r="B38" s="119">
        <v>0</v>
      </c>
      <c r="C38" s="119">
        <v>0</v>
      </c>
      <c r="D38" s="245">
        <v>0</v>
      </c>
      <c r="E38" s="245">
        <v>0</v>
      </c>
      <c r="F38" s="245">
        <v>0</v>
      </c>
      <c r="G38" s="245">
        <v>0</v>
      </c>
      <c r="H38" s="245">
        <v>0</v>
      </c>
      <c r="I38" s="245">
        <v>0</v>
      </c>
      <c r="J38" s="245">
        <v>0</v>
      </c>
      <c r="K38" s="245">
        <v>0</v>
      </c>
      <c r="L38" s="245">
        <v>0</v>
      </c>
      <c r="M38" s="245">
        <v>0</v>
      </c>
      <c r="N38" s="245">
        <v>0</v>
      </c>
      <c r="O38" s="245">
        <v>0</v>
      </c>
      <c r="P38" s="245">
        <v>0</v>
      </c>
      <c r="Q38" s="245">
        <v>0</v>
      </c>
      <c r="R38" s="245">
        <v>6.4000000000000005E-4</v>
      </c>
      <c r="S38" s="245">
        <v>0</v>
      </c>
      <c r="T38" s="245">
        <v>0</v>
      </c>
      <c r="U38" s="245">
        <v>0</v>
      </c>
      <c r="V38" s="245">
        <v>7.6777777777777799E-3</v>
      </c>
      <c r="W38" s="245">
        <v>1.6666666666666701E-4</v>
      </c>
      <c r="X38" s="245">
        <v>6.9900000000000004E-2</v>
      </c>
      <c r="Y38" s="245">
        <v>0</v>
      </c>
      <c r="Z38" s="245">
        <v>0</v>
      </c>
      <c r="AA38" s="245">
        <v>5.0000000000000001E-4</v>
      </c>
      <c r="AB38" s="245">
        <v>9.3500309214594908E-3</v>
      </c>
      <c r="AC38" s="245">
        <v>9.8571428571428595E-3</v>
      </c>
      <c r="AD38" s="245">
        <v>3.57142857142857E-3</v>
      </c>
      <c r="AE38" s="245">
        <v>0.32090000000000002</v>
      </c>
      <c r="AF38" s="245">
        <v>0</v>
      </c>
      <c r="AG38" s="245">
        <v>9.1425070028011216E-3</v>
      </c>
      <c r="AH38" s="245">
        <v>7.2502164502164512E-3</v>
      </c>
      <c r="AI38" s="245">
        <v>0</v>
      </c>
      <c r="AJ38" s="245">
        <v>0</v>
      </c>
      <c r="AK38" s="245">
        <v>0.39</v>
      </c>
      <c r="AL38" s="245">
        <v>0</v>
      </c>
      <c r="AM38" s="245">
        <v>0</v>
      </c>
      <c r="AN38" s="245">
        <v>0</v>
      </c>
      <c r="AO38" s="245">
        <v>0</v>
      </c>
      <c r="AP38" s="245">
        <v>0</v>
      </c>
      <c r="AQ38" s="245">
        <v>0</v>
      </c>
      <c r="AR38" s="245">
        <v>0</v>
      </c>
      <c r="AS38" s="245">
        <v>0</v>
      </c>
      <c r="AT38" s="245">
        <v>0</v>
      </c>
      <c r="AU38" s="245">
        <v>0</v>
      </c>
      <c r="AV38" s="245">
        <v>0</v>
      </c>
      <c r="AW38" s="245">
        <v>0</v>
      </c>
      <c r="AX38" s="245">
        <v>0</v>
      </c>
      <c r="AY38" s="245">
        <v>0</v>
      </c>
      <c r="AZ38" s="245">
        <v>0</v>
      </c>
      <c r="BA38" s="245">
        <v>0</v>
      </c>
      <c r="BB38" s="245">
        <v>0</v>
      </c>
      <c r="BC38" s="245">
        <v>0</v>
      </c>
    </row>
    <row r="39" ht="15">
      <c r="A39" t="s">
        <v>207</v>
      </c>
      <c r="B39" s="119">
        <v>0</v>
      </c>
      <c r="C39" s="119">
        <v>0</v>
      </c>
      <c r="D39" s="245">
        <v>0</v>
      </c>
      <c r="E39" s="245">
        <v>0</v>
      </c>
      <c r="F39" s="245">
        <v>0</v>
      </c>
      <c r="G39" s="245">
        <v>0</v>
      </c>
      <c r="H39" s="245">
        <v>0</v>
      </c>
      <c r="I39" s="245">
        <v>0</v>
      </c>
      <c r="J39" s="245">
        <v>0.116666666666667</v>
      </c>
      <c r="K39" s="245">
        <v>0</v>
      </c>
      <c r="L39" s="245">
        <v>0</v>
      </c>
      <c r="M39" s="245">
        <v>0</v>
      </c>
      <c r="N39" s="245">
        <v>1.96666666666667E-2</v>
      </c>
      <c r="O39" s="245">
        <v>0</v>
      </c>
      <c r="P39" s="245">
        <v>2.7755555555555554E-2</v>
      </c>
      <c r="Q39" s="245">
        <v>0</v>
      </c>
      <c r="R39" s="245">
        <v>1.94688888888889E-2</v>
      </c>
      <c r="S39" s="245">
        <v>0</v>
      </c>
      <c r="T39" s="245">
        <v>0</v>
      </c>
      <c r="U39" s="245">
        <v>4.2500000000000003E-3</v>
      </c>
      <c r="V39" s="245">
        <v>3.3277777777777802E-2</v>
      </c>
      <c r="W39" s="245">
        <v>4.7588888888888903E-2</v>
      </c>
      <c r="X39" s="245">
        <v>2.7666666666666699E-3</v>
      </c>
      <c r="Y39" s="245">
        <v>3.9579999999999997E-2</v>
      </c>
      <c r="Z39" s="245">
        <v>0</v>
      </c>
      <c r="AA39" s="245">
        <v>0</v>
      </c>
      <c r="AB39" s="245">
        <v>8.3500309214594934E-3</v>
      </c>
      <c r="AC39" s="245">
        <v>1.53714285714286E-2</v>
      </c>
      <c r="AD39" s="245">
        <v>0.13614285714285709</v>
      </c>
      <c r="AE39" s="245">
        <v>0</v>
      </c>
      <c r="AF39" s="245">
        <v>1.8080844444444439E-3</v>
      </c>
      <c r="AG39" s="245">
        <v>9.2601540616246512E-3</v>
      </c>
      <c r="AH39" s="245">
        <v>0.13150526645021648</v>
      </c>
      <c r="AI39" s="245">
        <v>0</v>
      </c>
      <c r="AJ39" s="245">
        <v>5.2956333333333341E-2</v>
      </c>
      <c r="AK39" s="245">
        <v>8.5666666666666696E-2</v>
      </c>
      <c r="AL39" s="245">
        <v>0</v>
      </c>
      <c r="AM39" s="245">
        <v>0.125</v>
      </c>
      <c r="AN39" s="245">
        <v>0</v>
      </c>
      <c r="AO39" s="245">
        <v>6.2277777777777779E-2</v>
      </c>
      <c r="AP39" s="245">
        <v>0</v>
      </c>
      <c r="AQ39" s="245">
        <v>0</v>
      </c>
      <c r="AR39" s="245">
        <v>0</v>
      </c>
      <c r="AS39" s="245">
        <v>0</v>
      </c>
      <c r="AT39" s="245">
        <v>3.1250000000000001E-4</v>
      </c>
      <c r="AU39" s="245">
        <v>0</v>
      </c>
      <c r="AV39" s="245">
        <v>0</v>
      </c>
      <c r="AW39" s="245">
        <v>0</v>
      </c>
      <c r="AX39" s="245">
        <v>0</v>
      </c>
      <c r="AY39" s="245">
        <v>0</v>
      </c>
      <c r="AZ39" s="245">
        <v>0</v>
      </c>
      <c r="BA39" s="245">
        <v>0</v>
      </c>
      <c r="BB39" s="245">
        <v>0</v>
      </c>
      <c r="BC39" s="245">
        <v>0</v>
      </c>
    </row>
    <row r="40" ht="15">
      <c r="A40" t="s">
        <v>208</v>
      </c>
      <c r="B40" s="119">
        <v>0</v>
      </c>
      <c r="C40" s="119">
        <v>0</v>
      </c>
      <c r="D40" s="245">
        <v>0</v>
      </c>
      <c r="E40" s="245">
        <v>0</v>
      </c>
      <c r="F40" s="245">
        <v>0</v>
      </c>
      <c r="G40" s="245">
        <v>0</v>
      </c>
      <c r="H40" s="245">
        <v>0</v>
      </c>
      <c r="I40" s="245">
        <v>0</v>
      </c>
      <c r="J40" s="245">
        <v>0</v>
      </c>
      <c r="K40" s="245">
        <v>0</v>
      </c>
      <c r="L40" s="245">
        <v>0</v>
      </c>
      <c r="M40" s="245">
        <v>0</v>
      </c>
      <c r="N40" s="245">
        <v>9.5333333333333294E-3</v>
      </c>
      <c r="O40" s="245">
        <v>0</v>
      </c>
      <c r="P40" s="245">
        <v>0</v>
      </c>
      <c r="Q40" s="245">
        <v>0</v>
      </c>
      <c r="R40" s="245">
        <v>4.79E-3</v>
      </c>
      <c r="S40" s="245">
        <v>0</v>
      </c>
      <c r="T40" s="245">
        <v>0</v>
      </c>
      <c r="U40" s="245">
        <v>0</v>
      </c>
      <c r="V40" s="245">
        <v>0</v>
      </c>
      <c r="W40" s="245">
        <v>0.12855555555555601</v>
      </c>
      <c r="X40" s="245">
        <v>0</v>
      </c>
      <c r="Y40" s="245">
        <v>0</v>
      </c>
      <c r="Z40" s="245">
        <v>0.13450000000000001</v>
      </c>
      <c r="AA40" s="245">
        <v>0</v>
      </c>
      <c r="AB40" s="245">
        <v>0</v>
      </c>
      <c r="AC40" s="245">
        <v>1.17142857142857E-2</v>
      </c>
      <c r="AD40" s="245">
        <v>1.42857142857143E-4</v>
      </c>
      <c r="AE40" s="245">
        <v>0</v>
      </c>
      <c r="AF40" s="245">
        <v>0</v>
      </c>
      <c r="AG40" s="245">
        <v>9.0895658263305326E-3</v>
      </c>
      <c r="AH40" s="245">
        <v>1.3605266450216449E-2</v>
      </c>
      <c r="AI40" s="245">
        <v>0.33333299999999999</v>
      </c>
      <c r="AJ40" s="245">
        <v>0</v>
      </c>
      <c r="AK40" s="245">
        <v>0</v>
      </c>
      <c r="AL40" s="245">
        <v>0</v>
      </c>
      <c r="AM40" s="245">
        <v>3.2142857142857098E-2</v>
      </c>
      <c r="AN40" s="245">
        <v>0</v>
      </c>
      <c r="AO40" s="245">
        <v>7.9208888888888898E-2</v>
      </c>
      <c r="AP40" s="245">
        <v>0</v>
      </c>
      <c r="AQ40" s="245">
        <v>0</v>
      </c>
      <c r="AR40" s="245">
        <v>0</v>
      </c>
      <c r="AS40" s="245">
        <v>0</v>
      </c>
      <c r="AT40" s="245">
        <v>0</v>
      </c>
      <c r="AU40" s="245">
        <v>0</v>
      </c>
      <c r="AV40" s="245">
        <v>0</v>
      </c>
      <c r="AW40" s="245">
        <v>0</v>
      </c>
      <c r="AX40" s="245">
        <v>0</v>
      </c>
      <c r="AY40" s="245">
        <v>0</v>
      </c>
      <c r="AZ40" s="245">
        <v>0</v>
      </c>
      <c r="BA40" s="245">
        <v>0</v>
      </c>
      <c r="BB40" s="245">
        <v>0</v>
      </c>
      <c r="BC40" s="245">
        <v>0</v>
      </c>
    </row>
    <row r="41" ht="15">
      <c r="A41" t="s">
        <v>209</v>
      </c>
      <c r="B41" s="119">
        <v>0</v>
      </c>
      <c r="C41" s="119">
        <v>0</v>
      </c>
      <c r="D41" s="245">
        <v>0</v>
      </c>
      <c r="E41" s="245">
        <v>0</v>
      </c>
      <c r="F41" s="245">
        <v>0</v>
      </c>
      <c r="G41" s="245">
        <v>0</v>
      </c>
      <c r="H41" s="245">
        <v>0</v>
      </c>
      <c r="I41" s="245">
        <v>0</v>
      </c>
      <c r="J41" s="245">
        <v>6.5000000000000002E-2</v>
      </c>
      <c r="K41" s="245">
        <v>0</v>
      </c>
      <c r="L41" s="245">
        <v>0</v>
      </c>
      <c r="M41" s="245">
        <v>0</v>
      </c>
      <c r="N41" s="245">
        <v>3.4000000000000002E-2</v>
      </c>
      <c r="O41" s="245">
        <v>7.5000000000000002E-4</v>
      </c>
      <c r="P41" s="245">
        <v>8.5355555555555546E-2</v>
      </c>
      <c r="Q41" s="245">
        <v>9.9600000000000008E-2</v>
      </c>
      <c r="R41" s="245">
        <v>8.0890000000000004E-2</v>
      </c>
      <c r="S41" s="245">
        <v>0</v>
      </c>
      <c r="T41" s="245">
        <v>7.86833333333333E-2</v>
      </c>
      <c r="U41" s="245">
        <v>0.38524999999999998</v>
      </c>
      <c r="V41" s="245">
        <v>0.48959999999999998</v>
      </c>
      <c r="W41" s="245">
        <v>0.46525</v>
      </c>
      <c r="X41" s="245">
        <v>5.8666666666666702E-3</v>
      </c>
      <c r="Y41" s="245">
        <v>0.36581999999999998</v>
      </c>
      <c r="Z41" s="245">
        <v>0.10250000000000001</v>
      </c>
      <c r="AA41" s="245">
        <v>0.10256666666666667</v>
      </c>
      <c r="AB41" s="245">
        <v>0.4377773036487323</v>
      </c>
      <c r="AC41" s="245">
        <v>0.78871428571428503</v>
      </c>
      <c r="AD41" s="245">
        <v>0.22668571428571399</v>
      </c>
      <c r="AE41" s="245">
        <v>2.3500000000000001E-3</v>
      </c>
      <c r="AF41" s="245">
        <v>4.2363640000000001E-2</v>
      </c>
      <c r="AG41" s="245">
        <v>0.21328368347338936</v>
      </c>
      <c r="AH41" s="245">
        <v>0.11092304372294347</v>
      </c>
      <c r="AI41" s="245">
        <v>0.33333000000000002</v>
      </c>
      <c r="AJ41" s="245">
        <v>4.8994333333333341E-2</v>
      </c>
      <c r="AK41" s="245">
        <v>7.9500000000000001E-2</v>
      </c>
      <c r="AL41" s="245">
        <v>0</v>
      </c>
      <c r="AM41" s="245">
        <v>0.05</v>
      </c>
      <c r="AN41" s="245">
        <v>0</v>
      </c>
      <c r="AO41" s="245">
        <v>0.11032888888888888</v>
      </c>
      <c r="AP41" s="245">
        <v>0</v>
      </c>
      <c r="AQ41" s="245">
        <v>7.8499999999999993E-3</v>
      </c>
      <c r="AR41" s="245">
        <v>0</v>
      </c>
      <c r="AS41" s="245">
        <v>0</v>
      </c>
      <c r="AT41" s="245">
        <v>0.163369877092783</v>
      </c>
      <c r="AU41" s="245">
        <v>0.63800000000000001</v>
      </c>
      <c r="AV41" s="245">
        <v>0</v>
      </c>
      <c r="AW41" s="245">
        <v>0</v>
      </c>
      <c r="AX41" s="245">
        <v>4.1666666666666699E-2</v>
      </c>
      <c r="AY41" s="245">
        <v>0</v>
      </c>
      <c r="AZ41" s="245">
        <v>0</v>
      </c>
      <c r="BA41" s="245">
        <v>0</v>
      </c>
      <c r="BB41" s="245">
        <v>0</v>
      </c>
      <c r="BC41" s="245">
        <v>0</v>
      </c>
    </row>
    <row r="42" ht="15">
      <c r="A42" t="s">
        <v>210</v>
      </c>
      <c r="B42" s="119">
        <v>0</v>
      </c>
      <c r="C42" s="119">
        <v>0</v>
      </c>
      <c r="D42" s="245">
        <v>0</v>
      </c>
      <c r="E42" s="245">
        <v>0</v>
      </c>
      <c r="F42" s="245">
        <v>0</v>
      </c>
      <c r="G42" s="245">
        <v>0</v>
      </c>
      <c r="H42" s="245">
        <v>0</v>
      </c>
      <c r="I42" s="245">
        <v>0</v>
      </c>
      <c r="J42" s="245">
        <v>0</v>
      </c>
      <c r="K42" s="245">
        <v>0</v>
      </c>
      <c r="L42" s="245">
        <v>0</v>
      </c>
      <c r="M42" s="245">
        <v>0</v>
      </c>
      <c r="N42" s="245">
        <v>0</v>
      </c>
      <c r="O42" s="245">
        <v>0</v>
      </c>
      <c r="P42" s="245">
        <v>0</v>
      </c>
      <c r="Q42" s="245">
        <v>0</v>
      </c>
      <c r="R42" s="245">
        <v>0</v>
      </c>
      <c r="S42" s="245">
        <v>0</v>
      </c>
      <c r="T42" s="245">
        <v>0</v>
      </c>
      <c r="U42" s="245">
        <v>0</v>
      </c>
      <c r="V42" s="245">
        <v>0</v>
      </c>
      <c r="W42" s="245">
        <v>0</v>
      </c>
      <c r="X42" s="245">
        <v>0</v>
      </c>
      <c r="Y42" s="245">
        <v>0</v>
      </c>
      <c r="Z42" s="245">
        <v>0</v>
      </c>
      <c r="AA42" s="245">
        <v>0</v>
      </c>
      <c r="AB42" s="245">
        <v>0</v>
      </c>
      <c r="AC42" s="245">
        <v>0</v>
      </c>
      <c r="AD42" s="245">
        <v>0</v>
      </c>
      <c r="AE42" s="245">
        <v>0</v>
      </c>
      <c r="AF42" s="245">
        <v>0</v>
      </c>
      <c r="AG42" s="245">
        <v>0</v>
      </c>
      <c r="AH42" s="245">
        <v>0</v>
      </c>
      <c r="AI42" s="245">
        <v>0</v>
      </c>
      <c r="AJ42" s="245">
        <v>0</v>
      </c>
      <c r="AK42" s="245">
        <v>0</v>
      </c>
      <c r="AL42" s="245">
        <v>0</v>
      </c>
      <c r="AM42" s="245">
        <v>0</v>
      </c>
      <c r="AN42" s="245">
        <v>0</v>
      </c>
      <c r="AO42" s="245">
        <v>0</v>
      </c>
      <c r="AP42" s="245">
        <v>0</v>
      </c>
      <c r="AQ42" s="245">
        <v>0</v>
      </c>
      <c r="AR42" s="245">
        <v>0</v>
      </c>
      <c r="AS42" s="245">
        <v>0</v>
      </c>
      <c r="AT42" s="245">
        <v>0</v>
      </c>
      <c r="AU42" s="245">
        <v>0</v>
      </c>
      <c r="AV42" s="245">
        <v>0</v>
      </c>
      <c r="AW42" s="245">
        <v>0</v>
      </c>
      <c r="AX42" s="245">
        <v>0</v>
      </c>
      <c r="AY42" s="245">
        <v>0</v>
      </c>
      <c r="AZ42" s="245">
        <v>0</v>
      </c>
      <c r="BA42" s="245">
        <v>0</v>
      </c>
      <c r="BB42" s="245">
        <v>0</v>
      </c>
      <c r="BC42" s="245">
        <v>0</v>
      </c>
    </row>
    <row r="43" ht="15">
      <c r="A43" t="s">
        <v>211</v>
      </c>
      <c r="B43" s="119">
        <v>0</v>
      </c>
      <c r="C43" s="119">
        <v>0</v>
      </c>
      <c r="D43" s="245">
        <v>0</v>
      </c>
      <c r="E43" s="245">
        <v>0</v>
      </c>
      <c r="F43" s="245">
        <v>0</v>
      </c>
      <c r="G43" s="245">
        <v>0</v>
      </c>
      <c r="H43" s="245">
        <v>0</v>
      </c>
      <c r="I43" s="245">
        <v>0</v>
      </c>
      <c r="J43" s="245">
        <v>0</v>
      </c>
      <c r="K43" s="245">
        <v>0</v>
      </c>
      <c r="L43" s="245">
        <v>0</v>
      </c>
      <c r="M43" s="245">
        <v>0</v>
      </c>
      <c r="N43" s="245">
        <v>0</v>
      </c>
      <c r="O43" s="245">
        <v>0</v>
      </c>
      <c r="P43" s="245">
        <v>0</v>
      </c>
      <c r="Q43" s="245">
        <v>0</v>
      </c>
      <c r="R43" s="245">
        <v>0</v>
      </c>
      <c r="S43" s="245">
        <v>0</v>
      </c>
      <c r="T43" s="245">
        <v>0</v>
      </c>
      <c r="U43" s="245">
        <v>0</v>
      </c>
      <c r="V43" s="245">
        <v>0</v>
      </c>
      <c r="W43" s="245">
        <v>0</v>
      </c>
      <c r="X43" s="245">
        <v>0</v>
      </c>
      <c r="Y43" s="245">
        <v>0</v>
      </c>
      <c r="Z43" s="245">
        <v>0</v>
      </c>
      <c r="AA43" s="245">
        <v>0</v>
      </c>
      <c r="AB43" s="245">
        <v>0</v>
      </c>
      <c r="AC43" s="245">
        <v>0</v>
      </c>
      <c r="AD43" s="245">
        <v>0</v>
      </c>
      <c r="AE43" s="245">
        <v>0</v>
      </c>
      <c r="AF43" s="245">
        <v>0</v>
      </c>
      <c r="AG43" s="245">
        <v>0</v>
      </c>
      <c r="AH43" s="245">
        <v>0</v>
      </c>
      <c r="AI43" s="245">
        <v>0</v>
      </c>
      <c r="AJ43" s="245">
        <v>0</v>
      </c>
      <c r="AK43" s="245">
        <v>0</v>
      </c>
      <c r="AL43" s="245">
        <v>0</v>
      </c>
      <c r="AM43" s="245">
        <v>0</v>
      </c>
      <c r="AN43" s="245">
        <v>0</v>
      </c>
      <c r="AO43" s="245">
        <v>0</v>
      </c>
      <c r="AP43" s="245">
        <v>0</v>
      </c>
      <c r="AQ43" s="245">
        <v>0</v>
      </c>
      <c r="AR43" s="245">
        <v>0</v>
      </c>
      <c r="AS43" s="245">
        <v>0</v>
      </c>
      <c r="AT43" s="245">
        <v>0</v>
      </c>
      <c r="AU43" s="245">
        <v>0</v>
      </c>
      <c r="AV43" s="245">
        <v>0</v>
      </c>
      <c r="AW43" s="245">
        <v>0</v>
      </c>
      <c r="AX43" s="245">
        <v>0</v>
      </c>
      <c r="AY43" s="245">
        <v>0</v>
      </c>
      <c r="AZ43" s="245">
        <v>0</v>
      </c>
      <c r="BA43" s="245">
        <v>0</v>
      </c>
      <c r="BB43" s="245">
        <v>0</v>
      </c>
      <c r="BC43" s="245">
        <v>0</v>
      </c>
    </row>
    <row r="44" ht="15">
      <c r="A44" t="s">
        <v>212</v>
      </c>
      <c r="B44" s="119">
        <v>0</v>
      </c>
      <c r="C44" s="119">
        <v>0</v>
      </c>
      <c r="D44" s="245">
        <v>0</v>
      </c>
      <c r="E44" s="245">
        <v>0</v>
      </c>
      <c r="F44" s="245">
        <v>0</v>
      </c>
      <c r="G44" s="245">
        <v>0</v>
      </c>
      <c r="H44" s="245">
        <v>0</v>
      </c>
      <c r="I44" s="245">
        <v>0</v>
      </c>
      <c r="J44" s="245">
        <v>0</v>
      </c>
      <c r="K44" s="245">
        <v>0</v>
      </c>
      <c r="L44" s="245">
        <v>0</v>
      </c>
      <c r="M44" s="245">
        <v>0</v>
      </c>
      <c r="N44" s="245">
        <v>0</v>
      </c>
      <c r="O44" s="245">
        <v>0</v>
      </c>
      <c r="P44" s="245">
        <v>0</v>
      </c>
      <c r="Q44" s="245">
        <v>0</v>
      </c>
      <c r="R44" s="245">
        <v>0</v>
      </c>
      <c r="S44" s="245">
        <v>0</v>
      </c>
      <c r="T44" s="245">
        <v>0</v>
      </c>
      <c r="U44" s="245">
        <v>0</v>
      </c>
      <c r="V44" s="245">
        <v>0</v>
      </c>
      <c r="W44" s="245">
        <v>0</v>
      </c>
      <c r="X44" s="245">
        <v>0</v>
      </c>
      <c r="Y44" s="245">
        <v>0</v>
      </c>
      <c r="Z44" s="245">
        <v>0</v>
      </c>
      <c r="AA44" s="245">
        <v>0</v>
      </c>
      <c r="AB44" s="245">
        <v>0</v>
      </c>
      <c r="AC44" s="245">
        <v>0</v>
      </c>
      <c r="AD44" s="245">
        <v>0</v>
      </c>
      <c r="AE44" s="245">
        <v>0</v>
      </c>
      <c r="AF44" s="245">
        <v>0</v>
      </c>
      <c r="AG44" s="245">
        <v>0</v>
      </c>
      <c r="AH44" s="245">
        <v>0</v>
      </c>
      <c r="AI44" s="245">
        <v>0</v>
      </c>
      <c r="AJ44" s="245">
        <v>0</v>
      </c>
      <c r="AK44" s="245">
        <v>0</v>
      </c>
      <c r="AL44" s="245">
        <v>0</v>
      </c>
      <c r="AM44" s="245">
        <v>0</v>
      </c>
      <c r="AN44" s="245">
        <v>0</v>
      </c>
      <c r="AO44" s="245">
        <v>0</v>
      </c>
      <c r="AP44" s="245">
        <v>0</v>
      </c>
      <c r="AQ44" s="245">
        <v>0</v>
      </c>
      <c r="AR44" s="245">
        <v>0</v>
      </c>
      <c r="AS44" s="245">
        <v>0</v>
      </c>
      <c r="AT44" s="245">
        <v>0</v>
      </c>
      <c r="AU44" s="245">
        <v>0</v>
      </c>
      <c r="AV44" s="245">
        <v>0</v>
      </c>
      <c r="AW44" s="245">
        <v>0</v>
      </c>
      <c r="AX44" s="245">
        <v>0</v>
      </c>
      <c r="AY44" s="245">
        <v>0</v>
      </c>
      <c r="AZ44" s="245">
        <v>0</v>
      </c>
      <c r="BA44" s="245">
        <v>0</v>
      </c>
      <c r="BB44" s="245">
        <v>0</v>
      </c>
      <c r="BC44" s="245">
        <v>0</v>
      </c>
    </row>
    <row r="45" ht="15">
      <c r="A45" t="s">
        <v>213</v>
      </c>
      <c r="B45" s="119">
        <v>0</v>
      </c>
      <c r="C45" s="119">
        <v>0</v>
      </c>
      <c r="D45" s="245">
        <v>0</v>
      </c>
      <c r="E45" s="245">
        <v>0</v>
      </c>
      <c r="F45" s="245">
        <v>0</v>
      </c>
      <c r="G45" s="245">
        <v>0</v>
      </c>
      <c r="H45" s="245">
        <v>0</v>
      </c>
      <c r="I45" s="245">
        <v>0</v>
      </c>
      <c r="J45" s="245">
        <v>0</v>
      </c>
      <c r="K45" s="245">
        <v>0</v>
      </c>
      <c r="L45" s="245">
        <v>0</v>
      </c>
      <c r="M45" s="245">
        <v>0</v>
      </c>
      <c r="N45" s="245">
        <v>0</v>
      </c>
      <c r="O45" s="245">
        <v>0</v>
      </c>
      <c r="P45" s="245">
        <v>0</v>
      </c>
      <c r="Q45" s="245">
        <v>0</v>
      </c>
      <c r="R45" s="245">
        <v>0</v>
      </c>
      <c r="S45" s="245">
        <v>0</v>
      </c>
      <c r="T45" s="245">
        <v>0</v>
      </c>
      <c r="U45" s="245">
        <v>0</v>
      </c>
      <c r="V45" s="245">
        <v>0</v>
      </c>
      <c r="W45" s="245">
        <v>0</v>
      </c>
      <c r="X45" s="245">
        <v>0</v>
      </c>
      <c r="Y45" s="245">
        <v>0</v>
      </c>
      <c r="Z45" s="245">
        <v>0</v>
      </c>
      <c r="AA45" s="245">
        <v>0</v>
      </c>
      <c r="AB45" s="245">
        <v>0</v>
      </c>
      <c r="AC45" s="245">
        <v>0</v>
      </c>
      <c r="AD45" s="245">
        <v>0</v>
      </c>
      <c r="AE45" s="245">
        <v>0</v>
      </c>
      <c r="AF45" s="245">
        <v>0</v>
      </c>
      <c r="AG45" s="245">
        <v>0</v>
      </c>
      <c r="AH45" s="245">
        <v>0</v>
      </c>
      <c r="AI45" s="245">
        <v>0</v>
      </c>
      <c r="AJ45" s="245">
        <v>0</v>
      </c>
      <c r="AK45" s="245">
        <v>0</v>
      </c>
      <c r="AL45" s="245">
        <v>0</v>
      </c>
      <c r="AM45" s="245">
        <v>0</v>
      </c>
      <c r="AN45" s="245">
        <v>0</v>
      </c>
      <c r="AO45" s="245">
        <v>0</v>
      </c>
      <c r="AP45" s="245">
        <v>0</v>
      </c>
      <c r="AQ45" s="245">
        <v>0</v>
      </c>
      <c r="AR45" s="245">
        <v>0</v>
      </c>
      <c r="AS45" s="245">
        <v>0</v>
      </c>
      <c r="AT45" s="245">
        <v>0</v>
      </c>
      <c r="AU45" s="245">
        <v>0</v>
      </c>
      <c r="AV45" s="245">
        <v>0</v>
      </c>
      <c r="AW45" s="245">
        <v>0</v>
      </c>
      <c r="AX45" s="245">
        <v>0</v>
      </c>
      <c r="AY45" s="245">
        <v>0</v>
      </c>
      <c r="AZ45" s="245">
        <v>0</v>
      </c>
      <c r="BA45" s="245">
        <v>0</v>
      </c>
      <c r="BB45" s="245">
        <v>0</v>
      </c>
      <c r="BC45" s="245">
        <v>0</v>
      </c>
    </row>
    <row r="46" ht="15">
      <c r="A46" t="s">
        <v>214</v>
      </c>
      <c r="B46" s="119">
        <v>0</v>
      </c>
      <c r="C46" s="119">
        <v>0</v>
      </c>
      <c r="D46" s="245">
        <v>0</v>
      </c>
      <c r="E46" s="245">
        <v>0</v>
      </c>
      <c r="F46" s="245">
        <v>0</v>
      </c>
      <c r="G46" s="245">
        <v>0</v>
      </c>
      <c r="H46" s="245">
        <v>0</v>
      </c>
      <c r="I46" s="245">
        <v>0</v>
      </c>
      <c r="J46" s="245">
        <v>0</v>
      </c>
      <c r="K46" s="245">
        <v>0</v>
      </c>
      <c r="L46" s="245">
        <v>0</v>
      </c>
      <c r="M46" s="245">
        <v>0</v>
      </c>
      <c r="N46" s="245">
        <v>0</v>
      </c>
      <c r="O46" s="245">
        <v>0</v>
      </c>
      <c r="P46" s="245">
        <v>0</v>
      </c>
      <c r="Q46" s="245">
        <v>0</v>
      </c>
      <c r="R46" s="245">
        <v>0</v>
      </c>
      <c r="S46" s="245">
        <v>0</v>
      </c>
      <c r="T46" s="245">
        <v>0</v>
      </c>
      <c r="U46" s="245">
        <v>0</v>
      </c>
      <c r="V46" s="245">
        <v>0</v>
      </c>
      <c r="W46" s="245">
        <v>0</v>
      </c>
      <c r="X46" s="245">
        <v>0</v>
      </c>
      <c r="Y46" s="245">
        <v>0</v>
      </c>
      <c r="Z46" s="245">
        <v>0</v>
      </c>
      <c r="AA46" s="245">
        <v>0</v>
      </c>
      <c r="AB46" s="245">
        <v>0</v>
      </c>
      <c r="AC46" s="245">
        <v>0</v>
      </c>
      <c r="AD46" s="245">
        <v>0</v>
      </c>
      <c r="AE46" s="245">
        <v>0</v>
      </c>
      <c r="AF46" s="245">
        <v>0</v>
      </c>
      <c r="AG46" s="245">
        <v>0</v>
      </c>
      <c r="AH46" s="245">
        <v>0</v>
      </c>
      <c r="AI46" s="245">
        <v>0</v>
      </c>
      <c r="AJ46" s="245">
        <v>0</v>
      </c>
      <c r="AK46" s="245">
        <v>0</v>
      </c>
      <c r="AL46" s="245">
        <v>0</v>
      </c>
      <c r="AM46" s="245">
        <v>0</v>
      </c>
      <c r="AN46" s="245">
        <v>0</v>
      </c>
      <c r="AO46" s="245">
        <v>0</v>
      </c>
      <c r="AP46" s="245">
        <v>0</v>
      </c>
      <c r="AQ46" s="245">
        <v>0</v>
      </c>
      <c r="AR46" s="245">
        <v>0</v>
      </c>
      <c r="AS46" s="245">
        <v>0</v>
      </c>
      <c r="AT46" s="245">
        <v>0</v>
      </c>
      <c r="AU46" s="245">
        <v>0</v>
      </c>
      <c r="AV46" s="245">
        <v>0</v>
      </c>
      <c r="AW46" s="245">
        <v>0</v>
      </c>
      <c r="AX46" s="245">
        <v>0</v>
      </c>
      <c r="AY46" s="245">
        <v>0</v>
      </c>
      <c r="AZ46" s="245">
        <v>0</v>
      </c>
      <c r="BA46" s="245">
        <v>0</v>
      </c>
      <c r="BB46" s="245">
        <v>0</v>
      </c>
      <c r="BC46" s="245">
        <v>0</v>
      </c>
    </row>
    <row r="47" ht="15">
      <c r="A47" t="s">
        <v>304</v>
      </c>
      <c r="B47" s="119">
        <v>0</v>
      </c>
      <c r="C47" s="119">
        <v>0</v>
      </c>
      <c r="D47" s="245">
        <v>0</v>
      </c>
      <c r="E47" s="245">
        <v>0</v>
      </c>
      <c r="F47" s="245">
        <v>0</v>
      </c>
      <c r="G47" s="245">
        <v>0</v>
      </c>
      <c r="H47" s="245">
        <v>0</v>
      </c>
      <c r="I47" s="245">
        <v>0</v>
      </c>
      <c r="J47" s="245">
        <v>0</v>
      </c>
      <c r="K47" s="245">
        <v>0</v>
      </c>
      <c r="L47" s="245">
        <v>0</v>
      </c>
      <c r="M47" s="245">
        <v>0</v>
      </c>
      <c r="N47" s="245">
        <v>0</v>
      </c>
      <c r="O47" s="245">
        <v>0</v>
      </c>
      <c r="P47" s="245">
        <v>0</v>
      </c>
      <c r="Q47" s="245">
        <v>0</v>
      </c>
      <c r="R47" s="245">
        <v>0</v>
      </c>
      <c r="S47" s="245">
        <v>0</v>
      </c>
      <c r="T47" s="245">
        <v>0</v>
      </c>
      <c r="U47" s="245">
        <v>0</v>
      </c>
      <c r="V47" s="245">
        <v>0</v>
      </c>
      <c r="W47" s="245">
        <v>0</v>
      </c>
      <c r="X47" s="245">
        <v>0</v>
      </c>
      <c r="Y47" s="245">
        <v>0</v>
      </c>
      <c r="Z47" s="245">
        <v>0</v>
      </c>
      <c r="AA47" s="245">
        <v>0</v>
      </c>
      <c r="AB47" s="245">
        <v>0</v>
      </c>
      <c r="AC47" s="245">
        <v>0</v>
      </c>
      <c r="AD47" s="245">
        <v>0</v>
      </c>
      <c r="AE47" s="245">
        <v>0</v>
      </c>
      <c r="AF47" s="245">
        <v>0</v>
      </c>
      <c r="AG47" s="245">
        <v>0</v>
      </c>
      <c r="AH47" s="245">
        <v>0</v>
      </c>
      <c r="AI47" s="245">
        <v>0</v>
      </c>
      <c r="AJ47" s="245">
        <v>0</v>
      </c>
      <c r="AK47" s="245">
        <v>0</v>
      </c>
      <c r="AL47" s="245">
        <v>0</v>
      </c>
      <c r="AM47" s="245">
        <v>0</v>
      </c>
      <c r="AN47" s="245">
        <v>0</v>
      </c>
      <c r="AO47" s="245">
        <v>0</v>
      </c>
      <c r="AP47" s="245">
        <v>0</v>
      </c>
      <c r="AQ47" s="245">
        <v>0</v>
      </c>
      <c r="AR47" s="245">
        <v>0</v>
      </c>
      <c r="AS47" s="245">
        <v>0</v>
      </c>
      <c r="AT47" s="245">
        <v>0</v>
      </c>
      <c r="AU47" s="245">
        <v>0</v>
      </c>
      <c r="AV47" s="245">
        <v>0</v>
      </c>
      <c r="AW47" s="245">
        <v>0</v>
      </c>
      <c r="AX47" s="245">
        <v>0</v>
      </c>
      <c r="AY47" s="245">
        <v>0</v>
      </c>
      <c r="AZ47" s="245">
        <v>0</v>
      </c>
      <c r="BA47" s="245">
        <v>0</v>
      </c>
      <c r="BB47" s="245">
        <v>0</v>
      </c>
      <c r="BC47" s="245">
        <v>0</v>
      </c>
    </row>
    <row r="48" ht="15">
      <c r="A48" t="s">
        <v>215</v>
      </c>
      <c r="B48" s="119">
        <v>0</v>
      </c>
      <c r="C48" s="119">
        <v>0</v>
      </c>
      <c r="D48" s="245">
        <v>0</v>
      </c>
      <c r="E48" s="245">
        <v>0</v>
      </c>
      <c r="F48" s="245">
        <v>0</v>
      </c>
      <c r="G48" s="245">
        <v>0</v>
      </c>
      <c r="H48" s="245">
        <v>0</v>
      </c>
      <c r="I48" s="245">
        <v>0</v>
      </c>
      <c r="J48" s="245">
        <v>0</v>
      </c>
      <c r="K48" s="245">
        <v>0</v>
      </c>
      <c r="L48" s="245">
        <v>0</v>
      </c>
      <c r="M48" s="245">
        <v>0</v>
      </c>
      <c r="N48" s="245">
        <v>0</v>
      </c>
      <c r="O48" s="245">
        <v>0</v>
      </c>
      <c r="P48" s="245">
        <v>0</v>
      </c>
      <c r="Q48" s="245">
        <v>0</v>
      </c>
      <c r="R48" s="245">
        <v>0</v>
      </c>
      <c r="S48" s="245">
        <v>0</v>
      </c>
      <c r="T48" s="245">
        <v>0</v>
      </c>
      <c r="U48" s="245">
        <v>0</v>
      </c>
      <c r="V48" s="245">
        <v>0</v>
      </c>
      <c r="W48" s="245">
        <v>0</v>
      </c>
      <c r="X48" s="245">
        <v>0</v>
      </c>
      <c r="Y48" s="245">
        <v>0</v>
      </c>
      <c r="Z48" s="245">
        <v>0</v>
      </c>
      <c r="AA48" s="245">
        <v>0</v>
      </c>
      <c r="AB48" s="245">
        <v>0</v>
      </c>
      <c r="AC48" s="245">
        <v>0</v>
      </c>
      <c r="AD48" s="245">
        <v>0</v>
      </c>
      <c r="AE48" s="245">
        <v>0</v>
      </c>
      <c r="AF48" s="245">
        <v>0</v>
      </c>
      <c r="AG48" s="245">
        <v>0</v>
      </c>
      <c r="AH48" s="245">
        <v>0</v>
      </c>
      <c r="AI48" s="245">
        <v>0</v>
      </c>
      <c r="AJ48" s="245">
        <v>0</v>
      </c>
      <c r="AK48" s="245">
        <v>0</v>
      </c>
      <c r="AL48" s="245">
        <v>0</v>
      </c>
      <c r="AM48" s="245">
        <v>0</v>
      </c>
      <c r="AN48" s="245">
        <v>0</v>
      </c>
      <c r="AO48" s="245">
        <v>0</v>
      </c>
      <c r="AP48" s="245">
        <v>0</v>
      </c>
      <c r="AQ48" s="245">
        <v>0</v>
      </c>
      <c r="AR48" s="245">
        <v>0</v>
      </c>
      <c r="AS48" s="245">
        <v>0</v>
      </c>
      <c r="AT48" s="245">
        <v>0</v>
      </c>
      <c r="AU48" s="245">
        <v>0</v>
      </c>
      <c r="AV48" s="245">
        <v>0</v>
      </c>
      <c r="AW48" s="245">
        <v>0</v>
      </c>
      <c r="AX48" s="245">
        <v>0</v>
      </c>
      <c r="AY48" s="245">
        <v>0</v>
      </c>
      <c r="AZ48" s="245">
        <v>0</v>
      </c>
      <c r="BA48" s="245">
        <v>0</v>
      </c>
      <c r="BB48" s="245">
        <v>0</v>
      </c>
      <c r="BC48" s="245">
        <v>0</v>
      </c>
    </row>
    <row r="49" ht="15">
      <c r="A49" t="s">
        <v>216</v>
      </c>
      <c r="B49" s="119">
        <v>0</v>
      </c>
      <c r="C49" s="119">
        <v>0</v>
      </c>
      <c r="D49" s="245">
        <v>0</v>
      </c>
      <c r="E49" s="245">
        <v>0</v>
      </c>
      <c r="F49" s="245">
        <v>0</v>
      </c>
      <c r="G49" s="245">
        <v>0</v>
      </c>
      <c r="H49" s="245">
        <v>0</v>
      </c>
      <c r="I49" s="245">
        <v>0</v>
      </c>
      <c r="J49" s="245">
        <v>0</v>
      </c>
      <c r="K49" s="245">
        <v>0</v>
      </c>
      <c r="L49" s="245">
        <v>0</v>
      </c>
      <c r="M49" s="245">
        <v>0</v>
      </c>
      <c r="N49" s="245">
        <v>0</v>
      </c>
      <c r="O49" s="245">
        <v>0</v>
      </c>
      <c r="P49" s="245">
        <v>0</v>
      </c>
      <c r="Q49" s="245">
        <v>0</v>
      </c>
      <c r="R49" s="245">
        <v>0</v>
      </c>
      <c r="S49" s="245">
        <v>0</v>
      </c>
      <c r="T49" s="245">
        <v>0</v>
      </c>
      <c r="U49" s="245">
        <v>0</v>
      </c>
      <c r="V49" s="245">
        <v>0</v>
      </c>
      <c r="W49" s="245">
        <v>0</v>
      </c>
      <c r="X49" s="245">
        <v>0</v>
      </c>
      <c r="Y49" s="245">
        <v>0</v>
      </c>
      <c r="Z49" s="245">
        <v>0</v>
      </c>
      <c r="AA49" s="245">
        <v>2.7333333333333295E-4</v>
      </c>
      <c r="AB49" s="245">
        <v>0</v>
      </c>
      <c r="AC49" s="245">
        <v>0</v>
      </c>
      <c r="AD49" s="245">
        <v>0</v>
      </c>
      <c r="AE49" s="245">
        <v>0</v>
      </c>
      <c r="AF49" s="245">
        <v>0</v>
      </c>
      <c r="AG49" s="245">
        <v>0</v>
      </c>
      <c r="AH49" s="245">
        <v>0</v>
      </c>
      <c r="AI49" s="245">
        <v>0</v>
      </c>
      <c r="AJ49" s="245">
        <v>0</v>
      </c>
      <c r="AK49" s="245">
        <v>0</v>
      </c>
      <c r="AL49" s="245">
        <v>0</v>
      </c>
      <c r="AM49" s="245">
        <v>0</v>
      </c>
      <c r="AN49" s="245">
        <v>0</v>
      </c>
      <c r="AO49" s="245">
        <v>0</v>
      </c>
      <c r="AP49" s="245">
        <v>0</v>
      </c>
      <c r="AQ49" s="245">
        <v>0</v>
      </c>
      <c r="AR49" s="245">
        <v>0</v>
      </c>
      <c r="AS49" s="245">
        <v>0</v>
      </c>
      <c r="AT49" s="245">
        <v>0</v>
      </c>
      <c r="AU49" s="245">
        <v>0</v>
      </c>
      <c r="AV49" s="245">
        <v>0</v>
      </c>
      <c r="AW49" s="245">
        <v>0</v>
      </c>
      <c r="AX49" s="245">
        <v>0</v>
      </c>
      <c r="AY49" s="245">
        <v>0</v>
      </c>
      <c r="AZ49" s="245">
        <v>0</v>
      </c>
      <c r="BA49" s="245">
        <v>0</v>
      </c>
      <c r="BB49" s="245">
        <v>0</v>
      </c>
      <c r="BC49" s="245">
        <v>0</v>
      </c>
    </row>
    <row r="50" ht="15">
      <c r="A50" t="s">
        <v>217</v>
      </c>
      <c r="B50" s="119">
        <v>0</v>
      </c>
      <c r="C50" s="119">
        <v>0</v>
      </c>
      <c r="D50" s="245">
        <v>0</v>
      </c>
      <c r="E50" s="245">
        <v>0</v>
      </c>
      <c r="F50" s="245">
        <v>0</v>
      </c>
      <c r="G50" s="245">
        <v>0</v>
      </c>
      <c r="H50" s="245">
        <v>0</v>
      </c>
      <c r="I50" s="245">
        <v>0</v>
      </c>
      <c r="J50" s="245">
        <v>0</v>
      </c>
      <c r="K50" s="245">
        <v>0</v>
      </c>
      <c r="L50" s="245">
        <v>0</v>
      </c>
      <c r="M50" s="245">
        <v>0</v>
      </c>
      <c r="N50" s="245">
        <v>0</v>
      </c>
      <c r="O50" s="245">
        <v>0</v>
      </c>
      <c r="P50" s="245">
        <v>0</v>
      </c>
      <c r="Q50" s="245">
        <v>0</v>
      </c>
      <c r="R50" s="245">
        <v>0</v>
      </c>
      <c r="S50" s="245">
        <v>0</v>
      </c>
      <c r="T50" s="245">
        <v>0</v>
      </c>
      <c r="U50" s="245">
        <v>0</v>
      </c>
      <c r="V50" s="245">
        <v>0</v>
      </c>
      <c r="W50" s="245">
        <v>0</v>
      </c>
      <c r="X50" s="245">
        <v>0</v>
      </c>
      <c r="Y50" s="245">
        <v>0</v>
      </c>
      <c r="Z50" s="245">
        <v>0</v>
      </c>
      <c r="AA50" s="245">
        <v>0</v>
      </c>
      <c r="AB50" s="245">
        <v>0</v>
      </c>
      <c r="AC50" s="245">
        <v>0</v>
      </c>
      <c r="AD50" s="245">
        <v>0</v>
      </c>
      <c r="AE50" s="245">
        <v>0</v>
      </c>
      <c r="AF50" s="245">
        <v>0</v>
      </c>
      <c r="AG50" s="245">
        <v>0</v>
      </c>
      <c r="AH50" s="245">
        <v>0</v>
      </c>
      <c r="AI50" s="245">
        <v>0</v>
      </c>
      <c r="AJ50" s="245">
        <v>0</v>
      </c>
      <c r="AK50" s="245">
        <v>0</v>
      </c>
      <c r="AL50" s="245">
        <v>0</v>
      </c>
      <c r="AM50" s="245">
        <v>0</v>
      </c>
      <c r="AN50" s="245">
        <v>0</v>
      </c>
      <c r="AO50" s="245">
        <v>0</v>
      </c>
      <c r="AP50" s="245">
        <v>0</v>
      </c>
      <c r="AQ50" s="245">
        <v>0</v>
      </c>
      <c r="AR50" s="245">
        <v>0</v>
      </c>
      <c r="AS50" s="245">
        <v>0</v>
      </c>
      <c r="AT50" s="245">
        <v>0</v>
      </c>
      <c r="AU50" s="245">
        <v>0</v>
      </c>
      <c r="AV50" s="245">
        <v>0</v>
      </c>
      <c r="AW50" s="245">
        <v>0</v>
      </c>
      <c r="AX50" s="245">
        <v>0</v>
      </c>
      <c r="AY50" s="245">
        <v>0</v>
      </c>
      <c r="AZ50" s="245">
        <v>0</v>
      </c>
      <c r="BA50" s="245">
        <v>0</v>
      </c>
      <c r="BB50" s="245">
        <v>0</v>
      </c>
      <c r="BC50" s="245">
        <v>0</v>
      </c>
    </row>
    <row r="51" ht="15">
      <c r="A51" t="s">
        <v>218</v>
      </c>
      <c r="B51" s="119">
        <v>0</v>
      </c>
      <c r="C51" s="119">
        <v>0</v>
      </c>
      <c r="D51" s="245">
        <v>0</v>
      </c>
      <c r="E51" s="245">
        <v>0</v>
      </c>
      <c r="F51" s="245">
        <v>0</v>
      </c>
      <c r="G51" s="245">
        <v>0</v>
      </c>
      <c r="H51" s="245">
        <v>0</v>
      </c>
      <c r="I51" s="245">
        <v>0</v>
      </c>
      <c r="J51" s="245">
        <v>0</v>
      </c>
      <c r="K51" s="245">
        <v>0</v>
      </c>
      <c r="L51" s="245">
        <v>0</v>
      </c>
      <c r="M51" s="245">
        <v>0</v>
      </c>
      <c r="N51" s="245">
        <v>0</v>
      </c>
      <c r="O51" s="245">
        <v>0</v>
      </c>
      <c r="P51" s="245">
        <v>0</v>
      </c>
      <c r="Q51" s="245">
        <v>0</v>
      </c>
      <c r="R51" s="245">
        <v>0</v>
      </c>
      <c r="S51" s="245">
        <v>0</v>
      </c>
      <c r="T51" s="245">
        <v>0</v>
      </c>
      <c r="U51" s="245">
        <v>0</v>
      </c>
      <c r="V51" s="245">
        <v>0</v>
      </c>
      <c r="W51" s="245">
        <v>0</v>
      </c>
      <c r="X51" s="245">
        <v>0</v>
      </c>
      <c r="Y51" s="245">
        <v>0</v>
      </c>
      <c r="Z51" s="245">
        <v>0</v>
      </c>
      <c r="AA51" s="245">
        <v>0</v>
      </c>
      <c r="AB51" s="245">
        <v>0</v>
      </c>
      <c r="AC51" s="245">
        <v>0</v>
      </c>
      <c r="AD51" s="245">
        <v>0</v>
      </c>
      <c r="AE51" s="245">
        <v>0</v>
      </c>
      <c r="AF51" s="245">
        <v>0</v>
      </c>
      <c r="AG51" s="245">
        <v>0</v>
      </c>
      <c r="AH51" s="245">
        <v>0</v>
      </c>
      <c r="AI51" s="245">
        <v>0</v>
      </c>
      <c r="AJ51" s="245">
        <v>0</v>
      </c>
      <c r="AK51" s="245">
        <v>0</v>
      </c>
      <c r="AL51" s="245">
        <v>0</v>
      </c>
      <c r="AM51" s="245">
        <v>0</v>
      </c>
      <c r="AN51" s="245">
        <v>0</v>
      </c>
      <c r="AO51" s="245">
        <v>0</v>
      </c>
      <c r="AP51" s="245">
        <v>0</v>
      </c>
      <c r="AQ51" s="245">
        <v>0</v>
      </c>
      <c r="AR51" s="245">
        <v>0</v>
      </c>
      <c r="AS51" s="245">
        <v>0</v>
      </c>
      <c r="AT51" s="245">
        <v>0</v>
      </c>
      <c r="AU51" s="245">
        <v>0</v>
      </c>
      <c r="AV51" s="245">
        <v>0</v>
      </c>
      <c r="AW51" s="245">
        <v>0</v>
      </c>
      <c r="AX51" s="245">
        <v>0</v>
      </c>
      <c r="AY51" s="245">
        <v>0</v>
      </c>
      <c r="AZ51" s="245">
        <v>0</v>
      </c>
      <c r="BA51" s="245">
        <v>0</v>
      </c>
      <c r="BB51" s="245">
        <v>0</v>
      </c>
      <c r="BC51" s="245">
        <v>0</v>
      </c>
    </row>
    <row r="52" ht="15">
      <c r="A52" t="s">
        <v>72</v>
      </c>
      <c r="B52" s="119">
        <v>0</v>
      </c>
      <c r="C52" s="119">
        <v>0</v>
      </c>
      <c r="D52" s="245">
        <v>0.01</v>
      </c>
      <c r="E52" s="245">
        <v>0</v>
      </c>
      <c r="F52" s="245">
        <v>0.28999999999999998</v>
      </c>
      <c r="G52" s="245">
        <v>5.5E-2</v>
      </c>
      <c r="H52" s="245">
        <v>7.0000000000000034E-2</v>
      </c>
      <c r="I52" s="245">
        <v>4.2857142857142898E-4</v>
      </c>
      <c r="J52" s="245">
        <v>0.16666666666666699</v>
      </c>
      <c r="K52" s="245">
        <v>0</v>
      </c>
      <c r="L52" s="245">
        <v>0.30599999999999999</v>
      </c>
      <c r="M52" s="245">
        <v>0</v>
      </c>
      <c r="N52" s="245">
        <v>3.6999999999999998E-2</v>
      </c>
      <c r="O52" s="245">
        <v>0.60355000000000003</v>
      </c>
      <c r="P52" s="245">
        <v>0.2</v>
      </c>
      <c r="Q52" s="245">
        <v>0.10215</v>
      </c>
      <c r="R52" s="245">
        <v>0.28754000000000002</v>
      </c>
      <c r="S52" s="245">
        <v>2.6249999999999999E-2</v>
      </c>
      <c r="T52" s="245">
        <v>0.29073333333333301</v>
      </c>
      <c r="U52" s="245">
        <v>7.2500000000000004E-3</v>
      </c>
      <c r="V52" s="245">
        <v>1.81777777777778E-2</v>
      </c>
      <c r="W52" s="245">
        <v>1.10055555555556E-2</v>
      </c>
      <c r="X52" s="245">
        <v>0</v>
      </c>
      <c r="Y52" s="245">
        <v>7.2179999999999994E-2</v>
      </c>
      <c r="Z52" s="245">
        <v>5.7500000000000002E-2</v>
      </c>
      <c r="AA52" s="245">
        <v>0</v>
      </c>
      <c r="AB52" s="245">
        <v>1.7986394557823131E-2</v>
      </c>
      <c r="AC52" s="245">
        <v>1.21E-2</v>
      </c>
      <c r="AD52" s="245">
        <v>0.188285714285714</v>
      </c>
      <c r="AE52" s="245">
        <v>3.95E-2</v>
      </c>
      <c r="AF52" s="245">
        <v>0.13783030666666701</v>
      </c>
      <c r="AG52" s="245">
        <v>1.2324859943977596E-2</v>
      </c>
      <c r="AH52" s="245">
        <v>0.10678253917748944</v>
      </c>
      <c r="AI52" s="245">
        <v>0</v>
      </c>
      <c r="AJ52" s="245">
        <v>0.16308333333333336</v>
      </c>
      <c r="AK52" s="245">
        <v>8.5666666666666696E-2</v>
      </c>
      <c r="AL52" s="245">
        <v>0.13750000000000001</v>
      </c>
      <c r="AM52" s="245">
        <v>0.122857142857143</v>
      </c>
      <c r="AN52" s="245">
        <v>6.6666666666666697E-3</v>
      </c>
      <c r="AO52" s="245">
        <v>0.11527777777777778</v>
      </c>
      <c r="AP52" s="245">
        <v>0</v>
      </c>
      <c r="AQ52" s="245">
        <v>0</v>
      </c>
      <c r="AR52" s="245">
        <v>0</v>
      </c>
      <c r="AS52" s="245">
        <v>0</v>
      </c>
      <c r="AT52" s="245">
        <v>5.8151785714285698E-2</v>
      </c>
      <c r="AU52" s="245">
        <v>8.4500000000000006E-2</v>
      </c>
      <c r="AV52" s="245">
        <v>0</v>
      </c>
      <c r="AW52" s="245">
        <v>0</v>
      </c>
      <c r="AX52" s="245">
        <v>0</v>
      </c>
      <c r="AY52" s="245">
        <v>0</v>
      </c>
      <c r="AZ52" s="245">
        <v>0</v>
      </c>
      <c r="BA52" s="245">
        <v>0</v>
      </c>
      <c r="BB52" s="245">
        <v>0</v>
      </c>
      <c r="BC52" s="245">
        <v>0</v>
      </c>
    </row>
    <row r="53" ht="15">
      <c r="A53" s="137" t="s">
        <v>219</v>
      </c>
      <c r="B53" s="119">
        <v>0</v>
      </c>
      <c r="C53" s="119">
        <v>0</v>
      </c>
      <c r="D53" s="245">
        <v>0</v>
      </c>
      <c r="E53" s="245">
        <v>0</v>
      </c>
      <c r="F53" s="245">
        <v>0</v>
      </c>
      <c r="G53" s="245">
        <v>0</v>
      </c>
      <c r="H53" s="245">
        <v>0</v>
      </c>
      <c r="I53" s="245">
        <v>0</v>
      </c>
      <c r="J53" s="245">
        <v>0</v>
      </c>
      <c r="K53" s="245">
        <v>4.8229442832221102E-2</v>
      </c>
      <c r="L53" s="245">
        <v>0</v>
      </c>
      <c r="M53" s="245">
        <v>2.8369696969696968E-2</v>
      </c>
      <c r="N53" s="245">
        <v>0</v>
      </c>
      <c r="O53" s="245">
        <v>0</v>
      </c>
      <c r="P53" s="245">
        <v>0</v>
      </c>
      <c r="Q53" s="245">
        <v>0</v>
      </c>
      <c r="R53" s="245">
        <v>0</v>
      </c>
      <c r="S53" s="245">
        <v>0</v>
      </c>
      <c r="T53" s="245">
        <v>0</v>
      </c>
      <c r="U53" s="245">
        <v>0</v>
      </c>
      <c r="V53" s="245">
        <v>0</v>
      </c>
      <c r="W53" s="245">
        <v>0</v>
      </c>
      <c r="X53" s="245">
        <v>0</v>
      </c>
      <c r="Y53" s="245">
        <v>0</v>
      </c>
      <c r="Z53" s="245">
        <v>0</v>
      </c>
      <c r="AA53" s="245">
        <v>0</v>
      </c>
      <c r="AB53" s="245">
        <v>0</v>
      </c>
      <c r="AC53" s="245">
        <v>0</v>
      </c>
      <c r="AD53" s="245">
        <v>0</v>
      </c>
      <c r="AE53" s="245">
        <v>0</v>
      </c>
      <c r="AF53" s="245">
        <v>2.59914177777778E-2</v>
      </c>
      <c r="AG53" s="245">
        <v>0</v>
      </c>
      <c r="AH53" s="245">
        <v>0</v>
      </c>
      <c r="AI53" s="245">
        <v>0</v>
      </c>
      <c r="AJ53" s="245">
        <v>1.6160833333333333E-2</v>
      </c>
      <c r="AK53" s="245">
        <v>0</v>
      </c>
      <c r="AL53" s="245">
        <v>0</v>
      </c>
      <c r="AM53" s="245">
        <v>0</v>
      </c>
      <c r="AN53" s="245">
        <v>0</v>
      </c>
      <c r="AO53" s="245">
        <v>0</v>
      </c>
      <c r="AP53" s="245">
        <v>0</v>
      </c>
      <c r="AQ53" s="245">
        <v>0</v>
      </c>
      <c r="AR53" s="245">
        <v>0</v>
      </c>
      <c r="AS53" s="245">
        <v>0</v>
      </c>
      <c r="AT53" s="245">
        <v>0</v>
      </c>
      <c r="AU53" s="245">
        <v>0</v>
      </c>
      <c r="AV53" s="245">
        <v>0</v>
      </c>
      <c r="AW53" s="245">
        <v>0</v>
      </c>
      <c r="AX53" s="245">
        <v>0</v>
      </c>
      <c r="AY53" s="245">
        <v>0</v>
      </c>
      <c r="AZ53" s="245">
        <v>0</v>
      </c>
      <c r="BA53" s="245">
        <v>0</v>
      </c>
      <c r="BB53" s="245">
        <v>0</v>
      </c>
      <c r="BC53" s="245">
        <v>0</v>
      </c>
    </row>
    <row r="54" ht="15">
      <c r="A54" s="59" t="s">
        <v>71</v>
      </c>
      <c r="B54" s="119">
        <v>0</v>
      </c>
      <c r="C54" s="119">
        <v>0</v>
      </c>
      <c r="D54" s="245">
        <v>0</v>
      </c>
      <c r="E54" s="245">
        <v>0</v>
      </c>
      <c r="F54" s="245">
        <v>0</v>
      </c>
      <c r="G54" s="245">
        <v>0</v>
      </c>
      <c r="H54" s="245">
        <v>0</v>
      </c>
      <c r="I54" s="245">
        <v>0</v>
      </c>
      <c r="J54" s="245">
        <v>0</v>
      </c>
      <c r="K54" s="245">
        <v>0</v>
      </c>
      <c r="L54" s="245">
        <v>0</v>
      </c>
      <c r="M54" s="245">
        <v>0</v>
      </c>
      <c r="N54" s="245">
        <v>0</v>
      </c>
      <c r="O54" s="245">
        <v>0</v>
      </c>
      <c r="P54" s="245">
        <v>0</v>
      </c>
      <c r="Q54" s="245">
        <v>0</v>
      </c>
      <c r="R54" s="245">
        <v>0</v>
      </c>
      <c r="S54" s="245">
        <v>0</v>
      </c>
      <c r="T54" s="245">
        <v>0</v>
      </c>
      <c r="U54" s="245">
        <v>0</v>
      </c>
      <c r="V54" s="245">
        <v>0</v>
      </c>
      <c r="W54" s="245">
        <v>0</v>
      </c>
      <c r="X54" s="245">
        <v>0</v>
      </c>
      <c r="Y54" s="245">
        <v>0</v>
      </c>
      <c r="Z54" s="245">
        <v>0</v>
      </c>
      <c r="AA54" s="245">
        <v>0</v>
      </c>
      <c r="AB54" s="245">
        <v>0</v>
      </c>
      <c r="AC54" s="245">
        <v>0</v>
      </c>
      <c r="AD54" s="245">
        <v>0</v>
      </c>
      <c r="AE54" s="245">
        <v>0</v>
      </c>
      <c r="AF54" s="245">
        <v>0</v>
      </c>
      <c r="AG54" s="245">
        <v>0</v>
      </c>
      <c r="AH54" s="245">
        <v>0</v>
      </c>
      <c r="AI54" s="245">
        <v>0</v>
      </c>
      <c r="AJ54" s="245">
        <v>0</v>
      </c>
      <c r="AK54" s="245">
        <v>0</v>
      </c>
      <c r="AL54" s="245">
        <v>0</v>
      </c>
      <c r="AM54" s="245">
        <v>0</v>
      </c>
      <c r="AN54" s="245">
        <v>0</v>
      </c>
      <c r="AO54" s="245">
        <v>0</v>
      </c>
      <c r="AP54" s="245">
        <v>0</v>
      </c>
      <c r="AQ54" s="245">
        <v>0</v>
      </c>
      <c r="AR54" s="245">
        <v>0</v>
      </c>
      <c r="AS54" s="245">
        <v>0</v>
      </c>
      <c r="AT54" s="245">
        <v>0</v>
      </c>
      <c r="AU54" s="245">
        <v>0</v>
      </c>
      <c r="AV54" s="245">
        <v>0</v>
      </c>
      <c r="AW54" s="245">
        <v>0</v>
      </c>
      <c r="AX54" s="245">
        <v>0</v>
      </c>
      <c r="AY54" s="245">
        <v>0</v>
      </c>
      <c r="AZ54" s="245">
        <v>0</v>
      </c>
      <c r="BA54" s="245">
        <v>0</v>
      </c>
      <c r="BB54" s="245">
        <v>0</v>
      </c>
      <c r="BC54" s="245">
        <v>0</v>
      </c>
    </row>
    <row r="55" ht="15">
      <c r="A55" s="137" t="s">
        <v>73</v>
      </c>
      <c r="B55" s="119">
        <v>0</v>
      </c>
      <c r="C55" s="119">
        <v>0</v>
      </c>
      <c r="D55" s="245">
        <v>0</v>
      </c>
      <c r="E55" s="245">
        <v>0</v>
      </c>
      <c r="F55" s="245">
        <v>0.1</v>
      </c>
      <c r="G55" s="245">
        <v>0.82750000000000001</v>
      </c>
      <c r="H55" s="245">
        <v>8.6249999999999993E-2</v>
      </c>
      <c r="I55" s="245">
        <v>0</v>
      </c>
      <c r="J55" s="245">
        <v>0.28999999999999998</v>
      </c>
      <c r="K55" s="245">
        <v>0</v>
      </c>
      <c r="L55" s="245">
        <v>0</v>
      </c>
      <c r="M55" s="245">
        <v>0</v>
      </c>
      <c r="N55" s="245">
        <v>0</v>
      </c>
      <c r="O55" s="245">
        <v>0</v>
      </c>
      <c r="P55" s="245">
        <v>0</v>
      </c>
      <c r="Q55" s="245">
        <v>2.9625000000000002E-2</v>
      </c>
      <c r="R55" s="245">
        <v>0</v>
      </c>
      <c r="S55" s="245">
        <v>0</v>
      </c>
      <c r="T55" s="245">
        <v>0</v>
      </c>
      <c r="U55" s="245">
        <v>0</v>
      </c>
      <c r="V55" s="245">
        <v>1.9022222222222201E-2</v>
      </c>
      <c r="W55" s="245">
        <v>7.4333333333333307E-2</v>
      </c>
      <c r="X55" s="245">
        <v>0</v>
      </c>
      <c r="Y55" s="245">
        <v>0</v>
      </c>
      <c r="Z55" s="245">
        <v>0</v>
      </c>
      <c r="AA55" s="245">
        <v>0</v>
      </c>
      <c r="AB55" s="245">
        <v>0</v>
      </c>
      <c r="AC55" s="245">
        <v>0</v>
      </c>
      <c r="AD55" s="245">
        <v>0</v>
      </c>
      <c r="AE55" s="245">
        <v>0</v>
      </c>
      <c r="AF55" s="245">
        <v>0</v>
      </c>
      <c r="AG55" s="245">
        <v>0</v>
      </c>
      <c r="AH55" s="245">
        <v>0.14634112554112555</v>
      </c>
      <c r="AI55" s="245">
        <v>0</v>
      </c>
      <c r="AJ55" s="245">
        <v>0</v>
      </c>
      <c r="AK55" s="245">
        <v>0</v>
      </c>
      <c r="AL55" s="245">
        <v>0</v>
      </c>
      <c r="AM55" s="245">
        <v>0.3468571428571427</v>
      </c>
      <c r="AN55" s="245">
        <v>0.40666666666666701</v>
      </c>
      <c r="AO55" s="245">
        <v>0.21227777777777779</v>
      </c>
      <c r="AP55" s="245">
        <v>0</v>
      </c>
      <c r="AQ55" s="245">
        <v>0</v>
      </c>
      <c r="AR55" s="245">
        <v>0</v>
      </c>
      <c r="AS55" s="245">
        <v>2.5000000000000001E-2</v>
      </c>
      <c r="AT55" s="245">
        <v>0</v>
      </c>
      <c r="AU55" s="245">
        <v>0</v>
      </c>
      <c r="AV55" s="245">
        <v>0</v>
      </c>
      <c r="AW55" s="245">
        <v>0</v>
      </c>
      <c r="AX55" s="245">
        <v>0</v>
      </c>
      <c r="AY55" s="245">
        <v>0</v>
      </c>
      <c r="AZ55" s="245">
        <v>0</v>
      </c>
      <c r="BA55" s="245">
        <v>0</v>
      </c>
      <c r="BB55" s="245">
        <v>0</v>
      </c>
      <c r="BC55" s="245">
        <v>0</v>
      </c>
    </row>
    <row r="56" s="140" customFormat="true" ht="15">
      <c r="A56" s="137" t="s">
        <v>162</v>
      </c>
      <c r="B56" s="119">
        <v>0</v>
      </c>
      <c r="C56" s="119">
        <v>0</v>
      </c>
      <c r="D56" s="245">
        <v>0.24000000000000002</v>
      </c>
      <c r="E56" s="245">
        <v>0</v>
      </c>
      <c r="F56" s="245">
        <v>0</v>
      </c>
      <c r="G56" s="245">
        <v>0</v>
      </c>
      <c r="H56" s="245">
        <v>0</v>
      </c>
      <c r="I56" s="245">
        <v>0</v>
      </c>
      <c r="J56" s="245">
        <v>0</v>
      </c>
      <c r="K56" s="245">
        <v>0</v>
      </c>
      <c r="L56" s="245">
        <v>0</v>
      </c>
      <c r="M56" s="245">
        <v>0</v>
      </c>
      <c r="N56" s="245">
        <v>0</v>
      </c>
      <c r="O56" s="245">
        <v>0</v>
      </c>
      <c r="P56" s="245">
        <v>0</v>
      </c>
      <c r="Q56" s="245">
        <v>0</v>
      </c>
      <c r="R56" s="245">
        <v>0</v>
      </c>
      <c r="S56" s="245">
        <v>0</v>
      </c>
      <c r="T56" s="245">
        <v>0</v>
      </c>
      <c r="U56" s="245">
        <v>0</v>
      </c>
      <c r="V56" s="245">
        <v>0</v>
      </c>
      <c r="W56" s="245">
        <v>0</v>
      </c>
      <c r="X56" s="245">
        <v>0</v>
      </c>
      <c r="Y56" s="245">
        <v>0</v>
      </c>
      <c r="Z56" s="245">
        <v>3.7999999999999999E-2</v>
      </c>
      <c r="AA56" s="245">
        <v>1.0000000000000001E-5</v>
      </c>
      <c r="AB56" s="245">
        <v>1.516821273964131E-2</v>
      </c>
      <c r="AC56" s="245">
        <v>4.4428571428571399E-3</v>
      </c>
      <c r="AD56" s="245">
        <v>0</v>
      </c>
      <c r="AE56" s="245">
        <v>0</v>
      </c>
      <c r="AF56" s="245">
        <v>7.4166678666666638E-3</v>
      </c>
      <c r="AG56" s="245">
        <v>4.3999999999999997E-2</v>
      </c>
      <c r="AH56" s="245">
        <v>0</v>
      </c>
      <c r="AI56" s="245">
        <v>0</v>
      </c>
      <c r="AJ56" s="245">
        <v>0</v>
      </c>
      <c r="AK56" s="245">
        <v>0</v>
      </c>
      <c r="AL56" s="245">
        <v>0</v>
      </c>
      <c r="AM56" s="245">
        <v>0</v>
      </c>
      <c r="AN56" s="245">
        <v>0</v>
      </c>
      <c r="AO56" s="245">
        <v>0</v>
      </c>
      <c r="AP56" s="245">
        <v>3.0000000000000001E-3</v>
      </c>
      <c r="AQ56" s="245">
        <v>0</v>
      </c>
      <c r="AR56" s="245">
        <v>3.0000000000000001E-5</v>
      </c>
      <c r="AS56" s="245">
        <v>0</v>
      </c>
      <c r="AT56" s="245">
        <v>0</v>
      </c>
      <c r="AU56" s="245">
        <v>0</v>
      </c>
      <c r="AV56" s="245">
        <v>0</v>
      </c>
      <c r="AW56" s="245">
        <v>0.124</v>
      </c>
      <c r="AX56" s="245">
        <v>0</v>
      </c>
      <c r="AY56" s="245">
        <v>0</v>
      </c>
      <c r="AZ56" s="245">
        <v>0</v>
      </c>
      <c r="BA56" s="245">
        <v>0</v>
      </c>
      <c r="BB56" s="245">
        <v>0</v>
      </c>
      <c r="BC56" s="245">
        <v>0</v>
      </c>
    </row>
    <row r="57">
      <c r="A57" s="140"/>
      <c r="B57" s="209"/>
      <c r="C57" s="209"/>
      <c r="D57" s="209"/>
      <c r="E57" s="209"/>
      <c r="F57" s="209"/>
      <c r="G57" s="209"/>
      <c r="H57" s="209"/>
      <c r="I57" s="209"/>
      <c r="J57" s="119"/>
      <c r="K57" s="209"/>
      <c r="L57" s="209"/>
      <c r="M57" s="209"/>
      <c r="N57" s="209"/>
      <c r="O57" s="209"/>
      <c r="P57" s="209"/>
      <c r="Q57" s="209"/>
      <c r="R57" s="209"/>
      <c r="S57" s="209"/>
      <c r="T57" s="209"/>
      <c r="U57" s="209"/>
      <c r="V57" s="209"/>
      <c r="W57" s="209"/>
      <c r="X57" s="209"/>
      <c r="Y57" s="209"/>
      <c r="Z57" s="209"/>
      <c r="AA57" s="209"/>
      <c r="AB57" s="209"/>
      <c r="AC57" s="209"/>
      <c r="AD57" s="209"/>
      <c r="AE57" s="209"/>
      <c r="AF57" s="209"/>
      <c r="AG57" s="209"/>
      <c r="AH57" s="209"/>
      <c r="AI57" s="209"/>
      <c r="AJ57" s="209"/>
      <c r="AK57" s="209"/>
      <c r="AL57" s="209"/>
      <c r="AM57" s="209"/>
      <c r="AN57" s="209"/>
      <c r="AO57" s="209"/>
      <c r="AP57" s="209"/>
      <c r="AQ57" s="209"/>
      <c r="AR57" s="209"/>
      <c r="AS57" s="209"/>
      <c r="AT57" s="209"/>
      <c r="AU57" s="209"/>
      <c r="AV57" s="209"/>
      <c r="AW57" s="209"/>
      <c r="AX57" s="209"/>
      <c r="AY57" s="209"/>
      <c r="AZ57" s="209"/>
      <c r="BA57" s="209"/>
      <c r="BB57" s="209"/>
      <c r="BC57" s="119"/>
    </row>
    <row r="58" s="140" customFormat="true">
      <c r="A58" s="30" t="s">
        <v>61</v>
      </c>
      <c r="B58" s="30">
        <f t="shared" ref="B58:AC58" si="0">SUM(B2:B56)</f>
        <v>0</v>
      </c>
      <c r="C58" s="30">
        <f t="shared" si="0"/>
        <v>0</v>
      </c>
      <c r="D58" s="30">
        <f t="shared" si="0"/>
        <v>1</v>
      </c>
      <c r="E58" s="30">
        <f t="shared" si="0"/>
        <v>1</v>
      </c>
      <c r="F58" s="30">
        <f t="shared" si="0"/>
        <v>0.99999999999999989</v>
      </c>
      <c r="G58" s="30">
        <f t="shared" si="0"/>
        <v>1</v>
      </c>
      <c r="H58" s="30">
        <f t="shared" si="0"/>
        <v>1</v>
      </c>
      <c r="I58" s="30">
        <f t="shared" si="0"/>
        <v>1.0002142857142859</v>
      </c>
      <c r="J58" s="30">
        <f t="shared" si="0"/>
        <v>1.0000000000000011</v>
      </c>
      <c r="K58" s="30">
        <f t="shared" si="0"/>
        <v>0.99996057724036846</v>
      </c>
      <c r="L58" s="30">
        <f t="shared" si="0"/>
        <v>1</v>
      </c>
      <c r="M58" s="30">
        <f t="shared" si="0"/>
        <v>1.0001438138842147</v>
      </c>
      <c r="N58" s="30">
        <f t="shared" si="0"/>
        <v>0.99970000000000014</v>
      </c>
      <c r="O58" s="30">
        <f t="shared" si="0"/>
        <v>1</v>
      </c>
      <c r="P58" s="30">
        <f t="shared" si="0"/>
        <v>1</v>
      </c>
      <c r="Q58" s="30">
        <f t="shared" si="0"/>
        <v>1</v>
      </c>
      <c r="R58" s="30">
        <f t="shared" si="0"/>
        <v>1.000248888888889</v>
      </c>
      <c r="S58" s="30">
        <f t="shared" si="0"/>
        <v>1.0000000000000002</v>
      </c>
      <c r="T58" s="30">
        <f t="shared" si="0"/>
        <v>1</v>
      </c>
      <c r="U58" s="30">
        <f t="shared" si="0"/>
        <v>1</v>
      </c>
      <c r="V58" s="30">
        <f t="shared" si="0"/>
        <v>1.0000000000000007</v>
      </c>
      <c r="W58" s="30">
        <f t="shared" si="0"/>
        <v>1.0000000000000004</v>
      </c>
      <c r="X58" s="30">
        <f t="shared" si="0"/>
        <v>0.99999999999999978</v>
      </c>
      <c r="Y58" s="30">
        <f t="shared" si="0"/>
        <v>0.99999999999999989</v>
      </c>
      <c r="Z58" s="30">
        <f>SUM(Z2:Z56)</f>
        <v>1</v>
      </c>
      <c r="AA58" s="30">
        <f>SUM(AA2:AA56)</f>
        <v>0.99744999999999928</v>
      </c>
      <c r="AB58" s="30">
        <f t="shared" si="0"/>
        <v>0.99992907092907157</v>
      </c>
      <c r="AC58" s="30">
        <f t="shared" si="0"/>
        <v>0.99999999999999933</v>
      </c>
      <c r="AD58" s="30">
        <f t="shared" ref="AD58:BB58" si="1">SUM(AD2:AD56)</f>
        <v>1.0002999999999997</v>
      </c>
      <c r="AE58" s="30">
        <f t="shared" si="1"/>
        <v>1</v>
      </c>
      <c r="AF58" s="30">
        <f>SUM(AF2:AF56)</f>
        <v>0.99957226222222284</v>
      </c>
      <c r="AG58" s="30">
        <f>SUM(AG2:AG56)</f>
        <v>1.0004996498599446</v>
      </c>
      <c r="AH58" s="30">
        <f t="shared" si="1"/>
        <v>0.99999726818181822</v>
      </c>
      <c r="AI58" s="30">
        <f t="shared" si="1"/>
        <v>0.99999300000000002</v>
      </c>
      <c r="AJ58" s="30">
        <f>SUM(AJ2:AJ56)</f>
        <v>0.99902987692307699</v>
      </c>
      <c r="AK58" s="30">
        <f t="shared" si="1"/>
        <v>1.0000000000000002</v>
      </c>
      <c r="AL58" s="30">
        <f t="shared" si="1"/>
        <v>1</v>
      </c>
      <c r="AM58" s="30">
        <f t="shared" si="1"/>
        <v>1.0004285714285712</v>
      </c>
      <c r="AN58" s="30">
        <f t="shared" si="1"/>
        <v>1.0000033333333338</v>
      </c>
      <c r="AO58" s="30">
        <f t="shared" si="1"/>
        <v>1</v>
      </c>
      <c r="AP58" s="30">
        <f t="shared" si="1"/>
        <v>1</v>
      </c>
      <c r="AQ58" s="30">
        <f t="shared" si="1"/>
        <v>1</v>
      </c>
      <c r="AR58" s="30">
        <f t="shared" si="1"/>
        <v>1</v>
      </c>
      <c r="AS58" s="30">
        <f t="shared" si="1"/>
        <v>0.9999983333333331</v>
      </c>
      <c r="AT58" s="30">
        <f t="shared" si="1"/>
        <v>0.99998750000000003</v>
      </c>
      <c r="AU58" s="30">
        <f t="shared" si="1"/>
        <v>1</v>
      </c>
      <c r="AV58" s="30">
        <f>SUM(AV2:AV56)</f>
        <v>1</v>
      </c>
      <c r="AW58" s="30">
        <f t="shared" si="1"/>
        <v>0.99998816939999946</v>
      </c>
      <c r="AX58" s="30">
        <f t="shared" si="1"/>
        <v>1.0000000000000004</v>
      </c>
      <c r="AY58" s="30">
        <f t="shared" si="1"/>
        <v>1.0000000000000002</v>
      </c>
      <c r="AZ58" s="30">
        <f t="shared" si="1"/>
        <v>0</v>
      </c>
      <c r="BA58" s="30">
        <f t="shared" si="1"/>
        <v>0</v>
      </c>
      <c r="BB58" s="30">
        <f t="shared" si="1"/>
        <v>0</v>
      </c>
      <c r="BC58" s="30">
        <f>SUM(BC2:BC57)</f>
        <v>0</v>
      </c>
    </row>
    <row r="60">
      <c r="AA60" s="153"/>
      <c r="AF60" s="153"/>
      <c r="AI60" s="153"/>
      <c r="AN60" s="153"/>
    </row>
    <row r="61">
      <c r="P61" s="153"/>
      <c r="Y61" s="153"/>
      <c r="AA61" s="153"/>
      <c r="AF61" s="153"/>
      <c r="AG61" s="153"/>
      <c r="AI61" s="153"/>
      <c r="AN61" s="153"/>
    </row>
    <row r="62">
      <c r="P62" s="153"/>
      <c r="AA62" s="153"/>
      <c r="AF62" s="153"/>
      <c r="AG62" s="153"/>
      <c r="AI62" s="153"/>
    </row>
    <row r="63">
      <c r="AA63" s="153"/>
      <c r="AF63" s="153"/>
      <c r="AG63" s="153"/>
      <c r="AI63" s="153"/>
    </row>
    <row r="64">
      <c r="AA64" s="153"/>
      <c r="AF64" s="153"/>
      <c r="AG64" s="153"/>
      <c r="AI64" s="153"/>
    </row>
    <row r="65">
      <c r="J65" s="153"/>
      <c r="AG65" s="153"/>
    </row>
    <row r="66">
      <c r="J66" s="153"/>
      <c r="AG66" s="153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</row>
    <row r="67">
      <c r="AG67" s="153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</row>
    <row r="68">
      <c r="AG68" s="153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</row>
    <row r="69"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</row>
    <row r="70"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</row>
    <row r="71"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</row>
    <row r="72"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</row>
    <row r="73"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</row>
    <row r="74"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</row>
    <row r="75"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</row>
    <row r="76"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</row>
    <row r="77"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</row>
    <row r="78"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</row>
    <row r="79"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</row>
    <row r="80"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</row>
    <row r="81"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</row>
    <row r="82">
      <c r="B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</row>
    <row r="83">
      <c r="B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</row>
    <row r="84">
      <c r="B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</row>
    <row r="85">
      <c r="B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</row>
    <row r="86">
      <c r="B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</row>
    <row r="87">
      <c r="B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</row>
    <row r="88">
      <c r="B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</row>
    <row r="89">
      <c r="B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</row>
    <row r="90">
      <c r="B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</row>
    <row r="91">
      <c r="B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</row>
    <row r="92">
      <c r="B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</row>
    <row r="93">
      <c r="B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</row>
    <row r="94">
      <c r="B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</row>
    <row r="95">
      <c r="B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</row>
    <row r="96">
      <c r="B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</row>
    <row r="97">
      <c r="B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</row>
    <row r="98">
      <c r="B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</row>
    <row r="99">
      <c r="B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</row>
    <row r="100">
      <c r="B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</row>
    <row r="101">
      <c r="B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</row>
    <row r="102">
      <c r="B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</row>
    <row r="103">
      <c r="B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</row>
    <row r="104">
      <c r="B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</row>
    <row r="105">
      <c r="B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</row>
    <row r="106">
      <c r="B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</row>
    <row r="107">
      <c r="B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</row>
    <row r="108">
      <c r="B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</row>
    <row r="109">
      <c r="B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</row>
    <row r="110">
      <c r="B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</row>
    <row r="111">
      <c r="B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</row>
    <row r="112">
      <c r="B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</row>
    <row r="113">
      <c r="B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</row>
    <row r="114">
      <c r="B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</row>
    <row r="115">
      <c r="B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</row>
    <row r="116">
      <c r="B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</row>
    <row r="117">
      <c r="B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</row>
    <row r="118">
      <c r="B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</row>
    <row r="119">
      <c r="B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</row>
    <row r="120">
      <c r="B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</row>
    <row r="121">
      <c r="B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</row>
    <row r="122">
      <c r="B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</row>
    <row r="123">
      <c r="B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</row>
    <row r="124">
      <c r="B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</row>
    <row r="125">
      <c r="B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</row>
    <row r="126">
      <c r="B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</row>
    <row r="127">
      <c r="B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</row>
    <row r="128">
      <c r="B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</row>
    <row r="129">
      <c r="B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</row>
    <row r="130">
      <c r="B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</row>
    <row r="131">
      <c r="B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</row>
    <row r="132">
      <c r="B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</row>
    <row r="133">
      <c r="B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</row>
    <row r="139">
      <c r="B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</row>
    <row r="193" ht="15" customHeight="true"/>
    <row r="194" ht="15" customHeight="true"/>
    <row r="195" ht="15" customHeight="true"/>
    <row r="196" ht="15" customHeight="true"/>
    <row r="197" ht="15" customHeight="true"/>
    <row r="198" ht="15" customHeight="true"/>
    <row r="199" ht="15" customHeight="true"/>
    <row r="200" ht="15" customHeight="true"/>
    <row r="201" ht="15" customHeight="true"/>
    <row r="202" ht="15" customHeight="true"/>
    <row r="203" ht="15" customHeight="true"/>
    <row r="204" ht="15" customHeight="true"/>
    <row r="205" ht="15" customHeight="true"/>
    <row r="206" ht="15" customHeight="true"/>
    <row r="207" ht="15" customHeight="true"/>
    <row r="208" ht="15" customHeight="true"/>
    <row r="209" ht="15" customHeight="true"/>
    <row r="210" ht="15" customHeight="true"/>
    <row r="211" ht="15" customHeight="true"/>
    <row r="212" ht="15" customHeight="true"/>
    <row r="213" ht="15" customHeight="true"/>
    <row r="214" ht="15" customHeight="true"/>
    <row r="215" ht="15" customHeight="true"/>
    <row r="216" ht="15" customHeight="true"/>
    <row r="217" ht="15" customHeight="true"/>
    <row r="218" ht="15" customHeight="true"/>
    <row r="219" ht="15" customHeight="true"/>
    <row r="220" ht="15" customHeight="true"/>
    <row r="221" ht="15" customHeight="true"/>
    <row r="222" ht="15" customHeight="true"/>
    <row r="223" ht="15" customHeight="true"/>
    <row r="224" ht="15" customHeight="true"/>
    <row r="225" ht="15" customHeight="true"/>
    <row r="226" ht="15" customHeight="true"/>
    <row r="227" ht="15" customHeight="true"/>
    <row r="228" ht="15" customHeight="true"/>
    <row r="229" ht="15" customHeight="true"/>
    <row r="230" ht="15" customHeight="true"/>
    <row r="231" ht="15" customHeight="true"/>
    <row r="232" ht="15" customHeight="true"/>
    <row r="233" ht="15" customHeight="true"/>
    <row r="234" ht="15" customHeight="true"/>
    <row r="235" ht="15" customHeight="true"/>
    <row r="236" ht="15" customHeight="true"/>
    <row r="237" ht="15" customHeight="true"/>
    <row r="238" ht="15" customHeight="true"/>
    <row r="239" ht="15" customHeight="true"/>
    <row r="240" ht="15" customHeight="true"/>
    <row r="241" ht="15" customHeight="true"/>
    <row r="242" ht="15" customHeight="true"/>
    <row r="243" ht="15" customHeight="true"/>
    <row r="244" ht="15" customHeight="true"/>
    <row r="245" ht="15" customHeight="true"/>
    <row r="246" ht="15" customHeight="true"/>
    <row r="247" ht="15" customHeight="true"/>
    <row r="248" ht="15" customHeight="true"/>
    <row r="249" ht="15" customHeight="true"/>
    <row r="250" ht="15" customHeight="true"/>
    <row r="251" ht="15" customHeight="true"/>
    <row r="252" ht="15" customHeight="true"/>
    <row r="253" ht="15" customHeight="true"/>
    <row r="254" ht="15" customHeight="true"/>
    <row r="255" ht="15" customHeight="true"/>
    <row r="256" ht="15" customHeight="true"/>
    <row r="257" ht="15" customHeight="true"/>
    <row r="258" ht="15" customHeight="true"/>
    <row r="259" ht="15" customHeight="true"/>
    <row r="260" ht="15" customHeight="true"/>
    <row r="261" ht="15" customHeight="true"/>
    <row r="262" ht="15" customHeight="true"/>
    <row r="263" ht="15" customHeight="true"/>
    <row r="264" ht="15" customHeight="true"/>
    <row r="265" ht="15" customHeight="true"/>
    <row r="266" ht="15" customHeight="true"/>
    <row r="267" ht="15" customHeight="true"/>
    <row r="268" ht="15" customHeight="true"/>
    <row r="269" ht="15" customHeight="true"/>
    <row r="270" ht="15" customHeight="true"/>
    <row r="271" ht="15" customHeight="true"/>
    <row r="272" ht="15" customHeight="true"/>
    <row r="273" ht="15" customHeight="true"/>
    <row r="274" ht="15" customHeight="true"/>
    <row r="275" ht="15" customHeight="true"/>
    <row r="276" ht="15" customHeight="true"/>
    <row r="277" ht="15" customHeight="true"/>
    <row r="278" ht="15" customHeight="true"/>
    <row r="279" ht="15" customHeight="true"/>
    <row r="280" ht="15" customHeight="true"/>
    <row r="281" ht="15" customHeight="true"/>
    <row r="282" ht="15" customHeight="true"/>
    <row r="283" ht="15" customHeight="true"/>
    <row r="284" ht="15" customHeight="true"/>
    <row r="285" ht="15" customHeight="true"/>
    <row r="286" ht="15" customHeight="true"/>
    <row r="287" ht="15" customHeight="true"/>
    <row r="288" ht="15" customHeight="true"/>
    <row r="289" ht="15" customHeight="true"/>
    <row r="290" ht="15" customHeight="true"/>
    <row r="291" ht="15" customHeight="true"/>
    <row r="292" ht="15" customHeight="true"/>
    <row r="293" ht="15" customHeight="true"/>
    <row r="294" ht="15" customHeight="true"/>
    <row r="295" ht="15" customHeight="true"/>
    <row r="296" ht="15" customHeight="true"/>
    <row r="297" ht="15" customHeight="true"/>
    <row r="298" ht="15" customHeight="true"/>
    <row r="299" ht="15" customHeight="true"/>
    <row r="300" ht="15" customHeight="true"/>
    <row r="301" ht="15" customHeight="true"/>
    <row r="302" ht="15" customHeight="true"/>
    <row r="303" ht="15" customHeight="true"/>
    <row r="304" ht="15" customHeight="true"/>
    <row r="305" ht="15" customHeight="true"/>
    <row r="306" ht="15" customHeight="true"/>
    <row r="307" ht="15" customHeight="true"/>
    <row r="308" ht="15" customHeight="true"/>
    <row r="309" ht="15" customHeight="true"/>
    <row r="310" ht="15" customHeight="true"/>
    <row r="311" ht="15" customHeight="true"/>
    <row r="312" ht="15" customHeight="true"/>
    <row r="313" ht="15" customHeight="true"/>
    <row r="314" ht="15" customHeight="true"/>
    <row r="315" ht="15" customHeight="true"/>
    <row r="316" ht="15" customHeight="true"/>
    <row r="317" ht="15" customHeight="true"/>
    <row r="318" ht="15" customHeight="true"/>
    <row r="319" ht="15" customHeight="true"/>
    <row r="320" ht="15" customHeight="true"/>
    <row r="321" ht="15" customHeight="true"/>
    <row r="322" ht="15" customHeight="true"/>
    <row r="323" ht="15" customHeight="true"/>
    <row r="324" ht="15" customHeight="true"/>
    <row r="325" ht="15" customHeight="true"/>
    <row r="326" ht="15" customHeight="true"/>
    <row r="327" ht="15" customHeight="true"/>
    <row r="328" ht="15" customHeight="true"/>
    <row r="329" ht="15" customHeight="true"/>
    <row r="330" ht="15" customHeight="true"/>
    <row r="331" ht="15" customHeight="true"/>
    <row r="332" ht="15" customHeight="true"/>
    <row r="333" ht="15" customHeight="true"/>
    <row r="334" ht="15" customHeight="true"/>
    <row r="335" ht="15" customHeight="true"/>
    <row r="336" ht="15" customHeight="true"/>
    <row r="337" ht="15" customHeight="true"/>
    <row r="338" ht="15" customHeight="true"/>
    <row r="339" ht="15" customHeight="true"/>
    <row r="340" ht="15" customHeight="true"/>
    <row r="341" ht="15" customHeight="true"/>
    <row r="342" ht="15" customHeight="true"/>
    <row r="343" ht="15" customHeight="true"/>
    <row r="344" ht="15" customHeight="true"/>
    <row r="345" ht="15" customHeight="true"/>
    <row r="346" ht="15" customHeight="true"/>
    <row r="347" ht="15" customHeight="true"/>
    <row r="348" ht="15" customHeight="true"/>
    <row r="349" ht="15" customHeight="true"/>
    <row r="350" ht="15" customHeight="true"/>
    <row r="351" ht="15" customHeight="true"/>
    <row r="352" ht="15" customHeight="true"/>
    <row r="353" ht="15" customHeight="true"/>
    <row r="354" ht="15" customHeight="true"/>
    <row r="355" ht="15" customHeight="true"/>
    <row r="356" ht="15" customHeight="true"/>
    <row r="357" ht="15" customHeight="true"/>
    <row r="358" ht="15" customHeight="true"/>
    <row r="359" ht="15" customHeight="true"/>
    <row r="360" ht="15" customHeight="true"/>
    <row r="361" ht="15" customHeight="true"/>
    <row r="362" ht="15" customHeight="true"/>
    <row r="363" ht="15" customHeight="true"/>
    <row r="364" ht="15" customHeight="true"/>
    <row r="365" ht="15" customHeight="true"/>
    <row r="366" ht="15" customHeight="true"/>
    <row r="367" ht="15" customHeight="true"/>
    <row r="368" ht="15" customHeight="true"/>
    <row r="369" ht="15" customHeight="true"/>
    <row r="370" ht="15" customHeight="true"/>
    <row r="371" ht="15" customHeight="true"/>
    <row r="372" ht="15" customHeight="true"/>
    <row r="373" ht="15" customHeight="true"/>
    <row r="374" ht="15" customHeight="true"/>
    <row r="375" ht="15" customHeight="true"/>
    <row r="376" ht="15" customHeight="true"/>
    <row r="377" ht="15" customHeight="true"/>
    <row r="378" ht="15" customHeight="true"/>
    <row r="379" ht="15" customHeight="true"/>
    <row r="380" ht="15" customHeight="true"/>
    <row r="381" ht="15" customHeight="true"/>
    <row r="382" ht="15" customHeight="true"/>
    <row r="383" ht="15" customHeight="true"/>
    <row r="384" ht="15" customHeight="true"/>
    <row r="385" ht="15" customHeight="true"/>
    <row r="386" ht="15" customHeight="true"/>
  </sheetData>
  <phoneticPr fontId="2" type="noConversion"/>
  <conditionalFormatting sqref="BC57 B39:C56">
    <cfRule type="cellIs" dxfId="4" priority="4" operator="equal">
      <formula>0</formula>
    </cfRule>
  </conditionalFormatting>
  <conditionalFormatting sqref="J57 B2:C38">
    <cfRule type="cellIs" dxfId="3" priority="3" operator="equal">
      <formula>0</formula>
    </cfRule>
  </conditionalFormatting>
  <conditionalFormatting sqref="D2:BC56">
    <cfRule type="cellIs" dxfId="2" priority="2" operator="equal">
      <formula>0</formula>
    </cfRule>
  </conditionalFormatting>
  <conditionalFormatting sqref="D1:BC1">
    <cfRule type="cellIs" dxfId="1" priority="1" operator="equal">
      <formula>0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7"/>
  <sheetViews>
    <sheetView workbookViewId="0">
      <pane xSplit="2" ySplit="1" topLeftCell="C29" activePane="bottomRight" state="frozen"/>
      <selection pane="topRight" activeCell="C1" sqref="C1"/>
      <selection pane="bottomLeft" activeCell="A2" sqref="A2"/>
      <selection pane="bottomRight" activeCell="B47" sqref="B47"/>
    </sheetView>
  </sheetViews>
  <sheetFormatPr baseColWidth="10" defaultColWidth="8.83203125" defaultRowHeight="13"/>
  <cols>
    <col min="1" max="1" width="12.83203125" customWidth="true"/>
    <col min="2" max="2" width="46.5" bestFit="true" customWidth="true"/>
    <col min="3" max="6" width="14.5" style="121" customWidth="true"/>
    <col min="7" max="7" width="14.5" style="120" customWidth="true"/>
  </cols>
  <sheetData>
    <row r="1" ht="14">
      <c r="A1" s="154" t="s">
        <v>20</v>
      </c>
      <c r="B1" s="1" t="s">
        <v>0</v>
      </c>
      <c r="C1" s="121" t="s">
        <v>72</v>
      </c>
      <c r="D1" s="155" t="s">
        <v>219</v>
      </c>
      <c r="E1" s="156" t="s">
        <v>71</v>
      </c>
      <c r="F1" s="121" t="s">
        <v>73</v>
      </c>
      <c r="G1" s="120" t="s">
        <v>153</v>
      </c>
      <c r="H1" s="157" t="s">
        <v>61</v>
      </c>
    </row>
    <row r="2">
      <c r="A2">
        <v>1</v>
      </c>
      <c r="B2" s="136" t="s">
        <v>175</v>
      </c>
      <c r="C2" s="121">
        <v>0.5</v>
      </c>
      <c r="D2" s="121">
        <v>0</v>
      </c>
      <c r="E2" s="121">
        <v>0</v>
      </c>
      <c r="F2" s="121">
        <v>0.5</v>
      </c>
      <c r="G2" s="120">
        <v>0</v>
      </c>
      <c r="H2" s="158">
        <f t="shared" ref="H2:H57" si="0">SUM(C2:G2)</f>
        <v>1</v>
      </c>
    </row>
    <row r="3">
      <c r="A3">
        <v>2</v>
      </c>
      <c r="B3" t="s">
        <v>176</v>
      </c>
      <c r="C3" s="121">
        <v>0.1</v>
      </c>
      <c r="D3" s="121">
        <v>0</v>
      </c>
      <c r="E3" s="121">
        <v>0</v>
      </c>
      <c r="F3" s="121">
        <v>0.9</v>
      </c>
      <c r="G3" s="120">
        <v>0</v>
      </c>
      <c r="H3" s="158">
        <f t="shared" si="0"/>
        <v>1</v>
      </c>
    </row>
    <row r="4">
      <c r="A4">
        <v>3</v>
      </c>
      <c r="B4" t="s">
        <v>177</v>
      </c>
      <c r="C4" s="121">
        <v>0.9</v>
      </c>
      <c r="D4" s="121">
        <v>0</v>
      </c>
      <c r="E4" s="121">
        <v>0</v>
      </c>
      <c r="F4" s="121">
        <v>0.1</v>
      </c>
      <c r="G4" s="120">
        <v>0</v>
      </c>
      <c r="H4" s="158">
        <f t="shared" si="0"/>
        <v>1</v>
      </c>
    </row>
    <row r="5">
      <c r="A5">
        <f>A4+1</f>
        <v>4</v>
      </c>
      <c r="B5" t="s">
        <v>220</v>
      </c>
      <c r="C5" s="121">
        <v>0.11</v>
      </c>
      <c r="D5" s="121">
        <v>0</v>
      </c>
      <c r="E5" s="121">
        <v>0</v>
      </c>
      <c r="F5" s="121">
        <v>0.89</v>
      </c>
      <c r="G5" s="120">
        <v>0</v>
      </c>
      <c r="H5" s="158">
        <f t="shared" si="0"/>
        <v>1</v>
      </c>
    </row>
    <row r="6">
      <c r="A6">
        <f t="shared" ref="A6:A53" si="1">A5+1</f>
        <v>5</v>
      </c>
      <c r="B6" t="s">
        <v>221</v>
      </c>
      <c r="C6" s="121">
        <v>0.11</v>
      </c>
      <c r="D6" s="121">
        <v>0</v>
      </c>
      <c r="E6" s="121">
        <v>0</v>
      </c>
      <c r="F6" s="121">
        <v>0.89</v>
      </c>
      <c r="G6" s="120">
        <v>0</v>
      </c>
      <c r="H6" s="158">
        <f t="shared" si="0"/>
        <v>1</v>
      </c>
    </row>
    <row r="7">
      <c r="A7">
        <f t="shared" si="1"/>
        <v>6</v>
      </c>
      <c r="B7" t="s">
        <v>178</v>
      </c>
      <c r="C7" s="121">
        <v>0.11</v>
      </c>
      <c r="D7" s="121">
        <v>0</v>
      </c>
      <c r="E7" s="121">
        <v>0</v>
      </c>
      <c r="F7" s="121">
        <v>0.89</v>
      </c>
      <c r="G7" s="120">
        <v>0</v>
      </c>
      <c r="H7" s="158">
        <f t="shared" si="0"/>
        <v>1</v>
      </c>
    </row>
    <row r="8">
      <c r="A8">
        <f t="shared" si="1"/>
        <v>7</v>
      </c>
      <c r="B8" t="s">
        <v>222</v>
      </c>
      <c r="C8" s="121">
        <v>0.11</v>
      </c>
      <c r="D8" s="121">
        <v>0</v>
      </c>
      <c r="E8" s="121">
        <v>0</v>
      </c>
      <c r="F8" s="121">
        <v>0.89</v>
      </c>
      <c r="G8" s="120">
        <v>0</v>
      </c>
      <c r="H8" s="158">
        <f t="shared" si="0"/>
        <v>1</v>
      </c>
    </row>
    <row r="9">
      <c r="A9">
        <f t="shared" si="1"/>
        <v>8</v>
      </c>
      <c r="B9" t="s">
        <v>179</v>
      </c>
      <c r="C9" s="121">
        <v>0.99</v>
      </c>
      <c r="D9" s="121">
        <v>0</v>
      </c>
      <c r="E9" s="121">
        <v>0</v>
      </c>
      <c r="F9" s="121">
        <v>0.01</v>
      </c>
      <c r="G9" s="120">
        <v>0</v>
      </c>
      <c r="H9" s="158">
        <f t="shared" si="0"/>
        <v>1</v>
      </c>
    </row>
    <row r="10">
      <c r="A10">
        <f t="shared" si="1"/>
        <v>9</v>
      </c>
      <c r="B10" t="s">
        <v>180</v>
      </c>
      <c r="C10" s="121">
        <v>0.01</v>
      </c>
      <c r="D10" s="121">
        <v>0</v>
      </c>
      <c r="E10" s="121">
        <v>0</v>
      </c>
      <c r="F10" s="121">
        <v>0.99</v>
      </c>
      <c r="G10" s="120">
        <v>0</v>
      </c>
      <c r="H10" s="158">
        <f t="shared" si="0"/>
        <v>1</v>
      </c>
    </row>
    <row r="11">
      <c r="A11">
        <f t="shared" si="1"/>
        <v>10</v>
      </c>
      <c r="B11" s="137" t="s">
        <v>223</v>
      </c>
      <c r="C11" s="121">
        <v>0.9</v>
      </c>
      <c r="D11" s="121">
        <v>0</v>
      </c>
      <c r="E11" s="121">
        <v>0</v>
      </c>
      <c r="F11" s="121">
        <v>0.1</v>
      </c>
      <c r="G11" s="120">
        <v>0</v>
      </c>
      <c r="H11" s="158">
        <f t="shared" si="0"/>
        <v>1</v>
      </c>
    </row>
    <row r="12">
      <c r="A12">
        <f t="shared" si="1"/>
        <v>11</v>
      </c>
      <c r="B12" t="s">
        <v>181</v>
      </c>
      <c r="C12" s="121">
        <v>0.9</v>
      </c>
      <c r="D12" s="121">
        <v>0</v>
      </c>
      <c r="E12" s="121">
        <v>0</v>
      </c>
      <c r="F12" s="121">
        <v>0.1</v>
      </c>
      <c r="G12" s="120">
        <v>0</v>
      </c>
      <c r="H12" s="158">
        <f t="shared" si="0"/>
        <v>1</v>
      </c>
    </row>
    <row r="13">
      <c r="A13">
        <f t="shared" si="1"/>
        <v>12</v>
      </c>
      <c r="B13" t="s">
        <v>224</v>
      </c>
      <c r="C13" s="121">
        <v>0.95</v>
      </c>
      <c r="D13" s="121">
        <v>0</v>
      </c>
      <c r="E13" s="121">
        <v>0</v>
      </c>
      <c r="F13" s="121">
        <v>0.05</v>
      </c>
      <c r="G13" s="120">
        <v>0</v>
      </c>
      <c r="H13" s="158">
        <f t="shared" si="0"/>
        <v>1</v>
      </c>
    </row>
    <row r="14">
      <c r="A14">
        <f t="shared" si="1"/>
        <v>13</v>
      </c>
      <c r="B14" t="s">
        <v>182</v>
      </c>
      <c r="C14" s="121">
        <v>0.8</v>
      </c>
      <c r="D14" s="121">
        <v>0.05</v>
      </c>
      <c r="E14" s="121">
        <v>0</v>
      </c>
      <c r="F14" s="121">
        <v>0.15</v>
      </c>
      <c r="G14" s="120">
        <v>0</v>
      </c>
      <c r="H14" s="158">
        <f t="shared" si="0"/>
        <v>1</v>
      </c>
    </row>
    <row r="15">
      <c r="A15">
        <f t="shared" si="1"/>
        <v>14</v>
      </c>
      <c r="B15" t="s">
        <v>183</v>
      </c>
      <c r="C15" s="121">
        <v>0.8</v>
      </c>
      <c r="D15" s="121">
        <v>0.05</v>
      </c>
      <c r="E15" s="121">
        <v>0</v>
      </c>
      <c r="F15" s="121">
        <v>0.15</v>
      </c>
      <c r="G15" s="120">
        <v>0</v>
      </c>
      <c r="H15" s="158">
        <f t="shared" si="0"/>
        <v>1</v>
      </c>
    </row>
    <row r="16">
      <c r="A16">
        <f t="shared" si="1"/>
        <v>15</v>
      </c>
      <c r="B16" t="s">
        <v>184</v>
      </c>
      <c r="C16" s="121">
        <v>0.8</v>
      </c>
      <c r="D16" s="121">
        <v>0.05</v>
      </c>
      <c r="E16" s="121">
        <v>0</v>
      </c>
      <c r="F16" s="121">
        <v>0.15</v>
      </c>
      <c r="G16" s="120">
        <v>0</v>
      </c>
      <c r="H16" s="158">
        <f t="shared" si="0"/>
        <v>1</v>
      </c>
    </row>
    <row r="17">
      <c r="A17">
        <f t="shared" si="1"/>
        <v>16</v>
      </c>
      <c r="B17" t="s">
        <v>185</v>
      </c>
      <c r="C17" s="121">
        <v>0.8</v>
      </c>
      <c r="D17" s="121">
        <v>0.05</v>
      </c>
      <c r="E17" s="121">
        <v>0</v>
      </c>
      <c r="F17" s="121">
        <v>0.15</v>
      </c>
      <c r="G17" s="120">
        <v>0</v>
      </c>
      <c r="H17" s="158">
        <f t="shared" si="0"/>
        <v>1</v>
      </c>
    </row>
    <row r="18">
      <c r="A18">
        <f t="shared" si="1"/>
        <v>17</v>
      </c>
      <c r="B18" t="s">
        <v>186</v>
      </c>
      <c r="C18" s="121">
        <v>0.8</v>
      </c>
      <c r="D18" s="121">
        <v>0.05</v>
      </c>
      <c r="E18" s="121">
        <v>0</v>
      </c>
      <c r="F18" s="121">
        <v>0.15</v>
      </c>
      <c r="G18" s="120">
        <v>0</v>
      </c>
      <c r="H18" s="158">
        <f t="shared" si="0"/>
        <v>1</v>
      </c>
    </row>
    <row r="19">
      <c r="A19">
        <f t="shared" si="1"/>
        <v>18</v>
      </c>
      <c r="B19" t="s">
        <v>187</v>
      </c>
      <c r="C19" s="121">
        <v>0.8</v>
      </c>
      <c r="D19" s="121">
        <v>0.05</v>
      </c>
      <c r="E19" s="121">
        <v>0</v>
      </c>
      <c r="F19" s="121">
        <v>0.15</v>
      </c>
      <c r="G19" s="120">
        <v>0</v>
      </c>
      <c r="H19" s="158">
        <f t="shared" si="0"/>
        <v>1</v>
      </c>
    </row>
    <row r="20">
      <c r="A20">
        <f t="shared" si="1"/>
        <v>19</v>
      </c>
      <c r="B20" t="s">
        <v>188</v>
      </c>
      <c r="C20" s="121">
        <v>0.8</v>
      </c>
      <c r="D20" s="121">
        <v>0.05</v>
      </c>
      <c r="E20" s="121">
        <v>0</v>
      </c>
      <c r="F20" s="121">
        <v>0.15</v>
      </c>
      <c r="G20" s="120">
        <v>0</v>
      </c>
      <c r="H20" s="158">
        <f t="shared" si="0"/>
        <v>1</v>
      </c>
    </row>
    <row r="21">
      <c r="A21">
        <f t="shared" si="1"/>
        <v>20</v>
      </c>
      <c r="B21" t="s">
        <v>189</v>
      </c>
      <c r="C21" s="121">
        <v>0.8</v>
      </c>
      <c r="D21" s="121">
        <v>0.05</v>
      </c>
      <c r="E21" s="121">
        <v>0</v>
      </c>
      <c r="F21" s="121">
        <v>0.15</v>
      </c>
      <c r="G21" s="120">
        <v>0</v>
      </c>
      <c r="H21" s="158">
        <f t="shared" si="0"/>
        <v>1</v>
      </c>
    </row>
    <row r="22">
      <c r="A22">
        <f t="shared" si="1"/>
        <v>21</v>
      </c>
      <c r="B22" t="s">
        <v>190</v>
      </c>
      <c r="C22" s="121">
        <v>0.8</v>
      </c>
      <c r="D22" s="121">
        <v>0.05</v>
      </c>
      <c r="E22" s="121">
        <v>0</v>
      </c>
      <c r="F22" s="121">
        <v>0.15</v>
      </c>
      <c r="G22" s="120">
        <v>0</v>
      </c>
      <c r="H22" s="158">
        <f t="shared" si="0"/>
        <v>1</v>
      </c>
    </row>
    <row r="23">
      <c r="A23">
        <f t="shared" si="1"/>
        <v>22</v>
      </c>
      <c r="B23" t="s">
        <v>191</v>
      </c>
      <c r="C23" s="121">
        <v>0.05</v>
      </c>
      <c r="D23" s="121">
        <v>0</v>
      </c>
      <c r="E23" s="121">
        <v>0</v>
      </c>
      <c r="F23" s="121">
        <v>0.95</v>
      </c>
      <c r="G23" s="120">
        <v>0</v>
      </c>
      <c r="H23" s="158">
        <f t="shared" si="0"/>
        <v>1</v>
      </c>
    </row>
    <row r="24">
      <c r="A24">
        <f t="shared" si="1"/>
        <v>23</v>
      </c>
      <c r="B24" t="s">
        <v>192</v>
      </c>
      <c r="C24" s="121">
        <v>0.05</v>
      </c>
      <c r="D24" s="121">
        <v>0</v>
      </c>
      <c r="E24" s="121">
        <v>0</v>
      </c>
      <c r="F24" s="121">
        <v>0.95</v>
      </c>
      <c r="G24" s="120">
        <v>0</v>
      </c>
      <c r="H24" s="158">
        <f t="shared" si="0"/>
        <v>1</v>
      </c>
    </row>
    <row r="25">
      <c r="A25">
        <f t="shared" si="1"/>
        <v>24</v>
      </c>
      <c r="B25" t="s">
        <v>225</v>
      </c>
      <c r="C25" s="121">
        <v>0.05</v>
      </c>
      <c r="D25" s="121">
        <v>0</v>
      </c>
      <c r="E25" s="121">
        <v>0</v>
      </c>
      <c r="F25" s="121">
        <v>0.95</v>
      </c>
      <c r="G25" s="120">
        <v>0</v>
      </c>
      <c r="H25" s="158">
        <f t="shared" si="0"/>
        <v>1</v>
      </c>
    </row>
    <row r="26">
      <c r="A26">
        <f t="shared" si="1"/>
        <v>25</v>
      </c>
      <c r="B26" t="s">
        <v>226</v>
      </c>
      <c r="C26" s="121">
        <v>0.05</v>
      </c>
      <c r="D26" s="121">
        <v>0</v>
      </c>
      <c r="E26" s="121">
        <v>0</v>
      </c>
      <c r="F26" s="121">
        <v>0.95</v>
      </c>
      <c r="G26" s="120">
        <v>0</v>
      </c>
      <c r="H26" s="158">
        <f t="shared" si="0"/>
        <v>1</v>
      </c>
    </row>
    <row r="27">
      <c r="A27">
        <f t="shared" si="1"/>
        <v>26</v>
      </c>
      <c r="B27" t="s">
        <v>227</v>
      </c>
      <c r="C27" s="121">
        <v>0.7</v>
      </c>
      <c r="D27" s="121">
        <v>0</v>
      </c>
      <c r="E27" s="121">
        <v>0</v>
      </c>
      <c r="F27" s="121">
        <v>0.3</v>
      </c>
      <c r="G27" s="120">
        <v>0</v>
      </c>
      <c r="H27" s="158">
        <f t="shared" si="0"/>
        <v>1</v>
      </c>
    </row>
    <row r="28">
      <c r="A28">
        <f t="shared" si="1"/>
        <v>27</v>
      </c>
      <c r="B28" t="s">
        <v>228</v>
      </c>
      <c r="C28" s="121">
        <v>0.7</v>
      </c>
      <c r="D28" s="121">
        <v>0</v>
      </c>
      <c r="E28" s="121">
        <v>0</v>
      </c>
      <c r="F28" s="121">
        <v>0.3</v>
      </c>
      <c r="G28" s="120">
        <v>0</v>
      </c>
      <c r="H28" s="158">
        <f t="shared" si="0"/>
        <v>1</v>
      </c>
    </row>
    <row r="29">
      <c r="A29">
        <f t="shared" si="1"/>
        <v>28</v>
      </c>
      <c r="B29" t="s">
        <v>197</v>
      </c>
      <c r="C29" s="121">
        <v>0.7</v>
      </c>
      <c r="D29" s="121">
        <v>0</v>
      </c>
      <c r="E29" s="121">
        <v>0</v>
      </c>
      <c r="F29" s="121">
        <v>0.3</v>
      </c>
      <c r="G29" s="120">
        <v>0</v>
      </c>
      <c r="H29" s="158">
        <f t="shared" si="0"/>
        <v>1</v>
      </c>
    </row>
    <row r="30">
      <c r="A30">
        <f t="shared" si="1"/>
        <v>29</v>
      </c>
      <c r="B30" t="s">
        <v>198</v>
      </c>
      <c r="C30" s="121">
        <v>0.7</v>
      </c>
      <c r="D30" s="121">
        <v>0.1</v>
      </c>
      <c r="E30" s="121">
        <v>0</v>
      </c>
      <c r="F30" s="121">
        <v>0.2</v>
      </c>
      <c r="G30" s="120">
        <v>0</v>
      </c>
      <c r="H30" s="158">
        <f t="shared" si="0"/>
        <v>1</v>
      </c>
    </row>
    <row r="31">
      <c r="A31">
        <f t="shared" si="1"/>
        <v>30</v>
      </c>
      <c r="B31" t="s">
        <v>199</v>
      </c>
      <c r="C31" s="121">
        <v>0.7</v>
      </c>
      <c r="D31" s="121">
        <v>0.1</v>
      </c>
      <c r="E31" s="121">
        <v>0</v>
      </c>
      <c r="F31" s="121">
        <v>0.2</v>
      </c>
      <c r="G31" s="120">
        <v>0</v>
      </c>
      <c r="H31" s="158">
        <f t="shared" si="0"/>
        <v>1</v>
      </c>
    </row>
    <row r="32">
      <c r="A32">
        <f t="shared" si="1"/>
        <v>31</v>
      </c>
      <c r="B32" t="s">
        <v>229</v>
      </c>
      <c r="C32" s="121">
        <v>0.7</v>
      </c>
      <c r="D32" s="121">
        <v>0.1</v>
      </c>
      <c r="E32" s="121">
        <v>0</v>
      </c>
      <c r="F32" s="121">
        <v>0.2</v>
      </c>
      <c r="G32" s="120">
        <v>0</v>
      </c>
      <c r="H32" s="158">
        <f t="shared" si="0"/>
        <v>1</v>
      </c>
    </row>
    <row r="33">
      <c r="A33">
        <f t="shared" si="1"/>
        <v>32</v>
      </c>
      <c r="B33" t="s">
        <v>230</v>
      </c>
      <c r="C33" s="121">
        <v>0.7</v>
      </c>
      <c r="D33" s="121">
        <v>0.1</v>
      </c>
      <c r="E33" s="121">
        <v>0</v>
      </c>
      <c r="F33" s="121">
        <v>0.2</v>
      </c>
      <c r="G33" s="120">
        <v>0</v>
      </c>
      <c r="H33" s="158">
        <f t="shared" si="0"/>
        <v>1</v>
      </c>
    </row>
    <row r="34">
      <c r="A34">
        <f t="shared" si="1"/>
        <v>33</v>
      </c>
      <c r="B34" t="s">
        <v>231</v>
      </c>
      <c r="C34" s="121">
        <v>0.7</v>
      </c>
      <c r="D34" s="121">
        <v>0.1</v>
      </c>
      <c r="E34" s="121">
        <v>0</v>
      </c>
      <c r="F34" s="121">
        <v>0.2</v>
      </c>
      <c r="G34" s="120">
        <v>0</v>
      </c>
      <c r="H34" s="158">
        <f t="shared" si="0"/>
        <v>1</v>
      </c>
    </row>
    <row r="35">
      <c r="A35">
        <f t="shared" si="1"/>
        <v>34</v>
      </c>
      <c r="B35" t="s">
        <v>232</v>
      </c>
      <c r="C35" s="121">
        <v>0.7</v>
      </c>
      <c r="D35" s="121">
        <v>0.1</v>
      </c>
      <c r="E35" s="121">
        <v>0</v>
      </c>
      <c r="F35" s="121">
        <v>0.2</v>
      </c>
      <c r="G35" s="120">
        <v>0</v>
      </c>
      <c r="H35" s="158">
        <f t="shared" si="0"/>
        <v>1</v>
      </c>
    </row>
    <row r="36">
      <c r="A36">
        <f t="shared" si="1"/>
        <v>35</v>
      </c>
      <c r="B36" s="137" t="s">
        <v>233</v>
      </c>
      <c r="C36" s="121">
        <v>0.5</v>
      </c>
      <c r="D36" s="121">
        <v>0</v>
      </c>
      <c r="E36" s="121">
        <v>0</v>
      </c>
      <c r="F36" s="121">
        <v>0.5</v>
      </c>
      <c r="G36" s="120">
        <v>0</v>
      </c>
      <c r="H36" s="158">
        <f t="shared" si="0"/>
        <v>1</v>
      </c>
    </row>
    <row r="37">
      <c r="A37">
        <f t="shared" si="1"/>
        <v>36</v>
      </c>
      <c r="B37" t="s">
        <v>205</v>
      </c>
      <c r="C37" s="121">
        <v>0.7</v>
      </c>
      <c r="D37" s="121">
        <v>0</v>
      </c>
      <c r="E37" s="121">
        <v>0</v>
      </c>
      <c r="F37" s="121">
        <v>0.3</v>
      </c>
      <c r="G37" s="120">
        <v>0</v>
      </c>
      <c r="H37" s="158">
        <f t="shared" si="0"/>
        <v>1</v>
      </c>
    </row>
    <row r="38">
      <c r="A38">
        <f t="shared" si="1"/>
        <v>37</v>
      </c>
      <c r="B38" t="s">
        <v>206</v>
      </c>
      <c r="C38" s="121">
        <v>0.01</v>
      </c>
      <c r="D38" s="121">
        <v>0</v>
      </c>
      <c r="E38" s="121">
        <v>0</v>
      </c>
      <c r="F38" s="121">
        <v>0.99</v>
      </c>
      <c r="G38" s="120">
        <v>0</v>
      </c>
      <c r="H38" s="158">
        <f t="shared" si="0"/>
        <v>1</v>
      </c>
    </row>
    <row r="39">
      <c r="A39">
        <f t="shared" si="1"/>
        <v>38</v>
      </c>
      <c r="B39" t="s">
        <v>207</v>
      </c>
      <c r="C39" s="121">
        <v>0</v>
      </c>
      <c r="D39" s="121">
        <v>0</v>
      </c>
      <c r="E39" s="121">
        <v>0</v>
      </c>
      <c r="F39" s="121">
        <v>1</v>
      </c>
      <c r="G39" s="120">
        <v>0</v>
      </c>
      <c r="H39" s="158">
        <f t="shared" si="0"/>
        <v>1</v>
      </c>
    </row>
    <row r="40">
      <c r="A40">
        <f t="shared" si="1"/>
        <v>39</v>
      </c>
      <c r="B40" t="s">
        <v>208</v>
      </c>
      <c r="C40" s="121">
        <v>0.2</v>
      </c>
      <c r="D40" s="121">
        <v>0</v>
      </c>
      <c r="E40" s="121">
        <v>0</v>
      </c>
      <c r="F40" s="121">
        <v>0.8</v>
      </c>
      <c r="G40" s="120">
        <v>0</v>
      </c>
      <c r="H40" s="158">
        <f t="shared" si="0"/>
        <v>1</v>
      </c>
    </row>
    <row r="41">
      <c r="A41">
        <f t="shared" si="1"/>
        <v>40</v>
      </c>
      <c r="B41" t="s">
        <v>209</v>
      </c>
      <c r="C41" s="121">
        <v>0.2</v>
      </c>
      <c r="D41" s="121">
        <v>0</v>
      </c>
      <c r="E41" s="121">
        <v>0</v>
      </c>
      <c r="F41" s="121">
        <v>0.8</v>
      </c>
      <c r="G41" s="120">
        <v>0</v>
      </c>
      <c r="H41" s="158">
        <f t="shared" si="0"/>
        <v>1</v>
      </c>
    </row>
    <row r="42">
      <c r="A42">
        <f t="shared" si="1"/>
        <v>41</v>
      </c>
      <c r="B42" t="s">
        <v>210</v>
      </c>
      <c r="C42" s="121">
        <v>0.5</v>
      </c>
      <c r="D42" s="121">
        <v>0</v>
      </c>
      <c r="E42" s="121">
        <v>0</v>
      </c>
      <c r="F42" s="121">
        <v>0</v>
      </c>
      <c r="G42" s="120">
        <v>0.5</v>
      </c>
      <c r="H42" s="158">
        <f t="shared" si="0"/>
        <v>1</v>
      </c>
    </row>
    <row r="43">
      <c r="A43">
        <f t="shared" si="1"/>
        <v>42</v>
      </c>
      <c r="B43" t="s">
        <v>211</v>
      </c>
      <c r="C43" s="121">
        <v>0.5</v>
      </c>
      <c r="D43" s="121">
        <v>0</v>
      </c>
      <c r="E43" s="121">
        <v>0</v>
      </c>
      <c r="F43" s="121">
        <v>0</v>
      </c>
      <c r="G43" s="120">
        <v>0.5</v>
      </c>
      <c r="H43" s="158">
        <f t="shared" si="0"/>
        <v>1</v>
      </c>
    </row>
    <row r="44">
      <c r="A44">
        <f t="shared" si="1"/>
        <v>43</v>
      </c>
      <c r="B44" t="s">
        <v>212</v>
      </c>
      <c r="C44" s="121">
        <v>0.5</v>
      </c>
      <c r="D44" s="121">
        <v>0</v>
      </c>
      <c r="E44" s="121">
        <v>0</v>
      </c>
      <c r="F44" s="121">
        <v>0</v>
      </c>
      <c r="G44" s="120">
        <v>0.5</v>
      </c>
      <c r="H44" s="158">
        <f t="shared" si="0"/>
        <v>1</v>
      </c>
    </row>
    <row r="45">
      <c r="A45">
        <f t="shared" si="1"/>
        <v>44</v>
      </c>
      <c r="B45" t="s">
        <v>213</v>
      </c>
      <c r="C45" s="121">
        <v>0.7</v>
      </c>
      <c r="D45" s="121">
        <v>0</v>
      </c>
      <c r="E45" s="121">
        <v>0</v>
      </c>
      <c r="F45" s="121">
        <v>0.3</v>
      </c>
      <c r="G45" s="120">
        <v>0</v>
      </c>
      <c r="H45" s="158">
        <f t="shared" si="0"/>
        <v>1</v>
      </c>
    </row>
    <row r="46">
      <c r="A46">
        <f t="shared" si="1"/>
        <v>45</v>
      </c>
      <c r="B46" t="s">
        <v>214</v>
      </c>
      <c r="C46" s="121">
        <v>0.7</v>
      </c>
      <c r="D46" s="121">
        <v>0</v>
      </c>
      <c r="E46" s="121">
        <v>0</v>
      </c>
      <c r="F46" s="121">
        <v>0.3</v>
      </c>
      <c r="G46" s="120">
        <v>0</v>
      </c>
      <c r="H46" s="158">
        <f t="shared" si="0"/>
        <v>1</v>
      </c>
    </row>
    <row r="47">
      <c r="A47">
        <f t="shared" si="1"/>
        <v>46</v>
      </c>
      <c r="B47" t="s">
        <v>304</v>
      </c>
      <c r="C47" s="121">
        <v>0.7</v>
      </c>
      <c r="D47" s="121">
        <v>0</v>
      </c>
      <c r="E47" s="121">
        <v>0</v>
      </c>
      <c r="F47" s="121">
        <v>0.3</v>
      </c>
      <c r="G47" s="120">
        <v>0</v>
      </c>
      <c r="H47" s="158">
        <f t="shared" si="0"/>
        <v>1</v>
      </c>
    </row>
    <row r="48">
      <c r="A48">
        <f t="shared" si="1"/>
        <v>47</v>
      </c>
      <c r="B48" t="s">
        <v>215</v>
      </c>
      <c r="C48" s="121">
        <v>0.7</v>
      </c>
      <c r="D48" s="121">
        <v>0</v>
      </c>
      <c r="E48" s="121">
        <v>0</v>
      </c>
      <c r="F48" s="121">
        <v>0.3</v>
      </c>
      <c r="G48" s="120">
        <v>0</v>
      </c>
      <c r="H48" s="158">
        <f t="shared" si="0"/>
        <v>1</v>
      </c>
    </row>
    <row r="49">
      <c r="A49">
        <f t="shared" si="1"/>
        <v>48</v>
      </c>
      <c r="B49" t="s">
        <v>216</v>
      </c>
      <c r="C49" s="121">
        <v>0.7</v>
      </c>
      <c r="D49" s="121">
        <v>0</v>
      </c>
      <c r="E49" s="121">
        <v>0</v>
      </c>
      <c r="F49" s="121">
        <v>0.3</v>
      </c>
      <c r="G49" s="120">
        <v>0</v>
      </c>
      <c r="H49" s="158">
        <f t="shared" si="0"/>
        <v>1</v>
      </c>
    </row>
    <row r="50">
      <c r="A50">
        <f t="shared" si="1"/>
        <v>49</v>
      </c>
      <c r="B50" t="s">
        <v>217</v>
      </c>
      <c r="C50" s="121">
        <v>0.7</v>
      </c>
      <c r="D50" s="121">
        <v>0</v>
      </c>
      <c r="E50" s="121">
        <v>0</v>
      </c>
      <c r="F50" s="121">
        <v>0.3</v>
      </c>
      <c r="G50" s="120">
        <v>0</v>
      </c>
      <c r="H50" s="158">
        <f t="shared" si="0"/>
        <v>1</v>
      </c>
    </row>
    <row r="51">
      <c r="A51">
        <f t="shared" si="1"/>
        <v>50</v>
      </c>
      <c r="B51" t="s">
        <v>218</v>
      </c>
      <c r="C51" s="121">
        <v>0.7</v>
      </c>
      <c r="D51" s="121">
        <v>0</v>
      </c>
      <c r="E51" s="121">
        <v>0</v>
      </c>
      <c r="F51" s="121">
        <v>0.3</v>
      </c>
      <c r="G51" s="120">
        <v>0</v>
      </c>
      <c r="H51" s="158">
        <f t="shared" si="0"/>
        <v>1</v>
      </c>
    </row>
    <row r="52">
      <c r="A52">
        <f t="shared" si="1"/>
        <v>51</v>
      </c>
      <c r="B52" t="s">
        <v>72</v>
      </c>
      <c r="C52" s="121">
        <v>0</v>
      </c>
      <c r="D52" s="121">
        <v>0</v>
      </c>
      <c r="E52" s="121">
        <v>0</v>
      </c>
      <c r="F52" s="121">
        <v>1</v>
      </c>
      <c r="G52" s="120">
        <v>0</v>
      </c>
      <c r="H52" s="158">
        <f t="shared" si="0"/>
        <v>1</v>
      </c>
    </row>
    <row r="53">
      <c r="A53">
        <f t="shared" si="1"/>
        <v>52</v>
      </c>
      <c r="B53" t="s">
        <v>219</v>
      </c>
      <c r="C53" s="121">
        <v>1</v>
      </c>
      <c r="D53" s="121">
        <v>0</v>
      </c>
      <c r="E53" s="121">
        <v>0</v>
      </c>
      <c r="F53" s="121">
        <v>0</v>
      </c>
      <c r="G53" s="120">
        <v>0</v>
      </c>
      <c r="H53" s="158">
        <f t="shared" si="0"/>
        <v>1</v>
      </c>
    </row>
    <row r="54">
      <c r="A54">
        <f>A53+1</f>
        <v>53</v>
      </c>
      <c r="B54" t="s">
        <v>71</v>
      </c>
      <c r="C54" s="121">
        <v>0.1</v>
      </c>
      <c r="D54" s="121">
        <v>0</v>
      </c>
      <c r="E54" s="121">
        <v>0</v>
      </c>
      <c r="F54" s="121">
        <v>0.9</v>
      </c>
      <c r="G54" s="120">
        <v>0</v>
      </c>
      <c r="H54" s="158">
        <f t="shared" si="0"/>
        <v>1</v>
      </c>
    </row>
    <row r="55">
      <c r="A55">
        <f>A54+1</f>
        <v>54</v>
      </c>
      <c r="B55" t="s">
        <v>73</v>
      </c>
      <c r="C55" s="121">
        <v>0</v>
      </c>
      <c r="D55" s="121">
        <v>0</v>
      </c>
      <c r="E55" s="121">
        <v>0</v>
      </c>
      <c r="F55" s="121">
        <v>0</v>
      </c>
      <c r="G55" s="120">
        <v>1</v>
      </c>
      <c r="H55" s="158">
        <f>SUM(C55:G55)</f>
        <v>1</v>
      </c>
    </row>
    <row r="56">
      <c r="A56">
        <f>A55+1</f>
        <v>55</v>
      </c>
      <c r="B56" s="137" t="s">
        <v>280</v>
      </c>
      <c r="C56" s="121">
        <v>0</v>
      </c>
      <c r="D56" s="121">
        <v>0</v>
      </c>
      <c r="E56" s="121">
        <v>1</v>
      </c>
      <c r="F56" s="121">
        <v>0</v>
      </c>
      <c r="G56" s="120">
        <v>0</v>
      </c>
      <c r="H56" s="158">
        <f t="shared" si="0"/>
        <v>1</v>
      </c>
    </row>
    <row r="57">
      <c r="A57">
        <v>56</v>
      </c>
      <c r="B57" s="137" t="s">
        <v>281</v>
      </c>
      <c r="C57" s="121">
        <v>0</v>
      </c>
      <c r="D57" s="121">
        <v>0</v>
      </c>
      <c r="E57" s="121">
        <v>1</v>
      </c>
      <c r="F57" s="121">
        <v>0</v>
      </c>
      <c r="G57" s="120">
        <v>0</v>
      </c>
      <c r="H57" s="158">
        <f t="shared" si="0"/>
        <v>1</v>
      </c>
    </row>
    <row r="58" ht="15" customHeight="true"/>
    <row r="59" ht="15" customHeight="true"/>
    <row r="60" ht="15" customHeight="true"/>
    <row r="61" ht="15" customHeight="true"/>
    <row r="62" ht="15" customHeight="true"/>
    <row r="63" ht="15" customHeight="true"/>
    <row r="64" ht="15" customHeight="true"/>
    <row r="65" ht="15" customHeight="true"/>
    <row r="66">
      <c r="C66"/>
      <c r="D66"/>
      <c r="E66"/>
      <c r="F66"/>
      <c r="G66"/>
    </row>
    <row r="67">
      <c r="C67"/>
      <c r="D67"/>
      <c r="E67"/>
      <c r="F67"/>
      <c r="G67"/>
    </row>
    <row r="68">
      <c r="C68"/>
      <c r="D68"/>
      <c r="E68"/>
      <c r="F68"/>
      <c r="G68"/>
    </row>
    <row r="69">
      <c r="C69"/>
      <c r="D69"/>
      <c r="E69"/>
      <c r="F69"/>
      <c r="G69"/>
    </row>
    <row r="70">
      <c r="C70"/>
      <c r="D70"/>
      <c r="E70"/>
      <c r="F70"/>
      <c r="G70"/>
    </row>
    <row r="71">
      <c r="C71"/>
      <c r="D71"/>
      <c r="E71"/>
      <c r="F71"/>
      <c r="G71"/>
    </row>
    <row r="72">
      <c r="C72"/>
      <c r="D72"/>
      <c r="E72"/>
      <c r="F72"/>
      <c r="G72"/>
    </row>
    <row r="73">
      <c r="C73"/>
      <c r="D73"/>
      <c r="E73"/>
      <c r="F73"/>
      <c r="G73"/>
    </row>
    <row r="74">
      <c r="C74"/>
      <c r="D74"/>
      <c r="E74"/>
      <c r="F74"/>
      <c r="G74"/>
    </row>
    <row r="75">
      <c r="C75"/>
      <c r="D75"/>
      <c r="E75"/>
      <c r="F75"/>
      <c r="G75"/>
    </row>
    <row r="76">
      <c r="C76"/>
      <c r="D76"/>
      <c r="E76"/>
      <c r="F76"/>
      <c r="G76"/>
    </row>
    <row r="77">
      <c r="C77"/>
      <c r="D77"/>
      <c r="E77"/>
      <c r="F77"/>
      <c r="G77"/>
    </row>
    <row r="78">
      <c r="C78"/>
      <c r="D78"/>
      <c r="E78"/>
      <c r="F78"/>
      <c r="G78"/>
    </row>
    <row r="79">
      <c r="C79"/>
      <c r="D79"/>
      <c r="E79"/>
      <c r="F79"/>
      <c r="G79"/>
    </row>
    <row r="80">
      <c r="C80"/>
      <c r="D80"/>
      <c r="E80"/>
      <c r="F80"/>
      <c r="G80"/>
    </row>
    <row r="81">
      <c r="C81"/>
      <c r="D81"/>
      <c r="E81"/>
      <c r="F81"/>
      <c r="G81"/>
    </row>
    <row r="82">
      <c r="C82"/>
      <c r="D82"/>
      <c r="E82"/>
      <c r="F82"/>
      <c r="G82"/>
    </row>
    <row r="83">
      <c r="C83"/>
      <c r="D83"/>
      <c r="E83"/>
      <c r="F83"/>
      <c r="G83"/>
    </row>
    <row r="84">
      <c r="C84"/>
      <c r="D84"/>
      <c r="E84"/>
      <c r="F84"/>
      <c r="G84"/>
    </row>
    <row r="85">
      <c r="C85"/>
      <c r="D85"/>
      <c r="E85"/>
      <c r="F85"/>
      <c r="G85"/>
    </row>
    <row r="86">
      <c r="C86"/>
      <c r="D86"/>
      <c r="E86"/>
      <c r="F86"/>
      <c r="G86"/>
    </row>
    <row r="87">
      <c r="C87"/>
      <c r="D87"/>
      <c r="E87"/>
      <c r="F87"/>
      <c r="G87"/>
    </row>
    <row r="88">
      <c r="C88"/>
      <c r="D88"/>
      <c r="E88"/>
      <c r="F88"/>
      <c r="G88"/>
    </row>
    <row r="89">
      <c r="C89"/>
      <c r="D89"/>
      <c r="E89"/>
      <c r="F89"/>
      <c r="G89"/>
    </row>
    <row r="90">
      <c r="C90"/>
      <c r="D90"/>
      <c r="E90"/>
      <c r="F90"/>
      <c r="G90"/>
    </row>
    <row r="91">
      <c r="C91"/>
      <c r="D91"/>
      <c r="E91"/>
      <c r="F91"/>
      <c r="G91"/>
    </row>
    <row r="92">
      <c r="C92"/>
      <c r="D92"/>
      <c r="E92"/>
      <c r="F92"/>
      <c r="G92"/>
    </row>
    <row r="93">
      <c r="C93"/>
      <c r="D93"/>
      <c r="E93"/>
      <c r="F93"/>
      <c r="G93"/>
    </row>
    <row r="94">
      <c r="C94"/>
      <c r="D94"/>
      <c r="E94"/>
      <c r="F94"/>
      <c r="G94"/>
    </row>
    <row r="95">
      <c r="C95"/>
      <c r="D95"/>
      <c r="E95"/>
      <c r="F95"/>
      <c r="G95"/>
    </row>
    <row r="96">
      <c r="C96"/>
      <c r="D96"/>
      <c r="E96"/>
      <c r="F96"/>
      <c r="G96"/>
    </row>
    <row r="97">
      <c r="C97"/>
      <c r="D97"/>
      <c r="E97"/>
      <c r="F97"/>
      <c r="G97"/>
    </row>
    <row r="98">
      <c r="C98"/>
      <c r="D98"/>
      <c r="E98"/>
      <c r="F98"/>
      <c r="G98"/>
    </row>
    <row r="99">
      <c r="C99"/>
      <c r="D99"/>
      <c r="E99"/>
      <c r="F99"/>
      <c r="G99"/>
    </row>
    <row r="100">
      <c r="C100"/>
      <c r="D100"/>
      <c r="E100"/>
      <c r="F100"/>
      <c r="G100"/>
    </row>
    <row r="101">
      <c r="C101"/>
      <c r="D101"/>
      <c r="E101"/>
      <c r="F101"/>
      <c r="G101"/>
    </row>
    <row r="102">
      <c r="C102"/>
      <c r="D102"/>
      <c r="E102"/>
      <c r="F102"/>
      <c r="G102"/>
    </row>
    <row r="103">
      <c r="C103"/>
      <c r="D103"/>
      <c r="E103"/>
      <c r="F103"/>
      <c r="G103"/>
    </row>
    <row r="104">
      <c r="C104"/>
      <c r="D104"/>
      <c r="E104"/>
      <c r="F104"/>
      <c r="G104"/>
    </row>
    <row r="105">
      <c r="C105"/>
      <c r="D105"/>
      <c r="E105"/>
      <c r="F105"/>
      <c r="G105"/>
    </row>
    <row r="106">
      <c r="C106"/>
      <c r="D106"/>
      <c r="E106"/>
      <c r="F106"/>
      <c r="G106"/>
    </row>
    <row r="107">
      <c r="C107"/>
      <c r="D107"/>
      <c r="E107"/>
      <c r="F107"/>
      <c r="G107"/>
    </row>
    <row r="108">
      <c r="C108"/>
      <c r="D108"/>
      <c r="E108"/>
      <c r="F108"/>
      <c r="G108"/>
    </row>
    <row r="109">
      <c r="C109"/>
      <c r="D109"/>
      <c r="E109"/>
      <c r="F109"/>
      <c r="G109"/>
    </row>
    <row r="110">
      <c r="C110"/>
      <c r="D110"/>
      <c r="E110"/>
      <c r="F110"/>
      <c r="G110"/>
    </row>
    <row r="111">
      <c r="C111"/>
      <c r="D111"/>
      <c r="E111"/>
      <c r="F111"/>
      <c r="G111"/>
    </row>
    <row r="112">
      <c r="C112"/>
      <c r="D112"/>
      <c r="E112"/>
      <c r="F112"/>
      <c r="G112"/>
    </row>
    <row r="113">
      <c r="C113"/>
      <c r="D113"/>
      <c r="E113"/>
      <c r="F113"/>
      <c r="G113"/>
    </row>
    <row r="114">
      <c r="C114"/>
      <c r="D114"/>
      <c r="E114"/>
      <c r="F114"/>
      <c r="G114"/>
    </row>
    <row r="115">
      <c r="C115"/>
      <c r="D115"/>
      <c r="E115"/>
      <c r="F115"/>
      <c r="G115"/>
    </row>
    <row r="116">
      <c r="C116"/>
      <c r="D116"/>
      <c r="E116"/>
      <c r="F116"/>
      <c r="G116"/>
    </row>
    <row r="117">
      <c r="C117"/>
      <c r="D117"/>
      <c r="E117"/>
      <c r="F117"/>
      <c r="G117"/>
    </row>
    <row r="118">
      <c r="C118"/>
      <c r="D118"/>
      <c r="E118"/>
      <c r="F118"/>
      <c r="G118"/>
    </row>
    <row r="119">
      <c r="C119"/>
      <c r="D119"/>
      <c r="E119"/>
      <c r="F119"/>
      <c r="G119"/>
    </row>
    <row r="120">
      <c r="C120"/>
      <c r="D120"/>
      <c r="E120"/>
      <c r="F120"/>
      <c r="G120"/>
    </row>
    <row r="121">
      <c r="C121"/>
      <c r="D121"/>
      <c r="E121"/>
      <c r="F121"/>
      <c r="G121"/>
    </row>
    <row r="122">
      <c r="C122"/>
      <c r="D122"/>
      <c r="E122"/>
      <c r="F122"/>
      <c r="G122"/>
    </row>
    <row r="123">
      <c r="C123"/>
      <c r="D123"/>
      <c r="E123"/>
      <c r="F123"/>
      <c r="G123"/>
    </row>
    <row r="124">
      <c r="C124"/>
      <c r="D124"/>
      <c r="E124"/>
      <c r="F124"/>
      <c r="G124"/>
    </row>
    <row r="125">
      <c r="C125"/>
      <c r="D125"/>
      <c r="E125"/>
      <c r="F125"/>
      <c r="G125"/>
    </row>
    <row r="126">
      <c r="C126"/>
      <c r="D126"/>
      <c r="E126"/>
      <c r="F126"/>
      <c r="G126"/>
    </row>
    <row r="127">
      <c r="C127"/>
      <c r="D127"/>
      <c r="E127"/>
      <c r="F127"/>
      <c r="G127"/>
    </row>
    <row r="128">
      <c r="C128"/>
      <c r="D128"/>
      <c r="E128"/>
      <c r="F128"/>
      <c r="G128"/>
    </row>
    <row r="129">
      <c r="C129"/>
      <c r="D129"/>
      <c r="E129"/>
      <c r="F129"/>
      <c r="G129"/>
    </row>
    <row r="130">
      <c r="C130"/>
      <c r="D130"/>
      <c r="E130"/>
      <c r="F130"/>
      <c r="G130"/>
    </row>
    <row r="131">
      <c r="C131"/>
      <c r="D131"/>
      <c r="E131"/>
      <c r="F131"/>
      <c r="G131"/>
    </row>
    <row r="132">
      <c r="C132"/>
      <c r="D132"/>
      <c r="E132"/>
      <c r="F132"/>
      <c r="G132"/>
    </row>
    <row r="133">
      <c r="C133"/>
      <c r="D133"/>
      <c r="E133"/>
      <c r="F133"/>
      <c r="G133"/>
    </row>
    <row r="134" ht="15" customHeight="true"/>
    <row r="135" ht="15" customHeight="true"/>
    <row r="136" ht="15" customHeight="true"/>
    <row r="137" ht="15" customHeight="true"/>
    <row r="138" ht="15" customHeight="true"/>
    <row r="139" ht="15" customHeight="true"/>
    <row r="140" ht="15" customHeight="true"/>
    <row r="141" ht="15" customHeight="true"/>
    <row r="142" ht="15" customHeight="true"/>
    <row r="143" ht="15" customHeight="true"/>
    <row r="144" ht="15" customHeight="true"/>
    <row r="145" ht="15" customHeight="true"/>
    <row r="146" ht="15" customHeight="true"/>
    <row r="147" ht="15" customHeight="true"/>
    <row r="148" ht="15" customHeight="true"/>
    <row r="149" ht="15" customHeight="true"/>
    <row r="150" ht="15" customHeight="true"/>
    <row r="151" ht="15" customHeight="true"/>
    <row r="152" ht="15" customHeight="true"/>
    <row r="153" ht="15" customHeight="true"/>
    <row r="154" ht="15" customHeight="true"/>
    <row r="155" ht="15" customHeight="true"/>
    <row r="156" ht="15" customHeight="true"/>
    <row r="157" ht="15" customHeight="true"/>
    <row r="158" ht="15" customHeight="true"/>
    <row r="159" ht="15" customHeight="true"/>
    <row r="160" ht="15" customHeight="true"/>
    <row r="161" ht="15" customHeight="true"/>
    <row r="162" ht="15" customHeight="true"/>
    <row r="163" ht="15" customHeight="true"/>
    <row r="164" ht="15" customHeight="true"/>
    <row r="165" ht="15" customHeight="true"/>
    <row r="166" ht="15" customHeight="true"/>
    <row r="167" ht="15" customHeight="true"/>
    <row r="168" ht="15" customHeight="true"/>
    <row r="169" ht="15" customHeight="true"/>
    <row r="170" ht="15" customHeight="true"/>
    <row r="171" ht="15" customHeight="true"/>
    <row r="172" ht="15" customHeight="true"/>
    <row r="173" ht="15" customHeight="true"/>
    <row r="174" ht="15" customHeight="true"/>
    <row r="175" ht="15" customHeight="true"/>
    <row r="176" ht="15" customHeight="true"/>
    <row r="177" ht="15" customHeight="true"/>
    <row r="178" ht="15" customHeight="true"/>
    <row r="179" ht="15" customHeight="true"/>
    <row r="180" ht="15" customHeight="true"/>
    <row r="181" ht="15" customHeight="true"/>
    <row r="182" ht="15" customHeight="true"/>
    <row r="183" ht="15" customHeight="true"/>
    <row r="184" ht="15" customHeight="true"/>
    <row r="185" ht="15" customHeight="true"/>
    <row r="186" ht="15" customHeight="true"/>
    <row r="187" ht="15" customHeight="true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6"/>
  <sheetViews>
    <sheetView workbookViewId="0">
      <pane xSplit="2" ySplit="1" topLeftCell="C30" activePane="bottomRight" state="frozen"/>
      <selection pane="topRight" activeCell="D1" sqref="D1"/>
      <selection pane="bottomLeft" activeCell="A2" sqref="A2"/>
      <selection pane="bottomRight" activeCell="B47" sqref="B47"/>
    </sheetView>
  </sheetViews>
  <sheetFormatPr baseColWidth="10" defaultColWidth="8.83203125" defaultRowHeight="13"/>
  <cols>
    <col min="1" max="1" width="11.1640625" style="161" customWidth="true"/>
    <col min="2" max="2" width="18.6640625" bestFit="true" customWidth="true"/>
    <col min="3" max="3" width="19" style="169" bestFit="true" customWidth="true"/>
    <col min="4" max="4" width="19.5" style="169" customWidth="true"/>
    <col min="5" max="5" width="11.5" style="169" customWidth="true"/>
  </cols>
  <sheetData>
    <row r="1" s="157" customFormat="true" ht="28">
      <c r="A1" s="159" t="s">
        <v>21</v>
      </c>
      <c r="B1" s="160" t="s">
        <v>0</v>
      </c>
      <c r="C1" s="164" t="s">
        <v>280</v>
      </c>
      <c r="D1" s="164" t="s">
        <v>286</v>
      </c>
      <c r="E1" s="165" t="s">
        <v>12</v>
      </c>
    </row>
    <row r="2">
      <c r="A2" s="161">
        <v>1</v>
      </c>
      <c r="B2" s="161" t="s">
        <v>175</v>
      </c>
      <c r="C2" s="252">
        <v>0</v>
      </c>
      <c r="D2" s="252">
        <v>0</v>
      </c>
      <c r="E2" s="167">
        <f>SUM(C2:D2)</f>
        <v>0</v>
      </c>
    </row>
    <row r="3">
      <c r="A3" s="161">
        <f>A2+1</f>
        <v>2</v>
      </c>
      <c r="B3" s="161" t="s">
        <v>176</v>
      </c>
      <c r="C3" s="252">
        <v>0</v>
      </c>
      <c r="D3" s="252">
        <v>0</v>
      </c>
      <c r="E3" s="167">
        <f>SUM(C3:D3)</f>
        <v>0</v>
      </c>
    </row>
    <row r="4">
      <c r="A4" s="161">
        <f t="shared" ref="A4:A52" si="0">A3+1</f>
        <v>3</v>
      </c>
      <c r="B4" s="161" t="s">
        <v>177</v>
      </c>
      <c r="C4" s="252">
        <v>0</v>
      </c>
      <c r="D4" s="252">
        <v>0</v>
      </c>
      <c r="E4" s="167">
        <f t="shared" ref="E4:E55" si="1">SUM(C4:D4)</f>
        <v>0</v>
      </c>
    </row>
    <row r="5">
      <c r="A5" s="161">
        <f t="shared" si="0"/>
        <v>4</v>
      </c>
      <c r="B5" s="161" t="s">
        <v>220</v>
      </c>
      <c r="C5" s="252">
        <v>0</v>
      </c>
      <c r="D5" s="252">
        <v>0</v>
      </c>
      <c r="E5" s="167">
        <f t="shared" si="1"/>
        <v>0</v>
      </c>
    </row>
    <row r="6">
      <c r="A6" s="161">
        <f t="shared" si="0"/>
        <v>5</v>
      </c>
      <c r="B6" s="161" t="s">
        <v>221</v>
      </c>
      <c r="C6" s="252">
        <v>0</v>
      </c>
      <c r="D6" s="252">
        <v>0</v>
      </c>
      <c r="E6" s="167">
        <f t="shared" si="1"/>
        <v>0</v>
      </c>
    </row>
    <row r="7">
      <c r="A7" s="161">
        <f t="shared" si="0"/>
        <v>6</v>
      </c>
      <c r="B7" s="161" t="s">
        <v>178</v>
      </c>
      <c r="C7" s="252">
        <v>0</v>
      </c>
      <c r="D7" s="252">
        <v>0</v>
      </c>
      <c r="E7" s="167">
        <f t="shared" si="1"/>
        <v>0</v>
      </c>
    </row>
    <row r="8">
      <c r="A8" s="161">
        <f t="shared" si="0"/>
        <v>7</v>
      </c>
      <c r="B8" s="161" t="s">
        <v>222</v>
      </c>
      <c r="C8" s="252">
        <v>0</v>
      </c>
      <c r="D8" s="252">
        <v>0</v>
      </c>
      <c r="E8" s="167">
        <f t="shared" si="1"/>
        <v>0</v>
      </c>
    </row>
    <row r="9">
      <c r="A9" s="161">
        <f t="shared" si="0"/>
        <v>8</v>
      </c>
      <c r="B9" t="s">
        <v>179</v>
      </c>
      <c r="C9" s="252">
        <v>0</v>
      </c>
      <c r="D9" s="252">
        <v>0</v>
      </c>
      <c r="E9" s="167">
        <f t="shared" si="1"/>
        <v>0</v>
      </c>
    </row>
    <row r="10">
      <c r="A10" s="161">
        <f t="shared" si="0"/>
        <v>9</v>
      </c>
      <c r="B10" s="161" t="s">
        <v>180</v>
      </c>
      <c r="C10" s="252">
        <v>0</v>
      </c>
      <c r="D10" s="253">
        <v>5.1499999999999997E-2</v>
      </c>
      <c r="E10" s="167">
        <f t="shared" si="1"/>
        <v>5.1499999999999997E-2</v>
      </c>
    </row>
    <row r="11">
      <c r="A11" s="161">
        <f t="shared" si="0"/>
        <v>10</v>
      </c>
      <c r="B11" s="161" t="s">
        <v>223</v>
      </c>
      <c r="C11" s="252">
        <v>0</v>
      </c>
      <c r="D11" s="252">
        <v>0</v>
      </c>
      <c r="E11" s="167">
        <f t="shared" si="1"/>
        <v>0</v>
      </c>
    </row>
    <row r="12">
      <c r="A12" s="161">
        <f t="shared" si="0"/>
        <v>11</v>
      </c>
      <c r="B12" s="161" t="s">
        <v>181</v>
      </c>
      <c r="C12" s="252">
        <v>0</v>
      </c>
      <c r="D12" s="252">
        <v>0</v>
      </c>
      <c r="E12" s="167">
        <f t="shared" si="1"/>
        <v>0</v>
      </c>
    </row>
    <row r="13">
      <c r="A13" s="161">
        <f t="shared" si="0"/>
        <v>12</v>
      </c>
      <c r="B13" s="161" t="s">
        <v>224</v>
      </c>
      <c r="C13" s="252">
        <v>0</v>
      </c>
      <c r="D13" s="252">
        <v>0</v>
      </c>
      <c r="E13" s="167">
        <f t="shared" si="1"/>
        <v>0</v>
      </c>
    </row>
    <row r="14">
      <c r="A14" s="161">
        <f t="shared" si="0"/>
        <v>13</v>
      </c>
      <c r="B14" s="161" t="s">
        <v>182</v>
      </c>
      <c r="C14" s="252">
        <v>0</v>
      </c>
      <c r="D14" s="252">
        <v>0</v>
      </c>
      <c r="E14" s="167">
        <f t="shared" si="1"/>
        <v>0</v>
      </c>
    </row>
    <row r="15">
      <c r="A15" s="161">
        <f t="shared" si="0"/>
        <v>14</v>
      </c>
      <c r="B15" s="161" t="s">
        <v>183</v>
      </c>
      <c r="C15" s="253">
        <v>2.5299999999999999E-6</v>
      </c>
      <c r="D15" s="252">
        <v>0</v>
      </c>
      <c r="E15" s="167">
        <f t="shared" si="1"/>
        <v>2.5299999999999999E-6</v>
      </c>
    </row>
    <row r="16">
      <c r="A16" s="161">
        <f t="shared" si="0"/>
        <v>15</v>
      </c>
      <c r="B16" s="161" t="s">
        <v>184</v>
      </c>
      <c r="C16" s="253">
        <v>1.2500000000000001E-6</v>
      </c>
      <c r="D16" s="253">
        <v>8.0099999999999995E-6</v>
      </c>
      <c r="E16" s="167">
        <f t="shared" si="1"/>
        <v>9.2599999999999994E-6</v>
      </c>
    </row>
    <row r="17">
      <c r="A17" s="161">
        <f t="shared" si="0"/>
        <v>16</v>
      </c>
      <c r="B17" s="161" t="s">
        <v>185</v>
      </c>
      <c r="C17" s="253">
        <v>6.3500000000000006E-8</v>
      </c>
      <c r="D17" s="252">
        <v>0</v>
      </c>
      <c r="E17" s="167">
        <f t="shared" si="1"/>
        <v>6.3500000000000006E-8</v>
      </c>
    </row>
    <row r="18">
      <c r="A18" s="161">
        <f t="shared" si="0"/>
        <v>17</v>
      </c>
      <c r="B18" s="161" t="s">
        <v>186</v>
      </c>
      <c r="C18" s="253">
        <v>8.8200000000000003E-6</v>
      </c>
      <c r="D18" s="253">
        <v>7.1699999999999997E-4</v>
      </c>
      <c r="E18" s="167">
        <f t="shared" si="1"/>
        <v>7.2581999999999996E-4</v>
      </c>
    </row>
    <row r="19">
      <c r="A19" s="161">
        <f t="shared" si="0"/>
        <v>18</v>
      </c>
      <c r="B19" s="136" t="s">
        <v>187</v>
      </c>
      <c r="C19" s="253">
        <v>4.3000000000000002E-5</v>
      </c>
      <c r="D19" s="253">
        <v>5.54</v>
      </c>
      <c r="E19" s="167">
        <f t="shared" si="1"/>
        <v>5.5400429999999998</v>
      </c>
    </row>
    <row r="20">
      <c r="A20" s="161">
        <f t="shared" si="0"/>
        <v>19</v>
      </c>
      <c r="B20" s="161" t="s">
        <v>188</v>
      </c>
      <c r="C20" s="253">
        <v>1.18E-4</v>
      </c>
      <c r="D20" s="253">
        <v>1.74E-3</v>
      </c>
      <c r="E20" s="167">
        <f t="shared" si="1"/>
        <v>1.8580000000000001E-3</v>
      </c>
    </row>
    <row r="21">
      <c r="A21" s="161">
        <f t="shared" si="0"/>
        <v>20</v>
      </c>
      <c r="B21" s="161" t="s">
        <v>189</v>
      </c>
      <c r="C21" s="253">
        <v>4.4900000000000002E-2</v>
      </c>
      <c r="D21" s="253">
        <v>4.2700000000000001E-5</v>
      </c>
      <c r="E21" s="167">
        <f t="shared" si="1"/>
        <v>4.4942700000000002E-2</v>
      </c>
    </row>
    <row r="22">
      <c r="A22" s="161">
        <f t="shared" si="0"/>
        <v>21</v>
      </c>
      <c r="B22" s="161" t="s">
        <v>190</v>
      </c>
      <c r="C22" s="253">
        <v>1.1399999999999999E-5</v>
      </c>
      <c r="D22" s="253">
        <v>9.6199999999999994E-5</v>
      </c>
      <c r="E22" s="167">
        <f t="shared" si="1"/>
        <v>1.0759999999999999E-4</v>
      </c>
    </row>
    <row r="23">
      <c r="A23" s="161">
        <f t="shared" si="0"/>
        <v>22</v>
      </c>
      <c r="B23" s="161" t="s">
        <v>191</v>
      </c>
      <c r="C23" s="253">
        <v>8.3599999999999996E-6</v>
      </c>
      <c r="D23" s="253">
        <v>1.5E-6</v>
      </c>
      <c r="E23" s="167">
        <f t="shared" si="1"/>
        <v>9.8600000000000005E-6</v>
      </c>
    </row>
    <row r="24">
      <c r="A24" s="161">
        <f t="shared" si="0"/>
        <v>23</v>
      </c>
      <c r="B24" s="161" t="s">
        <v>192</v>
      </c>
      <c r="C24" s="252">
        <v>0</v>
      </c>
      <c r="D24" s="252">
        <v>0</v>
      </c>
      <c r="E24" s="167">
        <f t="shared" si="1"/>
        <v>0</v>
      </c>
    </row>
    <row r="25">
      <c r="A25" s="161">
        <f t="shared" si="0"/>
        <v>24</v>
      </c>
      <c r="B25" s="161" t="s">
        <v>225</v>
      </c>
      <c r="C25" s="253">
        <v>1.8300000000000001E-5</v>
      </c>
      <c r="D25" s="252">
        <v>0</v>
      </c>
      <c r="E25" s="167">
        <f t="shared" si="1"/>
        <v>1.8300000000000001E-5</v>
      </c>
    </row>
    <row r="26">
      <c r="A26" s="161">
        <f t="shared" si="0"/>
        <v>25</v>
      </c>
      <c r="B26" s="161" t="s">
        <v>226</v>
      </c>
      <c r="C26" s="253">
        <v>5.7399999999999997E-4</v>
      </c>
      <c r="D26" s="253">
        <v>5.41E-5</v>
      </c>
      <c r="E26" s="167">
        <f t="shared" si="1"/>
        <v>6.2809999999999993E-4</v>
      </c>
    </row>
    <row r="27">
      <c r="A27" s="161">
        <f t="shared" si="0"/>
        <v>26</v>
      </c>
      <c r="B27" s="161" t="s">
        <v>227</v>
      </c>
      <c r="C27" s="253">
        <v>8.1000000000000004E-5</v>
      </c>
      <c r="D27" s="253">
        <v>3.5399999999999999E-4</v>
      </c>
      <c r="E27" s="167">
        <f t="shared" si="1"/>
        <v>4.35E-4</v>
      </c>
    </row>
    <row r="28">
      <c r="A28" s="161">
        <f t="shared" si="0"/>
        <v>27</v>
      </c>
      <c r="B28" s="161" t="s">
        <v>228</v>
      </c>
      <c r="C28" s="253">
        <v>7.7399999999999998E-5</v>
      </c>
      <c r="D28" s="253">
        <v>1.39E-3</v>
      </c>
      <c r="E28" s="167">
        <f t="shared" si="1"/>
        <v>1.4674E-3</v>
      </c>
    </row>
    <row r="29">
      <c r="A29" s="161">
        <f t="shared" si="0"/>
        <v>28</v>
      </c>
      <c r="B29" s="161" t="s">
        <v>197</v>
      </c>
      <c r="C29" s="253">
        <v>5.2199999999999998E-8</v>
      </c>
      <c r="D29" s="253">
        <v>1.92E-7</v>
      </c>
      <c r="E29" s="167">
        <f t="shared" si="1"/>
        <v>2.4419999999999998E-7</v>
      </c>
    </row>
    <row r="30">
      <c r="A30" s="161">
        <f t="shared" si="0"/>
        <v>29</v>
      </c>
      <c r="B30" s="162" t="s">
        <v>198</v>
      </c>
      <c r="C30" s="253">
        <v>2.32E-4</v>
      </c>
      <c r="D30" s="253">
        <v>1.5699999999999999E-4</v>
      </c>
      <c r="E30" s="167">
        <f t="shared" si="1"/>
        <v>3.8900000000000002E-4</v>
      </c>
    </row>
    <row r="31">
      <c r="A31" s="161">
        <f t="shared" si="0"/>
        <v>30</v>
      </c>
      <c r="B31" s="161" t="s">
        <v>199</v>
      </c>
      <c r="C31" s="253">
        <v>4.07E-6</v>
      </c>
      <c r="D31" s="253">
        <v>4.8099999999999997E-5</v>
      </c>
      <c r="E31" s="167">
        <f t="shared" si="1"/>
        <v>5.2169999999999997E-5</v>
      </c>
    </row>
    <row r="32">
      <c r="A32" s="161">
        <f t="shared" si="0"/>
        <v>31</v>
      </c>
      <c r="B32" s="161" t="s">
        <v>229</v>
      </c>
      <c r="C32" s="253">
        <v>4.16E-6</v>
      </c>
      <c r="D32" s="253">
        <v>4.6499999999999999E-5</v>
      </c>
      <c r="E32" s="167">
        <f t="shared" si="1"/>
        <v>5.0659999999999999E-5</v>
      </c>
    </row>
    <row r="33">
      <c r="A33" s="161">
        <f t="shared" si="0"/>
        <v>32</v>
      </c>
      <c r="B33" s="161" t="s">
        <v>230</v>
      </c>
      <c r="C33" s="253">
        <v>1.6000000000000001E-3</v>
      </c>
      <c r="D33" s="253">
        <v>3.15E-3</v>
      </c>
      <c r="E33" s="167">
        <f t="shared" si="1"/>
        <v>4.7499999999999999E-3</v>
      </c>
    </row>
    <row r="34">
      <c r="A34" s="161">
        <f t="shared" si="0"/>
        <v>33</v>
      </c>
      <c r="B34" s="161" t="s">
        <v>231</v>
      </c>
      <c r="C34" s="253">
        <v>1.35E-2</v>
      </c>
      <c r="D34" s="253">
        <v>4.7400000000000003E-3</v>
      </c>
      <c r="E34" s="167">
        <f t="shared" si="1"/>
        <v>1.8239999999999999E-2</v>
      </c>
    </row>
    <row r="35">
      <c r="A35" s="161">
        <f t="shared" si="0"/>
        <v>34</v>
      </c>
      <c r="B35" s="161" t="s">
        <v>232</v>
      </c>
      <c r="C35" s="253">
        <v>1.1000000000000001E-3</v>
      </c>
      <c r="D35" s="253">
        <v>1.2199999999999999E-3</v>
      </c>
      <c r="E35" s="167">
        <f t="shared" si="1"/>
        <v>2.32E-3</v>
      </c>
    </row>
    <row r="36">
      <c r="A36" s="161">
        <f t="shared" si="0"/>
        <v>35</v>
      </c>
      <c r="B36" s="162" t="s">
        <v>233</v>
      </c>
      <c r="C36" s="252">
        <v>0</v>
      </c>
      <c r="D36" s="253">
        <v>2.2400000000000002E-6</v>
      </c>
      <c r="E36" s="167">
        <f t="shared" si="1"/>
        <v>2.2400000000000002E-6</v>
      </c>
    </row>
    <row r="37">
      <c r="A37" s="161">
        <f t="shared" si="0"/>
        <v>36</v>
      </c>
      <c r="B37" s="161" t="s">
        <v>205</v>
      </c>
      <c r="C37" s="253">
        <v>2.07E-2</v>
      </c>
      <c r="D37" s="253">
        <v>7.8100000000000003E-2</v>
      </c>
      <c r="E37" s="167">
        <f t="shared" si="1"/>
        <v>9.8799999999999999E-2</v>
      </c>
    </row>
    <row r="38">
      <c r="A38" s="161">
        <f t="shared" si="0"/>
        <v>37</v>
      </c>
      <c r="B38" s="161" t="s">
        <v>206</v>
      </c>
      <c r="C38" s="252">
        <v>0</v>
      </c>
      <c r="D38" s="252">
        <v>0</v>
      </c>
      <c r="E38" s="167">
        <f t="shared" si="1"/>
        <v>0</v>
      </c>
    </row>
    <row r="39">
      <c r="A39" s="161">
        <f t="shared" si="0"/>
        <v>38</v>
      </c>
      <c r="B39" s="161" t="s">
        <v>207</v>
      </c>
      <c r="C39" s="252">
        <v>0</v>
      </c>
      <c r="D39" s="252">
        <v>0</v>
      </c>
      <c r="E39" s="167">
        <f t="shared" si="1"/>
        <v>0</v>
      </c>
    </row>
    <row r="40">
      <c r="A40" s="161">
        <f t="shared" si="0"/>
        <v>39</v>
      </c>
      <c r="B40" s="161" t="s">
        <v>208</v>
      </c>
      <c r="C40" s="253">
        <v>4.47E-3</v>
      </c>
      <c r="D40" s="253">
        <v>9.4799999999999995E-2</v>
      </c>
      <c r="E40" s="167">
        <f t="shared" si="1"/>
        <v>9.9269999999999997E-2</v>
      </c>
    </row>
    <row r="41">
      <c r="A41" s="161">
        <f t="shared" si="0"/>
        <v>40</v>
      </c>
      <c r="B41" s="161" t="s">
        <v>209</v>
      </c>
      <c r="C41" s="252">
        <v>0</v>
      </c>
      <c r="D41" s="252">
        <v>0</v>
      </c>
      <c r="E41" s="167">
        <f t="shared" si="1"/>
        <v>0</v>
      </c>
    </row>
    <row r="42">
      <c r="A42" s="161">
        <f t="shared" si="0"/>
        <v>41</v>
      </c>
      <c r="B42" s="161" t="s">
        <v>210</v>
      </c>
      <c r="C42" s="252">
        <v>0</v>
      </c>
      <c r="D42" s="252">
        <v>0</v>
      </c>
      <c r="E42" s="167">
        <f t="shared" si="1"/>
        <v>0</v>
      </c>
    </row>
    <row r="43">
      <c r="A43" s="161">
        <f t="shared" si="0"/>
        <v>42</v>
      </c>
      <c r="B43" s="161" t="s">
        <v>211</v>
      </c>
      <c r="C43" s="252">
        <v>0</v>
      </c>
      <c r="D43" s="252">
        <v>0</v>
      </c>
      <c r="E43" s="167">
        <f t="shared" si="1"/>
        <v>0</v>
      </c>
    </row>
    <row r="44">
      <c r="A44" s="161">
        <f t="shared" si="0"/>
        <v>43</v>
      </c>
      <c r="B44" s="161" t="s">
        <v>212</v>
      </c>
      <c r="C44" s="252">
        <v>0</v>
      </c>
      <c r="D44" s="252">
        <v>0</v>
      </c>
      <c r="E44" s="167">
        <f t="shared" si="1"/>
        <v>0</v>
      </c>
    </row>
    <row r="45">
      <c r="A45" s="161">
        <f t="shared" si="0"/>
        <v>44</v>
      </c>
      <c r="B45" t="s">
        <v>213</v>
      </c>
      <c r="C45" s="252">
        <v>0</v>
      </c>
      <c r="D45" s="252">
        <v>0</v>
      </c>
      <c r="E45" s="167">
        <f t="shared" si="1"/>
        <v>0</v>
      </c>
    </row>
    <row r="46">
      <c r="A46" s="161">
        <f t="shared" si="0"/>
        <v>45</v>
      </c>
      <c r="B46" t="s">
        <v>214</v>
      </c>
      <c r="C46" s="252">
        <v>0</v>
      </c>
      <c r="D46" s="252">
        <v>0</v>
      </c>
      <c r="E46" s="167">
        <f t="shared" si="1"/>
        <v>0</v>
      </c>
    </row>
    <row r="47">
      <c r="A47" s="161">
        <f t="shared" si="0"/>
        <v>46</v>
      </c>
      <c r="B47" t="s">
        <v>304</v>
      </c>
      <c r="C47" s="252">
        <v>0</v>
      </c>
      <c r="D47" s="252">
        <v>0</v>
      </c>
      <c r="E47" s="167">
        <f t="shared" si="1"/>
        <v>0</v>
      </c>
    </row>
    <row r="48">
      <c r="A48" s="161">
        <f t="shared" si="0"/>
        <v>47</v>
      </c>
      <c r="B48" t="s">
        <v>215</v>
      </c>
      <c r="C48" s="252">
        <v>0</v>
      </c>
      <c r="D48" s="252">
        <v>0</v>
      </c>
      <c r="E48" s="167">
        <f t="shared" si="1"/>
        <v>0</v>
      </c>
    </row>
    <row r="49">
      <c r="A49" s="161">
        <f t="shared" si="0"/>
        <v>48</v>
      </c>
      <c r="B49" s="161" t="s">
        <v>216</v>
      </c>
      <c r="C49" s="252">
        <v>0</v>
      </c>
      <c r="D49" s="252">
        <v>0</v>
      </c>
      <c r="E49" s="167">
        <f t="shared" si="1"/>
        <v>0</v>
      </c>
    </row>
    <row r="50">
      <c r="A50" s="161">
        <f t="shared" si="0"/>
        <v>49</v>
      </c>
      <c r="B50" s="161" t="s">
        <v>217</v>
      </c>
      <c r="C50" s="252">
        <v>0</v>
      </c>
      <c r="D50" s="252">
        <v>0</v>
      </c>
      <c r="E50" s="167">
        <f t="shared" si="1"/>
        <v>0</v>
      </c>
    </row>
    <row r="51">
      <c r="A51" s="161">
        <f t="shared" si="0"/>
        <v>50</v>
      </c>
      <c r="B51" s="161" t="s">
        <v>218</v>
      </c>
      <c r="C51" s="252">
        <v>0</v>
      </c>
      <c r="D51" s="252">
        <v>0</v>
      </c>
      <c r="E51" s="167">
        <f t="shared" si="1"/>
        <v>0</v>
      </c>
    </row>
    <row r="52">
      <c r="A52" s="161">
        <f t="shared" si="0"/>
        <v>51</v>
      </c>
      <c r="B52" s="161" t="s">
        <v>72</v>
      </c>
      <c r="C52" s="252">
        <v>0</v>
      </c>
      <c r="D52" s="252">
        <v>0</v>
      </c>
      <c r="E52" s="167">
        <f t="shared" si="1"/>
        <v>0</v>
      </c>
    </row>
    <row r="53">
      <c r="A53" s="161">
        <f>A52+1</f>
        <v>52</v>
      </c>
      <c r="B53" s="161" t="s">
        <v>219</v>
      </c>
      <c r="C53" s="252">
        <v>0</v>
      </c>
      <c r="D53" s="252">
        <v>0</v>
      </c>
      <c r="E53" s="167">
        <f>SUM(C53:D53)</f>
        <v>0</v>
      </c>
    </row>
    <row r="54">
      <c r="A54" s="161">
        <v>53</v>
      </c>
      <c r="B54" s="161" t="s">
        <v>71</v>
      </c>
      <c r="C54" s="252">
        <v>0</v>
      </c>
      <c r="D54" s="252">
        <v>0</v>
      </c>
      <c r="E54" s="167">
        <f>SUM(C54:D54)</f>
        <v>0</v>
      </c>
    </row>
    <row r="55" ht="14" thickBot="true">
      <c r="A55" s="161">
        <v>54</v>
      </c>
      <c r="B55" s="161" t="s">
        <v>73</v>
      </c>
      <c r="C55" s="254">
        <v>0</v>
      </c>
      <c r="D55" s="254">
        <v>0</v>
      </c>
      <c r="E55" s="167">
        <f t="shared" si="1"/>
        <v>0</v>
      </c>
    </row>
    <row r="56">
      <c r="A56" s="163"/>
      <c r="B56" s="163"/>
      <c r="C56" s="168"/>
      <c r="D56" s="168"/>
      <c r="E56" s="168"/>
    </row>
    <row r="58">
      <c r="B58" s="161"/>
      <c r="C58" s="166"/>
      <c r="D58" s="166"/>
      <c r="E58" s="168"/>
    </row>
    <row r="59">
      <c r="B59" s="161"/>
      <c r="C59" s="166"/>
      <c r="D59" s="166"/>
      <c r="E59" s="168"/>
    </row>
    <row r="60">
      <c r="B60" s="161"/>
      <c r="C60" s="166"/>
      <c r="D60" s="166"/>
      <c r="E60" s="168"/>
    </row>
    <row r="66">
      <c r="A66"/>
    </row>
    <row r="67">
      <c r="A67"/>
    </row>
    <row r="68">
      <c r="A68"/>
    </row>
    <row r="69">
      <c r="A69"/>
    </row>
    <row r="70">
      <c r="A70"/>
    </row>
    <row r="71">
      <c r="A71"/>
    </row>
    <row r="72">
      <c r="A72"/>
    </row>
    <row r="73">
      <c r="A73"/>
    </row>
    <row r="74">
      <c r="A74"/>
    </row>
    <row r="75">
      <c r="A75"/>
    </row>
    <row r="76">
      <c r="A76"/>
    </row>
    <row r="77">
      <c r="A77"/>
    </row>
    <row r="78">
      <c r="A78"/>
    </row>
    <row r="79">
      <c r="A79"/>
    </row>
    <row r="80">
      <c r="A80"/>
    </row>
    <row r="81">
      <c r="A81"/>
    </row>
    <row r="82">
      <c r="A82"/>
    </row>
    <row r="83">
      <c r="A83"/>
    </row>
    <row r="84">
      <c r="A84"/>
    </row>
    <row r="85">
      <c r="A85"/>
    </row>
    <row r="86">
      <c r="A86"/>
    </row>
    <row r="87">
      <c r="A87"/>
    </row>
    <row r="88">
      <c r="A88"/>
    </row>
    <row r="89">
      <c r="A89"/>
    </row>
    <row r="90">
      <c r="A90"/>
    </row>
    <row r="91">
      <c r="A91"/>
    </row>
    <row r="92">
      <c r="A92"/>
    </row>
    <row r="93">
      <c r="A93"/>
    </row>
    <row r="94">
      <c r="A94"/>
    </row>
    <row r="95">
      <c r="A95"/>
    </row>
    <row r="96">
      <c r="A96"/>
    </row>
    <row r="97">
      <c r="A97"/>
    </row>
    <row r="98">
      <c r="A98"/>
    </row>
    <row r="99">
      <c r="A99"/>
    </row>
    <row r="100">
      <c r="A100"/>
    </row>
    <row r="101">
      <c r="A101"/>
    </row>
    <row r="102">
      <c r="A102"/>
    </row>
    <row r="103">
      <c r="A103"/>
    </row>
    <row r="104">
      <c r="A104"/>
    </row>
    <row r="105">
      <c r="A105"/>
    </row>
    <row r="106">
      <c r="A106"/>
    </row>
    <row r="107">
      <c r="A107"/>
    </row>
    <row r="108">
      <c r="A108"/>
    </row>
    <row r="109">
      <c r="A109"/>
    </row>
    <row r="110">
      <c r="A110"/>
    </row>
    <row r="111">
      <c r="A111"/>
    </row>
    <row r="112">
      <c r="A112"/>
    </row>
    <row r="113">
      <c r="A113"/>
    </row>
    <row r="114">
      <c r="A114"/>
    </row>
    <row r="115">
      <c r="A115"/>
    </row>
    <row r="116">
      <c r="A116"/>
    </row>
    <row r="117">
      <c r="A117"/>
    </row>
    <row r="118">
      <c r="A118"/>
    </row>
    <row r="119">
      <c r="A119"/>
    </row>
    <row r="120">
      <c r="A120"/>
    </row>
    <row r="121">
      <c r="A121"/>
    </row>
    <row r="122">
      <c r="A122"/>
    </row>
    <row r="123">
      <c r="A123"/>
    </row>
    <row r="124">
      <c r="A124"/>
    </row>
    <row r="125">
      <c r="A125"/>
    </row>
    <row r="126">
      <c r="A126"/>
    </row>
    <row r="127">
      <c r="A127"/>
    </row>
    <row r="128">
      <c r="A128"/>
    </row>
    <row r="129">
      <c r="A129"/>
    </row>
    <row r="130">
      <c r="A130"/>
    </row>
    <row r="131">
      <c r="A131"/>
    </row>
    <row r="132">
      <c r="A132"/>
    </row>
    <row r="133">
      <c r="A133"/>
    </row>
    <row r="145" ht="15" customHeight="true"/>
    <row r="146" ht="15" customHeight="true"/>
    <row r="147" ht="15" customHeight="true"/>
    <row r="148" ht="15" customHeight="true"/>
    <row r="149" ht="15" customHeight="true"/>
    <row r="150" ht="15" customHeight="true"/>
    <row r="151" ht="15" customHeight="true"/>
    <row r="152" ht="15" customHeight="true"/>
    <row r="153" ht="15" customHeight="true"/>
    <row r="154" ht="15" customHeight="true"/>
    <row r="155" ht="15" customHeight="true"/>
    <row r="156" ht="15" customHeight="true"/>
    <row r="157" ht="15" customHeight="true"/>
    <row r="158" ht="15" customHeight="true"/>
    <row r="159" ht="15" customHeight="true"/>
    <row r="160" ht="15" customHeight="true"/>
    <row r="161" ht="15" customHeight="true"/>
    <row r="162" ht="15" customHeight="true"/>
    <row r="163" ht="15" customHeight="true"/>
    <row r="164" ht="15" customHeight="true"/>
    <row r="165" ht="15" customHeight="true"/>
    <row r="166" ht="15" customHeight="true"/>
    <row r="167" ht="15" customHeight="true"/>
    <row r="168" ht="15" customHeight="true"/>
    <row r="169" ht="15" customHeight="true"/>
    <row r="170" ht="15" customHeight="true"/>
    <row r="171" ht="15" customHeight="true"/>
    <row r="172" ht="15" customHeight="true"/>
    <row r="175" ht="15" customHeight="true"/>
    <row r="176" ht="15" customHeight="true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E132"/>
  <sheetViews>
    <sheetView workbookViewId="0">
      <pane xSplit="2" ySplit="1" topLeftCell="C30" activePane="bottomRight" state="frozen"/>
      <selection pane="topRight" activeCell="D1" sqref="D1"/>
      <selection pane="bottomLeft" activeCell="A2" sqref="A2"/>
      <selection pane="bottomRight" activeCell="B47" sqref="B47"/>
    </sheetView>
  </sheetViews>
  <sheetFormatPr baseColWidth="10" defaultColWidth="8.83203125" defaultRowHeight="13"/>
  <cols>
    <col min="1" max="1" width="12.5" style="161" customWidth="true"/>
    <col min="2" max="2" width="18.5" customWidth="true"/>
    <col min="3" max="3" width="18.5" style="169" bestFit="true" customWidth="true"/>
    <col min="4" max="4" width="20.33203125" style="169" customWidth="true"/>
    <col min="5" max="5" width="13.5" style="169" customWidth="true"/>
  </cols>
  <sheetData>
    <row r="1" s="157" customFormat="true" ht="28">
      <c r="A1" s="159" t="s">
        <v>22</v>
      </c>
      <c r="B1" s="160" t="s">
        <v>0</v>
      </c>
      <c r="C1" s="170" t="s">
        <v>280</v>
      </c>
      <c r="D1" s="170" t="s">
        <v>281</v>
      </c>
      <c r="E1" s="165" t="s">
        <v>12</v>
      </c>
    </row>
    <row r="2">
      <c r="A2" s="161">
        <v>1</v>
      </c>
      <c r="B2" s="162" t="s">
        <v>175</v>
      </c>
      <c r="C2" s="252">
        <v>0</v>
      </c>
      <c r="D2" s="252">
        <v>0</v>
      </c>
      <c r="E2" s="167">
        <f>SUM(C2:D2)</f>
        <v>0</v>
      </c>
    </row>
    <row r="3">
      <c r="A3" s="161">
        <f>A2+1</f>
        <v>2</v>
      </c>
      <c r="B3" s="161" t="s">
        <v>176</v>
      </c>
      <c r="C3" s="252">
        <v>0</v>
      </c>
      <c r="D3" s="252">
        <v>0</v>
      </c>
      <c r="E3" s="167">
        <f>SUM(C3:D3)</f>
        <v>0</v>
      </c>
    </row>
    <row r="4">
      <c r="A4" s="161">
        <f t="shared" ref="A4:A53" si="0">A3+1</f>
        <v>3</v>
      </c>
      <c r="B4" s="161" t="s">
        <v>177</v>
      </c>
      <c r="C4" s="252">
        <v>0</v>
      </c>
      <c r="D4" s="252">
        <v>0</v>
      </c>
      <c r="E4" s="167">
        <f t="shared" ref="E4:E55" si="1">SUM(C4:D4)</f>
        <v>0</v>
      </c>
    </row>
    <row r="5">
      <c r="A5" s="161">
        <f t="shared" si="0"/>
        <v>4</v>
      </c>
      <c r="B5" s="161" t="s">
        <v>220</v>
      </c>
      <c r="C5" s="252">
        <v>0</v>
      </c>
      <c r="D5" s="252">
        <v>0</v>
      </c>
      <c r="E5" s="167">
        <f t="shared" si="1"/>
        <v>0</v>
      </c>
    </row>
    <row r="6">
      <c r="A6" s="161">
        <f t="shared" si="0"/>
        <v>5</v>
      </c>
      <c r="B6" s="161" t="s">
        <v>221</v>
      </c>
      <c r="C6" s="252">
        <v>0</v>
      </c>
      <c r="D6" s="252">
        <v>0</v>
      </c>
      <c r="E6" s="167">
        <f t="shared" si="1"/>
        <v>0</v>
      </c>
    </row>
    <row r="7">
      <c r="A7" s="161">
        <f t="shared" si="0"/>
        <v>6</v>
      </c>
      <c r="B7" s="161" t="s">
        <v>178</v>
      </c>
      <c r="C7" s="252">
        <v>0</v>
      </c>
      <c r="D7" s="252">
        <v>0</v>
      </c>
      <c r="E7" s="167">
        <f t="shared" si="1"/>
        <v>0</v>
      </c>
    </row>
    <row r="8">
      <c r="A8" s="161">
        <f t="shared" si="0"/>
        <v>7</v>
      </c>
      <c r="B8" s="161" t="s">
        <v>222</v>
      </c>
      <c r="C8" s="252">
        <v>0</v>
      </c>
      <c r="D8" s="252">
        <v>0</v>
      </c>
      <c r="E8" s="167">
        <f t="shared" si="1"/>
        <v>0</v>
      </c>
    </row>
    <row r="9">
      <c r="A9" s="161">
        <f t="shared" si="0"/>
        <v>8</v>
      </c>
      <c r="B9" t="s">
        <v>179</v>
      </c>
      <c r="C9" s="252">
        <v>0</v>
      </c>
      <c r="D9" s="252">
        <v>0</v>
      </c>
      <c r="E9" s="167">
        <f t="shared" si="1"/>
        <v>0</v>
      </c>
    </row>
    <row r="10">
      <c r="A10" s="161">
        <f t="shared" si="0"/>
        <v>9</v>
      </c>
      <c r="B10" s="161" t="s">
        <v>180</v>
      </c>
      <c r="C10" s="252">
        <v>0</v>
      </c>
      <c r="D10" s="253">
        <v>1.74E-4</v>
      </c>
      <c r="E10" s="167">
        <f t="shared" si="1"/>
        <v>1.74E-4</v>
      </c>
    </row>
    <row r="11">
      <c r="A11" s="161">
        <f t="shared" si="0"/>
        <v>10</v>
      </c>
      <c r="B11" s="161" t="s">
        <v>223</v>
      </c>
      <c r="C11" s="252">
        <v>0</v>
      </c>
      <c r="D11" s="253">
        <v>3.34E-7</v>
      </c>
      <c r="E11" s="167">
        <f t="shared" si="1"/>
        <v>3.34E-7</v>
      </c>
    </row>
    <row r="12">
      <c r="A12" s="161">
        <f t="shared" si="0"/>
        <v>11</v>
      </c>
      <c r="B12" s="161" t="s">
        <v>181</v>
      </c>
      <c r="C12" s="252">
        <v>0</v>
      </c>
      <c r="D12" s="252">
        <v>0</v>
      </c>
      <c r="E12" s="167">
        <f t="shared" si="1"/>
        <v>0</v>
      </c>
    </row>
    <row r="13">
      <c r="A13" s="161">
        <f t="shared" si="0"/>
        <v>12</v>
      </c>
      <c r="B13" s="161" t="s">
        <v>224</v>
      </c>
      <c r="C13" s="252">
        <v>0</v>
      </c>
      <c r="D13" s="252">
        <v>0</v>
      </c>
      <c r="E13" s="167">
        <f t="shared" si="1"/>
        <v>0</v>
      </c>
    </row>
    <row r="14">
      <c r="A14" s="161">
        <f t="shared" si="0"/>
        <v>13</v>
      </c>
      <c r="B14" s="161" t="s">
        <v>182</v>
      </c>
      <c r="C14" s="252">
        <v>0</v>
      </c>
      <c r="D14" s="253">
        <v>1.0899999999999999E-6</v>
      </c>
      <c r="E14" s="167">
        <f t="shared" si="1"/>
        <v>1.0899999999999999E-6</v>
      </c>
    </row>
    <row r="15">
      <c r="A15" s="161">
        <f t="shared" si="0"/>
        <v>14</v>
      </c>
      <c r="B15" s="161" t="s">
        <v>183</v>
      </c>
      <c r="C15" s="253">
        <v>2.7300000000000001E-6</v>
      </c>
      <c r="D15" s="253">
        <v>1.6500000000000001E-6</v>
      </c>
      <c r="E15" s="167">
        <f t="shared" si="1"/>
        <v>4.3800000000000004E-6</v>
      </c>
    </row>
    <row r="16">
      <c r="A16" s="161">
        <f t="shared" si="0"/>
        <v>15</v>
      </c>
      <c r="B16" s="161" t="s">
        <v>184</v>
      </c>
      <c r="C16" s="253">
        <v>2.3099999999999999E-7</v>
      </c>
      <c r="D16" s="253">
        <v>1.46E-6</v>
      </c>
      <c r="E16" s="167">
        <f>SUM(C16:D16)</f>
        <v>1.691E-6</v>
      </c>
    </row>
    <row r="17">
      <c r="A17" s="161">
        <f t="shared" si="0"/>
        <v>16</v>
      </c>
      <c r="B17" s="161" t="s">
        <v>185</v>
      </c>
      <c r="C17" s="253">
        <v>8.1400000000000001E-8</v>
      </c>
      <c r="D17" s="253">
        <v>7.5700000000000004E-6</v>
      </c>
      <c r="E17" s="167">
        <f t="shared" si="1"/>
        <v>7.651400000000001E-6</v>
      </c>
    </row>
    <row r="18">
      <c r="A18" s="161">
        <f t="shared" si="0"/>
        <v>17</v>
      </c>
      <c r="B18" s="161" t="s">
        <v>186</v>
      </c>
      <c r="C18" s="253">
        <v>2.19E-5</v>
      </c>
      <c r="D18" s="253">
        <v>4.5499999999999998E-7</v>
      </c>
      <c r="E18" s="167">
        <f t="shared" si="1"/>
        <v>2.2355000000000002E-5</v>
      </c>
    </row>
    <row r="19">
      <c r="A19" s="161">
        <f t="shared" si="0"/>
        <v>18</v>
      </c>
      <c r="B19" s="162" t="s">
        <v>187</v>
      </c>
      <c r="C19" s="253">
        <v>3.5800000000000003E-5</v>
      </c>
      <c r="D19" s="253">
        <v>1.59</v>
      </c>
      <c r="E19" s="167">
        <f t="shared" si="1"/>
        <v>1.5900358000000001</v>
      </c>
    </row>
    <row r="20">
      <c r="A20" s="161">
        <f t="shared" si="0"/>
        <v>19</v>
      </c>
      <c r="B20" s="161" t="s">
        <v>188</v>
      </c>
      <c r="C20" s="253">
        <v>1.11E-5</v>
      </c>
      <c r="D20" s="252">
        <v>0</v>
      </c>
      <c r="E20" s="167">
        <f t="shared" si="1"/>
        <v>1.11E-5</v>
      </c>
    </row>
    <row r="21">
      <c r="A21" s="161">
        <f t="shared" si="0"/>
        <v>20</v>
      </c>
      <c r="B21" s="161" t="s">
        <v>189</v>
      </c>
      <c r="C21" s="253">
        <v>6.8100000000000001E-3</v>
      </c>
      <c r="D21" s="253">
        <v>1.6000000000000001E-3</v>
      </c>
      <c r="E21" s="167">
        <f t="shared" si="1"/>
        <v>8.4100000000000008E-3</v>
      </c>
    </row>
    <row r="22">
      <c r="A22" s="161">
        <f t="shared" si="0"/>
        <v>21</v>
      </c>
      <c r="B22" s="161" t="s">
        <v>190</v>
      </c>
      <c r="C22" s="253">
        <v>2.65E-6</v>
      </c>
      <c r="D22" s="253">
        <v>2.8600000000000001E-4</v>
      </c>
      <c r="E22" s="167">
        <f>SUM(C22:D22)</f>
        <v>2.8865E-4</v>
      </c>
    </row>
    <row r="23">
      <c r="A23" s="161">
        <f t="shared" si="0"/>
        <v>22</v>
      </c>
      <c r="B23" s="161" t="s">
        <v>191</v>
      </c>
      <c r="C23" s="253">
        <v>3.2400000000000001E-5</v>
      </c>
      <c r="D23" s="253">
        <v>2.3599999999999999E-6</v>
      </c>
      <c r="E23" s="167">
        <f t="shared" si="1"/>
        <v>3.4759999999999999E-5</v>
      </c>
    </row>
    <row r="24">
      <c r="A24" s="161">
        <f t="shared" si="0"/>
        <v>23</v>
      </c>
      <c r="B24" s="161" t="s">
        <v>192</v>
      </c>
      <c r="C24" s="252">
        <v>0</v>
      </c>
      <c r="D24" s="252">
        <v>0</v>
      </c>
      <c r="E24" s="167">
        <f t="shared" si="1"/>
        <v>0</v>
      </c>
    </row>
    <row r="25">
      <c r="A25" s="161">
        <f t="shared" si="0"/>
        <v>24</v>
      </c>
      <c r="B25" s="161" t="s">
        <v>225</v>
      </c>
      <c r="C25" s="253">
        <v>6.1699999999999998E-7</v>
      </c>
      <c r="D25" s="253">
        <v>3.8099999999999998E-7</v>
      </c>
      <c r="E25" s="167">
        <f t="shared" si="1"/>
        <v>9.9800000000000002E-7</v>
      </c>
    </row>
    <row r="26">
      <c r="A26" s="161">
        <f t="shared" si="0"/>
        <v>25</v>
      </c>
      <c r="B26" s="161" t="s">
        <v>226</v>
      </c>
      <c r="C26" s="253">
        <v>3.0899999999999999E-5</v>
      </c>
      <c r="D26" s="253">
        <v>1.35E-6</v>
      </c>
      <c r="E26" s="167">
        <f t="shared" si="1"/>
        <v>3.2249999999999998E-5</v>
      </c>
    </row>
    <row r="27">
      <c r="A27" s="161">
        <f t="shared" si="0"/>
        <v>26</v>
      </c>
      <c r="B27" s="161" t="s">
        <v>227</v>
      </c>
      <c r="C27" s="253">
        <v>2.9099999999999999E-5</v>
      </c>
      <c r="D27" s="253">
        <v>2.6800000000000001E-4</v>
      </c>
      <c r="E27" s="167">
        <f>SUM(C27:D27)</f>
        <v>2.9710000000000001E-4</v>
      </c>
    </row>
    <row r="28">
      <c r="A28" s="161">
        <f t="shared" si="0"/>
        <v>27</v>
      </c>
      <c r="B28" s="161" t="s">
        <v>228</v>
      </c>
      <c r="C28" s="253">
        <v>6.3199999999999996E-6</v>
      </c>
      <c r="D28" s="253">
        <v>1.4899999999999999E-4</v>
      </c>
      <c r="E28" s="167">
        <f t="shared" si="1"/>
        <v>1.5532E-4</v>
      </c>
    </row>
    <row r="29">
      <c r="A29" s="161">
        <f t="shared" si="0"/>
        <v>28</v>
      </c>
      <c r="B29" s="161" t="s">
        <v>197</v>
      </c>
      <c r="C29" s="253">
        <v>1.5399999999999999E-8</v>
      </c>
      <c r="D29" s="253">
        <v>4.4200000000000001E-7</v>
      </c>
      <c r="E29" s="167">
        <f>SUM(C29:D29)</f>
        <v>4.5740000000000001E-7</v>
      </c>
    </row>
    <row r="30">
      <c r="A30" s="161">
        <f t="shared" si="0"/>
        <v>29</v>
      </c>
      <c r="B30" s="162" t="s">
        <v>198</v>
      </c>
      <c r="C30" s="253">
        <v>3.01E-5</v>
      </c>
      <c r="D30" s="253">
        <v>4.4399999999999998E-6</v>
      </c>
      <c r="E30" s="167">
        <f t="shared" si="1"/>
        <v>3.4539999999999998E-5</v>
      </c>
    </row>
    <row r="31">
      <c r="A31" s="161">
        <f t="shared" si="0"/>
        <v>30</v>
      </c>
      <c r="B31" s="161" t="s">
        <v>199</v>
      </c>
      <c r="C31" s="253">
        <v>2.88E-6</v>
      </c>
      <c r="D31" s="253">
        <v>9.7600000000000001E-5</v>
      </c>
      <c r="E31" s="167">
        <f t="shared" si="1"/>
        <v>1.0048E-4</v>
      </c>
    </row>
    <row r="32">
      <c r="A32" s="161">
        <f t="shared" si="0"/>
        <v>31</v>
      </c>
      <c r="B32" s="161" t="s">
        <v>229</v>
      </c>
      <c r="C32" s="253">
        <v>1.29E-5</v>
      </c>
      <c r="D32" s="253">
        <v>2.5600000000000002E-7</v>
      </c>
      <c r="E32" s="167">
        <f t="shared" si="1"/>
        <v>1.3156000000000001E-5</v>
      </c>
    </row>
    <row r="33">
      <c r="A33" s="161">
        <f t="shared" si="0"/>
        <v>32</v>
      </c>
      <c r="B33" s="161" t="s">
        <v>230</v>
      </c>
      <c r="C33" s="253">
        <v>2.9700000000000001E-4</v>
      </c>
      <c r="D33" s="253">
        <v>3.7199999999999999E-4</v>
      </c>
      <c r="E33" s="167">
        <f t="shared" si="1"/>
        <v>6.69E-4</v>
      </c>
    </row>
    <row r="34">
      <c r="A34" s="161">
        <f t="shared" si="0"/>
        <v>33</v>
      </c>
      <c r="B34" s="161" t="s">
        <v>231</v>
      </c>
      <c r="C34" s="253">
        <v>2.1199999999999999E-3</v>
      </c>
      <c r="D34" s="253">
        <v>8.7200000000000005E-4</v>
      </c>
      <c r="E34" s="167">
        <f t="shared" si="1"/>
        <v>2.9919999999999999E-3</v>
      </c>
    </row>
    <row r="35">
      <c r="A35" s="161">
        <f t="shared" si="0"/>
        <v>34</v>
      </c>
      <c r="B35" s="161" t="s">
        <v>232</v>
      </c>
      <c r="C35" s="253">
        <v>1.1400000000000001E-4</v>
      </c>
      <c r="D35" s="253">
        <v>7.2799999999999995E-7</v>
      </c>
      <c r="E35" s="167">
        <f t="shared" si="1"/>
        <v>1.14728E-4</v>
      </c>
    </row>
    <row r="36">
      <c r="A36" s="161">
        <f t="shared" si="0"/>
        <v>35</v>
      </c>
      <c r="B36" s="162" t="s">
        <v>233</v>
      </c>
      <c r="C36" s="252">
        <v>0</v>
      </c>
      <c r="D36" s="252">
        <v>0</v>
      </c>
      <c r="E36" s="167">
        <f t="shared" si="1"/>
        <v>0</v>
      </c>
    </row>
    <row r="37">
      <c r="A37" s="161">
        <f t="shared" si="0"/>
        <v>36</v>
      </c>
      <c r="B37" s="161" t="s">
        <v>205</v>
      </c>
      <c r="C37" s="253">
        <v>4.1399999999999996E-3</v>
      </c>
      <c r="D37" s="253">
        <v>5.9999999999999995E-8</v>
      </c>
      <c r="E37" s="167">
        <f t="shared" si="1"/>
        <v>4.1400599999999992E-3</v>
      </c>
    </row>
    <row r="38">
      <c r="A38" s="161">
        <f t="shared" si="0"/>
        <v>37</v>
      </c>
      <c r="B38" s="161" t="s">
        <v>206</v>
      </c>
      <c r="C38" s="252">
        <v>0</v>
      </c>
      <c r="D38" s="252">
        <v>0</v>
      </c>
      <c r="E38" s="167">
        <f t="shared" si="1"/>
        <v>0</v>
      </c>
    </row>
    <row r="39">
      <c r="A39" s="161">
        <f t="shared" si="0"/>
        <v>38</v>
      </c>
      <c r="B39" s="161" t="s">
        <v>207</v>
      </c>
      <c r="C39" s="252">
        <v>0</v>
      </c>
      <c r="D39" s="252">
        <v>0</v>
      </c>
      <c r="E39" s="167">
        <f t="shared" si="1"/>
        <v>0</v>
      </c>
    </row>
    <row r="40">
      <c r="A40" s="161">
        <f t="shared" si="0"/>
        <v>39</v>
      </c>
      <c r="B40" t="s">
        <v>208</v>
      </c>
      <c r="C40" s="253">
        <v>8.9400000000000005E-4</v>
      </c>
      <c r="D40" s="252">
        <v>0</v>
      </c>
      <c r="E40" s="167">
        <f t="shared" si="1"/>
        <v>8.9400000000000005E-4</v>
      </c>
    </row>
    <row r="41">
      <c r="A41" s="161">
        <f t="shared" si="0"/>
        <v>40</v>
      </c>
      <c r="B41" s="161" t="s">
        <v>209</v>
      </c>
      <c r="C41" s="252">
        <v>0</v>
      </c>
      <c r="D41" s="252">
        <v>0</v>
      </c>
      <c r="E41" s="167">
        <f t="shared" si="1"/>
        <v>0</v>
      </c>
    </row>
    <row r="42">
      <c r="A42" s="161">
        <f t="shared" si="0"/>
        <v>41</v>
      </c>
      <c r="B42" s="161" t="s">
        <v>210</v>
      </c>
      <c r="C42" s="252">
        <v>0</v>
      </c>
      <c r="D42" s="253">
        <v>1.6499999999999999E-8</v>
      </c>
      <c r="E42" s="167">
        <f t="shared" si="1"/>
        <v>1.6499999999999999E-8</v>
      </c>
    </row>
    <row r="43">
      <c r="A43" s="161">
        <f t="shared" si="0"/>
        <v>42</v>
      </c>
      <c r="B43" s="161" t="s">
        <v>211</v>
      </c>
      <c r="C43" s="252">
        <v>0</v>
      </c>
      <c r="D43" s="252">
        <v>0</v>
      </c>
      <c r="E43" s="167">
        <f t="shared" si="1"/>
        <v>0</v>
      </c>
    </row>
    <row r="44">
      <c r="A44" s="161">
        <f t="shared" si="0"/>
        <v>43</v>
      </c>
      <c r="B44" s="161" t="s">
        <v>212</v>
      </c>
      <c r="C44" s="252">
        <v>0</v>
      </c>
      <c r="D44" s="252">
        <v>0</v>
      </c>
      <c r="E44" s="167">
        <f t="shared" si="1"/>
        <v>0</v>
      </c>
    </row>
    <row r="45">
      <c r="A45" s="161">
        <f t="shared" si="0"/>
        <v>44</v>
      </c>
      <c r="B45" s="161" t="s">
        <v>213</v>
      </c>
      <c r="C45" s="252">
        <v>0</v>
      </c>
      <c r="D45" s="253">
        <v>2.3800000000000001E-6</v>
      </c>
      <c r="E45" s="167">
        <f t="shared" si="1"/>
        <v>2.3800000000000001E-6</v>
      </c>
    </row>
    <row r="46">
      <c r="A46" s="161">
        <f t="shared" si="0"/>
        <v>45</v>
      </c>
      <c r="B46" s="161" t="s">
        <v>214</v>
      </c>
      <c r="C46" s="252">
        <v>0</v>
      </c>
      <c r="D46" s="253">
        <v>8.16E-7</v>
      </c>
      <c r="E46" s="167">
        <f t="shared" si="1"/>
        <v>8.16E-7</v>
      </c>
    </row>
    <row r="47">
      <c r="A47" s="161">
        <f t="shared" si="0"/>
        <v>46</v>
      </c>
      <c r="B47" s="161" t="s">
        <v>304</v>
      </c>
      <c r="C47" s="252">
        <v>0</v>
      </c>
      <c r="D47" s="253">
        <v>1.19E-5</v>
      </c>
      <c r="E47" s="167">
        <f t="shared" si="1"/>
        <v>1.19E-5</v>
      </c>
    </row>
    <row r="48">
      <c r="A48" s="161">
        <f t="shared" si="0"/>
        <v>47</v>
      </c>
      <c r="B48" s="161" t="s">
        <v>215</v>
      </c>
      <c r="C48" s="252">
        <v>0</v>
      </c>
      <c r="D48" s="253">
        <v>5.9100000000000002E-6</v>
      </c>
      <c r="E48" s="167">
        <f t="shared" si="1"/>
        <v>5.9100000000000002E-6</v>
      </c>
    </row>
    <row r="49">
      <c r="A49" s="161">
        <f t="shared" si="0"/>
        <v>48</v>
      </c>
      <c r="B49" s="161" t="s">
        <v>216</v>
      </c>
      <c r="C49" s="252">
        <v>0</v>
      </c>
      <c r="D49" s="253">
        <v>5.9100000000000002E-6</v>
      </c>
      <c r="E49" s="167">
        <f t="shared" si="1"/>
        <v>5.9100000000000002E-6</v>
      </c>
    </row>
    <row r="50">
      <c r="A50" s="161">
        <f t="shared" si="0"/>
        <v>49</v>
      </c>
      <c r="B50" s="161" t="s">
        <v>217</v>
      </c>
      <c r="C50" s="252">
        <v>0</v>
      </c>
      <c r="D50" s="253">
        <v>2.6599999999999999E-6</v>
      </c>
      <c r="E50" s="167">
        <f t="shared" si="1"/>
        <v>2.6599999999999999E-6</v>
      </c>
    </row>
    <row r="51">
      <c r="A51" s="161">
        <f t="shared" si="0"/>
        <v>50</v>
      </c>
      <c r="B51" s="161" t="s">
        <v>218</v>
      </c>
      <c r="C51" s="252">
        <v>0</v>
      </c>
      <c r="D51" s="252">
        <v>0</v>
      </c>
      <c r="E51" s="167">
        <f t="shared" si="1"/>
        <v>0</v>
      </c>
    </row>
    <row r="52">
      <c r="A52" s="161">
        <f t="shared" si="0"/>
        <v>51</v>
      </c>
      <c r="B52" s="161" t="s">
        <v>72</v>
      </c>
      <c r="C52" s="252">
        <v>0</v>
      </c>
      <c r="D52" s="252">
        <v>0</v>
      </c>
      <c r="E52" s="167">
        <f t="shared" si="1"/>
        <v>0</v>
      </c>
    </row>
    <row r="53">
      <c r="A53" s="161">
        <f t="shared" si="0"/>
        <v>52</v>
      </c>
      <c r="B53" s="136" t="s">
        <v>219</v>
      </c>
      <c r="C53" s="252">
        <v>0</v>
      </c>
      <c r="D53" s="252">
        <v>0</v>
      </c>
      <c r="E53" s="167">
        <f>SUM(C53:D53)</f>
        <v>0</v>
      </c>
    </row>
    <row r="54">
      <c r="A54" s="161">
        <v>53</v>
      </c>
      <c r="B54" s="136" t="s">
        <v>71</v>
      </c>
      <c r="C54" s="252">
        <v>0</v>
      </c>
      <c r="D54" s="252">
        <v>0</v>
      </c>
      <c r="E54" s="167">
        <f>SUM(C54:D54)</f>
        <v>0</v>
      </c>
    </row>
    <row r="55" ht="14" thickBot="true">
      <c r="A55" s="161">
        <v>54</v>
      </c>
      <c r="B55" s="161" t="s">
        <v>73</v>
      </c>
      <c r="C55" s="254">
        <v>0</v>
      </c>
      <c r="D55" s="254">
        <v>0</v>
      </c>
      <c r="E55" s="167">
        <f t="shared" si="1"/>
        <v>0</v>
      </c>
    </row>
    <row r="56">
      <c r="B56" s="137"/>
    </row>
    <row r="66">
      <c r="A66"/>
    </row>
    <row r="67">
      <c r="A67"/>
    </row>
    <row r="68">
      <c r="A68"/>
    </row>
    <row r="69">
      <c r="A69"/>
    </row>
    <row r="70">
      <c r="A70"/>
    </row>
    <row r="71">
      <c r="A71"/>
    </row>
    <row r="72">
      <c r="A72"/>
    </row>
    <row r="73">
      <c r="A73"/>
    </row>
    <row r="74">
      <c r="A74"/>
    </row>
    <row r="75">
      <c r="A75"/>
    </row>
    <row r="76">
      <c r="A76"/>
    </row>
    <row r="77">
      <c r="A77"/>
    </row>
    <row r="78">
      <c r="A78"/>
    </row>
    <row r="79">
      <c r="A79"/>
    </row>
    <row r="80">
      <c r="A80"/>
    </row>
    <row r="81">
      <c r="A81"/>
    </row>
    <row r="82">
      <c r="A82"/>
    </row>
    <row r="83">
      <c r="A83"/>
    </row>
    <row r="84">
      <c r="A84"/>
    </row>
    <row r="85">
      <c r="A85"/>
    </row>
    <row r="86">
      <c r="A86"/>
    </row>
    <row r="87">
      <c r="A87"/>
    </row>
    <row r="88">
      <c r="A88"/>
    </row>
    <row r="89">
      <c r="A89"/>
    </row>
    <row r="90">
      <c r="A90"/>
    </row>
    <row r="91">
      <c r="A91"/>
    </row>
    <row r="92">
      <c r="A92"/>
    </row>
    <row r="93">
      <c r="A93"/>
    </row>
    <row r="94">
      <c r="A94"/>
    </row>
    <row r="95">
      <c r="A95"/>
    </row>
    <row r="96">
      <c r="A96"/>
    </row>
    <row r="97">
      <c r="A97"/>
    </row>
    <row r="98">
      <c r="A98"/>
    </row>
    <row r="99">
      <c r="A99"/>
    </row>
    <row r="100">
      <c r="A100"/>
    </row>
    <row r="101">
      <c r="A101"/>
    </row>
    <row r="102">
      <c r="A102"/>
    </row>
    <row r="103">
      <c r="A103"/>
    </row>
    <row r="104">
      <c r="A104"/>
    </row>
    <row r="105">
      <c r="A105"/>
    </row>
    <row r="106">
      <c r="A106"/>
    </row>
    <row r="107">
      <c r="A107"/>
    </row>
    <row r="108">
      <c r="A108"/>
    </row>
    <row r="109">
      <c r="A109"/>
    </row>
    <row r="110">
      <c r="A110"/>
    </row>
    <row r="111">
      <c r="A111"/>
    </row>
    <row r="112">
      <c r="A112"/>
    </row>
    <row r="113">
      <c r="A113"/>
    </row>
    <row r="114">
      <c r="A114"/>
    </row>
    <row r="115">
      <c r="A115"/>
    </row>
    <row r="116">
      <c r="A116"/>
    </row>
    <row r="117">
      <c r="A117"/>
    </row>
    <row r="118">
      <c r="A118"/>
    </row>
    <row r="119">
      <c r="A119"/>
    </row>
    <row r="120">
      <c r="A120"/>
    </row>
    <row r="121">
      <c r="A121"/>
    </row>
    <row r="122">
      <c r="A122"/>
    </row>
    <row r="123">
      <c r="A123"/>
    </row>
    <row r="124">
      <c r="A124"/>
    </row>
    <row r="125">
      <c r="A125"/>
    </row>
    <row r="126">
      <c r="A126"/>
    </row>
    <row r="127">
      <c r="A127"/>
    </row>
    <row r="128">
      <c r="A128"/>
    </row>
    <row r="129">
      <c r="A129"/>
    </row>
    <row r="130">
      <c r="A130"/>
    </row>
    <row r="131">
      <c r="A131"/>
    </row>
    <row r="132">
      <c r="A132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7"/>
  <sheetViews>
    <sheetView topLeftCell="A29" workbookViewId="0">
      <selection activeCell="E47" sqref="E47"/>
    </sheetView>
  </sheetViews>
  <sheetFormatPr baseColWidth="10" defaultColWidth="11.5" defaultRowHeight="13"/>
  <cols>
    <col min="1" max="1" width="17.33203125" bestFit="true" customWidth="true"/>
    <col min="5" max="5" width="24.5" customWidth="true"/>
    <col min="6" max="6" width="8.1640625" bestFit="true" customWidth="true"/>
    <col min="7" max="7" width="22.1640625" customWidth="true"/>
    <col min="8" max="8" width="8.6640625" bestFit="true" customWidth="true"/>
    <col min="9" max="9" width="8.83203125" bestFit="true" customWidth="true"/>
    <col min="10" max="10" width="8.83203125" style="120" bestFit="true" customWidth="true"/>
    <col min="11" max="11" width="8.6640625" style="120" bestFit="true" customWidth="true"/>
    <col min="12" max="12" width="14.6640625" customWidth="true"/>
    <col min="13" max="13" width="16.33203125" customWidth="true"/>
    <col min="14" max="14" width="13.83203125" bestFit="true" customWidth="true"/>
    <col min="15" max="15" width="13.6640625" bestFit="true" customWidth="true"/>
    <col min="16" max="16" width="13.5" bestFit="true" customWidth="true"/>
    <col min="17" max="17" width="12.83203125" customWidth="true"/>
    <col min="18" max="18" width="14" bestFit="true" customWidth="true"/>
    <col min="19" max="20" width="14.1640625" bestFit="true" customWidth="true"/>
    <col min="21" max="21" width="14" bestFit="true" customWidth="true"/>
    <col min="22" max="22" width="8.6640625" bestFit="true" customWidth="true"/>
    <col min="23" max="23" width="8.83203125" bestFit="true" customWidth="true"/>
    <col min="24" max="24" width="14" bestFit="true" customWidth="true"/>
    <col min="25" max="25" width="21.33203125" style="3" bestFit="true" customWidth="true"/>
    <col min="26" max="26" width="13.6640625" bestFit="true" customWidth="true"/>
    <col min="27" max="27" width="13.83203125" bestFit="true" customWidth="true"/>
    <col min="28" max="28" width="19" bestFit="true" customWidth="true"/>
    <col min="29" max="29" width="26.33203125" style="3" bestFit="true" customWidth="true"/>
    <col min="30" max="30" width="14.1640625" bestFit="true" customWidth="true"/>
    <col min="31" max="31" width="14.33203125" bestFit="true" customWidth="true"/>
    <col min="32" max="32" width="19.5" bestFit="true" customWidth="true"/>
    <col min="33" max="33" width="26.83203125" style="3" bestFit="true" customWidth="true"/>
    <col min="34" max="34" width="24" bestFit="true" customWidth="true"/>
    <col min="35" max="35" width="30" bestFit="true" customWidth="true"/>
    <col min="36" max="36" width="19.1640625" bestFit="true" customWidth="true"/>
    <col min="37" max="37" width="25.5" bestFit="true" customWidth="true"/>
    <col min="38" max="38" width="31.5" bestFit="true" customWidth="true"/>
    <col min="39" max="39" width="20.6640625" bestFit="true" customWidth="true"/>
    <col min="40" max="40" width="25" bestFit="true" customWidth="true"/>
    <col min="41" max="41" width="31" bestFit="true" customWidth="true"/>
    <col min="42" max="42" width="20.1640625" bestFit="true" customWidth="true"/>
  </cols>
  <sheetData>
    <row r="1" s="171" customFormat="true" ht="14" thickBot="true">
      <c r="D1" s="172" t="s">
        <v>8</v>
      </c>
      <c r="E1" s="172" t="s">
        <v>0</v>
      </c>
      <c r="F1" s="173" t="s">
        <v>100</v>
      </c>
      <c r="G1" s="174" t="s">
        <v>85</v>
      </c>
      <c r="H1" s="174" t="s">
        <v>86</v>
      </c>
      <c r="I1" s="174" t="s">
        <v>87</v>
      </c>
      <c r="J1" s="174" t="s">
        <v>88</v>
      </c>
      <c r="K1" s="174" t="s">
        <v>89</v>
      </c>
      <c r="L1" s="175" t="s">
        <v>90</v>
      </c>
      <c r="M1" s="175" t="s">
        <v>94</v>
      </c>
      <c r="N1" s="175" t="s">
        <v>93</v>
      </c>
      <c r="O1" s="175" t="s">
        <v>91</v>
      </c>
      <c r="P1" s="175" t="s">
        <v>92</v>
      </c>
      <c r="Q1" s="176" t="s">
        <v>95</v>
      </c>
      <c r="R1" s="176" t="s">
        <v>96</v>
      </c>
      <c r="S1" s="176" t="s">
        <v>97</v>
      </c>
      <c r="T1" s="176" t="s">
        <v>98</v>
      </c>
      <c r="U1" s="176" t="s">
        <v>99</v>
      </c>
      <c r="V1" s="174" t="s">
        <v>101</v>
      </c>
      <c r="W1" s="174" t="s">
        <v>102</v>
      </c>
      <c r="X1" s="174" t="s">
        <v>103</v>
      </c>
      <c r="Y1" s="174" t="s">
        <v>134</v>
      </c>
      <c r="Z1" s="175" t="s">
        <v>104</v>
      </c>
      <c r="AA1" s="175" t="s">
        <v>105</v>
      </c>
      <c r="AB1" s="175" t="s">
        <v>106</v>
      </c>
      <c r="AC1" s="177" t="s">
        <v>135</v>
      </c>
      <c r="AD1" s="176" t="s">
        <v>107</v>
      </c>
      <c r="AE1" s="176" t="s">
        <v>108</v>
      </c>
      <c r="AF1" s="176" t="s">
        <v>109</v>
      </c>
      <c r="AG1" s="176" t="s">
        <v>136</v>
      </c>
      <c r="AH1" s="174" t="s">
        <v>110</v>
      </c>
      <c r="AI1" s="174" t="s">
        <v>112</v>
      </c>
      <c r="AJ1" s="174" t="s">
        <v>111</v>
      </c>
      <c r="AK1" s="175" t="s">
        <v>116</v>
      </c>
      <c r="AL1" s="175" t="s">
        <v>117</v>
      </c>
      <c r="AM1" s="175" t="s">
        <v>118</v>
      </c>
      <c r="AN1" s="176" t="s">
        <v>113</v>
      </c>
      <c r="AO1" s="176" t="s">
        <v>114</v>
      </c>
      <c r="AP1" s="176" t="s">
        <v>115</v>
      </c>
    </row>
    <row r="2">
      <c r="A2" s="178" t="s">
        <v>75</v>
      </c>
      <c r="B2" s="179">
        <v>1</v>
      </c>
      <c r="D2" s="137">
        <v>1</v>
      </c>
      <c r="E2" s="162" t="s">
        <v>175</v>
      </c>
      <c r="F2" s="180">
        <v>0.995</v>
      </c>
      <c r="G2" s="181">
        <v>1.51265812702237</v>
      </c>
      <c r="H2" s="182">
        <v>0</v>
      </c>
      <c r="I2" s="182">
        <v>0</v>
      </c>
      <c r="J2" s="182">
        <v>0</v>
      </c>
      <c r="K2" s="182">
        <v>0</v>
      </c>
    </row>
    <row r="3">
      <c r="A3" s="178" t="s">
        <v>76</v>
      </c>
      <c r="B3" s="183">
        <v>1</v>
      </c>
      <c r="D3" s="137">
        <v>2</v>
      </c>
      <c r="E3" s="137" t="s">
        <v>176</v>
      </c>
      <c r="F3" s="180">
        <v>0.995</v>
      </c>
      <c r="G3" s="184">
        <v>0.2</v>
      </c>
      <c r="H3" s="182">
        <v>0.2</v>
      </c>
      <c r="I3" s="182">
        <v>0</v>
      </c>
      <c r="J3" s="182">
        <v>0</v>
      </c>
      <c r="K3" s="182">
        <v>0</v>
      </c>
    </row>
    <row r="4">
      <c r="A4" s="178" t="s">
        <v>77</v>
      </c>
      <c r="B4" s="183">
        <v>1</v>
      </c>
      <c r="D4" s="137">
        <v>3</v>
      </c>
      <c r="E4" s="137" t="s">
        <v>177</v>
      </c>
      <c r="F4" s="180">
        <v>0.995</v>
      </c>
      <c r="G4" s="181">
        <v>1.2652000000000001</v>
      </c>
      <c r="H4" s="182">
        <v>0.2</v>
      </c>
      <c r="I4" s="182">
        <v>0.2</v>
      </c>
      <c r="J4" s="182">
        <v>0</v>
      </c>
      <c r="K4" s="182">
        <v>0.1</v>
      </c>
    </row>
    <row r="5">
      <c r="A5" s="178" t="s">
        <v>78</v>
      </c>
      <c r="B5" s="183">
        <v>1</v>
      </c>
      <c r="D5" s="137">
        <v>4</v>
      </c>
      <c r="E5" s="137" t="s">
        <v>220</v>
      </c>
      <c r="F5" s="180">
        <v>0.995</v>
      </c>
      <c r="G5" s="181">
        <v>2.94009620152401</v>
      </c>
      <c r="H5" s="182">
        <v>0.5</v>
      </c>
      <c r="I5" s="182">
        <v>0</v>
      </c>
      <c r="J5" s="182">
        <v>0.5</v>
      </c>
      <c r="K5" s="182">
        <v>0.1</v>
      </c>
    </row>
    <row r="6">
      <c r="A6" s="178" t="s">
        <v>79</v>
      </c>
      <c r="B6" s="183">
        <v>1</v>
      </c>
      <c r="D6" s="137">
        <v>5</v>
      </c>
      <c r="E6" s="137" t="s">
        <v>221</v>
      </c>
      <c r="F6" s="180">
        <v>0.995</v>
      </c>
      <c r="G6" s="184">
        <v>0.2</v>
      </c>
      <c r="H6" s="182">
        <v>0.5</v>
      </c>
      <c r="I6" s="182">
        <v>0</v>
      </c>
      <c r="J6" s="182">
        <v>0.5</v>
      </c>
      <c r="K6" s="185">
        <v>0.1</v>
      </c>
    </row>
    <row r="7">
      <c r="A7" s="178" t="s">
        <v>80</v>
      </c>
      <c r="B7" s="183">
        <v>1</v>
      </c>
      <c r="D7" s="137">
        <v>6</v>
      </c>
      <c r="E7" s="137" t="s">
        <v>178</v>
      </c>
      <c r="F7" s="180">
        <v>0.995</v>
      </c>
      <c r="G7" s="186">
        <v>5</v>
      </c>
      <c r="H7" s="182">
        <v>0.5</v>
      </c>
      <c r="I7" s="182">
        <v>0</v>
      </c>
      <c r="J7" s="182">
        <v>0.5</v>
      </c>
      <c r="K7" s="185">
        <v>0.1</v>
      </c>
    </row>
    <row r="8">
      <c r="A8" s="178" t="s">
        <v>81</v>
      </c>
      <c r="B8" s="183">
        <v>1</v>
      </c>
      <c r="D8" s="137">
        <v>7</v>
      </c>
      <c r="E8" s="137" t="s">
        <v>222</v>
      </c>
      <c r="F8" s="180">
        <v>0.995</v>
      </c>
      <c r="G8" s="186">
        <v>5</v>
      </c>
      <c r="H8" s="182">
        <v>0.5</v>
      </c>
      <c r="I8" s="182">
        <v>0</v>
      </c>
      <c r="J8" s="182">
        <v>0.5</v>
      </c>
      <c r="K8" s="185">
        <v>0.1</v>
      </c>
    </row>
    <row r="9">
      <c r="A9" s="178" t="s">
        <v>82</v>
      </c>
      <c r="B9" s="183">
        <v>0.1</v>
      </c>
      <c r="C9" s="187" t="s">
        <v>149</v>
      </c>
      <c r="D9" s="137">
        <v>8</v>
      </c>
      <c r="E9" s="137" t="s">
        <v>179</v>
      </c>
      <c r="F9" s="180">
        <v>0.995</v>
      </c>
      <c r="G9" s="186">
        <v>5</v>
      </c>
      <c r="H9" s="182">
        <v>0.2</v>
      </c>
      <c r="I9" s="182">
        <v>0.7</v>
      </c>
      <c r="J9" s="182">
        <v>0.5</v>
      </c>
      <c r="K9" s="185">
        <v>0.1</v>
      </c>
    </row>
    <row r="10" ht="14" thickBot="true">
      <c r="A10" s="178" t="s">
        <v>148</v>
      </c>
      <c r="B10" s="188">
        <f>1/3</f>
        <v>0.33333333333333331</v>
      </c>
      <c r="C10" s="187" t="s">
        <v>149</v>
      </c>
      <c r="D10" s="137">
        <v>9</v>
      </c>
      <c r="E10" s="137" t="s">
        <v>180</v>
      </c>
      <c r="F10" s="180">
        <v>0.995</v>
      </c>
      <c r="G10" s="181">
        <v>0.51369579109212504</v>
      </c>
      <c r="H10" s="182">
        <v>0.5</v>
      </c>
      <c r="I10" s="182">
        <v>0.2</v>
      </c>
      <c r="J10" s="182">
        <v>0</v>
      </c>
      <c r="K10" s="185">
        <v>0.1</v>
      </c>
    </row>
    <row r="11">
      <c r="D11" s="137">
        <v>10</v>
      </c>
      <c r="E11" s="137" t="s">
        <v>223</v>
      </c>
      <c r="F11" s="180">
        <v>0.995</v>
      </c>
      <c r="G11" s="186">
        <v>5</v>
      </c>
      <c r="H11" s="182">
        <v>0.5</v>
      </c>
      <c r="I11" s="182">
        <v>1</v>
      </c>
      <c r="J11" s="182">
        <v>0</v>
      </c>
      <c r="K11" s="185">
        <v>0.2</v>
      </c>
    </row>
    <row r="12">
      <c r="D12" s="137">
        <v>11</v>
      </c>
      <c r="E12" s="137" t="s">
        <v>181</v>
      </c>
      <c r="F12" s="180">
        <v>0.995</v>
      </c>
      <c r="G12" s="181">
        <v>0.58571586597930303</v>
      </c>
      <c r="H12" s="182">
        <v>0.5</v>
      </c>
      <c r="I12" s="182">
        <v>0</v>
      </c>
      <c r="J12" s="182">
        <v>0.5</v>
      </c>
      <c r="K12" s="185">
        <v>0.1</v>
      </c>
    </row>
    <row r="13">
      <c r="D13" s="137">
        <v>12</v>
      </c>
      <c r="E13" s="137" t="s">
        <v>224</v>
      </c>
      <c r="F13" s="180">
        <v>0.995</v>
      </c>
      <c r="G13" s="181">
        <v>0.382530681199091</v>
      </c>
      <c r="H13" s="182">
        <v>1</v>
      </c>
      <c r="I13" s="182">
        <v>0</v>
      </c>
      <c r="J13" s="182">
        <v>0.5</v>
      </c>
      <c r="K13" s="185">
        <v>0.2</v>
      </c>
    </row>
    <row r="14">
      <c r="A14" s="189" t="s">
        <v>287</v>
      </c>
      <c r="D14" s="137">
        <v>13</v>
      </c>
      <c r="E14" s="137" t="s">
        <v>182</v>
      </c>
      <c r="F14" s="180">
        <v>0.995</v>
      </c>
      <c r="G14" s="181">
        <v>0.97718064547162897</v>
      </c>
      <c r="H14" s="182">
        <v>0.7</v>
      </c>
      <c r="I14" s="182">
        <v>0</v>
      </c>
      <c r="J14" s="182">
        <v>0</v>
      </c>
      <c r="K14" s="185">
        <v>0.1</v>
      </c>
    </row>
    <row r="15">
      <c r="A15" s="190" t="s">
        <v>288</v>
      </c>
      <c r="D15" s="137">
        <v>14</v>
      </c>
      <c r="E15" s="137" t="s">
        <v>183</v>
      </c>
      <c r="F15" s="180">
        <v>0.995</v>
      </c>
      <c r="G15" s="181">
        <v>1.02779162527296</v>
      </c>
      <c r="H15" s="182">
        <v>0.2</v>
      </c>
      <c r="I15" s="182">
        <v>0.2</v>
      </c>
      <c r="J15" s="182">
        <v>0</v>
      </c>
      <c r="K15" s="185">
        <v>0.2</v>
      </c>
    </row>
    <row r="16">
      <c r="A16" s="191" t="s">
        <v>289</v>
      </c>
      <c r="D16" s="137">
        <v>15</v>
      </c>
      <c r="E16" s="137" t="s">
        <v>184</v>
      </c>
      <c r="F16" s="180">
        <v>0.995</v>
      </c>
      <c r="G16" s="181">
        <v>1.1458954348308401</v>
      </c>
      <c r="H16" s="182">
        <v>0.8</v>
      </c>
      <c r="I16" s="182">
        <v>0.8</v>
      </c>
      <c r="J16" s="182">
        <v>0</v>
      </c>
      <c r="K16" s="185">
        <v>0.2</v>
      </c>
    </row>
    <row r="17">
      <c r="A17" s="192" t="s">
        <v>290</v>
      </c>
      <c r="D17" s="137">
        <v>16</v>
      </c>
      <c r="E17" s="137" t="s">
        <v>185</v>
      </c>
      <c r="F17" s="180">
        <v>0.995</v>
      </c>
      <c r="G17" s="193">
        <v>0</v>
      </c>
      <c r="H17" s="182">
        <v>0.7</v>
      </c>
      <c r="I17" s="182">
        <v>0.7</v>
      </c>
      <c r="J17" s="182">
        <v>0</v>
      </c>
      <c r="K17" s="185">
        <v>0.2</v>
      </c>
    </row>
    <row r="18">
      <c r="A18" s="194" t="s">
        <v>291</v>
      </c>
      <c r="D18" s="137">
        <v>17</v>
      </c>
      <c r="E18" s="137" t="s">
        <v>186</v>
      </c>
      <c r="F18" s="180">
        <v>0.995</v>
      </c>
      <c r="G18" s="181">
        <v>1.0697742401000401</v>
      </c>
      <c r="H18" s="182">
        <v>0.2</v>
      </c>
      <c r="I18" s="182">
        <v>0.2</v>
      </c>
      <c r="J18" s="182">
        <v>0</v>
      </c>
      <c r="K18" s="185">
        <v>0.2</v>
      </c>
    </row>
    <row r="19">
      <c r="D19" s="137">
        <v>18</v>
      </c>
      <c r="E19" s="137" t="s">
        <v>187</v>
      </c>
      <c r="F19" s="180">
        <v>0.995</v>
      </c>
      <c r="G19" s="181">
        <v>1.6274173564268199</v>
      </c>
      <c r="H19" s="182">
        <v>0.6</v>
      </c>
      <c r="I19" s="182">
        <v>0.6</v>
      </c>
      <c r="J19" s="182">
        <v>0</v>
      </c>
      <c r="K19" s="185">
        <v>0.2</v>
      </c>
    </row>
    <row r="20">
      <c r="A20" s="71" t="s">
        <v>292</v>
      </c>
      <c r="B20" s="71"/>
      <c r="D20" s="137">
        <v>19</v>
      </c>
      <c r="E20" s="137" t="s">
        <v>188</v>
      </c>
      <c r="F20" s="180">
        <v>0.995</v>
      </c>
      <c r="G20" s="195">
        <v>0.5</v>
      </c>
      <c r="H20" s="182">
        <v>0.5</v>
      </c>
      <c r="I20" s="182">
        <v>0.2</v>
      </c>
      <c r="J20" s="182">
        <v>0</v>
      </c>
      <c r="K20" s="185">
        <v>0.2</v>
      </c>
    </row>
    <row r="21">
      <c r="D21" s="137">
        <v>20</v>
      </c>
      <c r="E21" s="137" t="s">
        <v>189</v>
      </c>
      <c r="F21" s="180">
        <v>0.995</v>
      </c>
      <c r="G21" s="181">
        <v>2.79318653592567</v>
      </c>
      <c r="H21" s="182">
        <v>0.2</v>
      </c>
      <c r="I21" s="182">
        <v>0.5</v>
      </c>
      <c r="J21" s="182">
        <v>0</v>
      </c>
      <c r="K21" s="185">
        <v>0.2</v>
      </c>
    </row>
    <row r="22">
      <c r="D22" s="137">
        <v>21</v>
      </c>
      <c r="E22" s="137" t="s">
        <v>190</v>
      </c>
      <c r="F22" s="180">
        <v>0.995</v>
      </c>
      <c r="G22" s="181">
        <v>0.85230320535956305</v>
      </c>
      <c r="H22" s="182">
        <v>0.2</v>
      </c>
      <c r="I22" s="182">
        <v>0.2</v>
      </c>
      <c r="J22" s="182">
        <v>0</v>
      </c>
      <c r="K22" s="185">
        <v>0.2</v>
      </c>
    </row>
    <row r="23">
      <c r="D23" s="137">
        <v>22</v>
      </c>
      <c r="E23" s="137" t="s">
        <v>191</v>
      </c>
      <c r="F23" s="180">
        <v>0.995</v>
      </c>
      <c r="G23" s="181">
        <v>1.6410246594040001</v>
      </c>
      <c r="H23" s="182">
        <v>0.2</v>
      </c>
      <c r="I23" s="182">
        <v>0.2</v>
      </c>
      <c r="J23" s="182">
        <v>0</v>
      </c>
      <c r="K23" s="185">
        <v>0.2</v>
      </c>
    </row>
    <row r="24">
      <c r="D24" s="137">
        <v>23</v>
      </c>
      <c r="E24" s="137" t="s">
        <v>192</v>
      </c>
      <c r="F24" s="180">
        <v>0.995</v>
      </c>
      <c r="G24" s="193">
        <v>0</v>
      </c>
      <c r="H24" s="182">
        <v>0</v>
      </c>
      <c r="I24" s="182">
        <v>0</v>
      </c>
      <c r="J24" s="182">
        <v>0</v>
      </c>
      <c r="K24" s="185">
        <v>0.1</v>
      </c>
    </row>
    <row r="25">
      <c r="D25" s="137">
        <v>24</v>
      </c>
      <c r="E25" s="137" t="s">
        <v>225</v>
      </c>
      <c r="F25" s="180">
        <v>0.995</v>
      </c>
      <c r="G25" s="181">
        <v>0.93256895613726898</v>
      </c>
      <c r="H25" s="182">
        <v>0.2</v>
      </c>
      <c r="I25" s="182">
        <v>0.5</v>
      </c>
      <c r="J25" s="182">
        <v>0</v>
      </c>
      <c r="K25" s="185">
        <v>0.2</v>
      </c>
      <c r="V25" s="196"/>
      <c r="W25" s="196"/>
      <c r="Y25"/>
      <c r="AC25"/>
      <c r="AG25"/>
    </row>
    <row r="26">
      <c r="D26" s="137">
        <v>25</v>
      </c>
      <c r="E26" s="137" t="s">
        <v>226</v>
      </c>
      <c r="F26" s="180">
        <v>0.995</v>
      </c>
      <c r="G26" s="193">
        <v>0</v>
      </c>
      <c r="H26" s="182">
        <v>0.2</v>
      </c>
      <c r="I26" s="182">
        <v>0.2</v>
      </c>
      <c r="J26" s="182">
        <v>0</v>
      </c>
      <c r="K26" s="185">
        <v>0.2</v>
      </c>
      <c r="V26" s="196"/>
      <c r="W26" s="196"/>
      <c r="Y26"/>
      <c r="AC26"/>
      <c r="AG26"/>
    </row>
    <row r="27">
      <c r="D27" s="137">
        <v>26</v>
      </c>
      <c r="E27" s="137" t="s">
        <v>227</v>
      </c>
      <c r="F27" s="180">
        <v>0.995</v>
      </c>
      <c r="G27" s="181">
        <v>2.1560585801741601</v>
      </c>
      <c r="H27" s="182">
        <v>0.5</v>
      </c>
      <c r="I27" s="182">
        <v>0.5</v>
      </c>
      <c r="J27" s="182">
        <v>0</v>
      </c>
      <c r="K27" s="185">
        <v>0.2</v>
      </c>
      <c r="Y27"/>
      <c r="AC27"/>
      <c r="AG27"/>
    </row>
    <row r="28">
      <c r="D28" s="137">
        <v>27</v>
      </c>
      <c r="E28" s="137" t="s">
        <v>228</v>
      </c>
      <c r="F28" s="180">
        <v>0.995</v>
      </c>
      <c r="G28" s="181">
        <v>0.66401163162574195</v>
      </c>
      <c r="H28" s="182">
        <v>0.2</v>
      </c>
      <c r="I28" s="182">
        <v>0.2</v>
      </c>
      <c r="J28" s="182">
        <v>0</v>
      </c>
      <c r="K28" s="185">
        <v>0.2</v>
      </c>
      <c r="Y28"/>
      <c r="AC28"/>
      <c r="AG28"/>
    </row>
    <row r="29">
      <c r="D29" s="137">
        <v>28</v>
      </c>
      <c r="E29" s="137" t="s">
        <v>197</v>
      </c>
      <c r="F29" s="180">
        <v>0.995</v>
      </c>
      <c r="G29" s="181">
        <v>3.4577402934700001</v>
      </c>
      <c r="H29" s="182">
        <v>0.5</v>
      </c>
      <c r="I29" s="182">
        <v>0.5</v>
      </c>
      <c r="J29" s="182">
        <v>0</v>
      </c>
      <c r="K29" s="185">
        <v>0.2</v>
      </c>
      <c r="Y29"/>
      <c r="AC29"/>
      <c r="AG29"/>
    </row>
    <row r="30">
      <c r="D30" s="137">
        <v>29</v>
      </c>
      <c r="E30" s="137" t="s">
        <v>198</v>
      </c>
      <c r="F30" s="180">
        <v>0.995</v>
      </c>
      <c r="G30" s="181">
        <v>1.22105410044666</v>
      </c>
      <c r="H30" s="182">
        <v>0.5</v>
      </c>
      <c r="I30" s="182">
        <v>0.5</v>
      </c>
      <c r="J30" s="182">
        <v>0</v>
      </c>
      <c r="K30" s="185">
        <v>0.2</v>
      </c>
      <c r="Y30"/>
      <c r="AC30"/>
      <c r="AG30"/>
    </row>
    <row r="31">
      <c r="D31" s="137">
        <v>30</v>
      </c>
      <c r="E31" s="137" t="s">
        <v>199</v>
      </c>
      <c r="F31" s="180">
        <v>0.995</v>
      </c>
      <c r="G31" s="181">
        <v>2.8363970870909099</v>
      </c>
      <c r="H31" s="182">
        <v>0.5</v>
      </c>
      <c r="I31" s="182">
        <v>0.2</v>
      </c>
      <c r="J31" s="182">
        <v>0</v>
      </c>
      <c r="K31" s="185">
        <v>0.2</v>
      </c>
      <c r="Y31"/>
      <c r="AC31"/>
      <c r="AG31"/>
    </row>
    <row r="32">
      <c r="D32" s="137">
        <v>31</v>
      </c>
      <c r="E32" s="137" t="s">
        <v>229</v>
      </c>
      <c r="F32" s="180">
        <v>0.995</v>
      </c>
      <c r="G32" s="181">
        <v>3.73874309368597</v>
      </c>
      <c r="H32" s="182">
        <v>0.2</v>
      </c>
      <c r="I32" s="182">
        <v>0.8</v>
      </c>
      <c r="J32" s="182">
        <v>0</v>
      </c>
      <c r="K32" s="185">
        <v>0.2</v>
      </c>
      <c r="Y32"/>
      <c r="AC32"/>
      <c r="AG32"/>
    </row>
    <row r="33">
      <c r="D33" s="137">
        <v>32</v>
      </c>
      <c r="E33" s="137" t="s">
        <v>230</v>
      </c>
      <c r="F33" s="180">
        <v>0.995</v>
      </c>
      <c r="G33" s="181">
        <v>1.1844116676895999</v>
      </c>
      <c r="H33" s="182">
        <v>0.8</v>
      </c>
      <c r="I33" s="182">
        <v>0.2</v>
      </c>
      <c r="J33" s="182">
        <v>0</v>
      </c>
      <c r="K33" s="185">
        <v>0.2</v>
      </c>
      <c r="Y33"/>
      <c r="AC33"/>
      <c r="AG33"/>
    </row>
    <row r="34">
      <c r="D34" s="137">
        <v>33</v>
      </c>
      <c r="E34" s="137" t="s">
        <v>231</v>
      </c>
      <c r="F34" s="180">
        <v>0.995</v>
      </c>
      <c r="G34" s="181">
        <v>0.90624343881874303</v>
      </c>
      <c r="H34" s="182">
        <v>0.2</v>
      </c>
      <c r="I34" s="182">
        <v>0.2</v>
      </c>
      <c r="J34" s="182">
        <v>0</v>
      </c>
      <c r="K34" s="185">
        <v>0.2</v>
      </c>
      <c r="Y34"/>
      <c r="AC34"/>
      <c r="AG34"/>
    </row>
    <row r="35">
      <c r="D35" s="137">
        <v>34</v>
      </c>
      <c r="E35" s="137" t="s">
        <v>232</v>
      </c>
      <c r="F35" s="180">
        <v>0.995</v>
      </c>
      <c r="G35" s="186">
        <v>5</v>
      </c>
      <c r="H35" s="182">
        <v>0.2</v>
      </c>
      <c r="I35" s="182">
        <v>0.5</v>
      </c>
      <c r="J35" s="182">
        <v>0</v>
      </c>
      <c r="K35" s="185">
        <v>0.2</v>
      </c>
      <c r="Y35"/>
      <c r="AC35"/>
      <c r="AG35"/>
    </row>
    <row r="36">
      <c r="D36" s="137">
        <v>35</v>
      </c>
      <c r="E36" s="137" t="s">
        <v>233</v>
      </c>
      <c r="F36" s="180">
        <v>0.995</v>
      </c>
      <c r="G36" s="186">
        <v>5</v>
      </c>
      <c r="H36" s="182">
        <v>0.2</v>
      </c>
      <c r="I36" s="182">
        <v>0.2</v>
      </c>
      <c r="J36" s="182">
        <v>0</v>
      </c>
      <c r="K36" s="185">
        <v>0.2</v>
      </c>
      <c r="Y36"/>
      <c r="AC36"/>
      <c r="AG36"/>
    </row>
    <row r="37">
      <c r="D37" s="137">
        <v>36</v>
      </c>
      <c r="E37" s="137" t="s">
        <v>205</v>
      </c>
      <c r="F37" s="180">
        <v>0.995</v>
      </c>
      <c r="G37" s="181">
        <v>0.73199514168388102</v>
      </c>
      <c r="H37" s="197">
        <v>0.2</v>
      </c>
      <c r="I37" s="197">
        <v>0.2</v>
      </c>
      <c r="J37" s="198">
        <v>0</v>
      </c>
      <c r="K37" s="198">
        <v>0</v>
      </c>
    </row>
    <row r="38">
      <c r="D38" s="137">
        <v>37</v>
      </c>
      <c r="E38" s="137" t="s">
        <v>206</v>
      </c>
      <c r="F38" s="180">
        <v>0.995</v>
      </c>
      <c r="G38" s="193">
        <v>0</v>
      </c>
      <c r="H38" s="182">
        <v>0.2</v>
      </c>
      <c r="I38" s="182">
        <v>0.2</v>
      </c>
      <c r="J38" s="182">
        <v>0</v>
      </c>
      <c r="K38" s="182">
        <v>0</v>
      </c>
      <c r="Y38"/>
      <c r="AC38"/>
      <c r="AG38"/>
    </row>
    <row r="39">
      <c r="D39" s="137">
        <v>38</v>
      </c>
      <c r="E39" s="137" t="s">
        <v>207</v>
      </c>
      <c r="F39" s="180">
        <v>0.995</v>
      </c>
      <c r="G39" s="193">
        <v>0</v>
      </c>
      <c r="H39" s="182">
        <v>0.5</v>
      </c>
      <c r="I39" s="182">
        <v>0</v>
      </c>
      <c r="J39" s="182">
        <v>0.1</v>
      </c>
      <c r="K39" s="182">
        <v>0</v>
      </c>
      <c r="Y39"/>
      <c r="AC39"/>
      <c r="AG39"/>
    </row>
    <row r="40">
      <c r="D40" s="137">
        <v>39</v>
      </c>
      <c r="E40" s="137" t="s">
        <v>208</v>
      </c>
      <c r="F40" s="137">
        <v>0.995</v>
      </c>
      <c r="G40" s="181">
        <v>0.45593965274582859</v>
      </c>
      <c r="H40" s="198">
        <v>0.5</v>
      </c>
      <c r="I40" s="198">
        <v>0.2</v>
      </c>
      <c r="J40" s="198">
        <v>0</v>
      </c>
      <c r="K40" s="198">
        <v>0.2</v>
      </c>
      <c r="Y40"/>
      <c r="AC40"/>
      <c r="AG40"/>
    </row>
    <row r="41">
      <c r="D41" s="137">
        <v>40</v>
      </c>
      <c r="E41" s="137" t="s">
        <v>209</v>
      </c>
      <c r="F41" s="137">
        <v>0.995</v>
      </c>
      <c r="G41" s="181">
        <v>0.89505524207044895</v>
      </c>
      <c r="H41" s="198">
        <v>0.2</v>
      </c>
      <c r="I41" s="198">
        <v>0.2</v>
      </c>
      <c r="J41" s="198">
        <v>0</v>
      </c>
      <c r="K41" s="198">
        <v>0.2</v>
      </c>
      <c r="Y41"/>
      <c r="AC41"/>
      <c r="AG41"/>
    </row>
    <row r="42">
      <c r="D42" s="137">
        <v>41</v>
      </c>
      <c r="E42" s="137" t="s">
        <v>210</v>
      </c>
      <c r="F42" s="137">
        <v>0.995</v>
      </c>
      <c r="G42" s="186">
        <v>5</v>
      </c>
      <c r="H42" s="198">
        <v>0.2</v>
      </c>
      <c r="I42" s="198">
        <v>0.2</v>
      </c>
      <c r="J42" s="198">
        <v>0</v>
      </c>
      <c r="K42" s="198">
        <v>0.2</v>
      </c>
      <c r="Y42"/>
      <c r="AC42"/>
      <c r="AG42"/>
    </row>
    <row r="43">
      <c r="D43" s="137">
        <v>42</v>
      </c>
      <c r="E43" s="137" t="s">
        <v>211</v>
      </c>
      <c r="F43" s="137">
        <v>0.995</v>
      </c>
      <c r="G43" s="186">
        <v>5</v>
      </c>
      <c r="H43" s="198">
        <v>0.2</v>
      </c>
      <c r="I43" s="198">
        <v>0.2</v>
      </c>
      <c r="J43" s="198">
        <v>0</v>
      </c>
      <c r="K43" s="198">
        <v>0.2</v>
      </c>
      <c r="Y43"/>
      <c r="AC43"/>
      <c r="AG43"/>
    </row>
    <row r="44">
      <c r="D44" s="137">
        <v>43</v>
      </c>
      <c r="E44" s="137" t="s">
        <v>212</v>
      </c>
      <c r="F44" s="137">
        <v>0.995</v>
      </c>
      <c r="G44" s="186">
        <v>5</v>
      </c>
      <c r="H44" s="198">
        <v>0.2</v>
      </c>
      <c r="I44" s="198">
        <v>0.2</v>
      </c>
      <c r="J44" s="198">
        <v>0</v>
      </c>
      <c r="K44" s="198">
        <v>0.2</v>
      </c>
      <c r="Y44"/>
      <c r="AC44"/>
      <c r="AG44"/>
    </row>
    <row r="45">
      <c r="D45" s="137">
        <v>44</v>
      </c>
      <c r="E45" s="137" t="s">
        <v>213</v>
      </c>
      <c r="F45" s="137">
        <v>0.995</v>
      </c>
      <c r="G45" s="199">
        <v>0.8</v>
      </c>
      <c r="H45" s="198">
        <v>0.2</v>
      </c>
      <c r="I45" s="198">
        <v>0.2</v>
      </c>
      <c r="J45" s="198">
        <v>0</v>
      </c>
      <c r="K45" s="198">
        <v>0.2</v>
      </c>
      <c r="Y45"/>
      <c r="AC45"/>
      <c r="AG45"/>
    </row>
    <row r="46">
      <c r="D46" s="137">
        <v>45</v>
      </c>
      <c r="E46" s="137" t="s">
        <v>214</v>
      </c>
      <c r="F46" s="137">
        <v>0.995</v>
      </c>
      <c r="G46" s="199">
        <v>0.8</v>
      </c>
      <c r="H46" s="198">
        <v>0.2</v>
      </c>
      <c r="I46" s="198">
        <v>0.2</v>
      </c>
      <c r="J46" s="198">
        <v>0</v>
      </c>
      <c r="K46" s="198">
        <v>0.2</v>
      </c>
      <c r="Y46"/>
      <c r="AC46"/>
      <c r="AG46"/>
    </row>
    <row r="47">
      <c r="D47" s="137">
        <v>46</v>
      </c>
      <c r="E47" s="137" t="s">
        <v>304</v>
      </c>
      <c r="F47" s="137">
        <v>0.995</v>
      </c>
      <c r="G47" s="199">
        <v>0.8</v>
      </c>
      <c r="H47" s="198">
        <v>0.2</v>
      </c>
      <c r="I47" s="198">
        <v>0.2</v>
      </c>
      <c r="J47" s="198">
        <v>0</v>
      </c>
      <c r="K47" s="198">
        <v>0.2</v>
      </c>
      <c r="Y47"/>
      <c r="AC47"/>
      <c r="AG47"/>
    </row>
    <row r="48">
      <c r="D48" s="137">
        <v>47</v>
      </c>
      <c r="E48" s="137" t="s">
        <v>215</v>
      </c>
      <c r="F48" s="137">
        <v>0.995</v>
      </c>
      <c r="G48" s="199">
        <v>0.8</v>
      </c>
      <c r="H48" s="198">
        <v>0.2</v>
      </c>
      <c r="I48" s="198">
        <v>0.2</v>
      </c>
      <c r="J48" s="198">
        <v>0</v>
      </c>
      <c r="K48" s="198">
        <v>0.2</v>
      </c>
      <c r="Y48"/>
      <c r="AC48"/>
      <c r="AG48"/>
    </row>
    <row r="49">
      <c r="D49" s="137">
        <v>48</v>
      </c>
      <c r="E49" s="137" t="s">
        <v>216</v>
      </c>
      <c r="F49" s="137">
        <v>0.995</v>
      </c>
      <c r="G49" s="200">
        <v>7.4966281256279757E-2</v>
      </c>
      <c r="H49" s="198">
        <v>0.2</v>
      </c>
      <c r="I49" s="198">
        <v>0.2</v>
      </c>
      <c r="J49" s="198">
        <v>0</v>
      </c>
      <c r="K49" s="198">
        <v>0.2</v>
      </c>
      <c r="Y49"/>
      <c r="AC49"/>
      <c r="AG49"/>
    </row>
    <row r="50">
      <c r="D50" s="137">
        <v>49</v>
      </c>
      <c r="E50" s="137" t="s">
        <v>217</v>
      </c>
      <c r="F50" s="137">
        <v>0.995</v>
      </c>
      <c r="G50" s="199">
        <v>0.19671724924367845</v>
      </c>
      <c r="H50" s="198">
        <v>0.2</v>
      </c>
      <c r="I50" s="198">
        <v>0.2</v>
      </c>
      <c r="J50" s="198">
        <v>0</v>
      </c>
      <c r="K50" s="198">
        <v>0.2</v>
      </c>
      <c r="Y50"/>
      <c r="AC50"/>
      <c r="AG50"/>
    </row>
    <row r="51">
      <c r="D51" s="137">
        <v>50</v>
      </c>
      <c r="E51" s="137" t="s">
        <v>218</v>
      </c>
      <c r="F51" s="137">
        <v>0.995</v>
      </c>
      <c r="G51" s="199">
        <v>1.9799999999999998</v>
      </c>
      <c r="H51" s="198">
        <v>0.2</v>
      </c>
      <c r="I51" s="198">
        <v>0.2</v>
      </c>
      <c r="J51" s="198">
        <v>0</v>
      </c>
      <c r="K51" s="198">
        <v>0.2</v>
      </c>
      <c r="Y51"/>
      <c r="AC51"/>
      <c r="AG51"/>
    </row>
    <row r="52">
      <c r="D52" s="137">
        <v>51</v>
      </c>
      <c r="E52" s="137" t="s">
        <v>72</v>
      </c>
      <c r="F52" s="137">
        <v>0.995</v>
      </c>
      <c r="G52" s="200">
        <v>0.7</v>
      </c>
      <c r="H52" s="198">
        <v>0.2</v>
      </c>
      <c r="I52" s="198">
        <v>0.2</v>
      </c>
      <c r="J52" s="198">
        <v>0</v>
      </c>
      <c r="K52" s="198">
        <v>0.2</v>
      </c>
      <c r="Y52"/>
      <c r="AC52"/>
      <c r="AG52"/>
    </row>
    <row r="53">
      <c r="D53" s="137">
        <v>52</v>
      </c>
      <c r="E53" s="137" t="s">
        <v>219</v>
      </c>
      <c r="F53" s="137">
        <v>0.995</v>
      </c>
      <c r="G53" s="186">
        <v>5</v>
      </c>
      <c r="H53" s="198">
        <v>0.2</v>
      </c>
      <c r="I53" s="198">
        <v>0.2</v>
      </c>
      <c r="J53" s="198">
        <v>0</v>
      </c>
      <c r="K53" s="198">
        <v>0.2</v>
      </c>
      <c r="Y53"/>
      <c r="AC53"/>
      <c r="AG53"/>
    </row>
    <row r="54">
      <c r="D54" s="137">
        <v>53</v>
      </c>
      <c r="E54" s="59" t="s">
        <v>71</v>
      </c>
      <c r="F54" s="137">
        <v>0.995</v>
      </c>
      <c r="G54" s="200">
        <v>1</v>
      </c>
      <c r="H54" s="198">
        <v>0.2</v>
      </c>
      <c r="I54" s="198">
        <v>0.2</v>
      </c>
      <c r="J54" s="198">
        <v>0</v>
      </c>
      <c r="K54" s="198">
        <v>0.2</v>
      </c>
      <c r="Y54"/>
      <c r="AC54"/>
      <c r="AG54"/>
    </row>
    <row r="55">
      <c r="D55" s="59">
        <v>54</v>
      </c>
      <c r="E55" s="137" t="s">
        <v>73</v>
      </c>
      <c r="F55" s="137">
        <v>0.995</v>
      </c>
      <c r="G55" s="200">
        <v>1</v>
      </c>
      <c r="H55" s="198">
        <v>0.2</v>
      </c>
      <c r="I55" s="198">
        <v>0.2</v>
      </c>
      <c r="J55" s="198">
        <v>0</v>
      </c>
      <c r="K55" s="198">
        <v>0.2</v>
      </c>
      <c r="Y55"/>
      <c r="AC55"/>
      <c r="AG55"/>
    </row>
    <row r="56">
      <c r="J56"/>
      <c r="K56"/>
      <c r="Y56"/>
      <c r="AC56"/>
      <c r="AG56"/>
    </row>
    <row r="57">
      <c r="J57"/>
      <c r="K57"/>
      <c r="Y57"/>
      <c r="AC57"/>
      <c r="AG57"/>
    </row>
    <row r="58">
      <c r="Y58"/>
      <c r="AC58"/>
      <c r="AG58"/>
    </row>
    <row r="59">
      <c r="Y59"/>
      <c r="AC59"/>
      <c r="AG59"/>
    </row>
    <row r="60">
      <c r="Y60"/>
      <c r="AC60"/>
      <c r="AG60"/>
    </row>
    <row r="61">
      <c r="Y61"/>
      <c r="AC61"/>
      <c r="AG61"/>
    </row>
    <row r="62">
      <c r="Y62"/>
      <c r="AC62"/>
      <c r="AG62"/>
    </row>
    <row r="63">
      <c r="Y63"/>
      <c r="AC63"/>
      <c r="AG63"/>
    </row>
    <row r="64">
      <c r="Y64"/>
      <c r="AC64"/>
      <c r="AG64"/>
    </row>
    <row r="65">
      <c r="Y65"/>
      <c r="AC65"/>
      <c r="AG65"/>
    </row>
    <row r="66">
      <c r="J66"/>
      <c r="K66"/>
      <c r="Y66"/>
      <c r="AC66"/>
      <c r="AG66"/>
    </row>
    <row r="67">
      <c r="J67"/>
      <c r="K67"/>
      <c r="Y67"/>
      <c r="AC67"/>
      <c r="AG67"/>
    </row>
    <row r="68">
      <c r="J68"/>
      <c r="K68"/>
      <c r="Y68"/>
      <c r="AC68"/>
      <c r="AG68"/>
    </row>
    <row r="69">
      <c r="J69"/>
      <c r="K69"/>
      <c r="Y69"/>
      <c r="AC69"/>
      <c r="AG69"/>
    </row>
    <row r="70">
      <c r="J70"/>
      <c r="K70"/>
      <c r="Y70"/>
      <c r="AC70"/>
      <c r="AG70"/>
    </row>
    <row r="71">
      <c r="J71"/>
      <c r="K71"/>
      <c r="Y71"/>
      <c r="AC71"/>
      <c r="AG71"/>
    </row>
    <row r="72">
      <c r="J72"/>
      <c r="K72"/>
    </row>
    <row r="73">
      <c r="J73"/>
      <c r="K73"/>
    </row>
    <row r="74">
      <c r="J74"/>
      <c r="K74"/>
    </row>
    <row r="75">
      <c r="J75"/>
      <c r="K75"/>
    </row>
    <row r="76">
      <c r="J76"/>
      <c r="K76"/>
    </row>
    <row r="77">
      <c r="J77"/>
      <c r="K77"/>
    </row>
    <row r="78">
      <c r="J78"/>
      <c r="K78"/>
    </row>
    <row r="79">
      <c r="J79"/>
      <c r="K79"/>
    </row>
    <row r="80">
      <c r="J80"/>
      <c r="K80"/>
    </row>
    <row r="81">
      <c r="J81"/>
      <c r="K81"/>
    </row>
    <row r="82">
      <c r="J82"/>
      <c r="K82"/>
    </row>
    <row r="83">
      <c r="J83"/>
      <c r="K83"/>
    </row>
    <row r="84">
      <c r="J84"/>
      <c r="K84"/>
    </row>
    <row r="85">
      <c r="J85"/>
      <c r="K85"/>
    </row>
    <row r="86">
      <c r="J86"/>
      <c r="K86"/>
    </row>
    <row r="87">
      <c r="J87"/>
      <c r="K87"/>
    </row>
    <row r="88">
      <c r="J88"/>
      <c r="K88"/>
    </row>
    <row r="89">
      <c r="J89"/>
      <c r="K89"/>
    </row>
    <row r="90">
      <c r="J90"/>
      <c r="K90"/>
    </row>
    <row r="91">
      <c r="J91"/>
      <c r="K91"/>
    </row>
    <row r="92">
      <c r="J92"/>
      <c r="K92"/>
    </row>
    <row r="93">
      <c r="J93"/>
      <c r="K93"/>
    </row>
    <row r="94">
      <c r="J94"/>
      <c r="K94"/>
    </row>
    <row r="95">
      <c r="J95"/>
      <c r="K95"/>
    </row>
    <row r="96">
      <c r="J96"/>
      <c r="K96"/>
    </row>
    <row r="97">
      <c r="J97"/>
      <c r="K97"/>
    </row>
    <row r="98">
      <c r="J98"/>
      <c r="K98"/>
    </row>
    <row r="99">
      <c r="J99"/>
      <c r="K99"/>
    </row>
    <row r="100">
      <c r="J100"/>
      <c r="K100"/>
    </row>
    <row r="101">
      <c r="J101"/>
      <c r="K101"/>
    </row>
    <row r="102">
      <c r="J102"/>
      <c r="K102"/>
    </row>
    <row r="103">
      <c r="J103"/>
      <c r="K103"/>
    </row>
    <row r="104">
      <c r="J104"/>
      <c r="K104"/>
    </row>
    <row r="105">
      <c r="J105"/>
      <c r="K105"/>
    </row>
    <row r="106">
      <c r="J106"/>
      <c r="K106"/>
    </row>
    <row r="107">
      <c r="J107"/>
      <c r="K107"/>
    </row>
    <row r="108">
      <c r="J108"/>
      <c r="K108"/>
    </row>
    <row r="109">
      <c r="J109"/>
      <c r="K109"/>
    </row>
    <row r="110">
      <c r="J110"/>
      <c r="K110"/>
    </row>
    <row r="111">
      <c r="J111"/>
      <c r="K111"/>
    </row>
    <row r="112">
      <c r="J112"/>
      <c r="K112"/>
    </row>
    <row r="113">
      <c r="J113"/>
      <c r="K113"/>
    </row>
    <row r="114">
      <c r="J114"/>
      <c r="K114"/>
    </row>
    <row r="115">
      <c r="J115"/>
      <c r="K115"/>
    </row>
    <row r="116">
      <c r="J116"/>
      <c r="K116"/>
    </row>
    <row r="117">
      <c r="J117"/>
      <c r="K117"/>
    </row>
    <row r="118">
      <c r="J118"/>
      <c r="K118"/>
    </row>
    <row r="119">
      <c r="J119"/>
      <c r="K119"/>
    </row>
    <row r="120">
      <c r="J120"/>
      <c r="K120"/>
    </row>
    <row r="121">
      <c r="J121"/>
      <c r="K121"/>
    </row>
    <row r="122">
      <c r="J122"/>
      <c r="K122"/>
    </row>
    <row r="123">
      <c r="J123"/>
      <c r="K123"/>
    </row>
    <row r="124">
      <c r="J124"/>
      <c r="K124"/>
    </row>
    <row r="125">
      <c r="J125"/>
      <c r="K125"/>
    </row>
    <row r="126">
      <c r="J126"/>
      <c r="K126"/>
    </row>
    <row r="127">
      <c r="J127"/>
      <c r="K127"/>
    </row>
    <row r="128">
      <c r="J128"/>
      <c r="K128"/>
    </row>
    <row r="129">
      <c r="J129"/>
      <c r="K129"/>
    </row>
    <row r="130">
      <c r="J130"/>
      <c r="K130"/>
      <c r="Y130"/>
      <c r="AC130"/>
      <c r="AG130"/>
    </row>
    <row r="131">
      <c r="J131"/>
      <c r="K131"/>
      <c r="Y131"/>
      <c r="AC131"/>
      <c r="AG131"/>
    </row>
    <row r="132">
      <c r="J132"/>
      <c r="K132"/>
      <c r="Y132"/>
      <c r="AC132"/>
      <c r="AG132"/>
    </row>
    <row r="133">
      <c r="J133"/>
      <c r="K133"/>
      <c r="Y133"/>
      <c r="AC133"/>
      <c r="AG133"/>
    </row>
    <row r="134">
      <c r="J134"/>
      <c r="K134"/>
      <c r="Y134"/>
      <c r="AC134"/>
      <c r="AG134"/>
    </row>
    <row r="135">
      <c r="J135"/>
      <c r="K135"/>
      <c r="Y135"/>
      <c r="AC135"/>
      <c r="AG135"/>
    </row>
    <row r="136">
      <c r="J136"/>
      <c r="K136"/>
      <c r="Y136"/>
      <c r="AC136"/>
      <c r="AG136"/>
    </row>
    <row r="137">
      <c r="J137"/>
      <c r="K137"/>
      <c r="Y137"/>
      <c r="AC137"/>
      <c r="AG137"/>
    </row>
    <row r="138">
      <c r="J138"/>
      <c r="K138"/>
      <c r="Y138"/>
      <c r="AC138"/>
      <c r="AG138"/>
    </row>
    <row r="139">
      <c r="J139"/>
      <c r="K139"/>
      <c r="Y139"/>
      <c r="AC139"/>
      <c r="AG139"/>
    </row>
    <row r="140">
      <c r="J140"/>
      <c r="K140"/>
      <c r="Y140"/>
      <c r="AC140"/>
      <c r="AG140"/>
    </row>
    <row r="141">
      <c r="J141"/>
      <c r="K141"/>
      <c r="Y141"/>
      <c r="AC141"/>
      <c r="AG141"/>
    </row>
    <row r="142">
      <c r="J142"/>
      <c r="K142"/>
      <c r="Y142"/>
      <c r="AC142"/>
      <c r="AG142"/>
    </row>
    <row r="143" ht="15" customHeight="true"/>
    <row r="144" ht="15" customHeight="true"/>
    <row r="145" ht="15" customHeight="true"/>
    <row r="146" ht="15" customHeight="true"/>
    <row r="147" ht="15" customHeight="true"/>
    <row r="148" ht="15" customHeight="true"/>
    <row r="149" ht="15" customHeight="true"/>
    <row r="150" ht="15" customHeight="true"/>
    <row r="151" ht="15" customHeight="true"/>
    <row r="152" ht="15" customHeight="true"/>
    <row r="153" ht="15" customHeight="true"/>
    <row r="154" ht="15" customHeight="true"/>
    <row r="155" ht="15" customHeight="true"/>
    <row r="156" ht="15" customHeight="true"/>
    <row r="157" ht="15" customHeight="true"/>
    <row r="158" ht="15" customHeight="true"/>
    <row r="159" ht="15" customHeight="true"/>
    <row r="160" ht="15" customHeight="true"/>
    <row r="161" ht="15" customHeight="true"/>
    <row r="162" ht="15" customHeight="true"/>
    <row r="163" ht="15" customHeight="true"/>
    <row r="164" ht="15" customHeight="true"/>
    <row r="165" ht="15" customHeight="true"/>
    <row r="166" ht="15" customHeight="true"/>
    <row r="167" ht="15" customHeight="true"/>
    <row r="168" ht="15" customHeight="true"/>
    <row r="169" ht="15" customHeight="true"/>
    <row r="170" ht="15" customHeight="true"/>
    <row r="171" ht="15" customHeight="true"/>
    <row r="172" ht="15" customHeight="true"/>
    <row r="173" ht="15" customHeight="true"/>
    <row r="174" ht="15" customHeight="true"/>
    <row r="175" ht="15" customHeight="true"/>
    <row r="176" ht="15" customHeight="true"/>
    <row r="177" ht="15" customHeight="true"/>
    <row r="178" ht="15" customHeight="true"/>
    <row r="179" ht="15" customHeight="true"/>
    <row r="180" ht="15" customHeight="true"/>
    <row r="181" ht="15" customHeight="true"/>
    <row r="182" ht="15" customHeight="true"/>
    <row r="183" ht="15" customHeight="true"/>
    <row r="184" ht="15" customHeight="true"/>
    <row r="185" ht="15" customHeight="true"/>
    <row r="186" ht="15" customHeight="true"/>
    <row r="187" ht="15" customHeight="true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BC133"/>
  <sheetViews>
    <sheetView topLeftCell="A29" workbookViewId="0">
      <selection activeCell="A47" sqref="A47"/>
    </sheetView>
  </sheetViews>
  <sheetFormatPr baseColWidth="10" defaultColWidth="15" defaultRowHeight="14" customHeight="true"/>
  <cols>
    <col min="1" max="1" width="25.6640625" style="161" customWidth="true"/>
    <col min="2" max="2" width="15" style="120"/>
    <col min="3" max="3" width="17.5" style="120" customWidth="true"/>
    <col min="4" max="4" width="8.5" style="120" bestFit="true" customWidth="true"/>
    <col min="5" max="5" width="12" style="120" bestFit="true" customWidth="true"/>
    <col min="6" max="6" width="12.1640625" style="120" bestFit="true" customWidth="true"/>
    <col min="7" max="7" width="15" style="120"/>
    <col min="8" max="8" width="13.5" style="120" bestFit="true" customWidth="true"/>
    <col min="9" max="10" width="15" style="120"/>
    <col min="11" max="11" width="12" style="120" bestFit="true" customWidth="true"/>
    <col min="12" max="24" width="15" style="120"/>
    <col min="25" max="26" width="12" style="120" bestFit="true" customWidth="true"/>
    <col min="27" max="27" width="13.6640625" style="120" customWidth="true"/>
    <col min="28" max="16384" width="15" style="120"/>
  </cols>
  <sheetData>
    <row r="1" s="150" customFormat="true" ht="28">
      <c r="A1" s="159" t="s">
        <v>293</v>
      </c>
      <c r="B1" s="151" t="s">
        <v>175</v>
      </c>
      <c r="C1" s="150" t="s">
        <v>283</v>
      </c>
      <c r="D1" s="149" t="s">
        <v>177</v>
      </c>
      <c r="E1" s="149" t="s">
        <v>220</v>
      </c>
      <c r="F1" s="149" t="s">
        <v>221</v>
      </c>
      <c r="G1" s="150" t="s">
        <v>178</v>
      </c>
      <c r="H1" s="149" t="s">
        <v>222</v>
      </c>
      <c r="I1" s="150" t="s">
        <v>179</v>
      </c>
      <c r="J1" s="150" t="s">
        <v>180</v>
      </c>
      <c r="K1" s="149" t="s">
        <v>223</v>
      </c>
      <c r="L1" s="150" t="s">
        <v>181</v>
      </c>
      <c r="M1" s="149" t="s">
        <v>224</v>
      </c>
      <c r="N1" s="150" t="s">
        <v>182</v>
      </c>
      <c r="O1" s="150" t="s">
        <v>183</v>
      </c>
      <c r="P1" s="150" t="s">
        <v>284</v>
      </c>
      <c r="Q1" s="150" t="s">
        <v>185</v>
      </c>
      <c r="R1" s="150" t="s">
        <v>186</v>
      </c>
      <c r="S1" s="150" t="s">
        <v>285</v>
      </c>
      <c r="T1" s="150" t="s">
        <v>188</v>
      </c>
      <c r="U1" s="150" t="s">
        <v>189</v>
      </c>
      <c r="V1" s="150" t="s">
        <v>190</v>
      </c>
      <c r="W1" s="150" t="s">
        <v>191</v>
      </c>
      <c r="X1" s="150" t="s">
        <v>192</v>
      </c>
      <c r="Y1" s="149" t="s">
        <v>225</v>
      </c>
      <c r="Z1" s="149" t="s">
        <v>226</v>
      </c>
      <c r="AA1" s="149" t="s">
        <v>227</v>
      </c>
      <c r="AB1" s="149" t="s">
        <v>228</v>
      </c>
      <c r="AC1" s="150" t="s">
        <v>197</v>
      </c>
      <c r="AD1" s="150" t="s">
        <v>198</v>
      </c>
      <c r="AE1" s="150" t="s">
        <v>199</v>
      </c>
      <c r="AF1" s="149" t="s">
        <v>229</v>
      </c>
      <c r="AG1" s="149" t="s">
        <v>230</v>
      </c>
      <c r="AH1" s="150" t="s">
        <v>202</v>
      </c>
      <c r="AI1" s="150" t="s">
        <v>203</v>
      </c>
      <c r="AJ1" s="149" t="s">
        <v>233</v>
      </c>
      <c r="AK1" s="150" t="s">
        <v>205</v>
      </c>
      <c r="AL1" s="150" t="s">
        <v>206</v>
      </c>
      <c r="AM1" s="150" t="s">
        <v>207</v>
      </c>
      <c r="AN1" s="150" t="s">
        <v>208</v>
      </c>
      <c r="AO1" s="150" t="s">
        <v>209</v>
      </c>
      <c r="AP1" s="150" t="s">
        <v>210</v>
      </c>
      <c r="AQ1" s="150" t="s">
        <v>211</v>
      </c>
      <c r="AR1" s="150" t="s">
        <v>212</v>
      </c>
      <c r="AS1" s="150" t="s">
        <v>213</v>
      </c>
      <c r="AT1" s="150" t="s">
        <v>214</v>
      </c>
      <c r="AU1" s="150" t="s">
        <v>304</v>
      </c>
      <c r="AV1" s="150" t="s">
        <v>215</v>
      </c>
      <c r="AW1" s="150" t="s">
        <v>216</v>
      </c>
      <c r="AX1" s="150" t="s">
        <v>217</v>
      </c>
      <c r="AY1" s="150" t="s">
        <v>218</v>
      </c>
      <c r="AZ1" s="150" t="s">
        <v>72</v>
      </c>
      <c r="BA1" s="150" t="s">
        <v>219</v>
      </c>
      <c r="BB1" s="150" t="s">
        <v>71</v>
      </c>
      <c r="BC1" s="150" t="s">
        <v>73</v>
      </c>
    </row>
    <row r="2" ht="13">
      <c r="A2" s="136" t="s">
        <v>175</v>
      </c>
      <c r="B2" s="201">
        <v>0</v>
      </c>
      <c r="C2" s="202">
        <v>0</v>
      </c>
      <c r="D2" s="202">
        <v>0</v>
      </c>
      <c r="E2" s="202">
        <v>0.81079910515154396</v>
      </c>
      <c r="F2" s="202">
        <v>0</v>
      </c>
      <c r="G2" s="202">
        <v>0</v>
      </c>
      <c r="H2" s="202">
        <f>0.53748384988657+(0.611279438097119/3)</f>
        <v>0.7412436625856097</v>
      </c>
      <c r="I2" s="202">
        <v>0</v>
      </c>
      <c r="J2" s="202">
        <f>1.47196014438797+(1.73205080756888/10)</f>
        <v>1.6451652251448579</v>
      </c>
      <c r="K2" s="202">
        <v>0</v>
      </c>
      <c r="L2" s="202">
        <v>0</v>
      </c>
      <c r="M2" s="202">
        <v>4.6904157598234297</v>
      </c>
      <c r="N2" s="202">
        <v>0</v>
      </c>
      <c r="O2" s="202">
        <v>0</v>
      </c>
      <c r="P2" s="202">
        <v>0</v>
      </c>
      <c r="Q2" s="202">
        <v>0</v>
      </c>
      <c r="R2" s="202">
        <v>3.16227766016838</v>
      </c>
      <c r="S2" s="202">
        <v>0.77083573228427205</v>
      </c>
      <c r="T2" s="202">
        <v>2.4494897427831801</v>
      </c>
      <c r="U2" s="202">
        <v>0</v>
      </c>
      <c r="V2" s="202">
        <v>0</v>
      </c>
      <c r="W2" s="202">
        <v>0</v>
      </c>
      <c r="X2" s="202">
        <v>0</v>
      </c>
      <c r="Y2" s="202">
        <v>0</v>
      </c>
      <c r="Z2" s="202">
        <v>0</v>
      </c>
      <c r="AA2" s="202">
        <v>0</v>
      </c>
      <c r="AB2" s="202">
        <v>0</v>
      </c>
      <c r="AC2" s="202">
        <v>0</v>
      </c>
      <c r="AD2" s="202">
        <v>0</v>
      </c>
      <c r="AE2" s="202">
        <v>0</v>
      </c>
      <c r="AF2" s="202">
        <v>0</v>
      </c>
      <c r="AG2" s="202">
        <v>0</v>
      </c>
      <c r="AH2" s="202">
        <f>3.2653355570303+(3.1869874981447/15)</f>
        <v>3.4778013902399465</v>
      </c>
      <c r="AI2" s="202">
        <v>0</v>
      </c>
      <c r="AJ2" s="202">
        <v>0</v>
      </c>
      <c r="AK2" s="202">
        <v>0</v>
      </c>
      <c r="AL2" s="202">
        <v>0.23022081247934101</v>
      </c>
      <c r="AM2" s="202">
        <f>1.90787840283389+(2.64575131106459/8)</f>
        <v>2.2385973167169637</v>
      </c>
      <c r="AN2" s="202">
        <f>0.9270131082763+(0.868966075756888/4)</f>
        <v>1.1442546272155221</v>
      </c>
      <c r="AO2" s="202">
        <f>0.997812552487033+(3.16227766016838/10)</f>
        <v>1.3140403185038712</v>
      </c>
      <c r="AP2" s="202">
        <v>0</v>
      </c>
      <c r="AQ2" s="202">
        <v>0</v>
      </c>
      <c r="AR2" s="202">
        <v>0</v>
      </c>
      <c r="AS2" s="202">
        <v>0</v>
      </c>
      <c r="AT2" s="202">
        <v>0</v>
      </c>
      <c r="AU2" s="202">
        <v>0</v>
      </c>
      <c r="AV2" s="202">
        <v>0</v>
      </c>
      <c r="AW2" s="202">
        <v>0</v>
      </c>
      <c r="AX2" s="202">
        <v>0</v>
      </c>
      <c r="AY2" s="202">
        <v>0</v>
      </c>
      <c r="AZ2" s="203">
        <v>0</v>
      </c>
      <c r="BA2" s="203">
        <v>0</v>
      </c>
      <c r="BB2" s="203">
        <v>0</v>
      </c>
      <c r="BC2" s="203">
        <v>0</v>
      </c>
    </row>
    <row r="3" ht="13">
      <c r="A3" s="161" t="s">
        <v>283</v>
      </c>
      <c r="B3" s="202">
        <v>0</v>
      </c>
      <c r="C3" s="201">
        <v>0</v>
      </c>
      <c r="D3" s="202">
        <v>0</v>
      </c>
      <c r="E3" s="202">
        <v>0</v>
      </c>
      <c r="F3" s="202">
        <v>0</v>
      </c>
      <c r="G3" s="202">
        <v>0</v>
      </c>
      <c r="H3" s="202">
        <v>0</v>
      </c>
      <c r="I3" s="202">
        <v>0</v>
      </c>
      <c r="J3" s="202">
        <f>1.3228756555323+(1.73205080756888/10)</f>
        <v>1.4960807362891879</v>
      </c>
      <c r="K3" s="202">
        <v>0</v>
      </c>
      <c r="L3" s="202">
        <v>0</v>
      </c>
      <c r="M3" s="202">
        <v>0</v>
      </c>
      <c r="N3" s="202">
        <v>0</v>
      </c>
      <c r="O3" s="202">
        <v>0</v>
      </c>
      <c r="P3" s="202">
        <v>0</v>
      </c>
      <c r="Q3" s="202">
        <f>2+(2/8)</f>
        <v>2.25</v>
      </c>
      <c r="R3" s="202">
        <v>1.7122519453805001</v>
      </c>
      <c r="S3" s="202">
        <v>0</v>
      </c>
      <c r="T3" s="202">
        <v>0.87009686741366099</v>
      </c>
      <c r="U3" s="202">
        <f>1.716686547696+(3/21)</f>
        <v>1.8595436905531428</v>
      </c>
      <c r="V3" s="202">
        <f>4.24264068711928+(3.13896484116559/16)</f>
        <v>4.4388259896921296</v>
      </c>
      <c r="W3" s="202">
        <v>0</v>
      </c>
      <c r="X3" s="202">
        <v>0</v>
      </c>
      <c r="Y3" s="202">
        <v>2.2360679774997898</v>
      </c>
      <c r="Z3" s="202">
        <v>0</v>
      </c>
      <c r="AA3" s="202">
        <v>1.6854721375717301</v>
      </c>
      <c r="AB3" s="202">
        <f>2.09350404018974+(2.80987627199547/12)</f>
        <v>2.3276603961893625</v>
      </c>
      <c r="AC3" s="202">
        <v>0</v>
      </c>
      <c r="AD3" s="202">
        <v>1.4773920344336799</v>
      </c>
      <c r="AE3" s="202">
        <v>0</v>
      </c>
      <c r="AF3" s="202">
        <v>1.2520974138957</v>
      </c>
      <c r="AG3" s="202">
        <v>0</v>
      </c>
      <c r="AH3" s="202">
        <f>3.19679263632303+(3.1869874981447/15)</f>
        <v>3.4092584695326766</v>
      </c>
      <c r="AI3" s="202">
        <v>0</v>
      </c>
      <c r="AJ3" s="202">
        <v>0</v>
      </c>
      <c r="AK3" s="202">
        <v>0</v>
      </c>
      <c r="AL3" s="202">
        <v>0.164511554575234</v>
      </c>
      <c r="AM3" s="202">
        <f>0.671279638066325+(2.64575131106459/8)</f>
        <v>1.0019985519493986</v>
      </c>
      <c r="AN3" s="202">
        <f>0.617103173327291+(0.868966075756888/4)</f>
        <v>0.83434469226651298</v>
      </c>
      <c r="AO3" s="202">
        <f>0.828133526189953+(3.16227766016838/10)</f>
        <v>1.1443612922067909</v>
      </c>
      <c r="AP3" s="202">
        <v>0</v>
      </c>
      <c r="AQ3" s="202">
        <v>0</v>
      </c>
      <c r="AR3" s="202">
        <v>0</v>
      </c>
      <c r="AS3" s="202">
        <v>0.61492968018920002</v>
      </c>
      <c r="AT3" s="202">
        <f>1.94113600604221+(2/14)</f>
        <v>2.0839931488993528</v>
      </c>
      <c r="AU3" s="202">
        <v>0</v>
      </c>
      <c r="AV3" s="202">
        <v>0</v>
      </c>
      <c r="AW3" s="202">
        <v>0</v>
      </c>
      <c r="AX3" s="202">
        <v>0</v>
      </c>
      <c r="AY3" s="202">
        <v>0</v>
      </c>
      <c r="AZ3" s="203">
        <v>0</v>
      </c>
      <c r="BA3" s="203">
        <v>0</v>
      </c>
      <c r="BB3" s="203">
        <v>0</v>
      </c>
      <c r="BC3" s="203">
        <v>0</v>
      </c>
    </row>
    <row r="4" ht="13">
      <c r="A4" s="162" t="s">
        <v>177</v>
      </c>
      <c r="B4" s="202">
        <v>0</v>
      </c>
      <c r="C4" s="202">
        <v>0</v>
      </c>
      <c r="D4" s="201">
        <v>0</v>
      </c>
      <c r="E4" s="202">
        <v>0.58823010975064305</v>
      </c>
      <c r="F4" s="202">
        <v>0</v>
      </c>
      <c r="G4" s="202">
        <v>0</v>
      </c>
      <c r="H4" s="202">
        <v>0</v>
      </c>
      <c r="I4" s="202">
        <v>0</v>
      </c>
      <c r="J4" s="202">
        <v>0</v>
      </c>
      <c r="K4" s="202">
        <v>2.0052185917071701</v>
      </c>
      <c r="L4" s="202">
        <v>0</v>
      </c>
      <c r="M4" s="202">
        <v>4.1353915939480199</v>
      </c>
      <c r="N4" s="202">
        <v>0</v>
      </c>
      <c r="O4" s="202">
        <v>0</v>
      </c>
      <c r="P4" s="202">
        <v>0</v>
      </c>
      <c r="Q4" s="202">
        <v>0</v>
      </c>
      <c r="R4" s="202">
        <v>0</v>
      </c>
      <c r="S4" s="202">
        <v>2</v>
      </c>
      <c r="T4" s="202">
        <v>0</v>
      </c>
      <c r="U4" s="202">
        <v>0</v>
      </c>
      <c r="V4" s="202">
        <v>0</v>
      </c>
      <c r="W4" s="202">
        <v>0</v>
      </c>
      <c r="X4" s="202">
        <v>0</v>
      </c>
      <c r="Y4" s="202">
        <v>0</v>
      </c>
      <c r="Z4" s="202">
        <v>0</v>
      </c>
      <c r="AA4" s="202">
        <v>0</v>
      </c>
      <c r="AB4" s="202">
        <v>0</v>
      </c>
      <c r="AC4" s="202">
        <v>0</v>
      </c>
      <c r="AD4" s="202">
        <v>0</v>
      </c>
      <c r="AE4" s="202">
        <v>0</v>
      </c>
      <c r="AF4" s="202">
        <v>0</v>
      </c>
      <c r="AG4" s="202">
        <v>0</v>
      </c>
      <c r="AH4" s="202">
        <v>0</v>
      </c>
      <c r="AI4" s="202">
        <v>0</v>
      </c>
      <c r="AJ4" s="202">
        <v>0</v>
      </c>
      <c r="AK4" s="202">
        <v>0</v>
      </c>
      <c r="AL4" s="202">
        <v>0</v>
      </c>
      <c r="AM4" s="202">
        <v>0</v>
      </c>
      <c r="AN4" s="202">
        <v>0</v>
      </c>
      <c r="AO4" s="202">
        <v>0</v>
      </c>
      <c r="AP4" s="202">
        <v>0</v>
      </c>
      <c r="AQ4" s="202">
        <v>0</v>
      </c>
      <c r="AR4" s="202">
        <v>0</v>
      </c>
      <c r="AS4" s="202">
        <v>0</v>
      </c>
      <c r="AT4" s="202">
        <v>0</v>
      </c>
      <c r="AU4" s="202">
        <v>0</v>
      </c>
      <c r="AV4" s="202">
        <v>0</v>
      </c>
      <c r="AW4" s="202">
        <v>2.2360679774997898</v>
      </c>
      <c r="AX4" s="202">
        <v>0</v>
      </c>
      <c r="AY4" s="202">
        <v>0</v>
      </c>
      <c r="AZ4" s="203">
        <v>0</v>
      </c>
      <c r="BA4" s="203">
        <v>0</v>
      </c>
      <c r="BB4" s="203">
        <v>0</v>
      </c>
      <c r="BC4" s="203">
        <v>0</v>
      </c>
    </row>
    <row r="5" ht="13">
      <c r="A5" s="162" t="s">
        <v>220</v>
      </c>
      <c r="B5" s="202">
        <v>0</v>
      </c>
      <c r="C5" s="202">
        <v>0</v>
      </c>
      <c r="D5" s="202">
        <v>0</v>
      </c>
      <c r="E5" s="201">
        <v>0</v>
      </c>
      <c r="F5" s="202">
        <v>0</v>
      </c>
      <c r="G5" s="202">
        <v>0</v>
      </c>
      <c r="H5" s="202">
        <v>0</v>
      </c>
      <c r="I5" s="202">
        <v>1.2171125645192999</v>
      </c>
      <c r="J5" s="202">
        <v>0</v>
      </c>
      <c r="K5" s="202">
        <v>1.1888672915435501</v>
      </c>
      <c r="L5" s="202">
        <v>0</v>
      </c>
      <c r="M5" s="202">
        <v>2.4003238979961399</v>
      </c>
      <c r="N5" s="202">
        <v>1.6993660696219399</v>
      </c>
      <c r="O5" s="202">
        <v>0</v>
      </c>
      <c r="P5" s="202">
        <f>2.23606797749979+(1.17124557190675/10)</f>
        <v>2.3531925346904647</v>
      </c>
      <c r="Q5" s="202">
        <v>0</v>
      </c>
      <c r="R5" s="202">
        <v>1.7487338617452901</v>
      </c>
      <c r="S5" s="202">
        <v>0</v>
      </c>
      <c r="T5" s="202">
        <v>0</v>
      </c>
      <c r="U5" s="202">
        <f>2.96309262162246+(3/21)</f>
        <v>3.1059497644796026</v>
      </c>
      <c r="V5" s="202">
        <v>0</v>
      </c>
      <c r="W5" s="202">
        <v>0.866059565848466</v>
      </c>
      <c r="X5" s="202">
        <v>0.866059565848466</v>
      </c>
      <c r="Y5" s="202">
        <v>0</v>
      </c>
      <c r="Z5" s="202">
        <v>0</v>
      </c>
      <c r="AA5" s="202">
        <v>0</v>
      </c>
      <c r="AB5" s="202">
        <v>0</v>
      </c>
      <c r="AC5" s="202">
        <v>0</v>
      </c>
      <c r="AD5" s="202">
        <v>0</v>
      </c>
      <c r="AE5" s="202">
        <v>0</v>
      </c>
      <c r="AF5" s="202">
        <v>2.5933365163838902</v>
      </c>
      <c r="AG5" s="202">
        <v>0</v>
      </c>
      <c r="AH5" s="202">
        <f>3.41464653921909+(3.1869874981447/15)</f>
        <v>3.6271123724287366</v>
      </c>
      <c r="AI5" s="202">
        <v>0</v>
      </c>
      <c r="AJ5" s="202">
        <v>0</v>
      </c>
      <c r="AK5" s="202">
        <v>0</v>
      </c>
      <c r="AL5" s="202">
        <v>0</v>
      </c>
      <c r="AM5" s="202">
        <v>0</v>
      </c>
      <c r="AN5" s="202">
        <v>0</v>
      </c>
      <c r="AO5" s="202">
        <v>0</v>
      </c>
      <c r="AP5" s="202">
        <v>0</v>
      </c>
      <c r="AQ5" s="202">
        <v>0</v>
      </c>
      <c r="AR5" s="202">
        <v>0</v>
      </c>
      <c r="AS5" s="202">
        <v>0</v>
      </c>
      <c r="AT5" s="202">
        <v>0</v>
      </c>
      <c r="AU5" s="202">
        <v>0</v>
      </c>
      <c r="AV5" s="202">
        <v>0</v>
      </c>
      <c r="AW5" s="202">
        <v>0</v>
      </c>
      <c r="AX5" s="202">
        <v>0</v>
      </c>
      <c r="AY5" s="202">
        <v>0</v>
      </c>
      <c r="AZ5" s="203">
        <v>0</v>
      </c>
      <c r="BA5" s="203">
        <v>0</v>
      </c>
      <c r="BB5" s="203">
        <v>0</v>
      </c>
      <c r="BC5" s="203">
        <v>0</v>
      </c>
    </row>
    <row r="6" ht="13">
      <c r="A6" s="162" t="s">
        <v>221</v>
      </c>
      <c r="B6" s="202">
        <v>0</v>
      </c>
      <c r="C6" s="202">
        <v>0</v>
      </c>
      <c r="D6" s="202">
        <v>0</v>
      </c>
      <c r="E6" s="202">
        <v>0</v>
      </c>
      <c r="F6" s="201">
        <v>0</v>
      </c>
      <c r="G6" s="202">
        <v>0</v>
      </c>
      <c r="H6" s="202">
        <f>0.892354355789389+(0.611279438097119/3)</f>
        <v>1.0961141684884288</v>
      </c>
      <c r="I6" s="202">
        <v>1.2900437525100801</v>
      </c>
      <c r="J6" s="202">
        <f>0.377964473009227+(1.73205080756888/10)</f>
        <v>0.55116955376611498</v>
      </c>
      <c r="K6" s="202">
        <v>1.87632607338754</v>
      </c>
      <c r="L6" s="202">
        <v>0</v>
      </c>
      <c r="M6" s="202">
        <v>3.59144214855263</v>
      </c>
      <c r="N6" s="202">
        <v>0</v>
      </c>
      <c r="O6" s="202">
        <v>0</v>
      </c>
      <c r="P6" s="202">
        <v>0</v>
      </c>
      <c r="Q6" s="202">
        <v>0</v>
      </c>
      <c r="R6" s="202">
        <v>3.16227766016838</v>
      </c>
      <c r="S6" s="202">
        <v>0</v>
      </c>
      <c r="T6" s="202">
        <v>0</v>
      </c>
      <c r="U6" s="202">
        <f>3+(3/21)</f>
        <v>3.1428571428571428</v>
      </c>
      <c r="V6" s="202">
        <v>0</v>
      </c>
      <c r="W6" s="202">
        <v>1.7320508075688801</v>
      </c>
      <c r="X6" s="202">
        <v>1.7320508075688801</v>
      </c>
      <c r="Y6" s="202">
        <v>2.2360679774997898</v>
      </c>
      <c r="Z6" s="202">
        <v>0</v>
      </c>
      <c r="AA6" s="202">
        <v>0</v>
      </c>
      <c r="AB6" s="202">
        <v>0</v>
      </c>
      <c r="AC6" s="202">
        <v>0</v>
      </c>
      <c r="AD6" s="202">
        <v>2.6457513110645898</v>
      </c>
      <c r="AE6" s="202">
        <v>0</v>
      </c>
      <c r="AF6" s="202">
        <v>0</v>
      </c>
      <c r="AG6" s="202">
        <v>0</v>
      </c>
      <c r="AH6" s="202">
        <f>2.21192940019829+(3.1869874981447/15)</f>
        <v>2.4243952334079366</v>
      </c>
      <c r="AI6" s="202">
        <v>0</v>
      </c>
      <c r="AJ6" s="202">
        <f>1.4142135623731+(1.41497117678151/12)</f>
        <v>1.5321278271048926</v>
      </c>
      <c r="AK6" s="202">
        <v>0</v>
      </c>
      <c r="AL6" s="202">
        <v>0</v>
      </c>
      <c r="AM6" s="202">
        <f>2.64575131106459+(2.64575131106459/8)</f>
        <v>2.9764702249476636</v>
      </c>
      <c r="AN6" s="202">
        <v>0</v>
      </c>
      <c r="AO6" s="202">
        <f>3.16227766016838+(3.16227766016838/10)</f>
        <v>3.478505426185218</v>
      </c>
      <c r="AP6" s="202">
        <v>0</v>
      </c>
      <c r="AQ6" s="202">
        <v>0</v>
      </c>
      <c r="AR6" s="202">
        <v>0</v>
      </c>
      <c r="AS6" s="202">
        <v>0</v>
      </c>
      <c r="AT6" s="202">
        <v>0</v>
      </c>
      <c r="AU6" s="202">
        <v>0</v>
      </c>
      <c r="AV6" s="202">
        <v>0</v>
      </c>
      <c r="AW6" s="202">
        <v>0</v>
      </c>
      <c r="AX6" s="202">
        <v>0</v>
      </c>
      <c r="AY6" s="202">
        <v>0</v>
      </c>
      <c r="AZ6" s="203">
        <v>0</v>
      </c>
      <c r="BA6" s="203">
        <v>0</v>
      </c>
      <c r="BB6" s="203">
        <v>0</v>
      </c>
      <c r="BC6" s="203">
        <v>0</v>
      </c>
    </row>
    <row r="7" ht="13">
      <c r="A7" s="161" t="s">
        <v>178</v>
      </c>
      <c r="B7" s="202">
        <v>0</v>
      </c>
      <c r="C7" s="202">
        <v>0</v>
      </c>
      <c r="D7" s="202">
        <v>0</v>
      </c>
      <c r="E7" s="202">
        <v>0</v>
      </c>
      <c r="F7" s="202">
        <v>0</v>
      </c>
      <c r="G7" s="201">
        <v>0</v>
      </c>
      <c r="H7" s="202">
        <v>0</v>
      </c>
      <c r="I7" s="202">
        <v>0</v>
      </c>
      <c r="J7" s="202">
        <v>0</v>
      </c>
      <c r="K7" s="202">
        <v>0</v>
      </c>
      <c r="L7" s="202">
        <v>0</v>
      </c>
      <c r="M7" s="202">
        <v>0</v>
      </c>
      <c r="N7" s="202">
        <v>0</v>
      </c>
      <c r="O7" s="202">
        <v>0</v>
      </c>
      <c r="P7" s="202">
        <f>2.23606797749979+(1.17124557190675/10)</f>
        <v>2.3531925346904647</v>
      </c>
      <c r="Q7" s="202">
        <v>0</v>
      </c>
      <c r="R7" s="202">
        <v>0</v>
      </c>
      <c r="S7" s="202">
        <v>0</v>
      </c>
      <c r="T7" s="202">
        <v>0</v>
      </c>
      <c r="U7" s="202">
        <f>3+(3/21)</f>
        <v>3.1428571428571428</v>
      </c>
      <c r="V7" s="202">
        <f>4.24264068711928+(3.13896484116559/16)</f>
        <v>4.4388259896921296</v>
      </c>
      <c r="W7" s="202">
        <v>1.3224552779873899</v>
      </c>
      <c r="X7" s="202">
        <v>1.3224552779873899</v>
      </c>
      <c r="Y7" s="202">
        <v>0</v>
      </c>
      <c r="Z7" s="202">
        <v>0</v>
      </c>
      <c r="AA7" s="202">
        <v>0</v>
      </c>
      <c r="AB7" s="202">
        <v>0</v>
      </c>
      <c r="AC7" s="202">
        <v>0</v>
      </c>
      <c r="AD7" s="202">
        <v>0</v>
      </c>
      <c r="AE7" s="202">
        <v>0</v>
      </c>
      <c r="AF7" s="202">
        <v>0</v>
      </c>
      <c r="AG7" s="202">
        <v>0</v>
      </c>
      <c r="AH7" s="202">
        <v>0</v>
      </c>
      <c r="AI7" s="202">
        <v>0</v>
      </c>
      <c r="AJ7" s="202">
        <f>1.41640222621962+(1.41497117678151/12)</f>
        <v>1.5343164909514126</v>
      </c>
      <c r="AK7" s="202">
        <v>0</v>
      </c>
      <c r="AL7" s="202">
        <v>0</v>
      </c>
      <c r="AM7" s="202">
        <v>0</v>
      </c>
      <c r="AN7" s="202">
        <v>0</v>
      </c>
      <c r="AO7" s="202">
        <v>0</v>
      </c>
      <c r="AP7" s="202">
        <v>0</v>
      </c>
      <c r="AQ7" s="202">
        <v>0</v>
      </c>
      <c r="AR7" s="202">
        <v>0</v>
      </c>
      <c r="AS7" s="202">
        <v>0</v>
      </c>
      <c r="AT7" s="202">
        <v>0</v>
      </c>
      <c r="AU7" s="202">
        <v>0</v>
      </c>
      <c r="AV7" s="202">
        <v>0</v>
      </c>
      <c r="AW7" s="202">
        <v>0</v>
      </c>
      <c r="AX7" s="202">
        <v>0</v>
      </c>
      <c r="AY7" s="202">
        <v>0</v>
      </c>
      <c r="AZ7" s="203">
        <v>0</v>
      </c>
      <c r="BA7" s="203">
        <v>0</v>
      </c>
      <c r="BB7" s="203">
        <v>0</v>
      </c>
      <c r="BC7" s="203">
        <v>0</v>
      </c>
    </row>
    <row r="8" ht="13">
      <c r="A8" s="162" t="s">
        <v>222</v>
      </c>
      <c r="B8" s="202">
        <v>0</v>
      </c>
      <c r="C8" s="202">
        <v>0</v>
      </c>
      <c r="D8" s="202">
        <v>0</v>
      </c>
      <c r="E8" s="202">
        <v>2</v>
      </c>
      <c r="F8" s="202">
        <v>0</v>
      </c>
      <c r="G8" s="202">
        <v>0</v>
      </c>
      <c r="H8" s="201">
        <v>0</v>
      </c>
      <c r="I8" s="202">
        <v>0.95815310205672799</v>
      </c>
      <c r="J8" s="202">
        <f>0.469876604725793+(1.73205080756888/10)</f>
        <v>0.64308168548268108</v>
      </c>
      <c r="K8" s="202">
        <v>1.19964802569416</v>
      </c>
      <c r="L8" s="202">
        <v>0</v>
      </c>
      <c r="M8" s="202">
        <v>1.1805168737665701</v>
      </c>
      <c r="N8" s="202">
        <v>1.24580556130315</v>
      </c>
      <c r="O8" s="202">
        <v>2.3176400351102302</v>
      </c>
      <c r="P8" s="202">
        <f>2.19467923612634+(1.17124557190675/10)</f>
        <v>2.311803793317015</v>
      </c>
      <c r="Q8" s="202">
        <f>1.38121213690238+(2/8)</f>
        <v>1.63121213690238</v>
      </c>
      <c r="R8" s="202">
        <v>1.1712164189759999</v>
      </c>
      <c r="S8" s="202">
        <v>0.81593059599552797</v>
      </c>
      <c r="T8" s="202">
        <v>2.4494897427831801</v>
      </c>
      <c r="U8" s="202">
        <f>2.03206371130836+(3/21)</f>
        <v>2.174920854165503</v>
      </c>
      <c r="V8" s="202">
        <f>3.14538580147835+(3.13896484116559/16)</f>
        <v>3.3415711040511993</v>
      </c>
      <c r="W8" s="202">
        <v>1.3004110652188701</v>
      </c>
      <c r="X8" s="202">
        <v>1.3004110652188701</v>
      </c>
      <c r="Y8" s="202">
        <v>0.94148730345265697</v>
      </c>
      <c r="Z8" s="202">
        <v>0.56568542494923801</v>
      </c>
      <c r="AA8" s="202">
        <v>0</v>
      </c>
      <c r="AB8" s="202">
        <v>0</v>
      </c>
      <c r="AC8" s="202">
        <v>0.43139914120049799</v>
      </c>
      <c r="AD8" s="202">
        <v>1.6422636204329499</v>
      </c>
      <c r="AE8" s="202">
        <v>0.35916534917411902</v>
      </c>
      <c r="AF8" s="202">
        <v>1.41877754883737</v>
      </c>
      <c r="AG8" s="202">
        <v>4.1231056256176597</v>
      </c>
      <c r="AH8" s="202">
        <f>1.59084736294327+(3.1869874981447/15)</f>
        <v>1.8033131961529167</v>
      </c>
      <c r="AI8" s="202">
        <v>0</v>
      </c>
      <c r="AJ8" s="202">
        <f>0.800643736071918+(1.41497117678151/12)</f>
        <v>0.91855800080371042</v>
      </c>
      <c r="AK8" s="202">
        <v>0</v>
      </c>
      <c r="AL8" s="202">
        <v>0</v>
      </c>
      <c r="AM8" s="202">
        <v>0</v>
      </c>
      <c r="AN8" s="202">
        <v>0</v>
      </c>
      <c r="AO8" s="202">
        <f>2.17796955063985+(3.16227766016838/10)</f>
        <v>2.4941973166566882</v>
      </c>
      <c r="AP8" s="202">
        <v>0</v>
      </c>
      <c r="AQ8" s="202">
        <v>0</v>
      </c>
      <c r="AR8" s="202">
        <v>0</v>
      </c>
      <c r="AS8" s="202">
        <v>1.3867611537323099</v>
      </c>
      <c r="AT8" s="202">
        <f>1.36060667816318+(2/14)</f>
        <v>1.5034638210203228</v>
      </c>
      <c r="AU8" s="202">
        <v>0</v>
      </c>
      <c r="AV8" s="202">
        <v>0</v>
      </c>
      <c r="AW8" s="202">
        <v>0</v>
      </c>
      <c r="AX8" s="202">
        <v>0</v>
      </c>
      <c r="AY8" s="202">
        <v>0</v>
      </c>
      <c r="AZ8" s="203">
        <v>0</v>
      </c>
      <c r="BA8" s="203">
        <v>0</v>
      </c>
      <c r="BB8" s="203">
        <v>0</v>
      </c>
      <c r="BC8" s="203">
        <v>0</v>
      </c>
    </row>
    <row r="9" ht="13">
      <c r="A9" s="161" t="s">
        <v>179</v>
      </c>
      <c r="B9" s="202">
        <v>0</v>
      </c>
      <c r="C9" s="202">
        <v>0</v>
      </c>
      <c r="D9" s="202">
        <v>0</v>
      </c>
      <c r="E9" s="202">
        <v>0</v>
      </c>
      <c r="F9" s="202">
        <v>0</v>
      </c>
      <c r="G9" s="202">
        <v>0</v>
      </c>
      <c r="H9" s="202">
        <v>0</v>
      </c>
      <c r="I9" s="201">
        <v>0</v>
      </c>
      <c r="J9" s="202">
        <v>0</v>
      </c>
      <c r="K9" s="202">
        <v>2.77856548335353</v>
      </c>
      <c r="L9" s="202">
        <v>0</v>
      </c>
      <c r="M9" s="202">
        <v>1.94320535439201</v>
      </c>
      <c r="N9" s="202">
        <v>1.7320508075688801</v>
      </c>
      <c r="O9" s="202">
        <v>0</v>
      </c>
      <c r="P9" s="202">
        <v>0</v>
      </c>
      <c r="Q9" s="202">
        <v>0</v>
      </c>
      <c r="R9" s="202">
        <v>0</v>
      </c>
      <c r="S9" s="202">
        <v>0</v>
      </c>
      <c r="T9" s="202">
        <v>0</v>
      </c>
      <c r="U9" s="202">
        <f>3+(3/21)</f>
        <v>3.1428571428571428</v>
      </c>
      <c r="V9" s="202">
        <v>0</v>
      </c>
      <c r="W9" s="202">
        <v>0</v>
      </c>
      <c r="X9" s="202">
        <v>0</v>
      </c>
      <c r="Y9" s="202">
        <v>0</v>
      </c>
      <c r="Z9" s="202">
        <v>0</v>
      </c>
      <c r="AA9" s="202">
        <v>0</v>
      </c>
      <c r="AB9" s="202">
        <v>0</v>
      </c>
      <c r="AC9" s="202">
        <v>0</v>
      </c>
      <c r="AD9" s="202">
        <v>2.6457513110645898</v>
      </c>
      <c r="AE9" s="202">
        <v>0</v>
      </c>
      <c r="AF9" s="202">
        <v>3</v>
      </c>
      <c r="AG9" s="202">
        <v>0</v>
      </c>
      <c r="AH9" s="202">
        <v>0</v>
      </c>
      <c r="AI9" s="202">
        <v>0</v>
      </c>
      <c r="AJ9" s="202">
        <f>1.28601672227248+(1.41497117678151/12)</f>
        <v>1.4039309870042727</v>
      </c>
      <c r="AK9" s="202">
        <v>0</v>
      </c>
      <c r="AL9" s="202">
        <v>0</v>
      </c>
      <c r="AM9" s="202">
        <f>2.64575131106459+(2.64575131106459/8)</f>
        <v>2.9764702249476636</v>
      </c>
      <c r="AN9" s="202">
        <v>0</v>
      </c>
      <c r="AO9" s="202">
        <v>0</v>
      </c>
      <c r="AP9" s="202">
        <v>0</v>
      </c>
      <c r="AQ9" s="202">
        <v>0</v>
      </c>
      <c r="AR9" s="202">
        <v>0</v>
      </c>
      <c r="AS9" s="202">
        <v>0</v>
      </c>
      <c r="AT9" s="202">
        <v>0</v>
      </c>
      <c r="AU9" s="202">
        <v>0</v>
      </c>
      <c r="AV9" s="202">
        <v>0</v>
      </c>
      <c r="AW9" s="202">
        <v>0</v>
      </c>
      <c r="AX9" s="202">
        <v>0</v>
      </c>
      <c r="AY9" s="202">
        <v>0</v>
      </c>
      <c r="AZ9" s="203">
        <v>0</v>
      </c>
      <c r="BA9" s="203">
        <v>0</v>
      </c>
      <c r="BB9" s="203">
        <v>0</v>
      </c>
      <c r="BC9" s="203">
        <v>0</v>
      </c>
    </row>
    <row r="10" ht="13">
      <c r="A10" s="161" t="s">
        <v>180</v>
      </c>
      <c r="B10" s="202">
        <v>0</v>
      </c>
      <c r="C10" s="202">
        <v>0</v>
      </c>
      <c r="D10" s="202">
        <v>0</v>
      </c>
      <c r="E10" s="202">
        <v>0</v>
      </c>
      <c r="F10" s="202">
        <v>0</v>
      </c>
      <c r="G10" s="202">
        <v>0</v>
      </c>
      <c r="H10" s="202">
        <v>0</v>
      </c>
      <c r="I10" s="202">
        <v>3.74165738677394</v>
      </c>
      <c r="J10" s="201">
        <v>0</v>
      </c>
      <c r="K10" s="202">
        <v>0</v>
      </c>
      <c r="L10" s="202">
        <v>0</v>
      </c>
      <c r="M10" s="202">
        <v>0</v>
      </c>
      <c r="N10" s="202">
        <v>1.7320508075688801</v>
      </c>
      <c r="O10" s="202">
        <v>0</v>
      </c>
      <c r="P10" s="202">
        <v>0</v>
      </c>
      <c r="Q10" s="202">
        <v>0</v>
      </c>
      <c r="R10" s="202">
        <v>0</v>
      </c>
      <c r="S10" s="202">
        <v>0</v>
      </c>
      <c r="T10" s="202">
        <v>0</v>
      </c>
      <c r="U10" s="202">
        <f>2.51278935562367+(3/21)</f>
        <v>2.6556464984808126</v>
      </c>
      <c r="V10" s="202">
        <f>2.8017611467421+(3.13896484116559/16)</f>
        <v>2.9979464493149495</v>
      </c>
      <c r="W10" s="202">
        <v>0</v>
      </c>
      <c r="X10" s="202">
        <v>0</v>
      </c>
      <c r="Y10" s="202">
        <v>1.09435115549644</v>
      </c>
      <c r="Z10" s="202">
        <v>0.148600952834954</v>
      </c>
      <c r="AA10" s="202">
        <v>0</v>
      </c>
      <c r="AB10" s="202">
        <f>2.45589726563434+(2.80987627199547/12)</f>
        <v>2.6900536216339628</v>
      </c>
      <c r="AC10" s="202">
        <v>0</v>
      </c>
      <c r="AD10" s="202">
        <v>0</v>
      </c>
      <c r="AE10" s="202">
        <v>0</v>
      </c>
      <c r="AF10" s="202">
        <v>0</v>
      </c>
      <c r="AG10" s="202">
        <v>3.2091755871415901</v>
      </c>
      <c r="AH10" s="202">
        <f>3.38011410137186+(3.1869874981447/15)</f>
        <v>3.5925799345815066</v>
      </c>
      <c r="AI10" s="202">
        <v>0</v>
      </c>
      <c r="AJ10" s="202">
        <v>0</v>
      </c>
      <c r="AK10" s="202">
        <v>0</v>
      </c>
      <c r="AL10" s="202">
        <v>0</v>
      </c>
      <c r="AM10" s="202">
        <v>0</v>
      </c>
      <c r="AN10" s="202">
        <v>0</v>
      </c>
      <c r="AO10" s="202">
        <v>0</v>
      </c>
      <c r="AP10" s="202">
        <v>0</v>
      </c>
      <c r="AQ10" s="202">
        <v>0</v>
      </c>
      <c r="AR10" s="202">
        <v>0</v>
      </c>
      <c r="AS10" s="202">
        <v>0</v>
      </c>
      <c r="AT10" s="202">
        <v>0</v>
      </c>
      <c r="AU10" s="202">
        <v>0</v>
      </c>
      <c r="AV10" s="202">
        <v>0</v>
      </c>
      <c r="AW10" s="202">
        <v>0</v>
      </c>
      <c r="AX10" s="202">
        <v>0</v>
      </c>
      <c r="AY10" s="202">
        <v>0</v>
      </c>
      <c r="AZ10" s="203">
        <v>0</v>
      </c>
      <c r="BA10" s="203">
        <v>0</v>
      </c>
      <c r="BB10" s="203">
        <v>0</v>
      </c>
      <c r="BC10" s="203">
        <v>0</v>
      </c>
    </row>
    <row r="11" ht="13">
      <c r="A11" s="162" t="s">
        <v>223</v>
      </c>
      <c r="B11" s="202">
        <v>0</v>
      </c>
      <c r="C11" s="202">
        <v>0</v>
      </c>
      <c r="D11" s="202">
        <v>0</v>
      </c>
      <c r="E11" s="202">
        <v>0</v>
      </c>
      <c r="F11" s="202">
        <v>0</v>
      </c>
      <c r="G11" s="202">
        <v>0</v>
      </c>
      <c r="H11" s="202">
        <v>0</v>
      </c>
      <c r="I11" s="202">
        <v>0</v>
      </c>
      <c r="J11" s="202">
        <v>0</v>
      </c>
      <c r="K11" s="201">
        <v>0</v>
      </c>
      <c r="L11" s="202">
        <v>0</v>
      </c>
      <c r="M11" s="202">
        <v>0</v>
      </c>
      <c r="N11" s="202">
        <v>0</v>
      </c>
      <c r="O11" s="202">
        <v>0</v>
      </c>
      <c r="P11" s="202">
        <f>2.23606797749979+(1.17124557190675/10)</f>
        <v>2.3531925346904647</v>
      </c>
      <c r="Q11" s="202">
        <v>0</v>
      </c>
      <c r="R11" s="202">
        <v>0</v>
      </c>
      <c r="S11" s="202">
        <v>0</v>
      </c>
      <c r="T11" s="202">
        <v>0</v>
      </c>
      <c r="U11" s="202">
        <v>0</v>
      </c>
      <c r="V11" s="202">
        <v>0</v>
      </c>
      <c r="W11" s="202">
        <v>0</v>
      </c>
      <c r="X11" s="202">
        <v>0</v>
      </c>
      <c r="Y11" s="202">
        <v>0</v>
      </c>
      <c r="Z11" s="202">
        <v>0</v>
      </c>
      <c r="AA11" s="202">
        <v>0</v>
      </c>
      <c r="AB11" s="202">
        <v>0</v>
      </c>
      <c r="AC11" s="202">
        <v>0</v>
      </c>
      <c r="AD11" s="202">
        <v>2.6457513110645898</v>
      </c>
      <c r="AE11" s="202">
        <v>0</v>
      </c>
      <c r="AF11" s="202">
        <v>0</v>
      </c>
      <c r="AG11" s="202">
        <v>0</v>
      </c>
      <c r="AH11" s="202">
        <v>0</v>
      </c>
      <c r="AI11" s="202">
        <v>0</v>
      </c>
      <c r="AJ11" s="202">
        <v>0</v>
      </c>
      <c r="AK11" s="202">
        <v>0</v>
      </c>
      <c r="AL11" s="202">
        <v>0</v>
      </c>
      <c r="AM11" s="202">
        <v>0</v>
      </c>
      <c r="AN11" s="202">
        <v>0</v>
      </c>
      <c r="AO11" s="202">
        <v>0</v>
      </c>
      <c r="AP11" s="202">
        <v>0</v>
      </c>
      <c r="AQ11" s="202">
        <v>0</v>
      </c>
      <c r="AR11" s="202">
        <v>0</v>
      </c>
      <c r="AS11" s="202">
        <v>0</v>
      </c>
      <c r="AT11" s="202">
        <f>2+(2/14)</f>
        <v>2.1428571428571428</v>
      </c>
      <c r="AU11" s="202">
        <v>0</v>
      </c>
      <c r="AV11" s="202">
        <v>0</v>
      </c>
      <c r="AW11" s="202">
        <v>0</v>
      </c>
      <c r="AX11" s="202">
        <v>0</v>
      </c>
      <c r="AY11" s="202">
        <v>0</v>
      </c>
      <c r="AZ11" s="203">
        <v>0</v>
      </c>
      <c r="BA11" s="203">
        <v>0</v>
      </c>
      <c r="BB11" s="203">
        <v>0</v>
      </c>
      <c r="BC11" s="203">
        <v>0</v>
      </c>
    </row>
    <row r="12" ht="13">
      <c r="A12" s="161" t="s">
        <v>181</v>
      </c>
      <c r="B12" s="202">
        <v>0</v>
      </c>
      <c r="C12" s="202">
        <v>0</v>
      </c>
      <c r="D12" s="202">
        <v>0</v>
      </c>
      <c r="E12" s="202">
        <v>0</v>
      </c>
      <c r="F12" s="202">
        <v>0</v>
      </c>
      <c r="G12" s="202">
        <v>0</v>
      </c>
      <c r="H12" s="202">
        <v>0</v>
      </c>
      <c r="I12" s="202">
        <v>0</v>
      </c>
      <c r="J12" s="202">
        <v>0</v>
      </c>
      <c r="K12" s="202">
        <v>0.32353825476430498</v>
      </c>
      <c r="L12" s="201">
        <v>0</v>
      </c>
      <c r="M12" s="202">
        <v>0</v>
      </c>
      <c r="N12" s="202">
        <v>0</v>
      </c>
      <c r="O12" s="202">
        <v>0</v>
      </c>
      <c r="P12" s="202">
        <f>1.50776433868052+(1.17124557190675/10)</f>
        <v>1.6248888958711949</v>
      </c>
      <c r="Q12" s="202">
        <v>0</v>
      </c>
      <c r="R12" s="202">
        <v>0</v>
      </c>
      <c r="S12" s="202">
        <v>0</v>
      </c>
      <c r="T12" s="202">
        <v>2.4494897427831801</v>
      </c>
      <c r="U12" s="202">
        <v>0</v>
      </c>
      <c r="V12" s="202">
        <v>0</v>
      </c>
      <c r="W12" s="202">
        <v>0</v>
      </c>
      <c r="X12" s="202">
        <v>0</v>
      </c>
      <c r="Y12" s="202">
        <v>0</v>
      </c>
      <c r="Z12" s="202">
        <v>0</v>
      </c>
      <c r="AA12" s="202">
        <v>0</v>
      </c>
      <c r="AB12" s="202">
        <v>0</v>
      </c>
      <c r="AC12" s="202">
        <v>0</v>
      </c>
      <c r="AD12" s="202">
        <v>2.6457513110645898</v>
      </c>
      <c r="AE12" s="202">
        <v>0</v>
      </c>
      <c r="AF12" s="202">
        <v>0</v>
      </c>
      <c r="AG12" s="202">
        <v>0</v>
      </c>
      <c r="AH12" s="202">
        <v>0</v>
      </c>
      <c r="AI12" s="202">
        <v>0</v>
      </c>
      <c r="AJ12" s="202">
        <f>1.41421356237306+(1.41497117678151/12)</f>
        <v>1.5321278271048526</v>
      </c>
      <c r="AK12" s="202">
        <v>0</v>
      </c>
      <c r="AL12" s="202">
        <v>0</v>
      </c>
      <c r="AM12" s="202">
        <v>0</v>
      </c>
      <c r="AN12" s="202">
        <v>0</v>
      </c>
      <c r="AO12" s="202">
        <v>0</v>
      </c>
      <c r="AP12" s="202">
        <v>0</v>
      </c>
      <c r="AQ12" s="202">
        <v>0</v>
      </c>
      <c r="AR12" s="202">
        <v>0</v>
      </c>
      <c r="AS12" s="202">
        <v>0</v>
      </c>
      <c r="AT12" s="202">
        <f>0.641145275108695+(2/14)</f>
        <v>0.78400241796583781</v>
      </c>
      <c r="AU12" s="202">
        <v>0</v>
      </c>
      <c r="AV12" s="202">
        <v>0</v>
      </c>
      <c r="AW12" s="202">
        <v>0</v>
      </c>
      <c r="AX12" s="202">
        <v>0</v>
      </c>
      <c r="AY12" s="202">
        <v>0</v>
      </c>
      <c r="AZ12" s="203">
        <v>0</v>
      </c>
      <c r="BA12" s="203">
        <v>0</v>
      </c>
      <c r="BB12" s="203">
        <v>0</v>
      </c>
      <c r="BC12" s="203">
        <v>0</v>
      </c>
    </row>
    <row r="13" ht="13">
      <c r="A13" s="162" t="s">
        <v>224</v>
      </c>
      <c r="B13" s="202">
        <v>0</v>
      </c>
      <c r="C13" s="202">
        <v>0</v>
      </c>
      <c r="D13" s="202">
        <v>0</v>
      </c>
      <c r="E13" s="202">
        <v>0</v>
      </c>
      <c r="F13" s="202">
        <v>0</v>
      </c>
      <c r="G13" s="202">
        <v>0</v>
      </c>
      <c r="H13" s="202">
        <v>0</v>
      </c>
      <c r="I13" s="202">
        <v>0</v>
      </c>
      <c r="J13" s="202">
        <v>0</v>
      </c>
      <c r="K13" s="202">
        <v>0</v>
      </c>
      <c r="L13" s="202">
        <v>0</v>
      </c>
      <c r="M13" s="201">
        <v>1.7961212606786401</v>
      </c>
      <c r="N13" s="202">
        <v>0</v>
      </c>
      <c r="O13" s="202">
        <v>0</v>
      </c>
      <c r="P13" s="202">
        <f>2.23723108185803+(1.17124557190675/10)</f>
        <v>2.354355639048705</v>
      </c>
      <c r="Q13" s="202">
        <v>0</v>
      </c>
      <c r="R13" s="202">
        <v>3.16227766016838</v>
      </c>
      <c r="S13" s="202">
        <v>0</v>
      </c>
      <c r="T13" s="202">
        <v>0</v>
      </c>
      <c r="U13" s="202">
        <f>2.88002213665465+(3/21)</f>
        <v>3.0228792795117929</v>
      </c>
      <c r="V13" s="202">
        <v>0</v>
      </c>
      <c r="W13" s="202">
        <v>1.33332008973631</v>
      </c>
      <c r="X13" s="202">
        <v>1.33332008973631</v>
      </c>
      <c r="Y13" s="202">
        <v>0</v>
      </c>
      <c r="Z13" s="202">
        <v>0</v>
      </c>
      <c r="AA13" s="202">
        <v>0</v>
      </c>
      <c r="AB13" s="202">
        <v>0</v>
      </c>
      <c r="AC13" s="202">
        <v>2.6457513110645898</v>
      </c>
      <c r="AD13" s="202">
        <v>0</v>
      </c>
      <c r="AE13" s="202">
        <v>0</v>
      </c>
      <c r="AF13" s="202">
        <v>0</v>
      </c>
      <c r="AG13" s="202">
        <v>0</v>
      </c>
      <c r="AH13" s="202">
        <v>0</v>
      </c>
      <c r="AI13" s="202">
        <v>0</v>
      </c>
      <c r="AJ13" s="202">
        <f>1.2747550355817+(1.41497117678151/12)</f>
        <v>1.3926693003134925</v>
      </c>
      <c r="AK13" s="202">
        <v>0</v>
      </c>
      <c r="AL13" s="202">
        <v>0</v>
      </c>
      <c r="AM13" s="202">
        <v>0</v>
      </c>
      <c r="AN13" s="202">
        <v>0</v>
      </c>
      <c r="AO13" s="202">
        <v>0</v>
      </c>
      <c r="AP13" s="202">
        <v>0</v>
      </c>
      <c r="AQ13" s="202">
        <v>0</v>
      </c>
      <c r="AR13" s="202">
        <v>0</v>
      </c>
      <c r="AS13" s="202">
        <v>0</v>
      </c>
      <c r="AT13" s="202">
        <f>1.34308983546241+(2/14)</f>
        <v>1.4859469783195527</v>
      </c>
      <c r="AU13" s="202">
        <v>0</v>
      </c>
      <c r="AV13" s="202">
        <v>0</v>
      </c>
      <c r="AW13" s="202">
        <v>0</v>
      </c>
      <c r="AX13" s="202">
        <v>0</v>
      </c>
      <c r="AY13" s="202">
        <v>0</v>
      </c>
      <c r="AZ13" s="203">
        <v>0</v>
      </c>
      <c r="BA13" s="203">
        <v>0</v>
      </c>
      <c r="BB13" s="203">
        <v>0</v>
      </c>
      <c r="BC13" s="203">
        <v>0</v>
      </c>
    </row>
    <row r="14" ht="13">
      <c r="A14" s="161" t="s">
        <v>182</v>
      </c>
      <c r="B14" s="202">
        <v>0</v>
      </c>
      <c r="C14" s="202">
        <v>0</v>
      </c>
      <c r="D14" s="202">
        <v>0</v>
      </c>
      <c r="E14" s="202">
        <v>0</v>
      </c>
      <c r="F14" s="202">
        <v>0</v>
      </c>
      <c r="G14" s="202">
        <v>0</v>
      </c>
      <c r="H14" s="202">
        <v>0</v>
      </c>
      <c r="I14" s="202">
        <v>0</v>
      </c>
      <c r="J14" s="202">
        <v>0</v>
      </c>
      <c r="K14" s="204">
        <v>0</v>
      </c>
      <c r="L14" s="204">
        <v>0</v>
      </c>
      <c r="M14" s="204">
        <v>0</v>
      </c>
      <c r="N14" s="201">
        <v>0</v>
      </c>
      <c r="O14" s="202">
        <v>0</v>
      </c>
      <c r="P14" s="202">
        <v>0</v>
      </c>
      <c r="Q14" s="202">
        <v>0</v>
      </c>
      <c r="R14" s="202">
        <v>3.16227766016838</v>
      </c>
      <c r="S14" s="202">
        <v>0</v>
      </c>
      <c r="T14" s="202">
        <v>0</v>
      </c>
      <c r="U14" s="202">
        <f>2.39107609455824+(3/21)</f>
        <v>2.5339332374153827</v>
      </c>
      <c r="V14" s="202">
        <f>4.21807626606551+(3.13896484116559/16)</f>
        <v>4.4142615686383593</v>
      </c>
      <c r="W14" s="202">
        <v>0</v>
      </c>
      <c r="X14" s="202">
        <v>0</v>
      </c>
      <c r="Y14" s="202">
        <v>0</v>
      </c>
      <c r="Z14" s="202">
        <v>0</v>
      </c>
      <c r="AA14" s="202">
        <v>2.4348952001629001</v>
      </c>
      <c r="AB14" s="202">
        <f>2.24676603445943+(2.80987627199547/12)</f>
        <v>2.4809223904590527</v>
      </c>
      <c r="AC14" s="202">
        <v>2.6457513110645898</v>
      </c>
      <c r="AD14" s="202">
        <v>0</v>
      </c>
      <c r="AE14" s="202">
        <v>0</v>
      </c>
      <c r="AF14" s="202">
        <v>0</v>
      </c>
      <c r="AG14" s="202">
        <v>2.1201339701175899</v>
      </c>
      <c r="AH14" s="202">
        <v>0</v>
      </c>
      <c r="AI14" s="202">
        <v>0</v>
      </c>
      <c r="AJ14" s="202">
        <v>0</v>
      </c>
      <c r="AK14" s="202">
        <v>0</v>
      </c>
      <c r="AL14" s="202">
        <v>0</v>
      </c>
      <c r="AM14" s="202">
        <v>0</v>
      </c>
      <c r="AN14" s="202">
        <v>0</v>
      </c>
      <c r="AO14" s="202">
        <v>0</v>
      </c>
      <c r="AP14" s="202">
        <v>0</v>
      </c>
      <c r="AQ14" s="202">
        <v>0.83682430104559702</v>
      </c>
      <c r="AR14" s="202">
        <v>0</v>
      </c>
      <c r="AS14" s="202">
        <v>0</v>
      </c>
      <c r="AT14" s="202">
        <v>0</v>
      </c>
      <c r="AU14" s="202">
        <v>0</v>
      </c>
      <c r="AV14" s="202">
        <v>0</v>
      </c>
      <c r="AW14" s="202">
        <v>2.2360679774997898</v>
      </c>
      <c r="AX14" s="202">
        <v>0</v>
      </c>
      <c r="AY14" s="202">
        <v>0</v>
      </c>
      <c r="AZ14" s="203">
        <v>0</v>
      </c>
      <c r="BA14" s="203">
        <v>0</v>
      </c>
      <c r="BB14" s="203">
        <v>0</v>
      </c>
      <c r="BC14" s="203">
        <v>0</v>
      </c>
    </row>
    <row r="15" ht="13">
      <c r="A15" s="161" t="s">
        <v>183</v>
      </c>
      <c r="B15" s="202">
        <v>0</v>
      </c>
      <c r="C15" s="202">
        <v>0</v>
      </c>
      <c r="D15" s="202">
        <v>0</v>
      </c>
      <c r="E15" s="202">
        <v>0</v>
      </c>
      <c r="F15" s="202">
        <v>0</v>
      </c>
      <c r="G15" s="202">
        <v>0</v>
      </c>
      <c r="H15" s="202">
        <v>0</v>
      </c>
      <c r="I15" s="202">
        <v>0</v>
      </c>
      <c r="J15" s="202">
        <v>0</v>
      </c>
      <c r="K15" s="204">
        <v>0</v>
      </c>
      <c r="L15" s="204">
        <v>0</v>
      </c>
      <c r="M15" s="204">
        <v>0</v>
      </c>
      <c r="N15" s="202">
        <v>0</v>
      </c>
      <c r="O15" s="201">
        <v>0</v>
      </c>
      <c r="P15" s="202">
        <v>0</v>
      </c>
      <c r="Q15" s="202">
        <v>0</v>
      </c>
      <c r="R15" s="202">
        <v>0</v>
      </c>
      <c r="S15" s="202">
        <v>0</v>
      </c>
      <c r="T15" s="202">
        <v>0</v>
      </c>
      <c r="U15" s="202">
        <v>0</v>
      </c>
      <c r="V15" s="202">
        <v>0</v>
      </c>
      <c r="W15" s="202">
        <v>0</v>
      </c>
      <c r="X15" s="202">
        <v>0</v>
      </c>
      <c r="Y15" s="202">
        <v>0</v>
      </c>
      <c r="Z15" s="202">
        <v>0</v>
      </c>
      <c r="AA15" s="202">
        <v>0</v>
      </c>
      <c r="AB15" s="202">
        <v>0</v>
      </c>
      <c r="AC15" s="202">
        <v>0</v>
      </c>
      <c r="AD15" s="202">
        <v>0</v>
      </c>
      <c r="AE15" s="202">
        <v>0</v>
      </c>
      <c r="AF15" s="202">
        <v>0</v>
      </c>
      <c r="AG15" s="202">
        <v>0</v>
      </c>
      <c r="AH15" s="202">
        <v>0</v>
      </c>
      <c r="AI15" s="202">
        <v>0</v>
      </c>
      <c r="AJ15" s="202">
        <v>0</v>
      </c>
      <c r="AK15" s="202">
        <v>0</v>
      </c>
      <c r="AL15" s="202">
        <v>0</v>
      </c>
      <c r="AM15" s="202">
        <v>0</v>
      </c>
      <c r="AN15" s="202">
        <v>0</v>
      </c>
      <c r="AO15" s="202">
        <v>0</v>
      </c>
      <c r="AP15" s="202">
        <v>0</v>
      </c>
      <c r="AQ15" s="202">
        <v>0</v>
      </c>
      <c r="AR15" s="202">
        <v>0</v>
      </c>
      <c r="AS15" s="202">
        <v>0</v>
      </c>
      <c r="AT15" s="202">
        <v>0</v>
      </c>
      <c r="AU15" s="202">
        <v>0</v>
      </c>
      <c r="AV15" s="202">
        <v>0</v>
      </c>
      <c r="AW15" s="202">
        <v>0</v>
      </c>
      <c r="AX15" s="202">
        <v>0</v>
      </c>
      <c r="AY15" s="202">
        <v>0</v>
      </c>
      <c r="AZ15" s="203">
        <v>0</v>
      </c>
      <c r="BA15" s="203">
        <v>0</v>
      </c>
      <c r="BB15" s="203">
        <v>0</v>
      </c>
      <c r="BC15" s="203">
        <v>0</v>
      </c>
    </row>
    <row r="16" ht="13">
      <c r="A16" s="161" t="s">
        <v>284</v>
      </c>
      <c r="B16" s="202">
        <v>0</v>
      </c>
      <c r="C16" s="202">
        <v>0</v>
      </c>
      <c r="D16" s="202">
        <v>0</v>
      </c>
      <c r="E16" s="202">
        <v>0</v>
      </c>
      <c r="F16" s="202">
        <v>0</v>
      </c>
      <c r="G16" s="202">
        <v>0</v>
      </c>
      <c r="H16" s="202">
        <v>0</v>
      </c>
      <c r="I16" s="202">
        <v>0</v>
      </c>
      <c r="J16" s="202">
        <v>0</v>
      </c>
      <c r="K16" s="204">
        <v>0</v>
      </c>
      <c r="L16" s="204">
        <v>0</v>
      </c>
      <c r="M16" s="204">
        <v>0</v>
      </c>
      <c r="N16" s="202">
        <v>0</v>
      </c>
      <c r="O16" s="202">
        <v>0</v>
      </c>
      <c r="P16" s="201">
        <v>0</v>
      </c>
      <c r="Q16" s="202">
        <v>0</v>
      </c>
      <c r="R16" s="202">
        <v>0</v>
      </c>
      <c r="S16" s="202">
        <v>0</v>
      </c>
      <c r="T16" s="202">
        <v>0</v>
      </c>
      <c r="U16" s="202">
        <v>0</v>
      </c>
      <c r="V16" s="202">
        <f>4.24264068711929+(3.13896484116559/16)</f>
        <v>4.4388259896921394</v>
      </c>
      <c r="W16" s="202">
        <v>0</v>
      </c>
      <c r="X16" s="202">
        <v>0</v>
      </c>
      <c r="Y16" s="202">
        <v>0</v>
      </c>
      <c r="Z16" s="202">
        <v>0</v>
      </c>
      <c r="AA16" s="204">
        <v>0</v>
      </c>
      <c r="AB16" s="202">
        <v>0</v>
      </c>
      <c r="AC16" s="202">
        <v>2.2644391850067498</v>
      </c>
      <c r="AD16" s="202">
        <v>0</v>
      </c>
      <c r="AE16" s="202">
        <v>0</v>
      </c>
      <c r="AF16" s="202">
        <v>0</v>
      </c>
      <c r="AG16" s="202">
        <v>0</v>
      </c>
      <c r="AH16" s="202">
        <v>0</v>
      </c>
      <c r="AI16" s="202">
        <v>0</v>
      </c>
      <c r="AJ16" s="202">
        <v>0</v>
      </c>
      <c r="AK16" s="202">
        <v>0</v>
      </c>
      <c r="AL16" s="202">
        <v>0</v>
      </c>
      <c r="AM16" s="202">
        <v>0</v>
      </c>
      <c r="AN16" s="202">
        <v>0</v>
      </c>
      <c r="AO16" s="202">
        <v>0</v>
      </c>
      <c r="AP16" s="202">
        <v>0</v>
      </c>
      <c r="AQ16" s="202">
        <v>0</v>
      </c>
      <c r="AR16" s="202">
        <v>0</v>
      </c>
      <c r="AS16" s="202">
        <v>0</v>
      </c>
      <c r="AT16" s="202">
        <v>0</v>
      </c>
      <c r="AU16" s="202">
        <v>0</v>
      </c>
      <c r="AV16" s="202">
        <v>0</v>
      </c>
      <c r="AW16" s="202">
        <v>2.16919079978853</v>
      </c>
      <c r="AX16" s="202">
        <v>0.32732683535398899</v>
      </c>
      <c r="AY16" s="202">
        <v>0</v>
      </c>
      <c r="AZ16" s="203">
        <v>0</v>
      </c>
      <c r="BA16" s="203">
        <v>0</v>
      </c>
      <c r="BB16" s="203">
        <v>0</v>
      </c>
      <c r="BC16" s="203">
        <v>0</v>
      </c>
    </row>
    <row r="17" ht="13">
      <c r="A17" s="161" t="s">
        <v>185</v>
      </c>
      <c r="B17" s="202">
        <v>0</v>
      </c>
      <c r="C17" s="202">
        <v>0</v>
      </c>
      <c r="D17" s="202">
        <v>0</v>
      </c>
      <c r="E17" s="202">
        <v>0</v>
      </c>
      <c r="F17" s="202">
        <v>0</v>
      </c>
      <c r="G17" s="202">
        <v>0</v>
      </c>
      <c r="H17" s="202">
        <v>0</v>
      </c>
      <c r="I17" s="202">
        <v>0</v>
      </c>
      <c r="J17" s="202">
        <v>0</v>
      </c>
      <c r="K17" s="204">
        <v>0</v>
      </c>
      <c r="L17" s="204">
        <v>0</v>
      </c>
      <c r="M17" s="204">
        <v>0</v>
      </c>
      <c r="N17" s="202">
        <v>0</v>
      </c>
      <c r="O17" s="202">
        <v>0</v>
      </c>
      <c r="P17" s="202">
        <v>0</v>
      </c>
      <c r="Q17" s="201">
        <v>0</v>
      </c>
      <c r="R17" s="202">
        <v>0</v>
      </c>
      <c r="S17" s="202">
        <v>0</v>
      </c>
      <c r="T17" s="202">
        <v>0</v>
      </c>
      <c r="U17" s="202">
        <f>2.45080143729136+(3/21)</f>
        <v>2.5936585801485026</v>
      </c>
      <c r="V17" s="202">
        <v>0</v>
      </c>
      <c r="W17" s="202">
        <v>0</v>
      </c>
      <c r="X17" s="202">
        <v>0</v>
      </c>
      <c r="Y17" s="202">
        <v>0</v>
      </c>
      <c r="Z17" s="202">
        <v>0</v>
      </c>
      <c r="AA17" s="204">
        <v>0</v>
      </c>
      <c r="AB17" s="202">
        <f>2.74520953534884+(2.80987627199547/12)</f>
        <v>2.9793658913484626</v>
      </c>
      <c r="AC17" s="202">
        <v>2.6457513110645898</v>
      </c>
      <c r="AD17" s="202">
        <v>0</v>
      </c>
      <c r="AE17" s="202">
        <v>0</v>
      </c>
      <c r="AF17" s="202">
        <v>0</v>
      </c>
      <c r="AG17" s="202">
        <v>4.1231056256176597</v>
      </c>
      <c r="AH17" s="202">
        <v>0</v>
      </c>
      <c r="AI17" s="202">
        <v>0</v>
      </c>
      <c r="AJ17" s="202">
        <v>0</v>
      </c>
      <c r="AK17" s="202">
        <v>0</v>
      </c>
      <c r="AL17" s="202">
        <v>0</v>
      </c>
      <c r="AM17" s="202">
        <v>0</v>
      </c>
      <c r="AN17" s="202">
        <v>0</v>
      </c>
      <c r="AO17" s="202">
        <v>0</v>
      </c>
      <c r="AP17" s="202">
        <v>0</v>
      </c>
      <c r="AQ17" s="202">
        <v>1.4142135623731</v>
      </c>
      <c r="AR17" s="202">
        <v>0</v>
      </c>
      <c r="AS17" s="202">
        <v>0</v>
      </c>
      <c r="AT17" s="202">
        <v>0</v>
      </c>
      <c r="AU17" s="202">
        <v>0</v>
      </c>
      <c r="AV17" s="202">
        <v>0</v>
      </c>
      <c r="AW17" s="202">
        <v>1.4261360931697</v>
      </c>
      <c r="AX17" s="202">
        <v>0.32732683535398899</v>
      </c>
      <c r="AY17" s="202">
        <v>0</v>
      </c>
      <c r="AZ17" s="203">
        <v>0</v>
      </c>
      <c r="BA17" s="203">
        <v>0</v>
      </c>
      <c r="BB17" s="203">
        <v>0</v>
      </c>
      <c r="BC17" s="203">
        <v>0</v>
      </c>
    </row>
    <row r="18" ht="13">
      <c r="A18" s="161" t="s">
        <v>186</v>
      </c>
      <c r="B18" s="202">
        <v>0</v>
      </c>
      <c r="C18" s="202">
        <v>0</v>
      </c>
      <c r="D18" s="202">
        <v>0</v>
      </c>
      <c r="E18" s="202">
        <v>0</v>
      </c>
      <c r="F18" s="202">
        <v>0</v>
      </c>
      <c r="G18" s="202">
        <v>0</v>
      </c>
      <c r="H18" s="202">
        <v>0</v>
      </c>
      <c r="I18" s="202">
        <v>0</v>
      </c>
      <c r="J18" s="202">
        <v>0</v>
      </c>
      <c r="K18" s="204">
        <v>0</v>
      </c>
      <c r="L18" s="204">
        <v>0</v>
      </c>
      <c r="M18" s="204">
        <v>0</v>
      </c>
      <c r="N18" s="202">
        <v>0</v>
      </c>
      <c r="O18" s="202">
        <v>0</v>
      </c>
      <c r="P18" s="202">
        <v>0</v>
      </c>
      <c r="Q18" s="202">
        <v>0</v>
      </c>
      <c r="R18" s="201">
        <v>0</v>
      </c>
      <c r="S18" s="202">
        <v>0</v>
      </c>
      <c r="T18" s="202">
        <v>0</v>
      </c>
      <c r="U18" s="202">
        <v>0</v>
      </c>
      <c r="V18" s="202">
        <v>0</v>
      </c>
      <c r="W18" s="202">
        <v>0</v>
      </c>
      <c r="X18" s="202">
        <v>0</v>
      </c>
      <c r="Y18" s="202">
        <v>0</v>
      </c>
      <c r="Z18" s="202">
        <v>0</v>
      </c>
      <c r="AA18" s="204">
        <v>2.4494897427831801</v>
      </c>
      <c r="AB18" s="202">
        <f>2.39165214862028+(2.80987627199547/12)</f>
        <v>2.6258085046199029</v>
      </c>
      <c r="AC18" s="202">
        <v>2.4640269015229102</v>
      </c>
      <c r="AD18" s="202">
        <v>0</v>
      </c>
      <c r="AE18" s="202">
        <v>0</v>
      </c>
      <c r="AF18" s="202">
        <v>3</v>
      </c>
      <c r="AG18" s="202">
        <v>2.22005606088267</v>
      </c>
      <c r="AH18" s="202">
        <v>0</v>
      </c>
      <c r="AI18" s="202">
        <v>0</v>
      </c>
      <c r="AJ18" s="202">
        <v>0</v>
      </c>
      <c r="AK18" s="202">
        <v>0</v>
      </c>
      <c r="AL18" s="202">
        <v>0</v>
      </c>
      <c r="AM18" s="202">
        <v>0</v>
      </c>
      <c r="AN18" s="202">
        <v>0</v>
      </c>
      <c r="AO18" s="202">
        <v>0</v>
      </c>
      <c r="AP18" s="202">
        <v>0</v>
      </c>
      <c r="AQ18" s="202">
        <v>0.94015344189851802</v>
      </c>
      <c r="AR18" s="202">
        <v>0</v>
      </c>
      <c r="AS18" s="202">
        <v>0</v>
      </c>
      <c r="AT18" s="202">
        <f>2+(2/14)</f>
        <v>2.1428571428571428</v>
      </c>
      <c r="AU18" s="202">
        <v>0</v>
      </c>
      <c r="AV18" s="202">
        <v>0</v>
      </c>
      <c r="AW18" s="202">
        <v>2.1573391465984599</v>
      </c>
      <c r="AX18" s="202">
        <v>0.32732683535398899</v>
      </c>
      <c r="AY18" s="202">
        <v>0</v>
      </c>
      <c r="AZ18" s="203">
        <v>0</v>
      </c>
      <c r="BA18" s="203">
        <v>0</v>
      </c>
      <c r="BB18" s="203">
        <v>0</v>
      </c>
      <c r="BC18" s="203">
        <v>0</v>
      </c>
    </row>
    <row r="19" ht="13">
      <c r="A19" s="161" t="s">
        <v>285</v>
      </c>
      <c r="B19" s="202">
        <v>0</v>
      </c>
      <c r="C19" s="202">
        <v>0</v>
      </c>
      <c r="D19" s="202">
        <v>0</v>
      </c>
      <c r="E19" s="202">
        <v>0</v>
      </c>
      <c r="F19" s="202">
        <v>0</v>
      </c>
      <c r="G19" s="202">
        <v>0</v>
      </c>
      <c r="H19" s="202">
        <v>0</v>
      </c>
      <c r="I19" s="204">
        <v>0</v>
      </c>
      <c r="J19" s="204">
        <v>0</v>
      </c>
      <c r="K19" s="204">
        <v>0</v>
      </c>
      <c r="L19" s="204">
        <v>0</v>
      </c>
      <c r="M19" s="204">
        <v>0</v>
      </c>
      <c r="N19" s="204">
        <v>0</v>
      </c>
      <c r="O19" s="202">
        <v>0</v>
      </c>
      <c r="P19" s="202">
        <v>0</v>
      </c>
      <c r="Q19" s="202">
        <v>0</v>
      </c>
      <c r="R19" s="202">
        <v>0</v>
      </c>
      <c r="S19" s="201">
        <v>0</v>
      </c>
      <c r="T19" s="202">
        <v>0</v>
      </c>
      <c r="U19" s="202">
        <v>0</v>
      </c>
      <c r="V19" s="202">
        <v>0</v>
      </c>
      <c r="W19" s="202">
        <v>0</v>
      </c>
      <c r="X19" s="202">
        <v>0</v>
      </c>
      <c r="Y19" s="202">
        <v>0</v>
      </c>
      <c r="Z19" s="202">
        <v>0</v>
      </c>
      <c r="AA19" s="204">
        <v>0</v>
      </c>
      <c r="AB19" s="202">
        <v>0</v>
      </c>
      <c r="AC19" s="202">
        <v>0</v>
      </c>
      <c r="AD19" s="202">
        <v>0</v>
      </c>
      <c r="AE19" s="202">
        <v>0</v>
      </c>
      <c r="AF19" s="202">
        <v>0</v>
      </c>
      <c r="AG19" s="202">
        <v>0</v>
      </c>
      <c r="AH19" s="202">
        <v>0</v>
      </c>
      <c r="AI19" s="202">
        <v>0</v>
      </c>
      <c r="AJ19" s="202">
        <v>0</v>
      </c>
      <c r="AK19" s="202">
        <v>0</v>
      </c>
      <c r="AL19" s="202">
        <v>0</v>
      </c>
      <c r="AM19" s="202">
        <v>0</v>
      </c>
      <c r="AN19" s="202">
        <v>0</v>
      </c>
      <c r="AO19" s="202">
        <v>0</v>
      </c>
      <c r="AP19" s="202">
        <v>0</v>
      </c>
      <c r="AQ19" s="202">
        <v>1.3161178239425899</v>
      </c>
      <c r="AR19" s="202">
        <v>0</v>
      </c>
      <c r="AS19" s="202">
        <v>0</v>
      </c>
      <c r="AT19" s="202">
        <v>0</v>
      </c>
      <c r="AU19" s="202">
        <v>0</v>
      </c>
      <c r="AV19" s="202">
        <v>0</v>
      </c>
      <c r="AW19" s="202">
        <v>1.4331741593496901</v>
      </c>
      <c r="AX19" s="202">
        <v>0.32732683535398899</v>
      </c>
      <c r="AY19" s="202">
        <v>0</v>
      </c>
      <c r="AZ19" s="203">
        <v>0</v>
      </c>
      <c r="BA19" s="203">
        <v>0</v>
      </c>
      <c r="BB19" s="203">
        <v>0</v>
      </c>
      <c r="BC19" s="203">
        <v>0</v>
      </c>
    </row>
    <row r="20" ht="13">
      <c r="A20" s="161" t="s">
        <v>188</v>
      </c>
      <c r="B20" s="202">
        <v>0</v>
      </c>
      <c r="C20" s="202">
        <v>0</v>
      </c>
      <c r="D20" s="202">
        <v>0</v>
      </c>
      <c r="E20" s="202">
        <v>0</v>
      </c>
      <c r="F20" s="202">
        <v>0</v>
      </c>
      <c r="G20" s="202">
        <v>0</v>
      </c>
      <c r="H20" s="202">
        <v>0</v>
      </c>
      <c r="I20" s="204">
        <v>0</v>
      </c>
      <c r="J20" s="204">
        <v>0</v>
      </c>
      <c r="K20" s="204">
        <v>0</v>
      </c>
      <c r="L20" s="204">
        <v>0</v>
      </c>
      <c r="M20" s="204">
        <v>0</v>
      </c>
      <c r="N20" s="204">
        <v>0</v>
      </c>
      <c r="O20" s="202">
        <v>0</v>
      </c>
      <c r="P20" s="202">
        <v>0</v>
      </c>
      <c r="Q20" s="202">
        <v>0</v>
      </c>
      <c r="R20" s="202">
        <v>0</v>
      </c>
      <c r="S20" s="202">
        <v>0</v>
      </c>
      <c r="T20" s="201">
        <v>0</v>
      </c>
      <c r="U20" s="202">
        <v>0</v>
      </c>
      <c r="V20" s="202">
        <v>0</v>
      </c>
      <c r="W20" s="202">
        <v>0</v>
      </c>
      <c r="X20" s="202">
        <v>0</v>
      </c>
      <c r="Y20" s="202">
        <v>0</v>
      </c>
      <c r="Z20" s="202">
        <v>0</v>
      </c>
      <c r="AA20" s="204">
        <v>2.4494897427831801</v>
      </c>
      <c r="AB20" s="202">
        <v>0</v>
      </c>
      <c r="AC20" s="202">
        <v>0</v>
      </c>
      <c r="AD20" s="202">
        <v>0</v>
      </c>
      <c r="AE20" s="202">
        <v>0</v>
      </c>
      <c r="AF20" s="202">
        <v>0</v>
      </c>
      <c r="AG20" s="202">
        <v>0</v>
      </c>
      <c r="AH20" s="202">
        <v>0</v>
      </c>
      <c r="AI20" s="202">
        <v>0</v>
      </c>
      <c r="AJ20" s="202">
        <v>0</v>
      </c>
      <c r="AK20" s="202">
        <v>0</v>
      </c>
      <c r="AL20" s="202">
        <v>0</v>
      </c>
      <c r="AM20" s="202">
        <v>0</v>
      </c>
      <c r="AN20" s="202">
        <v>0</v>
      </c>
      <c r="AO20" s="202">
        <v>0</v>
      </c>
      <c r="AP20" s="202">
        <v>0</v>
      </c>
      <c r="AQ20" s="202">
        <v>1.0137937550497</v>
      </c>
      <c r="AR20" s="202">
        <v>0</v>
      </c>
      <c r="AS20" s="202">
        <v>0</v>
      </c>
      <c r="AT20" s="202">
        <v>0</v>
      </c>
      <c r="AU20" s="202">
        <v>0</v>
      </c>
      <c r="AV20" s="202">
        <v>0</v>
      </c>
      <c r="AW20" s="202">
        <v>1.5370884910879601</v>
      </c>
      <c r="AX20" s="202">
        <v>0.32732683535398899</v>
      </c>
      <c r="AY20" s="202">
        <v>0</v>
      </c>
      <c r="AZ20" s="203">
        <v>0</v>
      </c>
      <c r="BA20" s="203">
        <v>0</v>
      </c>
      <c r="BB20" s="203">
        <v>0</v>
      </c>
      <c r="BC20" s="203">
        <v>0</v>
      </c>
    </row>
    <row r="21" ht="13">
      <c r="A21" s="161" t="s">
        <v>189</v>
      </c>
      <c r="B21" s="202">
        <v>0</v>
      </c>
      <c r="C21" s="202">
        <v>0</v>
      </c>
      <c r="D21" s="202">
        <v>0</v>
      </c>
      <c r="E21" s="202">
        <v>0</v>
      </c>
      <c r="F21" s="202">
        <v>0</v>
      </c>
      <c r="G21" s="202">
        <v>0</v>
      </c>
      <c r="H21" s="202">
        <v>0</v>
      </c>
      <c r="I21" s="204">
        <v>0</v>
      </c>
      <c r="J21" s="204">
        <v>0</v>
      </c>
      <c r="K21" s="204">
        <v>0</v>
      </c>
      <c r="L21" s="204">
        <v>0</v>
      </c>
      <c r="M21" s="204">
        <v>0</v>
      </c>
      <c r="N21" s="204">
        <v>0</v>
      </c>
      <c r="O21" s="202">
        <v>0</v>
      </c>
      <c r="P21" s="202">
        <v>0</v>
      </c>
      <c r="Q21" s="202">
        <v>0</v>
      </c>
      <c r="R21" s="202">
        <v>0</v>
      </c>
      <c r="S21" s="202">
        <v>0</v>
      </c>
      <c r="T21" s="202">
        <v>0</v>
      </c>
      <c r="U21" s="201">
        <v>0</v>
      </c>
      <c r="V21" s="202">
        <v>0</v>
      </c>
      <c r="W21" s="202">
        <v>0</v>
      </c>
      <c r="X21" s="202">
        <v>0</v>
      </c>
      <c r="Y21" s="202">
        <v>0</v>
      </c>
      <c r="Z21" s="202">
        <v>0</v>
      </c>
      <c r="AA21" s="204">
        <v>0</v>
      </c>
      <c r="AB21" s="202">
        <v>0</v>
      </c>
      <c r="AC21" s="202">
        <v>0</v>
      </c>
      <c r="AD21" s="202">
        <v>0</v>
      </c>
      <c r="AE21" s="202">
        <v>0</v>
      </c>
      <c r="AF21" s="202">
        <v>0</v>
      </c>
      <c r="AG21" s="202">
        <v>0</v>
      </c>
      <c r="AH21" s="202">
        <v>0</v>
      </c>
      <c r="AI21" s="202">
        <v>0</v>
      </c>
      <c r="AJ21" s="202">
        <v>0</v>
      </c>
      <c r="AK21" s="202">
        <v>0</v>
      </c>
      <c r="AL21" s="202">
        <v>0</v>
      </c>
      <c r="AM21" s="202">
        <v>0</v>
      </c>
      <c r="AN21" s="202">
        <v>0</v>
      </c>
      <c r="AO21" s="202">
        <v>0</v>
      </c>
      <c r="AP21" s="202">
        <v>0</v>
      </c>
      <c r="AQ21" s="202">
        <v>0</v>
      </c>
      <c r="AR21" s="202">
        <v>0</v>
      </c>
      <c r="AS21" s="202">
        <v>0</v>
      </c>
      <c r="AT21" s="202">
        <v>0</v>
      </c>
      <c r="AU21" s="202">
        <v>0</v>
      </c>
      <c r="AV21" s="202">
        <v>0</v>
      </c>
      <c r="AW21" s="202">
        <v>0</v>
      </c>
      <c r="AX21" s="202">
        <v>0</v>
      </c>
      <c r="AY21" s="202">
        <v>0</v>
      </c>
      <c r="AZ21" s="203">
        <v>0</v>
      </c>
      <c r="BA21" s="203">
        <v>0</v>
      </c>
      <c r="BB21" s="203">
        <v>0</v>
      </c>
      <c r="BC21" s="203">
        <v>0</v>
      </c>
    </row>
    <row r="22" ht="13">
      <c r="A22" s="161" t="s">
        <v>190</v>
      </c>
      <c r="B22" s="202">
        <v>0</v>
      </c>
      <c r="C22" s="202">
        <v>0</v>
      </c>
      <c r="D22" s="202">
        <v>0</v>
      </c>
      <c r="E22" s="202">
        <v>0</v>
      </c>
      <c r="F22" s="202">
        <v>0</v>
      </c>
      <c r="G22" s="202">
        <v>0</v>
      </c>
      <c r="H22" s="202">
        <v>0</v>
      </c>
      <c r="I22" s="204">
        <v>0</v>
      </c>
      <c r="J22" s="204">
        <v>0</v>
      </c>
      <c r="K22" s="204">
        <v>0</v>
      </c>
      <c r="L22" s="204">
        <v>0</v>
      </c>
      <c r="M22" s="204">
        <v>0</v>
      </c>
      <c r="N22" s="204">
        <v>0</v>
      </c>
      <c r="O22" s="202">
        <v>0</v>
      </c>
      <c r="P22" s="202">
        <v>0</v>
      </c>
      <c r="Q22" s="202">
        <v>0</v>
      </c>
      <c r="R22" s="202">
        <v>0</v>
      </c>
      <c r="S22" s="202">
        <v>0</v>
      </c>
      <c r="T22" s="202">
        <v>0</v>
      </c>
      <c r="U22" s="202">
        <v>0</v>
      </c>
      <c r="V22" s="201">
        <v>0</v>
      </c>
      <c r="W22" s="202">
        <v>0</v>
      </c>
      <c r="X22" s="202">
        <v>0</v>
      </c>
      <c r="Y22" s="202">
        <v>0</v>
      </c>
      <c r="Z22" s="202">
        <v>0</v>
      </c>
      <c r="AA22" s="204">
        <v>0</v>
      </c>
      <c r="AB22" s="202">
        <v>0</v>
      </c>
      <c r="AC22" s="202">
        <v>0</v>
      </c>
      <c r="AD22" s="202">
        <v>0</v>
      </c>
      <c r="AE22" s="202">
        <v>0</v>
      </c>
      <c r="AF22" s="202">
        <v>0</v>
      </c>
      <c r="AG22" s="202">
        <v>0</v>
      </c>
      <c r="AH22" s="202">
        <v>0</v>
      </c>
      <c r="AI22" s="202">
        <v>0</v>
      </c>
      <c r="AJ22" s="202">
        <v>0</v>
      </c>
      <c r="AK22" s="202">
        <v>0</v>
      </c>
      <c r="AL22" s="202">
        <v>0</v>
      </c>
      <c r="AM22" s="202">
        <v>0</v>
      </c>
      <c r="AN22" s="202">
        <v>0</v>
      </c>
      <c r="AO22" s="202">
        <v>0</v>
      </c>
      <c r="AP22" s="202">
        <v>0</v>
      </c>
      <c r="AQ22" s="202">
        <v>0</v>
      </c>
      <c r="AR22" s="202">
        <v>0</v>
      </c>
      <c r="AS22" s="202">
        <v>0</v>
      </c>
      <c r="AT22" s="202">
        <v>0</v>
      </c>
      <c r="AU22" s="202">
        <v>0</v>
      </c>
      <c r="AV22" s="202">
        <v>0</v>
      </c>
      <c r="AW22" s="202">
        <v>2.16919079978853</v>
      </c>
      <c r="AX22" s="202">
        <v>0.32732683535398899</v>
      </c>
      <c r="AY22" s="202">
        <v>0</v>
      </c>
      <c r="AZ22" s="203">
        <v>0</v>
      </c>
      <c r="BA22" s="203">
        <v>0</v>
      </c>
      <c r="BB22" s="203">
        <v>0</v>
      </c>
      <c r="BC22" s="203">
        <v>0</v>
      </c>
    </row>
    <row r="23" ht="13">
      <c r="A23" s="161" t="s">
        <v>191</v>
      </c>
      <c r="B23" s="202">
        <v>0</v>
      </c>
      <c r="C23" s="202">
        <v>0</v>
      </c>
      <c r="D23" s="202">
        <v>0</v>
      </c>
      <c r="E23" s="202">
        <v>0</v>
      </c>
      <c r="F23" s="202">
        <v>0</v>
      </c>
      <c r="G23" s="202">
        <v>0</v>
      </c>
      <c r="H23" s="202">
        <v>0</v>
      </c>
      <c r="I23" s="204">
        <v>0</v>
      </c>
      <c r="J23" s="204">
        <v>0</v>
      </c>
      <c r="K23" s="204">
        <v>0</v>
      </c>
      <c r="L23" s="204">
        <v>0</v>
      </c>
      <c r="M23" s="204">
        <v>0</v>
      </c>
      <c r="N23" s="204">
        <v>0</v>
      </c>
      <c r="O23" s="202">
        <v>0</v>
      </c>
      <c r="P23" s="202">
        <v>0</v>
      </c>
      <c r="Q23" s="202">
        <v>0</v>
      </c>
      <c r="R23" s="202">
        <v>0</v>
      </c>
      <c r="S23" s="202">
        <v>0</v>
      </c>
      <c r="T23" s="202">
        <v>0</v>
      </c>
      <c r="U23" s="202">
        <v>3</v>
      </c>
      <c r="V23" s="202">
        <v>0</v>
      </c>
      <c r="W23" s="201">
        <v>0</v>
      </c>
      <c r="X23" s="202">
        <v>0</v>
      </c>
      <c r="Y23" s="202">
        <v>0</v>
      </c>
      <c r="Z23" s="202">
        <v>0</v>
      </c>
      <c r="AA23" s="204">
        <v>0</v>
      </c>
      <c r="AB23" s="202">
        <v>0</v>
      </c>
      <c r="AC23" s="202">
        <v>0</v>
      </c>
      <c r="AD23" s="202">
        <v>0</v>
      </c>
      <c r="AE23" s="202">
        <v>0</v>
      </c>
      <c r="AF23" s="202">
        <v>0</v>
      </c>
      <c r="AG23" s="202">
        <v>0</v>
      </c>
      <c r="AH23" s="202">
        <v>0</v>
      </c>
      <c r="AI23" s="202">
        <v>0</v>
      </c>
      <c r="AJ23" s="202">
        <f>1.40987548396094+(1.41497117678151/12)</f>
        <v>1.5277897486927325</v>
      </c>
      <c r="AK23" s="202">
        <v>0</v>
      </c>
      <c r="AL23" s="202">
        <v>0</v>
      </c>
      <c r="AM23" s="202">
        <v>0</v>
      </c>
      <c r="AN23" s="202">
        <v>0</v>
      </c>
      <c r="AO23" s="202">
        <v>0</v>
      </c>
      <c r="AP23" s="202">
        <v>0</v>
      </c>
      <c r="AQ23" s="202">
        <v>0</v>
      </c>
      <c r="AR23" s="202">
        <v>0</v>
      </c>
      <c r="AS23" s="202">
        <v>0</v>
      </c>
      <c r="AT23" s="202">
        <f>2+(2/14)</f>
        <v>2.1428571428571428</v>
      </c>
      <c r="AU23" s="202">
        <v>0</v>
      </c>
      <c r="AV23" s="202">
        <v>0</v>
      </c>
      <c r="AW23" s="202">
        <v>2.2360679774997898</v>
      </c>
      <c r="AX23" s="202">
        <v>0.32732683535398899</v>
      </c>
      <c r="AY23" s="202">
        <v>0</v>
      </c>
      <c r="AZ23" s="203">
        <v>0</v>
      </c>
      <c r="BA23" s="203">
        <v>0</v>
      </c>
      <c r="BB23" s="203">
        <v>0</v>
      </c>
      <c r="BC23" s="203">
        <v>0</v>
      </c>
    </row>
    <row r="24" ht="13">
      <c r="A24" s="161" t="s">
        <v>294</v>
      </c>
      <c r="B24" s="202">
        <v>0</v>
      </c>
      <c r="C24" s="202">
        <v>0</v>
      </c>
      <c r="D24" s="202">
        <v>0</v>
      </c>
      <c r="E24" s="202">
        <v>0</v>
      </c>
      <c r="F24" s="202">
        <v>0</v>
      </c>
      <c r="G24" s="202">
        <v>0</v>
      </c>
      <c r="H24" s="202">
        <v>0</v>
      </c>
      <c r="I24" s="204">
        <v>0</v>
      </c>
      <c r="J24" s="204">
        <v>0</v>
      </c>
      <c r="K24" s="204">
        <v>0</v>
      </c>
      <c r="L24" s="204">
        <v>0</v>
      </c>
      <c r="M24" s="204">
        <v>0</v>
      </c>
      <c r="N24" s="204">
        <v>0</v>
      </c>
      <c r="O24" s="202">
        <v>0</v>
      </c>
      <c r="P24" s="202">
        <v>0</v>
      </c>
      <c r="Q24" s="202">
        <v>0</v>
      </c>
      <c r="R24" s="202">
        <v>0</v>
      </c>
      <c r="S24" s="202">
        <v>0</v>
      </c>
      <c r="T24" s="202">
        <v>0</v>
      </c>
      <c r="U24" s="202">
        <v>0</v>
      </c>
      <c r="V24" s="202">
        <v>0</v>
      </c>
      <c r="W24" s="202">
        <v>0</v>
      </c>
      <c r="X24" s="201">
        <v>0</v>
      </c>
      <c r="Y24" s="202">
        <v>0</v>
      </c>
      <c r="Z24" s="202">
        <v>0</v>
      </c>
      <c r="AA24" s="204">
        <v>0</v>
      </c>
      <c r="AB24" s="202">
        <v>0</v>
      </c>
      <c r="AC24" s="202">
        <v>0</v>
      </c>
      <c r="AD24" s="202">
        <v>0</v>
      </c>
      <c r="AE24" s="202">
        <v>0</v>
      </c>
      <c r="AF24" s="202">
        <v>0</v>
      </c>
      <c r="AG24" s="202">
        <v>0</v>
      </c>
      <c r="AH24" s="202">
        <v>0</v>
      </c>
      <c r="AI24" s="202">
        <v>0</v>
      </c>
      <c r="AJ24" s="202">
        <v>0</v>
      </c>
      <c r="AK24" s="202">
        <v>0</v>
      </c>
      <c r="AL24" s="202">
        <v>0</v>
      </c>
      <c r="AM24" s="202">
        <v>0</v>
      </c>
      <c r="AN24" s="202">
        <v>0</v>
      </c>
      <c r="AO24" s="202">
        <v>0</v>
      </c>
      <c r="AP24" s="202">
        <v>0</v>
      </c>
      <c r="AQ24" s="202">
        <v>0</v>
      </c>
      <c r="AR24" s="202">
        <v>0</v>
      </c>
      <c r="AS24" s="202">
        <v>0</v>
      </c>
      <c r="AT24" s="202">
        <v>0</v>
      </c>
      <c r="AU24" s="202">
        <v>0</v>
      </c>
      <c r="AV24" s="202">
        <v>0</v>
      </c>
      <c r="AW24" s="202">
        <v>0</v>
      </c>
      <c r="AX24" s="202">
        <v>0</v>
      </c>
      <c r="AY24" s="202">
        <v>0</v>
      </c>
      <c r="AZ24" s="203">
        <v>0</v>
      </c>
      <c r="BA24" s="203">
        <v>0</v>
      </c>
      <c r="BB24" s="203">
        <v>0</v>
      </c>
      <c r="BC24" s="203">
        <v>0</v>
      </c>
    </row>
    <row r="25" ht="13">
      <c r="A25" s="162" t="s">
        <v>225</v>
      </c>
      <c r="B25" s="202">
        <v>0</v>
      </c>
      <c r="C25" s="202">
        <v>0</v>
      </c>
      <c r="D25" s="202">
        <v>0</v>
      </c>
      <c r="E25" s="202">
        <v>0</v>
      </c>
      <c r="F25" s="202">
        <v>0</v>
      </c>
      <c r="G25" s="202">
        <v>0</v>
      </c>
      <c r="H25" s="202">
        <v>0</v>
      </c>
      <c r="I25" s="204">
        <v>0</v>
      </c>
      <c r="J25" s="204">
        <v>0</v>
      </c>
      <c r="K25" s="204">
        <v>0</v>
      </c>
      <c r="L25" s="204">
        <v>0</v>
      </c>
      <c r="M25" s="204">
        <v>0</v>
      </c>
      <c r="N25" s="204">
        <v>0</v>
      </c>
      <c r="O25" s="202">
        <v>0</v>
      </c>
      <c r="P25" s="202">
        <v>0</v>
      </c>
      <c r="Q25" s="202">
        <v>0</v>
      </c>
      <c r="R25" s="202">
        <v>0</v>
      </c>
      <c r="S25" s="202">
        <v>0</v>
      </c>
      <c r="T25" s="202">
        <v>0</v>
      </c>
      <c r="U25" s="202">
        <v>3</v>
      </c>
      <c r="V25" s="202">
        <v>0</v>
      </c>
      <c r="W25" s="202">
        <v>0</v>
      </c>
      <c r="X25" s="202">
        <v>0</v>
      </c>
      <c r="Y25" s="201">
        <v>2.2360679774997898</v>
      </c>
      <c r="Z25" s="202">
        <v>0</v>
      </c>
      <c r="AA25" s="204">
        <v>0</v>
      </c>
      <c r="AB25" s="202">
        <v>0</v>
      </c>
      <c r="AC25" s="202">
        <v>0</v>
      </c>
      <c r="AD25" s="202">
        <v>0</v>
      </c>
      <c r="AE25" s="202">
        <v>0</v>
      </c>
      <c r="AF25" s="202">
        <v>0</v>
      </c>
      <c r="AG25" s="202">
        <v>0</v>
      </c>
      <c r="AH25" s="202">
        <v>0</v>
      </c>
      <c r="AI25" s="202">
        <v>0</v>
      </c>
      <c r="AJ25" s="202">
        <v>0</v>
      </c>
      <c r="AK25" s="202">
        <v>0</v>
      </c>
      <c r="AL25" s="202">
        <v>0</v>
      </c>
      <c r="AM25" s="202">
        <v>0</v>
      </c>
      <c r="AN25" s="202">
        <v>0</v>
      </c>
      <c r="AO25" s="202">
        <v>0</v>
      </c>
      <c r="AP25" s="202">
        <v>0</v>
      </c>
      <c r="AQ25" s="202">
        <v>1.4142135623731</v>
      </c>
      <c r="AR25" s="202">
        <v>0</v>
      </c>
      <c r="AS25" s="202">
        <v>0</v>
      </c>
      <c r="AT25" s="202">
        <v>0</v>
      </c>
      <c r="AU25" s="202">
        <v>0</v>
      </c>
      <c r="AV25" s="202">
        <v>0</v>
      </c>
      <c r="AW25" s="202">
        <v>0</v>
      </c>
      <c r="AX25" s="202">
        <v>0</v>
      </c>
      <c r="AY25" s="202">
        <v>0</v>
      </c>
      <c r="AZ25" s="203">
        <v>0</v>
      </c>
      <c r="BA25" s="203">
        <v>0</v>
      </c>
      <c r="BB25" s="203">
        <v>0</v>
      </c>
      <c r="BC25" s="203">
        <v>0</v>
      </c>
    </row>
    <row r="26" ht="13">
      <c r="A26" s="162" t="s">
        <v>226</v>
      </c>
      <c r="B26" s="202">
        <v>0</v>
      </c>
      <c r="C26" s="202">
        <v>0</v>
      </c>
      <c r="D26" s="202">
        <v>0</v>
      </c>
      <c r="E26" s="202">
        <v>0</v>
      </c>
      <c r="F26" s="202">
        <v>0</v>
      </c>
      <c r="G26" s="202">
        <v>0</v>
      </c>
      <c r="H26" s="202">
        <v>0</v>
      </c>
      <c r="I26" s="204">
        <v>0</v>
      </c>
      <c r="J26" s="204">
        <v>0</v>
      </c>
      <c r="K26" s="204">
        <v>0</v>
      </c>
      <c r="L26" s="204">
        <v>0</v>
      </c>
      <c r="M26" s="204">
        <v>0</v>
      </c>
      <c r="N26" s="204">
        <v>0</v>
      </c>
      <c r="O26" s="202">
        <v>0</v>
      </c>
      <c r="P26" s="202">
        <v>0</v>
      </c>
      <c r="Q26" s="202">
        <v>0</v>
      </c>
      <c r="R26" s="202">
        <v>0</v>
      </c>
      <c r="S26" s="202">
        <v>0</v>
      </c>
      <c r="T26" s="202">
        <v>0</v>
      </c>
      <c r="U26" s="202">
        <v>0</v>
      </c>
      <c r="V26" s="202">
        <v>0</v>
      </c>
      <c r="W26" s="202">
        <v>0</v>
      </c>
      <c r="X26" s="202">
        <v>0</v>
      </c>
      <c r="Y26" s="202">
        <v>0</v>
      </c>
      <c r="Z26" s="201">
        <v>0</v>
      </c>
      <c r="AA26" s="202">
        <v>0</v>
      </c>
      <c r="AB26" s="202">
        <f>3.3166247903554+(2.80987627199547/12)</f>
        <v>3.5507811463550225</v>
      </c>
      <c r="AC26" s="202">
        <v>0</v>
      </c>
      <c r="AD26" s="202">
        <v>0</v>
      </c>
      <c r="AE26" s="202">
        <v>0</v>
      </c>
      <c r="AF26" s="202">
        <v>0</v>
      </c>
      <c r="AG26" s="202">
        <v>3.1526507859041799</v>
      </c>
      <c r="AH26" s="202">
        <v>0</v>
      </c>
      <c r="AI26" s="202">
        <v>0</v>
      </c>
      <c r="AJ26" s="202">
        <v>0</v>
      </c>
      <c r="AK26" s="202">
        <v>0</v>
      </c>
      <c r="AL26" s="202">
        <v>0</v>
      </c>
      <c r="AM26" s="202">
        <v>0</v>
      </c>
      <c r="AN26" s="202">
        <v>0</v>
      </c>
      <c r="AO26" s="202">
        <v>0</v>
      </c>
      <c r="AP26" s="202">
        <v>0</v>
      </c>
      <c r="AQ26" s="202">
        <v>0</v>
      </c>
      <c r="AR26" s="202">
        <v>0</v>
      </c>
      <c r="AS26" s="202">
        <v>0</v>
      </c>
      <c r="AT26" s="202">
        <v>0</v>
      </c>
      <c r="AU26" s="202">
        <v>0</v>
      </c>
      <c r="AV26" s="202">
        <v>0</v>
      </c>
      <c r="AW26" s="202">
        <v>0</v>
      </c>
      <c r="AX26" s="202">
        <v>0</v>
      </c>
      <c r="AY26" s="202">
        <v>0</v>
      </c>
      <c r="AZ26" s="203">
        <v>0</v>
      </c>
      <c r="BA26" s="203">
        <v>0</v>
      </c>
      <c r="BB26" s="203">
        <v>0</v>
      </c>
      <c r="BC26" s="203">
        <v>0</v>
      </c>
    </row>
    <row r="27" ht="13">
      <c r="A27" s="162" t="s">
        <v>227</v>
      </c>
      <c r="B27" s="202">
        <v>0</v>
      </c>
      <c r="C27" s="202">
        <v>0</v>
      </c>
      <c r="D27" s="202">
        <v>0</v>
      </c>
      <c r="E27" s="202">
        <v>0</v>
      </c>
      <c r="F27" s="202">
        <v>0</v>
      </c>
      <c r="G27" s="202">
        <v>0</v>
      </c>
      <c r="H27" s="202">
        <v>0</v>
      </c>
      <c r="I27" s="204">
        <v>0</v>
      </c>
      <c r="J27" s="204">
        <v>0</v>
      </c>
      <c r="K27" s="204">
        <v>0</v>
      </c>
      <c r="L27" s="204">
        <v>0</v>
      </c>
      <c r="M27" s="204">
        <v>0</v>
      </c>
      <c r="N27" s="204">
        <v>0</v>
      </c>
      <c r="O27" s="202">
        <v>0</v>
      </c>
      <c r="P27" s="202">
        <v>0</v>
      </c>
      <c r="Q27" s="202">
        <v>0</v>
      </c>
      <c r="R27" s="202">
        <v>0</v>
      </c>
      <c r="S27" s="202">
        <v>0</v>
      </c>
      <c r="T27" s="202">
        <v>0</v>
      </c>
      <c r="U27" s="202">
        <v>0</v>
      </c>
      <c r="V27" s="202">
        <v>0</v>
      </c>
      <c r="W27" s="202">
        <v>0</v>
      </c>
      <c r="X27" s="202">
        <v>0</v>
      </c>
      <c r="Y27" s="202">
        <v>0</v>
      </c>
      <c r="Z27" s="202">
        <v>0</v>
      </c>
      <c r="AA27" s="201">
        <v>0</v>
      </c>
      <c r="AB27" s="202">
        <v>0</v>
      </c>
      <c r="AC27" s="202">
        <v>0</v>
      </c>
      <c r="AD27" s="202">
        <v>0</v>
      </c>
      <c r="AE27" s="202">
        <v>0</v>
      </c>
      <c r="AF27" s="202">
        <v>0</v>
      </c>
      <c r="AG27" s="202">
        <v>0</v>
      </c>
      <c r="AH27" s="202">
        <v>0</v>
      </c>
      <c r="AI27" s="202">
        <v>0</v>
      </c>
      <c r="AJ27" s="202">
        <v>0</v>
      </c>
      <c r="AK27" s="202">
        <v>0</v>
      </c>
      <c r="AL27" s="202">
        <v>0</v>
      </c>
      <c r="AM27" s="202">
        <v>0</v>
      </c>
      <c r="AN27" s="202">
        <v>0</v>
      </c>
      <c r="AO27" s="202">
        <v>0</v>
      </c>
      <c r="AP27" s="202">
        <v>0</v>
      </c>
      <c r="AQ27" s="202">
        <v>0</v>
      </c>
      <c r="AR27" s="202">
        <v>0</v>
      </c>
      <c r="AS27" s="202">
        <v>0</v>
      </c>
      <c r="AT27" s="202">
        <v>0</v>
      </c>
      <c r="AU27" s="202">
        <v>0</v>
      </c>
      <c r="AV27" s="202">
        <v>0</v>
      </c>
      <c r="AW27" s="202">
        <v>0</v>
      </c>
      <c r="AX27" s="202">
        <v>0</v>
      </c>
      <c r="AY27" s="202">
        <v>0</v>
      </c>
      <c r="AZ27" s="203">
        <v>0</v>
      </c>
      <c r="BA27" s="203">
        <v>0</v>
      </c>
      <c r="BB27" s="203">
        <v>0</v>
      </c>
      <c r="BC27" s="203">
        <v>0</v>
      </c>
    </row>
    <row r="28" ht="13">
      <c r="A28" s="162" t="s">
        <v>228</v>
      </c>
      <c r="B28" s="202">
        <v>0</v>
      </c>
      <c r="C28" s="202">
        <v>0</v>
      </c>
      <c r="D28" s="202">
        <v>0</v>
      </c>
      <c r="E28" s="202">
        <v>0</v>
      </c>
      <c r="F28" s="202">
        <v>0</v>
      </c>
      <c r="G28" s="202">
        <v>0</v>
      </c>
      <c r="H28" s="202">
        <v>0</v>
      </c>
      <c r="I28" s="204">
        <v>0</v>
      </c>
      <c r="J28" s="204">
        <v>0</v>
      </c>
      <c r="K28" s="204">
        <v>0</v>
      </c>
      <c r="L28" s="204">
        <v>0</v>
      </c>
      <c r="M28" s="204">
        <v>0</v>
      </c>
      <c r="N28" s="204">
        <v>0</v>
      </c>
      <c r="O28" s="202">
        <v>0</v>
      </c>
      <c r="P28" s="202">
        <v>0</v>
      </c>
      <c r="Q28" s="202">
        <v>0</v>
      </c>
      <c r="R28" s="202">
        <v>0</v>
      </c>
      <c r="S28" s="202">
        <v>0</v>
      </c>
      <c r="T28" s="202">
        <v>0</v>
      </c>
      <c r="U28" s="202">
        <v>0</v>
      </c>
      <c r="V28" s="202">
        <v>0</v>
      </c>
      <c r="W28" s="202">
        <v>0</v>
      </c>
      <c r="X28" s="202">
        <v>0</v>
      </c>
      <c r="Y28" s="202">
        <v>0</v>
      </c>
      <c r="Z28" s="202">
        <v>0</v>
      </c>
      <c r="AA28" s="202">
        <v>0</v>
      </c>
      <c r="AB28" s="201">
        <v>0</v>
      </c>
      <c r="AC28" s="202">
        <v>0</v>
      </c>
      <c r="AD28" s="202">
        <v>0</v>
      </c>
      <c r="AE28" s="202">
        <v>0</v>
      </c>
      <c r="AF28" s="202">
        <v>0</v>
      </c>
      <c r="AG28" s="202">
        <v>0</v>
      </c>
      <c r="AH28" s="202">
        <v>0</v>
      </c>
      <c r="AI28" s="202">
        <v>0</v>
      </c>
      <c r="AJ28" s="202">
        <v>0</v>
      </c>
      <c r="AK28" s="202">
        <v>0</v>
      </c>
      <c r="AL28" s="202">
        <v>0</v>
      </c>
      <c r="AM28" s="202">
        <v>0</v>
      </c>
      <c r="AN28" s="202">
        <v>0</v>
      </c>
      <c r="AO28" s="202">
        <v>0</v>
      </c>
      <c r="AP28" s="202">
        <v>0</v>
      </c>
      <c r="AQ28" s="202">
        <v>0</v>
      </c>
      <c r="AR28" s="202">
        <v>0</v>
      </c>
      <c r="AS28" s="202">
        <v>0</v>
      </c>
      <c r="AT28" s="202">
        <v>0</v>
      </c>
      <c r="AU28" s="202">
        <v>0</v>
      </c>
      <c r="AV28" s="202">
        <v>0</v>
      </c>
      <c r="AW28" s="202">
        <v>0</v>
      </c>
      <c r="AX28" s="202">
        <v>0</v>
      </c>
      <c r="AY28" s="202">
        <v>0</v>
      </c>
      <c r="AZ28" s="203">
        <v>0</v>
      </c>
      <c r="BA28" s="203">
        <v>0</v>
      </c>
      <c r="BB28" s="203">
        <v>0</v>
      </c>
      <c r="BC28" s="203">
        <v>0</v>
      </c>
    </row>
    <row r="29" ht="13">
      <c r="A29" s="161" t="s">
        <v>197</v>
      </c>
      <c r="B29" s="202">
        <v>0</v>
      </c>
      <c r="C29" s="202">
        <v>0</v>
      </c>
      <c r="D29" s="202">
        <v>0</v>
      </c>
      <c r="E29" s="202">
        <v>0</v>
      </c>
      <c r="F29" s="202">
        <v>0</v>
      </c>
      <c r="G29" s="202">
        <v>0</v>
      </c>
      <c r="H29" s="202">
        <v>0</v>
      </c>
      <c r="I29" s="204">
        <v>0</v>
      </c>
      <c r="J29" s="204">
        <v>0</v>
      </c>
      <c r="K29" s="204">
        <v>0</v>
      </c>
      <c r="L29" s="204">
        <v>0</v>
      </c>
      <c r="M29" s="204">
        <v>0</v>
      </c>
      <c r="N29" s="204">
        <v>0</v>
      </c>
      <c r="O29" s="202">
        <v>0</v>
      </c>
      <c r="P29" s="202">
        <v>0</v>
      </c>
      <c r="Q29" s="202">
        <v>0</v>
      </c>
      <c r="R29" s="202">
        <v>0</v>
      </c>
      <c r="S29" s="202">
        <v>0</v>
      </c>
      <c r="T29" s="202">
        <v>0</v>
      </c>
      <c r="U29" s="202">
        <v>0</v>
      </c>
      <c r="V29" s="202">
        <v>0</v>
      </c>
      <c r="W29" s="202">
        <v>0</v>
      </c>
      <c r="X29" s="202">
        <v>0</v>
      </c>
      <c r="Y29" s="202">
        <v>0</v>
      </c>
      <c r="Z29" s="202">
        <v>0</v>
      </c>
      <c r="AA29" s="202">
        <v>0</v>
      </c>
      <c r="AB29" s="202">
        <v>0</v>
      </c>
      <c r="AC29" s="201">
        <v>0</v>
      </c>
      <c r="AD29" s="202">
        <v>0</v>
      </c>
      <c r="AE29" s="202">
        <v>0</v>
      </c>
      <c r="AF29" s="202">
        <v>0</v>
      </c>
      <c r="AG29" s="202">
        <v>0</v>
      </c>
      <c r="AH29" s="202">
        <v>0</v>
      </c>
      <c r="AI29" s="202">
        <v>0</v>
      </c>
      <c r="AJ29" s="202">
        <v>0</v>
      </c>
      <c r="AK29" s="202">
        <v>0</v>
      </c>
      <c r="AL29" s="202">
        <v>0</v>
      </c>
      <c r="AM29" s="202">
        <v>0</v>
      </c>
      <c r="AN29" s="202">
        <v>0</v>
      </c>
      <c r="AO29" s="202">
        <v>0</v>
      </c>
      <c r="AP29" s="202">
        <v>0</v>
      </c>
      <c r="AQ29" s="202">
        <v>0</v>
      </c>
      <c r="AR29" s="202">
        <v>0</v>
      </c>
      <c r="AS29" s="202">
        <v>0</v>
      </c>
      <c r="AT29" s="202">
        <v>0</v>
      </c>
      <c r="AU29" s="202">
        <v>0</v>
      </c>
      <c r="AV29" s="202">
        <v>0</v>
      </c>
      <c r="AW29" s="202">
        <v>0</v>
      </c>
      <c r="AX29" s="202">
        <v>0</v>
      </c>
      <c r="AY29" s="202">
        <v>0</v>
      </c>
      <c r="AZ29" s="203">
        <v>0</v>
      </c>
      <c r="BA29" s="203">
        <v>0</v>
      </c>
      <c r="BB29" s="203">
        <v>0</v>
      </c>
      <c r="BC29" s="203">
        <v>0</v>
      </c>
    </row>
    <row r="30" ht="13">
      <c r="A30" s="161" t="s">
        <v>198</v>
      </c>
      <c r="B30" s="202">
        <v>0</v>
      </c>
      <c r="C30" s="202">
        <v>0</v>
      </c>
      <c r="D30" s="202">
        <v>0</v>
      </c>
      <c r="E30" s="202">
        <v>0</v>
      </c>
      <c r="F30" s="202">
        <v>0</v>
      </c>
      <c r="G30" s="202">
        <v>0</v>
      </c>
      <c r="H30" s="202">
        <v>0</v>
      </c>
      <c r="I30" s="204">
        <v>0</v>
      </c>
      <c r="J30" s="204">
        <v>0</v>
      </c>
      <c r="K30" s="204">
        <v>0</v>
      </c>
      <c r="L30" s="204">
        <v>0</v>
      </c>
      <c r="M30" s="204">
        <v>0</v>
      </c>
      <c r="N30" s="204">
        <v>0</v>
      </c>
      <c r="O30" s="202">
        <v>0</v>
      </c>
      <c r="P30" s="202">
        <v>0</v>
      </c>
      <c r="Q30" s="202">
        <f>2+(2/8)</f>
        <v>2.25</v>
      </c>
      <c r="R30" s="202">
        <v>0</v>
      </c>
      <c r="S30" s="202">
        <v>0</v>
      </c>
      <c r="T30" s="202">
        <v>0</v>
      </c>
      <c r="U30" s="202">
        <f>1.62880086967866+(3/21)</f>
        <v>1.7716580125358028</v>
      </c>
      <c r="V30" s="202">
        <f>4.24264068711928+(3.13896484116559/16)</f>
        <v>4.4388259896921296</v>
      </c>
      <c r="W30" s="202">
        <v>0</v>
      </c>
      <c r="X30" s="202">
        <v>0</v>
      </c>
      <c r="Y30" s="202">
        <v>0</v>
      </c>
      <c r="Z30" s="202">
        <v>0</v>
      </c>
      <c r="AA30" s="202">
        <v>2.21118833348809</v>
      </c>
      <c r="AB30" s="202">
        <v>0</v>
      </c>
      <c r="AC30" s="202">
        <v>0</v>
      </c>
      <c r="AD30" s="201">
        <v>0</v>
      </c>
      <c r="AE30" s="202">
        <v>0</v>
      </c>
      <c r="AF30" s="202">
        <v>0</v>
      </c>
      <c r="AG30" s="202">
        <v>0</v>
      </c>
      <c r="AH30" s="202">
        <v>0</v>
      </c>
      <c r="AI30" s="202">
        <v>0</v>
      </c>
      <c r="AJ30" s="202">
        <v>0</v>
      </c>
      <c r="AK30" s="202">
        <v>0</v>
      </c>
      <c r="AL30" s="202">
        <v>0</v>
      </c>
      <c r="AM30" s="202">
        <v>0</v>
      </c>
      <c r="AN30" s="202">
        <v>0</v>
      </c>
      <c r="AO30" s="202">
        <v>0</v>
      </c>
      <c r="AP30" s="202">
        <v>0</v>
      </c>
      <c r="AQ30" s="202">
        <v>1.0017602988423</v>
      </c>
      <c r="AR30" s="202">
        <v>0</v>
      </c>
      <c r="AS30" s="202">
        <v>0</v>
      </c>
      <c r="AT30" s="202">
        <v>0</v>
      </c>
      <c r="AU30" s="202">
        <v>0</v>
      </c>
      <c r="AV30" s="202">
        <v>0</v>
      </c>
      <c r="AW30" s="202">
        <v>1.58465362052126</v>
      </c>
      <c r="AX30" s="202">
        <v>0.32732683535398899</v>
      </c>
      <c r="AY30" s="202">
        <v>0</v>
      </c>
      <c r="AZ30" s="203">
        <v>0</v>
      </c>
      <c r="BA30" s="203">
        <v>0</v>
      </c>
      <c r="BB30" s="203">
        <v>0</v>
      </c>
      <c r="BC30" s="203">
        <v>0</v>
      </c>
    </row>
    <row r="31" ht="13">
      <c r="A31" s="161" t="s">
        <v>199</v>
      </c>
      <c r="B31" s="202">
        <v>0</v>
      </c>
      <c r="C31" s="202">
        <v>0</v>
      </c>
      <c r="D31" s="202">
        <v>0</v>
      </c>
      <c r="E31" s="202">
        <v>0</v>
      </c>
      <c r="F31" s="202">
        <v>0</v>
      </c>
      <c r="G31" s="202">
        <v>0</v>
      </c>
      <c r="H31" s="202">
        <v>0</v>
      </c>
      <c r="I31" s="204">
        <v>0</v>
      </c>
      <c r="J31" s="204">
        <v>0</v>
      </c>
      <c r="K31" s="204">
        <v>0</v>
      </c>
      <c r="L31" s="204">
        <v>0</v>
      </c>
      <c r="M31" s="204">
        <v>0</v>
      </c>
      <c r="N31" s="204">
        <v>0</v>
      </c>
      <c r="O31" s="202">
        <v>0</v>
      </c>
      <c r="P31" s="202">
        <v>0</v>
      </c>
      <c r="Q31" s="202">
        <v>0</v>
      </c>
      <c r="R31" s="202">
        <v>0</v>
      </c>
      <c r="S31" s="202">
        <v>0</v>
      </c>
      <c r="T31" s="202">
        <v>0</v>
      </c>
      <c r="U31" s="202">
        <v>0</v>
      </c>
      <c r="V31" s="202">
        <v>0</v>
      </c>
      <c r="W31" s="202">
        <v>0</v>
      </c>
      <c r="X31" s="202">
        <v>0</v>
      </c>
      <c r="Y31" s="202">
        <v>0</v>
      </c>
      <c r="Z31" s="202">
        <v>0</v>
      </c>
      <c r="AA31" s="202">
        <v>0</v>
      </c>
      <c r="AB31" s="202">
        <v>0</v>
      </c>
      <c r="AC31" s="202">
        <v>0</v>
      </c>
      <c r="AD31" s="202">
        <v>0</v>
      </c>
      <c r="AE31" s="201">
        <v>0</v>
      </c>
      <c r="AF31" s="202">
        <v>0</v>
      </c>
      <c r="AG31" s="202">
        <v>0</v>
      </c>
      <c r="AH31" s="202">
        <v>0</v>
      </c>
      <c r="AI31" s="202">
        <v>0</v>
      </c>
      <c r="AJ31" s="202">
        <v>0</v>
      </c>
      <c r="AK31" s="202">
        <v>0</v>
      </c>
      <c r="AL31" s="202">
        <v>0</v>
      </c>
      <c r="AM31" s="202">
        <v>0</v>
      </c>
      <c r="AN31" s="202">
        <v>0</v>
      </c>
      <c r="AO31" s="202">
        <v>0</v>
      </c>
      <c r="AP31" s="202">
        <v>0</v>
      </c>
      <c r="AQ31" s="202">
        <v>0</v>
      </c>
      <c r="AR31" s="202">
        <v>0</v>
      </c>
      <c r="AS31" s="202">
        <v>0</v>
      </c>
      <c r="AT31" s="202">
        <v>0</v>
      </c>
      <c r="AU31" s="202">
        <v>0</v>
      </c>
      <c r="AV31" s="202">
        <v>0</v>
      </c>
      <c r="AW31" s="202">
        <v>1.29321346114956</v>
      </c>
      <c r="AX31" s="202">
        <v>0.32732683535398899</v>
      </c>
      <c r="AY31" s="202">
        <v>0</v>
      </c>
      <c r="AZ31" s="203">
        <v>0</v>
      </c>
      <c r="BA31" s="203">
        <v>0</v>
      </c>
      <c r="BB31" s="203">
        <v>0</v>
      </c>
      <c r="BC31" s="203">
        <v>0</v>
      </c>
    </row>
    <row r="32" ht="13">
      <c r="A32" s="162" t="s">
        <v>229</v>
      </c>
      <c r="B32" s="202">
        <v>0</v>
      </c>
      <c r="C32" s="202">
        <v>0</v>
      </c>
      <c r="D32" s="202">
        <v>0</v>
      </c>
      <c r="E32" s="202">
        <v>0</v>
      </c>
      <c r="F32" s="202">
        <v>0</v>
      </c>
      <c r="G32" s="202">
        <v>0</v>
      </c>
      <c r="H32" s="202">
        <v>0</v>
      </c>
      <c r="I32" s="204">
        <v>0</v>
      </c>
      <c r="J32" s="204">
        <v>0</v>
      </c>
      <c r="K32" s="204">
        <v>0</v>
      </c>
      <c r="L32" s="204">
        <v>0</v>
      </c>
      <c r="M32" s="204">
        <v>0</v>
      </c>
      <c r="N32" s="204">
        <v>1.7320508075688801</v>
      </c>
      <c r="O32" s="202">
        <v>1.4142135623731</v>
      </c>
      <c r="P32" s="202">
        <f>2.23606797749979+(1.17124557190675/10)</f>
        <v>2.3531925346904647</v>
      </c>
      <c r="Q32" s="202">
        <f>2+(2/8)</f>
        <v>2.25</v>
      </c>
      <c r="R32" s="202">
        <v>2.8328179637599602</v>
      </c>
      <c r="S32" s="202">
        <v>0</v>
      </c>
      <c r="T32" s="202">
        <v>0</v>
      </c>
      <c r="U32" s="202">
        <f>1.34435374563766+(3/21)</f>
        <v>1.4872108884948028</v>
      </c>
      <c r="V32" s="202">
        <f>3.43187671366233+(3.13896484116559/16)</f>
        <v>3.6280620162351793</v>
      </c>
      <c r="W32" s="202">
        <v>1.49794097363475</v>
      </c>
      <c r="X32" s="202">
        <v>1.49794097363475</v>
      </c>
      <c r="Y32" s="202">
        <v>0</v>
      </c>
      <c r="Z32" s="202">
        <v>0</v>
      </c>
      <c r="AA32" s="202">
        <v>0.244463854998408</v>
      </c>
      <c r="AB32" s="202">
        <f>1.34939063811731+(2.80987627199547/12)</f>
        <v>1.5835469941169324</v>
      </c>
      <c r="AC32" s="202">
        <v>0.781534863986175</v>
      </c>
      <c r="AD32" s="202">
        <v>0</v>
      </c>
      <c r="AE32" s="202">
        <v>0</v>
      </c>
      <c r="AF32" s="201">
        <v>3</v>
      </c>
      <c r="AG32" s="202">
        <v>1.00839786963</v>
      </c>
      <c r="AH32" s="202">
        <v>0</v>
      </c>
      <c r="AI32" s="202">
        <v>0</v>
      </c>
      <c r="AJ32" s="202">
        <f>0.02993559062253+(1.41497117678151/12)</f>
        <v>0.14784985535432252</v>
      </c>
      <c r="AK32" s="202">
        <v>0</v>
      </c>
      <c r="AL32" s="202">
        <v>0</v>
      </c>
      <c r="AM32" s="202">
        <v>0</v>
      </c>
      <c r="AN32" s="202">
        <v>0</v>
      </c>
      <c r="AO32" s="202">
        <v>0</v>
      </c>
      <c r="AP32" s="202">
        <v>0</v>
      </c>
      <c r="AQ32" s="202">
        <v>1.4025478772065501</v>
      </c>
      <c r="AR32" s="202">
        <v>0</v>
      </c>
      <c r="AS32" s="202">
        <v>0</v>
      </c>
      <c r="AT32" s="202">
        <f>2+(2/14)</f>
        <v>2.1428571428571428</v>
      </c>
      <c r="AU32" s="202">
        <v>0</v>
      </c>
      <c r="AV32" s="202">
        <v>0</v>
      </c>
      <c r="AW32" s="202">
        <v>1.2558875509974701</v>
      </c>
      <c r="AX32" s="202">
        <v>1.7320508075688801</v>
      </c>
      <c r="AY32" s="202">
        <v>0</v>
      </c>
      <c r="AZ32" s="203">
        <v>0</v>
      </c>
      <c r="BA32" s="203">
        <v>0</v>
      </c>
      <c r="BB32" s="203">
        <v>0</v>
      </c>
      <c r="BC32" s="203">
        <v>0</v>
      </c>
    </row>
    <row r="33" ht="13">
      <c r="A33" s="162" t="s">
        <v>230</v>
      </c>
      <c r="B33" s="202">
        <v>0</v>
      </c>
      <c r="C33" s="202">
        <v>0</v>
      </c>
      <c r="D33" s="202">
        <v>0</v>
      </c>
      <c r="E33" s="202">
        <v>0</v>
      </c>
      <c r="F33" s="202">
        <v>0</v>
      </c>
      <c r="G33" s="202">
        <v>0</v>
      </c>
      <c r="H33" s="202">
        <v>0</v>
      </c>
      <c r="I33" s="204">
        <v>0</v>
      </c>
      <c r="J33" s="204">
        <v>0</v>
      </c>
      <c r="K33" s="204">
        <v>0</v>
      </c>
      <c r="L33" s="204">
        <v>0</v>
      </c>
      <c r="M33" s="204">
        <v>0</v>
      </c>
      <c r="N33" s="204">
        <v>0</v>
      </c>
      <c r="O33" s="202">
        <v>0</v>
      </c>
      <c r="P33" s="202">
        <v>0</v>
      </c>
      <c r="Q33" s="202">
        <v>0</v>
      </c>
      <c r="R33" s="202">
        <v>0</v>
      </c>
      <c r="S33" s="202">
        <v>0</v>
      </c>
      <c r="T33" s="202">
        <v>0</v>
      </c>
      <c r="U33" s="202">
        <v>0</v>
      </c>
      <c r="V33" s="202">
        <v>0</v>
      </c>
      <c r="W33" s="202">
        <v>0</v>
      </c>
      <c r="X33" s="202">
        <v>0</v>
      </c>
      <c r="Y33" s="202">
        <v>0</v>
      </c>
      <c r="Z33" s="202">
        <v>0</v>
      </c>
      <c r="AA33" s="202">
        <v>0.244463854998408</v>
      </c>
      <c r="AB33" s="202">
        <f>3.3166247903554+(2.80987627199547/12)</f>
        <v>3.5507811463550225</v>
      </c>
      <c r="AC33" s="202">
        <v>0.79912903948567005</v>
      </c>
      <c r="AD33" s="202">
        <v>0</v>
      </c>
      <c r="AE33" s="202">
        <v>0</v>
      </c>
      <c r="AF33" s="202">
        <v>0</v>
      </c>
      <c r="AG33" s="201">
        <v>3.94944274010588</v>
      </c>
      <c r="AH33" s="202">
        <v>0</v>
      </c>
      <c r="AI33" s="202">
        <v>0</v>
      </c>
      <c r="AJ33" s="202">
        <v>0</v>
      </c>
      <c r="AK33" s="202">
        <v>0</v>
      </c>
      <c r="AL33" s="202">
        <v>0</v>
      </c>
      <c r="AM33" s="202">
        <v>0</v>
      </c>
      <c r="AN33" s="202">
        <v>0</v>
      </c>
      <c r="AO33" s="202">
        <v>0</v>
      </c>
      <c r="AP33" s="202">
        <v>0</v>
      </c>
      <c r="AQ33" s="202">
        <v>1.4142135623731</v>
      </c>
      <c r="AR33" s="202">
        <v>0</v>
      </c>
      <c r="AS33" s="202">
        <v>0</v>
      </c>
      <c r="AT33" s="202">
        <v>0</v>
      </c>
      <c r="AU33" s="202">
        <v>0</v>
      </c>
      <c r="AV33" s="202">
        <v>0</v>
      </c>
      <c r="AW33" s="202">
        <v>1.48689583910557</v>
      </c>
      <c r="AX33" s="202">
        <v>0.32732683535398899</v>
      </c>
      <c r="AY33" s="202">
        <v>0</v>
      </c>
      <c r="AZ33" s="203">
        <v>0</v>
      </c>
      <c r="BA33" s="203">
        <v>0</v>
      </c>
      <c r="BB33" s="203">
        <v>0</v>
      </c>
      <c r="BC33" s="203">
        <v>0</v>
      </c>
    </row>
    <row r="34" ht="13">
      <c r="A34" s="162" t="s">
        <v>231</v>
      </c>
      <c r="B34" s="202">
        <v>0</v>
      </c>
      <c r="C34" s="202">
        <v>0</v>
      </c>
      <c r="D34" s="202">
        <v>0</v>
      </c>
      <c r="E34" s="202">
        <v>0</v>
      </c>
      <c r="F34" s="202">
        <v>0</v>
      </c>
      <c r="G34" s="202">
        <v>0</v>
      </c>
      <c r="H34" s="202">
        <v>0</v>
      </c>
      <c r="I34" s="204">
        <v>0</v>
      </c>
      <c r="J34" s="204">
        <f>1.73205080756888+(1.73205080756888/10)</f>
        <v>1.905255888325768</v>
      </c>
      <c r="K34" s="204">
        <v>0</v>
      </c>
      <c r="L34" s="204">
        <v>0</v>
      </c>
      <c r="M34" s="204">
        <v>0</v>
      </c>
      <c r="N34" s="204">
        <v>0</v>
      </c>
      <c r="O34" s="202">
        <v>0</v>
      </c>
      <c r="P34" s="202">
        <v>0</v>
      </c>
      <c r="Q34" s="202">
        <f>1.17965499128871+(2/8)</f>
        <v>1.42965499128871</v>
      </c>
      <c r="R34" s="202">
        <v>0</v>
      </c>
      <c r="S34" s="202">
        <v>0</v>
      </c>
      <c r="T34" s="202">
        <v>0</v>
      </c>
      <c r="U34" s="202">
        <f>1.9844613835981+(3/21)</f>
        <v>2.1273185264552428</v>
      </c>
      <c r="V34" s="202">
        <f>1.57130567942055+(3.13896484116559/16)</f>
        <v>1.7674909819933995</v>
      </c>
      <c r="W34" s="202">
        <v>0</v>
      </c>
      <c r="X34" s="202">
        <v>0</v>
      </c>
      <c r="Y34" s="202">
        <v>0.66210873420247096</v>
      </c>
      <c r="Z34" s="202">
        <v>0</v>
      </c>
      <c r="AA34" s="202">
        <v>1.4133630648195099</v>
      </c>
      <c r="AB34" s="202">
        <f>1.60274184464535+(2.80987627199547/12)</f>
        <v>1.8368982006449726</v>
      </c>
      <c r="AC34" s="202">
        <v>1.43070551915776</v>
      </c>
      <c r="AD34" s="202">
        <v>2.4685638387334601</v>
      </c>
      <c r="AE34" s="202">
        <v>1.0943707176558199</v>
      </c>
      <c r="AF34" s="202">
        <v>0</v>
      </c>
      <c r="AG34" s="202">
        <v>2.55462435356469</v>
      </c>
      <c r="AH34" s="201">
        <f>1.75310979581463+(3.1869874981447/15)</f>
        <v>1.9655756290242767</v>
      </c>
      <c r="AI34" s="202">
        <v>0</v>
      </c>
      <c r="AJ34" s="202">
        <v>0</v>
      </c>
      <c r="AK34" s="202">
        <v>0</v>
      </c>
      <c r="AL34" s="202">
        <v>0</v>
      </c>
      <c r="AM34" s="202">
        <v>0</v>
      </c>
      <c r="AN34" s="202">
        <v>0</v>
      </c>
      <c r="AO34" s="202">
        <f>1.74801474695025+(3.16227766016838/10)</f>
        <v>2.0642425129670881</v>
      </c>
      <c r="AP34" s="202">
        <v>0</v>
      </c>
      <c r="AQ34" s="202">
        <v>0.97785446527485897</v>
      </c>
      <c r="AR34" s="202">
        <v>0</v>
      </c>
      <c r="AS34" s="202">
        <v>0</v>
      </c>
      <c r="AT34" s="202">
        <f>2+(2/14)</f>
        <v>2.1428571428571428</v>
      </c>
      <c r="AU34" s="202">
        <v>0</v>
      </c>
      <c r="AV34" s="202">
        <v>0</v>
      </c>
      <c r="AW34" s="202">
        <v>1.98332794350251</v>
      </c>
      <c r="AX34" s="202">
        <v>0.32732683535398899</v>
      </c>
      <c r="AY34" s="202">
        <v>0</v>
      </c>
      <c r="AZ34" s="203">
        <v>0</v>
      </c>
      <c r="BA34" s="203">
        <v>0</v>
      </c>
      <c r="BB34" s="203">
        <v>0</v>
      </c>
      <c r="BC34" s="203">
        <v>0</v>
      </c>
    </row>
    <row r="35" ht="13">
      <c r="A35" s="162" t="s">
        <v>232</v>
      </c>
      <c r="B35" s="202">
        <v>0</v>
      </c>
      <c r="C35" s="202">
        <v>0</v>
      </c>
      <c r="D35" s="202">
        <v>0</v>
      </c>
      <c r="E35" s="202">
        <v>0</v>
      </c>
      <c r="F35" s="202">
        <v>0</v>
      </c>
      <c r="G35" s="202">
        <v>0</v>
      </c>
      <c r="H35" s="202">
        <v>0</v>
      </c>
      <c r="I35" s="204">
        <v>0</v>
      </c>
      <c r="J35" s="204">
        <v>0</v>
      </c>
      <c r="K35" s="204">
        <v>0</v>
      </c>
      <c r="L35" s="204">
        <v>0</v>
      </c>
      <c r="M35" s="204">
        <v>0</v>
      </c>
      <c r="N35" s="204">
        <v>0</v>
      </c>
      <c r="O35" s="202">
        <v>0</v>
      </c>
      <c r="P35" s="202">
        <v>0</v>
      </c>
      <c r="Q35" s="202">
        <f>2+(2/8)</f>
        <v>2.25</v>
      </c>
      <c r="R35" s="202">
        <v>0</v>
      </c>
      <c r="S35" s="202">
        <v>0</v>
      </c>
      <c r="T35" s="202">
        <v>0</v>
      </c>
      <c r="U35" s="202">
        <v>0</v>
      </c>
      <c r="V35" s="202">
        <f>4.24264068711929+(3.13896484116559/16)</f>
        <v>4.4388259896921394</v>
      </c>
      <c r="W35" s="202">
        <v>0</v>
      </c>
      <c r="X35" s="202">
        <v>0</v>
      </c>
      <c r="Y35" s="202">
        <v>0</v>
      </c>
      <c r="Z35" s="202">
        <v>0</v>
      </c>
      <c r="AA35" s="202">
        <v>0</v>
      </c>
      <c r="AB35" s="202">
        <v>0</v>
      </c>
      <c r="AC35" s="202">
        <v>1.8358568490953699</v>
      </c>
      <c r="AD35" s="202">
        <v>0</v>
      </c>
      <c r="AE35" s="202">
        <v>0</v>
      </c>
      <c r="AF35" s="202">
        <v>0</v>
      </c>
      <c r="AG35" s="202">
        <v>4.1231056256176597</v>
      </c>
      <c r="AH35" s="202">
        <v>0</v>
      </c>
      <c r="AI35" s="201">
        <v>0</v>
      </c>
      <c r="AJ35" s="202">
        <v>0</v>
      </c>
      <c r="AK35" s="202">
        <v>0</v>
      </c>
      <c r="AL35" s="202">
        <v>0</v>
      </c>
      <c r="AM35" s="202">
        <v>0</v>
      </c>
      <c r="AN35" s="202">
        <v>0</v>
      </c>
      <c r="AO35" s="202">
        <v>0</v>
      </c>
      <c r="AP35" s="202">
        <v>0</v>
      </c>
      <c r="AQ35" s="202">
        <v>0</v>
      </c>
      <c r="AR35" s="202">
        <v>0</v>
      </c>
      <c r="AS35" s="202">
        <v>0</v>
      </c>
      <c r="AT35" s="202">
        <v>0</v>
      </c>
      <c r="AU35" s="202">
        <v>0</v>
      </c>
      <c r="AV35" s="202">
        <v>0</v>
      </c>
      <c r="AW35" s="202">
        <v>0</v>
      </c>
      <c r="AX35" s="202">
        <v>0</v>
      </c>
      <c r="AY35" s="202">
        <v>0</v>
      </c>
      <c r="AZ35" s="203">
        <v>0</v>
      </c>
      <c r="BA35" s="203">
        <v>0</v>
      </c>
      <c r="BB35" s="203">
        <v>0</v>
      </c>
      <c r="BC35" s="203">
        <v>0</v>
      </c>
    </row>
    <row r="36" ht="13">
      <c r="A36" s="162" t="s">
        <v>233</v>
      </c>
      <c r="B36" s="202">
        <v>0</v>
      </c>
      <c r="C36" s="202">
        <v>0</v>
      </c>
      <c r="D36" s="202">
        <v>0</v>
      </c>
      <c r="E36" s="202">
        <v>0</v>
      </c>
      <c r="F36" s="204">
        <v>0</v>
      </c>
      <c r="G36" s="204">
        <v>0</v>
      </c>
      <c r="H36" s="204">
        <v>0</v>
      </c>
      <c r="I36" s="204">
        <v>0</v>
      </c>
      <c r="J36" s="204">
        <f>1.73205080756888+(1.73205080756888/10)</f>
        <v>1.905255888325768</v>
      </c>
      <c r="K36" s="204">
        <v>0</v>
      </c>
      <c r="L36" s="204">
        <v>0</v>
      </c>
      <c r="M36" s="204">
        <v>0</v>
      </c>
      <c r="N36" s="204">
        <v>0</v>
      </c>
      <c r="O36" s="202">
        <v>0</v>
      </c>
      <c r="P36" s="202">
        <v>0</v>
      </c>
      <c r="Q36" s="202">
        <v>0</v>
      </c>
      <c r="R36" s="202">
        <v>0</v>
      </c>
      <c r="S36" s="202">
        <v>0</v>
      </c>
      <c r="T36" s="202">
        <v>0</v>
      </c>
      <c r="U36" s="202">
        <f>2.71552750564579+(3/21)</f>
        <v>2.8583846485029327</v>
      </c>
      <c r="V36" s="202">
        <f>3.29438024163432+(3.13896484116559/16)</f>
        <v>3.4905655442071692</v>
      </c>
      <c r="W36" s="202">
        <v>0</v>
      </c>
      <c r="X36" s="202">
        <v>0</v>
      </c>
      <c r="Y36" s="202">
        <v>0</v>
      </c>
      <c r="Z36" s="202">
        <v>0</v>
      </c>
      <c r="AA36" s="202">
        <v>1.2282328393470501</v>
      </c>
      <c r="AB36" s="202">
        <f>2.20417163478597+(2.80987627199547/12)</f>
        <v>2.4383279907855928</v>
      </c>
      <c r="AC36" s="202">
        <v>1.5413754532081601</v>
      </c>
      <c r="AD36" s="202">
        <v>2.6457513110645898</v>
      </c>
      <c r="AE36" s="202">
        <v>0</v>
      </c>
      <c r="AF36" s="202">
        <v>0</v>
      </c>
      <c r="AG36" s="202">
        <v>1.50723779704014</v>
      </c>
      <c r="AH36" s="202">
        <f>3.32337428814778+(3.1869874981447/15)</f>
        <v>3.5358401213574266</v>
      </c>
      <c r="AI36" s="202">
        <v>0</v>
      </c>
      <c r="AJ36" s="201">
        <f>1.37998964413308+(1.41497117678151/12)</f>
        <v>1.4979039088648725</v>
      </c>
      <c r="AK36" s="202">
        <v>0</v>
      </c>
      <c r="AL36" s="202">
        <v>0</v>
      </c>
      <c r="AM36" s="202">
        <v>0</v>
      </c>
      <c r="AN36" s="202">
        <v>0</v>
      </c>
      <c r="AO36" s="202">
        <v>0</v>
      </c>
      <c r="AP36" s="202">
        <v>0</v>
      </c>
      <c r="AQ36" s="202">
        <v>1.4142135623731</v>
      </c>
      <c r="AR36" s="202">
        <v>0</v>
      </c>
      <c r="AS36" s="202">
        <v>0</v>
      </c>
      <c r="AT36" s="202">
        <f>2+(2/14)</f>
        <v>2.1428571428571428</v>
      </c>
      <c r="AU36" s="202">
        <v>0</v>
      </c>
      <c r="AV36" s="202">
        <v>0</v>
      </c>
      <c r="AW36" s="202">
        <v>0.92114323431897205</v>
      </c>
      <c r="AX36" s="202">
        <v>6.4626455261937304E-2</v>
      </c>
      <c r="AY36" s="202">
        <v>0</v>
      </c>
      <c r="AZ36" s="203">
        <v>0</v>
      </c>
      <c r="BA36" s="203">
        <v>0</v>
      </c>
      <c r="BB36" s="203">
        <v>0</v>
      </c>
      <c r="BC36" s="203">
        <v>0</v>
      </c>
    </row>
    <row r="37" ht="13">
      <c r="A37" s="161" t="s">
        <v>205</v>
      </c>
      <c r="B37" s="202">
        <v>0</v>
      </c>
      <c r="C37" s="202">
        <v>0</v>
      </c>
      <c r="D37" s="202">
        <v>0</v>
      </c>
      <c r="E37" s="202">
        <v>0</v>
      </c>
      <c r="F37" s="204">
        <v>0</v>
      </c>
      <c r="G37" s="204">
        <v>0</v>
      </c>
      <c r="H37" s="204">
        <v>0</v>
      </c>
      <c r="I37" s="204">
        <v>0</v>
      </c>
      <c r="J37" s="204">
        <v>0</v>
      </c>
      <c r="K37" s="204">
        <v>0</v>
      </c>
      <c r="L37" s="204">
        <v>0</v>
      </c>
      <c r="M37" s="204">
        <v>0</v>
      </c>
      <c r="N37" s="204">
        <v>0</v>
      </c>
      <c r="O37" s="204">
        <v>0</v>
      </c>
      <c r="P37" s="204">
        <v>0</v>
      </c>
      <c r="Q37" s="204">
        <v>0</v>
      </c>
      <c r="R37" s="204">
        <v>0</v>
      </c>
      <c r="S37" s="204">
        <v>0</v>
      </c>
      <c r="T37" s="204">
        <v>0</v>
      </c>
      <c r="U37" s="204">
        <v>3</v>
      </c>
      <c r="V37" s="204">
        <v>0</v>
      </c>
      <c r="W37" s="204">
        <v>0</v>
      </c>
      <c r="X37" s="204">
        <v>0</v>
      </c>
      <c r="Y37" s="204">
        <v>0</v>
      </c>
      <c r="Z37" s="204">
        <v>0</v>
      </c>
      <c r="AA37" s="204">
        <v>0</v>
      </c>
      <c r="AB37" s="204">
        <v>0</v>
      </c>
      <c r="AC37" s="204">
        <v>0</v>
      </c>
      <c r="AD37" s="204">
        <v>0</v>
      </c>
      <c r="AE37" s="204">
        <v>0</v>
      </c>
      <c r="AF37" s="204">
        <v>0</v>
      </c>
      <c r="AG37" s="204">
        <v>0</v>
      </c>
      <c r="AH37" s="204">
        <f>4.69041575982343+(3.1869874981447/15)</f>
        <v>4.9028815930330767</v>
      </c>
      <c r="AI37" s="204">
        <v>0</v>
      </c>
      <c r="AJ37" s="204">
        <v>0</v>
      </c>
      <c r="AK37" s="205">
        <v>0</v>
      </c>
      <c r="AL37" s="204">
        <v>0</v>
      </c>
      <c r="AM37" s="204">
        <v>0</v>
      </c>
      <c r="AN37" s="202">
        <v>0</v>
      </c>
      <c r="AO37" s="202">
        <v>0</v>
      </c>
      <c r="AP37" s="202">
        <v>0</v>
      </c>
      <c r="AQ37" s="202">
        <v>0</v>
      </c>
      <c r="AR37" s="202">
        <v>0</v>
      </c>
      <c r="AS37" s="202">
        <v>0</v>
      </c>
      <c r="AT37" s="202">
        <f>2+(2/14)</f>
        <v>2.1428571428571428</v>
      </c>
      <c r="AU37" s="202">
        <v>0</v>
      </c>
      <c r="AV37" s="202">
        <v>0</v>
      </c>
      <c r="AW37" s="202">
        <v>0</v>
      </c>
      <c r="AX37" s="202">
        <v>0</v>
      </c>
      <c r="AY37" s="202">
        <v>0</v>
      </c>
      <c r="AZ37" s="203">
        <v>0</v>
      </c>
      <c r="BA37" s="203">
        <v>0</v>
      </c>
      <c r="BB37" s="203">
        <v>0</v>
      </c>
      <c r="BC37" s="203">
        <v>0</v>
      </c>
    </row>
    <row r="38" ht="13">
      <c r="A38" s="161" t="s">
        <v>206</v>
      </c>
      <c r="B38" s="202">
        <v>0</v>
      </c>
      <c r="C38" s="202">
        <v>0</v>
      </c>
      <c r="D38" s="202">
        <v>0</v>
      </c>
      <c r="E38" s="202">
        <v>0</v>
      </c>
      <c r="F38" s="204">
        <v>0</v>
      </c>
      <c r="G38" s="204">
        <v>0</v>
      </c>
      <c r="H38" s="204">
        <v>0</v>
      </c>
      <c r="I38" s="202">
        <v>0</v>
      </c>
      <c r="J38" s="202">
        <v>0</v>
      </c>
      <c r="K38" s="202">
        <v>0</v>
      </c>
      <c r="L38" s="202">
        <v>0</v>
      </c>
      <c r="M38" s="202">
        <v>0</v>
      </c>
      <c r="N38" s="202">
        <v>0</v>
      </c>
      <c r="O38" s="202">
        <v>0</v>
      </c>
      <c r="P38" s="202">
        <v>0</v>
      </c>
      <c r="Q38" s="202">
        <v>0</v>
      </c>
      <c r="R38" s="202">
        <v>3.16227766016838</v>
      </c>
      <c r="S38" s="202">
        <v>0</v>
      </c>
      <c r="T38" s="202">
        <v>0</v>
      </c>
      <c r="U38" s="202">
        <f>1.8167543185835+(3/21)</f>
        <v>1.9596114614406428</v>
      </c>
      <c r="V38" s="202">
        <f>3.08697453256516+(3.13896484116559/16)</f>
        <v>3.2831598351380094</v>
      </c>
      <c r="W38" s="202">
        <v>1.7320508075688801</v>
      </c>
      <c r="X38" s="202">
        <v>1.7320508075688801</v>
      </c>
      <c r="Y38" s="202">
        <v>0</v>
      </c>
      <c r="Z38" s="202">
        <v>0</v>
      </c>
      <c r="AA38" s="202">
        <v>1.67332005306815</v>
      </c>
      <c r="AB38" s="202">
        <f>1.68459782217751+(2.80987627199547/12)</f>
        <v>1.9187541781771325</v>
      </c>
      <c r="AC38" s="202">
        <v>1.96143594692384</v>
      </c>
      <c r="AD38" s="202">
        <v>0</v>
      </c>
      <c r="AE38" s="202">
        <v>1.41421356237309</v>
      </c>
      <c r="AF38" s="202">
        <v>0</v>
      </c>
      <c r="AG38" s="202">
        <v>4.1231056256176597</v>
      </c>
      <c r="AH38" s="202">
        <f>4.69041575982343+(3.1869874981447/15)</f>
        <v>4.9028815930330767</v>
      </c>
      <c r="AI38" s="202">
        <v>0</v>
      </c>
      <c r="AJ38" s="202">
        <v>0</v>
      </c>
      <c r="AK38" s="202">
        <v>0</v>
      </c>
      <c r="AL38" s="201">
        <v>0</v>
      </c>
      <c r="AM38" s="202">
        <v>0</v>
      </c>
      <c r="AN38" s="202">
        <v>0</v>
      </c>
      <c r="AO38" s="202">
        <v>0</v>
      </c>
      <c r="AP38" s="202">
        <v>0</v>
      </c>
      <c r="AQ38" s="202">
        <v>0</v>
      </c>
      <c r="AR38" s="202">
        <v>0</v>
      </c>
      <c r="AS38" s="202">
        <v>0</v>
      </c>
      <c r="AT38" s="202">
        <v>0</v>
      </c>
      <c r="AU38" s="202">
        <v>0</v>
      </c>
      <c r="AV38" s="202">
        <v>0</v>
      </c>
      <c r="AW38" s="202">
        <v>0</v>
      </c>
      <c r="AX38" s="202">
        <v>0</v>
      </c>
      <c r="AY38" s="202">
        <v>0</v>
      </c>
      <c r="AZ38" s="203">
        <v>0</v>
      </c>
      <c r="BA38" s="203">
        <v>0</v>
      </c>
      <c r="BB38" s="203">
        <v>0</v>
      </c>
      <c r="BC38" s="203">
        <v>0</v>
      </c>
    </row>
    <row r="39" ht="13">
      <c r="A39" s="161" t="s">
        <v>207</v>
      </c>
      <c r="B39" s="202">
        <v>0</v>
      </c>
      <c r="C39" s="202">
        <v>0</v>
      </c>
      <c r="D39" s="202">
        <v>0</v>
      </c>
      <c r="E39" s="202">
        <v>0</v>
      </c>
      <c r="F39" s="202">
        <v>0</v>
      </c>
      <c r="G39" s="202">
        <v>0</v>
      </c>
      <c r="H39" s="202">
        <v>0</v>
      </c>
      <c r="I39" s="202">
        <v>3.74165738677394</v>
      </c>
      <c r="J39" s="202">
        <f>0.916515138991168+(1.73205080756888/10)</f>
        <v>1.089720219748056</v>
      </c>
      <c r="K39" s="202">
        <v>0</v>
      </c>
      <c r="L39" s="202">
        <v>0</v>
      </c>
      <c r="M39" s="202">
        <v>0</v>
      </c>
      <c r="N39" s="202">
        <v>1.7320508075688801</v>
      </c>
      <c r="O39" s="202">
        <v>0</v>
      </c>
      <c r="P39" s="202">
        <f>2.23606797749979+(1.17124557190675/10)</f>
        <v>2.3531925346904647</v>
      </c>
      <c r="Q39" s="202">
        <v>0</v>
      </c>
      <c r="R39" s="202">
        <v>1.4105443586736699</v>
      </c>
      <c r="S39" s="202">
        <v>0</v>
      </c>
      <c r="T39" s="202">
        <v>0</v>
      </c>
      <c r="U39" s="202">
        <f>2.71367296917117+(3/21)</f>
        <v>2.8565301120283126</v>
      </c>
      <c r="V39" s="202">
        <f>1.79068727598867+(3.13896484116559/16)</f>
        <v>1.9868725785615196</v>
      </c>
      <c r="W39" s="202">
        <v>1.7320508075688801</v>
      </c>
      <c r="X39" s="202">
        <v>1.7320508075688801</v>
      </c>
      <c r="Y39" s="202">
        <v>2.14853118174151</v>
      </c>
      <c r="Z39" s="202">
        <v>0</v>
      </c>
      <c r="AA39" s="202">
        <v>0</v>
      </c>
      <c r="AB39" s="202">
        <v>0</v>
      </c>
      <c r="AC39" s="202">
        <v>1.3038787257406801</v>
      </c>
      <c r="AD39" s="202">
        <v>1.6331422430699101</v>
      </c>
      <c r="AE39" s="202">
        <v>0</v>
      </c>
      <c r="AF39" s="202">
        <v>3</v>
      </c>
      <c r="AG39" s="202">
        <v>4.1231056256176597</v>
      </c>
      <c r="AH39" s="202">
        <f>1.79953117112631+(3.1869874981447/15)</f>
        <v>2.0119970043359565</v>
      </c>
      <c r="AI39" s="202">
        <v>0</v>
      </c>
      <c r="AJ39" s="202">
        <f>1.17900470899497+(1.41497117678151/12)</f>
        <v>1.2969189737267626</v>
      </c>
      <c r="AK39" s="202">
        <v>0</v>
      </c>
      <c r="AL39" s="202">
        <v>0</v>
      </c>
      <c r="AM39" s="201">
        <f>1.4395766573479+(2.64575131106459/8)</f>
        <v>1.7702955712309738</v>
      </c>
      <c r="AN39" s="202">
        <v>0</v>
      </c>
      <c r="AO39" s="202">
        <f>1.93372349780155+(3.16227766016838/10)</f>
        <v>2.2499512638183878</v>
      </c>
      <c r="AP39" s="202">
        <v>0</v>
      </c>
      <c r="AQ39" s="202">
        <v>0</v>
      </c>
      <c r="AR39" s="202">
        <v>0</v>
      </c>
      <c r="AS39" s="202">
        <v>0</v>
      </c>
      <c r="AT39" s="202">
        <f>2+(2/14)</f>
        <v>2.1428571428571428</v>
      </c>
      <c r="AU39" s="202">
        <v>0</v>
      </c>
      <c r="AV39" s="202">
        <v>0</v>
      </c>
      <c r="AW39" s="202">
        <v>0</v>
      </c>
      <c r="AX39" s="202">
        <v>0</v>
      </c>
      <c r="AY39" s="202">
        <v>0</v>
      </c>
      <c r="AZ39" s="203">
        <v>0</v>
      </c>
      <c r="BA39" s="203">
        <v>0</v>
      </c>
      <c r="BB39" s="203">
        <v>0</v>
      </c>
      <c r="BC39" s="203">
        <v>0</v>
      </c>
    </row>
    <row r="40" ht="13">
      <c r="A40" s="161" t="s">
        <v>208</v>
      </c>
      <c r="B40" s="202">
        <v>0</v>
      </c>
      <c r="C40" s="202">
        <v>0</v>
      </c>
      <c r="D40" s="202">
        <v>0</v>
      </c>
      <c r="E40" s="202">
        <v>0</v>
      </c>
      <c r="F40" s="202">
        <v>0</v>
      </c>
      <c r="G40" s="202">
        <v>0</v>
      </c>
      <c r="H40" s="202">
        <v>0</v>
      </c>
      <c r="I40" s="202">
        <v>0</v>
      </c>
      <c r="J40" s="202">
        <v>0</v>
      </c>
      <c r="K40" s="202">
        <v>0</v>
      </c>
      <c r="L40" s="202">
        <v>0</v>
      </c>
      <c r="M40" s="202">
        <v>0</v>
      </c>
      <c r="N40" s="202">
        <v>1.7320508075688801</v>
      </c>
      <c r="O40" s="202">
        <v>0</v>
      </c>
      <c r="P40" s="202">
        <v>0</v>
      </c>
      <c r="Q40" s="202">
        <v>0</v>
      </c>
      <c r="R40" s="202">
        <v>3.16227766016838</v>
      </c>
      <c r="S40" s="202">
        <v>0</v>
      </c>
      <c r="T40" s="202">
        <v>0</v>
      </c>
      <c r="U40" s="202">
        <v>0</v>
      </c>
      <c r="V40" s="202">
        <f>2.37759957065982+(3.13896484116559/16)</f>
        <v>2.5737848732326691</v>
      </c>
      <c r="W40" s="202">
        <v>0</v>
      </c>
      <c r="X40" s="202">
        <v>0</v>
      </c>
      <c r="Y40" s="202">
        <v>0</v>
      </c>
      <c r="Z40" s="202">
        <v>1.3247063748811301</v>
      </c>
      <c r="AA40" s="202">
        <v>0</v>
      </c>
      <c r="AB40" s="202">
        <v>0</v>
      </c>
      <c r="AC40" s="202">
        <v>1.7720453592123699</v>
      </c>
      <c r="AD40" s="202">
        <v>2.6457513110645898</v>
      </c>
      <c r="AE40" s="202">
        <v>0</v>
      </c>
      <c r="AF40" s="202">
        <v>0</v>
      </c>
      <c r="AG40" s="202">
        <v>4.1231056256176597</v>
      </c>
      <c r="AH40" s="202">
        <f>3.32174423824686+(3.1869874981447/15)</f>
        <v>3.5342100714565063</v>
      </c>
      <c r="AI40" s="202">
        <v>0</v>
      </c>
      <c r="AJ40" s="202">
        <v>0</v>
      </c>
      <c r="AK40" s="202">
        <v>0</v>
      </c>
      <c r="AL40" s="202">
        <v>0</v>
      </c>
      <c r="AM40" s="202">
        <f>2.64575131106459+(2.64575131106459/8)</f>
        <v>2.9764702249476636</v>
      </c>
      <c r="AN40" s="205">
        <v>0</v>
      </c>
      <c r="AO40" s="202">
        <f>1.31065472284146+(3.16227766016838/10)</f>
        <v>1.626882488858298</v>
      </c>
      <c r="AP40" s="202">
        <v>0</v>
      </c>
      <c r="AQ40" s="202">
        <v>0</v>
      </c>
      <c r="AR40" s="202">
        <v>0</v>
      </c>
      <c r="AS40" s="202">
        <v>0</v>
      </c>
      <c r="AT40" s="202">
        <v>0</v>
      </c>
      <c r="AU40" s="202">
        <v>0</v>
      </c>
      <c r="AV40" s="202">
        <v>0</v>
      </c>
      <c r="AW40" s="202">
        <v>0</v>
      </c>
      <c r="AX40" s="202">
        <v>0</v>
      </c>
      <c r="AY40" s="202">
        <v>0</v>
      </c>
      <c r="AZ40" s="203">
        <v>0</v>
      </c>
      <c r="BA40" s="203">
        <v>0</v>
      </c>
      <c r="BB40" s="203">
        <v>0</v>
      </c>
      <c r="BC40" s="203">
        <v>0</v>
      </c>
    </row>
    <row r="41" ht="13">
      <c r="A41" s="161" t="s">
        <v>209</v>
      </c>
      <c r="B41" s="202">
        <v>0</v>
      </c>
      <c r="C41" s="202">
        <v>0</v>
      </c>
      <c r="D41" s="202">
        <v>0</v>
      </c>
      <c r="E41" s="202">
        <v>0</v>
      </c>
      <c r="F41" s="202">
        <v>0</v>
      </c>
      <c r="G41" s="202">
        <v>0</v>
      </c>
      <c r="H41" s="202">
        <v>0</v>
      </c>
      <c r="I41" s="202">
        <v>1.97643201723978</v>
      </c>
      <c r="J41" s="202">
        <f>0.975117331869412+(1.73205080756888/10)</f>
        <v>1.1483224126263001</v>
      </c>
      <c r="K41" s="202">
        <v>2.8284271247461898</v>
      </c>
      <c r="L41" s="202">
        <v>0</v>
      </c>
      <c r="M41" s="202">
        <v>0</v>
      </c>
      <c r="N41" s="202">
        <v>0.245593165864533</v>
      </c>
      <c r="O41" s="202">
        <v>4.8676464973833001E-3</v>
      </c>
      <c r="P41" s="202">
        <f>2.22226548770879+(1.17124557190675/10)</f>
        <v>2.3393900448994649</v>
      </c>
      <c r="Q41" s="202">
        <f>1.41208338097589+(2/8)</f>
        <v>1.6620833809758899</v>
      </c>
      <c r="R41" s="202">
        <v>0.65044799107045004</v>
      </c>
      <c r="S41" s="202">
        <v>0</v>
      </c>
      <c r="T41" s="202">
        <v>1.99863199277084</v>
      </c>
      <c r="U41" s="202">
        <f>0.659562146634222+(3/21)</f>
        <v>0.80241928949136487</v>
      </c>
      <c r="V41" s="202">
        <f>0.853081667940213+(3.13896484116559/16)</f>
        <v>1.0492669705130624</v>
      </c>
      <c r="W41" s="202">
        <v>1.5534615572274899</v>
      </c>
      <c r="X41" s="202">
        <v>1.5534615572274899</v>
      </c>
      <c r="Y41" s="202">
        <v>1.06359901815484</v>
      </c>
      <c r="Z41" s="202">
        <v>0.45084298085993801</v>
      </c>
      <c r="AA41" s="202">
        <v>1.4762784865893901</v>
      </c>
      <c r="AB41" s="202">
        <f>1.03339245823475+(2.80987627199547/12)</f>
        <v>1.2675488142343725</v>
      </c>
      <c r="AC41" s="202">
        <v>0.17654162941029</v>
      </c>
      <c r="AD41" s="202">
        <v>1.0122684250310101</v>
      </c>
      <c r="AE41" s="202">
        <v>0</v>
      </c>
      <c r="AF41" s="202">
        <v>2.4617870391101802</v>
      </c>
      <c r="AG41" s="202">
        <v>1.5028890768760601</v>
      </c>
      <c r="AH41" s="202">
        <f>1.33375331813454+(3.1869874981447/15)</f>
        <v>1.5462191513441867</v>
      </c>
      <c r="AI41" s="202">
        <v>0</v>
      </c>
      <c r="AJ41" s="202">
        <f>1.29371156173869+(1.41497117678151/12)</f>
        <v>1.4116258264704826</v>
      </c>
      <c r="AK41" s="202">
        <v>0</v>
      </c>
      <c r="AL41" s="202">
        <v>0</v>
      </c>
      <c r="AM41" s="202">
        <f>0.313049516849971+(2.64575131106459/8)</f>
        <v>0.64376843073304468</v>
      </c>
      <c r="AN41" s="202">
        <v>0</v>
      </c>
      <c r="AO41" s="205">
        <f>1.13819342768121+(3.16227766016838/10)</f>
        <v>1.454421193698048</v>
      </c>
      <c r="AP41" s="202">
        <v>0</v>
      </c>
      <c r="AQ41" s="202">
        <v>1.2703453999562799</v>
      </c>
      <c r="AR41" s="202">
        <v>0</v>
      </c>
      <c r="AS41" s="202">
        <v>0</v>
      </c>
      <c r="AT41" s="202">
        <f>1.62169150231687+(2/14)</f>
        <v>1.7645486451740129</v>
      </c>
      <c r="AU41" s="202">
        <v>0</v>
      </c>
      <c r="AV41" s="202">
        <v>0</v>
      </c>
      <c r="AW41" s="202">
        <v>0</v>
      </c>
      <c r="AX41" s="202">
        <v>0.91651513899116799</v>
      </c>
      <c r="AY41" s="202">
        <v>0</v>
      </c>
      <c r="AZ41" s="203">
        <v>0</v>
      </c>
      <c r="BA41" s="203">
        <v>0</v>
      </c>
      <c r="BB41" s="203">
        <v>0</v>
      </c>
      <c r="BC41" s="203">
        <v>0</v>
      </c>
    </row>
    <row r="42" ht="13">
      <c r="A42" s="161" t="s">
        <v>210</v>
      </c>
      <c r="B42" s="202">
        <v>0</v>
      </c>
      <c r="C42" s="202">
        <v>0</v>
      </c>
      <c r="D42" s="202">
        <v>0</v>
      </c>
      <c r="E42" s="202">
        <v>0</v>
      </c>
      <c r="F42" s="202">
        <v>0</v>
      </c>
      <c r="G42" s="202">
        <v>0</v>
      </c>
      <c r="H42" s="202">
        <v>0</v>
      </c>
      <c r="I42" s="202">
        <v>0</v>
      </c>
      <c r="J42" s="202">
        <v>0</v>
      </c>
      <c r="K42" s="202">
        <v>0</v>
      </c>
      <c r="L42" s="202">
        <v>0</v>
      </c>
      <c r="M42" s="202">
        <v>0</v>
      </c>
      <c r="N42" s="202">
        <v>0</v>
      </c>
      <c r="O42" s="202">
        <v>0</v>
      </c>
      <c r="P42" s="202">
        <v>0</v>
      </c>
      <c r="Q42" s="202">
        <v>0</v>
      </c>
      <c r="R42" s="202">
        <v>0</v>
      </c>
      <c r="S42" s="202">
        <v>0</v>
      </c>
      <c r="T42" s="202">
        <v>0</v>
      </c>
      <c r="U42" s="202">
        <v>0</v>
      </c>
      <c r="V42" s="202">
        <v>0</v>
      </c>
      <c r="W42" s="202">
        <v>0</v>
      </c>
      <c r="X42" s="202">
        <v>0</v>
      </c>
      <c r="Y42" s="202">
        <v>0</v>
      </c>
      <c r="Z42" s="202">
        <v>0</v>
      </c>
      <c r="AA42" s="202">
        <v>0</v>
      </c>
      <c r="AB42" s="202">
        <v>0</v>
      </c>
      <c r="AC42" s="202">
        <v>0</v>
      </c>
      <c r="AD42" s="202">
        <v>0</v>
      </c>
      <c r="AE42" s="202">
        <v>0</v>
      </c>
      <c r="AF42" s="202">
        <v>0</v>
      </c>
      <c r="AG42" s="202">
        <v>0</v>
      </c>
      <c r="AH42" s="202">
        <v>0</v>
      </c>
      <c r="AI42" s="202">
        <v>0</v>
      </c>
      <c r="AJ42" s="202">
        <v>0</v>
      </c>
      <c r="AK42" s="202">
        <v>0</v>
      </c>
      <c r="AL42" s="202">
        <v>0</v>
      </c>
      <c r="AM42" s="202">
        <v>0</v>
      </c>
      <c r="AN42" s="202">
        <v>0</v>
      </c>
      <c r="AO42" s="202">
        <v>0</v>
      </c>
      <c r="AP42" s="205">
        <v>0</v>
      </c>
      <c r="AQ42" s="202">
        <v>0</v>
      </c>
      <c r="AR42" s="202">
        <v>0</v>
      </c>
      <c r="AS42" s="202">
        <v>0</v>
      </c>
      <c r="AT42" s="202">
        <v>0</v>
      </c>
      <c r="AU42" s="202">
        <v>0</v>
      </c>
      <c r="AV42" s="202">
        <v>0</v>
      </c>
      <c r="AW42" s="202">
        <v>0</v>
      </c>
      <c r="AX42" s="202">
        <v>0</v>
      </c>
      <c r="AY42" s="202">
        <v>0</v>
      </c>
      <c r="AZ42" s="203">
        <v>0</v>
      </c>
      <c r="BA42" s="203">
        <v>0</v>
      </c>
      <c r="BB42" s="203">
        <v>0</v>
      </c>
      <c r="BC42" s="203">
        <v>0</v>
      </c>
    </row>
    <row r="43" ht="13">
      <c r="A43" s="161" t="s">
        <v>211</v>
      </c>
      <c r="B43" s="202">
        <v>0</v>
      </c>
      <c r="C43" s="202">
        <v>0</v>
      </c>
      <c r="D43" s="202">
        <v>0</v>
      </c>
      <c r="E43" s="202">
        <v>0</v>
      </c>
      <c r="F43" s="202">
        <v>0</v>
      </c>
      <c r="G43" s="202">
        <v>0</v>
      </c>
      <c r="H43" s="202">
        <v>0</v>
      </c>
      <c r="I43" s="202">
        <v>0</v>
      </c>
      <c r="J43" s="202">
        <v>0</v>
      </c>
      <c r="K43" s="202">
        <v>0</v>
      </c>
      <c r="L43" s="202">
        <v>0</v>
      </c>
      <c r="M43" s="202">
        <v>0</v>
      </c>
      <c r="N43" s="202">
        <v>0</v>
      </c>
      <c r="O43" s="202">
        <v>0</v>
      </c>
      <c r="P43" s="202">
        <v>0</v>
      </c>
      <c r="Q43" s="202">
        <v>0</v>
      </c>
      <c r="R43" s="202">
        <v>0</v>
      </c>
      <c r="S43" s="202">
        <v>0</v>
      </c>
      <c r="T43" s="202">
        <v>0</v>
      </c>
      <c r="U43" s="202">
        <v>0</v>
      </c>
      <c r="V43" s="202">
        <v>0</v>
      </c>
      <c r="W43" s="202">
        <v>0</v>
      </c>
      <c r="X43" s="202">
        <v>0</v>
      </c>
      <c r="Y43" s="202">
        <v>0</v>
      </c>
      <c r="Z43" s="202">
        <v>0</v>
      </c>
      <c r="AA43" s="202">
        <v>0</v>
      </c>
      <c r="AB43" s="202">
        <v>0</v>
      </c>
      <c r="AC43" s="202">
        <v>0</v>
      </c>
      <c r="AD43" s="202">
        <v>0</v>
      </c>
      <c r="AE43" s="202">
        <v>0</v>
      </c>
      <c r="AF43" s="202">
        <v>0</v>
      </c>
      <c r="AG43" s="202">
        <v>0</v>
      </c>
      <c r="AH43" s="202">
        <v>0</v>
      </c>
      <c r="AI43" s="202">
        <v>0</v>
      </c>
      <c r="AJ43" s="202">
        <v>0</v>
      </c>
      <c r="AK43" s="202">
        <v>0</v>
      </c>
      <c r="AL43" s="202">
        <v>0</v>
      </c>
      <c r="AM43" s="202">
        <v>0</v>
      </c>
      <c r="AN43" s="202">
        <v>0</v>
      </c>
      <c r="AO43" s="202">
        <v>0</v>
      </c>
      <c r="AP43" s="202">
        <v>0</v>
      </c>
      <c r="AQ43" s="205">
        <v>0</v>
      </c>
      <c r="AR43" s="202">
        <v>0</v>
      </c>
      <c r="AS43" s="202">
        <v>0</v>
      </c>
      <c r="AT43" s="202">
        <v>0</v>
      </c>
      <c r="AU43" s="202">
        <v>0</v>
      </c>
      <c r="AV43" s="202">
        <v>0</v>
      </c>
      <c r="AW43" s="202">
        <v>0</v>
      </c>
      <c r="AX43" s="202">
        <v>0</v>
      </c>
      <c r="AY43" s="202">
        <v>0</v>
      </c>
      <c r="AZ43" s="203">
        <v>0</v>
      </c>
      <c r="BA43" s="203">
        <v>0</v>
      </c>
      <c r="BB43" s="203">
        <v>0</v>
      </c>
      <c r="BC43" s="203">
        <v>0</v>
      </c>
    </row>
    <row r="44" ht="13">
      <c r="A44" s="161" t="s">
        <v>212</v>
      </c>
      <c r="B44" s="202">
        <v>0</v>
      </c>
      <c r="C44" s="202">
        <v>0</v>
      </c>
      <c r="D44" s="202">
        <v>0</v>
      </c>
      <c r="E44" s="202">
        <v>0</v>
      </c>
      <c r="F44" s="202">
        <v>0</v>
      </c>
      <c r="G44" s="202">
        <v>0</v>
      </c>
      <c r="H44" s="202">
        <v>0</v>
      </c>
      <c r="I44" s="202">
        <v>0</v>
      </c>
      <c r="J44" s="202">
        <v>0</v>
      </c>
      <c r="K44" s="202">
        <v>0</v>
      </c>
      <c r="L44" s="202">
        <v>0</v>
      </c>
      <c r="M44" s="202">
        <v>0</v>
      </c>
      <c r="N44" s="202">
        <v>0</v>
      </c>
      <c r="O44" s="202">
        <v>0</v>
      </c>
      <c r="P44" s="202">
        <v>0</v>
      </c>
      <c r="Q44" s="202">
        <v>0</v>
      </c>
      <c r="R44" s="202">
        <v>0</v>
      </c>
      <c r="S44" s="202">
        <v>0</v>
      </c>
      <c r="T44" s="202">
        <v>0</v>
      </c>
      <c r="U44" s="202">
        <v>0</v>
      </c>
      <c r="V44" s="202">
        <v>0</v>
      </c>
      <c r="W44" s="202">
        <v>0</v>
      </c>
      <c r="X44" s="202">
        <v>0</v>
      </c>
      <c r="Y44" s="202">
        <v>0</v>
      </c>
      <c r="Z44" s="202">
        <v>0</v>
      </c>
      <c r="AA44" s="202">
        <v>0</v>
      </c>
      <c r="AB44" s="202">
        <v>0</v>
      </c>
      <c r="AC44" s="202">
        <v>0</v>
      </c>
      <c r="AD44" s="202">
        <v>0</v>
      </c>
      <c r="AE44" s="202">
        <v>0</v>
      </c>
      <c r="AF44" s="202">
        <v>0</v>
      </c>
      <c r="AG44" s="202">
        <v>0</v>
      </c>
      <c r="AH44" s="202">
        <v>0</v>
      </c>
      <c r="AI44" s="202">
        <v>0</v>
      </c>
      <c r="AJ44" s="202">
        <v>0</v>
      </c>
      <c r="AK44" s="202">
        <v>0</v>
      </c>
      <c r="AL44" s="202">
        <v>0</v>
      </c>
      <c r="AM44" s="202">
        <v>0</v>
      </c>
      <c r="AN44" s="202">
        <v>0</v>
      </c>
      <c r="AO44" s="202">
        <v>0</v>
      </c>
      <c r="AP44" s="202">
        <v>0</v>
      </c>
      <c r="AQ44" s="202">
        <v>0</v>
      </c>
      <c r="AR44" s="205">
        <v>0</v>
      </c>
      <c r="AS44" s="202">
        <v>0</v>
      </c>
      <c r="AT44" s="202">
        <v>0</v>
      </c>
      <c r="AU44" s="202">
        <v>0</v>
      </c>
      <c r="AV44" s="202">
        <v>0</v>
      </c>
      <c r="AW44" s="202">
        <v>0</v>
      </c>
      <c r="AX44" s="202">
        <v>0</v>
      </c>
      <c r="AY44" s="202">
        <v>0</v>
      </c>
      <c r="AZ44" s="203">
        <v>0</v>
      </c>
      <c r="BA44" s="203">
        <v>0</v>
      </c>
      <c r="BB44" s="203">
        <v>0</v>
      </c>
      <c r="BC44" s="203">
        <v>0</v>
      </c>
    </row>
    <row r="45" ht="13">
      <c r="A45" s="161" t="s">
        <v>213</v>
      </c>
      <c r="B45" s="202">
        <v>0</v>
      </c>
      <c r="C45" s="202">
        <v>0</v>
      </c>
      <c r="D45" s="202">
        <v>0</v>
      </c>
      <c r="E45" s="202">
        <v>0</v>
      </c>
      <c r="F45" s="202">
        <v>0</v>
      </c>
      <c r="G45" s="202">
        <v>0</v>
      </c>
      <c r="H45" s="202">
        <v>0</v>
      </c>
      <c r="I45" s="202">
        <v>0</v>
      </c>
      <c r="J45" s="202">
        <v>0</v>
      </c>
      <c r="K45" s="202">
        <v>0</v>
      </c>
      <c r="L45" s="202">
        <v>0</v>
      </c>
      <c r="M45" s="202">
        <v>0</v>
      </c>
      <c r="N45" s="202">
        <v>0</v>
      </c>
      <c r="O45" s="202">
        <v>0</v>
      </c>
      <c r="P45" s="202">
        <v>0</v>
      </c>
      <c r="Q45" s="202">
        <v>0</v>
      </c>
      <c r="R45" s="202">
        <v>0</v>
      </c>
      <c r="S45" s="202">
        <v>0</v>
      </c>
      <c r="T45" s="202">
        <v>0</v>
      </c>
      <c r="U45" s="202">
        <v>0</v>
      </c>
      <c r="V45" s="202">
        <v>0</v>
      </c>
      <c r="W45" s="202">
        <v>0</v>
      </c>
      <c r="X45" s="202">
        <v>0</v>
      </c>
      <c r="Y45" s="202">
        <v>0</v>
      </c>
      <c r="Z45" s="202">
        <v>0</v>
      </c>
      <c r="AA45" s="202">
        <v>0</v>
      </c>
      <c r="AB45" s="202">
        <v>0</v>
      </c>
      <c r="AC45" s="202">
        <v>0</v>
      </c>
      <c r="AD45" s="202">
        <v>0</v>
      </c>
      <c r="AE45" s="202">
        <v>0</v>
      </c>
      <c r="AF45" s="202">
        <v>0</v>
      </c>
      <c r="AG45" s="202">
        <v>0</v>
      </c>
      <c r="AH45" s="202">
        <v>0</v>
      </c>
      <c r="AI45" s="202">
        <v>0</v>
      </c>
      <c r="AJ45" s="202">
        <v>0</v>
      </c>
      <c r="AK45" s="202">
        <v>0</v>
      </c>
      <c r="AL45" s="202">
        <v>0</v>
      </c>
      <c r="AM45" s="202">
        <v>0</v>
      </c>
      <c r="AN45" s="202">
        <v>0</v>
      </c>
      <c r="AO45" s="202">
        <v>0</v>
      </c>
      <c r="AP45" s="202">
        <v>0</v>
      </c>
      <c r="AQ45" s="202">
        <v>0</v>
      </c>
      <c r="AR45" s="202">
        <v>0</v>
      </c>
      <c r="AS45" s="205">
        <v>0</v>
      </c>
      <c r="AT45" s="202">
        <v>0</v>
      </c>
      <c r="AU45" s="202">
        <v>0</v>
      </c>
      <c r="AV45" s="202">
        <v>0</v>
      </c>
      <c r="AW45" s="202">
        <v>0</v>
      </c>
      <c r="AX45" s="202">
        <v>0</v>
      </c>
      <c r="AY45" s="202">
        <v>0</v>
      </c>
      <c r="AZ45" s="203">
        <v>0</v>
      </c>
      <c r="BA45" s="203">
        <v>0</v>
      </c>
      <c r="BB45" s="203">
        <v>0</v>
      </c>
      <c r="BC45" s="203">
        <v>0</v>
      </c>
    </row>
    <row r="46" ht="13">
      <c r="A46" s="161" t="s">
        <v>214</v>
      </c>
      <c r="B46" s="202">
        <v>0</v>
      </c>
      <c r="C46" s="202">
        <v>0</v>
      </c>
      <c r="D46" s="202">
        <v>0</v>
      </c>
      <c r="E46" s="202">
        <v>0</v>
      </c>
      <c r="F46" s="202">
        <v>0</v>
      </c>
      <c r="G46" s="202">
        <v>0</v>
      </c>
      <c r="H46" s="202">
        <v>0</v>
      </c>
      <c r="I46" s="202">
        <v>0</v>
      </c>
      <c r="J46" s="202">
        <v>0</v>
      </c>
      <c r="K46" s="202">
        <v>0</v>
      </c>
      <c r="L46" s="202">
        <v>0</v>
      </c>
      <c r="M46" s="202">
        <v>0</v>
      </c>
      <c r="N46" s="202">
        <v>0</v>
      </c>
      <c r="O46" s="202">
        <v>0</v>
      </c>
      <c r="P46" s="202">
        <v>0</v>
      </c>
      <c r="Q46" s="202">
        <v>0</v>
      </c>
      <c r="R46" s="202">
        <v>0</v>
      </c>
      <c r="S46" s="202">
        <v>0</v>
      </c>
      <c r="T46" s="202">
        <v>0</v>
      </c>
      <c r="U46" s="202">
        <v>0</v>
      </c>
      <c r="V46" s="202">
        <v>0</v>
      </c>
      <c r="W46" s="202">
        <v>0</v>
      </c>
      <c r="X46" s="202">
        <v>0</v>
      </c>
      <c r="Y46" s="202">
        <v>0</v>
      </c>
      <c r="Z46" s="202">
        <v>0</v>
      </c>
      <c r="AA46" s="202">
        <v>0</v>
      </c>
      <c r="AB46" s="202">
        <v>0</v>
      </c>
      <c r="AC46" s="202">
        <v>0</v>
      </c>
      <c r="AD46" s="202">
        <v>0</v>
      </c>
      <c r="AE46" s="202">
        <v>0</v>
      </c>
      <c r="AF46" s="202">
        <v>0</v>
      </c>
      <c r="AG46" s="202">
        <v>0</v>
      </c>
      <c r="AH46" s="202">
        <v>0</v>
      </c>
      <c r="AI46" s="202">
        <v>0</v>
      </c>
      <c r="AJ46" s="202">
        <v>0</v>
      </c>
      <c r="AK46" s="202">
        <v>0</v>
      </c>
      <c r="AL46" s="202">
        <v>0</v>
      </c>
      <c r="AM46" s="202">
        <v>0</v>
      </c>
      <c r="AN46" s="202">
        <v>0</v>
      </c>
      <c r="AO46" s="202">
        <v>0</v>
      </c>
      <c r="AP46" s="202">
        <v>0</v>
      </c>
      <c r="AQ46" s="202">
        <v>0</v>
      </c>
      <c r="AR46" s="202">
        <v>0</v>
      </c>
      <c r="AS46" s="202">
        <v>0</v>
      </c>
      <c r="AT46" s="205">
        <v>0</v>
      </c>
      <c r="AU46" s="202">
        <v>0</v>
      </c>
      <c r="AV46" s="202">
        <v>0</v>
      </c>
      <c r="AW46" s="202">
        <v>0</v>
      </c>
      <c r="AX46" s="202">
        <v>0</v>
      </c>
      <c r="AY46" s="202">
        <v>0</v>
      </c>
      <c r="AZ46" s="203">
        <v>0</v>
      </c>
      <c r="BA46" s="203">
        <v>0</v>
      </c>
      <c r="BB46" s="203">
        <v>0</v>
      </c>
      <c r="BC46" s="203">
        <v>0</v>
      </c>
    </row>
    <row r="47" ht="13">
      <c r="A47" s="161" t="s">
        <v>304</v>
      </c>
      <c r="B47" s="202">
        <v>0</v>
      </c>
      <c r="C47" s="202">
        <v>0</v>
      </c>
      <c r="D47" s="202">
        <v>0</v>
      </c>
      <c r="E47" s="202">
        <v>0</v>
      </c>
      <c r="F47" s="202">
        <v>0</v>
      </c>
      <c r="G47" s="202">
        <v>0</v>
      </c>
      <c r="H47" s="202">
        <v>0</v>
      </c>
      <c r="I47" s="202">
        <v>0</v>
      </c>
      <c r="J47" s="202">
        <v>0</v>
      </c>
      <c r="K47" s="202">
        <v>0</v>
      </c>
      <c r="L47" s="202">
        <v>0</v>
      </c>
      <c r="M47" s="202">
        <v>0</v>
      </c>
      <c r="N47" s="202">
        <v>0</v>
      </c>
      <c r="O47" s="202">
        <v>0</v>
      </c>
      <c r="P47" s="202">
        <v>0</v>
      </c>
      <c r="Q47" s="202">
        <v>0</v>
      </c>
      <c r="R47" s="202">
        <v>0</v>
      </c>
      <c r="S47" s="202">
        <v>0</v>
      </c>
      <c r="T47" s="202">
        <v>0</v>
      </c>
      <c r="U47" s="202">
        <v>0</v>
      </c>
      <c r="V47" s="202">
        <v>0</v>
      </c>
      <c r="W47" s="202">
        <v>0</v>
      </c>
      <c r="X47" s="202">
        <v>0</v>
      </c>
      <c r="Y47" s="202">
        <v>0</v>
      </c>
      <c r="Z47" s="202">
        <v>0</v>
      </c>
      <c r="AA47" s="202">
        <v>0</v>
      </c>
      <c r="AB47" s="202">
        <v>0</v>
      </c>
      <c r="AC47" s="202">
        <v>0</v>
      </c>
      <c r="AD47" s="202">
        <v>0</v>
      </c>
      <c r="AE47" s="202">
        <v>0</v>
      </c>
      <c r="AF47" s="202">
        <v>0</v>
      </c>
      <c r="AG47" s="202">
        <v>0</v>
      </c>
      <c r="AH47" s="202">
        <v>0</v>
      </c>
      <c r="AI47" s="202">
        <v>0</v>
      </c>
      <c r="AJ47" s="202">
        <v>0</v>
      </c>
      <c r="AK47" s="202">
        <v>0</v>
      </c>
      <c r="AL47" s="202">
        <v>0</v>
      </c>
      <c r="AM47" s="202">
        <v>0</v>
      </c>
      <c r="AN47" s="202">
        <v>0</v>
      </c>
      <c r="AO47" s="202">
        <v>0</v>
      </c>
      <c r="AP47" s="202">
        <v>0</v>
      </c>
      <c r="AQ47" s="202">
        <v>0</v>
      </c>
      <c r="AR47" s="202">
        <v>0</v>
      </c>
      <c r="AS47" s="202">
        <v>0</v>
      </c>
      <c r="AT47" s="202">
        <v>0</v>
      </c>
      <c r="AU47" s="205">
        <v>0</v>
      </c>
      <c r="AV47" s="202">
        <v>0</v>
      </c>
      <c r="AW47" s="202">
        <v>0</v>
      </c>
      <c r="AX47" s="202">
        <v>0</v>
      </c>
      <c r="AY47" s="202">
        <v>0</v>
      </c>
      <c r="AZ47" s="203">
        <v>0</v>
      </c>
      <c r="BA47" s="203">
        <v>0</v>
      </c>
      <c r="BB47" s="203">
        <v>0</v>
      </c>
      <c r="BC47" s="203">
        <v>0</v>
      </c>
    </row>
    <row r="48" ht="13">
      <c r="A48" s="161" t="s">
        <v>215</v>
      </c>
      <c r="B48" s="202">
        <v>0</v>
      </c>
      <c r="C48" s="202">
        <v>0</v>
      </c>
      <c r="D48" s="202">
        <v>0</v>
      </c>
      <c r="E48" s="202">
        <v>0</v>
      </c>
      <c r="F48" s="202">
        <v>0</v>
      </c>
      <c r="G48" s="202">
        <v>0</v>
      </c>
      <c r="H48" s="202">
        <v>0</v>
      </c>
      <c r="I48" s="202">
        <v>0</v>
      </c>
      <c r="J48" s="202">
        <v>0</v>
      </c>
      <c r="K48" s="202">
        <v>0</v>
      </c>
      <c r="L48" s="202">
        <v>0</v>
      </c>
      <c r="M48" s="202">
        <v>0</v>
      </c>
      <c r="N48" s="202">
        <v>0</v>
      </c>
      <c r="O48" s="202">
        <v>0</v>
      </c>
      <c r="P48" s="202">
        <v>0</v>
      </c>
      <c r="Q48" s="202">
        <v>0</v>
      </c>
      <c r="R48" s="202">
        <v>0</v>
      </c>
      <c r="S48" s="202">
        <v>0</v>
      </c>
      <c r="T48" s="202">
        <v>0</v>
      </c>
      <c r="U48" s="202">
        <v>0</v>
      </c>
      <c r="V48" s="202">
        <v>0</v>
      </c>
      <c r="W48" s="202">
        <v>0</v>
      </c>
      <c r="X48" s="202">
        <v>0</v>
      </c>
      <c r="Y48" s="202">
        <v>0</v>
      </c>
      <c r="Z48" s="202">
        <v>0</v>
      </c>
      <c r="AA48" s="202">
        <v>0</v>
      </c>
      <c r="AB48" s="202">
        <v>0</v>
      </c>
      <c r="AC48" s="202">
        <v>0</v>
      </c>
      <c r="AD48" s="202">
        <v>0</v>
      </c>
      <c r="AE48" s="202">
        <v>0</v>
      </c>
      <c r="AF48" s="202">
        <v>0</v>
      </c>
      <c r="AG48" s="202">
        <v>0</v>
      </c>
      <c r="AH48" s="202">
        <v>0</v>
      </c>
      <c r="AI48" s="202">
        <v>0</v>
      </c>
      <c r="AJ48" s="202">
        <v>0</v>
      </c>
      <c r="AK48" s="202">
        <v>0</v>
      </c>
      <c r="AL48" s="202">
        <v>0</v>
      </c>
      <c r="AM48" s="202">
        <v>0</v>
      </c>
      <c r="AN48" s="202">
        <v>0</v>
      </c>
      <c r="AO48" s="202">
        <v>0</v>
      </c>
      <c r="AP48" s="202">
        <v>0</v>
      </c>
      <c r="AQ48" s="202">
        <v>0</v>
      </c>
      <c r="AR48" s="202">
        <v>0</v>
      </c>
      <c r="AS48" s="202">
        <v>0</v>
      </c>
      <c r="AT48" s="202">
        <v>0</v>
      </c>
      <c r="AU48" s="202">
        <v>0</v>
      </c>
      <c r="AV48" s="205">
        <v>0</v>
      </c>
      <c r="AW48" s="202">
        <v>0</v>
      </c>
      <c r="AX48" s="202">
        <v>0</v>
      </c>
      <c r="AY48" s="202">
        <v>0</v>
      </c>
      <c r="AZ48" s="203">
        <v>0</v>
      </c>
      <c r="BA48" s="203">
        <v>0</v>
      </c>
      <c r="BB48" s="203">
        <v>0</v>
      </c>
      <c r="BC48" s="203">
        <v>0</v>
      </c>
    </row>
    <row r="49" ht="13">
      <c r="A49" s="161" t="s">
        <v>216</v>
      </c>
      <c r="B49" s="202">
        <v>0</v>
      </c>
      <c r="C49" s="202">
        <v>0</v>
      </c>
      <c r="D49" s="202">
        <v>0</v>
      </c>
      <c r="E49" s="202">
        <v>0</v>
      </c>
      <c r="F49" s="202">
        <v>0</v>
      </c>
      <c r="G49" s="202">
        <v>0</v>
      </c>
      <c r="H49" s="202">
        <v>0</v>
      </c>
      <c r="I49" s="202">
        <v>0</v>
      </c>
      <c r="J49" s="202">
        <v>0</v>
      </c>
      <c r="K49" s="202">
        <v>0</v>
      </c>
      <c r="L49" s="202">
        <v>0</v>
      </c>
      <c r="M49" s="202">
        <v>0</v>
      </c>
      <c r="N49" s="202">
        <v>0</v>
      </c>
      <c r="O49" s="202">
        <v>0</v>
      </c>
      <c r="P49" s="202">
        <v>0</v>
      </c>
      <c r="Q49" s="202">
        <v>0</v>
      </c>
      <c r="R49" s="202">
        <v>0</v>
      </c>
      <c r="S49" s="202">
        <v>0</v>
      </c>
      <c r="T49" s="202">
        <v>0</v>
      </c>
      <c r="U49" s="202">
        <v>0</v>
      </c>
      <c r="V49" s="202">
        <v>0</v>
      </c>
      <c r="W49" s="202">
        <v>0</v>
      </c>
      <c r="X49" s="202">
        <v>0</v>
      </c>
      <c r="Y49" s="202">
        <v>0</v>
      </c>
      <c r="Z49" s="202">
        <v>0</v>
      </c>
      <c r="AA49" s="202">
        <v>2.4494897427831801</v>
      </c>
      <c r="AB49" s="202">
        <v>0</v>
      </c>
      <c r="AC49" s="202">
        <v>0</v>
      </c>
      <c r="AD49" s="202">
        <v>0</v>
      </c>
      <c r="AE49" s="202">
        <v>0</v>
      </c>
      <c r="AF49" s="202">
        <v>0</v>
      </c>
      <c r="AG49" s="202">
        <v>0</v>
      </c>
      <c r="AH49" s="202">
        <v>0</v>
      </c>
      <c r="AI49" s="202">
        <v>0</v>
      </c>
      <c r="AJ49" s="202">
        <v>0</v>
      </c>
      <c r="AK49" s="202">
        <v>0</v>
      </c>
      <c r="AL49" s="202">
        <v>0</v>
      </c>
      <c r="AM49" s="202">
        <v>0</v>
      </c>
      <c r="AN49" s="202">
        <v>0</v>
      </c>
      <c r="AO49" s="202">
        <v>0</v>
      </c>
      <c r="AP49" s="202">
        <v>0</v>
      </c>
      <c r="AQ49" s="202">
        <v>0</v>
      </c>
      <c r="AR49" s="202">
        <v>0</v>
      </c>
      <c r="AS49" s="202">
        <v>0</v>
      </c>
      <c r="AT49" s="202">
        <v>0</v>
      </c>
      <c r="AU49" s="202">
        <v>0</v>
      </c>
      <c r="AV49" s="202">
        <v>0</v>
      </c>
      <c r="AW49" s="205">
        <v>0</v>
      </c>
      <c r="AX49" s="202">
        <v>0</v>
      </c>
      <c r="AY49" s="202">
        <v>0</v>
      </c>
      <c r="AZ49" s="203">
        <v>0</v>
      </c>
      <c r="BA49" s="203">
        <v>0</v>
      </c>
      <c r="BB49" s="203">
        <v>0</v>
      </c>
      <c r="BC49" s="203">
        <v>0</v>
      </c>
    </row>
    <row r="50" ht="13">
      <c r="A50" s="161" t="s">
        <v>217</v>
      </c>
      <c r="B50" s="202">
        <v>0</v>
      </c>
      <c r="C50" s="202">
        <v>0</v>
      </c>
      <c r="D50" s="202">
        <v>0</v>
      </c>
      <c r="E50" s="202">
        <v>0</v>
      </c>
      <c r="F50" s="202">
        <v>0</v>
      </c>
      <c r="G50" s="202">
        <v>0</v>
      </c>
      <c r="H50" s="202">
        <v>0</v>
      </c>
      <c r="I50" s="202">
        <v>0</v>
      </c>
      <c r="J50" s="202">
        <v>0</v>
      </c>
      <c r="K50" s="202">
        <v>0</v>
      </c>
      <c r="L50" s="202">
        <v>0</v>
      </c>
      <c r="M50" s="202">
        <v>0</v>
      </c>
      <c r="N50" s="202">
        <v>0</v>
      </c>
      <c r="O50" s="202">
        <v>0</v>
      </c>
      <c r="P50" s="202">
        <v>0</v>
      </c>
      <c r="Q50" s="202">
        <v>0</v>
      </c>
      <c r="R50" s="202">
        <v>0</v>
      </c>
      <c r="S50" s="202">
        <v>0</v>
      </c>
      <c r="T50" s="202">
        <v>0</v>
      </c>
      <c r="U50" s="202">
        <v>0</v>
      </c>
      <c r="V50" s="202">
        <v>0</v>
      </c>
      <c r="W50" s="202">
        <v>0</v>
      </c>
      <c r="X50" s="202">
        <v>0</v>
      </c>
      <c r="Y50" s="202">
        <v>0</v>
      </c>
      <c r="Z50" s="202">
        <v>0</v>
      </c>
      <c r="AA50" s="202">
        <v>0</v>
      </c>
      <c r="AB50" s="202">
        <v>0</v>
      </c>
      <c r="AC50" s="202">
        <v>0</v>
      </c>
      <c r="AD50" s="202">
        <v>0</v>
      </c>
      <c r="AE50" s="202">
        <v>0</v>
      </c>
      <c r="AF50" s="202">
        <v>0</v>
      </c>
      <c r="AG50" s="202">
        <v>0</v>
      </c>
      <c r="AH50" s="202">
        <v>0</v>
      </c>
      <c r="AI50" s="202">
        <v>0</v>
      </c>
      <c r="AJ50" s="202">
        <v>0</v>
      </c>
      <c r="AK50" s="202">
        <v>0</v>
      </c>
      <c r="AL50" s="202">
        <v>0</v>
      </c>
      <c r="AM50" s="202">
        <v>0</v>
      </c>
      <c r="AN50" s="202">
        <v>0</v>
      </c>
      <c r="AO50" s="202">
        <v>0</v>
      </c>
      <c r="AP50" s="202">
        <v>0</v>
      </c>
      <c r="AQ50" s="202">
        <v>0</v>
      </c>
      <c r="AR50" s="202">
        <v>0</v>
      </c>
      <c r="AS50" s="202">
        <v>0</v>
      </c>
      <c r="AT50" s="202">
        <v>0</v>
      </c>
      <c r="AU50" s="202">
        <v>0</v>
      </c>
      <c r="AV50" s="202">
        <v>0</v>
      </c>
      <c r="AW50" s="202">
        <v>0</v>
      </c>
      <c r="AX50" s="205">
        <v>0</v>
      </c>
      <c r="AY50" s="202">
        <v>0</v>
      </c>
      <c r="AZ50" s="203">
        <v>0</v>
      </c>
      <c r="BA50" s="203">
        <v>0</v>
      </c>
      <c r="BB50" s="203">
        <v>0</v>
      </c>
      <c r="BC50" s="203">
        <v>0</v>
      </c>
    </row>
    <row r="51" ht="13">
      <c r="A51" s="161" t="s">
        <v>218</v>
      </c>
      <c r="B51" s="202">
        <v>0</v>
      </c>
      <c r="C51" s="202">
        <v>0</v>
      </c>
      <c r="D51" s="202">
        <v>0</v>
      </c>
      <c r="E51" s="202">
        <v>0</v>
      </c>
      <c r="F51" s="202">
        <v>0</v>
      </c>
      <c r="G51" s="202">
        <v>0</v>
      </c>
      <c r="H51" s="202">
        <v>0</v>
      </c>
      <c r="I51" s="202">
        <v>0</v>
      </c>
      <c r="J51" s="202">
        <v>0</v>
      </c>
      <c r="K51" s="202">
        <v>0</v>
      </c>
      <c r="L51" s="202">
        <v>0</v>
      </c>
      <c r="M51" s="202">
        <v>0</v>
      </c>
      <c r="N51" s="202">
        <v>0</v>
      </c>
      <c r="O51" s="202">
        <v>0</v>
      </c>
      <c r="P51" s="202">
        <v>0</v>
      </c>
      <c r="Q51" s="202">
        <v>0</v>
      </c>
      <c r="R51" s="202">
        <v>0</v>
      </c>
      <c r="S51" s="202">
        <v>0</v>
      </c>
      <c r="T51" s="202">
        <v>0</v>
      </c>
      <c r="U51" s="202">
        <v>0</v>
      </c>
      <c r="V51" s="202">
        <v>0</v>
      </c>
      <c r="W51" s="202">
        <v>0</v>
      </c>
      <c r="X51" s="202">
        <v>0</v>
      </c>
      <c r="Y51" s="202">
        <v>0</v>
      </c>
      <c r="Z51" s="202">
        <v>0</v>
      </c>
      <c r="AA51" s="202">
        <v>0</v>
      </c>
      <c r="AB51" s="202">
        <v>0</v>
      </c>
      <c r="AC51" s="202">
        <v>0</v>
      </c>
      <c r="AD51" s="202">
        <v>0</v>
      </c>
      <c r="AE51" s="202">
        <v>0</v>
      </c>
      <c r="AF51" s="202">
        <v>0</v>
      </c>
      <c r="AG51" s="202">
        <v>0</v>
      </c>
      <c r="AH51" s="202">
        <v>0</v>
      </c>
      <c r="AI51" s="202">
        <v>0</v>
      </c>
      <c r="AJ51" s="202">
        <v>0</v>
      </c>
      <c r="AK51" s="202">
        <v>0</v>
      </c>
      <c r="AL51" s="202">
        <v>0</v>
      </c>
      <c r="AM51" s="202">
        <v>0</v>
      </c>
      <c r="AN51" s="202">
        <v>0</v>
      </c>
      <c r="AO51" s="202">
        <v>0</v>
      </c>
      <c r="AP51" s="202">
        <v>0</v>
      </c>
      <c r="AQ51" s="202">
        <v>0</v>
      </c>
      <c r="AR51" s="202">
        <v>0</v>
      </c>
      <c r="AS51" s="202">
        <v>0</v>
      </c>
      <c r="AT51" s="202">
        <v>0</v>
      </c>
      <c r="AU51" s="202">
        <v>0</v>
      </c>
      <c r="AV51" s="202">
        <v>0</v>
      </c>
      <c r="AW51" s="202">
        <v>0</v>
      </c>
      <c r="AX51" s="202">
        <v>0</v>
      </c>
      <c r="AY51" s="205">
        <v>0</v>
      </c>
      <c r="AZ51" s="203">
        <v>0</v>
      </c>
      <c r="BA51" s="203">
        <v>0</v>
      </c>
      <c r="BB51" s="203">
        <v>0</v>
      </c>
      <c r="BC51" s="203">
        <v>0</v>
      </c>
    </row>
    <row r="52" ht="13">
      <c r="A52" s="161" t="s">
        <v>72</v>
      </c>
      <c r="B52" s="202">
        <v>0</v>
      </c>
      <c r="C52" s="202">
        <v>0</v>
      </c>
      <c r="D52" s="202">
        <v>0</v>
      </c>
      <c r="E52" s="202">
        <v>0</v>
      </c>
      <c r="F52" s="202">
        <v>0</v>
      </c>
      <c r="G52" s="202">
        <v>0</v>
      </c>
      <c r="H52" s="202">
        <v>0</v>
      </c>
      <c r="I52" s="202">
        <v>3.74165738677394</v>
      </c>
      <c r="J52" s="202">
        <f>1.24899959967968+(1.73205080756888/10)</f>
        <v>1.4222046804365682</v>
      </c>
      <c r="K52" s="202">
        <v>0</v>
      </c>
      <c r="L52" s="202">
        <v>0</v>
      </c>
      <c r="M52" s="202">
        <v>0</v>
      </c>
      <c r="N52" s="202">
        <v>1.7320508075688801</v>
      </c>
      <c r="O52" s="202">
        <v>0.92894535134257905</v>
      </c>
      <c r="P52" s="202">
        <f>2.23606797749979+(1.17124557190675/10)</f>
        <v>2.3531925346904647</v>
      </c>
      <c r="Q52" s="202">
        <f>2+(2/8)</f>
        <v>2.25</v>
      </c>
      <c r="R52" s="202">
        <v>1.55816206553272</v>
      </c>
      <c r="S52" s="202">
        <v>1.69865893482793</v>
      </c>
      <c r="T52" s="202">
        <v>0.72869864602114998</v>
      </c>
      <c r="U52" s="202">
        <f>3+(3/21)</f>
        <v>3.1428571428571428</v>
      </c>
      <c r="V52" s="202">
        <f>4.24264068711929+(3.13896484116559/16)</f>
        <v>4.4388259896921394</v>
      </c>
      <c r="W52" s="202">
        <v>0</v>
      </c>
      <c r="X52" s="202">
        <v>0</v>
      </c>
      <c r="Y52" s="202">
        <v>0.86917879486265004</v>
      </c>
      <c r="Z52" s="202">
        <v>1.41421356237309</v>
      </c>
      <c r="AA52" s="202">
        <v>0</v>
      </c>
      <c r="AB52" s="202">
        <v>0</v>
      </c>
      <c r="AC52" s="202">
        <v>1.0053133889010399</v>
      </c>
      <c r="AD52" s="202">
        <v>2.0024985486897999</v>
      </c>
      <c r="AE52" s="202">
        <v>1.4142135623731</v>
      </c>
      <c r="AF52" s="202">
        <v>1.67344290280329</v>
      </c>
      <c r="AG52" s="202">
        <v>2.5322739495745399</v>
      </c>
      <c r="AH52" s="202">
        <f>1.8376488850097+(3.1869874981447/15)</f>
        <v>2.0501147182193464</v>
      </c>
      <c r="AI52" s="202">
        <v>0</v>
      </c>
      <c r="AJ52" s="202">
        <v>0</v>
      </c>
      <c r="AK52" s="202">
        <v>0</v>
      </c>
      <c r="AL52" s="202">
        <v>1.41421356237309</v>
      </c>
      <c r="AM52" s="202">
        <f>0.88038051862855+(2.64575131106459/8)</f>
        <v>1.2110994325116238</v>
      </c>
      <c r="AN52" s="202">
        <f>1.73205080756888+(0.868966075756888/4)</f>
        <v>1.9492923265081021</v>
      </c>
      <c r="AO52" s="202">
        <f>1.21072230155784+(3.16227766016838/10)</f>
        <v>1.5269500675746781</v>
      </c>
      <c r="AP52" s="202">
        <v>0</v>
      </c>
      <c r="AQ52" s="202">
        <v>0</v>
      </c>
      <c r="AR52" s="202">
        <v>0</v>
      </c>
      <c r="AS52" s="202">
        <v>0</v>
      </c>
      <c r="AT52" s="202">
        <f>1.93988560735048+(2/14)</f>
        <v>2.0827427502076228</v>
      </c>
      <c r="AU52" s="202">
        <v>0</v>
      </c>
      <c r="AV52" s="202">
        <v>0</v>
      </c>
      <c r="AW52" s="202">
        <v>0</v>
      </c>
      <c r="AX52" s="202">
        <v>0</v>
      </c>
      <c r="AY52" s="202">
        <v>0</v>
      </c>
      <c r="AZ52" s="203">
        <v>0</v>
      </c>
      <c r="BA52" s="203">
        <v>0</v>
      </c>
      <c r="BB52" s="203">
        <v>0</v>
      </c>
      <c r="BC52" s="203">
        <v>0</v>
      </c>
    </row>
    <row r="53" ht="13">
      <c r="A53" s="161" t="s">
        <v>219</v>
      </c>
      <c r="B53" s="202">
        <v>0</v>
      </c>
      <c r="C53" s="202">
        <v>0</v>
      </c>
      <c r="D53" s="202">
        <v>0</v>
      </c>
      <c r="E53" s="202">
        <v>0</v>
      </c>
      <c r="F53" s="202">
        <v>0</v>
      </c>
      <c r="G53" s="202">
        <v>0</v>
      </c>
      <c r="H53" s="202">
        <v>0</v>
      </c>
      <c r="I53" s="202">
        <v>0</v>
      </c>
      <c r="J53" s="202">
        <v>0</v>
      </c>
      <c r="K53" s="202">
        <v>2.01540518053748</v>
      </c>
      <c r="L53" s="202">
        <v>0</v>
      </c>
      <c r="M53" s="202">
        <v>4.1180497002019498</v>
      </c>
      <c r="N53" s="202">
        <v>0</v>
      </c>
      <c r="O53" s="202">
        <v>0</v>
      </c>
      <c r="P53" s="202">
        <v>0</v>
      </c>
      <c r="Q53" s="202">
        <v>0</v>
      </c>
      <c r="R53" s="202">
        <v>0</v>
      </c>
      <c r="S53" s="202">
        <v>0</v>
      </c>
      <c r="T53" s="202">
        <v>0</v>
      </c>
      <c r="U53" s="202">
        <v>0</v>
      </c>
      <c r="V53" s="202">
        <v>0</v>
      </c>
      <c r="W53" s="202">
        <v>0</v>
      </c>
      <c r="X53" s="202">
        <v>0</v>
      </c>
      <c r="Y53" s="202">
        <v>0</v>
      </c>
      <c r="Z53" s="202">
        <v>0</v>
      </c>
      <c r="AA53" s="202">
        <v>0</v>
      </c>
      <c r="AB53" s="202">
        <v>0</v>
      </c>
      <c r="AC53" s="202">
        <v>0</v>
      </c>
      <c r="AD53" s="202">
        <v>0</v>
      </c>
      <c r="AE53" s="202">
        <v>0</v>
      </c>
      <c r="AF53" s="202">
        <v>3</v>
      </c>
      <c r="AG53" s="202">
        <v>0</v>
      </c>
      <c r="AH53" s="202">
        <v>0</v>
      </c>
      <c r="AI53" s="202">
        <v>0</v>
      </c>
      <c r="AJ53" s="202">
        <f>1.41421356237309+(1.41497117678151/12)</f>
        <v>1.5321278271048826</v>
      </c>
      <c r="AK53" s="202">
        <v>0</v>
      </c>
      <c r="AL53" s="202">
        <v>0</v>
      </c>
      <c r="AM53" s="202">
        <v>0</v>
      </c>
      <c r="AN53" s="202">
        <v>0</v>
      </c>
      <c r="AO53" s="202">
        <v>0</v>
      </c>
      <c r="AP53" s="202">
        <v>0</v>
      </c>
      <c r="AQ53" s="202">
        <v>0</v>
      </c>
      <c r="AR53" s="202">
        <v>0</v>
      </c>
      <c r="AS53" s="202">
        <v>0</v>
      </c>
      <c r="AT53" s="202">
        <v>0</v>
      </c>
      <c r="AU53" s="202">
        <v>0</v>
      </c>
      <c r="AV53" s="202">
        <v>0</v>
      </c>
      <c r="AW53" s="202">
        <v>0</v>
      </c>
      <c r="AX53" s="202">
        <v>0</v>
      </c>
      <c r="AY53" s="202">
        <v>0</v>
      </c>
      <c r="AZ53" s="203">
        <v>0</v>
      </c>
      <c r="BA53" s="203">
        <v>0</v>
      </c>
      <c r="BB53" s="203">
        <v>0</v>
      </c>
      <c r="BC53" s="203">
        <v>0</v>
      </c>
    </row>
    <row r="54" ht="13">
      <c r="A54" s="161" t="s">
        <v>71</v>
      </c>
      <c r="B54" s="202">
        <v>0</v>
      </c>
      <c r="C54" s="202">
        <v>0</v>
      </c>
      <c r="D54" s="202">
        <v>0</v>
      </c>
      <c r="E54" s="202">
        <v>0</v>
      </c>
      <c r="F54" s="202">
        <v>0</v>
      </c>
      <c r="G54" s="202">
        <v>0</v>
      </c>
      <c r="H54" s="202">
        <v>0</v>
      </c>
      <c r="I54" s="202">
        <v>0</v>
      </c>
      <c r="J54" s="202">
        <v>0</v>
      </c>
      <c r="K54" s="202">
        <v>0</v>
      </c>
      <c r="L54" s="202">
        <v>0</v>
      </c>
      <c r="M54" s="202">
        <v>0</v>
      </c>
      <c r="N54" s="202">
        <v>0</v>
      </c>
      <c r="O54" s="202">
        <v>0</v>
      </c>
      <c r="P54" s="202">
        <v>0</v>
      </c>
      <c r="Q54" s="202">
        <v>0</v>
      </c>
      <c r="R54" s="202">
        <v>0</v>
      </c>
      <c r="S54" s="202">
        <v>0</v>
      </c>
      <c r="T54" s="202">
        <v>0</v>
      </c>
      <c r="U54" s="202">
        <v>0</v>
      </c>
      <c r="V54" s="202">
        <v>0</v>
      </c>
      <c r="W54" s="202">
        <v>0</v>
      </c>
      <c r="X54" s="202">
        <v>0</v>
      </c>
      <c r="Y54" s="202">
        <v>0</v>
      </c>
      <c r="Z54" s="202">
        <v>0</v>
      </c>
      <c r="AA54" s="202">
        <v>0</v>
      </c>
      <c r="AB54" s="202">
        <v>0</v>
      </c>
      <c r="AC54" s="202">
        <v>0</v>
      </c>
      <c r="AD54" s="202">
        <v>0</v>
      </c>
      <c r="AE54" s="202">
        <v>0</v>
      </c>
      <c r="AF54" s="202">
        <v>0</v>
      </c>
      <c r="AG54" s="202">
        <v>0</v>
      </c>
      <c r="AH54" s="202">
        <v>0</v>
      </c>
      <c r="AI54" s="202">
        <v>0</v>
      </c>
      <c r="AJ54" s="202">
        <v>0</v>
      </c>
      <c r="AK54" s="202">
        <v>0</v>
      </c>
      <c r="AL54" s="202">
        <v>0</v>
      </c>
      <c r="AM54" s="202">
        <v>0</v>
      </c>
      <c r="AN54" s="202">
        <v>0</v>
      </c>
      <c r="AO54" s="202">
        <v>0</v>
      </c>
      <c r="AP54" s="202">
        <v>0</v>
      </c>
      <c r="AQ54" s="202">
        <v>0</v>
      </c>
      <c r="AR54" s="202">
        <v>0</v>
      </c>
      <c r="AS54" s="202">
        <v>0</v>
      </c>
      <c r="AT54" s="202">
        <v>0</v>
      </c>
      <c r="AU54" s="202">
        <v>0</v>
      </c>
      <c r="AV54" s="202">
        <v>0</v>
      </c>
      <c r="AW54" s="202">
        <v>0</v>
      </c>
      <c r="AX54" s="202">
        <v>0</v>
      </c>
      <c r="AY54" s="202">
        <v>0</v>
      </c>
      <c r="AZ54" s="203">
        <v>0</v>
      </c>
      <c r="BA54" s="203">
        <v>0</v>
      </c>
      <c r="BB54" s="203">
        <v>0</v>
      </c>
      <c r="BC54" s="203">
        <v>0</v>
      </c>
    </row>
    <row r="55" ht="13">
      <c r="A55" s="161" t="s">
        <v>73</v>
      </c>
      <c r="B55" s="202">
        <v>0</v>
      </c>
      <c r="C55" s="202">
        <v>0</v>
      </c>
      <c r="D55" s="202">
        <v>0</v>
      </c>
      <c r="E55" s="202">
        <v>0</v>
      </c>
      <c r="F55" s="202">
        <v>0</v>
      </c>
      <c r="G55" s="202">
        <v>0</v>
      </c>
      <c r="H55" s="202">
        <f>0.329764011658969+(0.611279438097119/3)</f>
        <v>0.53352382435800871</v>
      </c>
      <c r="I55" s="202">
        <v>0</v>
      </c>
      <c r="J55" s="202">
        <f>1.08835830934661+(1.73205080756888/10)</f>
        <v>1.2615633901034982</v>
      </c>
      <c r="K55" s="202">
        <v>0</v>
      </c>
      <c r="L55" s="202">
        <v>0</v>
      </c>
      <c r="M55" s="202">
        <v>0</v>
      </c>
      <c r="N55" s="202">
        <v>0</v>
      </c>
      <c r="O55" s="202">
        <v>0</v>
      </c>
      <c r="P55" s="202">
        <v>0</v>
      </c>
      <c r="Q55" s="202">
        <v>0</v>
      </c>
      <c r="R55" s="202">
        <v>0</v>
      </c>
      <c r="S55" s="202">
        <v>0</v>
      </c>
      <c r="T55" s="202">
        <v>0</v>
      </c>
      <c r="U55" s="202">
        <v>0</v>
      </c>
      <c r="V55" s="202">
        <v>0</v>
      </c>
      <c r="W55" s="202">
        <v>0</v>
      </c>
      <c r="X55" s="202">
        <v>0</v>
      </c>
      <c r="Y55" s="202">
        <v>0</v>
      </c>
      <c r="Z55" s="202">
        <v>0</v>
      </c>
      <c r="AA55" s="202">
        <v>0</v>
      </c>
      <c r="AB55" s="202">
        <v>0</v>
      </c>
      <c r="AC55" s="202">
        <v>0</v>
      </c>
      <c r="AD55" s="202">
        <v>0</v>
      </c>
      <c r="AE55" s="202">
        <v>0</v>
      </c>
      <c r="AF55" s="202">
        <v>0</v>
      </c>
      <c r="AG55" s="202">
        <v>0</v>
      </c>
      <c r="AH55" s="202">
        <f>3.67450837994956+(3.1869874981447/15)</f>
        <v>3.8869742131592067</v>
      </c>
      <c r="AI55" s="202">
        <v>0</v>
      </c>
      <c r="AJ55" s="202">
        <v>0</v>
      </c>
      <c r="AK55" s="202">
        <v>0</v>
      </c>
      <c r="AL55" s="202">
        <v>0</v>
      </c>
      <c r="AM55" s="202">
        <v>0</v>
      </c>
      <c r="AN55" s="202">
        <f>0.878919791562347+(0.868966075756888/4)</f>
        <v>1.0961613105015691</v>
      </c>
      <c r="AO55" s="202">
        <f>2.48587848390357+(3.16227766016838/10)</f>
        <v>2.8021062499204081</v>
      </c>
      <c r="AP55" s="202">
        <v>0</v>
      </c>
      <c r="AQ55" s="202">
        <v>0</v>
      </c>
      <c r="AR55" s="202">
        <v>0</v>
      </c>
      <c r="AS55" s="202">
        <v>1.4142135623731</v>
      </c>
      <c r="AT55" s="202">
        <v>0</v>
      </c>
      <c r="AU55" s="202">
        <v>0</v>
      </c>
      <c r="AV55" s="202">
        <v>0</v>
      </c>
      <c r="AW55" s="202">
        <v>0</v>
      </c>
      <c r="AX55" s="202">
        <v>0</v>
      </c>
      <c r="AY55" s="202">
        <v>0</v>
      </c>
      <c r="AZ55" s="203">
        <v>0</v>
      </c>
      <c r="BA55" s="203">
        <v>0</v>
      </c>
      <c r="BB55" s="203">
        <v>0</v>
      </c>
      <c r="BC55" s="203">
        <v>0</v>
      </c>
    </row>
    <row r="56" ht="13">
      <c r="A56" s="161" t="s">
        <v>162</v>
      </c>
      <c r="B56" s="202">
        <v>0</v>
      </c>
      <c r="C56" s="202">
        <v>0</v>
      </c>
      <c r="D56" s="202">
        <v>0</v>
      </c>
      <c r="E56" s="202">
        <v>0</v>
      </c>
      <c r="F56" s="202">
        <v>0</v>
      </c>
      <c r="G56" s="202">
        <v>0</v>
      </c>
      <c r="H56" s="202">
        <v>0</v>
      </c>
      <c r="I56" s="202">
        <v>0</v>
      </c>
      <c r="J56" s="202">
        <v>0</v>
      </c>
      <c r="K56" s="202">
        <v>0</v>
      </c>
      <c r="L56" s="202">
        <v>0</v>
      </c>
      <c r="M56" s="202">
        <v>0</v>
      </c>
      <c r="N56" s="202">
        <v>0</v>
      </c>
      <c r="O56" s="202">
        <v>0</v>
      </c>
      <c r="P56" s="202">
        <v>0</v>
      </c>
      <c r="Q56" s="202">
        <v>0</v>
      </c>
      <c r="R56" s="202">
        <v>0</v>
      </c>
      <c r="S56" s="202">
        <v>0</v>
      </c>
      <c r="T56" s="202">
        <v>0</v>
      </c>
      <c r="U56" s="202">
        <v>0</v>
      </c>
      <c r="V56" s="202">
        <v>0</v>
      </c>
      <c r="W56" s="202">
        <v>0</v>
      </c>
      <c r="X56" s="202">
        <v>0</v>
      </c>
      <c r="Y56" s="202">
        <v>0</v>
      </c>
      <c r="Z56" s="202">
        <v>0</v>
      </c>
      <c r="AA56" s="202">
        <v>0</v>
      </c>
      <c r="AB56" s="202">
        <v>0</v>
      </c>
      <c r="AC56" s="202">
        <v>0</v>
      </c>
      <c r="AD56" s="202">
        <v>0</v>
      </c>
      <c r="AE56" s="202">
        <v>0</v>
      </c>
      <c r="AF56" s="202">
        <v>0</v>
      </c>
      <c r="AG56" s="202">
        <v>0</v>
      </c>
      <c r="AH56" s="202">
        <v>0</v>
      </c>
      <c r="AI56" s="202">
        <v>0</v>
      </c>
      <c r="AJ56" s="202">
        <v>0</v>
      </c>
      <c r="AK56" s="202">
        <v>0</v>
      </c>
      <c r="AL56" s="202">
        <v>0</v>
      </c>
      <c r="AM56" s="202">
        <v>0</v>
      </c>
      <c r="AN56" s="202">
        <v>0</v>
      </c>
      <c r="AO56" s="202">
        <v>0</v>
      </c>
      <c r="AP56" s="202">
        <v>0</v>
      </c>
      <c r="AQ56" s="202">
        <v>0</v>
      </c>
      <c r="AR56" s="202">
        <v>0</v>
      </c>
      <c r="AS56" s="202">
        <v>0</v>
      </c>
      <c r="AT56" s="202">
        <v>0</v>
      </c>
      <c r="AU56" s="202">
        <v>0</v>
      </c>
      <c r="AV56" s="202">
        <v>0</v>
      </c>
      <c r="AW56" s="202">
        <v>0</v>
      </c>
      <c r="AX56" s="202">
        <v>0</v>
      </c>
      <c r="AY56" s="202">
        <v>0</v>
      </c>
      <c r="AZ56" s="202">
        <v>0</v>
      </c>
      <c r="BA56" s="202">
        <v>0</v>
      </c>
      <c r="BB56" s="202">
        <v>0</v>
      </c>
      <c r="BC56" s="202">
        <v>0</v>
      </c>
    </row>
    <row r="57" ht="13">
      <c r="A57" s="162"/>
    </row>
    <row r="58" ht="13">
      <c r="A58" s="162"/>
    </row>
    <row r="59" ht="13">
      <c r="A59" s="206" t="s">
        <v>295</v>
      </c>
    </row>
    <row r="66" ht="13">
      <c r="A66" s="120"/>
    </row>
    <row r="67" ht="13">
      <c r="A67" s="120"/>
    </row>
    <row r="68" ht="13">
      <c r="A68" s="120"/>
    </row>
    <row r="69" ht="13">
      <c r="A69" s="120"/>
    </row>
    <row r="70" ht="13">
      <c r="A70" s="120"/>
    </row>
    <row r="71" ht="13">
      <c r="A71" s="120"/>
    </row>
    <row r="72" ht="13">
      <c r="A72" s="120"/>
    </row>
    <row r="73" ht="13">
      <c r="A73" s="120"/>
    </row>
    <row r="74" ht="13">
      <c r="A74" s="120"/>
    </row>
    <row r="75" ht="13">
      <c r="A75" s="120"/>
    </row>
    <row r="76" ht="13">
      <c r="A76" s="120"/>
    </row>
    <row r="77" ht="13">
      <c r="A77" s="120"/>
    </row>
    <row r="78" ht="13">
      <c r="A78" s="120"/>
    </row>
    <row r="79" ht="13">
      <c r="A79" s="120"/>
    </row>
    <row r="80" ht="13">
      <c r="A80" s="120"/>
    </row>
    <row r="81" ht="13">
      <c r="A81" s="120"/>
    </row>
    <row r="82" ht="13">
      <c r="A82" s="120"/>
    </row>
    <row r="83" ht="13">
      <c r="A83" s="120"/>
    </row>
    <row r="84" ht="13">
      <c r="A84" s="120"/>
    </row>
    <row r="85" ht="13">
      <c r="A85" s="120"/>
    </row>
    <row r="86" ht="13">
      <c r="A86" s="120"/>
    </row>
    <row r="87" ht="13">
      <c r="A87" s="120"/>
    </row>
    <row r="88" ht="13">
      <c r="A88" s="120"/>
    </row>
    <row r="89" ht="13">
      <c r="A89" s="120"/>
    </row>
    <row r="90" ht="13">
      <c r="A90" s="120"/>
    </row>
    <row r="91" ht="13">
      <c r="A91" s="120"/>
    </row>
    <row r="92" ht="13">
      <c r="A92" s="120"/>
    </row>
    <row r="93" ht="13">
      <c r="A93" s="120"/>
    </row>
    <row r="94" ht="13">
      <c r="A94" s="120"/>
    </row>
    <row r="95" ht="13">
      <c r="A95" s="120"/>
    </row>
    <row r="96" ht="13">
      <c r="A96" s="120"/>
    </row>
    <row r="97" ht="13">
      <c r="A97" s="120"/>
    </row>
    <row r="98" ht="13">
      <c r="A98" s="120"/>
    </row>
    <row r="99" ht="13">
      <c r="A99" s="120"/>
    </row>
    <row r="100" ht="13">
      <c r="A100" s="120"/>
    </row>
    <row r="101" ht="13">
      <c r="A101" s="120"/>
    </row>
    <row r="102" ht="13">
      <c r="A102" s="120"/>
    </row>
    <row r="103" ht="13">
      <c r="A103" s="120"/>
    </row>
    <row r="104" ht="13">
      <c r="A104" s="120"/>
    </row>
    <row r="105" ht="13">
      <c r="A105" s="120"/>
    </row>
    <row r="106" ht="13">
      <c r="A106" s="120"/>
    </row>
    <row r="107" ht="13">
      <c r="A107" s="120"/>
    </row>
    <row r="108" ht="13">
      <c r="A108" s="120"/>
    </row>
    <row r="109" ht="13">
      <c r="A109" s="120"/>
    </row>
    <row r="110" ht="13">
      <c r="A110" s="120"/>
    </row>
    <row r="111" ht="13">
      <c r="A111" s="120"/>
    </row>
    <row r="112" ht="13">
      <c r="A112" s="120"/>
    </row>
    <row r="113" ht="13">
      <c r="A113" s="120"/>
    </row>
    <row r="114" ht="13">
      <c r="A114" s="120"/>
    </row>
    <row r="115" ht="13">
      <c r="A115" s="120"/>
    </row>
    <row r="116" ht="13">
      <c r="A116" s="120"/>
    </row>
    <row r="117" ht="13">
      <c r="A117" s="120"/>
    </row>
    <row r="118" ht="13">
      <c r="A118" s="120"/>
    </row>
    <row r="119" ht="13">
      <c r="A119" s="120"/>
    </row>
    <row r="120" ht="13">
      <c r="A120" s="120"/>
    </row>
    <row r="121" ht="13">
      <c r="A121" s="120"/>
    </row>
    <row r="122" ht="13">
      <c r="A122" s="120"/>
    </row>
    <row r="123" ht="13">
      <c r="A123" s="120"/>
    </row>
    <row r="124" ht="13">
      <c r="A124" s="120"/>
    </row>
    <row r="125" ht="13">
      <c r="A125" s="120"/>
    </row>
    <row r="126" ht="13">
      <c r="A126" s="120"/>
    </row>
    <row r="127" ht="13">
      <c r="A127" s="120"/>
    </row>
    <row r="128" ht="13">
      <c r="A128" s="120"/>
    </row>
    <row r="129" ht="13">
      <c r="A129" s="120"/>
    </row>
    <row r="130" ht="13">
      <c r="A130" s="120"/>
    </row>
    <row r="131" ht="13">
      <c r="A131" s="120"/>
    </row>
    <row r="132" ht="13">
      <c r="A132" s="120"/>
    </row>
    <row r="133" ht="13">
      <c r="A133" s="120"/>
    </row>
  </sheetData>
  <conditionalFormatting sqref="B2:BC56">
    <cfRule type="cellIs" dxfId="0" priority="1" operator="equal">
      <formula>0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BC56"/>
  <sheetViews>
    <sheetView topLeftCell="A30" workbookViewId="0">
      <selection activeCell="A47" sqref="A47"/>
    </sheetView>
  </sheetViews>
  <sheetFormatPr baseColWidth="10" defaultColWidth="15.1640625" defaultRowHeight="14" customHeight="true"/>
  <cols>
    <col min="1" max="1" width="24.5" bestFit="true" customWidth="true"/>
  </cols>
  <sheetData>
    <row r="1" s="150" customFormat="true" ht="28">
      <c r="A1" s="148" t="s">
        <v>296</v>
      </c>
      <c r="B1" s="151" t="s">
        <v>175</v>
      </c>
      <c r="C1" s="150" t="s">
        <v>283</v>
      </c>
      <c r="D1" s="150" t="s">
        <v>177</v>
      </c>
      <c r="E1" s="150" t="s">
        <v>220</v>
      </c>
      <c r="F1" s="150" t="s">
        <v>221</v>
      </c>
      <c r="G1" s="150" t="s">
        <v>178</v>
      </c>
      <c r="H1" s="150" t="s">
        <v>222</v>
      </c>
      <c r="I1" s="150" t="s">
        <v>179</v>
      </c>
      <c r="J1" s="150" t="s">
        <v>180</v>
      </c>
      <c r="K1" s="150" t="s">
        <v>223</v>
      </c>
      <c r="L1" s="150" t="s">
        <v>181</v>
      </c>
      <c r="M1" s="149" t="s">
        <v>224</v>
      </c>
      <c r="N1" s="150" t="s">
        <v>182</v>
      </c>
      <c r="O1" s="150" t="s">
        <v>183</v>
      </c>
      <c r="P1" s="150" t="s">
        <v>284</v>
      </c>
      <c r="Q1" s="150" t="s">
        <v>185</v>
      </c>
      <c r="R1" s="150" t="s">
        <v>186</v>
      </c>
      <c r="S1" s="150" t="s">
        <v>285</v>
      </c>
      <c r="T1" s="150" t="s">
        <v>188</v>
      </c>
      <c r="U1" s="150" t="s">
        <v>189</v>
      </c>
      <c r="V1" s="150" t="s">
        <v>190</v>
      </c>
      <c r="W1" s="150" t="s">
        <v>191</v>
      </c>
      <c r="X1" s="150" t="s">
        <v>192</v>
      </c>
      <c r="Y1" s="150" t="s">
        <v>225</v>
      </c>
      <c r="Z1" s="150" t="s">
        <v>226</v>
      </c>
      <c r="AA1" s="150" t="s">
        <v>227</v>
      </c>
      <c r="AB1" s="150" t="s">
        <v>228</v>
      </c>
      <c r="AC1" s="150" t="s">
        <v>197</v>
      </c>
      <c r="AD1" s="150" t="s">
        <v>198</v>
      </c>
      <c r="AE1" s="150" t="s">
        <v>199</v>
      </c>
      <c r="AF1" s="150" t="s">
        <v>229</v>
      </c>
      <c r="AG1" s="150" t="s">
        <v>230</v>
      </c>
      <c r="AH1" s="150" t="s">
        <v>202</v>
      </c>
      <c r="AI1" s="150" t="s">
        <v>203</v>
      </c>
      <c r="AJ1" s="150" t="s">
        <v>233</v>
      </c>
      <c r="AK1" s="150" t="s">
        <v>205</v>
      </c>
      <c r="AL1" s="150" t="s">
        <v>206</v>
      </c>
      <c r="AM1" s="150" t="s">
        <v>207</v>
      </c>
      <c r="AN1" s="150" t="s">
        <v>208</v>
      </c>
      <c r="AO1" s="150" t="s">
        <v>209</v>
      </c>
      <c r="AP1" s="150" t="s">
        <v>210</v>
      </c>
      <c r="AQ1" s="150" t="s">
        <v>211</v>
      </c>
      <c r="AR1" s="150" t="s">
        <v>212</v>
      </c>
      <c r="AS1" s="150" t="s">
        <v>213</v>
      </c>
      <c r="AT1" s="150" t="s">
        <v>214</v>
      </c>
      <c r="AU1" s="150" t="s">
        <v>304</v>
      </c>
      <c r="AV1" s="150" t="s">
        <v>215</v>
      </c>
      <c r="AW1" s="150" t="s">
        <v>216</v>
      </c>
      <c r="AX1" s="150" t="s">
        <v>217</v>
      </c>
      <c r="AY1" s="150" t="s">
        <v>218</v>
      </c>
      <c r="AZ1" s="150" t="s">
        <v>72</v>
      </c>
      <c r="BA1" s="150" t="s">
        <v>219</v>
      </c>
      <c r="BB1" s="150" t="s">
        <v>71</v>
      </c>
      <c r="BC1" s="150" t="s">
        <v>73</v>
      </c>
    </row>
    <row r="2" ht="14" customHeight="true">
      <c r="A2" s="136" t="s">
        <v>175</v>
      </c>
      <c r="B2" s="3">
        <v>1</v>
      </c>
      <c r="C2" s="3">
        <v>1</v>
      </c>
      <c r="D2" s="3">
        <v>1</v>
      </c>
      <c r="E2" s="3">
        <v>1</v>
      </c>
      <c r="F2" s="3">
        <v>1</v>
      </c>
      <c r="G2" s="3">
        <v>1</v>
      </c>
      <c r="H2" s="3">
        <v>1</v>
      </c>
      <c r="I2" s="3">
        <v>1</v>
      </c>
      <c r="J2" s="3">
        <v>1</v>
      </c>
      <c r="K2" s="3">
        <v>1</v>
      </c>
      <c r="L2" s="3">
        <v>1</v>
      </c>
      <c r="M2" s="3">
        <v>1</v>
      </c>
      <c r="N2" s="3">
        <v>1</v>
      </c>
      <c r="O2" s="3">
        <v>1</v>
      </c>
      <c r="P2" s="3">
        <v>1</v>
      </c>
      <c r="Q2" s="3">
        <v>1</v>
      </c>
      <c r="R2" s="3">
        <v>1</v>
      </c>
      <c r="S2" s="3">
        <v>1</v>
      </c>
      <c r="T2" s="3">
        <v>1</v>
      </c>
      <c r="U2" s="3">
        <v>1</v>
      </c>
      <c r="V2" s="3">
        <v>1</v>
      </c>
      <c r="W2" s="3">
        <v>1</v>
      </c>
      <c r="X2" s="3">
        <v>1</v>
      </c>
      <c r="Y2" s="3">
        <v>1</v>
      </c>
      <c r="Z2" s="3">
        <v>1</v>
      </c>
      <c r="AA2" s="3">
        <v>1</v>
      </c>
      <c r="AB2" s="3">
        <v>1</v>
      </c>
      <c r="AC2" s="3">
        <v>1</v>
      </c>
      <c r="AD2" s="3">
        <v>1</v>
      </c>
      <c r="AE2" s="3">
        <v>1</v>
      </c>
      <c r="AF2" s="3">
        <v>1</v>
      </c>
      <c r="AG2" s="3">
        <v>1</v>
      </c>
      <c r="AH2" s="3">
        <v>1</v>
      </c>
      <c r="AI2" s="3">
        <v>1</v>
      </c>
      <c r="AJ2" s="3">
        <v>1</v>
      </c>
      <c r="AK2" s="3">
        <v>1</v>
      </c>
      <c r="AL2" s="3">
        <v>1</v>
      </c>
      <c r="AM2" s="3">
        <v>1</v>
      </c>
      <c r="AN2" s="3">
        <v>1</v>
      </c>
      <c r="AO2" s="3">
        <v>1</v>
      </c>
      <c r="AP2" s="3">
        <v>1</v>
      </c>
      <c r="AQ2" s="3">
        <v>1</v>
      </c>
      <c r="AR2" s="3">
        <v>1</v>
      </c>
      <c r="AS2" s="3">
        <v>1</v>
      </c>
      <c r="AT2" s="3">
        <v>1</v>
      </c>
      <c r="AU2" s="3">
        <v>1</v>
      </c>
      <c r="AV2" s="3">
        <v>1</v>
      </c>
      <c r="AW2" s="3">
        <v>1</v>
      </c>
      <c r="AX2" s="3">
        <v>1</v>
      </c>
      <c r="AY2" s="3">
        <v>1</v>
      </c>
      <c r="AZ2" s="3">
        <v>1</v>
      </c>
      <c r="BA2" s="3">
        <v>1</v>
      </c>
      <c r="BB2" s="3">
        <v>1</v>
      </c>
      <c r="BC2" s="3">
        <v>1</v>
      </c>
    </row>
    <row r="3" ht="14" customHeight="true">
      <c r="A3" t="s">
        <v>283</v>
      </c>
      <c r="B3" s="3">
        <v>1</v>
      </c>
      <c r="C3" s="3">
        <v>1</v>
      </c>
      <c r="D3" s="3">
        <v>1</v>
      </c>
      <c r="E3" s="3">
        <v>1</v>
      </c>
      <c r="F3" s="3">
        <v>1</v>
      </c>
      <c r="G3" s="3">
        <v>1</v>
      </c>
      <c r="H3" s="3">
        <v>1</v>
      </c>
      <c r="I3" s="3">
        <v>1</v>
      </c>
      <c r="J3" s="3">
        <v>1</v>
      </c>
      <c r="K3" s="3">
        <v>1</v>
      </c>
      <c r="L3" s="3">
        <v>1</v>
      </c>
      <c r="M3" s="3">
        <v>1</v>
      </c>
      <c r="N3" s="3">
        <v>1</v>
      </c>
      <c r="O3" s="3">
        <v>1</v>
      </c>
      <c r="P3" s="3">
        <v>1</v>
      </c>
      <c r="Q3" s="3">
        <v>1</v>
      </c>
      <c r="R3" s="3">
        <v>1</v>
      </c>
      <c r="S3" s="3">
        <v>1</v>
      </c>
      <c r="T3" s="3">
        <v>1</v>
      </c>
      <c r="U3" s="3">
        <v>1</v>
      </c>
      <c r="V3" s="3">
        <v>1</v>
      </c>
      <c r="W3" s="3">
        <v>1</v>
      </c>
      <c r="X3" s="3">
        <v>1</v>
      </c>
      <c r="Y3" s="3">
        <v>1</v>
      </c>
      <c r="Z3" s="3">
        <v>1</v>
      </c>
      <c r="AA3" s="3">
        <v>1</v>
      </c>
      <c r="AB3" s="3">
        <v>1</v>
      </c>
      <c r="AC3" s="3">
        <v>1</v>
      </c>
      <c r="AD3" s="3">
        <v>1</v>
      </c>
      <c r="AE3" s="3">
        <v>1</v>
      </c>
      <c r="AF3" s="3">
        <v>1</v>
      </c>
      <c r="AG3" s="3">
        <v>1</v>
      </c>
      <c r="AH3" s="3">
        <v>1</v>
      </c>
      <c r="AI3" s="3">
        <v>1</v>
      </c>
      <c r="AJ3" s="3">
        <v>1</v>
      </c>
      <c r="AK3" s="3">
        <v>1</v>
      </c>
      <c r="AL3" s="3">
        <v>1</v>
      </c>
      <c r="AM3" s="3">
        <v>1</v>
      </c>
      <c r="AN3" s="3">
        <v>1</v>
      </c>
      <c r="AO3" s="3">
        <v>1</v>
      </c>
      <c r="AP3" s="3">
        <v>1</v>
      </c>
      <c r="AQ3" s="3">
        <v>1</v>
      </c>
      <c r="AR3" s="3">
        <v>1</v>
      </c>
      <c r="AS3" s="3">
        <v>1</v>
      </c>
      <c r="AT3" s="3">
        <v>1</v>
      </c>
      <c r="AU3" s="3">
        <v>1</v>
      </c>
      <c r="AV3" s="3">
        <v>1</v>
      </c>
      <c r="AW3" s="3">
        <v>1</v>
      </c>
      <c r="AX3" s="3">
        <v>1</v>
      </c>
      <c r="AY3" s="3">
        <v>1</v>
      </c>
      <c r="AZ3" s="3">
        <v>1</v>
      </c>
      <c r="BA3" s="3">
        <v>1</v>
      </c>
      <c r="BB3" s="3">
        <v>1</v>
      </c>
      <c r="BC3" s="3">
        <v>1</v>
      </c>
    </row>
    <row r="4" ht="14" customHeight="true">
      <c r="A4" t="s">
        <v>177</v>
      </c>
      <c r="B4" s="3">
        <v>1</v>
      </c>
      <c r="C4" s="3">
        <v>1</v>
      </c>
      <c r="D4" s="3">
        <v>1</v>
      </c>
      <c r="E4" s="3">
        <v>1</v>
      </c>
      <c r="F4" s="3">
        <v>0</v>
      </c>
      <c r="G4" s="3">
        <v>1</v>
      </c>
      <c r="H4" s="3">
        <v>1</v>
      </c>
      <c r="I4" s="3">
        <v>1</v>
      </c>
      <c r="J4" s="3">
        <v>1</v>
      </c>
      <c r="K4" s="3">
        <v>1</v>
      </c>
      <c r="L4" s="3">
        <v>1</v>
      </c>
      <c r="M4" s="3">
        <v>1</v>
      </c>
      <c r="N4" s="3">
        <v>1</v>
      </c>
      <c r="O4" s="3">
        <v>1</v>
      </c>
      <c r="P4" s="3">
        <v>1</v>
      </c>
      <c r="Q4" s="3">
        <v>1</v>
      </c>
      <c r="R4" s="3">
        <v>1</v>
      </c>
      <c r="S4" s="3">
        <v>1</v>
      </c>
      <c r="T4" s="3">
        <v>1</v>
      </c>
      <c r="U4" s="3">
        <v>1</v>
      </c>
      <c r="V4" s="3">
        <v>1</v>
      </c>
      <c r="W4" s="3">
        <v>1</v>
      </c>
      <c r="X4" s="3">
        <v>1</v>
      </c>
      <c r="Y4" s="3">
        <v>1</v>
      </c>
      <c r="Z4" s="3">
        <v>1</v>
      </c>
      <c r="AA4" s="3">
        <v>1</v>
      </c>
      <c r="AB4" s="3">
        <v>1</v>
      </c>
      <c r="AC4" s="3">
        <v>1</v>
      </c>
      <c r="AD4" s="3">
        <v>1</v>
      </c>
      <c r="AE4" s="3">
        <v>1</v>
      </c>
      <c r="AF4" s="3">
        <v>1</v>
      </c>
      <c r="AG4" s="3">
        <v>1</v>
      </c>
      <c r="AH4" s="3">
        <v>1</v>
      </c>
      <c r="AI4" s="3">
        <v>1</v>
      </c>
      <c r="AJ4" s="3">
        <v>1</v>
      </c>
      <c r="AK4" s="3">
        <v>1</v>
      </c>
      <c r="AL4" s="3">
        <v>1</v>
      </c>
      <c r="AM4" s="3">
        <v>1</v>
      </c>
      <c r="AN4" s="3">
        <v>1</v>
      </c>
      <c r="AO4" s="3">
        <v>1</v>
      </c>
      <c r="AP4" s="3">
        <v>1</v>
      </c>
      <c r="AQ4" s="3">
        <v>1</v>
      </c>
      <c r="AR4" s="3">
        <v>1</v>
      </c>
      <c r="AS4" s="3">
        <v>1</v>
      </c>
      <c r="AT4" s="3">
        <v>1</v>
      </c>
      <c r="AU4" s="3">
        <v>1</v>
      </c>
      <c r="AV4" s="3">
        <v>1</v>
      </c>
      <c r="AW4" s="3">
        <v>1</v>
      </c>
      <c r="AX4" s="3">
        <v>1</v>
      </c>
      <c r="AY4" s="3">
        <v>1</v>
      </c>
      <c r="AZ4" s="3">
        <v>1</v>
      </c>
      <c r="BA4" s="3">
        <v>1</v>
      </c>
      <c r="BB4" s="3">
        <v>1</v>
      </c>
      <c r="BC4" s="3">
        <v>1</v>
      </c>
    </row>
    <row r="5" ht="14" customHeight="true">
      <c r="A5" t="s">
        <v>220</v>
      </c>
      <c r="B5" s="3">
        <v>1</v>
      </c>
      <c r="C5" s="3">
        <v>1</v>
      </c>
      <c r="D5" s="3">
        <v>1</v>
      </c>
      <c r="E5" s="3">
        <v>1</v>
      </c>
      <c r="F5" s="3">
        <v>0</v>
      </c>
      <c r="G5" s="3">
        <v>1</v>
      </c>
      <c r="H5" s="3">
        <v>1</v>
      </c>
      <c r="I5" s="3">
        <v>1</v>
      </c>
      <c r="J5" s="3">
        <v>1</v>
      </c>
      <c r="K5" s="3">
        <v>1</v>
      </c>
      <c r="L5" s="3">
        <v>1</v>
      </c>
      <c r="M5" s="3">
        <v>1</v>
      </c>
      <c r="N5" s="3">
        <v>1</v>
      </c>
      <c r="O5" s="3">
        <v>1</v>
      </c>
      <c r="P5" s="3">
        <v>1</v>
      </c>
      <c r="Q5" s="3">
        <v>1</v>
      </c>
      <c r="R5" s="3">
        <v>1</v>
      </c>
      <c r="S5" s="3">
        <v>1</v>
      </c>
      <c r="T5" s="3">
        <v>1</v>
      </c>
      <c r="U5" s="3">
        <v>1</v>
      </c>
      <c r="V5" s="3">
        <v>1</v>
      </c>
      <c r="W5" s="3">
        <v>1</v>
      </c>
      <c r="X5" s="3">
        <v>1</v>
      </c>
      <c r="Y5" s="3">
        <v>1</v>
      </c>
      <c r="Z5" s="3">
        <v>1</v>
      </c>
      <c r="AA5" s="3">
        <v>1</v>
      </c>
      <c r="AB5" s="3">
        <v>1</v>
      </c>
      <c r="AC5" s="3">
        <v>1</v>
      </c>
      <c r="AD5" s="3">
        <v>1</v>
      </c>
      <c r="AE5" s="3">
        <v>1</v>
      </c>
      <c r="AF5" s="3">
        <v>1</v>
      </c>
      <c r="AG5" s="3">
        <v>1</v>
      </c>
      <c r="AH5" s="3">
        <v>1</v>
      </c>
      <c r="AI5" s="3">
        <v>1</v>
      </c>
      <c r="AJ5" s="3">
        <v>1</v>
      </c>
      <c r="AK5" s="3">
        <v>1</v>
      </c>
      <c r="AL5" s="3">
        <v>1</v>
      </c>
      <c r="AM5" s="3">
        <v>1</v>
      </c>
      <c r="AN5" s="3">
        <v>1</v>
      </c>
      <c r="AO5" s="3">
        <v>1</v>
      </c>
      <c r="AP5" s="3">
        <v>1</v>
      </c>
      <c r="AQ5" s="3">
        <v>1</v>
      </c>
      <c r="AR5" s="3">
        <v>1</v>
      </c>
      <c r="AS5" s="3">
        <v>1</v>
      </c>
      <c r="AT5" s="3">
        <v>1</v>
      </c>
      <c r="AU5" s="3">
        <v>1</v>
      </c>
      <c r="AV5" s="3">
        <v>1</v>
      </c>
      <c r="AW5" s="3">
        <v>1</v>
      </c>
      <c r="AX5" s="3">
        <v>1</v>
      </c>
      <c r="AY5" s="3">
        <v>1</v>
      </c>
      <c r="AZ5" s="3">
        <v>1</v>
      </c>
      <c r="BA5" s="3">
        <v>1</v>
      </c>
      <c r="BB5" s="3">
        <v>1</v>
      </c>
      <c r="BC5" s="3">
        <v>1</v>
      </c>
    </row>
    <row r="6" ht="14" customHeight="true">
      <c r="A6" t="s">
        <v>221</v>
      </c>
      <c r="B6" s="3">
        <v>1</v>
      </c>
      <c r="C6" s="3">
        <v>1</v>
      </c>
      <c r="D6" s="3">
        <v>1</v>
      </c>
      <c r="E6" s="3">
        <v>1</v>
      </c>
      <c r="F6" s="3">
        <v>1</v>
      </c>
      <c r="G6" s="3">
        <v>1</v>
      </c>
      <c r="H6" s="3">
        <v>1</v>
      </c>
      <c r="I6" s="3">
        <v>1</v>
      </c>
      <c r="J6" s="3">
        <v>1</v>
      </c>
      <c r="K6" s="3">
        <v>1</v>
      </c>
      <c r="L6" s="3">
        <v>1</v>
      </c>
      <c r="M6" s="3">
        <v>1</v>
      </c>
      <c r="N6" s="3">
        <v>1</v>
      </c>
      <c r="O6" s="3">
        <v>1</v>
      </c>
      <c r="P6" s="3">
        <v>1</v>
      </c>
      <c r="Q6" s="3">
        <v>1</v>
      </c>
      <c r="R6" s="3">
        <v>1</v>
      </c>
      <c r="S6" s="3">
        <v>1</v>
      </c>
      <c r="T6" s="3">
        <v>1</v>
      </c>
      <c r="U6" s="3">
        <v>1</v>
      </c>
      <c r="V6" s="3">
        <v>1</v>
      </c>
      <c r="W6" s="3">
        <v>1</v>
      </c>
      <c r="X6" s="3">
        <v>1</v>
      </c>
      <c r="Y6" s="3">
        <v>1</v>
      </c>
      <c r="Z6" s="3">
        <v>1</v>
      </c>
      <c r="AA6" s="3">
        <v>1</v>
      </c>
      <c r="AB6" s="3">
        <v>1</v>
      </c>
      <c r="AC6" s="3">
        <v>1</v>
      </c>
      <c r="AD6" s="3">
        <v>1</v>
      </c>
      <c r="AE6" s="3">
        <v>1</v>
      </c>
      <c r="AF6" s="3">
        <v>1</v>
      </c>
      <c r="AG6" s="3">
        <v>1</v>
      </c>
      <c r="AH6" s="3">
        <v>1</v>
      </c>
      <c r="AI6" s="3">
        <v>1</v>
      </c>
      <c r="AJ6" s="3">
        <v>1</v>
      </c>
      <c r="AK6" s="3">
        <v>1</v>
      </c>
      <c r="AL6" s="3">
        <v>1</v>
      </c>
      <c r="AM6" s="3">
        <v>1</v>
      </c>
      <c r="AN6" s="3">
        <v>1</v>
      </c>
      <c r="AO6" s="3">
        <v>1</v>
      </c>
      <c r="AP6" s="3">
        <v>1</v>
      </c>
      <c r="AQ6" s="3">
        <v>1</v>
      </c>
      <c r="AR6" s="3">
        <v>1</v>
      </c>
      <c r="AS6" s="3">
        <v>1</v>
      </c>
      <c r="AT6" s="3">
        <v>1</v>
      </c>
      <c r="AU6" s="3">
        <v>1</v>
      </c>
      <c r="AV6" s="3">
        <v>1</v>
      </c>
      <c r="AW6" s="3">
        <v>1</v>
      </c>
      <c r="AX6" s="3">
        <v>1</v>
      </c>
      <c r="AY6" s="3">
        <v>1</v>
      </c>
      <c r="AZ6" s="3">
        <v>1</v>
      </c>
      <c r="BA6" s="3">
        <v>1</v>
      </c>
      <c r="BB6" s="3">
        <v>1</v>
      </c>
      <c r="BC6" s="3">
        <v>1</v>
      </c>
    </row>
    <row r="7" ht="14" customHeight="true">
      <c r="A7" t="s">
        <v>178</v>
      </c>
      <c r="B7" s="3">
        <v>1</v>
      </c>
      <c r="C7" s="3">
        <v>1</v>
      </c>
      <c r="D7" s="3">
        <v>1</v>
      </c>
      <c r="E7" s="3">
        <v>1</v>
      </c>
      <c r="F7" s="3">
        <v>1</v>
      </c>
      <c r="G7" s="3">
        <v>1</v>
      </c>
      <c r="H7" s="3">
        <v>1</v>
      </c>
      <c r="I7" s="3">
        <v>1</v>
      </c>
      <c r="J7" s="3">
        <v>1</v>
      </c>
      <c r="K7" s="3">
        <v>1</v>
      </c>
      <c r="L7" s="3">
        <v>1</v>
      </c>
      <c r="M7" s="3">
        <v>1</v>
      </c>
      <c r="N7" s="3">
        <v>1</v>
      </c>
      <c r="O7" s="3">
        <v>1</v>
      </c>
      <c r="P7" s="3">
        <v>1</v>
      </c>
      <c r="Q7" s="3">
        <v>1</v>
      </c>
      <c r="R7" s="3">
        <v>1</v>
      </c>
      <c r="S7" s="3">
        <v>1</v>
      </c>
      <c r="T7" s="3">
        <v>1</v>
      </c>
      <c r="U7" s="3">
        <v>1</v>
      </c>
      <c r="V7" s="3">
        <v>1</v>
      </c>
      <c r="W7" s="3">
        <v>1</v>
      </c>
      <c r="X7" s="3">
        <v>1</v>
      </c>
      <c r="Y7" s="3">
        <v>1</v>
      </c>
      <c r="Z7" s="3">
        <v>1</v>
      </c>
      <c r="AA7" s="3">
        <v>1</v>
      </c>
      <c r="AB7" s="3">
        <v>1</v>
      </c>
      <c r="AC7" s="3">
        <v>1</v>
      </c>
      <c r="AD7" s="3">
        <v>1</v>
      </c>
      <c r="AE7" s="3">
        <v>1</v>
      </c>
      <c r="AF7" s="3">
        <v>1</v>
      </c>
      <c r="AG7" s="3">
        <v>1</v>
      </c>
      <c r="AH7" s="3">
        <v>1</v>
      </c>
      <c r="AI7" s="3">
        <v>1</v>
      </c>
      <c r="AJ7" s="3">
        <v>1</v>
      </c>
      <c r="AK7" s="3">
        <v>1</v>
      </c>
      <c r="AL7" s="3">
        <v>1</v>
      </c>
      <c r="AM7" s="3">
        <v>1</v>
      </c>
      <c r="AN7" s="3">
        <v>1</v>
      </c>
      <c r="AO7" s="3">
        <v>1</v>
      </c>
      <c r="AP7" s="3">
        <v>1</v>
      </c>
      <c r="AQ7" s="3">
        <v>1</v>
      </c>
      <c r="AR7" s="3">
        <v>1</v>
      </c>
      <c r="AS7" s="3">
        <v>1</v>
      </c>
      <c r="AT7" s="3">
        <v>1</v>
      </c>
      <c r="AU7" s="3">
        <v>1</v>
      </c>
      <c r="AV7" s="3">
        <v>1</v>
      </c>
      <c r="AW7" s="3">
        <v>1</v>
      </c>
      <c r="AX7" s="3">
        <v>1</v>
      </c>
      <c r="AY7" s="3">
        <v>1</v>
      </c>
      <c r="AZ7" s="3">
        <v>1</v>
      </c>
      <c r="BA7" s="3">
        <v>1</v>
      </c>
      <c r="BB7" s="3">
        <v>1</v>
      </c>
      <c r="BC7" s="3">
        <v>1</v>
      </c>
    </row>
    <row r="8" ht="14" customHeight="true">
      <c r="A8" t="s">
        <v>222</v>
      </c>
      <c r="B8" s="3">
        <v>1</v>
      </c>
      <c r="C8" s="3">
        <v>1</v>
      </c>
      <c r="D8" s="3">
        <v>1</v>
      </c>
      <c r="E8" s="3">
        <v>1</v>
      </c>
      <c r="F8" s="3">
        <v>1</v>
      </c>
      <c r="G8" s="3">
        <v>1</v>
      </c>
      <c r="H8" s="3">
        <v>1</v>
      </c>
      <c r="I8" s="3">
        <v>1</v>
      </c>
      <c r="J8" s="3">
        <v>1</v>
      </c>
      <c r="K8" s="3">
        <v>1</v>
      </c>
      <c r="L8" s="3">
        <v>1</v>
      </c>
      <c r="M8" s="3">
        <v>1</v>
      </c>
      <c r="N8" s="3">
        <v>1</v>
      </c>
      <c r="O8" s="3">
        <v>1</v>
      </c>
      <c r="P8" s="3">
        <v>1</v>
      </c>
      <c r="Q8" s="3">
        <v>1</v>
      </c>
      <c r="R8" s="3">
        <v>1</v>
      </c>
      <c r="S8" s="3">
        <v>1</v>
      </c>
      <c r="T8" s="3">
        <v>1</v>
      </c>
      <c r="U8" s="3">
        <v>1</v>
      </c>
      <c r="V8" s="3">
        <v>1</v>
      </c>
      <c r="W8" s="3">
        <v>1</v>
      </c>
      <c r="X8" s="3">
        <v>1</v>
      </c>
      <c r="Y8" s="3">
        <v>1</v>
      </c>
      <c r="Z8" s="3">
        <v>1</v>
      </c>
      <c r="AA8" s="3">
        <v>1</v>
      </c>
      <c r="AB8" s="3">
        <v>1</v>
      </c>
      <c r="AC8" s="3">
        <v>1</v>
      </c>
      <c r="AD8" s="3">
        <v>1</v>
      </c>
      <c r="AE8" s="3">
        <v>1</v>
      </c>
      <c r="AF8" s="3">
        <v>1</v>
      </c>
      <c r="AG8" s="3">
        <v>1</v>
      </c>
      <c r="AH8" s="3">
        <v>1</v>
      </c>
      <c r="AI8" s="3">
        <v>1</v>
      </c>
      <c r="AJ8" s="3">
        <v>1</v>
      </c>
      <c r="AK8" s="3">
        <v>1</v>
      </c>
      <c r="AL8" s="3">
        <v>1</v>
      </c>
      <c r="AM8" s="3">
        <v>1</v>
      </c>
      <c r="AN8" s="3">
        <v>1</v>
      </c>
      <c r="AO8" s="3">
        <v>1</v>
      </c>
      <c r="AP8" s="3">
        <v>1</v>
      </c>
      <c r="AQ8" s="3">
        <v>1</v>
      </c>
      <c r="AR8" s="3">
        <v>1</v>
      </c>
      <c r="AS8" s="3">
        <v>1</v>
      </c>
      <c r="AT8" s="3">
        <v>1</v>
      </c>
      <c r="AU8" s="3">
        <v>1</v>
      </c>
      <c r="AV8" s="3">
        <v>1</v>
      </c>
      <c r="AW8" s="3">
        <v>1</v>
      </c>
      <c r="AX8" s="3">
        <v>1</v>
      </c>
      <c r="AY8" s="3">
        <v>1</v>
      </c>
      <c r="AZ8" s="3">
        <v>1</v>
      </c>
      <c r="BA8" s="3">
        <v>1</v>
      </c>
      <c r="BB8" s="3">
        <v>1</v>
      </c>
      <c r="BC8" s="3">
        <v>1</v>
      </c>
    </row>
    <row r="9" ht="14" customHeight="true">
      <c r="A9" t="s">
        <v>179</v>
      </c>
      <c r="B9" s="3">
        <v>1</v>
      </c>
      <c r="C9" s="3">
        <v>1</v>
      </c>
      <c r="D9" s="3">
        <v>1</v>
      </c>
      <c r="E9" s="3">
        <v>1</v>
      </c>
      <c r="F9" s="3">
        <v>1</v>
      </c>
      <c r="G9" s="3">
        <v>1</v>
      </c>
      <c r="H9" s="3">
        <v>1</v>
      </c>
      <c r="I9" s="3">
        <v>1</v>
      </c>
      <c r="J9" s="3">
        <v>1</v>
      </c>
      <c r="K9" s="3">
        <v>1</v>
      </c>
      <c r="L9" s="3">
        <v>1</v>
      </c>
      <c r="M9" s="3">
        <v>1</v>
      </c>
      <c r="N9" s="3">
        <v>1</v>
      </c>
      <c r="O9" s="3">
        <v>1</v>
      </c>
      <c r="P9" s="3">
        <v>1</v>
      </c>
      <c r="Q9" s="3">
        <v>1</v>
      </c>
      <c r="R9" s="3">
        <v>1</v>
      </c>
      <c r="S9" s="3">
        <v>1</v>
      </c>
      <c r="T9" s="3">
        <v>1</v>
      </c>
      <c r="U9" s="3">
        <v>1</v>
      </c>
      <c r="V9" s="3">
        <v>1</v>
      </c>
      <c r="W9" s="3">
        <v>1</v>
      </c>
      <c r="X9" s="3">
        <v>1</v>
      </c>
      <c r="Y9" s="3">
        <v>1</v>
      </c>
      <c r="Z9" s="3">
        <v>1</v>
      </c>
      <c r="AA9" s="3">
        <v>1</v>
      </c>
      <c r="AB9" s="3">
        <v>1</v>
      </c>
      <c r="AC9" s="3">
        <v>1</v>
      </c>
      <c r="AD9" s="3">
        <v>1</v>
      </c>
      <c r="AE9" s="3">
        <v>1</v>
      </c>
      <c r="AF9" s="3">
        <v>1</v>
      </c>
      <c r="AG9" s="3">
        <v>1</v>
      </c>
      <c r="AH9" s="3">
        <v>1</v>
      </c>
      <c r="AI9" s="3">
        <v>1</v>
      </c>
      <c r="AJ9" s="3">
        <v>1</v>
      </c>
      <c r="AK9" s="3">
        <v>1</v>
      </c>
      <c r="AL9" s="3">
        <v>1</v>
      </c>
      <c r="AM9" s="3">
        <v>1</v>
      </c>
      <c r="AN9" s="3">
        <v>1</v>
      </c>
      <c r="AO9" s="3">
        <v>1</v>
      </c>
      <c r="AP9" s="3">
        <v>1</v>
      </c>
      <c r="AQ9" s="3">
        <v>1</v>
      </c>
      <c r="AR9" s="3">
        <v>1</v>
      </c>
      <c r="AS9" s="3">
        <v>1</v>
      </c>
      <c r="AT9" s="3">
        <v>1</v>
      </c>
      <c r="AU9" s="3">
        <v>1</v>
      </c>
      <c r="AV9" s="3">
        <v>1</v>
      </c>
      <c r="AW9" s="3">
        <v>1</v>
      </c>
      <c r="AX9" s="3">
        <v>1</v>
      </c>
      <c r="AY9" s="3">
        <v>1</v>
      </c>
      <c r="AZ9" s="3">
        <v>1</v>
      </c>
      <c r="BA9" s="3">
        <v>1</v>
      </c>
      <c r="BB9" s="3">
        <v>1</v>
      </c>
      <c r="BC9" s="3">
        <v>1</v>
      </c>
    </row>
    <row r="10" ht="14" customHeight="true">
      <c r="A10" t="s">
        <v>180</v>
      </c>
      <c r="B10" s="3">
        <v>1</v>
      </c>
      <c r="C10" s="3">
        <v>1</v>
      </c>
      <c r="D10" s="3">
        <v>1</v>
      </c>
      <c r="E10" s="3">
        <v>1</v>
      </c>
      <c r="F10" s="3">
        <v>1</v>
      </c>
      <c r="G10" s="3">
        <v>1</v>
      </c>
      <c r="H10" s="3">
        <v>1</v>
      </c>
      <c r="I10" s="3">
        <v>1</v>
      </c>
      <c r="J10" s="3">
        <v>1</v>
      </c>
      <c r="K10" s="3">
        <v>1</v>
      </c>
      <c r="L10" s="3">
        <v>1</v>
      </c>
      <c r="M10" s="3">
        <v>1</v>
      </c>
      <c r="N10" s="3">
        <v>1</v>
      </c>
      <c r="O10" s="3">
        <v>1</v>
      </c>
      <c r="P10" s="3">
        <v>1</v>
      </c>
      <c r="Q10" s="3">
        <v>1</v>
      </c>
      <c r="R10" s="3">
        <v>1</v>
      </c>
      <c r="S10" s="3">
        <v>1</v>
      </c>
      <c r="T10" s="3">
        <v>1</v>
      </c>
      <c r="U10" s="3">
        <v>1</v>
      </c>
      <c r="V10" s="3">
        <v>1</v>
      </c>
      <c r="W10" s="3">
        <v>1</v>
      </c>
      <c r="X10" s="3">
        <v>1</v>
      </c>
      <c r="Y10" s="3">
        <v>1</v>
      </c>
      <c r="Z10" s="3">
        <v>1</v>
      </c>
      <c r="AA10" s="3">
        <v>1</v>
      </c>
      <c r="AB10" s="3">
        <v>1</v>
      </c>
      <c r="AC10" s="3">
        <v>1</v>
      </c>
      <c r="AD10" s="3">
        <v>1</v>
      </c>
      <c r="AE10" s="3">
        <v>1</v>
      </c>
      <c r="AF10" s="3">
        <v>1</v>
      </c>
      <c r="AG10" s="3">
        <v>1</v>
      </c>
      <c r="AH10" s="3">
        <v>1</v>
      </c>
      <c r="AI10" s="3">
        <v>1</v>
      </c>
      <c r="AJ10" s="3">
        <v>1</v>
      </c>
      <c r="AK10" s="3">
        <v>1</v>
      </c>
      <c r="AL10" s="3">
        <v>1</v>
      </c>
      <c r="AM10" s="3">
        <v>1</v>
      </c>
      <c r="AN10" s="3">
        <v>1</v>
      </c>
      <c r="AO10" s="3">
        <v>1</v>
      </c>
      <c r="AP10" s="3">
        <v>1</v>
      </c>
      <c r="AQ10" s="3">
        <v>1</v>
      </c>
      <c r="AR10" s="3">
        <v>1</v>
      </c>
      <c r="AS10" s="3">
        <v>1</v>
      </c>
      <c r="AT10" s="3">
        <v>1</v>
      </c>
      <c r="AU10" s="3">
        <v>1</v>
      </c>
      <c r="AV10" s="3">
        <v>1</v>
      </c>
      <c r="AW10" s="3">
        <v>1</v>
      </c>
      <c r="AX10" s="3">
        <v>1</v>
      </c>
      <c r="AY10" s="3">
        <v>1</v>
      </c>
      <c r="AZ10" s="3">
        <v>1</v>
      </c>
      <c r="BA10" s="3">
        <v>1</v>
      </c>
      <c r="BB10" s="3">
        <v>1</v>
      </c>
      <c r="BC10" s="3">
        <v>1</v>
      </c>
    </row>
    <row r="11" ht="14" customHeight="true">
      <c r="A11" t="s">
        <v>223</v>
      </c>
      <c r="B11" s="3">
        <v>1</v>
      </c>
      <c r="C11" s="3">
        <v>1</v>
      </c>
      <c r="D11" s="3">
        <v>1</v>
      </c>
      <c r="E11" s="3">
        <v>1</v>
      </c>
      <c r="F11" s="3">
        <v>1</v>
      </c>
      <c r="G11" s="3">
        <v>1</v>
      </c>
      <c r="H11" s="3">
        <v>1</v>
      </c>
      <c r="I11" s="3">
        <v>1</v>
      </c>
      <c r="J11" s="3">
        <v>1</v>
      </c>
      <c r="K11" s="3">
        <v>1</v>
      </c>
      <c r="L11" s="3">
        <v>1</v>
      </c>
      <c r="M11" s="3">
        <v>1</v>
      </c>
      <c r="N11" s="3">
        <v>1</v>
      </c>
      <c r="O11" s="3">
        <v>1</v>
      </c>
      <c r="P11" s="3">
        <v>1</v>
      </c>
      <c r="Q11" s="3">
        <v>1</v>
      </c>
      <c r="R11" s="3">
        <v>1</v>
      </c>
      <c r="S11" s="3">
        <v>1</v>
      </c>
      <c r="T11" s="3">
        <v>1</v>
      </c>
      <c r="U11" s="3">
        <v>1</v>
      </c>
      <c r="V11" s="3">
        <v>1</v>
      </c>
      <c r="W11" s="3">
        <v>1</v>
      </c>
      <c r="X11" s="3">
        <v>1</v>
      </c>
      <c r="Y11" s="3">
        <v>1</v>
      </c>
      <c r="Z11" s="3">
        <v>1</v>
      </c>
      <c r="AA11" s="3">
        <v>1</v>
      </c>
      <c r="AB11" s="3">
        <v>1</v>
      </c>
      <c r="AC11" s="3">
        <v>1</v>
      </c>
      <c r="AD11" s="3">
        <v>1</v>
      </c>
      <c r="AE11" s="3">
        <v>1</v>
      </c>
      <c r="AF11" s="3">
        <v>1</v>
      </c>
      <c r="AG11" s="3">
        <v>1</v>
      </c>
      <c r="AH11" s="3">
        <v>1</v>
      </c>
      <c r="AI11" s="3">
        <v>1</v>
      </c>
      <c r="AJ11" s="3">
        <v>1</v>
      </c>
      <c r="AK11" s="3">
        <v>1</v>
      </c>
      <c r="AL11" s="3">
        <v>1</v>
      </c>
      <c r="AM11" s="3">
        <v>1</v>
      </c>
      <c r="AN11" s="3">
        <v>1</v>
      </c>
      <c r="AO11" s="3">
        <v>1</v>
      </c>
      <c r="AP11" s="3">
        <v>1</v>
      </c>
      <c r="AQ11" s="3">
        <v>1</v>
      </c>
      <c r="AR11" s="3">
        <v>1</v>
      </c>
      <c r="AS11" s="3">
        <v>1</v>
      </c>
      <c r="AT11" s="3">
        <v>1</v>
      </c>
      <c r="AU11" s="3">
        <v>1</v>
      </c>
      <c r="AV11" s="3">
        <v>1</v>
      </c>
      <c r="AW11" s="3">
        <v>1</v>
      </c>
      <c r="AX11" s="3">
        <v>1</v>
      </c>
      <c r="AY11" s="3">
        <v>1</v>
      </c>
      <c r="AZ11" s="3">
        <v>1</v>
      </c>
      <c r="BA11" s="3">
        <v>1</v>
      </c>
      <c r="BB11" s="3">
        <v>1</v>
      </c>
      <c r="BC11" s="3">
        <v>1</v>
      </c>
    </row>
    <row r="12" ht="14" customHeight="true">
      <c r="A12" t="s">
        <v>181</v>
      </c>
      <c r="B12" s="3">
        <v>1</v>
      </c>
      <c r="C12" s="3">
        <v>1</v>
      </c>
      <c r="D12" s="3">
        <v>1</v>
      </c>
      <c r="E12" s="3">
        <v>1</v>
      </c>
      <c r="F12" s="3">
        <v>1</v>
      </c>
      <c r="G12" s="3">
        <v>1</v>
      </c>
      <c r="H12" s="3">
        <v>1</v>
      </c>
      <c r="I12" s="3">
        <v>1</v>
      </c>
      <c r="J12" s="3">
        <v>1</v>
      </c>
      <c r="K12" s="3">
        <v>1</v>
      </c>
      <c r="L12" s="3">
        <v>1</v>
      </c>
      <c r="M12" s="3">
        <v>1</v>
      </c>
      <c r="N12" s="3">
        <v>1</v>
      </c>
      <c r="O12" s="3">
        <v>1</v>
      </c>
      <c r="P12" s="3">
        <v>1</v>
      </c>
      <c r="Q12" s="3">
        <v>1</v>
      </c>
      <c r="R12" s="3">
        <v>1</v>
      </c>
      <c r="S12" s="3">
        <v>1</v>
      </c>
      <c r="T12" s="3">
        <v>1</v>
      </c>
      <c r="U12" s="3">
        <v>1</v>
      </c>
      <c r="V12" s="3">
        <v>1</v>
      </c>
      <c r="W12" s="3">
        <v>1</v>
      </c>
      <c r="X12" s="3">
        <v>1</v>
      </c>
      <c r="Y12" s="3">
        <v>1</v>
      </c>
      <c r="Z12" s="3">
        <v>1</v>
      </c>
      <c r="AA12" s="3">
        <v>1</v>
      </c>
      <c r="AB12" s="3">
        <v>1</v>
      </c>
      <c r="AC12" s="3">
        <v>1</v>
      </c>
      <c r="AD12" s="3">
        <v>1</v>
      </c>
      <c r="AE12" s="3">
        <v>1</v>
      </c>
      <c r="AF12" s="3">
        <v>1</v>
      </c>
      <c r="AG12" s="3">
        <v>1</v>
      </c>
      <c r="AH12" s="3">
        <v>1</v>
      </c>
      <c r="AI12" s="3">
        <v>1</v>
      </c>
      <c r="AJ12" s="3">
        <v>1</v>
      </c>
      <c r="AK12" s="3">
        <v>1</v>
      </c>
      <c r="AL12" s="3">
        <v>1</v>
      </c>
      <c r="AM12" s="3">
        <v>1</v>
      </c>
      <c r="AN12" s="3">
        <v>1</v>
      </c>
      <c r="AO12" s="3">
        <v>1</v>
      </c>
      <c r="AP12" s="3">
        <v>1</v>
      </c>
      <c r="AQ12" s="3">
        <v>1</v>
      </c>
      <c r="AR12" s="3">
        <v>1</v>
      </c>
      <c r="AS12" s="3">
        <v>1</v>
      </c>
      <c r="AT12" s="3">
        <v>1</v>
      </c>
      <c r="AU12" s="3">
        <v>1</v>
      </c>
      <c r="AV12" s="3">
        <v>1</v>
      </c>
      <c r="AW12" s="3">
        <v>1</v>
      </c>
      <c r="AX12" s="3">
        <v>1</v>
      </c>
      <c r="AY12" s="3">
        <v>1</v>
      </c>
      <c r="AZ12" s="3">
        <v>1</v>
      </c>
      <c r="BA12" s="3">
        <v>1</v>
      </c>
      <c r="BB12" s="3">
        <v>1</v>
      </c>
      <c r="BC12" s="3">
        <v>1</v>
      </c>
    </row>
    <row r="13" ht="14" customHeight="true">
      <c r="A13" s="137" t="s">
        <v>224</v>
      </c>
      <c r="B13" s="3">
        <v>1</v>
      </c>
      <c r="C13" s="3">
        <v>1</v>
      </c>
      <c r="D13" s="3">
        <v>1</v>
      </c>
      <c r="E13" s="3">
        <v>1</v>
      </c>
      <c r="F13" s="3">
        <v>1</v>
      </c>
      <c r="G13" s="3">
        <v>1</v>
      </c>
      <c r="H13" s="3">
        <v>1</v>
      </c>
      <c r="I13" s="3">
        <v>1</v>
      </c>
      <c r="J13" s="3">
        <v>1</v>
      </c>
      <c r="K13" s="3">
        <v>1</v>
      </c>
      <c r="L13" s="3">
        <v>1</v>
      </c>
      <c r="M13" s="3">
        <v>1</v>
      </c>
      <c r="N13" s="3">
        <v>1</v>
      </c>
      <c r="O13" s="3">
        <v>1</v>
      </c>
      <c r="P13" s="3">
        <v>1</v>
      </c>
      <c r="Q13" s="3">
        <v>1</v>
      </c>
      <c r="R13" s="3">
        <v>1</v>
      </c>
      <c r="S13" s="3">
        <v>1</v>
      </c>
      <c r="T13" s="3">
        <v>1</v>
      </c>
      <c r="U13" s="3">
        <v>1</v>
      </c>
      <c r="V13" s="3">
        <v>1</v>
      </c>
      <c r="W13" s="3">
        <v>1</v>
      </c>
      <c r="X13" s="3">
        <v>1</v>
      </c>
      <c r="Y13" s="3">
        <v>1</v>
      </c>
      <c r="Z13" s="3">
        <v>1</v>
      </c>
      <c r="AA13" s="3">
        <v>1</v>
      </c>
      <c r="AB13" s="3">
        <v>1</v>
      </c>
      <c r="AC13" s="3">
        <v>1</v>
      </c>
      <c r="AD13" s="3">
        <v>1</v>
      </c>
      <c r="AE13" s="3">
        <v>1</v>
      </c>
      <c r="AF13" s="3">
        <v>1</v>
      </c>
      <c r="AG13" s="3">
        <v>1</v>
      </c>
      <c r="AH13" s="3">
        <v>1</v>
      </c>
      <c r="AI13" s="3">
        <v>1</v>
      </c>
      <c r="AJ13" s="3">
        <v>1</v>
      </c>
      <c r="AK13" s="3">
        <v>1</v>
      </c>
      <c r="AL13" s="3">
        <v>1</v>
      </c>
      <c r="AM13" s="3">
        <v>1</v>
      </c>
      <c r="AN13" s="3">
        <v>1</v>
      </c>
      <c r="AO13" s="3">
        <v>1</v>
      </c>
      <c r="AP13" s="3">
        <v>1</v>
      </c>
      <c r="AQ13" s="3">
        <v>1</v>
      </c>
      <c r="AR13" s="3">
        <v>1</v>
      </c>
      <c r="AS13" s="3">
        <v>1</v>
      </c>
      <c r="AT13" s="3">
        <v>1</v>
      </c>
      <c r="AU13" s="3">
        <v>1</v>
      </c>
      <c r="AV13" s="3">
        <v>1</v>
      </c>
      <c r="AW13" s="3">
        <v>1</v>
      </c>
      <c r="AX13" s="3">
        <v>1</v>
      </c>
      <c r="AY13" s="3">
        <v>1</v>
      </c>
      <c r="AZ13" s="3">
        <v>1</v>
      </c>
      <c r="BA13" s="3">
        <v>1</v>
      </c>
      <c r="BB13" s="3">
        <v>1</v>
      </c>
      <c r="BC13" s="3">
        <v>1</v>
      </c>
    </row>
    <row r="14" ht="14" customHeight="true">
      <c r="A14" t="s">
        <v>182</v>
      </c>
      <c r="B14" s="3">
        <v>1</v>
      </c>
      <c r="C14" s="3">
        <v>1</v>
      </c>
      <c r="D14" s="3">
        <v>1</v>
      </c>
      <c r="E14" s="3">
        <v>1</v>
      </c>
      <c r="F14" s="3">
        <v>1</v>
      </c>
      <c r="G14" s="3">
        <v>1</v>
      </c>
      <c r="H14" s="3">
        <v>1</v>
      </c>
      <c r="I14" s="3">
        <v>1</v>
      </c>
      <c r="J14" s="3">
        <v>1</v>
      </c>
      <c r="K14" s="3">
        <v>1</v>
      </c>
      <c r="L14" s="3">
        <v>1</v>
      </c>
      <c r="M14" s="3">
        <v>1</v>
      </c>
      <c r="N14" s="3">
        <v>1</v>
      </c>
      <c r="O14" s="3">
        <v>1</v>
      </c>
      <c r="P14" s="3">
        <v>1</v>
      </c>
      <c r="Q14" s="3">
        <v>1</v>
      </c>
      <c r="R14" s="3">
        <v>1</v>
      </c>
      <c r="S14" s="3">
        <v>1</v>
      </c>
      <c r="T14" s="3">
        <v>1</v>
      </c>
      <c r="U14" s="3">
        <v>1</v>
      </c>
      <c r="V14" s="3">
        <v>1</v>
      </c>
      <c r="W14" s="3">
        <v>1</v>
      </c>
      <c r="X14" s="3">
        <v>1</v>
      </c>
      <c r="Y14" s="3">
        <v>1</v>
      </c>
      <c r="Z14" s="3">
        <v>1</v>
      </c>
      <c r="AA14" s="3">
        <v>1</v>
      </c>
      <c r="AB14" s="3">
        <v>1</v>
      </c>
      <c r="AC14" s="3">
        <v>1</v>
      </c>
      <c r="AD14" s="3">
        <v>1</v>
      </c>
      <c r="AE14" s="3">
        <v>1</v>
      </c>
      <c r="AF14" s="3">
        <v>1</v>
      </c>
      <c r="AG14" s="3">
        <v>1</v>
      </c>
      <c r="AH14" s="3">
        <v>1</v>
      </c>
      <c r="AI14" s="3">
        <v>1</v>
      </c>
      <c r="AJ14" s="3">
        <v>1</v>
      </c>
      <c r="AK14" s="3">
        <v>1</v>
      </c>
      <c r="AL14" s="3">
        <v>1</v>
      </c>
      <c r="AM14" s="3">
        <v>1</v>
      </c>
      <c r="AN14" s="3">
        <v>1</v>
      </c>
      <c r="AO14" s="3">
        <v>1</v>
      </c>
      <c r="AP14" s="3">
        <v>1</v>
      </c>
      <c r="AQ14" s="3">
        <v>1</v>
      </c>
      <c r="AR14" s="3">
        <v>1</v>
      </c>
      <c r="AS14" s="3">
        <v>1</v>
      </c>
      <c r="AT14" s="3">
        <v>1</v>
      </c>
      <c r="AU14" s="3">
        <v>1</v>
      </c>
      <c r="AV14" s="3">
        <v>1</v>
      </c>
      <c r="AW14" s="3">
        <v>1</v>
      </c>
      <c r="AX14" s="3">
        <v>1</v>
      </c>
      <c r="AY14" s="3">
        <v>1</v>
      </c>
      <c r="AZ14" s="3">
        <v>1</v>
      </c>
      <c r="BA14" s="3">
        <v>1</v>
      </c>
      <c r="BB14" s="3">
        <v>1</v>
      </c>
      <c r="BC14" s="3">
        <v>1</v>
      </c>
    </row>
    <row r="15" ht="14" customHeight="true">
      <c r="A15" t="s">
        <v>183</v>
      </c>
      <c r="B15" s="3">
        <v>1</v>
      </c>
      <c r="C15" s="3">
        <v>1</v>
      </c>
      <c r="D15" s="3">
        <v>1</v>
      </c>
      <c r="E15" s="3">
        <v>1</v>
      </c>
      <c r="F15" s="3">
        <v>1</v>
      </c>
      <c r="G15" s="3">
        <v>1</v>
      </c>
      <c r="H15" s="3">
        <v>1</v>
      </c>
      <c r="I15" s="3">
        <v>1</v>
      </c>
      <c r="J15" s="3">
        <v>1</v>
      </c>
      <c r="K15" s="3">
        <v>1</v>
      </c>
      <c r="L15" s="3">
        <v>1</v>
      </c>
      <c r="M15" s="3">
        <v>1</v>
      </c>
      <c r="N15" s="3">
        <v>1</v>
      </c>
      <c r="O15" s="3">
        <v>1</v>
      </c>
      <c r="P15" s="3">
        <v>1</v>
      </c>
      <c r="Q15" s="3">
        <v>1</v>
      </c>
      <c r="R15" s="3">
        <v>1</v>
      </c>
      <c r="S15" s="3">
        <v>1</v>
      </c>
      <c r="T15" s="3">
        <v>1</v>
      </c>
      <c r="U15" s="3">
        <v>1</v>
      </c>
      <c r="V15" s="3">
        <v>1</v>
      </c>
      <c r="W15" s="3">
        <v>1</v>
      </c>
      <c r="X15" s="3">
        <v>1</v>
      </c>
      <c r="Y15" s="3">
        <v>1</v>
      </c>
      <c r="Z15" s="3">
        <v>1</v>
      </c>
      <c r="AA15" s="3">
        <v>1</v>
      </c>
      <c r="AB15" s="3">
        <v>1</v>
      </c>
      <c r="AC15" s="3">
        <v>1</v>
      </c>
      <c r="AD15" s="3">
        <v>1</v>
      </c>
      <c r="AE15" s="3">
        <v>1</v>
      </c>
      <c r="AF15" s="3">
        <v>1</v>
      </c>
      <c r="AG15" s="3">
        <v>1</v>
      </c>
      <c r="AH15" s="3">
        <v>1</v>
      </c>
      <c r="AI15" s="3">
        <v>1</v>
      </c>
      <c r="AJ15" s="3">
        <v>1</v>
      </c>
      <c r="AK15" s="3">
        <v>1</v>
      </c>
      <c r="AL15" s="3">
        <v>1</v>
      </c>
      <c r="AM15" s="3">
        <v>1</v>
      </c>
      <c r="AN15" s="3">
        <v>1</v>
      </c>
      <c r="AO15" s="3">
        <v>1</v>
      </c>
      <c r="AP15" s="3">
        <v>1</v>
      </c>
      <c r="AQ15" s="3">
        <v>1</v>
      </c>
      <c r="AR15" s="3">
        <v>1</v>
      </c>
      <c r="AS15" s="3">
        <v>1</v>
      </c>
      <c r="AT15" s="3">
        <v>1</v>
      </c>
      <c r="AU15" s="3">
        <v>1</v>
      </c>
      <c r="AV15" s="3">
        <v>1</v>
      </c>
      <c r="AW15" s="3">
        <v>1</v>
      </c>
      <c r="AX15" s="3">
        <v>1</v>
      </c>
      <c r="AY15" s="3">
        <v>1</v>
      </c>
      <c r="AZ15" s="3">
        <v>1</v>
      </c>
      <c r="BA15" s="3">
        <v>1</v>
      </c>
      <c r="BB15" s="3">
        <v>1</v>
      </c>
      <c r="BC15" s="3">
        <v>1</v>
      </c>
    </row>
    <row r="16" ht="14" customHeight="true">
      <c r="A16" t="s">
        <v>284</v>
      </c>
      <c r="B16" s="3">
        <v>1</v>
      </c>
      <c r="C16" s="3">
        <v>1</v>
      </c>
      <c r="D16" s="3">
        <v>1</v>
      </c>
      <c r="E16" s="3">
        <v>1</v>
      </c>
      <c r="F16" s="3">
        <v>1</v>
      </c>
      <c r="G16" s="3">
        <v>1</v>
      </c>
      <c r="H16" s="3">
        <v>1</v>
      </c>
      <c r="I16" s="3">
        <v>1</v>
      </c>
      <c r="J16" s="3">
        <v>1</v>
      </c>
      <c r="K16" s="3">
        <v>1</v>
      </c>
      <c r="L16" s="3">
        <v>1</v>
      </c>
      <c r="M16" s="3">
        <v>1</v>
      </c>
      <c r="N16" s="3">
        <v>1</v>
      </c>
      <c r="O16" s="3">
        <v>1</v>
      </c>
      <c r="P16" s="3">
        <v>1</v>
      </c>
      <c r="Q16" s="3">
        <v>1</v>
      </c>
      <c r="R16" s="3">
        <v>1</v>
      </c>
      <c r="S16" s="3">
        <v>1</v>
      </c>
      <c r="T16" s="3">
        <v>1</v>
      </c>
      <c r="U16" s="3">
        <v>1</v>
      </c>
      <c r="V16" s="3">
        <v>1</v>
      </c>
      <c r="W16" s="3">
        <v>1</v>
      </c>
      <c r="X16" s="3">
        <v>1</v>
      </c>
      <c r="Y16" s="3">
        <v>1</v>
      </c>
      <c r="Z16" s="3">
        <v>1</v>
      </c>
      <c r="AA16" s="3">
        <v>1</v>
      </c>
      <c r="AB16" s="3">
        <v>1</v>
      </c>
      <c r="AC16" s="3">
        <v>1</v>
      </c>
      <c r="AD16" s="3">
        <v>1</v>
      </c>
      <c r="AE16" s="3">
        <v>1</v>
      </c>
      <c r="AF16" s="3">
        <v>1</v>
      </c>
      <c r="AG16" s="3">
        <v>1</v>
      </c>
      <c r="AH16" s="3">
        <v>1</v>
      </c>
      <c r="AI16" s="3">
        <v>1</v>
      </c>
      <c r="AJ16" s="3">
        <v>1</v>
      </c>
      <c r="AK16" s="3">
        <v>1</v>
      </c>
      <c r="AL16" s="3">
        <v>1</v>
      </c>
      <c r="AM16" s="3">
        <v>1</v>
      </c>
      <c r="AN16" s="3">
        <v>1</v>
      </c>
      <c r="AO16" s="3">
        <v>1</v>
      </c>
      <c r="AP16" s="3">
        <v>1</v>
      </c>
      <c r="AQ16" s="3">
        <v>1</v>
      </c>
      <c r="AR16" s="3">
        <v>1</v>
      </c>
      <c r="AS16" s="3">
        <v>1</v>
      </c>
      <c r="AT16" s="3">
        <v>1</v>
      </c>
      <c r="AU16" s="3">
        <v>1</v>
      </c>
      <c r="AV16" s="3">
        <v>1</v>
      </c>
      <c r="AW16" s="3">
        <v>1</v>
      </c>
      <c r="AX16" s="3">
        <v>1</v>
      </c>
      <c r="AY16" s="3">
        <v>1</v>
      </c>
      <c r="AZ16" s="3">
        <v>1</v>
      </c>
      <c r="BA16" s="3">
        <v>1</v>
      </c>
      <c r="BB16" s="3">
        <v>1</v>
      </c>
      <c r="BC16" s="3">
        <v>1</v>
      </c>
    </row>
    <row r="17" ht="14" customHeight="true">
      <c r="A17" t="s">
        <v>185</v>
      </c>
      <c r="B17" s="3">
        <v>1</v>
      </c>
      <c r="C17" s="3">
        <v>1</v>
      </c>
      <c r="D17" s="3">
        <v>1</v>
      </c>
      <c r="E17" s="3">
        <v>1</v>
      </c>
      <c r="F17" s="3">
        <v>1</v>
      </c>
      <c r="G17" s="3">
        <v>1</v>
      </c>
      <c r="H17" s="3">
        <v>1</v>
      </c>
      <c r="I17" s="3">
        <v>1</v>
      </c>
      <c r="J17" s="3">
        <v>1</v>
      </c>
      <c r="K17" s="3">
        <v>1</v>
      </c>
      <c r="L17" s="3">
        <v>1</v>
      </c>
      <c r="M17" s="3">
        <v>1</v>
      </c>
      <c r="N17" s="3">
        <v>1</v>
      </c>
      <c r="O17" s="3">
        <v>1</v>
      </c>
      <c r="P17" s="3">
        <v>1</v>
      </c>
      <c r="Q17" s="3">
        <v>1</v>
      </c>
      <c r="R17" s="3">
        <v>1</v>
      </c>
      <c r="S17" s="3">
        <v>1</v>
      </c>
      <c r="T17" s="3">
        <v>1</v>
      </c>
      <c r="U17" s="3">
        <v>1</v>
      </c>
      <c r="V17" s="3">
        <v>1</v>
      </c>
      <c r="W17" s="3">
        <v>1</v>
      </c>
      <c r="X17" s="3">
        <v>1</v>
      </c>
      <c r="Y17" s="3">
        <v>1</v>
      </c>
      <c r="Z17" s="3">
        <v>1</v>
      </c>
      <c r="AA17" s="3">
        <v>1</v>
      </c>
      <c r="AB17" s="3">
        <v>1</v>
      </c>
      <c r="AC17" s="3">
        <v>1</v>
      </c>
      <c r="AD17" s="3">
        <v>1</v>
      </c>
      <c r="AE17" s="3">
        <v>1</v>
      </c>
      <c r="AF17" s="3">
        <v>1</v>
      </c>
      <c r="AG17" s="3">
        <v>1</v>
      </c>
      <c r="AH17" s="3">
        <v>1</v>
      </c>
      <c r="AI17" s="3">
        <v>1</v>
      </c>
      <c r="AJ17" s="3">
        <v>1</v>
      </c>
      <c r="AK17" s="3">
        <v>1</v>
      </c>
      <c r="AL17" s="3">
        <v>1</v>
      </c>
      <c r="AM17" s="3">
        <v>1</v>
      </c>
      <c r="AN17" s="3">
        <v>1</v>
      </c>
      <c r="AO17" s="3">
        <v>1</v>
      </c>
      <c r="AP17" s="3">
        <v>1</v>
      </c>
      <c r="AQ17" s="3">
        <v>1</v>
      </c>
      <c r="AR17" s="3">
        <v>1</v>
      </c>
      <c r="AS17" s="3">
        <v>1</v>
      </c>
      <c r="AT17" s="3">
        <v>1</v>
      </c>
      <c r="AU17" s="3">
        <v>1</v>
      </c>
      <c r="AV17" s="3">
        <v>1</v>
      </c>
      <c r="AW17" s="3">
        <v>1</v>
      </c>
      <c r="AX17" s="3">
        <v>1</v>
      </c>
      <c r="AY17" s="3">
        <v>1</v>
      </c>
      <c r="AZ17" s="3">
        <v>1</v>
      </c>
      <c r="BA17" s="3">
        <v>1</v>
      </c>
      <c r="BB17" s="3">
        <v>1</v>
      </c>
      <c r="BC17" s="3">
        <v>1</v>
      </c>
    </row>
    <row r="18" ht="14" customHeight="true">
      <c r="A18" t="s">
        <v>186</v>
      </c>
      <c r="B18" s="3">
        <v>1</v>
      </c>
      <c r="C18" s="3">
        <v>1</v>
      </c>
      <c r="D18" s="3">
        <v>1</v>
      </c>
      <c r="E18" s="3">
        <v>1</v>
      </c>
      <c r="F18" s="3">
        <v>1</v>
      </c>
      <c r="G18" s="3">
        <v>1</v>
      </c>
      <c r="H18" s="3">
        <v>1</v>
      </c>
      <c r="I18" s="3">
        <v>1</v>
      </c>
      <c r="J18" s="3">
        <v>1</v>
      </c>
      <c r="K18" s="3">
        <v>1</v>
      </c>
      <c r="L18" s="3">
        <v>1</v>
      </c>
      <c r="M18" s="3">
        <v>1</v>
      </c>
      <c r="N18" s="3">
        <v>1</v>
      </c>
      <c r="O18" s="3">
        <v>1</v>
      </c>
      <c r="P18" s="3">
        <v>1</v>
      </c>
      <c r="Q18" s="3">
        <v>1</v>
      </c>
      <c r="R18" s="3">
        <v>1</v>
      </c>
      <c r="S18" s="3">
        <v>1</v>
      </c>
      <c r="T18" s="3">
        <v>1</v>
      </c>
      <c r="U18" s="3">
        <v>1</v>
      </c>
      <c r="V18" s="3">
        <v>1</v>
      </c>
      <c r="W18" s="3">
        <v>1</v>
      </c>
      <c r="X18" s="3">
        <v>1</v>
      </c>
      <c r="Y18" s="3">
        <v>1</v>
      </c>
      <c r="Z18" s="3">
        <v>1</v>
      </c>
      <c r="AA18" s="3">
        <v>1</v>
      </c>
      <c r="AB18" s="3">
        <v>1</v>
      </c>
      <c r="AC18" s="3">
        <v>1</v>
      </c>
      <c r="AD18" s="3">
        <v>1</v>
      </c>
      <c r="AE18" s="3">
        <v>1</v>
      </c>
      <c r="AF18" s="3">
        <v>1</v>
      </c>
      <c r="AG18" s="3">
        <v>1</v>
      </c>
      <c r="AH18" s="3">
        <v>1</v>
      </c>
      <c r="AI18" s="3">
        <v>1</v>
      </c>
      <c r="AJ18" s="3">
        <v>1</v>
      </c>
      <c r="AK18" s="3">
        <v>1</v>
      </c>
      <c r="AL18" s="3">
        <v>1</v>
      </c>
      <c r="AM18" s="3">
        <v>1</v>
      </c>
      <c r="AN18" s="3">
        <v>1</v>
      </c>
      <c r="AO18" s="3">
        <v>1</v>
      </c>
      <c r="AP18" s="3">
        <v>1</v>
      </c>
      <c r="AQ18" s="3">
        <v>1</v>
      </c>
      <c r="AR18" s="3">
        <v>1</v>
      </c>
      <c r="AS18" s="3">
        <v>1</v>
      </c>
      <c r="AT18" s="3">
        <v>1</v>
      </c>
      <c r="AU18" s="3">
        <v>1</v>
      </c>
      <c r="AV18" s="3">
        <v>1</v>
      </c>
      <c r="AW18" s="3">
        <v>1</v>
      </c>
      <c r="AX18" s="3">
        <v>1</v>
      </c>
      <c r="AY18" s="3">
        <v>1</v>
      </c>
      <c r="AZ18" s="3">
        <v>1</v>
      </c>
      <c r="BA18" s="3">
        <v>1</v>
      </c>
      <c r="BB18" s="3">
        <v>1</v>
      </c>
      <c r="BC18" s="3">
        <v>1</v>
      </c>
    </row>
    <row r="19" ht="14" customHeight="true">
      <c r="A19" t="s">
        <v>285</v>
      </c>
      <c r="B19" s="3">
        <v>1</v>
      </c>
      <c r="C19" s="3">
        <v>1</v>
      </c>
      <c r="D19" s="3">
        <v>1</v>
      </c>
      <c r="E19" s="3">
        <v>1</v>
      </c>
      <c r="F19" s="3">
        <v>1</v>
      </c>
      <c r="G19" s="3">
        <v>1</v>
      </c>
      <c r="H19" s="3">
        <v>1</v>
      </c>
      <c r="I19" s="3">
        <v>1</v>
      </c>
      <c r="J19" s="3">
        <v>1</v>
      </c>
      <c r="K19" s="3">
        <v>1</v>
      </c>
      <c r="L19" s="3">
        <v>1</v>
      </c>
      <c r="M19" s="3">
        <v>1</v>
      </c>
      <c r="N19" s="3">
        <v>1</v>
      </c>
      <c r="O19" s="3">
        <v>1</v>
      </c>
      <c r="P19" s="3">
        <v>1</v>
      </c>
      <c r="Q19" s="3">
        <v>1</v>
      </c>
      <c r="R19" s="3">
        <v>1</v>
      </c>
      <c r="S19" s="3">
        <v>1</v>
      </c>
      <c r="T19" s="3">
        <v>1</v>
      </c>
      <c r="U19" s="3">
        <v>1</v>
      </c>
      <c r="V19" s="3">
        <v>1</v>
      </c>
      <c r="W19" s="3">
        <v>1</v>
      </c>
      <c r="X19" s="3">
        <v>1</v>
      </c>
      <c r="Y19" s="3">
        <v>1</v>
      </c>
      <c r="Z19" s="3">
        <v>1</v>
      </c>
      <c r="AA19" s="3">
        <v>1</v>
      </c>
      <c r="AB19" s="3">
        <v>1</v>
      </c>
      <c r="AC19" s="3">
        <v>1</v>
      </c>
      <c r="AD19" s="3">
        <v>1</v>
      </c>
      <c r="AE19" s="3">
        <v>1</v>
      </c>
      <c r="AF19" s="3">
        <v>1</v>
      </c>
      <c r="AG19" s="3">
        <v>1</v>
      </c>
      <c r="AH19" s="3">
        <v>1</v>
      </c>
      <c r="AI19" s="3">
        <v>1</v>
      </c>
      <c r="AJ19" s="3">
        <v>1</v>
      </c>
      <c r="AK19" s="3">
        <v>1</v>
      </c>
      <c r="AL19" s="3">
        <v>1</v>
      </c>
      <c r="AM19" s="3">
        <v>1</v>
      </c>
      <c r="AN19" s="3">
        <v>1</v>
      </c>
      <c r="AO19" s="3">
        <v>1</v>
      </c>
      <c r="AP19" s="3">
        <v>1</v>
      </c>
      <c r="AQ19" s="3">
        <v>1</v>
      </c>
      <c r="AR19" s="3">
        <v>1</v>
      </c>
      <c r="AS19" s="3">
        <v>1</v>
      </c>
      <c r="AT19" s="3">
        <v>1</v>
      </c>
      <c r="AU19" s="3">
        <v>1</v>
      </c>
      <c r="AV19" s="3">
        <v>1</v>
      </c>
      <c r="AW19" s="3">
        <v>1</v>
      </c>
      <c r="AX19" s="3">
        <v>1</v>
      </c>
      <c r="AY19" s="3">
        <v>1</v>
      </c>
      <c r="AZ19" s="3">
        <v>1</v>
      </c>
      <c r="BA19" s="3">
        <v>1</v>
      </c>
      <c r="BB19" s="3">
        <v>1</v>
      </c>
      <c r="BC19" s="3">
        <v>1</v>
      </c>
    </row>
    <row r="20" ht="14" customHeight="true">
      <c r="A20" t="s">
        <v>188</v>
      </c>
      <c r="B20" s="3">
        <v>1</v>
      </c>
      <c r="C20" s="3">
        <v>1</v>
      </c>
      <c r="D20" s="3">
        <v>1</v>
      </c>
      <c r="E20" s="3">
        <v>1</v>
      </c>
      <c r="F20" s="3">
        <v>1</v>
      </c>
      <c r="G20" s="3">
        <v>1</v>
      </c>
      <c r="H20" s="3">
        <v>1</v>
      </c>
      <c r="I20" s="3">
        <v>1</v>
      </c>
      <c r="J20" s="3">
        <v>1</v>
      </c>
      <c r="K20" s="3">
        <v>1</v>
      </c>
      <c r="L20" s="3">
        <v>1</v>
      </c>
      <c r="M20" s="3">
        <v>1</v>
      </c>
      <c r="N20" s="3">
        <v>1</v>
      </c>
      <c r="O20" s="3">
        <v>1</v>
      </c>
      <c r="P20" s="3">
        <v>1</v>
      </c>
      <c r="Q20" s="3">
        <v>1</v>
      </c>
      <c r="R20" s="3">
        <v>1</v>
      </c>
      <c r="S20" s="3">
        <v>1</v>
      </c>
      <c r="T20" s="3">
        <v>1</v>
      </c>
      <c r="U20" s="3">
        <v>1</v>
      </c>
      <c r="V20" s="3">
        <v>1</v>
      </c>
      <c r="W20" s="3">
        <v>1</v>
      </c>
      <c r="X20" s="3">
        <v>1</v>
      </c>
      <c r="Y20" s="3">
        <v>1</v>
      </c>
      <c r="Z20" s="3">
        <v>1</v>
      </c>
      <c r="AA20" s="3">
        <v>1</v>
      </c>
      <c r="AB20" s="3">
        <v>1</v>
      </c>
      <c r="AC20" s="3">
        <v>1</v>
      </c>
      <c r="AD20" s="3">
        <v>1</v>
      </c>
      <c r="AE20" s="3">
        <v>1</v>
      </c>
      <c r="AF20" s="3">
        <v>1</v>
      </c>
      <c r="AG20" s="3">
        <v>1</v>
      </c>
      <c r="AH20" s="3">
        <v>1</v>
      </c>
      <c r="AI20" s="3">
        <v>1</v>
      </c>
      <c r="AJ20" s="3">
        <v>1</v>
      </c>
      <c r="AK20" s="3">
        <v>1</v>
      </c>
      <c r="AL20" s="3">
        <v>1</v>
      </c>
      <c r="AM20" s="3">
        <v>1</v>
      </c>
      <c r="AN20" s="3">
        <v>1</v>
      </c>
      <c r="AO20" s="3">
        <v>1</v>
      </c>
      <c r="AP20" s="3">
        <v>1</v>
      </c>
      <c r="AQ20" s="3">
        <v>1</v>
      </c>
      <c r="AR20" s="3">
        <v>1</v>
      </c>
      <c r="AS20" s="3">
        <v>1</v>
      </c>
      <c r="AT20" s="3">
        <v>1</v>
      </c>
      <c r="AU20" s="3">
        <v>1</v>
      </c>
      <c r="AV20" s="3">
        <v>1</v>
      </c>
      <c r="AW20" s="3">
        <v>1</v>
      </c>
      <c r="AX20" s="3">
        <v>1</v>
      </c>
      <c r="AY20" s="3">
        <v>1</v>
      </c>
      <c r="AZ20" s="3">
        <v>1</v>
      </c>
      <c r="BA20" s="3">
        <v>1</v>
      </c>
      <c r="BB20" s="3">
        <v>1</v>
      </c>
      <c r="BC20" s="3">
        <v>1</v>
      </c>
    </row>
    <row r="21" ht="14" customHeight="true">
      <c r="A21" t="s">
        <v>189</v>
      </c>
      <c r="B21" s="3">
        <v>1</v>
      </c>
      <c r="C21" s="3">
        <v>1</v>
      </c>
      <c r="D21" s="3">
        <v>1</v>
      </c>
      <c r="E21" s="3">
        <v>1</v>
      </c>
      <c r="F21" s="3">
        <v>1</v>
      </c>
      <c r="G21" s="3">
        <v>1</v>
      </c>
      <c r="H21" s="3">
        <v>1</v>
      </c>
      <c r="I21" s="3">
        <v>1</v>
      </c>
      <c r="J21" s="3">
        <v>1</v>
      </c>
      <c r="K21" s="3">
        <v>1</v>
      </c>
      <c r="L21" s="3">
        <v>1</v>
      </c>
      <c r="M21" s="3">
        <v>1</v>
      </c>
      <c r="N21" s="3">
        <v>1</v>
      </c>
      <c r="O21" s="3">
        <v>1</v>
      </c>
      <c r="P21" s="3">
        <v>1</v>
      </c>
      <c r="Q21" s="3">
        <v>1</v>
      </c>
      <c r="R21" s="3">
        <v>1</v>
      </c>
      <c r="S21" s="3">
        <v>1</v>
      </c>
      <c r="T21" s="3">
        <v>1</v>
      </c>
      <c r="U21" s="3">
        <v>1</v>
      </c>
      <c r="V21" s="3">
        <v>1</v>
      </c>
      <c r="W21" s="3">
        <v>1</v>
      </c>
      <c r="X21" s="3">
        <v>1</v>
      </c>
      <c r="Y21" s="3">
        <v>1</v>
      </c>
      <c r="Z21" s="3">
        <v>1</v>
      </c>
      <c r="AA21" s="3">
        <v>1</v>
      </c>
      <c r="AB21" s="3">
        <v>1</v>
      </c>
      <c r="AC21" s="3">
        <v>1</v>
      </c>
      <c r="AD21" s="3">
        <v>1</v>
      </c>
      <c r="AE21" s="3">
        <v>1</v>
      </c>
      <c r="AF21" s="3">
        <v>1</v>
      </c>
      <c r="AG21" s="3">
        <v>1</v>
      </c>
      <c r="AH21" s="3">
        <v>1</v>
      </c>
      <c r="AI21" s="3">
        <v>1</v>
      </c>
      <c r="AJ21" s="3">
        <v>1</v>
      </c>
      <c r="AK21" s="3">
        <v>1</v>
      </c>
      <c r="AL21" s="3">
        <v>1</v>
      </c>
      <c r="AM21" s="3">
        <v>1</v>
      </c>
      <c r="AN21" s="3">
        <v>1</v>
      </c>
      <c r="AO21" s="3">
        <v>1</v>
      </c>
      <c r="AP21" s="3">
        <v>1</v>
      </c>
      <c r="AQ21" s="3">
        <v>1</v>
      </c>
      <c r="AR21" s="3">
        <v>1</v>
      </c>
      <c r="AS21" s="3">
        <v>1</v>
      </c>
      <c r="AT21" s="3">
        <v>1</v>
      </c>
      <c r="AU21" s="3">
        <v>1</v>
      </c>
      <c r="AV21" s="3">
        <v>1</v>
      </c>
      <c r="AW21" s="3">
        <v>1</v>
      </c>
      <c r="AX21" s="3">
        <v>1</v>
      </c>
      <c r="AY21" s="3">
        <v>1</v>
      </c>
      <c r="AZ21" s="3">
        <v>1</v>
      </c>
      <c r="BA21" s="3">
        <v>1</v>
      </c>
      <c r="BB21" s="3">
        <v>1</v>
      </c>
      <c r="BC21" s="3">
        <v>1</v>
      </c>
    </row>
    <row r="22" ht="14" customHeight="true">
      <c r="A22" t="s">
        <v>190</v>
      </c>
      <c r="B22" s="3">
        <v>1</v>
      </c>
      <c r="C22" s="3">
        <v>1</v>
      </c>
      <c r="D22" s="3">
        <v>1</v>
      </c>
      <c r="E22" s="3">
        <v>1</v>
      </c>
      <c r="F22" s="3">
        <v>1</v>
      </c>
      <c r="G22" s="3">
        <v>1</v>
      </c>
      <c r="H22" s="3">
        <v>1</v>
      </c>
      <c r="I22" s="3">
        <v>1</v>
      </c>
      <c r="J22" s="3">
        <v>1</v>
      </c>
      <c r="K22" s="3">
        <v>1</v>
      </c>
      <c r="L22" s="3">
        <v>1</v>
      </c>
      <c r="M22" s="3">
        <v>1</v>
      </c>
      <c r="N22" s="3">
        <v>1</v>
      </c>
      <c r="O22" s="3">
        <v>1</v>
      </c>
      <c r="P22" s="3">
        <v>1</v>
      </c>
      <c r="Q22" s="3">
        <v>1</v>
      </c>
      <c r="R22" s="3">
        <v>1</v>
      </c>
      <c r="S22" s="3">
        <v>1</v>
      </c>
      <c r="T22" s="3">
        <v>1</v>
      </c>
      <c r="U22" s="3">
        <v>1</v>
      </c>
      <c r="V22" s="3">
        <v>1</v>
      </c>
      <c r="W22" s="3">
        <v>1</v>
      </c>
      <c r="X22" s="3">
        <v>1</v>
      </c>
      <c r="Y22" s="3">
        <v>1</v>
      </c>
      <c r="Z22" s="3">
        <v>1</v>
      </c>
      <c r="AA22" s="3">
        <v>1</v>
      </c>
      <c r="AB22" s="3">
        <v>1</v>
      </c>
      <c r="AC22" s="3">
        <v>1</v>
      </c>
      <c r="AD22" s="3">
        <v>1</v>
      </c>
      <c r="AE22" s="3">
        <v>1</v>
      </c>
      <c r="AF22" s="3">
        <v>1</v>
      </c>
      <c r="AG22" s="3">
        <v>1</v>
      </c>
      <c r="AH22" s="3">
        <v>1</v>
      </c>
      <c r="AI22" s="3">
        <v>1</v>
      </c>
      <c r="AJ22" s="3">
        <v>1</v>
      </c>
      <c r="AK22" s="3">
        <v>1</v>
      </c>
      <c r="AL22" s="3">
        <v>1</v>
      </c>
      <c r="AM22" s="3">
        <v>1</v>
      </c>
      <c r="AN22" s="3">
        <v>1</v>
      </c>
      <c r="AO22" s="3">
        <v>1</v>
      </c>
      <c r="AP22" s="3">
        <v>1</v>
      </c>
      <c r="AQ22" s="3">
        <v>1</v>
      </c>
      <c r="AR22" s="3">
        <v>1</v>
      </c>
      <c r="AS22" s="3">
        <v>1</v>
      </c>
      <c r="AT22" s="3">
        <v>1</v>
      </c>
      <c r="AU22" s="3">
        <v>1</v>
      </c>
      <c r="AV22" s="3">
        <v>1</v>
      </c>
      <c r="AW22" s="3">
        <v>1</v>
      </c>
      <c r="AX22" s="3">
        <v>1</v>
      </c>
      <c r="AY22" s="3">
        <v>1</v>
      </c>
      <c r="AZ22" s="3">
        <v>1</v>
      </c>
      <c r="BA22" s="3">
        <v>1</v>
      </c>
      <c r="BB22" s="3">
        <v>1</v>
      </c>
      <c r="BC22" s="3">
        <v>1</v>
      </c>
    </row>
    <row r="23" ht="14" customHeight="true">
      <c r="A23" t="s">
        <v>191</v>
      </c>
      <c r="B23" s="3">
        <v>1</v>
      </c>
      <c r="C23" s="3">
        <v>1</v>
      </c>
      <c r="D23" s="3">
        <v>1</v>
      </c>
      <c r="E23" s="3">
        <v>1</v>
      </c>
      <c r="F23" s="3">
        <v>1</v>
      </c>
      <c r="G23" s="3">
        <v>1</v>
      </c>
      <c r="H23" s="3">
        <v>1</v>
      </c>
      <c r="I23" s="3">
        <v>1</v>
      </c>
      <c r="J23" s="3">
        <v>1</v>
      </c>
      <c r="K23" s="3">
        <v>1</v>
      </c>
      <c r="L23" s="3">
        <v>1</v>
      </c>
      <c r="M23" s="3">
        <v>1</v>
      </c>
      <c r="N23" s="3">
        <v>1</v>
      </c>
      <c r="O23" s="3">
        <v>1</v>
      </c>
      <c r="P23" s="3">
        <v>1</v>
      </c>
      <c r="Q23" s="3">
        <v>1</v>
      </c>
      <c r="R23" s="3">
        <v>1</v>
      </c>
      <c r="S23" s="3">
        <v>1</v>
      </c>
      <c r="T23" s="3">
        <v>1</v>
      </c>
      <c r="U23" s="3">
        <v>1</v>
      </c>
      <c r="V23" s="3">
        <v>1</v>
      </c>
      <c r="W23" s="3">
        <v>1</v>
      </c>
      <c r="X23" s="3">
        <v>1</v>
      </c>
      <c r="Y23" s="3">
        <v>1</v>
      </c>
      <c r="Z23" s="3">
        <v>1</v>
      </c>
      <c r="AA23" s="3">
        <v>1</v>
      </c>
      <c r="AB23" s="3">
        <v>1</v>
      </c>
      <c r="AC23" s="3">
        <v>1</v>
      </c>
      <c r="AD23" s="3">
        <v>1</v>
      </c>
      <c r="AE23" s="3">
        <v>1</v>
      </c>
      <c r="AF23" s="3">
        <v>1</v>
      </c>
      <c r="AG23" s="3">
        <v>1</v>
      </c>
      <c r="AH23" s="3">
        <v>1</v>
      </c>
      <c r="AI23" s="3">
        <v>1</v>
      </c>
      <c r="AJ23" s="3">
        <v>1</v>
      </c>
      <c r="AK23" s="3">
        <v>1</v>
      </c>
      <c r="AL23" s="3">
        <v>1</v>
      </c>
      <c r="AM23" s="3">
        <v>1</v>
      </c>
      <c r="AN23" s="3">
        <v>1</v>
      </c>
      <c r="AO23" s="3">
        <v>1</v>
      </c>
      <c r="AP23" s="3">
        <v>1</v>
      </c>
      <c r="AQ23" s="3">
        <v>1</v>
      </c>
      <c r="AR23" s="3">
        <v>1</v>
      </c>
      <c r="AS23" s="3">
        <v>1</v>
      </c>
      <c r="AT23" s="3">
        <v>1</v>
      </c>
      <c r="AU23" s="3">
        <v>1</v>
      </c>
      <c r="AV23" s="3">
        <v>1</v>
      </c>
      <c r="AW23" s="3">
        <v>1</v>
      </c>
      <c r="AX23" s="3">
        <v>1</v>
      </c>
      <c r="AY23" s="3">
        <v>1</v>
      </c>
      <c r="AZ23" s="3">
        <v>1</v>
      </c>
      <c r="BA23" s="3">
        <v>1</v>
      </c>
      <c r="BB23" s="3">
        <v>1</v>
      </c>
      <c r="BC23" s="3">
        <v>1</v>
      </c>
    </row>
    <row r="24" ht="14" customHeight="true">
      <c r="A24" t="s">
        <v>294</v>
      </c>
      <c r="B24" s="3">
        <v>1</v>
      </c>
      <c r="C24" s="3">
        <v>1</v>
      </c>
      <c r="D24" s="3">
        <v>1</v>
      </c>
      <c r="E24" s="3">
        <v>1</v>
      </c>
      <c r="F24" s="3">
        <v>1</v>
      </c>
      <c r="G24" s="3">
        <v>1</v>
      </c>
      <c r="H24" s="3">
        <v>1</v>
      </c>
      <c r="I24" s="3">
        <v>1</v>
      </c>
      <c r="J24" s="3">
        <v>1</v>
      </c>
      <c r="K24" s="3">
        <v>1</v>
      </c>
      <c r="L24" s="3">
        <v>1</v>
      </c>
      <c r="M24" s="3">
        <v>1</v>
      </c>
      <c r="N24" s="3">
        <v>1</v>
      </c>
      <c r="O24" s="3">
        <v>1</v>
      </c>
      <c r="P24" s="3">
        <v>1</v>
      </c>
      <c r="Q24" s="3">
        <v>1</v>
      </c>
      <c r="R24" s="3">
        <v>1</v>
      </c>
      <c r="S24" s="3">
        <v>1</v>
      </c>
      <c r="T24" s="3">
        <v>1</v>
      </c>
      <c r="U24" s="3">
        <v>1</v>
      </c>
      <c r="V24" s="3">
        <v>1</v>
      </c>
      <c r="W24" s="3">
        <v>1</v>
      </c>
      <c r="X24" s="3">
        <v>1</v>
      </c>
      <c r="Y24" s="3">
        <v>1</v>
      </c>
      <c r="Z24" s="3">
        <v>1</v>
      </c>
      <c r="AA24" s="3">
        <v>1</v>
      </c>
      <c r="AB24" s="3">
        <v>1</v>
      </c>
      <c r="AC24" s="3">
        <v>1</v>
      </c>
      <c r="AD24" s="3">
        <v>1</v>
      </c>
      <c r="AE24" s="3">
        <v>1</v>
      </c>
      <c r="AF24" s="3">
        <v>1</v>
      </c>
      <c r="AG24" s="3">
        <v>1</v>
      </c>
      <c r="AH24" s="3">
        <v>1</v>
      </c>
      <c r="AI24" s="3">
        <v>1</v>
      </c>
      <c r="AJ24" s="3">
        <v>1</v>
      </c>
      <c r="AK24" s="3">
        <v>1</v>
      </c>
      <c r="AL24" s="3">
        <v>1</v>
      </c>
      <c r="AM24" s="3">
        <v>1</v>
      </c>
      <c r="AN24" s="3">
        <v>1</v>
      </c>
      <c r="AO24" s="3">
        <v>1</v>
      </c>
      <c r="AP24" s="3">
        <v>1</v>
      </c>
      <c r="AQ24" s="3">
        <v>1</v>
      </c>
      <c r="AR24" s="3">
        <v>1</v>
      </c>
      <c r="AS24" s="3">
        <v>1</v>
      </c>
      <c r="AT24" s="3">
        <v>1</v>
      </c>
      <c r="AU24" s="3">
        <v>1</v>
      </c>
      <c r="AV24" s="3">
        <v>1</v>
      </c>
      <c r="AW24" s="3">
        <v>1</v>
      </c>
      <c r="AX24" s="3">
        <v>1</v>
      </c>
      <c r="AY24" s="3">
        <v>1</v>
      </c>
      <c r="AZ24" s="3">
        <v>1</v>
      </c>
      <c r="BA24" s="3">
        <v>1</v>
      </c>
      <c r="BB24" s="3">
        <v>1</v>
      </c>
      <c r="BC24" s="3">
        <v>1</v>
      </c>
    </row>
    <row r="25" ht="14" customHeight="true">
      <c r="A25" t="s">
        <v>225</v>
      </c>
      <c r="B25" s="3">
        <v>1</v>
      </c>
      <c r="C25" s="3">
        <v>1</v>
      </c>
      <c r="D25" s="3">
        <v>1</v>
      </c>
      <c r="E25" s="3">
        <v>1</v>
      </c>
      <c r="F25" s="3">
        <v>1</v>
      </c>
      <c r="G25" s="3">
        <v>1</v>
      </c>
      <c r="H25" s="3">
        <v>1</v>
      </c>
      <c r="I25" s="3">
        <v>1</v>
      </c>
      <c r="J25" s="3">
        <v>1</v>
      </c>
      <c r="K25" s="3">
        <v>1</v>
      </c>
      <c r="L25" s="3">
        <v>1</v>
      </c>
      <c r="M25" s="3">
        <v>1</v>
      </c>
      <c r="N25" s="3">
        <v>1</v>
      </c>
      <c r="O25" s="3">
        <v>1</v>
      </c>
      <c r="P25" s="3">
        <v>1</v>
      </c>
      <c r="Q25" s="3">
        <v>1</v>
      </c>
      <c r="R25" s="3">
        <v>1</v>
      </c>
      <c r="S25" s="3">
        <v>1</v>
      </c>
      <c r="T25" s="3">
        <v>1</v>
      </c>
      <c r="U25" s="3">
        <v>1</v>
      </c>
      <c r="V25" s="3">
        <v>1</v>
      </c>
      <c r="W25" s="3">
        <v>1</v>
      </c>
      <c r="X25" s="3">
        <v>1</v>
      </c>
      <c r="Y25" s="3">
        <v>1</v>
      </c>
      <c r="Z25" s="3">
        <v>1</v>
      </c>
      <c r="AA25" s="3">
        <v>1</v>
      </c>
      <c r="AB25" s="3">
        <v>1</v>
      </c>
      <c r="AC25" s="3">
        <v>1</v>
      </c>
      <c r="AD25" s="3">
        <v>1</v>
      </c>
      <c r="AE25" s="3">
        <v>1</v>
      </c>
      <c r="AF25" s="3">
        <v>1</v>
      </c>
      <c r="AG25" s="3">
        <v>1</v>
      </c>
      <c r="AH25" s="3">
        <v>1</v>
      </c>
      <c r="AI25" s="3">
        <v>1</v>
      </c>
      <c r="AJ25" s="3">
        <v>1</v>
      </c>
      <c r="AK25" s="3">
        <v>1</v>
      </c>
      <c r="AL25" s="3">
        <v>1</v>
      </c>
      <c r="AM25" s="3">
        <v>1</v>
      </c>
      <c r="AN25" s="3">
        <v>1</v>
      </c>
      <c r="AO25" s="3">
        <v>1</v>
      </c>
      <c r="AP25" s="3">
        <v>1</v>
      </c>
      <c r="AQ25" s="3">
        <v>1</v>
      </c>
      <c r="AR25" s="3">
        <v>1</v>
      </c>
      <c r="AS25" s="3">
        <v>1</v>
      </c>
      <c r="AT25" s="3">
        <v>1</v>
      </c>
      <c r="AU25" s="3">
        <v>1</v>
      </c>
      <c r="AV25" s="3">
        <v>1</v>
      </c>
      <c r="AW25" s="3">
        <v>1</v>
      </c>
      <c r="AX25" s="3">
        <v>1</v>
      </c>
      <c r="AY25" s="3">
        <v>1</v>
      </c>
      <c r="AZ25" s="3">
        <v>1</v>
      </c>
      <c r="BA25" s="3">
        <v>1</v>
      </c>
      <c r="BB25" s="3">
        <v>1</v>
      </c>
      <c r="BC25" s="3">
        <v>1</v>
      </c>
    </row>
    <row r="26" ht="14" customHeight="true">
      <c r="A26" t="s">
        <v>226</v>
      </c>
      <c r="B26" s="3">
        <v>1</v>
      </c>
      <c r="C26" s="3">
        <v>1</v>
      </c>
      <c r="D26" s="3">
        <v>1</v>
      </c>
      <c r="E26" s="3">
        <v>1</v>
      </c>
      <c r="F26" s="3">
        <v>1</v>
      </c>
      <c r="G26" s="3">
        <v>1</v>
      </c>
      <c r="H26" s="3">
        <v>1</v>
      </c>
      <c r="I26" s="3">
        <v>1</v>
      </c>
      <c r="J26" s="3">
        <v>1</v>
      </c>
      <c r="K26" s="3">
        <v>1</v>
      </c>
      <c r="L26" s="3">
        <v>1</v>
      </c>
      <c r="M26" s="3">
        <v>1</v>
      </c>
      <c r="N26" s="3">
        <v>1</v>
      </c>
      <c r="O26" s="3">
        <v>1</v>
      </c>
      <c r="P26" s="3">
        <v>1</v>
      </c>
      <c r="Q26" s="3">
        <v>1</v>
      </c>
      <c r="R26" s="3">
        <v>1</v>
      </c>
      <c r="S26" s="3">
        <v>1</v>
      </c>
      <c r="T26" s="3">
        <v>1</v>
      </c>
      <c r="U26" s="3">
        <v>1</v>
      </c>
      <c r="V26" s="3">
        <v>1</v>
      </c>
      <c r="W26" s="3">
        <v>1</v>
      </c>
      <c r="X26" s="3">
        <v>1</v>
      </c>
      <c r="Y26" s="3">
        <v>1</v>
      </c>
      <c r="Z26" s="3">
        <v>1</v>
      </c>
      <c r="AA26" s="3">
        <v>1</v>
      </c>
      <c r="AB26" s="3">
        <v>1</v>
      </c>
      <c r="AC26" s="3">
        <v>1</v>
      </c>
      <c r="AD26" s="3">
        <v>1</v>
      </c>
      <c r="AE26" s="3">
        <v>1</v>
      </c>
      <c r="AF26" s="3">
        <v>1</v>
      </c>
      <c r="AG26" s="3">
        <v>1</v>
      </c>
      <c r="AH26" s="3">
        <v>1</v>
      </c>
      <c r="AI26" s="3">
        <v>1</v>
      </c>
      <c r="AJ26" s="3">
        <v>1</v>
      </c>
      <c r="AK26" s="3">
        <v>1</v>
      </c>
      <c r="AL26" s="3">
        <v>1</v>
      </c>
      <c r="AM26" s="3">
        <v>1</v>
      </c>
      <c r="AN26" s="3">
        <v>1</v>
      </c>
      <c r="AO26" s="3">
        <v>1</v>
      </c>
      <c r="AP26" s="3">
        <v>1</v>
      </c>
      <c r="AQ26" s="3">
        <v>1</v>
      </c>
      <c r="AR26" s="3">
        <v>1</v>
      </c>
      <c r="AS26" s="3">
        <v>1</v>
      </c>
      <c r="AT26" s="3">
        <v>1</v>
      </c>
      <c r="AU26" s="3">
        <v>1</v>
      </c>
      <c r="AV26" s="3">
        <v>1</v>
      </c>
      <c r="AW26" s="3">
        <v>1</v>
      </c>
      <c r="AX26" s="3">
        <v>1</v>
      </c>
      <c r="AY26" s="3">
        <v>1</v>
      </c>
      <c r="AZ26" s="3">
        <v>1</v>
      </c>
      <c r="BA26" s="3">
        <v>1</v>
      </c>
      <c r="BB26" s="3">
        <v>1</v>
      </c>
      <c r="BC26" s="3">
        <v>1</v>
      </c>
    </row>
    <row r="27" ht="14" customHeight="true">
      <c r="A27" t="s">
        <v>227</v>
      </c>
      <c r="B27" s="3">
        <v>1</v>
      </c>
      <c r="C27" s="3">
        <v>1</v>
      </c>
      <c r="D27" s="3">
        <v>1</v>
      </c>
      <c r="E27" s="3">
        <v>1</v>
      </c>
      <c r="F27" s="3">
        <v>1</v>
      </c>
      <c r="G27" s="3">
        <v>1</v>
      </c>
      <c r="H27" s="3">
        <v>1</v>
      </c>
      <c r="I27" s="3">
        <v>1</v>
      </c>
      <c r="J27" s="3">
        <v>1</v>
      </c>
      <c r="K27" s="3">
        <v>1</v>
      </c>
      <c r="L27" s="3">
        <v>1</v>
      </c>
      <c r="M27" s="3">
        <v>1</v>
      </c>
      <c r="N27" s="3">
        <v>1</v>
      </c>
      <c r="O27" s="3">
        <v>1</v>
      </c>
      <c r="P27" s="3">
        <v>1</v>
      </c>
      <c r="Q27" s="3">
        <v>1</v>
      </c>
      <c r="R27" s="3">
        <v>1</v>
      </c>
      <c r="S27" s="3">
        <v>1</v>
      </c>
      <c r="T27" s="3">
        <v>1</v>
      </c>
      <c r="U27" s="3">
        <v>1</v>
      </c>
      <c r="V27" s="3">
        <v>1</v>
      </c>
      <c r="W27" s="3">
        <v>1</v>
      </c>
      <c r="X27" s="3">
        <v>1</v>
      </c>
      <c r="Y27" s="3">
        <v>1</v>
      </c>
      <c r="Z27" s="3">
        <v>1</v>
      </c>
      <c r="AA27" s="3">
        <v>1</v>
      </c>
      <c r="AB27" s="3">
        <v>1</v>
      </c>
      <c r="AC27" s="3">
        <v>1</v>
      </c>
      <c r="AD27" s="3">
        <v>1</v>
      </c>
      <c r="AE27" s="3">
        <v>1</v>
      </c>
      <c r="AF27" s="3">
        <v>1</v>
      </c>
      <c r="AG27" s="3">
        <v>1</v>
      </c>
      <c r="AH27" s="3">
        <v>1</v>
      </c>
      <c r="AI27" s="3">
        <v>1</v>
      </c>
      <c r="AJ27" s="3">
        <v>1</v>
      </c>
      <c r="AK27" s="3">
        <v>1</v>
      </c>
      <c r="AL27" s="3">
        <v>1</v>
      </c>
      <c r="AM27" s="3">
        <v>1</v>
      </c>
      <c r="AN27" s="3">
        <v>1</v>
      </c>
      <c r="AO27" s="3">
        <v>1</v>
      </c>
      <c r="AP27" s="3">
        <v>1</v>
      </c>
      <c r="AQ27" s="3">
        <v>1</v>
      </c>
      <c r="AR27" s="3">
        <v>1</v>
      </c>
      <c r="AS27" s="3">
        <v>1</v>
      </c>
      <c r="AT27" s="3">
        <v>1</v>
      </c>
      <c r="AU27" s="3">
        <v>1</v>
      </c>
      <c r="AV27" s="3">
        <v>1</v>
      </c>
      <c r="AW27" s="3">
        <v>1</v>
      </c>
      <c r="AX27" s="3">
        <v>1</v>
      </c>
      <c r="AY27" s="3">
        <v>1</v>
      </c>
      <c r="AZ27" s="3">
        <v>1</v>
      </c>
      <c r="BA27" s="3">
        <v>1</v>
      </c>
      <c r="BB27" s="3">
        <v>1</v>
      </c>
      <c r="BC27" s="3">
        <v>1</v>
      </c>
    </row>
    <row r="28" ht="14" customHeight="true">
      <c r="A28" t="s">
        <v>228</v>
      </c>
      <c r="B28" s="3">
        <v>1</v>
      </c>
      <c r="C28" s="3">
        <v>1</v>
      </c>
      <c r="D28" s="3">
        <v>1</v>
      </c>
      <c r="E28" s="3">
        <v>1</v>
      </c>
      <c r="F28" s="3">
        <v>1</v>
      </c>
      <c r="G28" s="3">
        <v>1</v>
      </c>
      <c r="H28" s="3">
        <v>1</v>
      </c>
      <c r="I28" s="3">
        <v>1</v>
      </c>
      <c r="J28" s="3">
        <v>1</v>
      </c>
      <c r="K28" s="3">
        <v>1</v>
      </c>
      <c r="L28" s="3">
        <v>1</v>
      </c>
      <c r="M28" s="3">
        <v>1</v>
      </c>
      <c r="N28" s="3">
        <v>1</v>
      </c>
      <c r="O28" s="3">
        <v>1</v>
      </c>
      <c r="P28" s="3">
        <v>1</v>
      </c>
      <c r="Q28" s="3">
        <v>1</v>
      </c>
      <c r="R28" s="3">
        <v>1</v>
      </c>
      <c r="S28" s="3">
        <v>1</v>
      </c>
      <c r="T28" s="3">
        <v>1</v>
      </c>
      <c r="U28" s="3">
        <v>1</v>
      </c>
      <c r="V28" s="3">
        <v>1</v>
      </c>
      <c r="W28" s="3">
        <v>1</v>
      </c>
      <c r="X28" s="3">
        <v>1</v>
      </c>
      <c r="Y28" s="3">
        <v>1</v>
      </c>
      <c r="Z28" s="3">
        <v>1</v>
      </c>
      <c r="AA28" s="3">
        <v>1</v>
      </c>
      <c r="AB28" s="3">
        <v>1</v>
      </c>
      <c r="AC28" s="3">
        <v>1</v>
      </c>
      <c r="AD28" s="3">
        <v>1</v>
      </c>
      <c r="AE28" s="3">
        <v>1</v>
      </c>
      <c r="AF28" s="3">
        <v>1</v>
      </c>
      <c r="AG28" s="3">
        <v>1</v>
      </c>
      <c r="AH28" s="3">
        <v>1</v>
      </c>
      <c r="AI28" s="3">
        <v>1</v>
      </c>
      <c r="AJ28" s="3">
        <v>1</v>
      </c>
      <c r="AK28" s="3">
        <v>1</v>
      </c>
      <c r="AL28" s="3">
        <v>1</v>
      </c>
      <c r="AM28" s="3">
        <v>1</v>
      </c>
      <c r="AN28" s="3">
        <v>1</v>
      </c>
      <c r="AO28" s="3">
        <v>1</v>
      </c>
      <c r="AP28" s="3">
        <v>1</v>
      </c>
      <c r="AQ28" s="3">
        <v>1</v>
      </c>
      <c r="AR28" s="3">
        <v>1</v>
      </c>
      <c r="AS28" s="3">
        <v>1</v>
      </c>
      <c r="AT28" s="3">
        <v>1</v>
      </c>
      <c r="AU28" s="3">
        <v>1</v>
      </c>
      <c r="AV28" s="3">
        <v>1</v>
      </c>
      <c r="AW28" s="3">
        <v>1</v>
      </c>
      <c r="AX28" s="3">
        <v>1</v>
      </c>
      <c r="AY28" s="3">
        <v>1</v>
      </c>
      <c r="AZ28" s="3">
        <v>1</v>
      </c>
      <c r="BA28" s="3">
        <v>1</v>
      </c>
      <c r="BB28" s="3">
        <v>1</v>
      </c>
      <c r="BC28" s="3">
        <v>1</v>
      </c>
    </row>
    <row r="29" ht="14" customHeight="true">
      <c r="A29" t="s">
        <v>197</v>
      </c>
      <c r="B29" s="3">
        <v>1</v>
      </c>
      <c r="C29" s="3">
        <v>1</v>
      </c>
      <c r="D29" s="3">
        <v>1</v>
      </c>
      <c r="E29" s="3">
        <v>1</v>
      </c>
      <c r="F29" s="3">
        <v>1</v>
      </c>
      <c r="G29" s="3">
        <v>1</v>
      </c>
      <c r="H29" s="3">
        <v>1</v>
      </c>
      <c r="I29" s="3">
        <v>1</v>
      </c>
      <c r="J29" s="3">
        <v>1</v>
      </c>
      <c r="K29" s="3">
        <v>1</v>
      </c>
      <c r="L29" s="3">
        <v>1</v>
      </c>
      <c r="M29" s="3">
        <v>1</v>
      </c>
      <c r="N29" s="3">
        <v>1</v>
      </c>
      <c r="O29" s="3">
        <v>1</v>
      </c>
      <c r="P29" s="3">
        <v>1</v>
      </c>
      <c r="Q29" s="3">
        <v>1</v>
      </c>
      <c r="R29" s="3">
        <v>1</v>
      </c>
      <c r="S29" s="3">
        <v>1</v>
      </c>
      <c r="T29" s="3">
        <v>1</v>
      </c>
      <c r="U29" s="3">
        <v>1</v>
      </c>
      <c r="V29" s="3">
        <v>1</v>
      </c>
      <c r="W29" s="3">
        <v>1</v>
      </c>
      <c r="X29" s="3">
        <v>1</v>
      </c>
      <c r="Y29" s="3">
        <v>1</v>
      </c>
      <c r="Z29" s="3">
        <v>1</v>
      </c>
      <c r="AA29" s="3">
        <v>1</v>
      </c>
      <c r="AB29" s="3">
        <v>1</v>
      </c>
      <c r="AC29" s="3">
        <v>1</v>
      </c>
      <c r="AD29" s="3">
        <v>1</v>
      </c>
      <c r="AE29" s="3">
        <v>1</v>
      </c>
      <c r="AF29" s="3">
        <v>1</v>
      </c>
      <c r="AG29" s="3">
        <v>1</v>
      </c>
      <c r="AH29" s="3">
        <v>1</v>
      </c>
      <c r="AI29" s="3">
        <v>1</v>
      </c>
      <c r="AJ29" s="3">
        <v>1</v>
      </c>
      <c r="AK29" s="3">
        <v>1</v>
      </c>
      <c r="AL29" s="3">
        <v>1</v>
      </c>
      <c r="AM29" s="3">
        <v>1</v>
      </c>
      <c r="AN29" s="3">
        <v>1</v>
      </c>
      <c r="AO29" s="3">
        <v>1</v>
      </c>
      <c r="AP29" s="3">
        <v>1</v>
      </c>
      <c r="AQ29" s="3">
        <v>1</v>
      </c>
      <c r="AR29" s="3">
        <v>1</v>
      </c>
      <c r="AS29" s="3">
        <v>1</v>
      </c>
      <c r="AT29" s="3">
        <v>1</v>
      </c>
      <c r="AU29" s="3">
        <v>1</v>
      </c>
      <c r="AV29" s="3">
        <v>1</v>
      </c>
      <c r="AW29" s="3">
        <v>1</v>
      </c>
      <c r="AX29" s="3">
        <v>1</v>
      </c>
      <c r="AY29" s="3">
        <v>1</v>
      </c>
      <c r="AZ29" s="3">
        <v>1</v>
      </c>
      <c r="BA29" s="3">
        <v>1</v>
      </c>
      <c r="BB29" s="3">
        <v>1</v>
      </c>
      <c r="BC29" s="3">
        <v>1</v>
      </c>
    </row>
    <row r="30" ht="14" customHeight="true">
      <c r="A30" t="s">
        <v>198</v>
      </c>
      <c r="B30" s="3">
        <v>1</v>
      </c>
      <c r="C30" s="3">
        <v>1</v>
      </c>
      <c r="D30" s="3">
        <v>1</v>
      </c>
      <c r="E30" s="3">
        <v>1</v>
      </c>
      <c r="F30" s="3">
        <v>1</v>
      </c>
      <c r="G30" s="3">
        <v>1</v>
      </c>
      <c r="H30" s="3">
        <v>1</v>
      </c>
      <c r="I30" s="3">
        <v>1</v>
      </c>
      <c r="J30" s="3">
        <v>1</v>
      </c>
      <c r="K30" s="3">
        <v>1</v>
      </c>
      <c r="L30" s="3">
        <v>1</v>
      </c>
      <c r="M30" s="3">
        <v>1</v>
      </c>
      <c r="N30" s="3">
        <v>1</v>
      </c>
      <c r="O30" s="3">
        <v>1</v>
      </c>
      <c r="P30" s="3">
        <v>1</v>
      </c>
      <c r="Q30" s="3">
        <v>1</v>
      </c>
      <c r="R30" s="3">
        <v>1</v>
      </c>
      <c r="S30" s="3">
        <v>1</v>
      </c>
      <c r="T30" s="3">
        <v>1</v>
      </c>
      <c r="U30" s="3">
        <v>1</v>
      </c>
      <c r="V30" s="3">
        <v>1</v>
      </c>
      <c r="W30" s="3">
        <v>1</v>
      </c>
      <c r="X30" s="3">
        <v>1</v>
      </c>
      <c r="Y30" s="3">
        <v>1</v>
      </c>
      <c r="Z30" s="3">
        <v>1</v>
      </c>
      <c r="AA30" s="3">
        <v>1</v>
      </c>
      <c r="AB30" s="3">
        <v>1</v>
      </c>
      <c r="AC30" s="3">
        <v>1</v>
      </c>
      <c r="AD30" s="3">
        <v>1</v>
      </c>
      <c r="AE30" s="3">
        <v>1</v>
      </c>
      <c r="AF30" s="3">
        <v>1</v>
      </c>
      <c r="AG30" s="3">
        <v>1</v>
      </c>
      <c r="AH30" s="3">
        <v>1</v>
      </c>
      <c r="AI30" s="3">
        <v>1</v>
      </c>
      <c r="AJ30" s="3">
        <v>1</v>
      </c>
      <c r="AK30" s="3">
        <v>1</v>
      </c>
      <c r="AL30" s="3">
        <v>1</v>
      </c>
      <c r="AM30" s="3">
        <v>1</v>
      </c>
      <c r="AN30" s="3">
        <v>1</v>
      </c>
      <c r="AO30" s="3">
        <v>1</v>
      </c>
      <c r="AP30" s="3">
        <v>1</v>
      </c>
      <c r="AQ30" s="3">
        <v>1</v>
      </c>
      <c r="AR30" s="3">
        <v>1</v>
      </c>
      <c r="AS30" s="3">
        <v>1</v>
      </c>
      <c r="AT30" s="3">
        <v>1</v>
      </c>
      <c r="AU30" s="3">
        <v>1</v>
      </c>
      <c r="AV30" s="3">
        <v>1</v>
      </c>
      <c r="AW30" s="3">
        <v>1</v>
      </c>
      <c r="AX30" s="3">
        <v>1</v>
      </c>
      <c r="AY30" s="3">
        <v>1</v>
      </c>
      <c r="AZ30" s="3">
        <v>1</v>
      </c>
      <c r="BA30" s="3">
        <v>1</v>
      </c>
      <c r="BB30" s="3">
        <v>1</v>
      </c>
      <c r="BC30" s="3">
        <v>1</v>
      </c>
    </row>
    <row r="31" ht="14" customHeight="true">
      <c r="A31" t="s">
        <v>199</v>
      </c>
      <c r="B31" s="3">
        <v>1</v>
      </c>
      <c r="C31" s="3">
        <v>1</v>
      </c>
      <c r="D31" s="3">
        <v>1</v>
      </c>
      <c r="E31" s="3">
        <v>1</v>
      </c>
      <c r="F31" s="3">
        <v>1</v>
      </c>
      <c r="G31" s="3">
        <v>1</v>
      </c>
      <c r="H31" s="3">
        <v>1</v>
      </c>
      <c r="I31" s="3">
        <v>1</v>
      </c>
      <c r="J31" s="3">
        <v>1</v>
      </c>
      <c r="K31" s="3">
        <v>1</v>
      </c>
      <c r="L31" s="3">
        <v>1</v>
      </c>
      <c r="M31" s="3">
        <v>1</v>
      </c>
      <c r="N31" s="3">
        <v>1</v>
      </c>
      <c r="O31" s="3">
        <v>1</v>
      </c>
      <c r="P31" s="3">
        <v>1</v>
      </c>
      <c r="Q31" s="3">
        <v>1</v>
      </c>
      <c r="R31" s="3">
        <v>1</v>
      </c>
      <c r="S31" s="3">
        <v>1</v>
      </c>
      <c r="T31" s="3">
        <v>1</v>
      </c>
      <c r="U31" s="3">
        <v>1</v>
      </c>
      <c r="V31" s="3">
        <v>1</v>
      </c>
      <c r="W31" s="3">
        <v>1</v>
      </c>
      <c r="X31" s="3">
        <v>1</v>
      </c>
      <c r="Y31" s="3">
        <v>1</v>
      </c>
      <c r="Z31" s="3">
        <v>1</v>
      </c>
      <c r="AA31" s="3">
        <v>1</v>
      </c>
      <c r="AB31" s="3">
        <v>1</v>
      </c>
      <c r="AC31" s="3">
        <v>1</v>
      </c>
      <c r="AD31" s="3">
        <v>1</v>
      </c>
      <c r="AE31" s="3">
        <v>1</v>
      </c>
      <c r="AF31" s="3">
        <v>1</v>
      </c>
      <c r="AG31" s="3">
        <v>1</v>
      </c>
      <c r="AH31" s="3">
        <v>1</v>
      </c>
      <c r="AI31" s="3">
        <v>1</v>
      </c>
      <c r="AJ31" s="3">
        <v>1</v>
      </c>
      <c r="AK31" s="3">
        <v>1</v>
      </c>
      <c r="AL31" s="3">
        <v>1</v>
      </c>
      <c r="AM31" s="3">
        <v>1</v>
      </c>
      <c r="AN31" s="3">
        <v>1</v>
      </c>
      <c r="AO31" s="3">
        <v>1</v>
      </c>
      <c r="AP31" s="3">
        <v>1</v>
      </c>
      <c r="AQ31" s="3">
        <v>1</v>
      </c>
      <c r="AR31" s="3">
        <v>1</v>
      </c>
      <c r="AS31" s="3">
        <v>1</v>
      </c>
      <c r="AT31" s="3">
        <v>1</v>
      </c>
      <c r="AU31" s="3">
        <v>1</v>
      </c>
      <c r="AV31" s="3">
        <v>1</v>
      </c>
      <c r="AW31" s="3">
        <v>1</v>
      </c>
      <c r="AX31" s="3">
        <v>1</v>
      </c>
      <c r="AY31" s="3">
        <v>1</v>
      </c>
      <c r="AZ31" s="3">
        <v>1</v>
      </c>
      <c r="BA31" s="3">
        <v>1</v>
      </c>
      <c r="BB31" s="3">
        <v>1</v>
      </c>
      <c r="BC31" s="3">
        <v>1</v>
      </c>
    </row>
    <row r="32" ht="14" customHeight="true">
      <c r="A32" t="s">
        <v>229</v>
      </c>
      <c r="B32" s="3">
        <v>1</v>
      </c>
      <c r="C32" s="3">
        <v>1</v>
      </c>
      <c r="D32" s="3">
        <v>1</v>
      </c>
      <c r="E32" s="3">
        <v>1</v>
      </c>
      <c r="F32" s="3">
        <v>1</v>
      </c>
      <c r="G32" s="3">
        <v>1</v>
      </c>
      <c r="H32" s="3">
        <v>1</v>
      </c>
      <c r="I32" s="3">
        <v>1</v>
      </c>
      <c r="J32" s="3">
        <v>1</v>
      </c>
      <c r="K32" s="3">
        <v>1</v>
      </c>
      <c r="L32" s="3">
        <v>1</v>
      </c>
      <c r="M32" s="3">
        <v>1</v>
      </c>
      <c r="N32" s="3">
        <v>1</v>
      </c>
      <c r="O32" s="3">
        <v>1</v>
      </c>
      <c r="P32" s="3">
        <v>1</v>
      </c>
      <c r="Q32" s="3">
        <v>1</v>
      </c>
      <c r="R32" s="3">
        <v>1</v>
      </c>
      <c r="S32" s="3">
        <v>1</v>
      </c>
      <c r="T32" s="3">
        <v>1</v>
      </c>
      <c r="U32" s="3">
        <v>1</v>
      </c>
      <c r="V32" s="3">
        <v>1</v>
      </c>
      <c r="W32" s="3">
        <v>1</v>
      </c>
      <c r="X32" s="3">
        <v>1</v>
      </c>
      <c r="Y32" s="3">
        <v>1</v>
      </c>
      <c r="Z32" s="3">
        <v>1</v>
      </c>
      <c r="AA32" s="3">
        <v>1</v>
      </c>
      <c r="AB32" s="3">
        <v>1</v>
      </c>
      <c r="AC32" s="3">
        <v>1</v>
      </c>
      <c r="AD32" s="3">
        <v>1</v>
      </c>
      <c r="AE32" s="3">
        <v>1</v>
      </c>
      <c r="AF32" s="3">
        <v>1</v>
      </c>
      <c r="AG32" s="3">
        <v>1</v>
      </c>
      <c r="AH32" s="3">
        <v>1</v>
      </c>
      <c r="AI32" s="3">
        <v>1</v>
      </c>
      <c r="AJ32" s="3">
        <v>1</v>
      </c>
      <c r="AK32" s="3">
        <v>1</v>
      </c>
      <c r="AL32" s="3">
        <v>1</v>
      </c>
      <c r="AM32" s="3">
        <v>1</v>
      </c>
      <c r="AN32" s="3">
        <v>1</v>
      </c>
      <c r="AO32" s="3">
        <v>1</v>
      </c>
      <c r="AP32" s="3">
        <v>1</v>
      </c>
      <c r="AQ32" s="3">
        <v>1</v>
      </c>
      <c r="AR32" s="3">
        <v>1</v>
      </c>
      <c r="AS32" s="3">
        <v>1</v>
      </c>
      <c r="AT32" s="3">
        <v>1</v>
      </c>
      <c r="AU32" s="3">
        <v>1</v>
      </c>
      <c r="AV32" s="3">
        <v>1</v>
      </c>
      <c r="AW32" s="3">
        <v>1</v>
      </c>
      <c r="AX32" s="3">
        <v>1</v>
      </c>
      <c r="AY32" s="3">
        <v>1</v>
      </c>
      <c r="AZ32" s="3">
        <v>1</v>
      </c>
      <c r="BA32" s="3">
        <v>1</v>
      </c>
      <c r="BB32" s="3">
        <v>1</v>
      </c>
      <c r="BC32" s="3">
        <v>1</v>
      </c>
    </row>
    <row r="33" ht="14" customHeight="true">
      <c r="A33" t="s">
        <v>230</v>
      </c>
      <c r="B33" s="3">
        <v>1</v>
      </c>
      <c r="C33" s="3">
        <v>1</v>
      </c>
      <c r="D33" s="3">
        <v>1</v>
      </c>
      <c r="E33" s="3">
        <v>1</v>
      </c>
      <c r="F33" s="3">
        <v>1</v>
      </c>
      <c r="G33" s="3">
        <v>1</v>
      </c>
      <c r="H33" s="3">
        <v>1</v>
      </c>
      <c r="I33" s="3">
        <v>1</v>
      </c>
      <c r="J33" s="3">
        <v>1</v>
      </c>
      <c r="K33" s="3">
        <v>1</v>
      </c>
      <c r="L33" s="3">
        <v>1</v>
      </c>
      <c r="M33" s="3">
        <v>1</v>
      </c>
      <c r="N33" s="3">
        <v>1</v>
      </c>
      <c r="O33" s="3">
        <v>1</v>
      </c>
      <c r="P33" s="3">
        <v>1</v>
      </c>
      <c r="Q33" s="3">
        <v>1</v>
      </c>
      <c r="R33" s="3">
        <v>1</v>
      </c>
      <c r="S33" s="3">
        <v>1</v>
      </c>
      <c r="T33" s="3">
        <v>1</v>
      </c>
      <c r="U33" s="3">
        <v>1</v>
      </c>
      <c r="V33" s="3">
        <v>1</v>
      </c>
      <c r="W33" s="3">
        <v>1</v>
      </c>
      <c r="X33" s="3">
        <v>1</v>
      </c>
      <c r="Y33" s="3">
        <v>1</v>
      </c>
      <c r="Z33" s="3">
        <v>1</v>
      </c>
      <c r="AA33" s="3">
        <v>1</v>
      </c>
      <c r="AB33" s="3">
        <v>1</v>
      </c>
      <c r="AC33" s="3">
        <v>1</v>
      </c>
      <c r="AD33" s="3">
        <v>1</v>
      </c>
      <c r="AE33" s="3">
        <v>1</v>
      </c>
      <c r="AF33" s="3">
        <v>1</v>
      </c>
      <c r="AG33" s="3">
        <v>1</v>
      </c>
      <c r="AH33" s="3">
        <v>1</v>
      </c>
      <c r="AI33" s="3">
        <v>1</v>
      </c>
      <c r="AJ33" s="3">
        <v>1</v>
      </c>
      <c r="AK33" s="3">
        <v>1</v>
      </c>
      <c r="AL33" s="3">
        <v>1</v>
      </c>
      <c r="AM33" s="3">
        <v>1</v>
      </c>
      <c r="AN33" s="3">
        <v>1</v>
      </c>
      <c r="AO33" s="3">
        <v>1</v>
      </c>
      <c r="AP33" s="3">
        <v>1</v>
      </c>
      <c r="AQ33" s="3">
        <v>1</v>
      </c>
      <c r="AR33" s="3">
        <v>1</v>
      </c>
      <c r="AS33" s="3">
        <v>1</v>
      </c>
      <c r="AT33" s="3">
        <v>1</v>
      </c>
      <c r="AU33" s="3">
        <v>1</v>
      </c>
      <c r="AV33" s="3">
        <v>1</v>
      </c>
      <c r="AW33" s="3">
        <v>1</v>
      </c>
      <c r="AX33" s="3">
        <v>1</v>
      </c>
      <c r="AY33" s="3">
        <v>1</v>
      </c>
      <c r="AZ33" s="3">
        <v>1</v>
      </c>
      <c r="BA33" s="3">
        <v>1</v>
      </c>
      <c r="BB33" s="3">
        <v>1</v>
      </c>
      <c r="BC33" s="3">
        <v>1</v>
      </c>
    </row>
    <row r="34" ht="14" customHeight="true">
      <c r="A34" t="s">
        <v>231</v>
      </c>
      <c r="B34" s="3">
        <v>1</v>
      </c>
      <c r="C34" s="3">
        <v>1</v>
      </c>
      <c r="D34" s="3">
        <v>1</v>
      </c>
      <c r="E34" s="3">
        <v>1</v>
      </c>
      <c r="F34" s="3">
        <v>1</v>
      </c>
      <c r="G34" s="3">
        <v>1</v>
      </c>
      <c r="H34" s="3">
        <v>1</v>
      </c>
      <c r="I34" s="3">
        <v>1</v>
      </c>
      <c r="J34" s="3">
        <v>1</v>
      </c>
      <c r="K34" s="3">
        <v>1</v>
      </c>
      <c r="L34" s="3">
        <v>1</v>
      </c>
      <c r="M34" s="3">
        <v>1</v>
      </c>
      <c r="N34" s="3">
        <v>1</v>
      </c>
      <c r="O34" s="3">
        <v>1</v>
      </c>
      <c r="P34" s="3">
        <v>1</v>
      </c>
      <c r="Q34" s="3">
        <v>1</v>
      </c>
      <c r="R34" s="3">
        <v>1</v>
      </c>
      <c r="S34" s="3">
        <v>1</v>
      </c>
      <c r="T34" s="3">
        <v>1</v>
      </c>
      <c r="U34" s="3">
        <v>1</v>
      </c>
      <c r="V34" s="3">
        <v>1</v>
      </c>
      <c r="W34" s="3">
        <v>1</v>
      </c>
      <c r="X34" s="3">
        <v>1</v>
      </c>
      <c r="Y34" s="3">
        <v>1</v>
      </c>
      <c r="Z34" s="3">
        <v>1</v>
      </c>
      <c r="AA34" s="3">
        <v>1</v>
      </c>
      <c r="AB34" s="3">
        <v>1</v>
      </c>
      <c r="AC34" s="3">
        <v>1</v>
      </c>
      <c r="AD34" s="3">
        <v>1</v>
      </c>
      <c r="AE34" s="3">
        <v>1</v>
      </c>
      <c r="AF34" s="3">
        <v>1</v>
      </c>
      <c r="AG34" s="3">
        <v>1</v>
      </c>
      <c r="AH34" s="3">
        <v>1</v>
      </c>
      <c r="AI34" s="3">
        <v>1</v>
      </c>
      <c r="AJ34" s="3">
        <v>1</v>
      </c>
      <c r="AK34" s="3">
        <v>1</v>
      </c>
      <c r="AL34" s="3">
        <v>1</v>
      </c>
      <c r="AM34" s="3">
        <v>1</v>
      </c>
      <c r="AN34" s="3">
        <v>1</v>
      </c>
      <c r="AO34" s="3">
        <v>1</v>
      </c>
      <c r="AP34" s="3">
        <v>1</v>
      </c>
      <c r="AQ34" s="3">
        <v>1</v>
      </c>
      <c r="AR34" s="3">
        <v>1</v>
      </c>
      <c r="AS34" s="3">
        <v>1</v>
      </c>
      <c r="AT34" s="3">
        <v>1</v>
      </c>
      <c r="AU34" s="3">
        <v>1</v>
      </c>
      <c r="AV34" s="3">
        <v>1</v>
      </c>
      <c r="AW34" s="3">
        <v>1</v>
      </c>
      <c r="AX34" s="3">
        <v>1</v>
      </c>
      <c r="AY34" s="3">
        <v>1</v>
      </c>
      <c r="AZ34" s="3">
        <v>1</v>
      </c>
      <c r="BA34" s="3">
        <v>1</v>
      </c>
      <c r="BB34" s="3">
        <v>1</v>
      </c>
      <c r="BC34" s="3">
        <v>1</v>
      </c>
    </row>
    <row r="35" ht="14" customHeight="true">
      <c r="A35" t="s">
        <v>232</v>
      </c>
      <c r="B35" s="3">
        <v>1</v>
      </c>
      <c r="C35" s="3">
        <v>1</v>
      </c>
      <c r="D35" s="3">
        <v>1</v>
      </c>
      <c r="E35" s="3">
        <v>1</v>
      </c>
      <c r="F35" s="3">
        <v>1</v>
      </c>
      <c r="G35" s="3">
        <v>1</v>
      </c>
      <c r="H35" s="3">
        <v>1</v>
      </c>
      <c r="I35" s="3">
        <v>1</v>
      </c>
      <c r="J35" s="3">
        <v>1</v>
      </c>
      <c r="K35" s="3">
        <v>1</v>
      </c>
      <c r="L35" s="3">
        <v>1</v>
      </c>
      <c r="M35" s="3">
        <v>1</v>
      </c>
      <c r="N35" s="3">
        <v>1</v>
      </c>
      <c r="O35" s="3">
        <v>1</v>
      </c>
      <c r="P35" s="3">
        <v>1</v>
      </c>
      <c r="Q35" s="3">
        <v>1</v>
      </c>
      <c r="R35" s="3">
        <v>1</v>
      </c>
      <c r="S35" s="3">
        <v>1</v>
      </c>
      <c r="T35" s="3">
        <v>1</v>
      </c>
      <c r="U35" s="3">
        <v>1</v>
      </c>
      <c r="V35" s="3">
        <v>1</v>
      </c>
      <c r="W35" s="3">
        <v>1</v>
      </c>
      <c r="X35" s="3">
        <v>1</v>
      </c>
      <c r="Y35" s="3">
        <v>1</v>
      </c>
      <c r="Z35" s="3">
        <v>1</v>
      </c>
      <c r="AA35" s="3">
        <v>1</v>
      </c>
      <c r="AB35" s="3">
        <v>1</v>
      </c>
      <c r="AC35" s="3">
        <v>1</v>
      </c>
      <c r="AD35" s="3">
        <v>1</v>
      </c>
      <c r="AE35" s="3">
        <v>1</v>
      </c>
      <c r="AF35" s="3">
        <v>1</v>
      </c>
      <c r="AG35" s="3">
        <v>1</v>
      </c>
      <c r="AH35" s="3">
        <v>1</v>
      </c>
      <c r="AI35" s="3">
        <v>1</v>
      </c>
      <c r="AJ35" s="3">
        <v>1</v>
      </c>
      <c r="AK35" s="3">
        <v>1</v>
      </c>
      <c r="AL35" s="3">
        <v>1</v>
      </c>
      <c r="AM35" s="3">
        <v>1</v>
      </c>
      <c r="AN35" s="3">
        <v>1</v>
      </c>
      <c r="AO35" s="3">
        <v>1</v>
      </c>
      <c r="AP35" s="3">
        <v>1</v>
      </c>
      <c r="AQ35" s="3">
        <v>1</v>
      </c>
      <c r="AR35" s="3">
        <v>1</v>
      </c>
      <c r="AS35" s="3">
        <v>1</v>
      </c>
      <c r="AT35" s="3">
        <v>1</v>
      </c>
      <c r="AU35" s="3">
        <v>1</v>
      </c>
      <c r="AV35" s="3">
        <v>1</v>
      </c>
      <c r="AW35" s="3">
        <v>1</v>
      </c>
      <c r="AX35" s="3">
        <v>1</v>
      </c>
      <c r="AY35" s="3">
        <v>1</v>
      </c>
      <c r="AZ35" s="3">
        <v>1</v>
      </c>
      <c r="BA35" s="3">
        <v>1</v>
      </c>
      <c r="BB35" s="3">
        <v>1</v>
      </c>
      <c r="BC35" s="3">
        <v>1</v>
      </c>
    </row>
    <row r="36" ht="14" customHeight="true">
      <c r="A36" t="s">
        <v>233</v>
      </c>
      <c r="B36" s="3">
        <v>1</v>
      </c>
      <c r="C36" s="3">
        <v>1</v>
      </c>
      <c r="D36" s="3">
        <v>1</v>
      </c>
      <c r="E36" s="3">
        <v>1</v>
      </c>
      <c r="F36" s="3">
        <v>1</v>
      </c>
      <c r="G36" s="3">
        <v>1</v>
      </c>
      <c r="H36" s="3">
        <v>1</v>
      </c>
      <c r="I36" s="3">
        <v>1</v>
      </c>
      <c r="J36" s="3">
        <v>1</v>
      </c>
      <c r="K36" s="3">
        <v>1</v>
      </c>
      <c r="L36" s="3">
        <v>1</v>
      </c>
      <c r="M36" s="3">
        <v>1</v>
      </c>
      <c r="N36" s="3">
        <v>1</v>
      </c>
      <c r="O36" s="3">
        <v>1</v>
      </c>
      <c r="P36" s="3">
        <v>1</v>
      </c>
      <c r="Q36" s="3">
        <v>1</v>
      </c>
      <c r="R36" s="3">
        <v>1</v>
      </c>
      <c r="S36" s="3">
        <v>1</v>
      </c>
      <c r="T36" s="3">
        <v>1</v>
      </c>
      <c r="U36" s="3">
        <v>1</v>
      </c>
      <c r="V36" s="3">
        <v>1</v>
      </c>
      <c r="W36" s="3">
        <v>1</v>
      </c>
      <c r="X36" s="3">
        <v>1</v>
      </c>
      <c r="Y36" s="3">
        <v>1</v>
      </c>
      <c r="Z36" s="3">
        <v>1</v>
      </c>
      <c r="AA36" s="3">
        <v>1</v>
      </c>
      <c r="AB36" s="3">
        <v>1</v>
      </c>
      <c r="AC36" s="3">
        <v>1</v>
      </c>
      <c r="AD36" s="3">
        <v>1</v>
      </c>
      <c r="AE36" s="3">
        <v>1</v>
      </c>
      <c r="AF36" s="3">
        <v>1</v>
      </c>
      <c r="AG36" s="3">
        <v>1</v>
      </c>
      <c r="AH36" s="3">
        <v>1</v>
      </c>
      <c r="AI36" s="3">
        <v>1</v>
      </c>
      <c r="AJ36" s="3">
        <v>1</v>
      </c>
      <c r="AK36" s="3">
        <v>1</v>
      </c>
      <c r="AL36" s="3">
        <v>1</v>
      </c>
      <c r="AM36" s="3">
        <v>1</v>
      </c>
      <c r="AN36" s="3">
        <v>1</v>
      </c>
      <c r="AO36" s="3">
        <v>1</v>
      </c>
      <c r="AP36" s="3">
        <v>1</v>
      </c>
      <c r="AQ36" s="3">
        <v>1</v>
      </c>
      <c r="AR36" s="3">
        <v>1</v>
      </c>
      <c r="AS36" s="3">
        <v>1</v>
      </c>
      <c r="AT36" s="3">
        <v>1</v>
      </c>
      <c r="AU36" s="3">
        <v>1</v>
      </c>
      <c r="AV36" s="3">
        <v>1</v>
      </c>
      <c r="AW36" s="3">
        <v>1</v>
      </c>
      <c r="AX36" s="3">
        <v>1</v>
      </c>
      <c r="AY36" s="3">
        <v>1</v>
      </c>
      <c r="AZ36" s="3">
        <v>1</v>
      </c>
      <c r="BA36" s="3">
        <v>1</v>
      </c>
      <c r="BB36" s="3">
        <v>1</v>
      </c>
      <c r="BC36" s="3">
        <v>1</v>
      </c>
    </row>
    <row r="37" ht="14" customHeight="true">
      <c r="A37" t="s">
        <v>205</v>
      </c>
      <c r="B37" s="3">
        <v>1</v>
      </c>
      <c r="C37" s="3">
        <v>1</v>
      </c>
      <c r="D37" s="3">
        <v>1</v>
      </c>
      <c r="E37" s="3">
        <v>1</v>
      </c>
      <c r="F37" s="3">
        <v>1</v>
      </c>
      <c r="G37" s="3">
        <v>1</v>
      </c>
      <c r="H37" s="3">
        <v>1</v>
      </c>
      <c r="I37" s="3">
        <v>1</v>
      </c>
      <c r="J37" s="3">
        <v>1</v>
      </c>
      <c r="K37" s="3">
        <v>1</v>
      </c>
      <c r="L37" s="3">
        <v>1</v>
      </c>
      <c r="M37" s="3">
        <v>1</v>
      </c>
      <c r="N37" s="3">
        <v>1</v>
      </c>
      <c r="O37" s="3">
        <v>1</v>
      </c>
      <c r="P37" s="3">
        <v>1</v>
      </c>
      <c r="Q37" s="3">
        <v>1</v>
      </c>
      <c r="R37" s="3">
        <v>1</v>
      </c>
      <c r="S37" s="3">
        <v>1</v>
      </c>
      <c r="T37" s="3">
        <v>1</v>
      </c>
      <c r="U37" s="3">
        <v>1</v>
      </c>
      <c r="V37" s="3">
        <v>1</v>
      </c>
      <c r="W37" s="3">
        <v>1</v>
      </c>
      <c r="X37" s="3">
        <v>1</v>
      </c>
      <c r="Y37" s="3">
        <v>1</v>
      </c>
      <c r="Z37" s="3">
        <v>1</v>
      </c>
      <c r="AA37" s="3">
        <v>1</v>
      </c>
      <c r="AB37" s="3">
        <v>1</v>
      </c>
      <c r="AC37" s="3">
        <v>1</v>
      </c>
      <c r="AD37" s="3">
        <v>1</v>
      </c>
      <c r="AE37" s="3">
        <v>1</v>
      </c>
      <c r="AF37" s="3">
        <v>1</v>
      </c>
      <c r="AG37" s="3">
        <v>1</v>
      </c>
      <c r="AH37" s="3">
        <v>1</v>
      </c>
      <c r="AI37" s="3">
        <v>1</v>
      </c>
      <c r="AJ37" s="3">
        <v>1</v>
      </c>
      <c r="AK37" s="3">
        <v>1</v>
      </c>
      <c r="AL37" s="3">
        <v>1</v>
      </c>
      <c r="AM37" s="3">
        <v>1</v>
      </c>
      <c r="AN37" s="3">
        <v>1</v>
      </c>
      <c r="AO37" s="3">
        <v>1</v>
      </c>
      <c r="AP37" s="3">
        <v>1</v>
      </c>
      <c r="AQ37" s="3">
        <v>1</v>
      </c>
      <c r="AR37" s="3">
        <v>1</v>
      </c>
      <c r="AS37" s="3">
        <v>1</v>
      </c>
      <c r="AT37" s="3">
        <v>1</v>
      </c>
      <c r="AU37" s="3">
        <v>1</v>
      </c>
      <c r="AV37" s="3">
        <v>1</v>
      </c>
      <c r="AW37" s="3">
        <v>1</v>
      </c>
      <c r="AX37" s="3">
        <v>1</v>
      </c>
      <c r="AY37" s="3">
        <v>1</v>
      </c>
      <c r="AZ37" s="3">
        <v>1</v>
      </c>
      <c r="BA37" s="3">
        <v>1</v>
      </c>
      <c r="BB37" s="3">
        <v>1</v>
      </c>
      <c r="BC37" s="3">
        <v>1</v>
      </c>
    </row>
    <row r="38" ht="14" customHeight="true">
      <c r="A38" t="s">
        <v>206</v>
      </c>
      <c r="B38" s="3">
        <v>1</v>
      </c>
      <c r="C38" s="3">
        <v>1</v>
      </c>
      <c r="D38" s="3">
        <v>1</v>
      </c>
      <c r="E38" s="3">
        <v>1</v>
      </c>
      <c r="F38" s="3">
        <v>1</v>
      </c>
      <c r="G38" s="3">
        <v>1</v>
      </c>
      <c r="H38" s="3">
        <v>1</v>
      </c>
      <c r="I38" s="3">
        <v>1</v>
      </c>
      <c r="J38" s="3">
        <v>1</v>
      </c>
      <c r="K38" s="3">
        <v>1</v>
      </c>
      <c r="L38" s="3">
        <v>1</v>
      </c>
      <c r="M38" s="3">
        <v>1</v>
      </c>
      <c r="N38" s="3">
        <v>1</v>
      </c>
      <c r="O38" s="3">
        <v>1</v>
      </c>
      <c r="P38" s="3">
        <v>1</v>
      </c>
      <c r="Q38" s="3">
        <v>1</v>
      </c>
      <c r="R38" s="3">
        <v>1</v>
      </c>
      <c r="S38" s="3">
        <v>1</v>
      </c>
      <c r="T38" s="3">
        <v>1</v>
      </c>
      <c r="U38" s="3">
        <v>1</v>
      </c>
      <c r="V38" s="3">
        <v>1</v>
      </c>
      <c r="W38" s="3">
        <v>1</v>
      </c>
      <c r="X38" s="3">
        <v>1</v>
      </c>
      <c r="Y38" s="3">
        <v>1</v>
      </c>
      <c r="Z38" s="3">
        <v>1</v>
      </c>
      <c r="AA38" s="3">
        <v>1</v>
      </c>
      <c r="AB38" s="3">
        <v>1</v>
      </c>
      <c r="AC38" s="3">
        <v>1</v>
      </c>
      <c r="AD38" s="3">
        <v>1</v>
      </c>
      <c r="AE38" s="3">
        <v>1</v>
      </c>
      <c r="AF38" s="3">
        <v>1</v>
      </c>
      <c r="AG38" s="3">
        <v>1</v>
      </c>
      <c r="AH38" s="3">
        <v>1</v>
      </c>
      <c r="AI38" s="3">
        <v>1</v>
      </c>
      <c r="AJ38" s="3">
        <v>1</v>
      </c>
      <c r="AK38" s="3">
        <v>1</v>
      </c>
      <c r="AL38" s="3">
        <v>1</v>
      </c>
      <c r="AM38" s="3">
        <v>1</v>
      </c>
      <c r="AN38" s="3">
        <v>1</v>
      </c>
      <c r="AO38" s="3">
        <v>1</v>
      </c>
      <c r="AP38" s="3">
        <v>1</v>
      </c>
      <c r="AQ38" s="3">
        <v>1</v>
      </c>
      <c r="AR38" s="3">
        <v>1</v>
      </c>
      <c r="AS38" s="3">
        <v>1</v>
      </c>
      <c r="AT38" s="3">
        <v>1</v>
      </c>
      <c r="AU38" s="3">
        <v>1</v>
      </c>
      <c r="AV38" s="3">
        <v>1</v>
      </c>
      <c r="AW38" s="3">
        <v>1</v>
      </c>
      <c r="AX38" s="3">
        <v>1</v>
      </c>
      <c r="AY38" s="3">
        <v>1</v>
      </c>
      <c r="AZ38" s="3">
        <v>1</v>
      </c>
      <c r="BA38" s="3">
        <v>1</v>
      </c>
      <c r="BB38" s="3">
        <v>1</v>
      </c>
      <c r="BC38" s="3">
        <v>1</v>
      </c>
    </row>
    <row r="39" ht="14" customHeight="true">
      <c r="A39" t="s">
        <v>207</v>
      </c>
      <c r="B39" s="3">
        <v>1</v>
      </c>
      <c r="C39" s="3">
        <v>1</v>
      </c>
      <c r="D39" s="3">
        <v>1</v>
      </c>
      <c r="E39" s="3">
        <v>1</v>
      </c>
      <c r="F39" s="3">
        <v>1</v>
      </c>
      <c r="G39" s="3">
        <v>1</v>
      </c>
      <c r="H39" s="3">
        <v>1</v>
      </c>
      <c r="I39" s="3">
        <v>1</v>
      </c>
      <c r="J39" s="3">
        <v>1</v>
      </c>
      <c r="K39" s="3">
        <v>1</v>
      </c>
      <c r="L39" s="3">
        <v>1</v>
      </c>
      <c r="M39" s="3">
        <v>1</v>
      </c>
      <c r="N39" s="3">
        <v>1</v>
      </c>
      <c r="O39" s="3">
        <v>1</v>
      </c>
      <c r="P39" s="3">
        <v>1</v>
      </c>
      <c r="Q39" s="3">
        <v>1</v>
      </c>
      <c r="R39" s="3">
        <v>1</v>
      </c>
      <c r="S39" s="3">
        <v>1</v>
      </c>
      <c r="T39" s="3">
        <v>1</v>
      </c>
      <c r="U39" s="3">
        <v>1</v>
      </c>
      <c r="V39" s="3">
        <v>1</v>
      </c>
      <c r="W39" s="3">
        <v>1</v>
      </c>
      <c r="X39" s="3">
        <v>1</v>
      </c>
      <c r="Y39" s="3">
        <v>1</v>
      </c>
      <c r="Z39" s="3">
        <v>1</v>
      </c>
      <c r="AA39" s="3">
        <v>1</v>
      </c>
      <c r="AB39" s="3">
        <v>1</v>
      </c>
      <c r="AC39" s="3">
        <v>1</v>
      </c>
      <c r="AD39" s="3">
        <v>1</v>
      </c>
      <c r="AE39" s="3">
        <v>1</v>
      </c>
      <c r="AF39" s="3">
        <v>1</v>
      </c>
      <c r="AG39" s="3">
        <v>1</v>
      </c>
      <c r="AH39" s="3">
        <v>1</v>
      </c>
      <c r="AI39" s="3">
        <v>1</v>
      </c>
      <c r="AJ39" s="3">
        <v>1</v>
      </c>
      <c r="AK39" s="3">
        <v>1</v>
      </c>
      <c r="AL39" s="3">
        <v>1</v>
      </c>
      <c r="AM39" s="3">
        <v>1</v>
      </c>
      <c r="AN39" s="3">
        <v>1</v>
      </c>
      <c r="AO39" s="3">
        <v>1</v>
      </c>
      <c r="AP39" s="3">
        <v>1</v>
      </c>
      <c r="AQ39" s="3">
        <v>1</v>
      </c>
      <c r="AR39" s="3">
        <v>1</v>
      </c>
      <c r="AS39" s="3">
        <v>1</v>
      </c>
      <c r="AT39" s="3">
        <v>1</v>
      </c>
      <c r="AU39" s="3">
        <v>1</v>
      </c>
      <c r="AV39" s="3">
        <v>1</v>
      </c>
      <c r="AW39" s="3">
        <v>1</v>
      </c>
      <c r="AX39" s="3">
        <v>1</v>
      </c>
      <c r="AY39" s="3">
        <v>1</v>
      </c>
      <c r="AZ39" s="3">
        <v>1</v>
      </c>
      <c r="BA39" s="3">
        <v>1</v>
      </c>
      <c r="BB39" s="3">
        <v>1</v>
      </c>
      <c r="BC39" s="3">
        <v>1</v>
      </c>
    </row>
    <row r="40" ht="14" customHeight="true">
      <c r="A40" t="s">
        <v>208</v>
      </c>
      <c r="B40" s="3">
        <v>1</v>
      </c>
      <c r="C40" s="3">
        <v>1</v>
      </c>
      <c r="D40" s="3">
        <v>1</v>
      </c>
      <c r="E40" s="3">
        <v>1</v>
      </c>
      <c r="F40" s="3">
        <v>1</v>
      </c>
      <c r="G40" s="3">
        <v>1</v>
      </c>
      <c r="H40" s="3">
        <v>1</v>
      </c>
      <c r="I40" s="3">
        <v>1</v>
      </c>
      <c r="J40" s="3">
        <v>1</v>
      </c>
      <c r="K40" s="3">
        <v>1</v>
      </c>
      <c r="L40" s="3">
        <v>1</v>
      </c>
      <c r="M40" s="3">
        <v>1</v>
      </c>
      <c r="N40" s="3">
        <v>1</v>
      </c>
      <c r="O40" s="3">
        <v>1</v>
      </c>
      <c r="P40" s="3">
        <v>1</v>
      </c>
      <c r="Q40" s="3">
        <v>1</v>
      </c>
      <c r="R40" s="3">
        <v>1</v>
      </c>
      <c r="S40" s="3">
        <v>1</v>
      </c>
      <c r="T40" s="3">
        <v>1</v>
      </c>
      <c r="U40" s="3">
        <v>1</v>
      </c>
      <c r="V40" s="3">
        <v>1</v>
      </c>
      <c r="W40" s="3">
        <v>1</v>
      </c>
      <c r="X40" s="3">
        <v>1</v>
      </c>
      <c r="Y40" s="3">
        <v>1</v>
      </c>
      <c r="Z40" s="3">
        <v>1</v>
      </c>
      <c r="AA40" s="3">
        <v>1</v>
      </c>
      <c r="AB40" s="3">
        <v>1</v>
      </c>
      <c r="AC40" s="3">
        <v>1</v>
      </c>
      <c r="AD40" s="3">
        <v>1</v>
      </c>
      <c r="AE40" s="3">
        <v>1</v>
      </c>
      <c r="AF40" s="3">
        <v>1</v>
      </c>
      <c r="AG40" s="3">
        <v>1</v>
      </c>
      <c r="AH40" s="3">
        <v>1</v>
      </c>
      <c r="AI40" s="3">
        <v>1</v>
      </c>
      <c r="AJ40" s="3">
        <v>1</v>
      </c>
      <c r="AK40" s="3">
        <v>1</v>
      </c>
      <c r="AL40" s="3">
        <v>1</v>
      </c>
      <c r="AM40" s="3">
        <v>1</v>
      </c>
      <c r="AN40" s="3">
        <v>1</v>
      </c>
      <c r="AO40" s="3">
        <v>1</v>
      </c>
      <c r="AP40" s="3">
        <v>1</v>
      </c>
      <c r="AQ40" s="3">
        <v>1</v>
      </c>
      <c r="AR40" s="3">
        <v>1</v>
      </c>
      <c r="AS40" s="3">
        <v>1</v>
      </c>
      <c r="AT40" s="3">
        <v>1</v>
      </c>
      <c r="AU40" s="3">
        <v>1</v>
      </c>
      <c r="AV40" s="3">
        <v>1</v>
      </c>
      <c r="AW40" s="3">
        <v>1</v>
      </c>
      <c r="AX40" s="3">
        <v>1</v>
      </c>
      <c r="AY40" s="3">
        <v>1</v>
      </c>
      <c r="AZ40" s="3">
        <v>1</v>
      </c>
      <c r="BA40" s="3">
        <v>1</v>
      </c>
      <c r="BB40" s="3">
        <v>1</v>
      </c>
      <c r="BC40" s="3">
        <v>1</v>
      </c>
    </row>
    <row r="41" ht="14" customHeight="true">
      <c r="A41" t="s">
        <v>209</v>
      </c>
      <c r="B41" s="3">
        <v>1</v>
      </c>
      <c r="C41" s="3">
        <v>1</v>
      </c>
      <c r="D41" s="3">
        <v>1</v>
      </c>
      <c r="E41" s="3">
        <v>1</v>
      </c>
      <c r="F41" s="3">
        <v>1</v>
      </c>
      <c r="G41" s="3">
        <v>1</v>
      </c>
      <c r="H41" s="3">
        <v>1</v>
      </c>
      <c r="I41" s="3">
        <v>1</v>
      </c>
      <c r="J41" s="3">
        <v>1</v>
      </c>
      <c r="K41" s="3">
        <v>1</v>
      </c>
      <c r="L41" s="3">
        <v>1</v>
      </c>
      <c r="M41" s="3">
        <v>1</v>
      </c>
      <c r="N41" s="3">
        <v>1</v>
      </c>
      <c r="O41" s="3">
        <v>1</v>
      </c>
      <c r="P41" s="3">
        <v>1</v>
      </c>
      <c r="Q41" s="3">
        <v>1</v>
      </c>
      <c r="R41" s="3">
        <v>1</v>
      </c>
      <c r="S41" s="3">
        <v>1</v>
      </c>
      <c r="T41" s="3">
        <v>1</v>
      </c>
      <c r="U41" s="3">
        <v>1</v>
      </c>
      <c r="V41" s="3">
        <v>1</v>
      </c>
      <c r="W41" s="3">
        <v>1</v>
      </c>
      <c r="X41" s="3">
        <v>1</v>
      </c>
      <c r="Y41" s="3">
        <v>1</v>
      </c>
      <c r="Z41" s="3">
        <v>1</v>
      </c>
      <c r="AA41" s="3">
        <v>1</v>
      </c>
      <c r="AB41" s="3">
        <v>1</v>
      </c>
      <c r="AC41" s="3">
        <v>1</v>
      </c>
      <c r="AD41" s="3">
        <v>1</v>
      </c>
      <c r="AE41" s="3">
        <v>1</v>
      </c>
      <c r="AF41" s="3">
        <v>1</v>
      </c>
      <c r="AG41" s="3">
        <v>1</v>
      </c>
      <c r="AH41" s="3">
        <v>1</v>
      </c>
      <c r="AI41" s="3">
        <v>1</v>
      </c>
      <c r="AJ41" s="3">
        <v>1</v>
      </c>
      <c r="AK41" s="3">
        <v>1</v>
      </c>
      <c r="AL41" s="3">
        <v>1</v>
      </c>
      <c r="AM41" s="3">
        <v>1</v>
      </c>
      <c r="AN41" s="3">
        <v>1</v>
      </c>
      <c r="AO41" s="3">
        <v>1</v>
      </c>
      <c r="AP41" s="3">
        <v>1</v>
      </c>
      <c r="AQ41" s="3">
        <v>1</v>
      </c>
      <c r="AR41" s="3">
        <v>1</v>
      </c>
      <c r="AS41" s="3">
        <v>1</v>
      </c>
      <c r="AT41" s="3">
        <v>1</v>
      </c>
      <c r="AU41" s="3">
        <v>1</v>
      </c>
      <c r="AV41" s="3">
        <v>1</v>
      </c>
      <c r="AW41" s="3">
        <v>1</v>
      </c>
      <c r="AX41" s="3">
        <v>1</v>
      </c>
      <c r="AY41" s="3">
        <v>1</v>
      </c>
      <c r="AZ41" s="3">
        <v>1</v>
      </c>
      <c r="BA41" s="3">
        <v>1</v>
      </c>
      <c r="BB41" s="3">
        <v>1</v>
      </c>
      <c r="BC41" s="3">
        <v>1</v>
      </c>
    </row>
    <row r="42" ht="14" customHeight="true">
      <c r="A42" t="s">
        <v>210</v>
      </c>
      <c r="B42" s="3">
        <v>1</v>
      </c>
      <c r="C42" s="3">
        <v>1</v>
      </c>
      <c r="D42" s="3">
        <v>1</v>
      </c>
      <c r="E42" s="3">
        <v>1</v>
      </c>
      <c r="F42" s="3">
        <v>1</v>
      </c>
      <c r="G42" s="3">
        <v>1</v>
      </c>
      <c r="H42" s="3">
        <v>1</v>
      </c>
      <c r="I42" s="3">
        <v>1</v>
      </c>
      <c r="J42" s="3">
        <v>1</v>
      </c>
      <c r="K42" s="3">
        <v>1</v>
      </c>
      <c r="L42" s="3">
        <v>1</v>
      </c>
      <c r="M42" s="3">
        <v>1</v>
      </c>
      <c r="N42" s="3">
        <v>1</v>
      </c>
      <c r="O42" s="3">
        <v>1</v>
      </c>
      <c r="P42" s="3">
        <v>1</v>
      </c>
      <c r="Q42" s="3">
        <v>1</v>
      </c>
      <c r="R42" s="3">
        <v>1</v>
      </c>
      <c r="S42" s="3">
        <v>1</v>
      </c>
      <c r="T42" s="3">
        <v>1</v>
      </c>
      <c r="U42" s="3">
        <v>1</v>
      </c>
      <c r="V42" s="3">
        <v>1</v>
      </c>
      <c r="W42" s="3">
        <v>1</v>
      </c>
      <c r="X42" s="3">
        <v>1</v>
      </c>
      <c r="Y42" s="3">
        <v>1</v>
      </c>
      <c r="Z42" s="3">
        <v>1</v>
      </c>
      <c r="AA42" s="3">
        <v>1</v>
      </c>
      <c r="AB42" s="3">
        <v>1</v>
      </c>
      <c r="AC42" s="3">
        <v>1</v>
      </c>
      <c r="AD42" s="3">
        <v>1</v>
      </c>
      <c r="AE42" s="3">
        <v>1</v>
      </c>
      <c r="AF42" s="3">
        <v>1</v>
      </c>
      <c r="AG42" s="3">
        <v>1</v>
      </c>
      <c r="AH42" s="3">
        <v>1</v>
      </c>
      <c r="AI42" s="3">
        <v>1</v>
      </c>
      <c r="AJ42" s="3">
        <v>1</v>
      </c>
      <c r="AK42" s="3">
        <v>1</v>
      </c>
      <c r="AL42" s="3">
        <v>1</v>
      </c>
      <c r="AM42" s="3">
        <v>1</v>
      </c>
      <c r="AN42" s="3">
        <v>1</v>
      </c>
      <c r="AO42" s="3">
        <v>1</v>
      </c>
      <c r="AP42" s="3">
        <v>1</v>
      </c>
      <c r="AQ42" s="3">
        <v>1</v>
      </c>
      <c r="AR42" s="3">
        <v>1</v>
      </c>
      <c r="AS42" s="3">
        <v>1</v>
      </c>
      <c r="AT42" s="3">
        <v>1</v>
      </c>
      <c r="AU42" s="3">
        <v>1</v>
      </c>
      <c r="AV42" s="3">
        <v>1</v>
      </c>
      <c r="AW42" s="3">
        <v>1</v>
      </c>
      <c r="AX42" s="3">
        <v>1</v>
      </c>
      <c r="AY42" s="3">
        <v>1</v>
      </c>
      <c r="AZ42" s="3">
        <v>1</v>
      </c>
      <c r="BA42" s="3">
        <v>1</v>
      </c>
      <c r="BB42" s="3">
        <v>1</v>
      </c>
      <c r="BC42" s="3">
        <v>1</v>
      </c>
    </row>
    <row r="43" ht="14" customHeight="true">
      <c r="A43" t="s">
        <v>211</v>
      </c>
      <c r="B43" s="3">
        <v>1</v>
      </c>
      <c r="C43" s="3">
        <v>1</v>
      </c>
      <c r="D43" s="3">
        <v>1</v>
      </c>
      <c r="E43" s="3">
        <v>1</v>
      </c>
      <c r="F43" s="3">
        <v>1</v>
      </c>
      <c r="G43" s="3">
        <v>1</v>
      </c>
      <c r="H43" s="3">
        <v>1</v>
      </c>
      <c r="I43" s="3">
        <v>1</v>
      </c>
      <c r="J43" s="3">
        <v>1</v>
      </c>
      <c r="K43" s="3">
        <v>1</v>
      </c>
      <c r="L43" s="3">
        <v>1</v>
      </c>
      <c r="M43" s="3">
        <v>1</v>
      </c>
      <c r="N43" s="3">
        <v>1</v>
      </c>
      <c r="O43" s="3">
        <v>1</v>
      </c>
      <c r="P43" s="3">
        <v>1</v>
      </c>
      <c r="Q43" s="3">
        <v>1</v>
      </c>
      <c r="R43" s="3">
        <v>1</v>
      </c>
      <c r="S43" s="3">
        <v>1</v>
      </c>
      <c r="T43" s="3">
        <v>1</v>
      </c>
      <c r="U43" s="3">
        <v>1</v>
      </c>
      <c r="V43" s="3">
        <v>1</v>
      </c>
      <c r="W43" s="3">
        <v>1</v>
      </c>
      <c r="X43" s="3">
        <v>1</v>
      </c>
      <c r="Y43" s="3">
        <v>1</v>
      </c>
      <c r="Z43" s="3">
        <v>1</v>
      </c>
      <c r="AA43" s="3">
        <v>1</v>
      </c>
      <c r="AB43" s="3">
        <v>1</v>
      </c>
      <c r="AC43" s="3">
        <v>1</v>
      </c>
      <c r="AD43" s="3">
        <v>1</v>
      </c>
      <c r="AE43" s="3">
        <v>1</v>
      </c>
      <c r="AF43" s="3">
        <v>1</v>
      </c>
      <c r="AG43" s="3">
        <v>1</v>
      </c>
      <c r="AH43" s="3">
        <v>1</v>
      </c>
      <c r="AI43" s="3">
        <v>1</v>
      </c>
      <c r="AJ43" s="3">
        <v>1</v>
      </c>
      <c r="AK43" s="3">
        <v>1</v>
      </c>
      <c r="AL43" s="3">
        <v>1</v>
      </c>
      <c r="AM43" s="3">
        <v>1</v>
      </c>
      <c r="AN43" s="3">
        <v>1</v>
      </c>
      <c r="AO43" s="3">
        <v>1</v>
      </c>
      <c r="AP43" s="3">
        <v>1</v>
      </c>
      <c r="AQ43" s="3">
        <v>1</v>
      </c>
      <c r="AR43" s="3">
        <v>1</v>
      </c>
      <c r="AS43" s="3">
        <v>1</v>
      </c>
      <c r="AT43" s="3">
        <v>1</v>
      </c>
      <c r="AU43" s="3">
        <v>1</v>
      </c>
      <c r="AV43" s="3">
        <v>1</v>
      </c>
      <c r="AW43" s="3">
        <v>1</v>
      </c>
      <c r="AX43" s="3">
        <v>1</v>
      </c>
      <c r="AY43" s="3">
        <v>1</v>
      </c>
      <c r="AZ43" s="3">
        <v>1</v>
      </c>
      <c r="BA43" s="3">
        <v>1</v>
      </c>
      <c r="BB43" s="3">
        <v>1</v>
      </c>
      <c r="BC43" s="3">
        <v>1</v>
      </c>
    </row>
    <row r="44" ht="14" customHeight="true">
      <c r="A44" t="s">
        <v>212</v>
      </c>
      <c r="B44" s="3">
        <v>1</v>
      </c>
      <c r="C44" s="3">
        <v>1</v>
      </c>
      <c r="D44" s="3">
        <v>1</v>
      </c>
      <c r="E44" s="3">
        <v>1</v>
      </c>
      <c r="F44" s="3">
        <v>1</v>
      </c>
      <c r="G44" s="3">
        <v>1</v>
      </c>
      <c r="H44" s="3">
        <v>1</v>
      </c>
      <c r="I44" s="3">
        <v>1</v>
      </c>
      <c r="J44" s="3">
        <v>1</v>
      </c>
      <c r="K44" s="3">
        <v>1</v>
      </c>
      <c r="L44" s="3">
        <v>1</v>
      </c>
      <c r="M44" s="3">
        <v>1</v>
      </c>
      <c r="N44" s="3">
        <v>1</v>
      </c>
      <c r="O44" s="3">
        <v>1</v>
      </c>
      <c r="P44" s="3">
        <v>1</v>
      </c>
      <c r="Q44" s="3">
        <v>1</v>
      </c>
      <c r="R44" s="3">
        <v>1</v>
      </c>
      <c r="S44" s="3">
        <v>1</v>
      </c>
      <c r="T44" s="3">
        <v>1</v>
      </c>
      <c r="U44" s="3">
        <v>1</v>
      </c>
      <c r="V44" s="3">
        <v>1</v>
      </c>
      <c r="W44" s="3">
        <v>1</v>
      </c>
      <c r="X44" s="3">
        <v>1</v>
      </c>
      <c r="Y44" s="3">
        <v>1</v>
      </c>
      <c r="Z44" s="3">
        <v>1</v>
      </c>
      <c r="AA44" s="3">
        <v>1</v>
      </c>
      <c r="AB44" s="3">
        <v>1</v>
      </c>
      <c r="AC44" s="3">
        <v>1</v>
      </c>
      <c r="AD44" s="3">
        <v>1</v>
      </c>
      <c r="AE44" s="3">
        <v>1</v>
      </c>
      <c r="AF44" s="3">
        <v>1</v>
      </c>
      <c r="AG44" s="3">
        <v>1</v>
      </c>
      <c r="AH44" s="3">
        <v>1</v>
      </c>
      <c r="AI44" s="3">
        <v>1</v>
      </c>
      <c r="AJ44" s="3">
        <v>1</v>
      </c>
      <c r="AK44" s="3">
        <v>1</v>
      </c>
      <c r="AL44" s="3">
        <v>1</v>
      </c>
      <c r="AM44" s="3">
        <v>1</v>
      </c>
      <c r="AN44" s="3">
        <v>1</v>
      </c>
      <c r="AO44" s="3">
        <v>1</v>
      </c>
      <c r="AP44" s="3">
        <v>1</v>
      </c>
      <c r="AQ44" s="3">
        <v>1</v>
      </c>
      <c r="AR44" s="3">
        <v>1</v>
      </c>
      <c r="AS44" s="3">
        <v>1</v>
      </c>
      <c r="AT44" s="3">
        <v>1</v>
      </c>
      <c r="AU44" s="3">
        <v>1</v>
      </c>
      <c r="AV44" s="3">
        <v>1</v>
      </c>
      <c r="AW44" s="3">
        <v>1</v>
      </c>
      <c r="AX44" s="3">
        <v>1</v>
      </c>
      <c r="AY44" s="3">
        <v>1</v>
      </c>
      <c r="AZ44" s="3">
        <v>1</v>
      </c>
      <c r="BA44" s="3">
        <v>1</v>
      </c>
      <c r="BB44" s="3">
        <v>1</v>
      </c>
      <c r="BC44" s="3">
        <v>1</v>
      </c>
    </row>
    <row r="45" ht="14" customHeight="true">
      <c r="A45" t="s">
        <v>213</v>
      </c>
      <c r="B45" s="3">
        <v>1</v>
      </c>
      <c r="C45" s="3">
        <v>1</v>
      </c>
      <c r="D45" s="3">
        <v>1</v>
      </c>
      <c r="E45" s="3">
        <v>1</v>
      </c>
      <c r="F45" s="3">
        <v>1</v>
      </c>
      <c r="G45" s="3">
        <v>1</v>
      </c>
      <c r="H45" s="3">
        <v>1</v>
      </c>
      <c r="I45" s="3">
        <v>1</v>
      </c>
      <c r="J45" s="3">
        <v>1</v>
      </c>
      <c r="K45" s="3">
        <v>1</v>
      </c>
      <c r="L45" s="3">
        <v>1</v>
      </c>
      <c r="M45" s="3">
        <v>1</v>
      </c>
      <c r="N45" s="3">
        <v>1</v>
      </c>
      <c r="O45" s="3">
        <v>1</v>
      </c>
      <c r="P45" s="3">
        <v>1</v>
      </c>
      <c r="Q45" s="3">
        <v>1</v>
      </c>
      <c r="R45" s="3">
        <v>1</v>
      </c>
      <c r="S45" s="3">
        <v>1</v>
      </c>
      <c r="T45" s="3">
        <v>1</v>
      </c>
      <c r="U45" s="3">
        <v>1</v>
      </c>
      <c r="V45" s="3">
        <v>1</v>
      </c>
      <c r="W45" s="3">
        <v>1</v>
      </c>
      <c r="X45" s="3">
        <v>1</v>
      </c>
      <c r="Y45" s="3">
        <v>1</v>
      </c>
      <c r="Z45" s="3">
        <v>1</v>
      </c>
      <c r="AA45" s="3">
        <v>1</v>
      </c>
      <c r="AB45" s="3">
        <v>1</v>
      </c>
      <c r="AC45" s="3">
        <v>1</v>
      </c>
      <c r="AD45" s="3">
        <v>1</v>
      </c>
      <c r="AE45" s="3">
        <v>1</v>
      </c>
      <c r="AF45" s="3">
        <v>1</v>
      </c>
      <c r="AG45" s="3">
        <v>1</v>
      </c>
      <c r="AH45" s="3">
        <v>1</v>
      </c>
      <c r="AI45" s="3">
        <v>1</v>
      </c>
      <c r="AJ45" s="3">
        <v>1</v>
      </c>
      <c r="AK45" s="3">
        <v>1</v>
      </c>
      <c r="AL45" s="3">
        <v>1</v>
      </c>
      <c r="AM45" s="3">
        <v>1</v>
      </c>
      <c r="AN45" s="3">
        <v>1</v>
      </c>
      <c r="AO45" s="3">
        <v>1</v>
      </c>
      <c r="AP45" s="3">
        <v>1</v>
      </c>
      <c r="AQ45" s="3">
        <v>1</v>
      </c>
      <c r="AR45" s="3">
        <v>1</v>
      </c>
      <c r="AS45" s="3">
        <v>1</v>
      </c>
      <c r="AT45" s="3">
        <v>1</v>
      </c>
      <c r="AU45" s="3">
        <v>1</v>
      </c>
      <c r="AV45" s="3">
        <v>1</v>
      </c>
      <c r="AW45" s="3">
        <v>1</v>
      </c>
      <c r="AX45" s="3">
        <v>1</v>
      </c>
      <c r="AY45" s="3">
        <v>1</v>
      </c>
      <c r="AZ45" s="3">
        <v>1</v>
      </c>
      <c r="BA45" s="3">
        <v>1</v>
      </c>
      <c r="BB45" s="3">
        <v>1</v>
      </c>
      <c r="BC45" s="3">
        <v>1</v>
      </c>
    </row>
    <row r="46" ht="14" customHeight="true">
      <c r="A46" t="s">
        <v>214</v>
      </c>
      <c r="B46" s="3">
        <v>1</v>
      </c>
      <c r="C46" s="3">
        <v>1</v>
      </c>
      <c r="D46" s="3">
        <v>1</v>
      </c>
      <c r="E46" s="3">
        <v>1</v>
      </c>
      <c r="F46" s="3">
        <v>1</v>
      </c>
      <c r="G46" s="3">
        <v>1</v>
      </c>
      <c r="H46" s="3">
        <v>1</v>
      </c>
      <c r="I46" s="3">
        <v>1</v>
      </c>
      <c r="J46" s="3">
        <v>1</v>
      </c>
      <c r="K46" s="3">
        <v>1</v>
      </c>
      <c r="L46" s="3">
        <v>1</v>
      </c>
      <c r="M46" s="3">
        <v>1</v>
      </c>
      <c r="N46" s="3">
        <v>1</v>
      </c>
      <c r="O46" s="3">
        <v>1</v>
      </c>
      <c r="P46" s="3">
        <v>1</v>
      </c>
      <c r="Q46" s="3">
        <v>1</v>
      </c>
      <c r="R46" s="3">
        <v>1</v>
      </c>
      <c r="S46" s="3">
        <v>1</v>
      </c>
      <c r="T46" s="3">
        <v>1</v>
      </c>
      <c r="U46" s="3">
        <v>1</v>
      </c>
      <c r="V46" s="3">
        <v>1</v>
      </c>
      <c r="W46" s="3">
        <v>1</v>
      </c>
      <c r="X46" s="3">
        <v>1</v>
      </c>
      <c r="Y46" s="3">
        <v>1</v>
      </c>
      <c r="Z46" s="3">
        <v>1</v>
      </c>
      <c r="AA46" s="3">
        <v>1</v>
      </c>
      <c r="AB46" s="3">
        <v>1</v>
      </c>
      <c r="AC46" s="3">
        <v>1</v>
      </c>
      <c r="AD46" s="3">
        <v>1</v>
      </c>
      <c r="AE46" s="3">
        <v>1</v>
      </c>
      <c r="AF46" s="3">
        <v>1</v>
      </c>
      <c r="AG46" s="3">
        <v>1</v>
      </c>
      <c r="AH46" s="3">
        <v>1</v>
      </c>
      <c r="AI46" s="3">
        <v>1</v>
      </c>
      <c r="AJ46" s="3">
        <v>1</v>
      </c>
      <c r="AK46" s="3">
        <v>1</v>
      </c>
      <c r="AL46" s="3">
        <v>1</v>
      </c>
      <c r="AM46" s="3">
        <v>1</v>
      </c>
      <c r="AN46" s="3">
        <v>1</v>
      </c>
      <c r="AO46" s="3">
        <v>1</v>
      </c>
      <c r="AP46" s="3">
        <v>1</v>
      </c>
      <c r="AQ46" s="3">
        <v>1</v>
      </c>
      <c r="AR46" s="3">
        <v>1</v>
      </c>
      <c r="AS46" s="3">
        <v>1</v>
      </c>
      <c r="AT46" s="3">
        <v>1</v>
      </c>
      <c r="AU46" s="3">
        <v>1</v>
      </c>
      <c r="AV46" s="3">
        <v>1</v>
      </c>
      <c r="AW46" s="3">
        <v>1</v>
      </c>
      <c r="AX46" s="3">
        <v>1</v>
      </c>
      <c r="AY46" s="3">
        <v>1</v>
      </c>
      <c r="AZ46" s="3">
        <v>1</v>
      </c>
      <c r="BA46" s="3">
        <v>1</v>
      </c>
      <c r="BB46" s="3">
        <v>1</v>
      </c>
      <c r="BC46" s="3">
        <v>1</v>
      </c>
    </row>
    <row r="47" ht="14" customHeight="true">
      <c r="A47" t="s">
        <v>304</v>
      </c>
      <c r="B47" s="3">
        <v>1</v>
      </c>
      <c r="C47" s="3">
        <v>1</v>
      </c>
      <c r="D47" s="3">
        <v>1</v>
      </c>
      <c r="E47" s="3">
        <v>1</v>
      </c>
      <c r="F47" s="3">
        <v>1</v>
      </c>
      <c r="G47" s="3">
        <v>1</v>
      </c>
      <c r="H47" s="3">
        <v>1</v>
      </c>
      <c r="I47" s="3">
        <v>1</v>
      </c>
      <c r="J47" s="3">
        <v>1</v>
      </c>
      <c r="K47" s="3">
        <v>1</v>
      </c>
      <c r="L47" s="3">
        <v>1</v>
      </c>
      <c r="M47" s="3">
        <v>1</v>
      </c>
      <c r="N47" s="3">
        <v>1</v>
      </c>
      <c r="O47" s="3">
        <v>1</v>
      </c>
      <c r="P47" s="3">
        <v>1</v>
      </c>
      <c r="Q47" s="3">
        <v>1</v>
      </c>
      <c r="R47" s="3">
        <v>1</v>
      </c>
      <c r="S47" s="3">
        <v>1</v>
      </c>
      <c r="T47" s="3">
        <v>1</v>
      </c>
      <c r="U47" s="3">
        <v>1</v>
      </c>
      <c r="V47" s="3">
        <v>1</v>
      </c>
      <c r="W47" s="3">
        <v>1</v>
      </c>
      <c r="X47" s="3">
        <v>1</v>
      </c>
      <c r="Y47" s="3">
        <v>1</v>
      </c>
      <c r="Z47" s="3">
        <v>1</v>
      </c>
      <c r="AA47" s="3">
        <v>1</v>
      </c>
      <c r="AB47" s="3">
        <v>1</v>
      </c>
      <c r="AC47" s="3">
        <v>1</v>
      </c>
      <c r="AD47" s="3">
        <v>1</v>
      </c>
      <c r="AE47" s="3">
        <v>1</v>
      </c>
      <c r="AF47" s="3">
        <v>1</v>
      </c>
      <c r="AG47" s="3">
        <v>1</v>
      </c>
      <c r="AH47" s="3">
        <v>1</v>
      </c>
      <c r="AI47" s="3">
        <v>1</v>
      </c>
      <c r="AJ47" s="3">
        <v>1</v>
      </c>
      <c r="AK47" s="3">
        <v>1</v>
      </c>
      <c r="AL47" s="3">
        <v>1</v>
      </c>
      <c r="AM47" s="3">
        <v>1</v>
      </c>
      <c r="AN47" s="3">
        <v>1</v>
      </c>
      <c r="AO47" s="3">
        <v>1</v>
      </c>
      <c r="AP47" s="3">
        <v>1</v>
      </c>
      <c r="AQ47" s="3">
        <v>1</v>
      </c>
      <c r="AR47" s="3">
        <v>1</v>
      </c>
      <c r="AS47" s="3">
        <v>1</v>
      </c>
      <c r="AT47" s="3">
        <v>1</v>
      </c>
      <c r="AU47" s="3">
        <v>1</v>
      </c>
      <c r="AV47" s="3">
        <v>1</v>
      </c>
      <c r="AW47" s="3">
        <v>1</v>
      </c>
      <c r="AX47" s="3">
        <v>1</v>
      </c>
      <c r="AY47" s="3">
        <v>1</v>
      </c>
      <c r="AZ47" s="3">
        <v>1</v>
      </c>
      <c r="BA47" s="3">
        <v>1</v>
      </c>
      <c r="BB47" s="3">
        <v>1</v>
      </c>
      <c r="BC47" s="3">
        <v>1</v>
      </c>
    </row>
    <row r="48" ht="14" customHeight="true">
      <c r="A48" t="s">
        <v>215</v>
      </c>
      <c r="B48" s="3">
        <v>1</v>
      </c>
      <c r="C48" s="3">
        <v>1</v>
      </c>
      <c r="D48" s="3">
        <v>1</v>
      </c>
      <c r="E48" s="3">
        <v>1</v>
      </c>
      <c r="F48" s="3">
        <v>1</v>
      </c>
      <c r="G48" s="3">
        <v>1</v>
      </c>
      <c r="H48" s="3">
        <v>1</v>
      </c>
      <c r="I48" s="3">
        <v>1</v>
      </c>
      <c r="J48" s="3">
        <v>1</v>
      </c>
      <c r="K48" s="3">
        <v>1</v>
      </c>
      <c r="L48" s="3">
        <v>1</v>
      </c>
      <c r="M48" s="3">
        <v>1</v>
      </c>
      <c r="N48" s="3">
        <v>1</v>
      </c>
      <c r="O48" s="3">
        <v>1</v>
      </c>
      <c r="P48" s="3">
        <v>1</v>
      </c>
      <c r="Q48" s="3">
        <v>1</v>
      </c>
      <c r="R48" s="3">
        <v>1</v>
      </c>
      <c r="S48" s="3">
        <v>1</v>
      </c>
      <c r="T48" s="3">
        <v>1</v>
      </c>
      <c r="U48" s="3">
        <v>1</v>
      </c>
      <c r="V48" s="3">
        <v>1</v>
      </c>
      <c r="W48" s="3">
        <v>1</v>
      </c>
      <c r="X48" s="3">
        <v>1</v>
      </c>
      <c r="Y48" s="3">
        <v>1</v>
      </c>
      <c r="Z48" s="3">
        <v>1</v>
      </c>
      <c r="AA48" s="3">
        <v>1</v>
      </c>
      <c r="AB48" s="3">
        <v>1</v>
      </c>
      <c r="AC48" s="3">
        <v>1</v>
      </c>
      <c r="AD48" s="3">
        <v>1</v>
      </c>
      <c r="AE48" s="3">
        <v>1</v>
      </c>
      <c r="AF48" s="3">
        <v>1</v>
      </c>
      <c r="AG48" s="3">
        <v>1</v>
      </c>
      <c r="AH48" s="3">
        <v>1</v>
      </c>
      <c r="AI48" s="3">
        <v>1</v>
      </c>
      <c r="AJ48" s="3">
        <v>1</v>
      </c>
      <c r="AK48" s="3">
        <v>1</v>
      </c>
      <c r="AL48" s="3">
        <v>1</v>
      </c>
      <c r="AM48" s="3">
        <v>1</v>
      </c>
      <c r="AN48" s="3">
        <v>1</v>
      </c>
      <c r="AO48" s="3">
        <v>1</v>
      </c>
      <c r="AP48" s="3">
        <v>1</v>
      </c>
      <c r="AQ48" s="3">
        <v>1</v>
      </c>
      <c r="AR48" s="3">
        <v>1</v>
      </c>
      <c r="AS48" s="3">
        <v>1</v>
      </c>
      <c r="AT48" s="3">
        <v>1</v>
      </c>
      <c r="AU48" s="3">
        <v>1</v>
      </c>
      <c r="AV48" s="3">
        <v>1</v>
      </c>
      <c r="AW48" s="3">
        <v>1</v>
      </c>
      <c r="AX48" s="3">
        <v>1</v>
      </c>
      <c r="AY48" s="3">
        <v>1</v>
      </c>
      <c r="AZ48" s="3">
        <v>1</v>
      </c>
      <c r="BA48" s="3">
        <v>1</v>
      </c>
      <c r="BB48" s="3">
        <v>1</v>
      </c>
      <c r="BC48" s="3">
        <v>1</v>
      </c>
    </row>
    <row r="49" ht="14" customHeight="true">
      <c r="A49" t="s">
        <v>216</v>
      </c>
      <c r="B49" s="3">
        <v>1</v>
      </c>
      <c r="C49" s="3">
        <v>1</v>
      </c>
      <c r="D49" s="3">
        <v>1</v>
      </c>
      <c r="E49" s="3">
        <v>1</v>
      </c>
      <c r="F49" s="3">
        <v>1</v>
      </c>
      <c r="G49" s="3">
        <v>1</v>
      </c>
      <c r="H49" s="3">
        <v>1</v>
      </c>
      <c r="I49" s="3">
        <v>1</v>
      </c>
      <c r="J49" s="3">
        <v>1</v>
      </c>
      <c r="K49" s="3">
        <v>1</v>
      </c>
      <c r="L49" s="3">
        <v>1</v>
      </c>
      <c r="M49" s="3">
        <v>1</v>
      </c>
      <c r="N49" s="3">
        <v>1</v>
      </c>
      <c r="O49" s="3">
        <v>1</v>
      </c>
      <c r="P49" s="3">
        <v>1</v>
      </c>
      <c r="Q49" s="3">
        <v>1</v>
      </c>
      <c r="R49" s="3">
        <v>1</v>
      </c>
      <c r="S49" s="3">
        <v>1</v>
      </c>
      <c r="T49" s="3">
        <v>1</v>
      </c>
      <c r="U49" s="3">
        <v>1</v>
      </c>
      <c r="V49" s="3">
        <v>1</v>
      </c>
      <c r="W49" s="3">
        <v>1</v>
      </c>
      <c r="X49" s="3">
        <v>1</v>
      </c>
      <c r="Y49" s="3">
        <v>1</v>
      </c>
      <c r="Z49" s="3">
        <v>1</v>
      </c>
      <c r="AA49" s="3">
        <v>1</v>
      </c>
      <c r="AB49" s="3">
        <v>1</v>
      </c>
      <c r="AC49" s="3">
        <v>1</v>
      </c>
      <c r="AD49" s="3">
        <v>1</v>
      </c>
      <c r="AE49" s="3">
        <v>1</v>
      </c>
      <c r="AF49" s="3">
        <v>1</v>
      </c>
      <c r="AG49" s="3">
        <v>1</v>
      </c>
      <c r="AH49" s="3">
        <v>1</v>
      </c>
      <c r="AI49" s="3">
        <v>1</v>
      </c>
      <c r="AJ49" s="3">
        <v>1</v>
      </c>
      <c r="AK49" s="3">
        <v>1</v>
      </c>
      <c r="AL49" s="3">
        <v>1</v>
      </c>
      <c r="AM49" s="3">
        <v>1</v>
      </c>
      <c r="AN49" s="3">
        <v>1</v>
      </c>
      <c r="AO49" s="3">
        <v>1</v>
      </c>
      <c r="AP49" s="3">
        <v>1</v>
      </c>
      <c r="AQ49" s="3">
        <v>1</v>
      </c>
      <c r="AR49" s="3">
        <v>1</v>
      </c>
      <c r="AS49" s="3">
        <v>1</v>
      </c>
      <c r="AT49" s="3">
        <v>1</v>
      </c>
      <c r="AU49" s="3">
        <v>1</v>
      </c>
      <c r="AV49" s="3">
        <v>1</v>
      </c>
      <c r="AW49" s="3">
        <v>1</v>
      </c>
      <c r="AX49" s="3">
        <v>1</v>
      </c>
      <c r="AY49" s="3">
        <v>1</v>
      </c>
      <c r="AZ49" s="3">
        <v>1</v>
      </c>
      <c r="BA49" s="3">
        <v>1</v>
      </c>
      <c r="BB49" s="3">
        <v>1</v>
      </c>
      <c r="BC49" s="3">
        <v>1</v>
      </c>
    </row>
    <row r="50" ht="14" customHeight="true">
      <c r="A50" t="s">
        <v>217</v>
      </c>
      <c r="B50" s="3">
        <v>1</v>
      </c>
      <c r="C50" s="3">
        <v>1</v>
      </c>
      <c r="D50" s="3">
        <v>1</v>
      </c>
      <c r="E50" s="3">
        <v>1</v>
      </c>
      <c r="F50" s="3">
        <v>1</v>
      </c>
      <c r="G50" s="3">
        <v>1</v>
      </c>
      <c r="H50" s="3">
        <v>1</v>
      </c>
      <c r="I50" s="3">
        <v>1</v>
      </c>
      <c r="J50" s="3">
        <v>1</v>
      </c>
      <c r="K50" s="3">
        <v>1</v>
      </c>
      <c r="L50" s="3">
        <v>1</v>
      </c>
      <c r="M50" s="3">
        <v>1</v>
      </c>
      <c r="N50" s="3">
        <v>1</v>
      </c>
      <c r="O50" s="3">
        <v>1</v>
      </c>
      <c r="P50" s="3">
        <v>1</v>
      </c>
      <c r="Q50" s="3">
        <v>1</v>
      </c>
      <c r="R50" s="3">
        <v>1</v>
      </c>
      <c r="S50" s="3">
        <v>1</v>
      </c>
      <c r="T50" s="3">
        <v>1</v>
      </c>
      <c r="U50" s="3">
        <v>1</v>
      </c>
      <c r="V50" s="3">
        <v>1</v>
      </c>
      <c r="W50" s="3">
        <v>1</v>
      </c>
      <c r="X50" s="3">
        <v>1</v>
      </c>
      <c r="Y50" s="3">
        <v>1</v>
      </c>
      <c r="Z50" s="3">
        <v>1</v>
      </c>
      <c r="AA50" s="3">
        <v>1</v>
      </c>
      <c r="AB50" s="3">
        <v>1</v>
      </c>
      <c r="AC50" s="3">
        <v>1</v>
      </c>
      <c r="AD50" s="3">
        <v>1</v>
      </c>
      <c r="AE50" s="3">
        <v>1</v>
      </c>
      <c r="AF50" s="3">
        <v>1</v>
      </c>
      <c r="AG50" s="3">
        <v>1</v>
      </c>
      <c r="AH50" s="3">
        <v>1</v>
      </c>
      <c r="AI50" s="3">
        <v>1</v>
      </c>
      <c r="AJ50" s="3">
        <v>1</v>
      </c>
      <c r="AK50" s="3">
        <v>1</v>
      </c>
      <c r="AL50" s="3">
        <v>1</v>
      </c>
      <c r="AM50" s="3">
        <v>1</v>
      </c>
      <c r="AN50" s="3">
        <v>1</v>
      </c>
      <c r="AO50" s="3">
        <v>1</v>
      </c>
      <c r="AP50" s="3">
        <v>1</v>
      </c>
      <c r="AQ50" s="3">
        <v>1</v>
      </c>
      <c r="AR50" s="3">
        <v>1</v>
      </c>
      <c r="AS50" s="3">
        <v>1</v>
      </c>
      <c r="AT50" s="3">
        <v>1</v>
      </c>
      <c r="AU50" s="3">
        <v>1</v>
      </c>
      <c r="AV50" s="3">
        <v>1</v>
      </c>
      <c r="AW50" s="3">
        <v>1</v>
      </c>
      <c r="AX50" s="3">
        <v>1</v>
      </c>
      <c r="AY50" s="3">
        <v>1</v>
      </c>
      <c r="AZ50" s="3">
        <v>1</v>
      </c>
      <c r="BA50" s="3">
        <v>1</v>
      </c>
      <c r="BB50" s="3">
        <v>1</v>
      </c>
      <c r="BC50" s="3">
        <v>1</v>
      </c>
    </row>
    <row r="51" ht="14" customHeight="true">
      <c r="A51" t="s">
        <v>218</v>
      </c>
      <c r="B51" s="3">
        <v>1</v>
      </c>
      <c r="C51" s="3">
        <v>1</v>
      </c>
      <c r="D51" s="3">
        <v>1</v>
      </c>
      <c r="E51" s="3">
        <v>1</v>
      </c>
      <c r="F51" s="3">
        <v>1</v>
      </c>
      <c r="G51" s="3">
        <v>1</v>
      </c>
      <c r="H51" s="3">
        <v>1</v>
      </c>
      <c r="I51" s="3">
        <v>1</v>
      </c>
      <c r="J51" s="3">
        <v>1</v>
      </c>
      <c r="K51" s="3">
        <v>1</v>
      </c>
      <c r="L51" s="3">
        <v>1</v>
      </c>
      <c r="M51" s="3">
        <v>1</v>
      </c>
      <c r="N51" s="3">
        <v>1</v>
      </c>
      <c r="O51" s="3">
        <v>1</v>
      </c>
      <c r="P51" s="3">
        <v>1</v>
      </c>
      <c r="Q51" s="3">
        <v>1</v>
      </c>
      <c r="R51" s="3">
        <v>1</v>
      </c>
      <c r="S51" s="3">
        <v>1</v>
      </c>
      <c r="T51" s="3">
        <v>1</v>
      </c>
      <c r="U51" s="3">
        <v>1</v>
      </c>
      <c r="V51" s="3">
        <v>1</v>
      </c>
      <c r="W51" s="3">
        <v>1</v>
      </c>
      <c r="X51" s="3">
        <v>1</v>
      </c>
      <c r="Y51" s="3">
        <v>1</v>
      </c>
      <c r="Z51" s="3">
        <v>1</v>
      </c>
      <c r="AA51" s="3">
        <v>1</v>
      </c>
      <c r="AB51" s="3">
        <v>1</v>
      </c>
      <c r="AC51" s="3">
        <v>1</v>
      </c>
      <c r="AD51" s="3">
        <v>1</v>
      </c>
      <c r="AE51" s="3">
        <v>1</v>
      </c>
      <c r="AF51" s="3">
        <v>1</v>
      </c>
      <c r="AG51" s="3">
        <v>1</v>
      </c>
      <c r="AH51" s="3">
        <v>1</v>
      </c>
      <c r="AI51" s="3">
        <v>1</v>
      </c>
      <c r="AJ51" s="3">
        <v>1</v>
      </c>
      <c r="AK51" s="3">
        <v>1</v>
      </c>
      <c r="AL51" s="3">
        <v>1</v>
      </c>
      <c r="AM51" s="3">
        <v>1</v>
      </c>
      <c r="AN51" s="3">
        <v>1</v>
      </c>
      <c r="AO51" s="3">
        <v>1</v>
      </c>
      <c r="AP51" s="3">
        <v>1</v>
      </c>
      <c r="AQ51" s="3">
        <v>1</v>
      </c>
      <c r="AR51" s="3">
        <v>1</v>
      </c>
      <c r="AS51" s="3">
        <v>1</v>
      </c>
      <c r="AT51" s="3">
        <v>1</v>
      </c>
      <c r="AU51" s="3">
        <v>1</v>
      </c>
      <c r="AV51" s="3">
        <v>1</v>
      </c>
      <c r="AW51" s="3">
        <v>1</v>
      </c>
      <c r="AX51" s="3">
        <v>1</v>
      </c>
      <c r="AY51" s="3">
        <v>1</v>
      </c>
      <c r="AZ51" s="3">
        <v>1</v>
      </c>
      <c r="BA51" s="3">
        <v>1</v>
      </c>
      <c r="BB51" s="3">
        <v>1</v>
      </c>
      <c r="BC51" s="3">
        <v>1</v>
      </c>
    </row>
    <row r="52" ht="14" customHeight="true">
      <c r="A52" t="s">
        <v>72</v>
      </c>
      <c r="B52" s="3">
        <v>1</v>
      </c>
      <c r="C52" s="3">
        <v>1</v>
      </c>
      <c r="D52" s="3">
        <v>1</v>
      </c>
      <c r="E52" s="3">
        <v>1</v>
      </c>
      <c r="F52" s="3">
        <v>1</v>
      </c>
      <c r="G52" s="3">
        <v>1</v>
      </c>
      <c r="H52" s="3">
        <v>1</v>
      </c>
      <c r="I52" s="3">
        <v>1</v>
      </c>
      <c r="J52" s="3">
        <v>1</v>
      </c>
      <c r="K52" s="3">
        <v>1</v>
      </c>
      <c r="L52" s="3">
        <v>1</v>
      </c>
      <c r="M52" s="3">
        <v>1</v>
      </c>
      <c r="N52" s="3">
        <v>1</v>
      </c>
      <c r="O52" s="3">
        <v>1</v>
      </c>
      <c r="P52" s="3">
        <v>1</v>
      </c>
      <c r="Q52" s="3">
        <v>1</v>
      </c>
      <c r="R52" s="3">
        <v>1</v>
      </c>
      <c r="S52" s="3">
        <v>1</v>
      </c>
      <c r="T52" s="3">
        <v>1</v>
      </c>
      <c r="U52" s="3">
        <v>1</v>
      </c>
      <c r="V52" s="3">
        <v>1</v>
      </c>
      <c r="W52" s="3">
        <v>1</v>
      </c>
      <c r="X52" s="3">
        <v>1</v>
      </c>
      <c r="Y52" s="3">
        <v>1</v>
      </c>
      <c r="Z52" s="3">
        <v>1</v>
      </c>
      <c r="AA52" s="3">
        <v>1</v>
      </c>
      <c r="AB52" s="3">
        <v>1</v>
      </c>
      <c r="AC52" s="3">
        <v>1</v>
      </c>
      <c r="AD52" s="3">
        <v>1</v>
      </c>
      <c r="AE52" s="3">
        <v>1</v>
      </c>
      <c r="AF52" s="3">
        <v>1</v>
      </c>
      <c r="AG52" s="3">
        <v>1</v>
      </c>
      <c r="AH52" s="3">
        <v>1</v>
      </c>
      <c r="AI52" s="3">
        <v>1</v>
      </c>
      <c r="AJ52" s="3">
        <v>1</v>
      </c>
      <c r="AK52" s="3">
        <v>1</v>
      </c>
      <c r="AL52" s="3">
        <v>1</v>
      </c>
      <c r="AM52" s="3">
        <v>1</v>
      </c>
      <c r="AN52" s="3">
        <v>1</v>
      </c>
      <c r="AO52" s="3">
        <v>1</v>
      </c>
      <c r="AP52" s="3">
        <v>1</v>
      </c>
      <c r="AQ52" s="3">
        <v>1</v>
      </c>
      <c r="AR52" s="3">
        <v>1</v>
      </c>
      <c r="AS52" s="3">
        <v>1</v>
      </c>
      <c r="AT52" s="3">
        <v>1</v>
      </c>
      <c r="AU52" s="3">
        <v>1</v>
      </c>
      <c r="AV52" s="3">
        <v>1</v>
      </c>
      <c r="AW52" s="3">
        <v>1</v>
      </c>
      <c r="AX52" s="3">
        <v>1</v>
      </c>
      <c r="AY52" s="3">
        <v>1</v>
      </c>
      <c r="AZ52" s="3">
        <v>1</v>
      </c>
      <c r="BA52" s="3">
        <v>1</v>
      </c>
      <c r="BB52" s="3">
        <v>1</v>
      </c>
      <c r="BC52" s="3">
        <v>1</v>
      </c>
    </row>
    <row r="53" ht="14" customHeight="true">
      <c r="A53" t="s">
        <v>219</v>
      </c>
      <c r="B53" s="3">
        <v>1</v>
      </c>
      <c r="C53" s="3">
        <v>1</v>
      </c>
      <c r="D53" s="3">
        <v>1</v>
      </c>
      <c r="E53" s="3">
        <v>1</v>
      </c>
      <c r="F53" s="3">
        <v>1</v>
      </c>
      <c r="G53" s="3">
        <v>1</v>
      </c>
      <c r="H53" s="3">
        <v>1</v>
      </c>
      <c r="I53" s="3">
        <v>1</v>
      </c>
      <c r="J53" s="3">
        <v>1</v>
      </c>
      <c r="K53" s="3">
        <v>1</v>
      </c>
      <c r="L53" s="3">
        <v>1</v>
      </c>
      <c r="M53" s="3">
        <v>1</v>
      </c>
      <c r="N53" s="3">
        <v>1</v>
      </c>
      <c r="O53" s="3">
        <v>1</v>
      </c>
      <c r="P53" s="3">
        <v>1</v>
      </c>
      <c r="Q53" s="3">
        <v>1</v>
      </c>
      <c r="R53" s="3">
        <v>1</v>
      </c>
      <c r="S53" s="3">
        <v>1</v>
      </c>
      <c r="T53" s="3">
        <v>1</v>
      </c>
      <c r="U53" s="3">
        <v>1</v>
      </c>
      <c r="V53" s="3">
        <v>1</v>
      </c>
      <c r="W53" s="3">
        <v>1</v>
      </c>
      <c r="X53" s="3">
        <v>1</v>
      </c>
      <c r="Y53" s="3">
        <v>1</v>
      </c>
      <c r="Z53" s="3">
        <v>1</v>
      </c>
      <c r="AA53" s="3">
        <v>1</v>
      </c>
      <c r="AB53" s="3">
        <v>1</v>
      </c>
      <c r="AC53" s="3">
        <v>1</v>
      </c>
      <c r="AD53" s="3">
        <v>1</v>
      </c>
      <c r="AE53" s="3">
        <v>1</v>
      </c>
      <c r="AF53" s="3">
        <v>1</v>
      </c>
      <c r="AG53" s="3">
        <v>1</v>
      </c>
      <c r="AH53" s="3">
        <v>1</v>
      </c>
      <c r="AI53" s="3">
        <v>1</v>
      </c>
      <c r="AJ53" s="3">
        <v>1</v>
      </c>
      <c r="AK53" s="3">
        <v>1</v>
      </c>
      <c r="AL53" s="3">
        <v>1</v>
      </c>
      <c r="AM53" s="3">
        <v>1</v>
      </c>
      <c r="AN53" s="3">
        <v>1</v>
      </c>
      <c r="AO53" s="3">
        <v>1</v>
      </c>
      <c r="AP53" s="3">
        <v>1</v>
      </c>
      <c r="AQ53" s="3">
        <v>1</v>
      </c>
      <c r="AR53" s="3">
        <v>1</v>
      </c>
      <c r="AS53" s="3">
        <v>1</v>
      </c>
      <c r="AT53" s="3">
        <v>1</v>
      </c>
      <c r="AU53" s="3">
        <v>1</v>
      </c>
      <c r="AV53" s="3">
        <v>1</v>
      </c>
      <c r="AW53" s="3">
        <v>1</v>
      </c>
      <c r="AX53" s="3">
        <v>1</v>
      </c>
      <c r="AY53" s="3">
        <v>1</v>
      </c>
      <c r="AZ53" s="3">
        <v>1</v>
      </c>
      <c r="BA53" s="3">
        <v>1</v>
      </c>
      <c r="BB53" s="3">
        <v>1</v>
      </c>
      <c r="BC53" s="3">
        <v>1</v>
      </c>
    </row>
    <row r="54" ht="14" customHeight="true">
      <c r="A54" t="s">
        <v>71</v>
      </c>
      <c r="B54" s="3">
        <v>1</v>
      </c>
      <c r="C54" s="3">
        <v>1</v>
      </c>
      <c r="D54" s="3">
        <v>1</v>
      </c>
      <c r="E54" s="3">
        <v>1</v>
      </c>
      <c r="F54" s="3">
        <v>1</v>
      </c>
      <c r="G54" s="3">
        <v>1</v>
      </c>
      <c r="H54" s="3">
        <v>1</v>
      </c>
      <c r="I54" s="3">
        <v>1</v>
      </c>
      <c r="J54" s="3">
        <v>1</v>
      </c>
      <c r="K54" s="3">
        <v>1</v>
      </c>
      <c r="L54" s="3">
        <v>1</v>
      </c>
      <c r="M54" s="3">
        <v>1</v>
      </c>
      <c r="N54" s="3">
        <v>1</v>
      </c>
      <c r="O54" s="3">
        <v>1</v>
      </c>
      <c r="P54" s="3">
        <v>1</v>
      </c>
      <c r="Q54" s="3">
        <v>1</v>
      </c>
      <c r="R54" s="3">
        <v>1</v>
      </c>
      <c r="S54" s="3">
        <v>1</v>
      </c>
      <c r="T54" s="3">
        <v>1</v>
      </c>
      <c r="U54" s="3">
        <v>1</v>
      </c>
      <c r="V54" s="3">
        <v>1</v>
      </c>
      <c r="W54" s="3">
        <v>1</v>
      </c>
      <c r="X54" s="3">
        <v>1</v>
      </c>
      <c r="Y54" s="3">
        <v>1</v>
      </c>
      <c r="Z54" s="3">
        <v>1</v>
      </c>
      <c r="AA54" s="3">
        <v>1</v>
      </c>
      <c r="AB54" s="3">
        <v>1</v>
      </c>
      <c r="AC54" s="3">
        <v>1</v>
      </c>
      <c r="AD54" s="3">
        <v>1</v>
      </c>
      <c r="AE54" s="3">
        <v>1</v>
      </c>
      <c r="AF54" s="3">
        <v>1</v>
      </c>
      <c r="AG54" s="3">
        <v>1</v>
      </c>
      <c r="AH54" s="3">
        <v>1</v>
      </c>
      <c r="AI54" s="3">
        <v>1</v>
      </c>
      <c r="AJ54" s="3">
        <v>1</v>
      </c>
      <c r="AK54" s="3">
        <v>1</v>
      </c>
      <c r="AL54" s="3">
        <v>1</v>
      </c>
      <c r="AM54" s="3">
        <v>1</v>
      </c>
      <c r="AN54" s="3">
        <v>1</v>
      </c>
      <c r="AO54" s="3">
        <v>1</v>
      </c>
      <c r="AP54" s="3">
        <v>1</v>
      </c>
      <c r="AQ54" s="3">
        <v>1</v>
      </c>
      <c r="AR54" s="3">
        <v>1</v>
      </c>
      <c r="AS54" s="3">
        <v>1</v>
      </c>
      <c r="AT54" s="3">
        <v>1</v>
      </c>
      <c r="AU54" s="3">
        <v>1</v>
      </c>
      <c r="AV54" s="3">
        <v>1</v>
      </c>
      <c r="AW54" s="3">
        <v>1</v>
      </c>
      <c r="AX54" s="3">
        <v>1</v>
      </c>
      <c r="AY54" s="3">
        <v>1</v>
      </c>
      <c r="AZ54" s="3">
        <v>1</v>
      </c>
      <c r="BA54" s="3">
        <v>1</v>
      </c>
      <c r="BB54" s="3">
        <v>1</v>
      </c>
      <c r="BC54" s="3">
        <v>1</v>
      </c>
    </row>
    <row r="55" ht="14" customHeight="true">
      <c r="A55" t="s">
        <v>73</v>
      </c>
      <c r="B55" s="3">
        <v>1</v>
      </c>
      <c r="C55" s="3">
        <v>1</v>
      </c>
      <c r="D55" s="3">
        <v>1</v>
      </c>
      <c r="E55" s="3">
        <v>1</v>
      </c>
      <c r="F55" s="3">
        <v>1</v>
      </c>
      <c r="G55" s="3">
        <v>1</v>
      </c>
      <c r="H55" s="3">
        <v>1</v>
      </c>
      <c r="I55" s="3">
        <v>1</v>
      </c>
      <c r="J55" s="3">
        <v>1</v>
      </c>
      <c r="K55" s="3">
        <v>1</v>
      </c>
      <c r="L55" s="3">
        <v>1</v>
      </c>
      <c r="M55" s="3">
        <v>1</v>
      </c>
      <c r="N55" s="3">
        <v>1</v>
      </c>
      <c r="O55" s="3">
        <v>1</v>
      </c>
      <c r="P55" s="3">
        <v>1</v>
      </c>
      <c r="Q55" s="3">
        <v>1</v>
      </c>
      <c r="R55" s="3">
        <v>1</v>
      </c>
      <c r="S55" s="3">
        <v>1</v>
      </c>
      <c r="T55" s="3">
        <v>1</v>
      </c>
      <c r="U55" s="3">
        <v>1</v>
      </c>
      <c r="V55" s="3">
        <v>1</v>
      </c>
      <c r="W55" s="3">
        <v>1</v>
      </c>
      <c r="X55" s="3">
        <v>1</v>
      </c>
      <c r="Y55" s="3">
        <v>1</v>
      </c>
      <c r="Z55" s="3">
        <v>1</v>
      </c>
      <c r="AA55" s="3">
        <v>1</v>
      </c>
      <c r="AB55" s="3">
        <v>1</v>
      </c>
      <c r="AC55" s="3">
        <v>1</v>
      </c>
      <c r="AD55" s="3">
        <v>1</v>
      </c>
      <c r="AE55" s="3">
        <v>1</v>
      </c>
      <c r="AF55" s="3">
        <v>1</v>
      </c>
      <c r="AG55" s="3">
        <v>1</v>
      </c>
      <c r="AH55" s="3">
        <v>1</v>
      </c>
      <c r="AI55" s="3">
        <v>1</v>
      </c>
      <c r="AJ55" s="3">
        <v>1</v>
      </c>
      <c r="AK55" s="3">
        <v>1</v>
      </c>
      <c r="AL55" s="3">
        <v>1</v>
      </c>
      <c r="AM55" s="3">
        <v>1</v>
      </c>
      <c r="AN55" s="3">
        <v>1</v>
      </c>
      <c r="AO55" s="3">
        <v>1</v>
      </c>
      <c r="AP55" s="3">
        <v>1</v>
      </c>
      <c r="AQ55" s="3">
        <v>1</v>
      </c>
      <c r="AR55" s="3">
        <v>1</v>
      </c>
      <c r="AS55" s="3">
        <v>1</v>
      </c>
      <c r="AT55" s="3">
        <v>1</v>
      </c>
      <c r="AU55" s="3">
        <v>1</v>
      </c>
      <c r="AV55" s="3">
        <v>1</v>
      </c>
      <c r="AW55" s="3">
        <v>1</v>
      </c>
      <c r="AX55" s="3">
        <v>1</v>
      </c>
      <c r="AY55" s="3">
        <v>1</v>
      </c>
      <c r="AZ55" s="3">
        <v>1</v>
      </c>
      <c r="BA55" s="3">
        <v>1</v>
      </c>
      <c r="BB55" s="3">
        <v>1</v>
      </c>
      <c r="BC55" s="3">
        <v>1</v>
      </c>
    </row>
    <row r="56" ht="14" customHeight="true">
      <c r="A56" t="s">
        <v>297</v>
      </c>
      <c r="B56" s="3">
        <v>1</v>
      </c>
      <c r="C56" s="3">
        <v>1</v>
      </c>
      <c r="D56" s="3">
        <v>1</v>
      </c>
      <c r="E56" s="3">
        <v>1</v>
      </c>
      <c r="F56" s="3">
        <v>1</v>
      </c>
      <c r="G56" s="3">
        <v>1</v>
      </c>
      <c r="H56" s="3">
        <v>1</v>
      </c>
      <c r="I56" s="3">
        <v>1</v>
      </c>
      <c r="J56" s="3">
        <v>1</v>
      </c>
      <c r="K56" s="3">
        <v>1</v>
      </c>
      <c r="L56" s="3">
        <v>1</v>
      </c>
      <c r="M56" s="3">
        <v>1</v>
      </c>
      <c r="N56" s="3">
        <v>1</v>
      </c>
      <c r="O56" s="3">
        <v>1</v>
      </c>
      <c r="P56" s="3">
        <v>1</v>
      </c>
      <c r="Q56" s="3">
        <v>1</v>
      </c>
      <c r="R56" s="3">
        <v>1</v>
      </c>
      <c r="S56" s="3">
        <v>1</v>
      </c>
      <c r="T56" s="3">
        <v>1</v>
      </c>
      <c r="U56" s="3">
        <v>1</v>
      </c>
      <c r="V56" s="3">
        <v>1</v>
      </c>
      <c r="W56" s="3">
        <v>1</v>
      </c>
      <c r="X56" s="3">
        <v>1</v>
      </c>
      <c r="Y56" s="3">
        <v>1</v>
      </c>
      <c r="Z56" s="3">
        <v>1</v>
      </c>
      <c r="AA56" s="3">
        <v>1</v>
      </c>
      <c r="AB56" s="3">
        <v>1</v>
      </c>
      <c r="AC56" s="3">
        <v>1</v>
      </c>
      <c r="AD56" s="3">
        <v>1</v>
      </c>
      <c r="AE56" s="3">
        <v>1</v>
      </c>
      <c r="AF56" s="3">
        <v>1</v>
      </c>
      <c r="AG56" s="3">
        <v>1</v>
      </c>
      <c r="AH56" s="3">
        <v>1</v>
      </c>
      <c r="AI56" s="3">
        <v>1</v>
      </c>
      <c r="AJ56" s="3">
        <v>1</v>
      </c>
      <c r="AK56" s="3">
        <v>1</v>
      </c>
      <c r="AL56" s="3">
        <v>1</v>
      </c>
      <c r="AM56" s="3">
        <v>1</v>
      </c>
      <c r="AN56" s="3">
        <v>1</v>
      </c>
      <c r="AO56" s="3">
        <v>1</v>
      </c>
      <c r="AP56" s="3">
        <v>1</v>
      </c>
      <c r="AQ56" s="3">
        <v>1</v>
      </c>
      <c r="AR56" s="3">
        <v>1</v>
      </c>
      <c r="AS56" s="3">
        <v>1</v>
      </c>
      <c r="AT56" s="3">
        <v>1</v>
      </c>
      <c r="AU56" s="3">
        <v>1</v>
      </c>
      <c r="AV56" s="3">
        <v>1</v>
      </c>
      <c r="AW56" s="3">
        <v>1</v>
      </c>
      <c r="AX56" s="3">
        <v>1</v>
      </c>
      <c r="AY56" s="3">
        <v>1</v>
      </c>
      <c r="AZ56" s="3">
        <v>1</v>
      </c>
      <c r="BA56" s="3">
        <v>1</v>
      </c>
      <c r="BB56" s="3">
        <v>1</v>
      </c>
      <c r="BC56" s="3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D55"/>
  <sheetViews>
    <sheetView topLeftCell="A30" workbookViewId="0">
      <selection activeCell="B47" sqref="B47"/>
    </sheetView>
  </sheetViews>
  <sheetFormatPr baseColWidth="10" defaultRowHeight="14" customHeight="true"/>
  <cols>
    <col min="1" max="1" width="11.5" customWidth="true"/>
    <col min="2" max="2" width="34.33203125" bestFit="true" customWidth="true"/>
    <col min="3" max="3" width="18.6640625" bestFit="true" customWidth="true"/>
    <col min="4" max="4" width="19" bestFit="true" customWidth="true"/>
    <col min="5" max="5" width="24.33203125" bestFit="true" customWidth="true"/>
    <col min="6" max="6" width="27.5" bestFit="true" customWidth="true"/>
    <col min="7" max="7" width="35.5" bestFit="true" customWidth="true"/>
    <col min="8" max="8" width="30.6640625" bestFit="true" customWidth="true"/>
    <col min="9" max="9" width="19" bestFit="true" customWidth="true"/>
    <col min="10" max="10" width="32.33203125" bestFit="true" customWidth="true"/>
    <col min="11" max="11" width="21.5" bestFit="true" customWidth="true"/>
    <col min="12" max="12" width="14.33203125" bestFit="true" customWidth="true"/>
    <col min="13" max="13" width="12.6640625" bestFit="true" customWidth="true"/>
    <col min="14" max="14" width="14.33203125" bestFit="true" customWidth="true"/>
    <col min="15" max="15" width="24" bestFit="true" customWidth="true"/>
    <col min="16" max="16" width="26.6640625" bestFit="true" customWidth="true"/>
    <col min="17" max="17" width="13" bestFit="true" customWidth="true"/>
    <col min="18" max="18" width="22" bestFit="true" customWidth="true"/>
    <col min="19" max="19" width="23" bestFit="true" customWidth="true"/>
  </cols>
  <sheetData>
    <row r="1" ht="28">
      <c r="A1" s="154" t="s">
        <v>84</v>
      </c>
      <c r="B1" s="207" t="s">
        <v>0</v>
      </c>
      <c r="C1" s="137" t="s">
        <v>280</v>
      </c>
      <c r="D1" s="137" t="s">
        <v>281</v>
      </c>
    </row>
    <row r="2" ht="14" customHeight="true">
      <c r="A2">
        <v>1</v>
      </c>
      <c r="B2" s="136" t="s">
        <v>175</v>
      </c>
      <c r="C2">
        <v>0</v>
      </c>
      <c r="D2">
        <v>0</v>
      </c>
    </row>
    <row r="3" ht="14" customHeight="true">
      <c r="A3">
        <v>2</v>
      </c>
      <c r="B3" t="s">
        <v>176</v>
      </c>
      <c r="C3">
        <v>0</v>
      </c>
      <c r="D3">
        <v>0</v>
      </c>
    </row>
    <row r="4" ht="14" customHeight="true">
      <c r="A4">
        <v>3</v>
      </c>
      <c r="B4" t="s">
        <v>177</v>
      </c>
      <c r="C4">
        <v>0</v>
      </c>
      <c r="D4">
        <v>0</v>
      </c>
    </row>
    <row r="5" ht="14" customHeight="true">
      <c r="A5">
        <v>4</v>
      </c>
      <c r="B5" t="s">
        <v>220</v>
      </c>
      <c r="C5">
        <v>0</v>
      </c>
      <c r="D5">
        <v>0</v>
      </c>
    </row>
    <row r="6" ht="14" customHeight="true">
      <c r="A6">
        <v>5</v>
      </c>
      <c r="B6" t="s">
        <v>221</v>
      </c>
      <c r="C6">
        <v>0</v>
      </c>
      <c r="D6">
        <v>0</v>
      </c>
    </row>
    <row r="7" ht="14" customHeight="true">
      <c r="A7">
        <v>6</v>
      </c>
      <c r="B7" t="s">
        <v>178</v>
      </c>
      <c r="C7">
        <v>0</v>
      </c>
      <c r="D7">
        <v>0</v>
      </c>
    </row>
    <row r="8" ht="14" customHeight="true">
      <c r="A8">
        <v>7</v>
      </c>
      <c r="B8" t="s">
        <v>222</v>
      </c>
      <c r="C8">
        <v>0</v>
      </c>
      <c r="D8">
        <v>0</v>
      </c>
    </row>
    <row r="9" ht="14" customHeight="true">
      <c r="A9">
        <v>8</v>
      </c>
      <c r="B9" t="s">
        <v>179</v>
      </c>
      <c r="C9">
        <v>0</v>
      </c>
      <c r="D9">
        <v>0</v>
      </c>
    </row>
    <row r="10" ht="14" customHeight="true">
      <c r="A10">
        <v>9</v>
      </c>
      <c r="B10" t="s">
        <v>180</v>
      </c>
      <c r="C10">
        <v>0</v>
      </c>
      <c r="D10">
        <v>0.194880637539048</v>
      </c>
    </row>
    <row r="11" ht="14" customHeight="true">
      <c r="A11">
        <v>10</v>
      </c>
      <c r="B11" t="s">
        <v>223</v>
      </c>
      <c r="C11">
        <v>0</v>
      </c>
      <c r="D11">
        <v>0</v>
      </c>
    </row>
    <row r="12" ht="14" customHeight="true">
      <c r="A12">
        <v>11</v>
      </c>
      <c r="B12" t="s">
        <v>181</v>
      </c>
      <c r="C12">
        <v>0</v>
      </c>
      <c r="D12">
        <v>0</v>
      </c>
    </row>
    <row r="13" ht="14" customHeight="true">
      <c r="A13">
        <v>12</v>
      </c>
      <c r="B13" s="137" t="s">
        <v>224</v>
      </c>
      <c r="C13">
        <v>0</v>
      </c>
      <c r="D13">
        <v>0</v>
      </c>
    </row>
    <row r="14" ht="14" customHeight="true">
      <c r="A14">
        <v>13</v>
      </c>
      <c r="B14" t="s">
        <v>182</v>
      </c>
      <c r="C14">
        <v>0</v>
      </c>
      <c r="D14">
        <v>0</v>
      </c>
    </row>
    <row r="15" ht="14" customHeight="true">
      <c r="A15">
        <v>14</v>
      </c>
      <c r="B15" t="s">
        <v>183</v>
      </c>
      <c r="C15">
        <v>2</v>
      </c>
      <c r="D15" s="137">
        <v>0</v>
      </c>
    </row>
    <row r="16" ht="14" customHeight="true">
      <c r="A16">
        <v>15</v>
      </c>
      <c r="B16" t="s">
        <v>184</v>
      </c>
      <c r="C16" s="140">
        <v>1.4142135623731</v>
      </c>
      <c r="D16" s="140">
        <v>1.61081610471759</v>
      </c>
    </row>
    <row r="17" ht="14" customHeight="true">
      <c r="A17">
        <v>16</v>
      </c>
      <c r="B17" t="s">
        <v>185</v>
      </c>
      <c r="C17" s="140">
        <v>1.86607340913854</v>
      </c>
      <c r="D17" s="140">
        <v>0</v>
      </c>
    </row>
    <row r="18" ht="14" customHeight="true">
      <c r="A18">
        <v>17</v>
      </c>
      <c r="B18" t="s">
        <v>186</v>
      </c>
      <c r="C18" s="140">
        <v>1.9877068607596999</v>
      </c>
      <c r="D18" s="140">
        <v>0.52164963463688496</v>
      </c>
    </row>
    <row r="19" ht="14" customHeight="true">
      <c r="A19">
        <v>18</v>
      </c>
      <c r="B19" t="s">
        <v>187</v>
      </c>
      <c r="C19" s="140">
        <v>2.1393026097190102</v>
      </c>
      <c r="D19" s="140">
        <v>0.18423493013046799</v>
      </c>
    </row>
    <row r="20" ht="14" customHeight="true">
      <c r="A20">
        <v>19</v>
      </c>
      <c r="B20" t="s">
        <v>188</v>
      </c>
      <c r="C20" s="140">
        <v>0.56735904215257404</v>
      </c>
      <c r="D20" s="140">
        <v>0.57751094488118404</v>
      </c>
    </row>
    <row r="21" ht="14" customHeight="true">
      <c r="A21">
        <v>20</v>
      </c>
      <c r="B21" t="s">
        <v>189</v>
      </c>
      <c r="C21" s="140">
        <v>1.1253283784463599</v>
      </c>
      <c r="D21" s="140">
        <v>0.46484822426966299</v>
      </c>
    </row>
    <row r="22" ht="14" customHeight="true">
      <c r="A22">
        <v>21</v>
      </c>
      <c r="B22" t="s">
        <v>190</v>
      </c>
      <c r="C22" s="140">
        <v>1.06686381236363</v>
      </c>
      <c r="D22" s="140">
        <v>0.36190251388731698</v>
      </c>
    </row>
    <row r="23" ht="14" customHeight="true">
      <c r="A23">
        <v>22</v>
      </c>
      <c r="B23" t="s">
        <v>191</v>
      </c>
      <c r="C23" s="140">
        <v>2.23703436335179</v>
      </c>
      <c r="D23" s="140">
        <v>1.24600932694902</v>
      </c>
    </row>
    <row r="24" ht="14" customHeight="true">
      <c r="A24">
        <v>23</v>
      </c>
      <c r="B24" t="s">
        <v>192</v>
      </c>
      <c r="C24" s="135">
        <v>0</v>
      </c>
      <c r="D24" s="135">
        <v>0</v>
      </c>
    </row>
    <row r="25" ht="14" customHeight="true">
      <c r="A25">
        <v>24</v>
      </c>
      <c r="B25" t="s">
        <v>225</v>
      </c>
      <c r="C25" s="140">
        <v>2.5421646852603899</v>
      </c>
      <c r="D25" s="208">
        <v>0</v>
      </c>
    </row>
    <row r="26" ht="14" customHeight="true">
      <c r="A26">
        <v>25</v>
      </c>
      <c r="B26" t="s">
        <v>226</v>
      </c>
      <c r="C26" s="140">
        <v>0.63670118066548298</v>
      </c>
      <c r="D26" s="140">
        <v>0.50914542802940199</v>
      </c>
    </row>
    <row r="27" ht="14" customHeight="true">
      <c r="A27">
        <v>26</v>
      </c>
      <c r="B27" t="s">
        <v>227</v>
      </c>
      <c r="C27" s="140">
        <v>0.87096546697601995</v>
      </c>
      <c r="D27" s="140">
        <v>0.65278373384152399</v>
      </c>
    </row>
    <row r="28" ht="14" customHeight="true">
      <c r="A28">
        <v>27</v>
      </c>
      <c r="B28" t="s">
        <v>228</v>
      </c>
      <c r="C28" s="140">
        <v>0.90813240684688601</v>
      </c>
      <c r="D28" s="140">
        <v>0.89300988004380299</v>
      </c>
    </row>
    <row r="29" ht="14" customHeight="true">
      <c r="A29">
        <v>28</v>
      </c>
      <c r="B29" t="s">
        <v>197</v>
      </c>
      <c r="C29" s="140">
        <v>2.5640632776644399</v>
      </c>
      <c r="D29" s="140">
        <v>0.92930840144919902</v>
      </c>
    </row>
    <row r="30" ht="14" customHeight="true">
      <c r="A30">
        <v>29</v>
      </c>
      <c r="B30" t="s">
        <v>198</v>
      </c>
      <c r="C30" s="140">
        <v>0.51318130268505602</v>
      </c>
      <c r="D30" s="140">
        <v>0.476978326337824</v>
      </c>
    </row>
    <row r="31" ht="14" customHeight="true">
      <c r="A31">
        <v>30</v>
      </c>
      <c r="B31" t="s">
        <v>199</v>
      </c>
      <c r="C31" s="140">
        <v>2.70170207469274</v>
      </c>
      <c r="D31" s="140">
        <v>0.88100217632328803</v>
      </c>
    </row>
    <row r="32" ht="14" customHeight="true">
      <c r="A32">
        <v>31</v>
      </c>
      <c r="B32" t="s">
        <v>229</v>
      </c>
      <c r="C32" s="140">
        <v>1.04475156387589</v>
      </c>
      <c r="D32" s="140">
        <v>1.01843775307522</v>
      </c>
    </row>
    <row r="33" ht="14" customHeight="true">
      <c r="A33">
        <v>32</v>
      </c>
      <c r="B33" t="s">
        <v>230</v>
      </c>
      <c r="C33" s="140">
        <v>1.2011335342445799</v>
      </c>
      <c r="D33" s="140">
        <v>0.24361768566410699</v>
      </c>
    </row>
    <row r="34" ht="14" customHeight="true">
      <c r="A34">
        <v>33</v>
      </c>
      <c r="B34" t="s">
        <v>231</v>
      </c>
      <c r="C34" s="140">
        <v>0.31475937963175699</v>
      </c>
      <c r="D34" s="140">
        <v>0.23942279598583599</v>
      </c>
    </row>
    <row r="35" ht="14" customHeight="true">
      <c r="A35">
        <v>34</v>
      </c>
      <c r="B35" t="s">
        <v>232</v>
      </c>
      <c r="C35" s="140">
        <v>0.50068696878314201</v>
      </c>
      <c r="D35" s="140">
        <v>0.30026342487312102</v>
      </c>
    </row>
    <row r="36" ht="14" customHeight="true">
      <c r="A36">
        <v>35</v>
      </c>
      <c r="B36" s="137" t="s">
        <v>233</v>
      </c>
      <c r="C36" s="140">
        <v>0</v>
      </c>
      <c r="D36" s="209">
        <v>1.05701968844114</v>
      </c>
    </row>
    <row r="37" ht="14" customHeight="true">
      <c r="A37">
        <v>36</v>
      </c>
      <c r="B37" t="s">
        <v>205</v>
      </c>
      <c r="C37" s="140">
        <v>0.16115179868122401</v>
      </c>
      <c r="D37" s="140">
        <v>0.141646516567521</v>
      </c>
    </row>
    <row r="38" ht="14" customHeight="true">
      <c r="A38">
        <v>37</v>
      </c>
      <c r="B38" t="s">
        <v>206</v>
      </c>
      <c r="C38" s="140">
        <v>0</v>
      </c>
      <c r="D38" s="140">
        <v>0</v>
      </c>
    </row>
    <row r="39" ht="14" customHeight="true">
      <c r="A39">
        <v>38</v>
      </c>
      <c r="B39" t="s">
        <v>207</v>
      </c>
      <c r="C39" s="140">
        <v>0</v>
      </c>
      <c r="D39" s="140">
        <v>0</v>
      </c>
    </row>
    <row r="40" ht="14" customHeight="true">
      <c r="A40">
        <v>39</v>
      </c>
      <c r="B40" t="s">
        <v>208</v>
      </c>
      <c r="C40" s="140">
        <v>0.23884594919284999</v>
      </c>
      <c r="D40" s="140">
        <v>0.23298895142994699</v>
      </c>
    </row>
    <row r="41" ht="14" customHeight="true">
      <c r="A41">
        <v>40</v>
      </c>
      <c r="B41" t="s">
        <v>209</v>
      </c>
      <c r="C41">
        <v>0</v>
      </c>
      <c r="D41">
        <v>0</v>
      </c>
    </row>
    <row r="42" ht="14" customHeight="true">
      <c r="A42">
        <v>41</v>
      </c>
      <c r="B42" t="s">
        <v>210</v>
      </c>
      <c r="C42">
        <v>0</v>
      </c>
      <c r="D42">
        <v>0</v>
      </c>
    </row>
    <row r="43" ht="14" customHeight="true">
      <c r="A43">
        <v>42</v>
      </c>
      <c r="B43" t="s">
        <v>211</v>
      </c>
      <c r="C43">
        <v>0</v>
      </c>
      <c r="D43">
        <v>0</v>
      </c>
    </row>
    <row r="44" ht="14" customHeight="true">
      <c r="A44">
        <v>43</v>
      </c>
      <c r="B44" t="s">
        <v>212</v>
      </c>
      <c r="C44">
        <v>0</v>
      </c>
      <c r="D44">
        <v>0</v>
      </c>
    </row>
    <row r="45" ht="14" customHeight="true">
      <c r="A45">
        <v>44</v>
      </c>
      <c r="B45" t="s">
        <v>213</v>
      </c>
      <c r="C45">
        <v>0</v>
      </c>
      <c r="D45">
        <v>0</v>
      </c>
    </row>
    <row r="46" ht="14" customHeight="true">
      <c r="A46">
        <v>45</v>
      </c>
      <c r="B46" t="s">
        <v>214</v>
      </c>
      <c r="C46">
        <v>0</v>
      </c>
      <c r="D46">
        <v>0</v>
      </c>
    </row>
    <row r="47" ht="14" customHeight="true">
      <c r="A47">
        <v>46</v>
      </c>
      <c r="B47" t="s">
        <v>304</v>
      </c>
      <c r="C47">
        <v>0</v>
      </c>
      <c r="D47">
        <v>0</v>
      </c>
    </row>
    <row r="48" ht="14" customHeight="true">
      <c r="A48">
        <v>47</v>
      </c>
      <c r="B48" t="s">
        <v>215</v>
      </c>
      <c r="C48">
        <v>0</v>
      </c>
      <c r="D48">
        <v>0</v>
      </c>
    </row>
    <row r="49" ht="14" customHeight="true">
      <c r="A49">
        <v>48</v>
      </c>
      <c r="B49" t="s">
        <v>216</v>
      </c>
      <c r="C49">
        <v>0</v>
      </c>
      <c r="D49">
        <v>0</v>
      </c>
    </row>
    <row r="50" ht="14" customHeight="true">
      <c r="A50">
        <v>49</v>
      </c>
      <c r="B50" t="s">
        <v>217</v>
      </c>
      <c r="C50">
        <v>0</v>
      </c>
      <c r="D50">
        <v>0</v>
      </c>
    </row>
    <row r="51" ht="14" customHeight="true">
      <c r="A51">
        <v>50</v>
      </c>
      <c r="B51" t="s">
        <v>218</v>
      </c>
      <c r="C51">
        <v>0</v>
      </c>
      <c r="D51">
        <v>0</v>
      </c>
    </row>
    <row r="52" ht="14" customHeight="true">
      <c r="A52">
        <v>51</v>
      </c>
      <c r="B52" t="s">
        <v>72</v>
      </c>
      <c r="C52">
        <v>0</v>
      </c>
      <c r="D52">
        <v>0</v>
      </c>
    </row>
    <row r="53" ht="14" customHeight="true">
      <c r="A53">
        <v>52</v>
      </c>
      <c r="B53" t="s">
        <v>219</v>
      </c>
      <c r="C53">
        <v>0</v>
      </c>
      <c r="D53">
        <v>0</v>
      </c>
    </row>
    <row r="54" ht="14" customHeight="true">
      <c r="A54">
        <v>53</v>
      </c>
      <c r="B54" t="s">
        <v>71</v>
      </c>
      <c r="C54">
        <v>0</v>
      </c>
      <c r="D54">
        <v>0</v>
      </c>
    </row>
    <row r="55" ht="14" customHeight="true">
      <c r="A55">
        <v>54</v>
      </c>
      <c r="B55" t="s">
        <v>73</v>
      </c>
      <c r="C55">
        <v>0</v>
      </c>
      <c r="D55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D55"/>
  <sheetViews>
    <sheetView topLeftCell="A30" workbookViewId="0">
      <selection activeCell="B47" sqref="B47"/>
    </sheetView>
  </sheetViews>
  <sheetFormatPr baseColWidth="10" defaultRowHeight="14" customHeight="true"/>
  <cols>
    <col min="1" max="1" width="12.5" customWidth="true"/>
    <col min="2" max="2" width="34.33203125" bestFit="true" customWidth="true"/>
    <col min="3" max="3" width="18.1640625" bestFit="true" customWidth="true"/>
    <col min="4" max="4" width="18.5" bestFit="true" customWidth="true"/>
    <col min="5" max="5" width="24.33203125" bestFit="true" customWidth="true"/>
    <col min="6" max="6" width="27.5" bestFit="true" customWidth="true"/>
    <col min="7" max="7" width="35.5" bestFit="true" customWidth="true"/>
    <col min="8" max="8" width="30.6640625" bestFit="true" customWidth="true"/>
    <col min="9" max="9" width="19" bestFit="true" customWidth="true"/>
    <col min="10" max="10" width="32.33203125" bestFit="true" customWidth="true"/>
    <col min="11" max="11" width="21.5" bestFit="true" customWidth="true"/>
    <col min="12" max="12" width="14.33203125" bestFit="true" customWidth="true"/>
    <col min="13" max="13" width="12.6640625" bestFit="true" customWidth="true"/>
    <col min="14" max="14" width="14.33203125" bestFit="true" customWidth="true"/>
    <col min="15" max="15" width="24" bestFit="true" customWidth="true"/>
    <col min="16" max="16" width="26.6640625" bestFit="true" customWidth="true"/>
    <col min="17" max="17" width="13" bestFit="true" customWidth="true"/>
    <col min="18" max="18" width="22" bestFit="true" customWidth="true"/>
    <col min="19" max="19" width="23" bestFit="true" customWidth="true"/>
  </cols>
  <sheetData>
    <row r="1" ht="28">
      <c r="A1" s="154" t="s">
        <v>83</v>
      </c>
      <c r="B1" s="207" t="s">
        <v>0</v>
      </c>
      <c r="C1" s="137" t="s">
        <v>280</v>
      </c>
      <c r="D1" s="137" t="s">
        <v>281</v>
      </c>
    </row>
    <row r="2" ht="14" customHeight="true">
      <c r="A2">
        <v>1</v>
      </c>
      <c r="B2" s="136" t="s">
        <v>175</v>
      </c>
      <c r="C2" s="210">
        <v>0</v>
      </c>
      <c r="D2">
        <v>0</v>
      </c>
    </row>
    <row r="3" ht="14" customHeight="true">
      <c r="A3">
        <v>2</v>
      </c>
      <c r="B3" t="s">
        <v>176</v>
      </c>
      <c r="C3" s="210">
        <v>0</v>
      </c>
      <c r="D3">
        <v>0</v>
      </c>
    </row>
    <row r="4" ht="14" customHeight="true">
      <c r="A4">
        <v>3</v>
      </c>
      <c r="B4" t="s">
        <v>177</v>
      </c>
      <c r="C4" s="210">
        <v>0</v>
      </c>
      <c r="D4">
        <v>0</v>
      </c>
    </row>
    <row r="5" ht="14" customHeight="true">
      <c r="A5">
        <v>4</v>
      </c>
      <c r="B5" t="s">
        <v>220</v>
      </c>
      <c r="C5" s="210">
        <v>0</v>
      </c>
      <c r="D5">
        <v>0</v>
      </c>
    </row>
    <row r="6" ht="14" customHeight="true">
      <c r="A6">
        <v>5</v>
      </c>
      <c r="B6" t="s">
        <v>221</v>
      </c>
      <c r="C6" s="210">
        <v>0</v>
      </c>
      <c r="D6">
        <v>0</v>
      </c>
    </row>
    <row r="7" ht="14" customHeight="true">
      <c r="A7">
        <v>6</v>
      </c>
      <c r="B7" t="s">
        <v>178</v>
      </c>
      <c r="C7" s="210">
        <v>0</v>
      </c>
      <c r="D7">
        <v>0</v>
      </c>
    </row>
    <row r="8" ht="14" customHeight="true">
      <c r="A8">
        <v>7</v>
      </c>
      <c r="B8" t="s">
        <v>222</v>
      </c>
      <c r="C8" s="210">
        <v>0</v>
      </c>
      <c r="D8">
        <v>0</v>
      </c>
    </row>
    <row r="9" ht="14" customHeight="true">
      <c r="A9">
        <v>8</v>
      </c>
      <c r="B9" t="s">
        <v>179</v>
      </c>
      <c r="C9" s="210">
        <v>0</v>
      </c>
      <c r="D9">
        <v>0</v>
      </c>
    </row>
    <row r="10" ht="14" customHeight="true">
      <c r="A10">
        <v>9</v>
      </c>
      <c r="B10" t="s">
        <v>180</v>
      </c>
      <c r="C10" s="210">
        <v>0</v>
      </c>
      <c r="D10" s="137">
        <v>0</v>
      </c>
    </row>
    <row r="11" ht="14" customHeight="true">
      <c r="A11">
        <v>10</v>
      </c>
      <c r="B11" t="s">
        <v>223</v>
      </c>
      <c r="C11" s="210">
        <v>0</v>
      </c>
      <c r="D11" s="137">
        <v>0</v>
      </c>
    </row>
    <row r="12" ht="14" customHeight="true">
      <c r="A12">
        <v>11</v>
      </c>
      <c r="B12" t="s">
        <v>181</v>
      </c>
      <c r="C12" s="210">
        <v>0</v>
      </c>
      <c r="D12" s="137">
        <v>0</v>
      </c>
    </row>
    <row r="13" ht="14" customHeight="true">
      <c r="A13">
        <v>12</v>
      </c>
      <c r="B13" s="137" t="s">
        <v>224</v>
      </c>
      <c r="C13" s="210">
        <v>0</v>
      </c>
      <c r="D13" s="137">
        <v>0</v>
      </c>
    </row>
    <row r="14" ht="14" customHeight="true">
      <c r="A14">
        <v>13</v>
      </c>
      <c r="B14" t="s">
        <v>182</v>
      </c>
      <c r="C14" s="210">
        <v>0</v>
      </c>
      <c r="D14" s="137">
        <v>0</v>
      </c>
    </row>
    <row r="15" ht="14" customHeight="true">
      <c r="A15">
        <v>14</v>
      </c>
      <c r="B15" t="s">
        <v>183</v>
      </c>
      <c r="C15" s="211">
        <v>0</v>
      </c>
      <c r="D15" s="137">
        <v>0</v>
      </c>
    </row>
    <row r="16" ht="14" customHeight="true">
      <c r="A16">
        <v>15</v>
      </c>
      <c r="B16" t="s">
        <v>184</v>
      </c>
      <c r="C16" s="140">
        <v>1.55770125637065</v>
      </c>
      <c r="D16" s="137">
        <v>0</v>
      </c>
    </row>
    <row r="17" ht="14" customHeight="true">
      <c r="A17">
        <v>16</v>
      </c>
      <c r="B17" t="s">
        <v>185</v>
      </c>
      <c r="C17" s="140">
        <v>1.2368488795777901</v>
      </c>
      <c r="D17" s="137">
        <v>0</v>
      </c>
    </row>
    <row r="18" ht="14" customHeight="true">
      <c r="A18">
        <v>17</v>
      </c>
      <c r="B18" t="s">
        <v>186</v>
      </c>
      <c r="C18" s="140">
        <v>2.8020330008392</v>
      </c>
      <c r="D18" s="137">
        <v>0</v>
      </c>
    </row>
    <row r="19" ht="14" customHeight="true">
      <c r="A19">
        <v>18</v>
      </c>
      <c r="B19" t="s">
        <v>187</v>
      </c>
      <c r="C19" s="140">
        <v>3.0775516511711398</v>
      </c>
      <c r="D19" s="137">
        <v>0</v>
      </c>
    </row>
    <row r="20" ht="14" customHeight="true">
      <c r="A20">
        <v>19</v>
      </c>
      <c r="B20" t="s">
        <v>188</v>
      </c>
      <c r="C20" s="140">
        <v>1.79146565804679</v>
      </c>
      <c r="D20" s="137">
        <v>0</v>
      </c>
    </row>
    <row r="21" ht="14" customHeight="true">
      <c r="A21">
        <v>20</v>
      </c>
      <c r="B21" t="s">
        <v>189</v>
      </c>
      <c r="C21" s="140">
        <v>0.86277394174354105</v>
      </c>
      <c r="D21" s="137">
        <v>0</v>
      </c>
    </row>
    <row r="22" ht="14" customHeight="true">
      <c r="A22">
        <v>21</v>
      </c>
      <c r="B22" t="s">
        <v>190</v>
      </c>
      <c r="C22" s="140">
        <v>0.93474081086564798</v>
      </c>
      <c r="D22" s="137">
        <v>0</v>
      </c>
    </row>
    <row r="23" ht="14" customHeight="true">
      <c r="A23">
        <v>22</v>
      </c>
      <c r="B23" t="s">
        <v>191</v>
      </c>
      <c r="C23" s="140">
        <v>1.1639506038493199</v>
      </c>
      <c r="D23" s="137">
        <v>0</v>
      </c>
    </row>
    <row r="24" ht="14" customHeight="true">
      <c r="A24">
        <v>23</v>
      </c>
      <c r="B24" t="s">
        <v>192</v>
      </c>
      <c r="C24" s="140">
        <v>0</v>
      </c>
      <c r="D24" s="137">
        <v>0</v>
      </c>
    </row>
    <row r="25" ht="14" customHeight="true">
      <c r="A25">
        <v>24</v>
      </c>
      <c r="B25" t="s">
        <v>225</v>
      </c>
      <c r="C25" s="140">
        <v>3.15941232661535</v>
      </c>
      <c r="D25" s="137">
        <v>0</v>
      </c>
    </row>
    <row r="26" ht="14" customHeight="true">
      <c r="A26">
        <v>25</v>
      </c>
      <c r="B26" t="s">
        <v>226</v>
      </c>
      <c r="C26" s="140">
        <v>0.85130186992504298</v>
      </c>
      <c r="D26" s="137">
        <v>0</v>
      </c>
    </row>
    <row r="27" ht="14" customHeight="true">
      <c r="A27">
        <v>26</v>
      </c>
      <c r="B27" t="s">
        <v>227</v>
      </c>
      <c r="C27" s="140">
        <v>0.87486571998556495</v>
      </c>
      <c r="D27" s="137">
        <v>0</v>
      </c>
    </row>
    <row r="28" ht="14" customHeight="true">
      <c r="A28">
        <v>27</v>
      </c>
      <c r="B28" t="s">
        <v>228</v>
      </c>
      <c r="C28" s="140">
        <v>1.34752529457647</v>
      </c>
      <c r="D28" s="137">
        <v>0</v>
      </c>
    </row>
    <row r="29" ht="14" customHeight="true">
      <c r="A29">
        <v>28</v>
      </c>
      <c r="B29" t="s">
        <v>197</v>
      </c>
      <c r="C29" s="140">
        <v>2.2675044573374801</v>
      </c>
      <c r="D29" s="137">
        <v>0</v>
      </c>
    </row>
    <row r="30" ht="14" customHeight="true">
      <c r="A30">
        <v>29</v>
      </c>
      <c r="B30" t="s">
        <v>198</v>
      </c>
      <c r="C30" s="140">
        <v>0.53230504054394401</v>
      </c>
      <c r="D30" s="137">
        <v>0</v>
      </c>
    </row>
    <row r="31" ht="14" customHeight="true">
      <c r="A31">
        <v>30</v>
      </c>
      <c r="B31" t="s">
        <v>199</v>
      </c>
      <c r="C31" s="140">
        <v>1.5165724236617999</v>
      </c>
      <c r="D31" s="137">
        <v>0</v>
      </c>
    </row>
    <row r="32" ht="14" customHeight="true">
      <c r="A32">
        <v>31</v>
      </c>
      <c r="B32" t="s">
        <v>229</v>
      </c>
      <c r="C32" s="140">
        <v>0.72035480751899805</v>
      </c>
      <c r="D32" s="137">
        <v>0</v>
      </c>
    </row>
    <row r="33" ht="14" customHeight="true">
      <c r="A33">
        <v>32</v>
      </c>
      <c r="B33" t="s">
        <v>230</v>
      </c>
      <c r="C33" s="140">
        <v>0.66141861465710705</v>
      </c>
      <c r="D33" s="137">
        <v>0</v>
      </c>
    </row>
    <row r="34" ht="14" customHeight="true">
      <c r="A34">
        <v>33</v>
      </c>
      <c r="B34" t="s">
        <v>231</v>
      </c>
      <c r="C34" s="140">
        <v>0.38517337330901702</v>
      </c>
      <c r="D34" s="137">
        <v>0</v>
      </c>
    </row>
    <row r="35" ht="14" customHeight="true">
      <c r="A35">
        <v>34</v>
      </c>
      <c r="B35" t="s">
        <v>232</v>
      </c>
      <c r="C35" s="140">
        <v>0.71913289664773505</v>
      </c>
      <c r="D35" s="137">
        <v>0</v>
      </c>
    </row>
    <row r="36" ht="14" customHeight="true">
      <c r="A36">
        <v>35</v>
      </c>
      <c r="B36" s="137" t="s">
        <v>233</v>
      </c>
      <c r="C36" s="135">
        <v>1</v>
      </c>
      <c r="D36" s="137">
        <v>0</v>
      </c>
    </row>
    <row r="37" ht="14" customHeight="true">
      <c r="A37">
        <v>36</v>
      </c>
      <c r="B37" t="s">
        <v>205</v>
      </c>
      <c r="C37" s="135">
        <v>1</v>
      </c>
      <c r="D37" s="137">
        <v>0</v>
      </c>
    </row>
    <row r="38" ht="14" customHeight="true">
      <c r="A38">
        <v>37</v>
      </c>
      <c r="B38" t="s">
        <v>206</v>
      </c>
      <c r="C38" s="135">
        <v>0</v>
      </c>
      <c r="D38" s="137">
        <v>0</v>
      </c>
    </row>
    <row r="39" ht="14" customHeight="true">
      <c r="A39">
        <v>38</v>
      </c>
      <c r="B39" t="s">
        <v>207</v>
      </c>
      <c r="C39" s="135">
        <v>0</v>
      </c>
      <c r="D39" s="137">
        <v>0</v>
      </c>
    </row>
    <row r="40" ht="14" customHeight="true">
      <c r="A40">
        <v>39</v>
      </c>
      <c r="B40" t="s">
        <v>208</v>
      </c>
      <c r="C40" s="135">
        <v>0</v>
      </c>
      <c r="D40" s="137">
        <v>0</v>
      </c>
    </row>
    <row r="41" ht="14" customHeight="true">
      <c r="A41">
        <v>40</v>
      </c>
      <c r="B41" t="s">
        <v>209</v>
      </c>
      <c r="C41" s="135">
        <v>0</v>
      </c>
      <c r="D41" s="137">
        <v>0</v>
      </c>
    </row>
    <row r="42" ht="14" customHeight="true">
      <c r="A42">
        <v>41</v>
      </c>
      <c r="B42" t="s">
        <v>210</v>
      </c>
      <c r="C42" s="135">
        <v>0</v>
      </c>
      <c r="D42" s="137">
        <v>0</v>
      </c>
    </row>
    <row r="43" ht="14" customHeight="true">
      <c r="A43">
        <v>42</v>
      </c>
      <c r="B43" t="s">
        <v>211</v>
      </c>
      <c r="C43" s="135">
        <v>0</v>
      </c>
      <c r="D43" s="137">
        <v>0</v>
      </c>
    </row>
    <row r="44" ht="14" customHeight="true">
      <c r="A44">
        <v>43</v>
      </c>
      <c r="B44" t="s">
        <v>212</v>
      </c>
      <c r="C44" s="135">
        <v>0</v>
      </c>
      <c r="D44" s="137">
        <v>0</v>
      </c>
    </row>
    <row r="45" ht="14" customHeight="true">
      <c r="A45">
        <v>44</v>
      </c>
      <c r="B45" t="s">
        <v>213</v>
      </c>
      <c r="C45" s="135">
        <v>0</v>
      </c>
      <c r="D45" s="140">
        <v>1.4979740840938338</v>
      </c>
    </row>
    <row r="46" ht="14" customHeight="true">
      <c r="A46">
        <v>45</v>
      </c>
      <c r="B46" t="s">
        <v>214</v>
      </c>
      <c r="C46" s="135">
        <v>0</v>
      </c>
      <c r="D46" s="140">
        <v>1.1587057822966642</v>
      </c>
    </row>
    <row r="47" ht="14" customHeight="true">
      <c r="A47">
        <v>46</v>
      </c>
      <c r="B47" t="s">
        <v>304</v>
      </c>
      <c r="C47" s="135">
        <v>0</v>
      </c>
      <c r="D47" s="140">
        <v>1.231871312905541</v>
      </c>
    </row>
    <row r="48" ht="14" customHeight="true">
      <c r="A48">
        <v>47</v>
      </c>
      <c r="B48" t="s">
        <v>215</v>
      </c>
      <c r="C48" s="135">
        <v>0</v>
      </c>
      <c r="D48" s="140">
        <v>1.5999015119152158</v>
      </c>
    </row>
    <row r="49" ht="14" customHeight="true">
      <c r="A49">
        <v>48</v>
      </c>
      <c r="B49" t="s">
        <v>216</v>
      </c>
      <c r="C49" s="135">
        <v>0</v>
      </c>
      <c r="D49" s="140">
        <v>1.3425225141513337</v>
      </c>
    </row>
    <row r="50" ht="14" customHeight="true">
      <c r="A50">
        <v>49</v>
      </c>
      <c r="B50" t="s">
        <v>217</v>
      </c>
      <c r="C50" s="135">
        <v>0</v>
      </c>
      <c r="D50" s="140">
        <v>1.414213574929452</v>
      </c>
    </row>
    <row r="51" ht="14" customHeight="true">
      <c r="A51">
        <v>50</v>
      </c>
      <c r="B51" t="s">
        <v>218</v>
      </c>
      <c r="C51" s="135">
        <v>0</v>
      </c>
      <c r="D51">
        <v>0</v>
      </c>
    </row>
    <row r="52" ht="14" customHeight="true">
      <c r="A52">
        <v>51</v>
      </c>
      <c r="B52" t="s">
        <v>72</v>
      </c>
      <c r="C52" s="135">
        <v>0</v>
      </c>
      <c r="D52">
        <v>0</v>
      </c>
    </row>
    <row r="53" ht="14" customHeight="true">
      <c r="A53">
        <v>52</v>
      </c>
      <c r="B53" t="s">
        <v>219</v>
      </c>
      <c r="C53" s="135">
        <v>0</v>
      </c>
      <c r="D53">
        <v>0</v>
      </c>
    </row>
    <row r="54" ht="14" customHeight="true">
      <c r="A54">
        <v>53</v>
      </c>
      <c r="B54" t="s">
        <v>71</v>
      </c>
      <c r="C54" s="135">
        <v>0</v>
      </c>
      <c r="D54">
        <v>0</v>
      </c>
    </row>
    <row r="55" ht="14" customHeight="true">
      <c r="A55">
        <v>54</v>
      </c>
      <c r="B55" t="s">
        <v>73</v>
      </c>
      <c r="C55" s="135">
        <v>0</v>
      </c>
      <c r="D55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J500"/>
  <sheetViews>
    <sheetView workbookViewId="0">
      <pane xSplit="2" ySplit="1" topLeftCell="C32" activePane="bottomRight" state="frozen"/>
      <selection pane="topRight" activeCell="C1" sqref="C1"/>
      <selection pane="bottomLeft" activeCell="A3" sqref="A3"/>
      <selection pane="bottomRight" activeCell="B47" sqref="B47"/>
    </sheetView>
  </sheetViews>
  <sheetFormatPr baseColWidth="10" defaultColWidth="8.83203125" defaultRowHeight="15" customHeight="true"/>
  <cols>
    <col min="1" max="1" width="8.83203125" style="59"/>
    <col min="2" max="2" width="41.83203125" style="59" bestFit="true" customWidth="true"/>
    <col min="3" max="3" width="9.33203125" style="59" bestFit="true" customWidth="true"/>
    <col min="4" max="4" width="13" style="59" bestFit="true" customWidth="true"/>
    <col min="5" max="6" width="9.33203125" style="59" bestFit="true" customWidth="true"/>
    <col min="7" max="7" width="9.33203125" style="60" bestFit="true" customWidth="true"/>
    <col min="8" max="8" width="9.33203125" style="59" bestFit="true" customWidth="true"/>
    <col min="9" max="9" width="11" style="59" customWidth="true"/>
    <col min="10" max="10" width="8.83203125" style="59"/>
    <col min="15" max="16384" width="8.83203125" style="59"/>
  </cols>
  <sheetData>
    <row r="1" ht="15" customHeight="true">
      <c r="A1" s="2" t="s">
        <v>25</v>
      </c>
      <c r="B1" s="1" t="s">
        <v>0</v>
      </c>
      <c r="C1" s="1" t="s">
        <v>13</v>
      </c>
      <c r="D1" s="1" t="s">
        <v>14</v>
      </c>
      <c r="E1" s="1" t="s">
        <v>1</v>
      </c>
      <c r="F1" s="1" t="s">
        <v>2</v>
      </c>
      <c r="G1" s="30" t="s">
        <v>15</v>
      </c>
      <c r="H1" s="1" t="s">
        <v>26</v>
      </c>
      <c r="I1" s="1" t="s">
        <v>24</v>
      </c>
    </row>
    <row r="2" ht="15" customHeight="true">
      <c r="A2" s="272">
        <v>1</v>
      </c>
      <c r="B2" s="272" t="s">
        <v>175</v>
      </c>
      <c r="C2" s="5">
        <v>1</v>
      </c>
      <c r="D2" s="6">
        <v>24.188064575195312</v>
      </c>
      <c r="E2" s="6">
        <v>254.05999755859375</v>
      </c>
      <c r="F2" s="7"/>
      <c r="G2" s="4">
        <v>0.99618685245513916</v>
      </c>
      <c r="H2" s="7"/>
      <c r="I2">
        <v>0</v>
      </c>
      <c r="J2"/>
    </row>
    <row r="3" ht="15" customHeight="true">
      <c r="A3" s="273">
        <v>2</v>
      </c>
      <c r="B3" s="273" t="s">
        <v>176</v>
      </c>
      <c r="C3" s="5">
        <v>1</v>
      </c>
      <c r="D3" s="6">
        <v>205.3800048828125</v>
      </c>
      <c r="E3" s="6">
        <v>17.006999969482422</v>
      </c>
      <c r="F3" s="7"/>
      <c r="G3" s="4">
        <v>0.22517165541648865</v>
      </c>
      <c r="H3" s="7"/>
      <c r="I3">
        <v>0</v>
      </c>
      <c r="J3"/>
    </row>
    <row r="4" ht="15" customHeight="true">
      <c r="A4" s="274">
        <v>3</v>
      </c>
      <c r="B4" s="274" t="s">
        <v>177</v>
      </c>
      <c r="C4" s="5">
        <v>2.1207430362701416</v>
      </c>
      <c r="D4" s="4">
        <v>17.430393218994141</v>
      </c>
      <c r="E4" s="6">
        <v>200</v>
      </c>
      <c r="F4" s="6">
        <v>215</v>
      </c>
      <c r="G4" s="6">
        <v>0.95000004768371582</v>
      </c>
      <c r="H4" s="4">
        <v>0.93023258447647095</v>
      </c>
      <c r="I4">
        <v>0</v>
      </c>
      <c r="J4"/>
    </row>
    <row r="5" ht="15" customHeight="true">
      <c r="A5" s="275">
        <v>4</v>
      </c>
      <c r="B5" s="275" t="s">
        <v>220</v>
      </c>
      <c r="C5" s="5">
        <v>2.4482972621917725</v>
      </c>
      <c r="D5" s="6">
        <v>4.3924655914306641</v>
      </c>
      <c r="E5" s="6">
        <v>27</v>
      </c>
      <c r="F5" s="4">
        <v>67.5</v>
      </c>
      <c r="G5" s="4">
        <v>0.92909097671508789</v>
      </c>
      <c r="H5" s="6">
        <v>0.40000000596046448</v>
      </c>
      <c r="I5">
        <v>0</v>
      </c>
      <c r="J5"/>
    </row>
    <row r="6" ht="15" customHeight="true">
      <c r="A6" s="276">
        <v>5</v>
      </c>
      <c r="B6" s="276" t="s">
        <v>221</v>
      </c>
      <c r="C6" s="5">
        <v>2.3922600746154785</v>
      </c>
      <c r="D6" s="6">
        <v>8.3000001907348633</v>
      </c>
      <c r="E6" s="6">
        <v>45</v>
      </c>
      <c r="F6" s="4">
        <v>112.5</v>
      </c>
      <c r="G6" s="4">
        <v>0.32182532548904419</v>
      </c>
      <c r="H6" s="6">
        <v>0.40000000596046448</v>
      </c>
      <c r="I6">
        <v>0</v>
      </c>
      <c r="J6"/>
    </row>
    <row r="7" ht="15" customHeight="true">
      <c r="A7" s="277">
        <v>6</v>
      </c>
      <c r="B7" s="277" t="s">
        <v>178</v>
      </c>
      <c r="C7" s="5">
        <v>2.0873756408691406</v>
      </c>
      <c r="D7" s="6">
        <v>1.2495787143707275</v>
      </c>
      <c r="E7" s="6">
        <v>20.700000762939453</v>
      </c>
      <c r="F7" s="4">
        <v>51.75</v>
      </c>
      <c r="G7" s="4">
        <v>0.62043583393096924</v>
      </c>
      <c r="H7" s="6">
        <v>0.40000000596046448</v>
      </c>
      <c r="I7">
        <v>0</v>
      </c>
      <c r="J7"/>
    </row>
    <row r="8" ht="15" customHeight="true">
      <c r="A8" s="278">
        <v>7</v>
      </c>
      <c r="B8" s="278" t="s">
        <v>222</v>
      </c>
      <c r="C8" s="5">
        <v>2.7762734889984131</v>
      </c>
      <c r="D8" s="6">
        <v>195.94921875</v>
      </c>
      <c r="E8" s="6">
        <v>19</v>
      </c>
      <c r="F8" s="4">
        <v>47.5</v>
      </c>
      <c r="G8" s="4">
        <v>0.91848498582839966</v>
      </c>
      <c r="H8" s="6">
        <v>0.40000000596046448</v>
      </c>
      <c r="I8">
        <v>0</v>
      </c>
      <c r="J8"/>
    </row>
    <row r="9" ht="15" customHeight="true">
      <c r="A9" s="279">
        <v>8</v>
      </c>
      <c r="B9" s="279" t="s">
        <v>179</v>
      </c>
      <c r="C9" s="5">
        <v>3.6203165054321289</v>
      </c>
      <c r="D9" s="6">
        <v>0.21048000454902649</v>
      </c>
      <c r="E9" s="6">
        <v>90.449996948242188</v>
      </c>
      <c r="F9" s="6">
        <v>110</v>
      </c>
      <c r="G9" s="4">
        <v>0.84949415922164917</v>
      </c>
      <c r="H9" s="4">
        <v>0.82227271795272827</v>
      </c>
      <c r="I9">
        <v>0</v>
      </c>
      <c r="J9"/>
    </row>
    <row r="10" ht="15" customHeight="true">
      <c r="A10" s="280">
        <v>9</v>
      </c>
      <c r="B10" s="280" t="s">
        <v>180</v>
      </c>
      <c r="C10" s="5">
        <v>2.6843583583831787</v>
      </c>
      <c r="D10" s="6">
        <v>1.5189970731735229</v>
      </c>
      <c r="E10" s="6">
        <v>14.680000305175781</v>
      </c>
      <c r="F10" s="4">
        <v>58.720001220703125</v>
      </c>
      <c r="G10" s="4">
        <v>0.62216752767562866</v>
      </c>
      <c r="H10" s="6">
        <v>0.25</v>
      </c>
      <c r="I10">
        <v>5.1674000918865204E-2</v>
      </c>
      <c r="J10"/>
    </row>
    <row r="11" ht="15" customHeight="true">
      <c r="A11" s="281">
        <v>10</v>
      </c>
      <c r="B11" s="281" t="s">
        <v>223</v>
      </c>
      <c r="C11" s="5">
        <v>3.7674787044525146</v>
      </c>
      <c r="D11" s="6">
        <v>4.8008999824523926</v>
      </c>
      <c r="E11" s="6">
        <v>18.25</v>
      </c>
      <c r="F11" s="6">
        <v>60</v>
      </c>
      <c r="G11" s="4">
        <v>0.41720625758171082</v>
      </c>
      <c r="H11" s="4">
        <v>0.30416667461395264</v>
      </c>
      <c r="I11">
        <v>3.3399999210814713E-7</v>
      </c>
      <c r="J11"/>
    </row>
    <row r="12" ht="15" customHeight="true">
      <c r="A12" s="282">
        <v>11</v>
      </c>
      <c r="B12" s="282" t="s">
        <v>181</v>
      </c>
      <c r="C12" s="5">
        <v>2.2829179763793945</v>
      </c>
      <c r="D12" s="6">
        <v>1.4171229600906372</v>
      </c>
      <c r="E12" s="6">
        <v>90.099998474121094</v>
      </c>
      <c r="F12" s="4">
        <v>225.25</v>
      </c>
      <c r="G12" s="4">
        <v>0.23467913269996643</v>
      </c>
      <c r="H12" s="6">
        <v>0.40000000596046448</v>
      </c>
      <c r="I12">
        <v>0</v>
      </c>
      <c r="J12"/>
    </row>
    <row r="13" ht="15" customHeight="true">
      <c r="A13" s="283">
        <v>12</v>
      </c>
      <c r="B13" s="283" t="s">
        <v>224</v>
      </c>
      <c r="C13" s="5">
        <v>3.8996710777282715</v>
      </c>
      <c r="D13" s="6">
        <v>4.1688446998596191</v>
      </c>
      <c r="E13" s="6">
        <v>19.827499389648438</v>
      </c>
      <c r="F13" s="4">
        <v>49.568748474121094</v>
      </c>
      <c r="G13" s="4">
        <v>0.94463807344436646</v>
      </c>
      <c r="H13" s="6">
        <v>0.40000000596046448</v>
      </c>
      <c r="I13">
        <v>0</v>
      </c>
      <c r="J13"/>
    </row>
    <row r="14" ht="15" customHeight="true">
      <c r="A14" s="284">
        <v>13</v>
      </c>
      <c r="B14" s="284" t="s">
        <v>182</v>
      </c>
      <c r="C14" s="5">
        <v>3.5263032913208008</v>
      </c>
      <c r="D14" s="6">
        <v>9.1770124435424805</v>
      </c>
      <c r="E14" s="6">
        <v>2.4430000782012939</v>
      </c>
      <c r="F14" s="6">
        <v>12.109999656677246</v>
      </c>
      <c r="G14" s="4">
        <v>0.59739166498184204</v>
      </c>
      <c r="H14" s="4">
        <v>0.20173411071300507</v>
      </c>
      <c r="I14">
        <v>1.0899999551838846E-6</v>
      </c>
      <c r="J14"/>
    </row>
    <row r="15" ht="15" customHeight="true">
      <c r="A15" s="285">
        <v>14</v>
      </c>
      <c r="B15" s="285" t="s">
        <v>183</v>
      </c>
      <c r="C15" s="5">
        <v>2.7041301727294922</v>
      </c>
      <c r="D15" s="6">
        <v>7.178797721862793</v>
      </c>
      <c r="E15" s="6">
        <v>0.60000002384185791</v>
      </c>
      <c r="F15" s="6">
        <v>11</v>
      </c>
      <c r="G15" s="4">
        <v>1.6042611150623998E-6</v>
      </c>
      <c r="H15" s="4">
        <v>5.4545458406209946E-2</v>
      </c>
      <c r="I15">
        <v>6.9099996835575439E-6</v>
      </c>
      <c r="J15"/>
    </row>
    <row r="16" ht="15" customHeight="true">
      <c r="A16" s="286">
        <v>15</v>
      </c>
      <c r="B16" s="286" t="s">
        <v>184</v>
      </c>
      <c r="C16" s="5">
        <v>3.5002510547637939</v>
      </c>
      <c r="D16" s="6">
        <v>17.267030715942383</v>
      </c>
      <c r="E16" s="6">
        <v>0.80000001192092896</v>
      </c>
      <c r="F16" s="6">
        <v>1.8500000238418579</v>
      </c>
      <c r="G16" s="4">
        <v>1.3751983642578125E-3</v>
      </c>
      <c r="H16" s="4">
        <v>0.43243244290351868</v>
      </c>
      <c r="I16">
        <v>1.0951000149361789E-5</v>
      </c>
      <c r="J16"/>
    </row>
    <row r="17" ht="15" customHeight="true">
      <c r="A17" s="287">
        <v>16</v>
      </c>
      <c r="B17" s="287" t="s">
        <v>185</v>
      </c>
      <c r="C17" s="5">
        <v>3.7817020416259766</v>
      </c>
      <c r="D17" s="4">
        <v>0.75102388858795166</v>
      </c>
      <c r="E17" s="6">
        <v>0.85500001907348633</v>
      </c>
      <c r="F17" s="6">
        <v>12.920000076293945</v>
      </c>
      <c r="G17" s="6">
        <v>0.79999995231628418</v>
      </c>
      <c r="H17" s="4">
        <v>6.6176474094390869E-2</v>
      </c>
      <c r="I17">
        <v>7.7148997661424801E-6</v>
      </c>
      <c r="J17"/>
    </row>
    <row r="18" ht="15" customHeight="true">
      <c r="A18" s="288">
        <v>17</v>
      </c>
      <c r="B18" s="288" t="s">
        <v>186</v>
      </c>
      <c r="C18" s="5">
        <v>3.2230639457702637</v>
      </c>
      <c r="D18" s="6">
        <v>10.844343185424805</v>
      </c>
      <c r="E18" s="6">
        <v>1.6000000238418579</v>
      </c>
      <c r="F18" s="6">
        <v>13.260000228881836</v>
      </c>
      <c r="G18" s="4">
        <v>0.43166488409042358</v>
      </c>
      <c r="H18" s="4">
        <v>0.12066365033388138</v>
      </c>
      <c r="I18">
        <v>7.4817496351897717E-4</v>
      </c>
      <c r="J18"/>
    </row>
    <row r="19" ht="15" customHeight="true">
      <c r="A19" s="289">
        <v>18</v>
      </c>
      <c r="B19" s="289" t="s">
        <v>187</v>
      </c>
      <c r="C19" s="5">
        <v>2.9097480773925781</v>
      </c>
      <c r="D19" s="6">
        <v>8.7219915390014648</v>
      </c>
      <c r="E19" s="6">
        <v>2.0999999046325684</v>
      </c>
      <c r="F19" s="6">
        <v>13.640000343322754</v>
      </c>
      <c r="G19" s="4">
        <v>0.68612122535705566</v>
      </c>
      <c r="H19" s="4">
        <v>0.15395893156528473</v>
      </c>
      <c r="I19">
        <v>7.1300787925720215</v>
      </c>
      <c r="J19"/>
    </row>
    <row r="20" ht="15" customHeight="true">
      <c r="A20" s="290">
        <v>19</v>
      </c>
      <c r="B20" s="290" t="s">
        <v>188</v>
      </c>
      <c r="C20" s="5">
        <v>2.2704019546508789</v>
      </c>
      <c r="D20" s="6">
        <v>0.32159999012947083</v>
      </c>
      <c r="E20" s="6">
        <v>1.7999999523162842</v>
      </c>
      <c r="F20" s="6">
        <v>18.225299835205078</v>
      </c>
      <c r="G20" s="4">
        <v>4.5713484287261963E-2</v>
      </c>
      <c r="H20" s="4">
        <v>9.8763801157474518E-2</v>
      </c>
      <c r="I20">
        <v>1.8691000295802951E-3</v>
      </c>
      <c r="J20"/>
    </row>
    <row r="21" ht="15" customHeight="true">
      <c r="A21" s="291">
        <v>20</v>
      </c>
      <c r="B21" s="291" t="s">
        <v>189</v>
      </c>
      <c r="C21" s="5">
        <v>3.8362524509429932</v>
      </c>
      <c r="D21" s="6">
        <v>0.23702399432659149</v>
      </c>
      <c r="E21" s="6">
        <v>0.34999999403953552</v>
      </c>
      <c r="F21" s="6">
        <v>3.6700000762939453</v>
      </c>
      <c r="G21" s="4">
        <v>0.64312601089477539</v>
      </c>
      <c r="H21" s="4">
        <v>9.5367841422557831E-2</v>
      </c>
      <c r="I21">
        <v>5.3352702409029007E-2</v>
      </c>
      <c r="J21"/>
    </row>
    <row r="22" ht="15" customHeight="true">
      <c r="A22" s="292">
        <v>21</v>
      </c>
      <c r="B22" s="292" t="s">
        <v>190</v>
      </c>
      <c r="C22" s="5">
        <v>3.6299433708190918</v>
      </c>
      <c r="D22" s="6">
        <v>5.1344960927963257E-2</v>
      </c>
      <c r="E22" s="6">
        <v>0.56999999284744263</v>
      </c>
      <c r="F22" s="6">
        <v>4.9499998092651367</v>
      </c>
      <c r="G22" s="4">
        <v>0.27471506595611572</v>
      </c>
      <c r="H22" s="4">
        <v>0.11515151709318161</v>
      </c>
      <c r="I22">
        <v>3.9624999044463038E-4</v>
      </c>
      <c r="J22"/>
    </row>
    <row r="23" ht="15" customHeight="true">
      <c r="A23" s="293">
        <v>22</v>
      </c>
      <c r="B23" s="293" t="s">
        <v>191</v>
      </c>
      <c r="C23" s="5">
        <v>3.4596970081329346</v>
      </c>
      <c r="D23" s="6">
        <v>0.3618634045124054</v>
      </c>
      <c r="E23" s="6">
        <v>0.37999999523162842</v>
      </c>
      <c r="F23" s="6">
        <v>7.8400001525878906</v>
      </c>
      <c r="G23" s="4">
        <v>0.7010466456413269</v>
      </c>
      <c r="H23" s="4">
        <v>4.8469386994838715E-2</v>
      </c>
      <c r="I23">
        <v>4.4619999243877828E-5</v>
      </c>
      <c r="J23"/>
    </row>
    <row r="24" ht="15" customHeight="true">
      <c r="A24" s="294">
        <v>23</v>
      </c>
      <c r="B24" s="294" t="s">
        <v>192</v>
      </c>
      <c r="C24" s="5">
        <v>3.4771678447723389</v>
      </c>
      <c r="D24" s="4">
        <v>0.3731381893157959</v>
      </c>
      <c r="E24" s="6">
        <v>0.87000000476837158</v>
      </c>
      <c r="F24" s="6">
        <v>11.710000038146973</v>
      </c>
      <c r="G24" s="6">
        <v>0.80000007152557373</v>
      </c>
      <c r="H24" s="4">
        <v>7.4295476078987122E-2</v>
      </c>
      <c r="I24">
        <v>0</v>
      </c>
      <c r="J24"/>
    </row>
    <row r="25" ht="15" customHeight="true">
      <c r="A25" s="295">
        <v>24</v>
      </c>
      <c r="B25" s="295" t="s">
        <v>225</v>
      </c>
      <c r="C25" s="5">
        <v>3.6239192485809326</v>
      </c>
      <c r="D25" s="6">
        <v>0.31892943382263184</v>
      </c>
      <c r="E25" s="6">
        <v>2.4500000476837158</v>
      </c>
      <c r="F25" s="6">
        <v>4.5199999809265137</v>
      </c>
      <c r="G25" s="4">
        <v>1.4216121286153793E-2</v>
      </c>
      <c r="H25" s="4">
        <v>0.54203540086746216</v>
      </c>
      <c r="I25">
        <v>1.9297998733236454E-5</v>
      </c>
      <c r="J25"/>
    </row>
    <row r="26" ht="15" customHeight="true">
      <c r="A26" s="296">
        <v>25</v>
      </c>
      <c r="B26" s="296" t="s">
        <v>226</v>
      </c>
      <c r="C26" s="5">
        <v>3.4748466014862061</v>
      </c>
      <c r="D26" s="4">
        <v>1.4412369728088379</v>
      </c>
      <c r="E26" s="6">
        <v>0.77499997615814209</v>
      </c>
      <c r="F26" s="6">
        <v>9.4600000381469727</v>
      </c>
      <c r="G26" s="6">
        <v>0.99000006914138794</v>
      </c>
      <c r="H26" s="4">
        <v>8.1923887133598328E-2</v>
      </c>
      <c r="I26">
        <v>6.6035002237185836E-4</v>
      </c>
      <c r="J26"/>
    </row>
    <row r="27" ht="15" customHeight="true">
      <c r="A27" s="297">
        <v>26</v>
      </c>
      <c r="B27" s="297" t="s">
        <v>227</v>
      </c>
      <c r="C27" s="5">
        <v>4.2559847831726074</v>
      </c>
      <c r="D27" s="6">
        <v>0.14571943879127502</v>
      </c>
      <c r="E27" s="6">
        <v>0.43000000715255737</v>
      </c>
      <c r="F27" s="6">
        <v>2.4800000190734863</v>
      </c>
      <c r="G27" s="4">
        <v>1.1683808639645576E-2</v>
      </c>
      <c r="H27" s="4">
        <v>0.17338709533214569</v>
      </c>
      <c r="I27">
        <v>7.3209998663514853E-4</v>
      </c>
      <c r="J27"/>
    </row>
    <row r="28" ht="15" customHeight="true">
      <c r="A28" s="298">
        <v>27</v>
      </c>
      <c r="B28" s="298" t="s">
        <v>228</v>
      </c>
      <c r="C28" s="5">
        <v>3.7125613689422607</v>
      </c>
      <c r="D28" s="6">
        <v>1.3542665243148804</v>
      </c>
      <c r="E28" s="6">
        <v>1.0399999618530273</v>
      </c>
      <c r="F28" s="6">
        <v>4.6999998092651367</v>
      </c>
      <c r="G28" s="4">
        <v>1.1521423002704978E-3</v>
      </c>
      <c r="H28" s="4">
        <v>0.22127659618854523</v>
      </c>
      <c r="I28">
        <v>1.6227200394496322E-3</v>
      </c>
      <c r="J28"/>
    </row>
    <row r="29" ht="15" customHeight="true">
      <c r="A29" s="299">
        <v>28</v>
      </c>
      <c r="B29" s="299" t="s">
        <v>197</v>
      </c>
      <c r="C29" s="5">
        <v>3.5930993556976318</v>
      </c>
      <c r="D29" s="6">
        <v>7.2448002174496651E-4</v>
      </c>
      <c r="E29" s="6">
        <v>0.43000000715255737</v>
      </c>
      <c r="F29" s="6">
        <v>2.4800000190734863</v>
      </c>
      <c r="G29" s="4">
        <v>2.2521365899592638E-3</v>
      </c>
      <c r="H29" s="4">
        <v>0.17338709533214569</v>
      </c>
      <c r="I29">
        <v>7.0160001541808015E-7</v>
      </c>
      <c r="J29"/>
    </row>
    <row r="30" ht="15" customHeight="true">
      <c r="A30" s="300">
        <v>29</v>
      </c>
      <c r="B30" s="300" t="s">
        <v>198</v>
      </c>
      <c r="C30" s="5">
        <v>3.4122915267944336</v>
      </c>
      <c r="D30" s="6">
        <v>0.92208057641983032</v>
      </c>
      <c r="E30" s="6">
        <v>2.4500000476837158</v>
      </c>
      <c r="F30" s="6">
        <v>9.6700000762939453</v>
      </c>
      <c r="G30" s="4">
        <v>0.63858246803283691</v>
      </c>
      <c r="H30" s="4">
        <v>0.25336092710494995</v>
      </c>
      <c r="I30">
        <v>4.2354001197963953E-4</v>
      </c>
      <c r="J30"/>
    </row>
    <row r="31" ht="15" customHeight="true">
      <c r="A31" s="301">
        <v>30</v>
      </c>
      <c r="B31" s="301" t="s">
        <v>199</v>
      </c>
      <c r="C31" s="5">
        <v>3.67352294921875</v>
      </c>
      <c r="D31" s="6">
        <v>0.54690420627593994</v>
      </c>
      <c r="E31" s="6">
        <v>0.40000000596046448</v>
      </c>
      <c r="F31" s="6">
        <v>10.210000038146973</v>
      </c>
      <c r="G31" s="4">
        <v>5.2894596010446548E-2</v>
      </c>
      <c r="H31" s="4">
        <v>3.9177276194095612E-2</v>
      </c>
      <c r="I31">
        <v>1.5264999819919467E-4</v>
      </c>
      <c r="J31"/>
    </row>
    <row r="32" ht="15" customHeight="true">
      <c r="A32" s="302">
        <v>31</v>
      </c>
      <c r="B32" s="302" t="s">
        <v>229</v>
      </c>
      <c r="C32" s="5">
        <v>2.7888588905334473</v>
      </c>
      <c r="D32" s="6">
        <v>17.775260925292969</v>
      </c>
      <c r="E32" s="6">
        <v>2.5999999046325684</v>
      </c>
      <c r="F32" s="6">
        <v>25.540000915527344</v>
      </c>
      <c r="G32" s="4">
        <v>0.70675045251846313</v>
      </c>
      <c r="H32" s="4">
        <v>0.10180108994245529</v>
      </c>
      <c r="I32">
        <v>6.3815998146310449E-5</v>
      </c>
      <c r="J32"/>
    </row>
    <row r="33" ht="15" customHeight="true">
      <c r="A33" s="303">
        <v>32</v>
      </c>
      <c r="B33" s="303" t="s">
        <v>230</v>
      </c>
      <c r="C33" s="5">
        <v>3.9347736835479736</v>
      </c>
      <c r="D33" s="6">
        <v>10.369647026062012</v>
      </c>
      <c r="E33" s="6">
        <v>0.69999998807907104</v>
      </c>
      <c r="F33" s="6">
        <v>5.4000000953674316</v>
      </c>
      <c r="G33" s="4">
        <v>0.3890913724899292</v>
      </c>
      <c r="H33" s="4">
        <v>0.12962962687015533</v>
      </c>
      <c r="I33">
        <v>5.4190000519156456E-3</v>
      </c>
      <c r="J33"/>
    </row>
    <row r="34" ht="15" customHeight="true">
      <c r="A34" s="304">
        <v>33</v>
      </c>
      <c r="B34" s="304" t="s">
        <v>231</v>
      </c>
      <c r="C34" s="5">
        <v>3.11753249168396</v>
      </c>
      <c r="D34" s="6">
        <v>83.09423828125</v>
      </c>
      <c r="E34" s="6">
        <v>1.5800000429153442</v>
      </c>
      <c r="F34" s="6">
        <v>5.4099998474121094</v>
      </c>
      <c r="G34" s="4">
        <v>0.55736112594604492</v>
      </c>
      <c r="H34" s="4">
        <v>0.292051762342453</v>
      </c>
      <c r="I34">
        <v>2.123199962079525E-2</v>
      </c>
      <c r="J34"/>
    </row>
    <row r="35" ht="15" customHeight="true">
      <c r="A35" s="305">
        <v>34</v>
      </c>
      <c r="B35" s="305" t="s">
        <v>232</v>
      </c>
      <c r="C35" s="5">
        <v>3.5354161262512207</v>
      </c>
      <c r="D35" s="6">
        <v>0.60000002384185791</v>
      </c>
      <c r="E35" s="6">
        <v>1.5800000429153442</v>
      </c>
      <c r="F35" s="6">
        <v>3.6700000762939453</v>
      </c>
      <c r="G35" s="4">
        <v>0.94954270124435425</v>
      </c>
      <c r="H35" s="4">
        <v>0.43051770329475403</v>
      </c>
      <c r="I35">
        <v>2.4347279686480761E-3</v>
      </c>
      <c r="J35"/>
    </row>
    <row r="36" ht="15" customHeight="true">
      <c r="A36" s="306">
        <v>35</v>
      </c>
      <c r="B36" s="306" t="s">
        <v>233</v>
      </c>
      <c r="C36" s="5">
        <v>3.5082440376281738</v>
      </c>
      <c r="D36" s="6">
        <v>4.1040782928466797</v>
      </c>
      <c r="E36" s="6">
        <v>4.3000001907348633</v>
      </c>
      <c r="F36" s="6">
        <v>10</v>
      </c>
      <c r="G36" s="4">
        <v>0.66919529438018799</v>
      </c>
      <c r="H36" s="4">
        <v>0.43000000715255737</v>
      </c>
      <c r="I36">
        <v>2.2399999579647556E-6</v>
      </c>
      <c r="J36"/>
    </row>
    <row r="37" ht="15" customHeight="true">
      <c r="A37" s="307">
        <v>36</v>
      </c>
      <c r="B37" s="307" t="s">
        <v>205</v>
      </c>
      <c r="C37" s="5">
        <v>3.3213505744934082</v>
      </c>
      <c r="D37" s="6">
        <v>1.9287047386169434</v>
      </c>
      <c r="E37" s="6">
        <v>2.4000000953674316</v>
      </c>
      <c r="F37" s="6">
        <v>8.5</v>
      </c>
      <c r="G37" s="4">
        <v>0.51229113340377808</v>
      </c>
      <c r="H37" s="4">
        <v>0.28235295414924622</v>
      </c>
      <c r="I37">
        <v>0.10294006764888763</v>
      </c>
      <c r="J37"/>
    </row>
    <row r="38" ht="15" customHeight="true">
      <c r="A38" s="308">
        <v>37</v>
      </c>
      <c r="B38" s="308" t="s">
        <v>206</v>
      </c>
      <c r="C38" s="5">
        <v>2</v>
      </c>
      <c r="D38" s="4">
        <v>19.449831008911133</v>
      </c>
      <c r="E38" s="6">
        <v>0.80000001192092896</v>
      </c>
      <c r="F38" s="6">
        <v>9</v>
      </c>
      <c r="G38" s="6">
        <v>0.80000001192092896</v>
      </c>
      <c r="H38" s="4">
        <v>8.8888891041278839E-2</v>
      </c>
      <c r="I38">
        <v>0</v>
      </c>
      <c r="J38"/>
    </row>
    <row r="39" ht="15" customHeight="true">
      <c r="A39" s="309">
        <v>38</v>
      </c>
      <c r="B39" s="309" t="s">
        <v>207</v>
      </c>
      <c r="C39" s="5">
        <v>2.270211935043335</v>
      </c>
      <c r="D39" s="4">
        <v>14.485039710998535</v>
      </c>
      <c r="E39" s="6">
        <v>12.5</v>
      </c>
      <c r="F39" s="4">
        <v>25</v>
      </c>
      <c r="G39" s="6">
        <v>0.79999995231628418</v>
      </c>
      <c r="H39" s="6">
        <v>0.5</v>
      </c>
      <c r="I39">
        <v>0</v>
      </c>
      <c r="J39"/>
    </row>
    <row r="40" ht="15" customHeight="true">
      <c r="A40" s="310">
        <v>39</v>
      </c>
      <c r="B40" s="310" t="s">
        <v>208</v>
      </c>
      <c r="C40" s="5">
        <v>2</v>
      </c>
      <c r="D40" s="6">
        <v>36.4910888671875</v>
      </c>
      <c r="E40" s="6">
        <v>2.2999999523162842</v>
      </c>
      <c r="F40" s="6">
        <v>23</v>
      </c>
      <c r="G40" s="4">
        <v>0.54438197612762451</v>
      </c>
      <c r="H40" s="4">
        <v>0.10000000149011612</v>
      </c>
      <c r="I40">
        <v>0.10016400367021561</v>
      </c>
      <c r="J40"/>
    </row>
    <row r="41" ht="15" customHeight="true">
      <c r="A41" s="311">
        <v>40</v>
      </c>
      <c r="B41" s="311" t="s">
        <v>209</v>
      </c>
      <c r="C41" s="5">
        <v>2.488720178604126</v>
      </c>
      <c r="D41" s="6">
        <v>38.472000122070312</v>
      </c>
      <c r="E41" s="6">
        <v>6.4000000953674316</v>
      </c>
      <c r="F41" s="6">
        <v>7.4320001602172852</v>
      </c>
      <c r="G41" s="4">
        <v>0.68534153699874878</v>
      </c>
      <c r="H41" s="4">
        <v>0.86114102602005005</v>
      </c>
      <c r="I41">
        <v>0</v>
      </c>
      <c r="J41"/>
    </row>
    <row r="42" ht="15" customHeight="true">
      <c r="A42" s="312">
        <v>41</v>
      </c>
      <c r="B42" s="312" t="s">
        <v>210</v>
      </c>
      <c r="C42" s="5">
        <v>3.9783179759979248</v>
      </c>
      <c r="D42" s="6">
        <v>8.609999786131084E-4</v>
      </c>
      <c r="E42" s="6">
        <v>5.4000000953674316</v>
      </c>
      <c r="F42" s="6">
        <v>80</v>
      </c>
      <c r="G42" s="4">
        <v>3.5488449157128343E-6</v>
      </c>
      <c r="H42" s="4">
        <v>6.7500002682209015E-2</v>
      </c>
      <c r="I42">
        <v>1.6499999588859282E-8</v>
      </c>
      <c r="J42"/>
    </row>
    <row r="43" ht="15" customHeight="true">
      <c r="A43" s="313">
        <v>42</v>
      </c>
      <c r="B43" s="313" t="s">
        <v>211</v>
      </c>
      <c r="C43" s="5">
        <v>4.0294995307922363</v>
      </c>
      <c r="D43" s="6">
        <v>4.216466550133191E-5</v>
      </c>
      <c r="E43" s="6">
        <v>5.4000000953674316</v>
      </c>
      <c r="F43" s="6">
        <v>80</v>
      </c>
      <c r="G43" s="4">
        <v>0</v>
      </c>
      <c r="H43" s="4">
        <v>6.7500002682209015E-2</v>
      </c>
      <c r="I43">
        <v>0</v>
      </c>
      <c r="J43"/>
    </row>
    <row r="44" ht="15" customHeight="true">
      <c r="A44" s="314">
        <v>43</v>
      </c>
      <c r="B44" s="314" t="s">
        <v>212</v>
      </c>
      <c r="C44" s="5">
        <v>3.561079740524292</v>
      </c>
      <c r="D44" s="6">
        <v>1.9600000086938962E-5</v>
      </c>
      <c r="E44" s="6">
        <v>5.4000000953674316</v>
      </c>
      <c r="F44" s="6">
        <v>80</v>
      </c>
      <c r="G44" s="4">
        <v>0</v>
      </c>
      <c r="H44" s="4">
        <v>6.7500002682209015E-2</v>
      </c>
      <c r="I44">
        <v>0</v>
      </c>
      <c r="J44"/>
    </row>
    <row r="45" ht="15" customHeight="true">
      <c r="A45" s="315">
        <v>44</v>
      </c>
      <c r="B45" s="315" t="s">
        <v>213</v>
      </c>
      <c r="C45" s="5">
        <v>2.5170965194702148</v>
      </c>
      <c r="D45" s="6">
        <v>2.0046918652951717E-3</v>
      </c>
      <c r="E45" s="6">
        <v>0.19200000166893005</v>
      </c>
      <c r="F45" s="6">
        <v>3.5</v>
      </c>
      <c r="G45" s="4">
        <v>6.1834109947085381E-3</v>
      </c>
      <c r="H45" s="4">
        <v>5.4857142269611359E-2</v>
      </c>
      <c r="I45">
        <v>2.3800000690243905E-6</v>
      </c>
      <c r="J45"/>
    </row>
    <row r="46" ht="15" customHeight="true">
      <c r="A46" s="316">
        <v>45</v>
      </c>
      <c r="B46" s="316" t="s">
        <v>214</v>
      </c>
      <c r="C46" s="5">
        <v>3.9580750465393066</v>
      </c>
      <c r="D46" s="6">
        <v>9.8629592685028911E-5</v>
      </c>
      <c r="E46" s="6">
        <v>0.19200000166893005</v>
      </c>
      <c r="F46" s="6">
        <v>3.5</v>
      </c>
      <c r="G46" s="4">
        <v>4.3090514838695526E-2</v>
      </c>
      <c r="H46" s="4">
        <v>5.4857142269611359E-2</v>
      </c>
      <c r="I46">
        <v>8.1600001067272387E-7</v>
      </c>
      <c r="J46"/>
    </row>
    <row r="47" ht="15" customHeight="true">
      <c r="A47" s="317">
        <v>46</v>
      </c>
      <c r="B47" s="317" t="s">
        <v>304</v>
      </c>
      <c r="C47" s="5">
        <v>3.5820605754852295</v>
      </c>
      <c r="D47" s="6">
        <v>6.8774999817833304E-5</v>
      </c>
      <c r="E47" s="6">
        <v>0.19200000166893005</v>
      </c>
      <c r="F47" s="6">
        <v>3.5</v>
      </c>
      <c r="G47" s="4">
        <v>0.90118741989135742</v>
      </c>
      <c r="H47" s="4">
        <v>5.4857142269611359E-2</v>
      </c>
      <c r="I47">
        <v>1.1899999663000926E-5</v>
      </c>
      <c r="J47"/>
    </row>
    <row r="48" ht="15" customHeight="true">
      <c r="A48" s="318">
        <v>47</v>
      </c>
      <c r="B48" s="318" t="s">
        <v>215</v>
      </c>
      <c r="C48" s="5">
        <v>4.7939176559448242</v>
      </c>
      <c r="D48" s="6">
        <v>7.6199998147785664E-4</v>
      </c>
      <c r="E48" s="6">
        <v>0.19200000166893005</v>
      </c>
      <c r="F48" s="6">
        <v>3.5</v>
      </c>
      <c r="G48" s="4">
        <v>4.0395341813564301E-2</v>
      </c>
      <c r="H48" s="4">
        <v>5.4857142269611359E-2</v>
      </c>
      <c r="I48">
        <v>5.9099997997691389E-6</v>
      </c>
      <c r="J48"/>
    </row>
    <row r="49" ht="15" customHeight="true">
      <c r="A49" s="319">
        <v>48</v>
      </c>
      <c r="B49" s="319" t="s">
        <v>216</v>
      </c>
      <c r="C49" s="5">
        <v>4.4081315994262695</v>
      </c>
      <c r="D49" s="6">
        <v>4.0699560195207596E-2</v>
      </c>
      <c r="E49" s="6">
        <v>0.10000000149011612</v>
      </c>
      <c r="F49" s="6">
        <v>24.979999542236328</v>
      </c>
      <c r="G49" s="4">
        <v>2.5784280151128769E-2</v>
      </c>
      <c r="H49" s="4">
        <v>4.0032025426626205E-3</v>
      </c>
      <c r="I49">
        <v>5.9099997997691389E-6</v>
      </c>
      <c r="J49"/>
    </row>
    <row r="50" ht="15" customHeight="true">
      <c r="A50" s="320">
        <v>49</v>
      </c>
      <c r="B50" s="320" t="s">
        <v>217</v>
      </c>
      <c r="C50" s="5">
        <v>4.4338221549987793</v>
      </c>
      <c r="D50" s="6">
        <v>8.7754358537495136E-4</v>
      </c>
      <c r="E50" s="6">
        <v>4.6999998390674591E-2</v>
      </c>
      <c r="F50" s="6">
        <v>6.6090002059936523</v>
      </c>
      <c r="G50" s="4">
        <v>6.4493373036384583E-2</v>
      </c>
      <c r="H50" s="4">
        <v>7.1115139871835709E-3</v>
      </c>
      <c r="I50">
        <v>2.660000063769985E-6</v>
      </c>
      <c r="J50"/>
    </row>
    <row r="51" ht="15" customHeight="true">
      <c r="A51" s="321">
        <v>50</v>
      </c>
      <c r="B51" s="321" t="s">
        <v>218</v>
      </c>
      <c r="C51" s="5">
        <v>3.8294055461883545</v>
      </c>
      <c r="D51" s="6">
        <v>3.3884374715853482E-5</v>
      </c>
      <c r="E51" s="6">
        <v>3.7999998778104782E-2</v>
      </c>
      <c r="F51" s="6">
        <v>7.570000171661377</v>
      </c>
      <c r="G51" s="4">
        <v>0</v>
      </c>
      <c r="H51" s="4">
        <v>5.01981470733881E-3</v>
      </c>
      <c r="I51">
        <v>0</v>
      </c>
      <c r="J51"/>
    </row>
    <row r="52" ht="15" customHeight="true">
      <c r="A52" s="322">
        <v>51</v>
      </c>
      <c r="B52" s="322" t="s">
        <v>72</v>
      </c>
      <c r="C52" s="5">
        <v>1</v>
      </c>
      <c r="D52" s="6">
        <v>5</v>
      </c>
      <c r="E52" s="7"/>
      <c r="F52" s="7"/>
      <c r="G52" s="4">
        <v>0.87118136882781982</v>
      </c>
      <c r="H52" s="7"/>
      <c r="I52">
        <v>0</v>
      </c>
      <c r="J52"/>
    </row>
    <row r="53" ht="15" customHeight="true">
      <c r="A53" s="323">
        <v>52</v>
      </c>
      <c r="B53" s="323" t="s">
        <v>219</v>
      </c>
      <c r="C53" s="5">
        <v>1</v>
      </c>
      <c r="D53" s="6">
        <v>1.9779600203037262E-2</v>
      </c>
      <c r="E53" s="7"/>
      <c r="F53" s="7"/>
      <c r="G53" s="4">
        <v>0.93590766191482544</v>
      </c>
      <c r="H53" s="7"/>
      <c r="I53">
        <v>0</v>
      </c>
      <c r="J53"/>
    </row>
    <row r="54" ht="15" customHeight="true">
      <c r="A54" s="324">
        <v>53</v>
      </c>
      <c r="B54" s="324" t="s">
        <v>71</v>
      </c>
      <c r="C54" s="5">
        <v>1</v>
      </c>
      <c r="D54" s="6">
        <v>5.000000074505806E-2</v>
      </c>
      <c r="E54" s="7"/>
      <c r="F54" s="7"/>
      <c r="G54" s="4">
        <v>0</v>
      </c>
      <c r="H54" s="7"/>
      <c r="I54">
        <v>0</v>
      </c>
      <c r="J54"/>
    </row>
    <row r="55" ht="15" customHeight="true">
      <c r="A55" s="325">
        <v>54</v>
      </c>
      <c r="B55" s="325" t="s">
        <v>73</v>
      </c>
      <c r="C55" s="5">
        <v>1</v>
      </c>
      <c r="D55" s="6">
        <v>15</v>
      </c>
      <c r="E55" s="7"/>
      <c r="F55" s="7"/>
      <c r="G55" s="4">
        <v>0.30878511071205139</v>
      </c>
      <c r="H55" s="7"/>
      <c r="I55">
        <v>0</v>
      </c>
      <c r="J55"/>
    </row>
    <row r="56" ht="15" customHeight="true">
      <c r="A56" s="326">
        <v>55</v>
      </c>
      <c r="B56" s="326" t="s">
        <v>280</v>
      </c>
      <c r="C56" s="5">
        <v>4.4964146614074707</v>
      </c>
      <c r="D56" s="7"/>
      <c r="E56" s="7"/>
      <c r="F56" s="7"/>
      <c r="G56" s="7"/>
      <c r="H56" s="7"/>
      <c r="I56">
        <v>0.10204912722110748</v>
      </c>
      <c r="J56"/>
    </row>
    <row r="57" ht="15" customHeight="true">
      <c r="A57" s="327">
        <v>56</v>
      </c>
      <c r="B57" s="327" t="s">
        <v>281</v>
      </c>
      <c r="C57" s="5">
        <v>3.9020216464996338</v>
      </c>
      <c r="D57" s="7"/>
      <c r="E57" s="7"/>
      <c r="F57" s="7"/>
      <c r="G57" s="7"/>
      <c r="H57" s="7"/>
      <c r="I57">
        <v>7.3720388412475586</v>
      </c>
      <c r="J57"/>
    </row>
    <row r="58" ht="15" customHeight="true">
      <c r="A58"/>
      <c r="B58"/>
      <c r="C58"/>
      <c r="D58"/>
      <c r="E58"/>
      <c r="F58"/>
      <c r="G58"/>
      <c r="H58"/>
      <c r="I58"/>
      <c r="J58"/>
    </row>
    <row r="59" ht="15" customHeight="true">
      <c r="A59"/>
      <c r="B59"/>
      <c r="C59"/>
      <c r="D59"/>
      <c r="E59"/>
      <c r="F59"/>
      <c r="G59"/>
      <c r="H59"/>
      <c r="I59"/>
      <c r="J59"/>
    </row>
    <row r="60" ht="15" customHeight="true">
      <c r="A60"/>
      <c r="B60"/>
      <c r="C60"/>
      <c r="D60"/>
      <c r="E60"/>
      <c r="F60"/>
      <c r="G60"/>
      <c r="H60"/>
      <c r="I60"/>
      <c r="J60"/>
    </row>
    <row r="61" ht="15" customHeight="true">
      <c r="A61"/>
      <c r="B61"/>
      <c r="C61"/>
      <c r="D61"/>
      <c r="E61"/>
      <c r="F61"/>
      <c r="G61"/>
      <c r="H61"/>
      <c r="I61"/>
      <c r="J61"/>
    </row>
    <row r="62" ht="15" customHeight="true">
      <c r="A62"/>
      <c r="B62"/>
      <c r="C62"/>
      <c r="D62"/>
      <c r="E62"/>
      <c r="F62"/>
      <c r="G62"/>
      <c r="H62"/>
      <c r="I62"/>
      <c r="J62"/>
    </row>
    <row r="63" ht="15" customHeight="true">
      <c r="A63"/>
      <c r="B63"/>
      <c r="C63"/>
      <c r="D63"/>
      <c r="E63"/>
      <c r="F63"/>
      <c r="G63"/>
      <c r="H63"/>
      <c r="I63"/>
      <c r="J63"/>
    </row>
    <row r="64" ht="15" customHeight="true">
      <c r="A64"/>
      <c r="B64"/>
      <c r="C64"/>
      <c r="D64"/>
      <c r="E64"/>
      <c r="F64"/>
      <c r="G64"/>
      <c r="H64"/>
      <c r="I64"/>
      <c r="J64"/>
    </row>
    <row r="65" ht="15" customHeight="true">
      <c r="A65"/>
      <c r="B65"/>
      <c r="C65"/>
      <c r="D65"/>
      <c r="E65"/>
      <c r="F65"/>
      <c r="G65"/>
      <c r="H65"/>
      <c r="I65"/>
      <c r="J65"/>
    </row>
    <row r="66" ht="15" customHeight="true">
      <c r="A66"/>
      <c r="B66"/>
      <c r="C66"/>
      <c r="D66"/>
      <c r="E66"/>
      <c r="F66"/>
      <c r="G66"/>
      <c r="H66"/>
      <c r="I66"/>
      <c r="J66"/>
    </row>
    <row r="67" ht="15" customHeight="true">
      <c r="A67"/>
      <c r="B67"/>
      <c r="C67"/>
      <c r="D67"/>
      <c r="E67"/>
      <c r="F67"/>
      <c r="G67"/>
      <c r="H67"/>
      <c r="I67"/>
      <c r="J67"/>
    </row>
    <row r="68" ht="15" customHeight="true">
      <c r="A68"/>
      <c r="B68"/>
      <c r="C68"/>
      <c r="D68"/>
      <c r="E68"/>
      <c r="F68"/>
      <c r="G68"/>
      <c r="H68"/>
      <c r="I68"/>
      <c r="J68"/>
    </row>
    <row r="69" ht="15" customHeight="true">
      <c r="A69"/>
      <c r="B69"/>
      <c r="C69"/>
      <c r="D69"/>
      <c r="E69"/>
      <c r="F69"/>
      <c r="G69"/>
      <c r="H69"/>
      <c r="I69"/>
      <c r="J69"/>
    </row>
    <row r="70" ht="15" customHeight="true">
      <c r="A70"/>
      <c r="B70"/>
      <c r="C70"/>
      <c r="D70"/>
      <c r="E70"/>
      <c r="F70"/>
      <c r="G70"/>
      <c r="H70"/>
      <c r="I70"/>
      <c r="J70"/>
    </row>
    <row r="71" ht="15" customHeight="true">
      <c r="A71"/>
      <c r="B71"/>
      <c r="C71"/>
      <c r="D71"/>
      <c r="E71"/>
      <c r="F71"/>
      <c r="G71"/>
      <c r="H71"/>
      <c r="I71"/>
      <c r="J71"/>
    </row>
    <row r="72" ht="15" customHeight="true">
      <c r="A72"/>
      <c r="B72"/>
      <c r="C72"/>
      <c r="D72"/>
      <c r="E72"/>
      <c r="F72"/>
      <c r="G72"/>
      <c r="H72"/>
      <c r="I72"/>
      <c r="J72"/>
    </row>
    <row r="73" ht="15" customHeight="true">
      <c r="A73"/>
      <c r="B73"/>
      <c r="C73"/>
      <c r="D73"/>
      <c r="E73"/>
      <c r="F73"/>
      <c r="G73"/>
      <c r="H73"/>
      <c r="I73"/>
      <c r="J73"/>
    </row>
    <row r="74" ht="15" customHeight="true">
      <c r="A74"/>
      <c r="B74"/>
      <c r="C74"/>
      <c r="D74"/>
      <c r="E74"/>
      <c r="F74"/>
      <c r="G74"/>
      <c r="H74"/>
      <c r="I74"/>
      <c r="J74"/>
    </row>
    <row r="75" ht="15" customHeight="true">
      <c r="A75"/>
      <c r="B75"/>
      <c r="C75"/>
      <c r="D75"/>
      <c r="E75"/>
      <c r="F75"/>
      <c r="G75"/>
      <c r="H75"/>
      <c r="I75"/>
      <c r="J75"/>
    </row>
    <row r="76" ht="15" customHeight="true">
      <c r="A76"/>
      <c r="B76"/>
      <c r="C76"/>
      <c r="D76"/>
      <c r="E76"/>
      <c r="F76"/>
      <c r="G76"/>
      <c r="H76"/>
      <c r="I76"/>
      <c r="J76"/>
    </row>
    <row r="77" ht="15" customHeight="true">
      <c r="A77"/>
      <c r="B77"/>
      <c r="C77"/>
      <c r="D77"/>
      <c r="E77"/>
      <c r="F77"/>
      <c r="G77"/>
      <c r="H77"/>
      <c r="I77"/>
      <c r="J77"/>
    </row>
    <row r="78" ht="15" customHeight="true">
      <c r="A78"/>
      <c r="B78"/>
      <c r="C78"/>
      <c r="D78"/>
      <c r="E78"/>
      <c r="F78"/>
      <c r="G78"/>
      <c r="H78"/>
      <c r="I78"/>
      <c r="J78"/>
    </row>
    <row r="79" ht="15" customHeight="true">
      <c r="A79"/>
      <c r="B79"/>
      <c r="C79"/>
      <c r="D79"/>
      <c r="E79"/>
      <c r="F79"/>
      <c r="G79"/>
      <c r="H79"/>
      <c r="I79"/>
      <c r="J79"/>
    </row>
    <row r="80" ht="15" customHeight="true">
      <c r="A80"/>
      <c r="B80"/>
      <c r="C80"/>
      <c r="D80"/>
      <c r="E80"/>
      <c r="F80"/>
      <c r="G80"/>
      <c r="H80"/>
      <c r="I80"/>
      <c r="J80"/>
    </row>
    <row r="81" ht="15" customHeight="true">
      <c r="A81"/>
      <c r="B81"/>
      <c r="C81"/>
      <c r="D81"/>
      <c r="E81"/>
      <c r="F81"/>
      <c r="G81"/>
      <c r="H81"/>
      <c r="I81"/>
      <c r="J81"/>
    </row>
    <row r="82" ht="15" customHeight="true">
      <c r="A82"/>
      <c r="B82"/>
      <c r="C82"/>
      <c r="D82"/>
      <c r="E82"/>
      <c r="F82"/>
      <c r="G82"/>
      <c r="H82"/>
      <c r="I82"/>
      <c r="J82"/>
    </row>
    <row r="83" ht="15" customHeight="true">
      <c r="A83"/>
      <c r="B83"/>
      <c r="C83"/>
      <c r="D83"/>
      <c r="E83"/>
      <c r="F83"/>
      <c r="G83"/>
      <c r="H83"/>
      <c r="I83"/>
      <c r="J83"/>
    </row>
    <row r="84" ht="15" customHeight="true">
      <c r="A84"/>
      <c r="B84"/>
      <c r="C84"/>
      <c r="D84"/>
      <c r="E84"/>
      <c r="F84"/>
      <c r="G84"/>
      <c r="H84"/>
      <c r="I84"/>
      <c r="J84"/>
    </row>
    <row r="85" ht="15" customHeight="true">
      <c r="A85"/>
      <c r="B85"/>
      <c r="C85"/>
      <c r="D85"/>
      <c r="E85"/>
      <c r="F85"/>
      <c r="G85"/>
      <c r="H85"/>
      <c r="I85"/>
      <c r="J85"/>
    </row>
    <row r="86" ht="15" customHeight="true">
      <c r="A86"/>
      <c r="B86"/>
      <c r="C86"/>
      <c r="D86"/>
      <c r="E86"/>
      <c r="F86"/>
      <c r="G86"/>
      <c r="H86"/>
      <c r="I86"/>
      <c r="J86"/>
    </row>
    <row r="87" ht="15" customHeight="true">
      <c r="A87"/>
      <c r="B87"/>
      <c r="C87"/>
      <c r="D87"/>
      <c r="E87"/>
      <c r="F87"/>
      <c r="G87"/>
      <c r="H87"/>
      <c r="I87"/>
      <c r="J87"/>
    </row>
    <row r="88" ht="15" customHeight="true">
      <c r="A88"/>
      <c r="B88"/>
      <c r="C88"/>
      <c r="D88"/>
      <c r="E88"/>
      <c r="F88"/>
      <c r="G88"/>
      <c r="H88"/>
      <c r="I88"/>
      <c r="J88"/>
    </row>
    <row r="89" ht="15" customHeight="true">
      <c r="A89"/>
      <c r="B89"/>
      <c r="C89"/>
      <c r="D89"/>
      <c r="E89"/>
      <c r="F89"/>
      <c r="G89"/>
      <c r="H89"/>
      <c r="I89"/>
      <c r="J89"/>
    </row>
    <row r="90" ht="15" customHeight="true">
      <c r="A90"/>
      <c r="B90"/>
      <c r="C90"/>
      <c r="D90"/>
      <c r="E90"/>
      <c r="F90"/>
      <c r="G90"/>
      <c r="H90"/>
      <c r="I90"/>
      <c r="J90"/>
    </row>
    <row r="91" ht="15" customHeight="true">
      <c r="A91"/>
      <c r="B91"/>
      <c r="C91"/>
      <c r="D91"/>
      <c r="E91"/>
      <c r="F91"/>
      <c r="G91"/>
      <c r="H91"/>
      <c r="I91"/>
      <c r="J91"/>
    </row>
    <row r="92" ht="15" customHeight="true">
      <c r="A92"/>
      <c r="B92"/>
      <c r="C92"/>
      <c r="D92"/>
      <c r="E92"/>
      <c r="F92"/>
      <c r="G92"/>
      <c r="H92"/>
      <c r="I92"/>
      <c r="J92"/>
    </row>
    <row r="93" ht="15" customHeight="true">
      <c r="A93"/>
      <c r="B93"/>
      <c r="C93"/>
      <c r="D93"/>
      <c r="E93"/>
      <c r="F93"/>
      <c r="G93"/>
      <c r="H93"/>
      <c r="I93"/>
      <c r="J93"/>
    </row>
    <row r="94" ht="15" customHeight="true">
      <c r="A94"/>
      <c r="B94"/>
      <c r="C94"/>
      <c r="D94"/>
      <c r="E94"/>
      <c r="F94"/>
      <c r="G94"/>
      <c r="H94"/>
      <c r="I94"/>
      <c r="J94"/>
    </row>
    <row r="95" ht="15" customHeight="true">
      <c r="A95"/>
      <c r="B95"/>
      <c r="C95"/>
      <c r="D95"/>
      <c r="E95"/>
      <c r="F95"/>
      <c r="G95"/>
      <c r="H95"/>
      <c r="I95"/>
      <c r="J95"/>
    </row>
    <row r="96" ht="15" customHeight="true">
      <c r="A96"/>
      <c r="B96"/>
      <c r="C96"/>
      <c r="D96"/>
      <c r="E96"/>
      <c r="F96"/>
      <c r="G96"/>
      <c r="H96"/>
      <c r="I96"/>
      <c r="J96"/>
    </row>
    <row r="97" ht="15" customHeight="true">
      <c r="A97"/>
      <c r="B97"/>
      <c r="C97"/>
      <c r="D97"/>
      <c r="E97"/>
      <c r="F97"/>
      <c r="G97"/>
      <c r="H97"/>
      <c r="I97"/>
      <c r="J97"/>
    </row>
    <row r="98" ht="15" customHeight="true">
      <c r="A98"/>
      <c r="B98"/>
      <c r="C98"/>
      <c r="D98"/>
      <c r="E98"/>
      <c r="F98"/>
      <c r="G98"/>
      <c r="H98"/>
      <c r="I98"/>
      <c r="J98"/>
    </row>
    <row r="99" ht="15" customHeight="true">
      <c r="A99"/>
      <c r="B99"/>
      <c r="C99"/>
      <c r="D99"/>
      <c r="E99"/>
      <c r="F99"/>
      <c r="G99"/>
      <c r="H99"/>
      <c r="I99"/>
      <c r="J99"/>
    </row>
    <row r="100" ht="15" customHeight="true">
      <c r="A100"/>
      <c r="B100"/>
      <c r="C100"/>
      <c r="D100"/>
      <c r="E100"/>
      <c r="F100"/>
      <c r="G100"/>
      <c r="H100"/>
      <c r="I100"/>
      <c r="J100"/>
    </row>
    <row r="101" ht="15" customHeight="true">
      <c r="A101"/>
      <c r="B101"/>
      <c r="C101"/>
      <c r="D101"/>
      <c r="E101"/>
      <c r="F101"/>
      <c r="G101"/>
      <c r="H101"/>
      <c r="I101"/>
      <c r="J101"/>
    </row>
    <row r="102" ht="15" customHeight="true">
      <c r="A102"/>
      <c r="B102"/>
      <c r="C102"/>
      <c r="D102"/>
      <c r="E102"/>
      <c r="F102"/>
      <c r="G102"/>
      <c r="H102"/>
      <c r="I102"/>
      <c r="J102"/>
    </row>
    <row r="103" ht="15" customHeight="true">
      <c r="A103"/>
      <c r="B103"/>
      <c r="C103"/>
      <c r="D103"/>
      <c r="E103"/>
      <c r="F103"/>
      <c r="G103"/>
      <c r="H103"/>
      <c r="I103"/>
      <c r="J103"/>
    </row>
    <row r="104" ht="15" customHeight="true">
      <c r="A104"/>
      <c r="B104"/>
      <c r="C104"/>
      <c r="D104"/>
      <c r="E104"/>
      <c r="F104"/>
      <c r="G104"/>
      <c r="H104"/>
      <c r="I104"/>
      <c r="J104"/>
    </row>
    <row r="105" ht="15" customHeight="true">
      <c r="A105"/>
      <c r="B105"/>
      <c r="C105"/>
      <c r="D105"/>
      <c r="E105"/>
      <c r="F105"/>
      <c r="G105"/>
      <c r="H105"/>
      <c r="I105"/>
      <c r="J105"/>
    </row>
    <row r="106" ht="15" customHeight="true">
      <c r="A106"/>
      <c r="B106"/>
      <c r="C106"/>
      <c r="D106"/>
      <c r="E106"/>
      <c r="F106"/>
      <c r="G106"/>
      <c r="H106"/>
      <c r="I106"/>
      <c r="J106"/>
    </row>
    <row r="107" ht="15" customHeight="true">
      <c r="A107"/>
      <c r="B107"/>
      <c r="C107"/>
      <c r="D107"/>
      <c r="E107"/>
      <c r="F107"/>
      <c r="G107"/>
      <c r="H107"/>
      <c r="I107"/>
      <c r="J107"/>
    </row>
    <row r="108" ht="15" customHeight="true">
      <c r="A108"/>
      <c r="B108"/>
      <c r="C108"/>
      <c r="D108"/>
      <c r="E108"/>
      <c r="F108"/>
      <c r="G108"/>
      <c r="H108"/>
      <c r="I108"/>
      <c r="J108"/>
    </row>
    <row r="109" ht="15" customHeight="true">
      <c r="A109"/>
      <c r="B109"/>
      <c r="C109"/>
      <c r="D109"/>
      <c r="E109"/>
      <c r="F109"/>
      <c r="G109"/>
      <c r="H109"/>
      <c r="I109"/>
      <c r="J109"/>
    </row>
    <row r="110" ht="15" customHeight="true">
      <c r="A110"/>
      <c r="B110"/>
      <c r="C110"/>
      <c r="D110"/>
      <c r="E110"/>
      <c r="F110"/>
      <c r="G110"/>
      <c r="H110"/>
      <c r="I110"/>
      <c r="J110"/>
    </row>
    <row r="111" ht="15" customHeight="true">
      <c r="A111"/>
      <c r="B111"/>
      <c r="C111"/>
      <c r="D111"/>
      <c r="E111"/>
      <c r="F111"/>
      <c r="G111"/>
      <c r="H111"/>
      <c r="I111"/>
      <c r="J111"/>
    </row>
    <row r="112" ht="15" customHeight="true">
      <c r="A112"/>
      <c r="B112"/>
      <c r="C112"/>
      <c r="D112"/>
      <c r="E112"/>
      <c r="F112"/>
      <c r="G112"/>
      <c r="H112"/>
      <c r="I112"/>
      <c r="J112"/>
    </row>
    <row r="113" ht="15" customHeight="true">
      <c r="A113"/>
      <c r="B113"/>
      <c r="C113"/>
      <c r="D113"/>
      <c r="E113"/>
      <c r="F113"/>
      <c r="G113"/>
      <c r="H113"/>
      <c r="I113"/>
      <c r="J113"/>
    </row>
    <row r="114" ht="15" customHeight="true">
      <c r="A114"/>
      <c r="B114"/>
      <c r="C114"/>
      <c r="D114"/>
      <c r="E114"/>
      <c r="F114"/>
      <c r="G114"/>
      <c r="H114"/>
      <c r="I114"/>
      <c r="J114"/>
    </row>
    <row r="115" ht="15" customHeight="true">
      <c r="A115"/>
      <c r="B115"/>
      <c r="C115"/>
      <c r="D115"/>
      <c r="E115"/>
      <c r="F115"/>
      <c r="G115"/>
      <c r="H115"/>
      <c r="I115"/>
      <c r="J115"/>
    </row>
    <row r="116" ht="15" customHeight="true">
      <c r="A116"/>
      <c r="B116"/>
      <c r="C116"/>
      <c r="D116"/>
      <c r="E116"/>
      <c r="F116"/>
      <c r="G116"/>
      <c r="H116"/>
      <c r="I116"/>
      <c r="J116"/>
    </row>
    <row r="117" ht="15" customHeight="true">
      <c r="A117"/>
      <c r="B117"/>
      <c r="C117"/>
      <c r="D117"/>
      <c r="E117"/>
      <c r="F117"/>
      <c r="G117"/>
      <c r="H117"/>
      <c r="I117"/>
      <c r="J117"/>
    </row>
    <row r="118" ht="15" customHeight="true">
      <c r="A118"/>
      <c r="B118"/>
      <c r="C118"/>
      <c r="D118"/>
      <c r="E118"/>
      <c r="F118"/>
      <c r="G118"/>
      <c r="H118"/>
      <c r="I118"/>
      <c r="J118"/>
    </row>
    <row r="119" ht="15" customHeight="true">
      <c r="A119"/>
      <c r="B119"/>
      <c r="C119"/>
      <c r="D119"/>
      <c r="E119"/>
      <c r="F119"/>
      <c r="G119"/>
      <c r="H119"/>
      <c r="I119"/>
      <c r="J119"/>
    </row>
    <row r="120" ht="15" customHeight="true">
      <c r="A120"/>
      <c r="B120"/>
      <c r="C120"/>
      <c r="D120"/>
      <c r="E120"/>
      <c r="F120"/>
      <c r="G120"/>
      <c r="H120"/>
      <c r="I120"/>
      <c r="J120"/>
    </row>
    <row r="121" ht="15" customHeight="true">
      <c r="A121"/>
      <c r="B121"/>
      <c r="C121"/>
      <c r="D121"/>
      <c r="E121"/>
      <c r="F121"/>
      <c r="G121"/>
      <c r="H121"/>
      <c r="I121"/>
      <c r="J121"/>
    </row>
    <row r="122" ht="15" customHeight="true">
      <c r="A122"/>
      <c r="B122"/>
      <c r="C122"/>
      <c r="D122"/>
      <c r="E122"/>
      <c r="F122"/>
      <c r="G122"/>
      <c r="H122"/>
      <c r="I122"/>
      <c r="J122"/>
    </row>
    <row r="123" ht="15" customHeight="true">
      <c r="A123"/>
      <c r="B123"/>
      <c r="C123"/>
      <c r="D123"/>
      <c r="E123"/>
      <c r="F123"/>
      <c r="G123"/>
      <c r="H123"/>
      <c r="I123"/>
      <c r="J123"/>
    </row>
    <row r="124" ht="15" customHeight="true">
      <c r="A124"/>
      <c r="B124"/>
      <c r="C124"/>
      <c r="D124"/>
      <c r="E124"/>
      <c r="F124"/>
      <c r="G124"/>
      <c r="H124"/>
      <c r="I124"/>
      <c r="J124"/>
    </row>
    <row r="125" ht="15" customHeight="true">
      <c r="A125"/>
      <c r="B125"/>
      <c r="C125"/>
      <c r="D125"/>
      <c r="E125"/>
      <c r="F125"/>
      <c r="G125"/>
      <c r="H125"/>
      <c r="I125"/>
      <c r="J125"/>
    </row>
    <row r="126" ht="15" customHeight="true">
      <c r="A126"/>
      <c r="B126"/>
      <c r="C126"/>
      <c r="D126"/>
      <c r="E126"/>
      <c r="F126"/>
      <c r="G126"/>
      <c r="H126"/>
      <c r="I126"/>
      <c r="J126"/>
    </row>
    <row r="127" ht="15" customHeight="true">
      <c r="A127"/>
      <c r="B127"/>
      <c r="C127"/>
      <c r="D127"/>
      <c r="E127"/>
      <c r="F127"/>
      <c r="G127"/>
      <c r="H127"/>
      <c r="I127"/>
      <c r="J127"/>
    </row>
    <row r="128" ht="15" customHeight="true">
      <c r="A128"/>
      <c r="B128"/>
      <c r="C128"/>
      <c r="D128"/>
      <c r="E128"/>
      <c r="F128"/>
      <c r="G128"/>
      <c r="H128"/>
      <c r="I128"/>
      <c r="J128"/>
    </row>
    <row r="129" ht="15" customHeight="true">
      <c r="A129"/>
      <c r="B129"/>
      <c r="C129"/>
      <c r="D129"/>
      <c r="E129"/>
      <c r="F129"/>
      <c r="G129"/>
      <c r="H129"/>
      <c r="I129"/>
      <c r="J129"/>
    </row>
    <row r="130" ht="15" customHeight="true">
      <c r="A130"/>
      <c r="B130"/>
      <c r="C130"/>
      <c r="D130"/>
      <c r="E130"/>
      <c r="F130"/>
      <c r="G130"/>
      <c r="H130"/>
      <c r="I130"/>
      <c r="J130"/>
    </row>
    <row r="131" ht="15" customHeight="true">
      <c r="A131"/>
      <c r="B131"/>
      <c r="C131"/>
      <c r="D131"/>
      <c r="E131"/>
      <c r="F131"/>
      <c r="G131"/>
      <c r="H131"/>
      <c r="I131"/>
      <c r="J131"/>
    </row>
    <row r="132" ht="15" customHeight="true">
      <c r="A132"/>
      <c r="B132"/>
      <c r="C132"/>
      <c r="D132"/>
      <c r="E132"/>
      <c r="F132"/>
      <c r="G132"/>
      <c r="H132"/>
      <c r="I132"/>
      <c r="J132"/>
    </row>
    <row r="133" ht="15" customHeight="true">
      <c r="A133"/>
      <c r="B133"/>
      <c r="C133"/>
      <c r="D133"/>
      <c r="E133"/>
      <c r="F133"/>
      <c r="G133"/>
      <c r="H133"/>
      <c r="I133"/>
      <c r="J133"/>
    </row>
    <row r="134" ht="15" customHeight="true">
      <c r="A134"/>
      <c r="B134"/>
      <c r="C134"/>
      <c r="D134"/>
      <c r="E134"/>
      <c r="F134"/>
      <c r="G134"/>
      <c r="H134"/>
      <c r="I134"/>
      <c r="J134"/>
    </row>
    <row r="135" ht="15" customHeight="true">
      <c r="A135"/>
      <c r="B135"/>
      <c r="C135"/>
      <c r="D135"/>
      <c r="E135"/>
      <c r="F135"/>
      <c r="G135"/>
      <c r="H135"/>
      <c r="I135"/>
      <c r="J135"/>
    </row>
    <row r="136" ht="15" customHeight="true">
      <c r="A136"/>
      <c r="B136"/>
      <c r="C136"/>
      <c r="D136"/>
      <c r="E136"/>
      <c r="F136"/>
      <c r="G136"/>
      <c r="H136"/>
      <c r="I136"/>
      <c r="J136"/>
    </row>
    <row r="137" ht="15" customHeight="true">
      <c r="A137"/>
      <c r="B137"/>
      <c r="C137"/>
      <c r="D137"/>
      <c r="E137"/>
      <c r="F137"/>
      <c r="G137"/>
      <c r="H137"/>
      <c r="I137"/>
      <c r="J137"/>
    </row>
    <row r="138" ht="15" customHeight="true">
      <c r="A138"/>
      <c r="B138"/>
      <c r="C138"/>
      <c r="D138"/>
      <c r="E138"/>
      <c r="F138"/>
      <c r="G138"/>
      <c r="H138"/>
      <c r="I138"/>
      <c r="J138"/>
    </row>
    <row r="139" ht="15" customHeight="true">
      <c r="A139"/>
      <c r="B139"/>
      <c r="C139"/>
      <c r="D139"/>
      <c r="E139"/>
      <c r="F139"/>
      <c r="G139"/>
      <c r="H139"/>
      <c r="I139"/>
      <c r="J139"/>
    </row>
    <row r="140" ht="15" customHeight="true">
      <c r="A140"/>
      <c r="B140"/>
      <c r="C140"/>
      <c r="D140"/>
      <c r="E140"/>
      <c r="F140"/>
      <c r="G140"/>
      <c r="H140"/>
      <c r="I140"/>
      <c r="J140"/>
    </row>
    <row r="141" ht="15" customHeight="true">
      <c r="A141"/>
      <c r="B141"/>
      <c r="C141"/>
      <c r="D141"/>
      <c r="E141"/>
      <c r="F141"/>
      <c r="G141"/>
      <c r="H141"/>
      <c r="I141"/>
      <c r="J141"/>
    </row>
    <row r="142" ht="15" customHeight="true">
      <c r="A142"/>
      <c r="B142"/>
      <c r="C142"/>
      <c r="D142"/>
      <c r="E142"/>
      <c r="F142"/>
      <c r="G142"/>
      <c r="H142"/>
      <c r="I142"/>
      <c r="J142"/>
    </row>
    <row r="143" ht="15" customHeight="true">
      <c r="A143"/>
      <c r="B143"/>
      <c r="C143"/>
      <c r="D143"/>
      <c r="E143"/>
      <c r="F143"/>
      <c r="G143"/>
      <c r="H143"/>
      <c r="I143"/>
      <c r="J143"/>
    </row>
    <row r="144" ht="15" customHeight="true">
      <c r="A144"/>
      <c r="B144"/>
      <c r="C144"/>
      <c r="D144"/>
      <c r="E144"/>
      <c r="F144"/>
      <c r="G144"/>
      <c r="H144"/>
      <c r="I144"/>
      <c r="J144"/>
    </row>
    <row r="145" ht="15" customHeight="true">
      <c r="A145"/>
      <c r="B145"/>
      <c r="C145"/>
      <c r="D145"/>
      <c r="E145"/>
      <c r="F145"/>
      <c r="G145"/>
      <c r="H145"/>
      <c r="I145"/>
      <c r="J145"/>
    </row>
    <row r="146" ht="15" customHeight="true">
      <c r="A146"/>
      <c r="B146"/>
      <c r="C146"/>
      <c r="D146"/>
      <c r="E146"/>
      <c r="F146"/>
      <c r="G146"/>
      <c r="H146"/>
      <c r="I146"/>
      <c r="J146"/>
    </row>
    <row r="147" ht="15" customHeight="true">
      <c r="A147"/>
      <c r="B147"/>
      <c r="C147"/>
      <c r="D147"/>
      <c r="E147"/>
      <c r="F147"/>
      <c r="G147"/>
      <c r="H147"/>
      <c r="I147"/>
      <c r="J147"/>
    </row>
    <row r="148" ht="15" customHeight="true">
      <c r="A148"/>
      <c r="B148"/>
      <c r="C148"/>
      <c r="D148"/>
      <c r="E148"/>
      <c r="F148"/>
      <c r="G148"/>
      <c r="H148"/>
      <c r="I148"/>
      <c r="J148"/>
    </row>
    <row r="149" ht="15" customHeight="true">
      <c r="A149"/>
      <c r="B149"/>
      <c r="C149"/>
      <c r="D149"/>
      <c r="E149"/>
      <c r="F149"/>
      <c r="G149"/>
      <c r="H149"/>
      <c r="I149"/>
      <c r="J149"/>
    </row>
    <row r="150" ht="15" customHeight="true">
      <c r="A150"/>
      <c r="B150"/>
      <c r="C150"/>
      <c r="D150"/>
      <c r="E150"/>
      <c r="F150"/>
      <c r="G150"/>
      <c r="H150"/>
      <c r="I150"/>
      <c r="J150"/>
    </row>
    <row r="151" ht="15" customHeight="true">
      <c r="A151"/>
      <c r="B151"/>
      <c r="C151"/>
      <c r="D151"/>
      <c r="E151"/>
      <c r="F151"/>
      <c r="G151"/>
      <c r="H151"/>
      <c r="I151"/>
      <c r="J151"/>
    </row>
    <row r="152" ht="15" customHeight="true">
      <c r="A152"/>
      <c r="B152"/>
      <c r="C152"/>
      <c r="D152"/>
      <c r="E152"/>
      <c r="F152"/>
      <c r="G152"/>
      <c r="H152"/>
      <c r="I152"/>
      <c r="J152"/>
    </row>
    <row r="153" ht="15" customHeight="true">
      <c r="A153"/>
      <c r="B153"/>
      <c r="C153"/>
      <c r="D153"/>
      <c r="E153"/>
      <c r="F153"/>
      <c r="G153"/>
      <c r="H153"/>
      <c r="I153"/>
      <c r="J153"/>
    </row>
    <row r="154" ht="15" customHeight="true">
      <c r="A154"/>
      <c r="B154"/>
      <c r="C154"/>
      <c r="D154"/>
      <c r="E154"/>
      <c r="F154"/>
      <c r="G154"/>
      <c r="H154"/>
      <c r="I154"/>
      <c r="J154"/>
    </row>
    <row r="155" ht="15" customHeight="true">
      <c r="A155"/>
      <c r="B155"/>
      <c r="C155"/>
      <c r="D155"/>
      <c r="E155"/>
      <c r="F155"/>
      <c r="G155"/>
      <c r="H155"/>
      <c r="I155"/>
      <c r="J155"/>
    </row>
    <row r="156" ht="15" customHeight="true">
      <c r="A156"/>
      <c r="B156"/>
      <c r="C156"/>
      <c r="D156"/>
      <c r="E156"/>
      <c r="F156"/>
      <c r="G156"/>
      <c r="H156"/>
      <c r="I156"/>
      <c r="J156"/>
    </row>
    <row r="157" ht="15" customHeight="true">
      <c r="A157"/>
      <c r="B157"/>
      <c r="C157"/>
      <c r="D157"/>
      <c r="E157"/>
      <c r="F157"/>
      <c r="G157"/>
      <c r="H157"/>
      <c r="I157"/>
      <c r="J157"/>
    </row>
    <row r="158" ht="15" customHeight="true">
      <c r="A158"/>
      <c r="B158"/>
      <c r="C158"/>
      <c r="D158"/>
      <c r="E158"/>
      <c r="F158"/>
      <c r="G158"/>
      <c r="H158"/>
      <c r="I158"/>
      <c r="J158"/>
    </row>
    <row r="159" ht="15" customHeight="true">
      <c r="A159"/>
      <c r="B159"/>
      <c r="C159"/>
      <c r="D159"/>
      <c r="E159"/>
      <c r="F159"/>
      <c r="G159"/>
      <c r="H159"/>
      <c r="I159"/>
      <c r="J159"/>
    </row>
    <row r="160" ht="15" customHeight="true">
      <c r="A160"/>
      <c r="B160"/>
      <c r="C160"/>
      <c r="D160"/>
      <c r="E160"/>
      <c r="F160"/>
      <c r="G160"/>
      <c r="H160"/>
      <c r="I160"/>
      <c r="J160"/>
    </row>
    <row r="161" ht="15" customHeight="true">
      <c r="A161"/>
      <c r="B161"/>
      <c r="C161"/>
      <c r="D161"/>
      <c r="E161"/>
      <c r="F161"/>
      <c r="G161"/>
      <c r="H161"/>
      <c r="I161"/>
      <c r="J161"/>
    </row>
    <row r="162" ht="15" customHeight="true">
      <c r="A162"/>
      <c r="B162"/>
      <c r="C162"/>
      <c r="D162"/>
      <c r="E162"/>
      <c r="F162"/>
      <c r="G162"/>
      <c r="H162"/>
      <c r="I162"/>
      <c r="J162"/>
    </row>
    <row r="163" ht="15" customHeight="true">
      <c r="A163"/>
      <c r="B163"/>
      <c r="C163"/>
      <c r="D163"/>
      <c r="E163"/>
      <c r="F163"/>
      <c r="G163"/>
      <c r="H163"/>
      <c r="I163"/>
      <c r="J163"/>
    </row>
    <row r="164" ht="15" customHeight="true">
      <c r="A164"/>
      <c r="B164"/>
      <c r="C164"/>
      <c r="D164"/>
      <c r="E164"/>
      <c r="F164"/>
      <c r="G164"/>
      <c r="H164"/>
      <c r="I164"/>
      <c r="J164"/>
    </row>
    <row r="165" ht="15" customHeight="true">
      <c r="A165"/>
      <c r="B165"/>
      <c r="C165"/>
      <c r="D165"/>
      <c r="E165"/>
      <c r="F165"/>
      <c r="G165"/>
      <c r="H165"/>
      <c r="I165"/>
      <c r="J165"/>
    </row>
    <row r="166" ht="15" customHeight="true">
      <c r="A166"/>
      <c r="B166"/>
      <c r="C166"/>
      <c r="D166"/>
      <c r="E166"/>
      <c r="F166"/>
      <c r="G166"/>
      <c r="H166"/>
      <c r="I166"/>
      <c r="J166"/>
    </row>
    <row r="167" ht="15" customHeight="true">
      <c r="A167"/>
      <c r="B167"/>
      <c r="C167"/>
      <c r="D167"/>
      <c r="E167"/>
      <c r="F167"/>
      <c r="G167"/>
      <c r="H167"/>
      <c r="I167"/>
      <c r="J167"/>
    </row>
    <row r="168" ht="15" customHeight="true">
      <c r="A168"/>
      <c r="B168"/>
      <c r="C168"/>
      <c r="D168"/>
      <c r="E168"/>
      <c r="F168"/>
      <c r="G168"/>
      <c r="H168"/>
      <c r="I168"/>
      <c r="J168"/>
    </row>
    <row r="169" ht="15" customHeight="true">
      <c r="A169"/>
      <c r="B169"/>
      <c r="C169"/>
      <c r="D169"/>
      <c r="E169"/>
      <c r="F169"/>
      <c r="G169"/>
      <c r="H169"/>
      <c r="I169"/>
      <c r="J169"/>
    </row>
    <row r="170" ht="15" customHeight="true">
      <c r="A170"/>
      <c r="B170"/>
      <c r="C170"/>
      <c r="D170"/>
      <c r="E170"/>
      <c r="F170"/>
      <c r="G170"/>
      <c r="H170"/>
      <c r="I170"/>
      <c r="J170"/>
    </row>
    <row r="171" ht="15" customHeight="true">
      <c r="A171"/>
      <c r="B171"/>
      <c r="C171"/>
      <c r="D171"/>
      <c r="E171"/>
      <c r="F171"/>
      <c r="G171"/>
      <c r="H171"/>
      <c r="I171"/>
      <c r="J171"/>
    </row>
    <row r="172" ht="15" customHeight="true">
      <c r="A172"/>
      <c r="B172"/>
      <c r="C172"/>
      <c r="D172"/>
      <c r="E172"/>
      <c r="F172"/>
      <c r="G172"/>
      <c r="H172"/>
      <c r="I172"/>
      <c r="J172"/>
    </row>
    <row r="173" ht="15" customHeight="true">
      <c r="A173"/>
      <c r="B173"/>
      <c r="C173"/>
      <c r="D173"/>
      <c r="E173"/>
      <c r="F173"/>
      <c r="G173"/>
      <c r="H173"/>
      <c r="I173"/>
      <c r="J173"/>
    </row>
    <row r="174" ht="15" customHeight="true">
      <c r="A174"/>
      <c r="B174"/>
      <c r="C174"/>
      <c r="D174"/>
      <c r="E174"/>
      <c r="F174"/>
      <c r="G174"/>
      <c r="H174"/>
      <c r="I174"/>
      <c r="J174"/>
    </row>
    <row r="175" ht="15" customHeight="true">
      <c r="A175"/>
      <c r="B175"/>
      <c r="C175"/>
      <c r="D175"/>
      <c r="E175"/>
      <c r="F175"/>
      <c r="G175"/>
      <c r="H175"/>
      <c r="I175"/>
      <c r="J175"/>
    </row>
    <row r="176" ht="15" customHeight="true">
      <c r="A176"/>
      <c r="B176"/>
      <c r="C176"/>
      <c r="D176"/>
      <c r="E176"/>
      <c r="F176"/>
      <c r="G176"/>
      <c r="H176"/>
      <c r="I176"/>
      <c r="J176"/>
    </row>
    <row r="177" ht="15" customHeight="true">
      <c r="A177"/>
      <c r="B177"/>
      <c r="C177"/>
      <c r="D177"/>
      <c r="E177"/>
      <c r="F177"/>
      <c r="G177"/>
      <c r="H177"/>
      <c r="I177"/>
      <c r="J177"/>
    </row>
    <row r="178" ht="15" customHeight="true">
      <c r="A178"/>
      <c r="B178"/>
      <c r="C178"/>
      <c r="D178"/>
      <c r="E178"/>
      <c r="F178"/>
      <c r="G178"/>
      <c r="H178"/>
      <c r="I178"/>
      <c r="J178"/>
    </row>
    <row r="179" ht="15" customHeight="true">
      <c r="A179"/>
      <c r="B179"/>
      <c r="C179"/>
      <c r="D179"/>
      <c r="E179"/>
      <c r="F179"/>
      <c r="G179"/>
      <c r="H179"/>
      <c r="I179"/>
      <c r="J179"/>
    </row>
    <row r="180" ht="15" customHeight="true">
      <c r="A180"/>
      <c r="B180"/>
      <c r="C180"/>
      <c r="D180"/>
      <c r="E180"/>
      <c r="F180"/>
      <c r="G180"/>
      <c r="H180"/>
      <c r="I180"/>
      <c r="J180"/>
    </row>
    <row r="181" ht="15" customHeight="true">
      <c r="A181"/>
      <c r="B181"/>
      <c r="C181"/>
      <c r="D181"/>
      <c r="E181"/>
      <c r="F181"/>
      <c r="G181"/>
      <c r="H181"/>
      <c r="I181"/>
      <c r="J181"/>
    </row>
    <row r="182" ht="15" customHeight="true">
      <c r="A182"/>
      <c r="B182"/>
      <c r="C182"/>
      <c r="D182"/>
      <c r="E182"/>
      <c r="F182"/>
      <c r="G182"/>
      <c r="H182"/>
      <c r="I182"/>
      <c r="J182"/>
    </row>
    <row r="183" ht="15" customHeight="true">
      <c r="A183"/>
      <c r="B183"/>
      <c r="C183"/>
      <c r="D183"/>
      <c r="E183"/>
      <c r="F183"/>
      <c r="G183"/>
      <c r="H183"/>
      <c r="I183"/>
      <c r="J183"/>
    </row>
    <row r="184" ht="15" customHeight="true">
      <c r="A184"/>
      <c r="B184"/>
      <c r="C184"/>
      <c r="D184"/>
      <c r="E184"/>
      <c r="F184"/>
      <c r="G184"/>
      <c r="H184"/>
      <c r="I184"/>
      <c r="J184"/>
    </row>
    <row r="185" ht="15" customHeight="true">
      <c r="A185"/>
      <c r="B185"/>
      <c r="C185"/>
      <c r="D185"/>
      <c r="E185"/>
      <c r="F185"/>
      <c r="G185"/>
      <c r="H185"/>
      <c r="I185"/>
      <c r="J185"/>
    </row>
    <row r="186" ht="15" customHeight="true">
      <c r="A186"/>
      <c r="B186"/>
      <c r="C186"/>
      <c r="D186"/>
      <c r="E186"/>
      <c r="F186"/>
      <c r="G186"/>
      <c r="H186"/>
      <c r="I186"/>
      <c r="J186"/>
    </row>
    <row r="187" ht="15" customHeight="true">
      <c r="A187"/>
      <c r="B187"/>
      <c r="C187"/>
      <c r="D187"/>
      <c r="E187"/>
      <c r="F187"/>
      <c r="G187"/>
      <c r="H187"/>
      <c r="I187"/>
      <c r="J187"/>
    </row>
    <row r="188" ht="15" customHeight="true">
      <c r="A188"/>
      <c r="B188"/>
      <c r="C188"/>
      <c r="D188"/>
      <c r="E188"/>
      <c r="F188"/>
      <c r="G188"/>
      <c r="H188"/>
      <c r="I188"/>
      <c r="J188"/>
    </row>
    <row r="189" ht="15" customHeight="true">
      <c r="A189"/>
      <c r="B189"/>
      <c r="C189"/>
      <c r="D189"/>
      <c r="E189"/>
      <c r="F189"/>
      <c r="G189"/>
      <c r="H189"/>
      <c r="I189"/>
      <c r="J189"/>
    </row>
    <row r="190" ht="15" customHeight="true">
      <c r="A190"/>
      <c r="B190"/>
      <c r="C190"/>
      <c r="D190"/>
      <c r="E190"/>
      <c r="F190"/>
      <c r="G190"/>
      <c r="H190"/>
      <c r="I190"/>
      <c r="J190"/>
    </row>
    <row r="191" ht="15" customHeight="true">
      <c r="A191"/>
      <c r="B191"/>
      <c r="C191"/>
      <c r="D191"/>
      <c r="E191"/>
      <c r="F191"/>
      <c r="G191"/>
      <c r="H191"/>
      <c r="I191"/>
      <c r="J191"/>
    </row>
    <row r="192" ht="15" customHeight="true">
      <c r="A192"/>
      <c r="B192"/>
      <c r="C192"/>
      <c r="D192"/>
      <c r="E192"/>
      <c r="F192"/>
      <c r="G192"/>
      <c r="H192"/>
      <c r="I192"/>
      <c r="J192"/>
    </row>
    <row r="193" ht="15" customHeight="true">
      <c r="A193"/>
      <c r="B193"/>
      <c r="C193"/>
      <c r="D193"/>
      <c r="E193"/>
      <c r="F193"/>
      <c r="G193"/>
      <c r="H193"/>
      <c r="I193"/>
      <c r="J193"/>
    </row>
    <row r="194" ht="15" customHeight="true">
      <c r="A194"/>
      <c r="B194"/>
      <c r="C194"/>
      <c r="D194"/>
      <c r="E194"/>
      <c r="F194"/>
      <c r="G194"/>
      <c r="H194"/>
      <c r="I194"/>
      <c r="J194"/>
    </row>
    <row r="195" ht="15" customHeight="true">
      <c r="A195"/>
      <c r="B195"/>
      <c r="C195"/>
      <c r="D195"/>
      <c r="E195"/>
      <c r="F195"/>
      <c r="G195"/>
      <c r="H195"/>
      <c r="I195"/>
      <c r="J195"/>
    </row>
    <row r="196" ht="15" customHeight="true">
      <c r="A196"/>
      <c r="B196"/>
      <c r="C196"/>
      <c r="D196"/>
      <c r="E196"/>
      <c r="F196"/>
      <c r="G196"/>
      <c r="H196"/>
      <c r="I196"/>
      <c r="J196"/>
    </row>
    <row r="197" ht="15" customHeight="true">
      <c r="A197"/>
      <c r="B197"/>
      <c r="C197"/>
      <c r="D197"/>
      <c r="E197"/>
      <c r="F197"/>
      <c r="G197"/>
      <c r="H197"/>
      <c r="I197"/>
      <c r="J197"/>
    </row>
    <row r="198" ht="15" customHeight="true">
      <c r="A198"/>
      <c r="B198"/>
      <c r="C198"/>
      <c r="D198"/>
      <c r="E198"/>
      <c r="F198"/>
      <c r="G198"/>
      <c r="H198"/>
      <c r="I198"/>
      <c r="J198"/>
    </row>
    <row r="199" ht="15" customHeight="true">
      <c r="A199"/>
      <c r="B199"/>
      <c r="C199"/>
      <c r="D199"/>
      <c r="E199"/>
      <c r="F199"/>
      <c r="G199"/>
      <c r="H199"/>
      <c r="I199"/>
      <c r="J199"/>
    </row>
    <row r="200" ht="15" customHeight="true">
      <c r="A200"/>
      <c r="B200"/>
      <c r="C200"/>
      <c r="D200"/>
      <c r="E200"/>
      <c r="F200"/>
      <c r="G200"/>
      <c r="H200"/>
      <c r="I200"/>
      <c r="J200"/>
    </row>
    <row r="201" ht="15" customHeight="true">
      <c r="A201"/>
      <c r="B201"/>
      <c r="C201"/>
      <c r="D201"/>
      <c r="E201"/>
      <c r="F201"/>
      <c r="G201"/>
      <c r="H201"/>
      <c r="I201"/>
      <c r="J201"/>
    </row>
    <row r="202" ht="15" customHeight="true">
      <c r="A202"/>
      <c r="B202"/>
      <c r="C202"/>
      <c r="D202"/>
      <c r="E202"/>
      <c r="F202"/>
      <c r="G202"/>
      <c r="H202"/>
      <c r="I202"/>
      <c r="J202"/>
    </row>
    <row r="203" ht="15" customHeight="true">
      <c r="A203"/>
      <c r="B203"/>
      <c r="C203"/>
      <c r="D203"/>
      <c r="E203"/>
      <c r="F203"/>
      <c r="G203"/>
      <c r="H203"/>
      <c r="I203"/>
      <c r="J203"/>
    </row>
    <row r="204" ht="15" customHeight="true">
      <c r="A204"/>
      <c r="B204"/>
      <c r="C204"/>
      <c r="D204"/>
      <c r="E204"/>
      <c r="F204"/>
      <c r="G204"/>
      <c r="H204"/>
      <c r="I204"/>
      <c r="J204"/>
    </row>
    <row r="205" ht="15" customHeight="true">
      <c r="A205"/>
      <c r="B205"/>
      <c r="C205"/>
      <c r="D205"/>
      <c r="E205"/>
      <c r="F205"/>
      <c r="G205"/>
      <c r="H205"/>
      <c r="I205"/>
      <c r="J205"/>
    </row>
    <row r="206" ht="15" customHeight="true">
      <c r="A206"/>
      <c r="B206"/>
      <c r="C206"/>
      <c r="D206"/>
      <c r="E206"/>
      <c r="F206"/>
      <c r="G206"/>
      <c r="H206"/>
      <c r="I206"/>
      <c r="J206"/>
    </row>
    <row r="207" ht="15" customHeight="true">
      <c r="A207"/>
      <c r="B207"/>
      <c r="C207"/>
      <c r="D207"/>
      <c r="E207"/>
      <c r="F207"/>
      <c r="G207"/>
      <c r="H207"/>
      <c r="I207"/>
      <c r="J207"/>
    </row>
    <row r="208" ht="15" customHeight="true">
      <c r="A208"/>
      <c r="B208"/>
      <c r="C208"/>
      <c r="D208"/>
      <c r="E208"/>
      <c r="F208"/>
      <c r="G208"/>
      <c r="H208"/>
      <c r="I208"/>
      <c r="J208"/>
    </row>
    <row r="209" ht="15" customHeight="true">
      <c r="A209"/>
      <c r="B209"/>
      <c r="C209"/>
      <c r="D209"/>
      <c r="E209"/>
      <c r="F209"/>
      <c r="G209"/>
      <c r="H209"/>
      <c r="I209"/>
      <c r="J209"/>
    </row>
    <row r="210" ht="15" customHeight="true">
      <c r="A210"/>
      <c r="B210"/>
      <c r="C210"/>
      <c r="D210"/>
      <c r="E210"/>
      <c r="F210"/>
      <c r="G210"/>
      <c r="H210"/>
      <c r="I210"/>
      <c r="J210"/>
    </row>
    <row r="211" ht="15" customHeight="true">
      <c r="A211"/>
      <c r="B211"/>
      <c r="C211"/>
      <c r="D211"/>
      <c r="E211"/>
      <c r="F211"/>
      <c r="G211"/>
      <c r="H211"/>
      <c r="I211"/>
      <c r="J211"/>
    </row>
    <row r="212" ht="15" customHeight="true">
      <c r="A212"/>
      <c r="B212"/>
      <c r="C212"/>
      <c r="D212"/>
      <c r="E212"/>
      <c r="F212"/>
      <c r="G212"/>
      <c r="H212"/>
      <c r="I212"/>
      <c r="J212"/>
    </row>
    <row r="213" ht="15" customHeight="true">
      <c r="A213"/>
      <c r="B213"/>
      <c r="C213"/>
      <c r="D213"/>
      <c r="E213"/>
      <c r="F213"/>
      <c r="G213"/>
      <c r="H213"/>
      <c r="I213"/>
      <c r="J213"/>
    </row>
    <row r="214" ht="15" customHeight="true">
      <c r="A214"/>
      <c r="B214"/>
      <c r="C214"/>
      <c r="D214"/>
      <c r="E214"/>
      <c r="F214"/>
      <c r="G214"/>
      <c r="H214"/>
      <c r="I214"/>
      <c r="J214"/>
    </row>
    <row r="215" ht="15" customHeight="true">
      <c r="A215"/>
      <c r="B215"/>
      <c r="C215"/>
      <c r="D215"/>
      <c r="E215"/>
      <c r="F215"/>
      <c r="G215"/>
      <c r="H215"/>
      <c r="I215"/>
      <c r="J215"/>
    </row>
    <row r="216" ht="15" customHeight="true">
      <c r="A216"/>
      <c r="B216"/>
      <c r="C216"/>
      <c r="D216"/>
      <c r="E216"/>
      <c r="F216"/>
      <c r="G216"/>
      <c r="H216"/>
      <c r="I216"/>
      <c r="J216"/>
    </row>
    <row r="217" ht="15" customHeight="true">
      <c r="A217"/>
      <c r="B217"/>
      <c r="C217"/>
      <c r="D217"/>
      <c r="E217"/>
      <c r="F217"/>
      <c r="G217"/>
      <c r="H217"/>
      <c r="I217"/>
      <c r="J217"/>
    </row>
    <row r="218" ht="15" customHeight="true">
      <c r="A218"/>
      <c r="B218"/>
      <c r="C218"/>
      <c r="D218"/>
      <c r="E218"/>
      <c r="F218"/>
      <c r="G218"/>
      <c r="H218"/>
      <c r="I218"/>
      <c r="J218"/>
    </row>
    <row r="219" ht="15" customHeight="true">
      <c r="A219"/>
      <c r="B219"/>
      <c r="C219"/>
      <c r="D219"/>
      <c r="E219"/>
      <c r="F219"/>
      <c r="G219"/>
      <c r="H219"/>
      <c r="I219"/>
      <c r="J219"/>
    </row>
    <row r="220" ht="15" customHeight="true">
      <c r="A220"/>
      <c r="B220"/>
      <c r="C220"/>
      <c r="D220"/>
      <c r="E220"/>
      <c r="F220"/>
      <c r="G220"/>
      <c r="H220"/>
      <c r="I220"/>
      <c r="J220"/>
    </row>
    <row r="221" ht="15" customHeight="true">
      <c r="A221"/>
      <c r="B221"/>
      <c r="C221"/>
      <c r="D221"/>
      <c r="E221"/>
      <c r="F221"/>
      <c r="G221"/>
      <c r="H221"/>
      <c r="I221"/>
      <c r="J221"/>
    </row>
    <row r="222" ht="15" customHeight="true">
      <c r="A222"/>
      <c r="B222"/>
      <c r="C222"/>
      <c r="D222"/>
      <c r="E222"/>
      <c r="F222"/>
      <c r="G222"/>
      <c r="H222"/>
      <c r="I222"/>
      <c r="J222"/>
    </row>
    <row r="223" ht="15" customHeight="true">
      <c r="A223"/>
      <c r="B223"/>
      <c r="C223"/>
      <c r="D223"/>
      <c r="E223"/>
      <c r="F223"/>
      <c r="G223"/>
      <c r="H223"/>
      <c r="I223"/>
      <c r="J223"/>
    </row>
    <row r="224" ht="15" customHeight="true">
      <c r="A224"/>
      <c r="B224"/>
      <c r="C224"/>
      <c r="D224"/>
      <c r="E224"/>
      <c r="F224"/>
      <c r="G224"/>
      <c r="H224"/>
      <c r="I224"/>
      <c r="J224"/>
    </row>
    <row r="225" ht="15" customHeight="true">
      <c r="A225"/>
      <c r="B225"/>
      <c r="C225"/>
      <c r="D225"/>
      <c r="E225"/>
      <c r="F225"/>
      <c r="G225"/>
      <c r="H225"/>
      <c r="I225"/>
      <c r="J225"/>
    </row>
    <row r="226" ht="15" customHeight="true">
      <c r="A226"/>
      <c r="B226"/>
      <c r="C226"/>
      <c r="D226"/>
      <c r="E226"/>
      <c r="F226"/>
      <c r="G226"/>
      <c r="H226"/>
      <c r="I226"/>
      <c r="J226"/>
    </row>
    <row r="227" ht="15" customHeight="true">
      <c r="A227"/>
      <c r="B227"/>
      <c r="C227"/>
      <c r="D227"/>
      <c r="E227"/>
      <c r="F227"/>
      <c r="G227"/>
      <c r="H227"/>
      <c r="I227"/>
      <c r="J227"/>
    </row>
    <row r="228" ht="15" customHeight="true">
      <c r="A228"/>
      <c r="B228"/>
      <c r="C228"/>
      <c r="D228"/>
      <c r="E228"/>
      <c r="F228"/>
      <c r="G228"/>
      <c r="H228"/>
      <c r="I228"/>
      <c r="J228"/>
    </row>
    <row r="229" ht="15" customHeight="true">
      <c r="A229"/>
      <c r="B229"/>
      <c r="C229"/>
      <c r="D229"/>
      <c r="E229"/>
      <c r="F229"/>
      <c r="G229"/>
      <c r="H229"/>
      <c r="I229"/>
      <c r="J229"/>
    </row>
    <row r="230" ht="15" customHeight="true">
      <c r="A230"/>
      <c r="B230"/>
      <c r="C230"/>
      <c r="D230"/>
      <c r="E230"/>
      <c r="F230"/>
      <c r="G230"/>
      <c r="H230"/>
      <c r="I230"/>
      <c r="J230"/>
    </row>
    <row r="231" ht="15" customHeight="true">
      <c r="A231"/>
      <c r="B231"/>
      <c r="C231"/>
      <c r="D231"/>
      <c r="E231"/>
      <c r="F231"/>
      <c r="G231"/>
      <c r="H231"/>
      <c r="I231"/>
      <c r="J231"/>
    </row>
    <row r="232" ht="15" customHeight="true">
      <c r="A232"/>
      <c r="B232"/>
      <c r="C232"/>
      <c r="D232"/>
      <c r="E232"/>
      <c r="F232"/>
      <c r="G232"/>
      <c r="H232"/>
      <c r="I232"/>
      <c r="J232"/>
    </row>
    <row r="233" ht="15" customHeight="true">
      <c r="A233"/>
      <c r="B233"/>
      <c r="C233"/>
      <c r="D233"/>
      <c r="E233"/>
      <c r="F233"/>
      <c r="G233"/>
      <c r="H233"/>
      <c r="I233"/>
      <c r="J233"/>
    </row>
    <row r="234" ht="15" customHeight="true">
      <c r="A234"/>
      <c r="B234"/>
      <c r="C234"/>
      <c r="D234"/>
      <c r="E234"/>
      <c r="F234"/>
      <c r="G234"/>
      <c r="H234"/>
      <c r="I234"/>
      <c r="J234"/>
    </row>
    <row r="235" ht="15" customHeight="true">
      <c r="A235"/>
      <c r="B235"/>
      <c r="C235"/>
      <c r="D235"/>
      <c r="E235"/>
      <c r="F235"/>
      <c r="G235"/>
      <c r="H235"/>
      <c r="I235"/>
      <c r="J235"/>
    </row>
    <row r="236" ht="15" customHeight="true">
      <c r="A236"/>
      <c r="B236"/>
      <c r="C236"/>
      <c r="D236"/>
      <c r="E236"/>
      <c r="F236"/>
      <c r="G236"/>
      <c r="H236"/>
      <c r="I236"/>
      <c r="J236"/>
    </row>
    <row r="237" ht="15" customHeight="true">
      <c r="A237"/>
      <c r="B237"/>
      <c r="C237"/>
      <c r="D237"/>
      <c r="E237"/>
      <c r="F237"/>
      <c r="G237"/>
      <c r="H237"/>
      <c r="I237"/>
      <c r="J237"/>
    </row>
    <row r="238" ht="15" customHeight="true">
      <c r="A238"/>
      <c r="B238"/>
      <c r="C238"/>
      <c r="D238"/>
      <c r="E238"/>
      <c r="F238"/>
      <c r="G238"/>
      <c r="H238"/>
      <c r="I238"/>
      <c r="J238"/>
    </row>
    <row r="239" ht="15" customHeight="true">
      <c r="A239"/>
      <c r="B239"/>
      <c r="C239"/>
      <c r="D239"/>
      <c r="E239"/>
      <c r="F239"/>
      <c r="G239"/>
      <c r="H239"/>
      <c r="I239"/>
      <c r="J239"/>
    </row>
    <row r="240" ht="15" customHeight="true">
      <c r="A240"/>
      <c r="B240"/>
      <c r="C240"/>
      <c r="D240"/>
      <c r="E240"/>
      <c r="F240"/>
      <c r="G240"/>
      <c r="H240"/>
      <c r="I240"/>
      <c r="J240"/>
    </row>
    <row r="241" ht="15" customHeight="true">
      <c r="A241"/>
      <c r="B241"/>
      <c r="C241"/>
      <c r="D241"/>
      <c r="E241"/>
      <c r="F241"/>
      <c r="G241"/>
      <c r="H241"/>
      <c r="I241"/>
      <c r="J241"/>
    </row>
    <row r="242" ht="15" customHeight="true">
      <c r="A242"/>
      <c r="B242"/>
      <c r="C242"/>
      <c r="D242"/>
      <c r="E242"/>
      <c r="F242"/>
      <c r="G242"/>
      <c r="H242"/>
      <c r="I242"/>
      <c r="J242"/>
    </row>
    <row r="243" ht="15" customHeight="true">
      <c r="A243"/>
      <c r="B243"/>
      <c r="C243"/>
      <c r="D243"/>
      <c r="E243"/>
      <c r="F243"/>
      <c r="G243"/>
      <c r="H243"/>
      <c r="I243"/>
      <c r="J243"/>
    </row>
    <row r="244" ht="15" customHeight="true">
      <c r="A244"/>
      <c r="B244"/>
      <c r="C244"/>
      <c r="D244"/>
      <c r="E244"/>
      <c r="F244"/>
      <c r="G244"/>
      <c r="H244"/>
      <c r="I244"/>
      <c r="J244"/>
    </row>
    <row r="245" ht="15" customHeight="true">
      <c r="A245"/>
      <c r="B245"/>
      <c r="C245"/>
      <c r="D245"/>
      <c r="E245"/>
      <c r="F245"/>
      <c r="G245"/>
      <c r="H245"/>
      <c r="I245"/>
      <c r="J245"/>
    </row>
    <row r="246" ht="15" customHeight="true">
      <c r="A246"/>
      <c r="B246"/>
      <c r="C246"/>
      <c r="D246"/>
      <c r="E246"/>
      <c r="F246"/>
      <c r="G246"/>
      <c r="H246"/>
      <c r="I246"/>
      <c r="J246"/>
    </row>
    <row r="247" ht="15" customHeight="true">
      <c r="A247"/>
      <c r="B247"/>
      <c r="C247"/>
      <c r="D247"/>
      <c r="E247"/>
      <c r="F247"/>
      <c r="G247"/>
      <c r="H247"/>
      <c r="I247"/>
      <c r="J247"/>
    </row>
    <row r="248" ht="15" customHeight="true">
      <c r="A248"/>
      <c r="B248"/>
      <c r="C248"/>
      <c r="D248"/>
      <c r="E248"/>
      <c r="F248"/>
      <c r="G248"/>
      <c r="H248"/>
      <c r="I248"/>
      <c r="J248"/>
    </row>
    <row r="249" ht="15" customHeight="true">
      <c r="A249"/>
      <c r="B249"/>
      <c r="C249"/>
      <c r="D249"/>
      <c r="E249"/>
      <c r="F249"/>
      <c r="G249"/>
      <c r="H249"/>
      <c r="I249"/>
      <c r="J249"/>
    </row>
    <row r="250" ht="15" customHeight="true">
      <c r="A250"/>
      <c r="B250"/>
      <c r="C250"/>
      <c r="D250"/>
      <c r="E250"/>
      <c r="F250"/>
      <c r="G250"/>
      <c r="H250"/>
      <c r="I250"/>
      <c r="J250"/>
    </row>
    <row r="251" ht="15" customHeight="true">
      <c r="A251"/>
      <c r="B251"/>
      <c r="C251"/>
      <c r="D251"/>
      <c r="E251"/>
      <c r="F251"/>
      <c r="G251"/>
      <c r="H251"/>
      <c r="I251"/>
      <c r="J251"/>
    </row>
    <row r="252" ht="15" customHeight="true">
      <c r="A252"/>
      <c r="B252"/>
      <c r="C252"/>
      <c r="D252"/>
      <c r="E252"/>
      <c r="F252"/>
      <c r="G252"/>
      <c r="H252"/>
      <c r="I252"/>
      <c r="J252"/>
    </row>
    <row r="253" ht="15" customHeight="true">
      <c r="A253"/>
      <c r="B253"/>
      <c r="C253"/>
      <c r="D253"/>
      <c r="E253"/>
      <c r="F253"/>
      <c r="G253"/>
      <c r="H253"/>
      <c r="I253"/>
      <c r="J253"/>
    </row>
    <row r="254" ht="15" customHeight="true">
      <c r="A254"/>
      <c r="B254"/>
      <c r="C254"/>
      <c r="D254"/>
      <c r="E254"/>
      <c r="F254"/>
      <c r="G254"/>
      <c r="H254"/>
      <c r="I254"/>
      <c r="J254"/>
    </row>
    <row r="255" ht="15" customHeight="true">
      <c r="A255"/>
      <c r="B255"/>
      <c r="C255"/>
      <c r="D255"/>
      <c r="E255"/>
      <c r="F255"/>
      <c r="G255"/>
      <c r="H255"/>
      <c r="I255"/>
      <c r="J255"/>
    </row>
    <row r="256" ht="15" customHeight="true">
      <c r="A256"/>
      <c r="B256"/>
      <c r="C256"/>
      <c r="D256"/>
      <c r="E256"/>
      <c r="F256"/>
      <c r="G256"/>
      <c r="H256"/>
      <c r="I256"/>
      <c r="J256"/>
    </row>
    <row r="257" ht="15" customHeight="true">
      <c r="A257"/>
      <c r="B257"/>
      <c r="C257"/>
      <c r="D257"/>
      <c r="E257"/>
      <c r="F257"/>
      <c r="G257"/>
      <c r="H257"/>
      <c r="I257"/>
      <c r="J257"/>
    </row>
    <row r="258" ht="15" customHeight="true">
      <c r="A258"/>
      <c r="B258"/>
      <c r="C258"/>
      <c r="D258"/>
      <c r="E258"/>
      <c r="F258"/>
      <c r="G258"/>
      <c r="H258"/>
      <c r="I258"/>
      <c r="J258"/>
    </row>
    <row r="259" ht="15" customHeight="true">
      <c r="A259"/>
      <c r="B259"/>
      <c r="C259"/>
      <c r="D259"/>
      <c r="E259"/>
      <c r="F259"/>
      <c r="G259"/>
      <c r="H259"/>
      <c r="I259"/>
      <c r="J259"/>
    </row>
    <row r="260" ht="15" customHeight="true">
      <c r="A260"/>
      <c r="B260"/>
      <c r="C260"/>
      <c r="D260"/>
      <c r="E260"/>
      <c r="F260"/>
      <c r="G260"/>
      <c r="H260"/>
      <c r="I260"/>
      <c r="J260"/>
    </row>
    <row r="261" ht="15" customHeight="true">
      <c r="A261"/>
      <c r="B261"/>
      <c r="C261"/>
      <c r="D261"/>
      <c r="E261"/>
      <c r="F261"/>
      <c r="G261"/>
      <c r="H261"/>
      <c r="I261"/>
      <c r="J261"/>
    </row>
    <row r="262" ht="15" customHeight="true">
      <c r="A262"/>
      <c r="B262"/>
      <c r="C262"/>
      <c r="D262"/>
      <c r="E262"/>
      <c r="F262"/>
      <c r="G262"/>
      <c r="H262"/>
      <c r="I262"/>
      <c r="J262"/>
    </row>
    <row r="263" ht="15" customHeight="true">
      <c r="A263"/>
      <c r="B263"/>
      <c r="C263"/>
      <c r="D263"/>
      <c r="E263"/>
      <c r="F263"/>
      <c r="G263"/>
      <c r="H263"/>
      <c r="I263"/>
      <c r="J263"/>
    </row>
    <row r="264" ht="15" customHeight="true">
      <c r="A264"/>
      <c r="B264"/>
      <c r="C264"/>
      <c r="D264"/>
      <c r="E264"/>
      <c r="F264"/>
      <c r="G264"/>
      <c r="H264"/>
      <c r="I264"/>
      <c r="J264"/>
    </row>
    <row r="265" ht="15" customHeight="true">
      <c r="A265"/>
      <c r="B265"/>
      <c r="C265"/>
      <c r="D265"/>
      <c r="E265"/>
      <c r="F265"/>
      <c r="G265"/>
      <c r="H265"/>
      <c r="I265"/>
      <c r="J265"/>
    </row>
    <row r="266" ht="15" customHeight="true">
      <c r="A266"/>
      <c r="B266"/>
      <c r="C266"/>
      <c r="D266"/>
      <c r="E266"/>
      <c r="F266"/>
      <c r="G266"/>
      <c r="H266"/>
      <c r="I266"/>
      <c r="J266"/>
    </row>
    <row r="267" ht="15" customHeight="true">
      <c r="A267"/>
      <c r="B267"/>
      <c r="C267"/>
      <c r="D267"/>
      <c r="E267"/>
      <c r="F267"/>
      <c r="G267"/>
      <c r="H267"/>
      <c r="I267"/>
      <c r="J267"/>
    </row>
    <row r="268" ht="15" customHeight="true">
      <c r="A268"/>
      <c r="B268"/>
      <c r="C268"/>
      <c r="D268"/>
      <c r="E268"/>
      <c r="F268"/>
      <c r="G268"/>
      <c r="H268"/>
      <c r="I268"/>
      <c r="J268"/>
    </row>
    <row r="269" ht="15" customHeight="true">
      <c r="A269"/>
      <c r="B269"/>
      <c r="C269"/>
      <c r="D269"/>
      <c r="E269"/>
      <c r="F269"/>
      <c r="G269"/>
      <c r="H269"/>
      <c r="I269"/>
      <c r="J269"/>
    </row>
    <row r="270" ht="15" customHeight="true">
      <c r="A270"/>
      <c r="B270"/>
      <c r="C270"/>
      <c r="D270"/>
      <c r="E270"/>
      <c r="F270"/>
      <c r="G270"/>
      <c r="H270"/>
      <c r="I270"/>
      <c r="J270"/>
    </row>
    <row r="271" ht="15" customHeight="true">
      <c r="A271"/>
      <c r="B271"/>
      <c r="C271"/>
      <c r="D271"/>
      <c r="E271"/>
      <c r="F271"/>
      <c r="G271"/>
      <c r="H271"/>
      <c r="I271"/>
      <c r="J271"/>
    </row>
    <row r="272" ht="15" customHeight="true">
      <c r="A272"/>
      <c r="B272"/>
      <c r="C272"/>
      <c r="D272"/>
      <c r="E272"/>
      <c r="F272"/>
      <c r="G272"/>
      <c r="H272"/>
      <c r="I272"/>
      <c r="J272"/>
    </row>
    <row r="273" ht="15" customHeight="true">
      <c r="A273"/>
      <c r="B273"/>
      <c r="C273"/>
      <c r="D273"/>
      <c r="E273"/>
      <c r="F273"/>
      <c r="G273"/>
      <c r="H273"/>
      <c r="I273"/>
      <c r="J273"/>
    </row>
    <row r="274" ht="15" customHeight="true">
      <c r="A274"/>
      <c r="B274"/>
      <c r="C274"/>
      <c r="D274"/>
      <c r="E274"/>
      <c r="F274"/>
      <c r="G274"/>
      <c r="H274"/>
      <c r="I274"/>
      <c r="J274"/>
    </row>
    <row r="275" ht="15" customHeight="true">
      <c r="A275"/>
      <c r="B275"/>
      <c r="C275"/>
      <c r="D275"/>
      <c r="E275"/>
      <c r="F275"/>
      <c r="G275"/>
      <c r="H275"/>
      <c r="I275"/>
      <c r="J275"/>
    </row>
    <row r="276" ht="15" customHeight="true">
      <c r="A276"/>
      <c r="B276"/>
      <c r="C276"/>
      <c r="D276"/>
      <c r="E276"/>
      <c r="F276"/>
      <c r="G276"/>
      <c r="H276"/>
      <c r="I276"/>
      <c r="J276"/>
    </row>
    <row r="277" ht="15" customHeight="true">
      <c r="A277"/>
      <c r="B277"/>
      <c r="C277"/>
      <c r="D277"/>
      <c r="E277"/>
      <c r="F277"/>
      <c r="G277"/>
      <c r="H277"/>
      <c r="I277"/>
      <c r="J277"/>
    </row>
    <row r="278" ht="15" customHeight="true">
      <c r="A278"/>
      <c r="B278"/>
      <c r="C278"/>
      <c r="D278"/>
      <c r="E278"/>
      <c r="F278"/>
      <c r="G278"/>
      <c r="H278"/>
      <c r="I278"/>
      <c r="J278"/>
    </row>
    <row r="279" ht="15" customHeight="true">
      <c r="A279"/>
      <c r="B279"/>
      <c r="C279"/>
      <c r="D279"/>
      <c r="E279"/>
      <c r="F279"/>
      <c r="G279"/>
      <c r="H279"/>
      <c r="I279"/>
      <c r="J279"/>
    </row>
    <row r="280" ht="15" customHeight="true">
      <c r="A280"/>
      <c r="B280"/>
      <c r="C280"/>
      <c r="D280"/>
      <c r="E280"/>
      <c r="F280"/>
      <c r="G280"/>
      <c r="H280"/>
      <c r="I280"/>
      <c r="J280"/>
    </row>
    <row r="281" ht="15" customHeight="true">
      <c r="A281"/>
      <c r="B281"/>
      <c r="C281"/>
      <c r="D281"/>
      <c r="E281"/>
      <c r="F281"/>
      <c r="G281"/>
      <c r="H281"/>
      <c r="I281"/>
      <c r="J281"/>
    </row>
    <row r="282" ht="15" customHeight="true">
      <c r="A282"/>
      <c r="B282"/>
      <c r="C282"/>
      <c r="D282"/>
      <c r="E282"/>
      <c r="F282"/>
      <c r="G282"/>
      <c r="H282"/>
      <c r="I282"/>
      <c r="J282"/>
    </row>
    <row r="283" ht="15" customHeight="true">
      <c r="A283"/>
      <c r="B283"/>
      <c r="C283"/>
      <c r="D283"/>
      <c r="E283"/>
      <c r="F283"/>
      <c r="G283"/>
      <c r="H283"/>
      <c r="I283"/>
      <c r="J283"/>
    </row>
    <row r="284" ht="15" customHeight="true">
      <c r="A284"/>
      <c r="B284"/>
      <c r="C284"/>
      <c r="D284"/>
      <c r="E284"/>
      <c r="F284"/>
      <c r="G284"/>
      <c r="H284"/>
      <c r="I284"/>
      <c r="J284"/>
    </row>
    <row r="285" ht="15" customHeight="true">
      <c r="A285"/>
      <c r="B285"/>
      <c r="C285"/>
      <c r="D285"/>
      <c r="E285"/>
      <c r="F285"/>
      <c r="G285"/>
      <c r="H285"/>
      <c r="I285"/>
      <c r="J285"/>
    </row>
    <row r="286" ht="15" customHeight="true">
      <c r="A286"/>
      <c r="B286"/>
      <c r="C286"/>
      <c r="D286"/>
      <c r="E286"/>
      <c r="F286"/>
      <c r="G286"/>
      <c r="H286"/>
      <c r="I286"/>
      <c r="J286"/>
    </row>
    <row r="287" ht="15" customHeight="true">
      <c r="A287"/>
      <c r="B287"/>
      <c r="C287"/>
      <c r="D287"/>
      <c r="E287"/>
      <c r="F287"/>
      <c r="G287"/>
      <c r="H287"/>
      <c r="I287"/>
      <c r="J287"/>
    </row>
    <row r="288" ht="15" customHeight="true">
      <c r="A288"/>
      <c r="B288"/>
      <c r="C288"/>
      <c r="D288"/>
      <c r="E288"/>
      <c r="F288"/>
      <c r="G288"/>
      <c r="H288"/>
      <c r="I288"/>
      <c r="J288"/>
    </row>
    <row r="289" ht="15" customHeight="true">
      <c r="A289"/>
      <c r="B289"/>
      <c r="C289"/>
      <c r="D289"/>
      <c r="E289"/>
      <c r="F289"/>
      <c r="G289"/>
      <c r="H289"/>
      <c r="I289"/>
      <c r="J289"/>
    </row>
    <row r="290" ht="15" customHeight="true">
      <c r="A290"/>
      <c r="B290"/>
      <c r="C290"/>
      <c r="D290"/>
      <c r="E290"/>
      <c r="F290"/>
      <c r="G290"/>
      <c r="H290"/>
      <c r="I290"/>
      <c r="J290"/>
    </row>
    <row r="291" ht="15" customHeight="true">
      <c r="A291"/>
      <c r="B291"/>
      <c r="C291"/>
      <c r="D291"/>
      <c r="E291"/>
      <c r="F291"/>
      <c r="G291"/>
      <c r="H291"/>
      <c r="I291"/>
      <c r="J291"/>
    </row>
    <row r="292" ht="15" customHeight="true">
      <c r="A292"/>
      <c r="B292"/>
      <c r="C292"/>
      <c r="D292"/>
      <c r="E292"/>
      <c r="F292"/>
      <c r="G292"/>
      <c r="H292"/>
      <c r="I292"/>
      <c r="J292"/>
    </row>
    <row r="293" ht="15" customHeight="true">
      <c r="A293"/>
      <c r="B293"/>
      <c r="C293"/>
      <c r="D293"/>
      <c r="E293"/>
      <c r="F293"/>
      <c r="G293"/>
      <c r="H293"/>
      <c r="I293"/>
      <c r="J293"/>
    </row>
    <row r="294" ht="15" customHeight="true">
      <c r="A294"/>
      <c r="B294"/>
      <c r="C294"/>
      <c r="D294"/>
      <c r="E294"/>
      <c r="F294"/>
      <c r="G294"/>
      <c r="H294"/>
      <c r="I294"/>
      <c r="J294"/>
    </row>
    <row r="295" ht="15" customHeight="true">
      <c r="A295"/>
      <c r="B295"/>
      <c r="C295"/>
      <c r="D295"/>
      <c r="E295"/>
      <c r="F295"/>
      <c r="G295"/>
      <c r="H295"/>
      <c r="I295"/>
      <c r="J295"/>
    </row>
    <row r="296" ht="15" customHeight="true">
      <c r="A296"/>
      <c r="B296"/>
      <c r="C296"/>
      <c r="D296"/>
      <c r="E296"/>
      <c r="F296"/>
      <c r="G296"/>
      <c r="H296"/>
      <c r="I296"/>
      <c r="J296"/>
    </row>
    <row r="297" ht="15" customHeight="true">
      <c r="A297"/>
      <c r="B297"/>
      <c r="C297"/>
      <c r="D297"/>
      <c r="E297"/>
      <c r="F297"/>
      <c r="G297"/>
      <c r="H297"/>
      <c r="I297"/>
      <c r="J297"/>
    </row>
    <row r="298" ht="15" customHeight="true">
      <c r="A298"/>
      <c r="B298"/>
      <c r="C298"/>
      <c r="D298"/>
      <c r="E298"/>
      <c r="F298"/>
      <c r="G298"/>
      <c r="H298"/>
      <c r="I298"/>
      <c r="J298"/>
    </row>
    <row r="299" ht="15" customHeight="true">
      <c r="A299"/>
      <c r="B299"/>
      <c r="C299"/>
      <c r="D299"/>
      <c r="E299"/>
      <c r="F299"/>
      <c r="G299"/>
      <c r="H299"/>
      <c r="I299"/>
      <c r="J299"/>
    </row>
    <row r="300" ht="15" customHeight="true">
      <c r="A300"/>
      <c r="B300"/>
      <c r="C300"/>
      <c r="D300"/>
      <c r="E300"/>
      <c r="F300"/>
      <c r="G300"/>
      <c r="H300"/>
      <c r="I300"/>
      <c r="J300"/>
    </row>
    <row r="301" ht="15" customHeight="true">
      <c r="A301"/>
      <c r="B301"/>
      <c r="C301"/>
      <c r="D301"/>
      <c r="E301"/>
      <c r="F301"/>
      <c r="G301"/>
      <c r="H301"/>
      <c r="I301"/>
      <c r="J301"/>
    </row>
    <row r="302" ht="15" customHeight="true">
      <c r="A302"/>
      <c r="B302"/>
      <c r="C302"/>
      <c r="D302"/>
      <c r="E302"/>
      <c r="F302"/>
      <c r="G302"/>
      <c r="H302"/>
      <c r="I302"/>
      <c r="J302"/>
    </row>
    <row r="303" ht="15" customHeight="true">
      <c r="A303"/>
      <c r="B303"/>
      <c r="C303"/>
      <c r="D303"/>
      <c r="E303"/>
      <c r="F303"/>
      <c r="G303"/>
      <c r="H303"/>
      <c r="I303"/>
      <c r="J303"/>
    </row>
    <row r="304" ht="15" customHeight="true">
      <c r="A304"/>
      <c r="B304"/>
      <c r="C304"/>
      <c r="D304"/>
      <c r="E304"/>
      <c r="F304"/>
      <c r="G304"/>
      <c r="H304"/>
      <c r="I304"/>
      <c r="J304"/>
    </row>
    <row r="305" ht="15" customHeight="true">
      <c r="A305"/>
      <c r="B305"/>
      <c r="C305"/>
      <c r="D305"/>
      <c r="E305"/>
      <c r="F305"/>
      <c r="G305"/>
      <c r="H305"/>
      <c r="I305"/>
      <c r="J305"/>
    </row>
    <row r="306" ht="15" customHeight="true">
      <c r="A306"/>
      <c r="B306"/>
      <c r="C306"/>
      <c r="D306"/>
      <c r="E306"/>
      <c r="F306"/>
      <c r="G306"/>
      <c r="H306"/>
      <c r="I306"/>
      <c r="J306"/>
    </row>
    <row r="307" ht="15" customHeight="true">
      <c r="A307"/>
      <c r="B307"/>
      <c r="C307"/>
      <c r="D307"/>
      <c r="E307"/>
      <c r="F307"/>
      <c r="G307"/>
      <c r="H307"/>
      <c r="I307"/>
      <c r="J307"/>
    </row>
    <row r="308" ht="15" customHeight="true">
      <c r="A308"/>
      <c r="B308"/>
      <c r="C308"/>
      <c r="D308"/>
      <c r="E308"/>
      <c r="F308"/>
      <c r="G308"/>
      <c r="H308"/>
      <c r="I308"/>
      <c r="J308"/>
    </row>
    <row r="309" ht="15" customHeight="true">
      <c r="A309"/>
      <c r="B309"/>
      <c r="C309"/>
      <c r="D309"/>
      <c r="E309"/>
      <c r="F309"/>
      <c r="G309"/>
      <c r="H309"/>
      <c r="I309"/>
      <c r="J309"/>
    </row>
    <row r="310" ht="15" customHeight="true">
      <c r="A310"/>
      <c r="B310"/>
      <c r="C310"/>
      <c r="D310"/>
      <c r="E310"/>
      <c r="F310"/>
      <c r="G310"/>
      <c r="H310"/>
      <c r="I310"/>
      <c r="J310"/>
    </row>
    <row r="311" ht="15" customHeight="true">
      <c r="A311"/>
      <c r="B311"/>
      <c r="C311"/>
      <c r="D311"/>
      <c r="E311"/>
      <c r="F311"/>
      <c r="G311"/>
      <c r="H311"/>
      <c r="I311"/>
      <c r="J311"/>
    </row>
    <row r="312" ht="15" customHeight="true">
      <c r="A312"/>
      <c r="B312"/>
      <c r="C312"/>
      <c r="D312"/>
      <c r="E312"/>
      <c r="F312"/>
      <c r="G312"/>
      <c r="H312"/>
      <c r="I312"/>
      <c r="J312"/>
    </row>
    <row r="313" ht="15" customHeight="true">
      <c r="A313"/>
      <c r="B313"/>
      <c r="C313"/>
      <c r="D313"/>
      <c r="E313"/>
      <c r="F313"/>
      <c r="G313"/>
      <c r="H313"/>
      <c r="I313"/>
      <c r="J313"/>
    </row>
    <row r="314" ht="15" customHeight="true">
      <c r="A314"/>
      <c r="B314"/>
      <c r="C314"/>
      <c r="D314"/>
      <c r="E314"/>
      <c r="F314"/>
      <c r="G314"/>
      <c r="H314"/>
      <c r="I314"/>
      <c r="J314"/>
    </row>
    <row r="315" ht="15" customHeight="true">
      <c r="A315"/>
      <c r="B315"/>
      <c r="C315"/>
      <c r="D315"/>
      <c r="E315"/>
      <c r="F315"/>
      <c r="G315"/>
      <c r="H315"/>
      <c r="I315"/>
      <c r="J315"/>
    </row>
    <row r="316" ht="15" customHeight="true">
      <c r="A316"/>
      <c r="B316"/>
      <c r="C316"/>
      <c r="D316"/>
      <c r="E316"/>
      <c r="F316"/>
      <c r="G316"/>
      <c r="H316"/>
      <c r="I316"/>
      <c r="J316"/>
    </row>
    <row r="317" ht="15" customHeight="true">
      <c r="A317"/>
      <c r="B317"/>
      <c r="C317"/>
      <c r="D317"/>
      <c r="E317"/>
      <c r="F317"/>
      <c r="G317"/>
      <c r="H317"/>
      <c r="I317"/>
      <c r="J317"/>
    </row>
    <row r="318" ht="15" customHeight="true">
      <c r="A318"/>
      <c r="B318"/>
      <c r="C318"/>
      <c r="D318"/>
      <c r="E318"/>
      <c r="F318"/>
      <c r="G318"/>
      <c r="H318"/>
      <c r="I318"/>
      <c r="J318"/>
    </row>
    <row r="319" ht="15" customHeight="true">
      <c r="A319"/>
      <c r="B319"/>
      <c r="C319"/>
      <c r="D319"/>
      <c r="E319"/>
      <c r="F319"/>
      <c r="G319"/>
      <c r="H319"/>
      <c r="I319"/>
      <c r="J319"/>
    </row>
    <row r="320" ht="15" customHeight="true">
      <c r="A320"/>
      <c r="B320"/>
      <c r="C320"/>
      <c r="D320"/>
      <c r="E320"/>
      <c r="F320"/>
      <c r="G320"/>
      <c r="H320"/>
      <c r="I320"/>
      <c r="J320"/>
    </row>
    <row r="321" ht="15" customHeight="true">
      <c r="A321"/>
      <c r="B321"/>
      <c r="C321"/>
      <c r="D321"/>
      <c r="E321"/>
      <c r="F321"/>
      <c r="G321"/>
      <c r="H321"/>
      <c r="I321"/>
      <c r="J321"/>
    </row>
    <row r="322" ht="15" customHeight="true">
      <c r="A322"/>
      <c r="B322"/>
      <c r="C322"/>
      <c r="D322"/>
      <c r="E322"/>
      <c r="F322"/>
      <c r="G322"/>
      <c r="H322"/>
      <c r="I322"/>
      <c r="J322"/>
    </row>
    <row r="323" ht="15" customHeight="true">
      <c r="A323"/>
      <c r="B323"/>
      <c r="C323"/>
      <c r="D323"/>
      <c r="E323"/>
      <c r="F323"/>
      <c r="G323"/>
      <c r="H323"/>
      <c r="I323"/>
      <c r="J323"/>
    </row>
    <row r="324" ht="15" customHeight="true">
      <c r="A324"/>
      <c r="B324"/>
      <c r="C324"/>
      <c r="D324"/>
      <c r="E324"/>
      <c r="F324"/>
      <c r="G324"/>
      <c r="H324"/>
      <c r="I324"/>
      <c r="J324"/>
    </row>
    <row r="325" ht="15" customHeight="true">
      <c r="A325"/>
      <c r="B325"/>
      <c r="C325"/>
      <c r="D325"/>
      <c r="E325"/>
      <c r="F325"/>
      <c r="G325"/>
      <c r="H325"/>
      <c r="I325"/>
      <c r="J325"/>
    </row>
    <row r="326" ht="15" customHeight="true">
      <c r="A326"/>
      <c r="B326"/>
      <c r="C326"/>
      <c r="D326"/>
      <c r="E326"/>
      <c r="F326"/>
      <c r="G326"/>
      <c r="H326"/>
      <c r="I326"/>
      <c r="J326"/>
    </row>
    <row r="327" ht="15" customHeight="true">
      <c r="A327"/>
      <c r="B327"/>
      <c r="C327"/>
      <c r="D327"/>
      <c r="E327"/>
      <c r="F327"/>
      <c r="G327"/>
      <c r="H327"/>
      <c r="I327"/>
      <c r="J327"/>
    </row>
    <row r="328" ht="15" customHeight="true">
      <c r="A328"/>
      <c r="B328"/>
      <c r="C328"/>
      <c r="D328"/>
      <c r="E328"/>
      <c r="F328"/>
      <c r="G328"/>
      <c r="H328"/>
      <c r="I328"/>
      <c r="J328"/>
    </row>
    <row r="329" ht="15" customHeight="true">
      <c r="A329"/>
      <c r="B329"/>
      <c r="C329"/>
      <c r="D329"/>
      <c r="E329"/>
      <c r="F329"/>
      <c r="G329"/>
      <c r="H329"/>
      <c r="I329"/>
      <c r="J329"/>
    </row>
    <row r="330" ht="15" customHeight="true">
      <c r="A330"/>
      <c r="B330"/>
      <c r="C330"/>
      <c r="D330"/>
      <c r="E330"/>
      <c r="F330"/>
      <c r="G330"/>
      <c r="H330"/>
      <c r="I330"/>
      <c r="J330"/>
    </row>
    <row r="331" ht="15" customHeight="true">
      <c r="A331"/>
      <c r="B331"/>
      <c r="C331"/>
      <c r="D331"/>
      <c r="E331"/>
      <c r="F331"/>
      <c r="G331"/>
      <c r="H331"/>
      <c r="I331"/>
      <c r="J331"/>
    </row>
    <row r="332" ht="15" customHeight="true">
      <c r="A332"/>
      <c r="B332"/>
      <c r="C332"/>
      <c r="D332"/>
      <c r="E332"/>
      <c r="F332"/>
      <c r="G332"/>
      <c r="H332"/>
      <c r="I332"/>
      <c r="J332"/>
    </row>
    <row r="333" ht="15" customHeight="true">
      <c r="A333"/>
      <c r="B333"/>
      <c r="C333"/>
      <c r="D333"/>
      <c r="E333"/>
      <c r="F333"/>
      <c r="G333"/>
      <c r="H333"/>
      <c r="I333"/>
      <c r="J333"/>
    </row>
    <row r="334" ht="15" customHeight="true">
      <c r="A334"/>
      <c r="B334"/>
      <c r="C334"/>
      <c r="D334"/>
      <c r="E334"/>
      <c r="F334"/>
      <c r="G334"/>
      <c r="H334"/>
      <c r="I334"/>
      <c r="J334"/>
    </row>
    <row r="335" ht="15" customHeight="true">
      <c r="A335"/>
      <c r="B335"/>
      <c r="C335"/>
      <c r="D335"/>
      <c r="E335"/>
      <c r="F335"/>
      <c r="G335"/>
      <c r="H335"/>
      <c r="I335"/>
      <c r="J335"/>
    </row>
    <row r="336" ht="15" customHeight="true">
      <c r="A336"/>
      <c r="B336"/>
      <c r="C336"/>
      <c r="D336"/>
      <c r="E336"/>
      <c r="F336"/>
      <c r="G336"/>
      <c r="H336"/>
      <c r="I336"/>
      <c r="J336"/>
    </row>
    <row r="337" ht="15" customHeight="true">
      <c r="A337"/>
      <c r="B337"/>
      <c r="C337"/>
      <c r="D337"/>
      <c r="E337"/>
      <c r="F337"/>
      <c r="G337"/>
      <c r="H337"/>
      <c r="I337"/>
      <c r="J337"/>
    </row>
    <row r="338" ht="15" customHeight="true">
      <c r="A338"/>
      <c r="B338"/>
      <c r="C338"/>
      <c r="D338"/>
      <c r="E338"/>
      <c r="F338"/>
      <c r="G338"/>
      <c r="H338"/>
      <c r="I338"/>
      <c r="J338"/>
    </row>
    <row r="339" ht="15" customHeight="true">
      <c r="A339"/>
      <c r="B339"/>
      <c r="C339"/>
      <c r="D339"/>
      <c r="E339"/>
      <c r="F339"/>
      <c r="G339"/>
      <c r="H339"/>
      <c r="I339"/>
      <c r="J339"/>
    </row>
    <row r="340" ht="15" customHeight="true">
      <c r="A340"/>
      <c r="B340"/>
      <c r="C340"/>
      <c r="D340"/>
      <c r="E340"/>
      <c r="F340"/>
      <c r="G340"/>
      <c r="H340"/>
      <c r="I340"/>
      <c r="J340"/>
    </row>
    <row r="341" ht="15" customHeight="true">
      <c r="A341"/>
      <c r="B341"/>
      <c r="C341"/>
      <c r="D341"/>
      <c r="E341"/>
      <c r="F341"/>
      <c r="G341"/>
      <c r="H341"/>
      <c r="I341"/>
      <c r="J341"/>
    </row>
    <row r="342" ht="15" customHeight="true">
      <c r="A342"/>
      <c r="B342"/>
      <c r="C342"/>
      <c r="D342"/>
      <c r="E342"/>
      <c r="F342"/>
      <c r="G342"/>
      <c r="H342"/>
      <c r="I342"/>
      <c r="J342"/>
    </row>
    <row r="343" ht="15" customHeight="true">
      <c r="A343"/>
      <c r="B343"/>
      <c r="C343"/>
      <c r="D343"/>
      <c r="E343"/>
      <c r="F343"/>
      <c r="G343"/>
      <c r="H343"/>
      <c r="I343"/>
      <c r="J343"/>
    </row>
    <row r="344" ht="15" customHeight="true">
      <c r="A344"/>
      <c r="B344"/>
      <c r="C344"/>
      <c r="D344"/>
      <c r="E344"/>
      <c r="F344"/>
      <c r="G344"/>
      <c r="H344"/>
      <c r="I344"/>
      <c r="J344"/>
    </row>
    <row r="345" ht="15" customHeight="true">
      <c r="A345"/>
      <c r="B345"/>
      <c r="C345"/>
      <c r="D345"/>
      <c r="E345"/>
      <c r="F345"/>
      <c r="G345"/>
      <c r="H345"/>
      <c r="I345"/>
      <c r="J345"/>
    </row>
    <row r="346" ht="15" customHeight="true">
      <c r="A346"/>
      <c r="B346"/>
      <c r="C346"/>
      <c r="D346"/>
      <c r="E346"/>
      <c r="F346"/>
      <c r="G346"/>
      <c r="H346"/>
      <c r="I346"/>
      <c r="J346"/>
    </row>
    <row r="347" ht="15" customHeight="true">
      <c r="A347"/>
      <c r="B347"/>
      <c r="C347"/>
      <c r="D347"/>
      <c r="E347"/>
      <c r="F347"/>
      <c r="G347"/>
      <c r="H347"/>
      <c r="I347"/>
      <c r="J347"/>
    </row>
    <row r="348" ht="15" customHeight="true">
      <c r="A348"/>
      <c r="B348"/>
      <c r="C348"/>
      <c r="D348"/>
      <c r="E348"/>
      <c r="F348"/>
      <c r="G348"/>
      <c r="H348"/>
      <c r="I348"/>
      <c r="J348"/>
    </row>
    <row r="349" ht="15" customHeight="true">
      <c r="A349"/>
      <c r="B349"/>
      <c r="C349"/>
      <c r="D349"/>
      <c r="E349"/>
      <c r="F349"/>
      <c r="G349"/>
      <c r="H349"/>
      <c r="I349"/>
      <c r="J349"/>
    </row>
    <row r="350" ht="15" customHeight="true">
      <c r="A350"/>
      <c r="B350"/>
      <c r="C350"/>
      <c r="D350"/>
      <c r="E350"/>
      <c r="F350"/>
      <c r="G350"/>
      <c r="H350"/>
      <c r="I350"/>
      <c r="J350"/>
    </row>
    <row r="351" ht="15" customHeight="true">
      <c r="A351"/>
      <c r="B351"/>
      <c r="C351"/>
      <c r="D351"/>
      <c r="E351"/>
      <c r="F351"/>
      <c r="G351"/>
      <c r="H351"/>
      <c r="I351"/>
      <c r="J351"/>
    </row>
    <row r="352" ht="15" customHeight="true">
      <c r="A352"/>
      <c r="B352"/>
      <c r="C352"/>
      <c r="D352"/>
      <c r="E352"/>
      <c r="F352"/>
      <c r="G352"/>
      <c r="H352"/>
      <c r="I352"/>
      <c r="J352"/>
    </row>
    <row r="353" ht="15" customHeight="true">
      <c r="A353"/>
      <c r="B353"/>
      <c r="C353"/>
      <c r="D353"/>
      <c r="E353"/>
      <c r="F353"/>
      <c r="G353"/>
      <c r="H353"/>
      <c r="I353"/>
      <c r="J353"/>
    </row>
    <row r="354" ht="15" customHeight="true">
      <c r="A354"/>
      <c r="B354"/>
      <c r="C354"/>
      <c r="D354"/>
      <c r="E354"/>
      <c r="F354"/>
      <c r="G354"/>
      <c r="H354"/>
      <c r="I354"/>
      <c r="J354"/>
    </row>
    <row r="355" ht="15" customHeight="true">
      <c r="A355"/>
      <c r="B355"/>
      <c r="C355"/>
      <c r="D355"/>
      <c r="E355"/>
      <c r="F355"/>
      <c r="G355"/>
      <c r="H355"/>
      <c r="I355"/>
      <c r="J355"/>
    </row>
    <row r="356" ht="15" customHeight="true">
      <c r="A356"/>
      <c r="B356"/>
      <c r="C356"/>
      <c r="D356"/>
      <c r="E356"/>
      <c r="F356"/>
      <c r="G356"/>
      <c r="H356"/>
      <c r="I356"/>
      <c r="J356"/>
    </row>
    <row r="357" ht="15" customHeight="true">
      <c r="A357"/>
      <c r="B357"/>
      <c r="C357"/>
      <c r="D357"/>
      <c r="E357"/>
      <c r="F357"/>
      <c r="G357"/>
      <c r="H357"/>
      <c r="I357"/>
      <c r="J357"/>
    </row>
    <row r="358" ht="15" customHeight="true">
      <c r="A358"/>
      <c r="B358"/>
      <c r="C358"/>
      <c r="D358"/>
      <c r="E358"/>
      <c r="F358"/>
      <c r="G358"/>
      <c r="H358"/>
      <c r="I358"/>
      <c r="J358"/>
    </row>
    <row r="359" ht="15" customHeight="true">
      <c r="A359"/>
      <c r="B359"/>
      <c r="C359"/>
      <c r="D359"/>
      <c r="E359"/>
      <c r="F359"/>
      <c r="G359"/>
      <c r="H359"/>
      <c r="I359"/>
      <c r="J359"/>
    </row>
    <row r="360" ht="15" customHeight="true">
      <c r="A360"/>
      <c r="B360"/>
      <c r="C360"/>
      <c r="D360"/>
      <c r="E360"/>
      <c r="F360"/>
      <c r="G360"/>
      <c r="H360"/>
      <c r="I360"/>
      <c r="J360"/>
    </row>
    <row r="361" ht="15" customHeight="true">
      <c r="A361"/>
      <c r="B361"/>
      <c r="C361"/>
      <c r="D361"/>
      <c r="E361"/>
      <c r="F361"/>
      <c r="G361"/>
      <c r="H361"/>
      <c r="I361"/>
      <c r="J361"/>
    </row>
    <row r="362" ht="15" customHeight="true">
      <c r="A362"/>
      <c r="B362"/>
      <c r="C362"/>
      <c r="D362"/>
      <c r="E362"/>
      <c r="F362"/>
      <c r="G362"/>
      <c r="H362"/>
      <c r="I362"/>
      <c r="J362"/>
    </row>
    <row r="363" ht="15" customHeight="true">
      <c r="A363"/>
      <c r="B363"/>
      <c r="C363"/>
      <c r="D363"/>
      <c r="E363"/>
      <c r="F363"/>
      <c r="G363"/>
      <c r="H363"/>
      <c r="I363"/>
      <c r="J363"/>
    </row>
    <row r="364" ht="15" customHeight="true">
      <c r="A364"/>
      <c r="B364"/>
      <c r="C364"/>
      <c r="D364"/>
      <c r="E364"/>
      <c r="F364"/>
      <c r="G364"/>
      <c r="H364"/>
      <c r="I364"/>
      <c r="J364"/>
    </row>
    <row r="365" ht="15" customHeight="true">
      <c r="A365"/>
      <c r="B365"/>
      <c r="C365"/>
      <c r="D365"/>
      <c r="E365"/>
      <c r="F365"/>
      <c r="G365"/>
      <c r="H365"/>
      <c r="I365"/>
      <c r="J365"/>
    </row>
    <row r="366" ht="15" customHeight="true">
      <c r="A366"/>
      <c r="B366"/>
      <c r="C366"/>
      <c r="D366"/>
      <c r="E366"/>
      <c r="F366"/>
      <c r="G366"/>
      <c r="H366"/>
      <c r="I366"/>
      <c r="J366"/>
    </row>
    <row r="367" ht="15" customHeight="true">
      <c r="A367"/>
      <c r="B367"/>
      <c r="C367"/>
      <c r="D367"/>
      <c r="E367"/>
      <c r="F367"/>
      <c r="G367"/>
      <c r="H367"/>
      <c r="I367"/>
      <c r="J367"/>
    </row>
    <row r="368" ht="15" customHeight="true">
      <c r="A368"/>
      <c r="B368"/>
      <c r="C368"/>
      <c r="D368"/>
      <c r="E368"/>
      <c r="F368"/>
      <c r="G368"/>
      <c r="H368"/>
      <c r="I368"/>
      <c r="J368"/>
    </row>
    <row r="369" ht="15" customHeight="true">
      <c r="A369"/>
      <c r="B369"/>
      <c r="C369"/>
      <c r="D369"/>
      <c r="E369"/>
      <c r="F369"/>
      <c r="G369"/>
      <c r="H369"/>
      <c r="I369"/>
      <c r="J369"/>
    </row>
    <row r="370" ht="15" customHeight="true">
      <c r="A370"/>
      <c r="B370"/>
      <c r="C370"/>
      <c r="D370"/>
      <c r="E370"/>
      <c r="F370"/>
      <c r="G370"/>
      <c r="H370"/>
      <c r="I370"/>
      <c r="J370"/>
    </row>
    <row r="371" ht="15" customHeight="true">
      <c r="A371"/>
      <c r="B371"/>
      <c r="C371"/>
      <c r="D371"/>
      <c r="E371"/>
      <c r="F371"/>
      <c r="G371"/>
      <c r="H371"/>
      <c r="I371"/>
      <c r="J371"/>
    </row>
    <row r="372" ht="15" customHeight="true">
      <c r="A372"/>
      <c r="B372"/>
      <c r="C372"/>
      <c r="D372"/>
      <c r="E372"/>
      <c r="F372"/>
      <c r="G372"/>
      <c r="H372"/>
      <c r="I372"/>
      <c r="J372"/>
    </row>
    <row r="373" ht="15" customHeight="true">
      <c r="A373"/>
      <c r="B373"/>
      <c r="C373"/>
      <c r="D373"/>
      <c r="E373"/>
      <c r="F373"/>
      <c r="G373"/>
      <c r="H373"/>
      <c r="I373"/>
      <c r="J373"/>
    </row>
    <row r="374" ht="15" customHeight="true">
      <c r="A374"/>
      <c r="B374"/>
      <c r="C374"/>
      <c r="D374"/>
      <c r="E374"/>
      <c r="F374"/>
      <c r="G374"/>
      <c r="H374"/>
      <c r="I374"/>
      <c r="J374"/>
    </row>
    <row r="375" ht="15" customHeight="true">
      <c r="A375"/>
      <c r="B375"/>
      <c r="C375"/>
      <c r="D375"/>
      <c r="E375"/>
      <c r="F375"/>
      <c r="G375"/>
      <c r="H375"/>
      <c r="I375"/>
      <c r="J375"/>
    </row>
    <row r="376" ht="15" customHeight="true">
      <c r="A376"/>
      <c r="B376"/>
      <c r="C376"/>
      <c r="D376"/>
      <c r="E376"/>
      <c r="F376"/>
      <c r="G376"/>
      <c r="H376"/>
      <c r="I376"/>
      <c r="J376"/>
    </row>
    <row r="377" ht="15" customHeight="true">
      <c r="A377"/>
      <c r="B377"/>
      <c r="C377"/>
      <c r="D377"/>
      <c r="E377"/>
      <c r="F377"/>
      <c r="G377"/>
      <c r="H377"/>
      <c r="I377"/>
      <c r="J377"/>
    </row>
    <row r="378" ht="15" customHeight="true">
      <c r="A378"/>
      <c r="B378"/>
      <c r="C378"/>
      <c r="D378"/>
      <c r="E378"/>
      <c r="F378"/>
      <c r="G378"/>
      <c r="H378"/>
      <c r="I378"/>
      <c r="J378"/>
    </row>
    <row r="379" ht="15" customHeight="true">
      <c r="A379"/>
      <c r="B379"/>
      <c r="C379"/>
      <c r="D379"/>
      <c r="E379"/>
      <c r="F379"/>
      <c r="G379"/>
      <c r="H379"/>
      <c r="I379"/>
      <c r="J379"/>
    </row>
    <row r="380" ht="15" customHeight="true">
      <c r="A380"/>
      <c r="B380"/>
      <c r="C380"/>
      <c r="D380"/>
      <c r="E380"/>
      <c r="F380"/>
      <c r="G380"/>
      <c r="H380"/>
      <c r="I380"/>
      <c r="J380"/>
    </row>
    <row r="381" ht="15" customHeight="true">
      <c r="A381"/>
      <c r="B381"/>
      <c r="C381"/>
      <c r="D381"/>
      <c r="E381"/>
      <c r="F381"/>
      <c r="G381"/>
      <c r="H381"/>
      <c r="I381"/>
      <c r="J381"/>
    </row>
    <row r="382" ht="15" customHeight="true">
      <c r="A382"/>
      <c r="B382"/>
      <c r="C382"/>
      <c r="D382"/>
      <c r="E382"/>
      <c r="F382"/>
      <c r="G382"/>
      <c r="H382"/>
      <c r="I382"/>
      <c r="J382"/>
    </row>
    <row r="383" ht="15" customHeight="true">
      <c r="A383"/>
      <c r="B383"/>
      <c r="C383"/>
      <c r="D383"/>
      <c r="E383"/>
      <c r="F383"/>
      <c r="G383"/>
      <c r="H383"/>
      <c r="I383"/>
      <c r="J383"/>
    </row>
    <row r="384" ht="15" customHeight="true">
      <c r="A384"/>
      <c r="B384"/>
      <c r="C384"/>
      <c r="D384"/>
      <c r="E384"/>
      <c r="F384"/>
      <c r="G384"/>
      <c r="H384"/>
      <c r="I384"/>
      <c r="J384"/>
    </row>
    <row r="385" ht="15" customHeight="true">
      <c r="A385"/>
      <c r="B385"/>
      <c r="C385"/>
      <c r="D385"/>
      <c r="E385"/>
      <c r="F385"/>
      <c r="G385"/>
      <c r="H385"/>
      <c r="I385"/>
      <c r="J385"/>
    </row>
    <row r="386" ht="15" customHeight="true">
      <c r="A386"/>
      <c r="B386"/>
      <c r="C386"/>
      <c r="D386"/>
      <c r="E386"/>
      <c r="F386"/>
      <c r="G386"/>
      <c r="H386"/>
      <c r="I386"/>
      <c r="J386"/>
    </row>
    <row r="387" ht="15" customHeight="true">
      <c r="A387"/>
      <c r="B387"/>
      <c r="C387"/>
      <c r="D387"/>
      <c r="E387"/>
      <c r="F387"/>
      <c r="G387"/>
      <c r="H387"/>
      <c r="I387"/>
      <c r="J387"/>
    </row>
    <row r="388" ht="15" customHeight="true">
      <c r="A388"/>
      <c r="B388"/>
      <c r="C388"/>
      <c r="D388"/>
      <c r="E388"/>
      <c r="F388"/>
      <c r="G388"/>
      <c r="H388"/>
      <c r="I388"/>
      <c r="J388"/>
    </row>
    <row r="389" ht="15" customHeight="true">
      <c r="A389"/>
      <c r="B389"/>
      <c r="C389"/>
      <c r="D389"/>
      <c r="E389"/>
      <c r="F389"/>
      <c r="G389"/>
      <c r="H389"/>
      <c r="I389"/>
      <c r="J389"/>
    </row>
    <row r="390" ht="15" customHeight="true">
      <c r="A390"/>
      <c r="B390"/>
      <c r="C390"/>
      <c r="D390"/>
      <c r="E390"/>
      <c r="F390"/>
      <c r="G390"/>
      <c r="H390"/>
      <c r="I390"/>
      <c r="J390"/>
    </row>
    <row r="391" ht="15" customHeight="true">
      <c r="A391"/>
      <c r="B391"/>
      <c r="C391"/>
      <c r="D391"/>
      <c r="E391"/>
      <c r="F391"/>
      <c r="G391"/>
      <c r="H391"/>
      <c r="I391"/>
      <c r="J391"/>
    </row>
    <row r="392" ht="15" customHeight="true">
      <c r="A392"/>
      <c r="B392"/>
      <c r="C392"/>
      <c r="D392"/>
      <c r="E392"/>
      <c r="F392"/>
      <c r="G392"/>
      <c r="H392"/>
      <c r="I392"/>
      <c r="J392"/>
    </row>
    <row r="393" ht="15" customHeight="true">
      <c r="A393"/>
      <c r="B393"/>
      <c r="C393"/>
      <c r="D393"/>
      <c r="E393"/>
      <c r="F393"/>
      <c r="G393"/>
      <c r="H393"/>
      <c r="I393"/>
      <c r="J393"/>
    </row>
    <row r="394" ht="15" customHeight="true">
      <c r="A394"/>
      <c r="B394"/>
      <c r="C394"/>
      <c r="D394"/>
      <c r="E394"/>
      <c r="F394"/>
      <c r="G394"/>
      <c r="H394"/>
      <c r="I394"/>
      <c r="J394"/>
    </row>
    <row r="395" ht="15" customHeight="true">
      <c r="A395"/>
      <c r="B395"/>
      <c r="C395"/>
      <c r="D395"/>
      <c r="E395"/>
      <c r="F395"/>
      <c r="G395"/>
      <c r="H395"/>
      <c r="I395"/>
      <c r="J395"/>
    </row>
    <row r="396" ht="15" customHeight="true">
      <c r="A396"/>
      <c r="B396"/>
      <c r="C396"/>
      <c r="D396"/>
      <c r="E396"/>
      <c r="F396"/>
      <c r="G396"/>
      <c r="H396"/>
      <c r="I396"/>
      <c r="J396"/>
    </row>
    <row r="397" ht="15" customHeight="true">
      <c r="A397"/>
      <c r="B397"/>
      <c r="C397"/>
      <c r="D397"/>
      <c r="E397"/>
      <c r="F397"/>
      <c r="G397"/>
      <c r="H397"/>
      <c r="I397"/>
      <c r="J397"/>
    </row>
    <row r="398" ht="15" customHeight="true">
      <c r="A398"/>
      <c r="B398"/>
      <c r="C398"/>
      <c r="D398"/>
      <c r="E398"/>
      <c r="F398"/>
      <c r="G398"/>
      <c r="H398"/>
      <c r="I398"/>
      <c r="J398"/>
    </row>
    <row r="399" ht="15" customHeight="true">
      <c r="A399"/>
      <c r="B399"/>
      <c r="C399"/>
      <c r="D399"/>
      <c r="E399"/>
      <c r="F399"/>
      <c r="G399"/>
      <c r="H399"/>
      <c r="I399"/>
      <c r="J399"/>
    </row>
    <row r="400" ht="15" customHeight="true">
      <c r="A400"/>
      <c r="B400"/>
      <c r="C400"/>
      <c r="D400"/>
      <c r="E400"/>
      <c r="F400"/>
      <c r="G400"/>
      <c r="H400"/>
      <c r="I400"/>
      <c r="J400"/>
    </row>
    <row r="401" ht="15" customHeight="true">
      <c r="A401"/>
      <c r="B401"/>
      <c r="C401"/>
      <c r="D401"/>
      <c r="E401"/>
      <c r="F401"/>
      <c r="G401"/>
      <c r="H401"/>
      <c r="I401"/>
      <c r="J401"/>
    </row>
    <row r="402" ht="15" customHeight="true">
      <c r="A402"/>
      <c r="B402"/>
      <c r="C402"/>
      <c r="D402"/>
      <c r="E402"/>
      <c r="F402"/>
      <c r="G402"/>
      <c r="H402"/>
      <c r="I402"/>
      <c r="J402"/>
    </row>
    <row r="403" ht="15" customHeight="true">
      <c r="A403"/>
      <c r="B403"/>
      <c r="C403"/>
      <c r="D403"/>
      <c r="E403"/>
      <c r="F403"/>
      <c r="G403"/>
      <c r="H403"/>
      <c r="I403"/>
      <c r="J403"/>
    </row>
    <row r="404" ht="15" customHeight="true">
      <c r="A404"/>
      <c r="B404"/>
      <c r="C404"/>
      <c r="D404"/>
      <c r="E404"/>
      <c r="F404"/>
      <c r="G404"/>
      <c r="H404"/>
      <c r="I404"/>
      <c r="J404"/>
    </row>
    <row r="405" ht="15" customHeight="true">
      <c r="A405"/>
      <c r="B405"/>
      <c r="C405"/>
      <c r="D405"/>
      <c r="E405"/>
      <c r="F405"/>
      <c r="G405"/>
      <c r="H405"/>
      <c r="I405"/>
      <c r="J405"/>
    </row>
    <row r="406" ht="15" customHeight="true">
      <c r="A406"/>
      <c r="B406"/>
      <c r="C406"/>
      <c r="D406"/>
      <c r="E406"/>
      <c r="F406"/>
      <c r="G406"/>
      <c r="H406"/>
      <c r="I406"/>
      <c r="J406"/>
    </row>
    <row r="407" ht="15" customHeight="true">
      <c r="A407"/>
      <c r="B407"/>
      <c r="C407"/>
      <c r="D407"/>
      <c r="E407"/>
      <c r="F407"/>
      <c r="G407"/>
      <c r="H407"/>
      <c r="I407"/>
      <c r="J407"/>
    </row>
    <row r="408" ht="15" customHeight="true">
      <c r="A408"/>
      <c r="B408"/>
      <c r="C408"/>
      <c r="D408"/>
      <c r="E408"/>
      <c r="F408"/>
      <c r="G408"/>
      <c r="H408"/>
      <c r="I408"/>
      <c r="J408"/>
    </row>
    <row r="409" ht="15" customHeight="true">
      <c r="A409"/>
      <c r="B409"/>
      <c r="C409"/>
      <c r="D409"/>
      <c r="E409"/>
      <c r="F409"/>
      <c r="G409"/>
      <c r="H409"/>
      <c r="I409"/>
      <c r="J409"/>
    </row>
    <row r="410" ht="15" customHeight="true">
      <c r="A410"/>
      <c r="B410"/>
      <c r="C410"/>
      <c r="D410"/>
      <c r="E410"/>
      <c r="F410"/>
      <c r="G410"/>
      <c r="H410"/>
      <c r="I410"/>
      <c r="J410"/>
    </row>
    <row r="411" ht="15" customHeight="true">
      <c r="A411"/>
      <c r="B411"/>
      <c r="C411"/>
      <c r="D411"/>
      <c r="E411"/>
      <c r="F411"/>
      <c r="G411"/>
      <c r="H411"/>
      <c r="I411"/>
      <c r="J411"/>
    </row>
    <row r="412" ht="15" customHeight="true">
      <c r="A412"/>
      <c r="B412"/>
      <c r="C412"/>
      <c r="D412"/>
      <c r="E412"/>
      <c r="F412"/>
      <c r="G412"/>
      <c r="H412"/>
      <c r="I412"/>
      <c r="J412"/>
    </row>
    <row r="413" ht="15" customHeight="true">
      <c r="A413"/>
      <c r="B413"/>
      <c r="C413"/>
      <c r="D413"/>
      <c r="E413"/>
      <c r="F413"/>
      <c r="G413"/>
      <c r="H413"/>
      <c r="I413"/>
      <c r="J413"/>
    </row>
    <row r="414" ht="15" customHeight="true">
      <c r="A414"/>
      <c r="B414"/>
      <c r="C414"/>
      <c r="D414"/>
      <c r="E414"/>
      <c r="F414"/>
      <c r="G414"/>
      <c r="H414"/>
      <c r="I414"/>
      <c r="J414"/>
    </row>
    <row r="415" ht="15" customHeight="true">
      <c r="A415"/>
      <c r="B415"/>
      <c r="C415"/>
      <c r="D415"/>
      <c r="E415"/>
      <c r="F415"/>
      <c r="G415"/>
      <c r="H415"/>
      <c r="I415"/>
      <c r="J415"/>
    </row>
    <row r="416" ht="15" customHeight="true">
      <c r="A416"/>
      <c r="B416"/>
      <c r="C416"/>
      <c r="D416"/>
      <c r="E416"/>
      <c r="F416"/>
      <c r="G416"/>
      <c r="H416"/>
      <c r="I416"/>
      <c r="J416"/>
    </row>
    <row r="417" ht="15" customHeight="true">
      <c r="A417"/>
      <c r="B417"/>
      <c r="C417"/>
      <c r="D417"/>
      <c r="E417"/>
      <c r="F417"/>
      <c r="G417"/>
      <c r="H417"/>
      <c r="I417"/>
      <c r="J417"/>
    </row>
    <row r="418" ht="15" customHeight="true">
      <c r="A418"/>
      <c r="B418"/>
      <c r="C418"/>
      <c r="D418"/>
      <c r="E418"/>
      <c r="F418"/>
      <c r="G418"/>
      <c r="H418"/>
      <c r="I418"/>
      <c r="J418"/>
    </row>
    <row r="419" ht="15" customHeight="true">
      <c r="A419"/>
      <c r="B419"/>
      <c r="C419"/>
      <c r="D419"/>
      <c r="E419"/>
      <c r="F419"/>
      <c r="G419"/>
      <c r="H419"/>
      <c r="I419"/>
      <c r="J419"/>
    </row>
    <row r="420" ht="15" customHeight="true">
      <c r="A420"/>
      <c r="B420"/>
      <c r="C420"/>
      <c r="D420"/>
      <c r="E420"/>
      <c r="F420"/>
      <c r="G420"/>
      <c r="H420"/>
      <c r="I420"/>
      <c r="J420"/>
    </row>
    <row r="421" ht="15" customHeight="true">
      <c r="A421"/>
      <c r="B421"/>
      <c r="C421"/>
      <c r="D421"/>
      <c r="E421"/>
      <c r="F421"/>
      <c r="G421"/>
      <c r="H421"/>
      <c r="I421"/>
      <c r="J421"/>
    </row>
    <row r="422" ht="15" customHeight="true">
      <c r="A422"/>
      <c r="B422"/>
      <c r="C422"/>
      <c r="D422"/>
      <c r="E422"/>
      <c r="F422"/>
      <c r="G422"/>
      <c r="H422"/>
      <c r="I422"/>
      <c r="J422"/>
    </row>
    <row r="423" ht="15" customHeight="true">
      <c r="A423"/>
      <c r="B423"/>
      <c r="C423"/>
      <c r="D423"/>
      <c r="E423"/>
      <c r="F423"/>
      <c r="G423"/>
      <c r="H423"/>
      <c r="I423"/>
      <c r="J423"/>
    </row>
    <row r="424" ht="15" customHeight="true">
      <c r="A424"/>
      <c r="B424"/>
      <c r="C424"/>
      <c r="D424"/>
      <c r="E424"/>
      <c r="F424"/>
      <c r="G424"/>
      <c r="H424"/>
      <c r="I424"/>
      <c r="J424"/>
    </row>
    <row r="425" ht="15" customHeight="true">
      <c r="A425"/>
      <c r="B425"/>
      <c r="C425"/>
      <c r="D425"/>
      <c r="E425"/>
      <c r="F425"/>
      <c r="G425"/>
      <c r="H425"/>
      <c r="I425"/>
      <c r="J425"/>
    </row>
    <row r="426" ht="15" customHeight="true">
      <c r="A426"/>
      <c r="B426"/>
      <c r="C426"/>
      <c r="D426"/>
      <c r="E426"/>
      <c r="F426"/>
      <c r="G426"/>
      <c r="H426"/>
      <c r="I426"/>
      <c r="J426"/>
    </row>
    <row r="427" ht="15" customHeight="true">
      <c r="A427"/>
      <c r="B427"/>
      <c r="C427"/>
      <c r="D427"/>
      <c r="E427"/>
      <c r="F427"/>
      <c r="G427"/>
      <c r="H427"/>
      <c r="I427"/>
      <c r="J427"/>
    </row>
    <row r="428" ht="15" customHeight="true">
      <c r="A428"/>
      <c r="B428"/>
      <c r="C428"/>
      <c r="D428"/>
      <c r="E428"/>
      <c r="F428"/>
      <c r="G428"/>
      <c r="H428"/>
      <c r="I428"/>
      <c r="J428"/>
    </row>
    <row r="429" ht="15" customHeight="true">
      <c r="A429"/>
      <c r="B429"/>
      <c r="C429"/>
      <c r="D429"/>
      <c r="E429"/>
      <c r="F429"/>
      <c r="G429"/>
      <c r="H429"/>
      <c r="I429"/>
      <c r="J429"/>
    </row>
    <row r="430" ht="15" customHeight="true">
      <c r="A430"/>
      <c r="B430"/>
      <c r="C430"/>
      <c r="D430"/>
      <c r="E430"/>
      <c r="F430"/>
      <c r="G430"/>
      <c r="H430"/>
      <c r="I430"/>
      <c r="J430"/>
    </row>
    <row r="431" ht="15" customHeight="true">
      <c r="A431"/>
      <c r="B431"/>
      <c r="C431"/>
      <c r="D431"/>
      <c r="E431"/>
      <c r="F431"/>
      <c r="G431"/>
      <c r="H431"/>
      <c r="I431"/>
      <c r="J431"/>
    </row>
    <row r="432" ht="15" customHeight="true">
      <c r="A432"/>
      <c r="B432"/>
      <c r="C432"/>
      <c r="D432"/>
      <c r="E432"/>
      <c r="F432"/>
      <c r="G432"/>
      <c r="H432"/>
      <c r="I432"/>
      <c r="J432"/>
    </row>
    <row r="433" ht="15" customHeight="true">
      <c r="A433"/>
      <c r="B433"/>
      <c r="C433"/>
      <c r="D433"/>
      <c r="E433"/>
      <c r="F433"/>
      <c r="G433"/>
      <c r="H433"/>
      <c r="I433"/>
      <c r="J433"/>
    </row>
    <row r="434" ht="15" customHeight="true">
      <c r="A434"/>
      <c r="B434"/>
      <c r="C434"/>
      <c r="D434"/>
      <c r="E434"/>
      <c r="F434"/>
      <c r="G434"/>
      <c r="H434"/>
      <c r="I434"/>
      <c r="J434"/>
    </row>
    <row r="435" ht="15" customHeight="true">
      <c r="A435"/>
      <c r="B435"/>
      <c r="C435"/>
      <c r="D435"/>
      <c r="E435"/>
      <c r="F435"/>
      <c r="G435"/>
      <c r="H435"/>
      <c r="I435"/>
      <c r="J435"/>
    </row>
    <row r="436" ht="15" customHeight="true">
      <c r="A436"/>
      <c r="B436"/>
      <c r="C436"/>
      <c r="D436"/>
      <c r="E436"/>
      <c r="F436"/>
      <c r="G436"/>
      <c r="H436"/>
      <c r="I436"/>
      <c r="J436"/>
    </row>
    <row r="437" ht="15" customHeight="true">
      <c r="A437"/>
      <c r="B437"/>
      <c r="C437"/>
      <c r="D437"/>
      <c r="E437"/>
      <c r="F437"/>
      <c r="G437"/>
      <c r="H437"/>
      <c r="I437"/>
      <c r="J437"/>
    </row>
    <row r="438" ht="15" customHeight="true">
      <c r="A438"/>
      <c r="B438"/>
      <c r="C438"/>
      <c r="D438"/>
      <c r="E438"/>
      <c r="F438"/>
      <c r="G438"/>
      <c r="H438"/>
      <c r="I438"/>
      <c r="J438"/>
    </row>
    <row r="439" ht="15" customHeight="true">
      <c r="A439"/>
      <c r="B439"/>
      <c r="C439"/>
      <c r="D439"/>
      <c r="E439"/>
      <c r="F439"/>
      <c r="G439"/>
      <c r="H439"/>
      <c r="I439"/>
      <c r="J439"/>
    </row>
    <row r="440" ht="15" customHeight="true">
      <c r="A440"/>
      <c r="B440"/>
      <c r="C440"/>
      <c r="D440"/>
      <c r="E440"/>
      <c r="F440"/>
      <c r="G440"/>
      <c r="H440"/>
      <c r="I440"/>
      <c r="J440"/>
    </row>
    <row r="441" ht="15" customHeight="true">
      <c r="A441"/>
      <c r="B441"/>
      <c r="C441"/>
      <c r="D441"/>
      <c r="E441"/>
      <c r="F441"/>
      <c r="G441"/>
      <c r="H441"/>
      <c r="I441"/>
      <c r="J441"/>
    </row>
    <row r="442" ht="15" customHeight="true">
      <c r="A442"/>
      <c r="B442"/>
      <c r="C442"/>
      <c r="D442"/>
      <c r="E442"/>
      <c r="F442"/>
      <c r="G442"/>
      <c r="H442"/>
      <c r="I442"/>
      <c r="J442"/>
    </row>
    <row r="443" ht="15" customHeight="true">
      <c r="A443"/>
      <c r="B443"/>
      <c r="C443"/>
      <c r="D443"/>
      <c r="E443"/>
      <c r="F443"/>
      <c r="G443"/>
      <c r="H443"/>
      <c r="I443"/>
      <c r="J443"/>
    </row>
    <row r="444" ht="15" customHeight="true">
      <c r="A444"/>
      <c r="B444"/>
      <c r="C444"/>
      <c r="D444"/>
      <c r="E444"/>
      <c r="F444"/>
      <c r="G444"/>
      <c r="H444"/>
      <c r="I444"/>
      <c r="J444"/>
    </row>
    <row r="445" ht="15" customHeight="true">
      <c r="A445"/>
      <c r="B445"/>
      <c r="C445"/>
      <c r="D445"/>
      <c r="E445"/>
      <c r="F445"/>
      <c r="G445"/>
      <c r="H445"/>
      <c r="I445"/>
      <c r="J445"/>
    </row>
    <row r="446" ht="15" customHeight="true">
      <c r="A446"/>
      <c r="B446"/>
      <c r="C446"/>
      <c r="D446"/>
      <c r="E446"/>
      <c r="F446"/>
      <c r="G446"/>
      <c r="H446"/>
      <c r="I446"/>
      <c r="J446"/>
    </row>
    <row r="447" ht="15" customHeight="true">
      <c r="A447"/>
      <c r="B447"/>
      <c r="C447"/>
      <c r="D447"/>
      <c r="E447"/>
      <c r="F447"/>
      <c r="G447"/>
      <c r="H447"/>
      <c r="I447"/>
      <c r="J447"/>
    </row>
    <row r="448" ht="15" customHeight="true">
      <c r="A448"/>
      <c r="B448"/>
      <c r="C448"/>
      <c r="D448"/>
      <c r="E448"/>
      <c r="F448"/>
      <c r="G448"/>
      <c r="H448"/>
      <c r="I448"/>
      <c r="J448"/>
    </row>
    <row r="449" ht="15" customHeight="true">
      <c r="A449"/>
      <c r="B449"/>
      <c r="C449"/>
      <c r="D449"/>
      <c r="E449"/>
      <c r="F449"/>
      <c r="G449"/>
      <c r="H449"/>
      <c r="I449"/>
      <c r="J449"/>
    </row>
    <row r="450" ht="15" customHeight="true">
      <c r="A450"/>
      <c r="B450"/>
      <c r="C450"/>
      <c r="D450"/>
      <c r="E450"/>
      <c r="F450"/>
      <c r="G450"/>
      <c r="H450"/>
      <c r="I450"/>
      <c r="J450"/>
    </row>
    <row r="451" ht="15" customHeight="true">
      <c r="A451"/>
      <c r="B451"/>
      <c r="C451"/>
      <c r="D451"/>
      <c r="E451"/>
      <c r="F451"/>
      <c r="G451"/>
      <c r="H451"/>
      <c r="I451"/>
      <c r="J451"/>
    </row>
    <row r="452" ht="15" customHeight="true">
      <c r="A452"/>
      <c r="B452"/>
      <c r="C452"/>
      <c r="D452"/>
      <c r="E452"/>
      <c r="F452"/>
      <c r="G452"/>
      <c r="H452"/>
      <c r="I452"/>
      <c r="J452"/>
    </row>
    <row r="453" ht="15" customHeight="true">
      <c r="A453"/>
      <c r="B453"/>
      <c r="C453"/>
      <c r="D453"/>
      <c r="E453"/>
      <c r="F453"/>
      <c r="G453"/>
      <c r="H453"/>
      <c r="I453"/>
      <c r="J453"/>
    </row>
    <row r="454" ht="15" customHeight="true">
      <c r="A454"/>
      <c r="B454"/>
      <c r="C454"/>
      <c r="D454"/>
      <c r="E454"/>
      <c r="F454"/>
      <c r="G454"/>
      <c r="H454"/>
      <c r="I454"/>
      <c r="J454"/>
    </row>
    <row r="455" ht="15" customHeight="true">
      <c r="A455"/>
      <c r="B455"/>
      <c r="C455"/>
      <c r="D455"/>
      <c r="E455"/>
      <c r="F455"/>
      <c r="G455"/>
      <c r="H455"/>
      <c r="I455"/>
      <c r="J455"/>
    </row>
    <row r="456" ht="15" customHeight="true">
      <c r="A456"/>
      <c r="B456"/>
      <c r="C456"/>
      <c r="D456"/>
      <c r="E456"/>
      <c r="F456"/>
      <c r="G456"/>
      <c r="H456"/>
      <c r="I456"/>
      <c r="J456"/>
    </row>
    <row r="457" ht="15" customHeight="true">
      <c r="A457"/>
      <c r="B457"/>
      <c r="C457"/>
      <c r="D457"/>
      <c r="E457"/>
      <c r="F457"/>
      <c r="G457"/>
      <c r="H457"/>
      <c r="I457"/>
      <c r="J457"/>
    </row>
    <row r="458" ht="15" customHeight="true">
      <c r="A458"/>
      <c r="B458"/>
      <c r="C458"/>
      <c r="D458"/>
      <c r="E458"/>
      <c r="F458"/>
      <c r="G458"/>
      <c r="H458"/>
      <c r="I458"/>
      <c r="J458"/>
    </row>
    <row r="459" ht="15" customHeight="true">
      <c r="A459"/>
      <c r="B459"/>
      <c r="C459"/>
      <c r="D459"/>
      <c r="E459"/>
      <c r="F459"/>
      <c r="G459"/>
      <c r="H459"/>
      <c r="I459"/>
      <c r="J459"/>
    </row>
    <row r="460" ht="15" customHeight="true">
      <c r="A460"/>
      <c r="B460"/>
      <c r="C460"/>
      <c r="D460"/>
      <c r="E460"/>
      <c r="F460"/>
      <c r="G460"/>
      <c r="H460"/>
      <c r="I460"/>
      <c r="J460"/>
    </row>
    <row r="461" ht="15" customHeight="true">
      <c r="A461"/>
      <c r="B461"/>
      <c r="C461"/>
      <c r="D461"/>
      <c r="E461"/>
      <c r="F461"/>
      <c r="G461"/>
      <c r="H461"/>
      <c r="I461"/>
      <c r="J461"/>
    </row>
    <row r="462" ht="15" customHeight="true">
      <c r="A462"/>
      <c r="B462"/>
      <c r="C462"/>
      <c r="D462"/>
      <c r="E462"/>
      <c r="F462"/>
      <c r="G462"/>
      <c r="H462"/>
      <c r="I462"/>
      <c r="J462"/>
    </row>
    <row r="463" ht="15" customHeight="true">
      <c r="A463"/>
      <c r="B463"/>
      <c r="C463"/>
      <c r="D463"/>
      <c r="E463"/>
      <c r="F463"/>
      <c r="G463"/>
      <c r="H463"/>
      <c r="I463"/>
      <c r="J463"/>
    </row>
    <row r="464" ht="15" customHeight="true">
      <c r="A464"/>
      <c r="B464"/>
      <c r="C464"/>
      <c r="D464"/>
      <c r="E464"/>
      <c r="F464"/>
      <c r="G464"/>
      <c r="H464"/>
      <c r="I464"/>
      <c r="J464"/>
    </row>
    <row r="465" ht="15" customHeight="true">
      <c r="A465"/>
      <c r="B465"/>
      <c r="C465"/>
      <c r="D465"/>
      <c r="E465"/>
      <c r="F465"/>
      <c r="G465"/>
      <c r="H465"/>
      <c r="I465"/>
      <c r="J465"/>
    </row>
    <row r="466" ht="15" customHeight="true">
      <c r="A466"/>
      <c r="B466"/>
      <c r="C466"/>
      <c r="D466"/>
      <c r="E466"/>
      <c r="F466"/>
      <c r="G466"/>
      <c r="H466"/>
      <c r="I466"/>
      <c r="J466"/>
    </row>
    <row r="467" ht="15" customHeight="true">
      <c r="A467"/>
      <c r="B467"/>
      <c r="C467"/>
      <c r="D467"/>
      <c r="E467"/>
      <c r="F467"/>
      <c r="G467"/>
      <c r="H467"/>
      <c r="I467"/>
      <c r="J467"/>
    </row>
    <row r="468" ht="15" customHeight="true">
      <c r="A468"/>
      <c r="B468"/>
      <c r="C468"/>
      <c r="D468"/>
      <c r="E468"/>
      <c r="F468"/>
      <c r="G468"/>
      <c r="H468"/>
      <c r="I468"/>
      <c r="J468"/>
    </row>
    <row r="469" ht="15" customHeight="true">
      <c r="A469"/>
      <c r="B469"/>
      <c r="C469"/>
      <c r="D469"/>
      <c r="E469"/>
      <c r="F469"/>
      <c r="G469"/>
      <c r="H469"/>
      <c r="I469"/>
      <c r="J469"/>
    </row>
    <row r="470" ht="15" customHeight="true">
      <c r="A470"/>
      <c r="B470"/>
      <c r="C470"/>
      <c r="D470"/>
      <c r="E470"/>
      <c r="F470"/>
      <c r="G470"/>
      <c r="H470"/>
      <c r="I470"/>
      <c r="J470"/>
    </row>
    <row r="471" ht="15" customHeight="true">
      <c r="A471"/>
      <c r="B471"/>
      <c r="C471"/>
      <c r="D471"/>
      <c r="E471"/>
      <c r="F471"/>
      <c r="G471"/>
      <c r="H471"/>
      <c r="I471"/>
      <c r="J471"/>
    </row>
    <row r="472" ht="15" customHeight="true">
      <c r="A472"/>
      <c r="B472"/>
      <c r="C472"/>
      <c r="D472"/>
      <c r="E472"/>
      <c r="F472"/>
      <c r="G472"/>
      <c r="H472"/>
      <c r="I472"/>
      <c r="J472"/>
    </row>
    <row r="473" ht="15" customHeight="true">
      <c r="A473"/>
      <c r="B473"/>
      <c r="C473"/>
      <c r="D473"/>
      <c r="E473"/>
      <c r="F473"/>
      <c r="G473"/>
      <c r="H473"/>
      <c r="I473"/>
      <c r="J473"/>
    </row>
    <row r="474" ht="15" customHeight="true">
      <c r="A474"/>
      <c r="B474"/>
      <c r="C474"/>
      <c r="D474"/>
      <c r="E474"/>
      <c r="F474"/>
      <c r="G474"/>
      <c r="H474"/>
      <c r="I474"/>
      <c r="J474"/>
    </row>
    <row r="475" ht="15" customHeight="true">
      <c r="A475"/>
      <c r="B475"/>
      <c r="C475"/>
      <c r="D475"/>
      <c r="E475"/>
      <c r="F475"/>
      <c r="G475"/>
      <c r="H475"/>
      <c r="I475"/>
      <c r="J475"/>
    </row>
    <row r="476" ht="15" customHeight="true">
      <c r="A476"/>
      <c r="B476"/>
      <c r="C476"/>
      <c r="D476"/>
      <c r="E476"/>
      <c r="F476"/>
      <c r="G476"/>
      <c r="H476"/>
      <c r="I476"/>
      <c r="J476"/>
    </row>
    <row r="477" ht="15" customHeight="true">
      <c r="A477"/>
      <c r="B477"/>
      <c r="C477"/>
      <c r="D477"/>
      <c r="E477"/>
      <c r="F477"/>
      <c r="G477"/>
      <c r="H477"/>
      <c r="I477"/>
      <c r="J477"/>
    </row>
    <row r="478" ht="15" customHeight="true">
      <c r="A478"/>
      <c r="B478"/>
      <c r="C478"/>
      <c r="D478"/>
      <c r="E478"/>
      <c r="F478"/>
      <c r="G478"/>
      <c r="H478"/>
      <c r="I478"/>
      <c r="J478"/>
    </row>
    <row r="479" ht="15" customHeight="true">
      <c r="A479"/>
      <c r="B479"/>
      <c r="C479"/>
      <c r="D479"/>
      <c r="E479"/>
      <c r="F479"/>
      <c r="G479"/>
      <c r="H479"/>
      <c r="I479"/>
      <c r="J479"/>
    </row>
    <row r="480" ht="15" customHeight="true">
      <c r="A480"/>
      <c r="B480"/>
      <c r="C480"/>
      <c r="D480"/>
      <c r="E480"/>
      <c r="F480"/>
      <c r="G480"/>
      <c r="H480"/>
      <c r="I480"/>
      <c r="J480"/>
    </row>
    <row r="481" ht="15" customHeight="true">
      <c r="A481"/>
      <c r="B481"/>
      <c r="C481"/>
      <c r="D481"/>
      <c r="E481"/>
      <c r="F481"/>
      <c r="G481"/>
      <c r="H481"/>
      <c r="I481"/>
      <c r="J481"/>
    </row>
    <row r="482" ht="15" customHeight="true">
      <c r="A482"/>
      <c r="B482"/>
      <c r="C482"/>
      <c r="D482"/>
      <c r="E482"/>
      <c r="F482"/>
      <c r="G482"/>
      <c r="H482"/>
      <c r="I482"/>
      <c r="J482"/>
    </row>
    <row r="483" ht="15" customHeight="true">
      <c r="A483"/>
      <c r="B483"/>
      <c r="C483"/>
      <c r="D483"/>
      <c r="E483"/>
      <c r="F483"/>
      <c r="G483"/>
      <c r="H483"/>
      <c r="I483"/>
      <c r="J483"/>
    </row>
    <row r="484" ht="15" customHeight="true">
      <c r="A484"/>
      <c r="B484"/>
      <c r="C484"/>
      <c r="D484"/>
      <c r="E484"/>
      <c r="F484"/>
      <c r="G484"/>
      <c r="H484"/>
      <c r="I484"/>
      <c r="J484"/>
    </row>
    <row r="485" ht="15" customHeight="true">
      <c r="A485"/>
      <c r="B485"/>
      <c r="C485"/>
      <c r="D485"/>
      <c r="E485"/>
      <c r="F485"/>
      <c r="G485"/>
      <c r="H485"/>
      <c r="I485"/>
      <c r="J485"/>
    </row>
    <row r="486" ht="15" customHeight="true">
      <c r="A486"/>
      <c r="B486"/>
      <c r="C486"/>
      <c r="D486"/>
      <c r="E486"/>
      <c r="F486"/>
      <c r="G486"/>
      <c r="H486"/>
      <c r="I486"/>
      <c r="J486"/>
    </row>
    <row r="487" ht="15" customHeight="true">
      <c r="A487"/>
      <c r="B487"/>
      <c r="C487"/>
      <c r="D487"/>
      <c r="E487"/>
      <c r="F487"/>
      <c r="G487"/>
      <c r="H487"/>
      <c r="I487"/>
      <c r="J487"/>
    </row>
    <row r="488" ht="15" customHeight="true">
      <c r="A488"/>
      <c r="B488"/>
      <c r="C488"/>
      <c r="D488"/>
      <c r="E488"/>
      <c r="F488"/>
      <c r="G488"/>
      <c r="H488"/>
      <c r="I488"/>
      <c r="J488"/>
    </row>
    <row r="489" ht="15" customHeight="true">
      <c r="A489"/>
      <c r="B489"/>
      <c r="C489"/>
      <c r="D489"/>
      <c r="E489"/>
      <c r="F489"/>
      <c r="G489"/>
      <c r="H489"/>
      <c r="I489"/>
      <c r="J489"/>
    </row>
    <row r="490" ht="15" customHeight="true">
      <c r="A490"/>
      <c r="B490"/>
      <c r="C490"/>
      <c r="D490"/>
      <c r="E490"/>
      <c r="F490"/>
      <c r="G490"/>
      <c r="H490"/>
      <c r="I490"/>
      <c r="J490"/>
    </row>
    <row r="491" ht="15" customHeight="true">
      <c r="A491"/>
      <c r="B491"/>
      <c r="C491"/>
      <c r="D491"/>
      <c r="E491"/>
      <c r="F491"/>
      <c r="G491"/>
      <c r="H491"/>
      <c r="I491"/>
      <c r="J491"/>
    </row>
    <row r="492" ht="15" customHeight="true">
      <c r="A492"/>
      <c r="B492"/>
      <c r="C492"/>
      <c r="D492"/>
      <c r="E492"/>
      <c r="F492"/>
      <c r="G492"/>
      <c r="H492"/>
      <c r="I492"/>
      <c r="J492"/>
    </row>
    <row r="493" ht="15" customHeight="true">
      <c r="A493"/>
      <c r="B493"/>
      <c r="C493"/>
      <c r="D493"/>
      <c r="E493"/>
      <c r="F493"/>
      <c r="G493"/>
      <c r="H493"/>
      <c r="I493"/>
      <c r="J493"/>
    </row>
    <row r="494" ht="15" customHeight="true">
      <c r="A494"/>
      <c r="B494"/>
      <c r="C494"/>
      <c r="D494"/>
      <c r="E494"/>
      <c r="F494"/>
      <c r="G494"/>
      <c r="H494"/>
      <c r="I494"/>
      <c r="J494"/>
    </row>
    <row r="495" ht="15" customHeight="true">
      <c r="A495"/>
      <c r="B495"/>
      <c r="C495"/>
      <c r="D495"/>
      <c r="E495"/>
      <c r="F495"/>
      <c r="G495"/>
      <c r="H495"/>
      <c r="I495"/>
      <c r="J495"/>
    </row>
    <row r="496" ht="15" customHeight="true">
      <c r="A496"/>
      <c r="B496"/>
      <c r="C496"/>
      <c r="D496"/>
      <c r="E496"/>
      <c r="F496"/>
      <c r="G496"/>
      <c r="H496"/>
      <c r="I496"/>
      <c r="J496"/>
    </row>
    <row r="497" ht="15" customHeight="true">
      <c r="A497"/>
      <c r="B497"/>
      <c r="C497"/>
      <c r="D497"/>
      <c r="E497"/>
      <c r="F497"/>
      <c r="G497"/>
      <c r="H497"/>
      <c r="I497"/>
      <c r="J497"/>
    </row>
    <row r="498" ht="15" customHeight="true">
      <c r="A498"/>
      <c r="B498"/>
      <c r="C498"/>
      <c r="D498"/>
      <c r="E498"/>
      <c r="F498"/>
      <c r="G498"/>
      <c r="H498"/>
      <c r="I498"/>
      <c r="J498"/>
    </row>
    <row r="499" ht="15" customHeight="true">
      <c r="A499"/>
      <c r="B499"/>
      <c r="C499"/>
      <c r="D499"/>
      <c r="E499"/>
      <c r="F499"/>
      <c r="G499"/>
      <c r="H499"/>
      <c r="I499"/>
      <c r="J499"/>
    </row>
    <row r="500" ht="15" customHeight="true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35" activePane="bottomRight" state="frozen"/>
      <selection pane="topRight" activeCell="D1" sqref="D1"/>
      <selection pane="bottomLeft" activeCell="A2" sqref="A2"/>
      <selection pane="bottomRight" activeCell="A47" sqref="A47"/>
    </sheetView>
  </sheetViews>
  <sheetFormatPr baseColWidth="10" defaultColWidth="8.83203125" defaultRowHeight="15" customHeight="true"/>
  <cols>
    <col min="1" max="1" width="40.33203125" style="59" bestFit="true" customWidth="true"/>
    <col min="2" max="4" width="9.5" style="59" bestFit="true" customWidth="true"/>
    <col min="5" max="7" width="9" style="59" bestFit="true" customWidth="true"/>
    <col min="8" max="16" width="12.6640625" style="59" bestFit="true" customWidth="true"/>
    <col min="17" max="17" width="12.33203125" style="59" bestFit="true" customWidth="true"/>
    <col min="18" max="18" width="8.83203125" style="59"/>
    <col min="19" max="21" width="9.33203125" style="59" bestFit="true" customWidth="true"/>
    <col min="22" max="23" width="8.83203125" style="59"/>
    <col min="24" max="24" width="9.33203125" style="59" bestFit="true" customWidth="true"/>
    <col min="25" max="27" width="8.83203125" style="59"/>
    <col min="28" max="58" width="9" style="59" bestFit="true" customWidth="true"/>
    <col min="59" max="59" width="12.33203125" style="59" bestFit="true" customWidth="true"/>
    <col min="60" max="60" width="9" style="59" bestFit="true" customWidth="true"/>
    <col min="61" max="61" width="11.33203125" style="59" bestFit="true" customWidth="true"/>
    <col min="62" max="77" width="9" style="59" bestFit="true" customWidth="true"/>
    <col min="78" max="78" width="12.33203125" style="59" bestFit="true" customWidth="true"/>
    <col min="79" max="79" width="9" style="59" bestFit="true" customWidth="true"/>
    <col min="80" max="80" width="12.33203125" style="59" bestFit="true" customWidth="true"/>
    <col min="81" max="107" width="9" style="59" bestFit="true" customWidth="true"/>
    <col min="108" max="108" width="11.33203125" style="59" bestFit="true" customWidth="true"/>
    <col min="109" max="124" width="9" style="59" bestFit="true" customWidth="true"/>
    <col min="125" max="125" width="10.33203125" style="59" bestFit="true" customWidth="true"/>
    <col min="126" max="129" width="9.33203125" style="59" bestFit="true" customWidth="true"/>
    <col min="130" max="130" width="9" style="59" bestFit="true" customWidth="true"/>
    <col min="131" max="134" width="9.33203125" style="59" bestFit="true" customWidth="true"/>
    <col min="135" max="165" width="9" style="59" bestFit="true" customWidth="true"/>
    <col min="166" max="166" width="12.33203125" style="59" bestFit="true" customWidth="true"/>
    <col min="167" max="170" width="9" style="59" bestFit="true" customWidth="true"/>
    <col min="171" max="176" width="8.83203125" style="59"/>
    <col min="177" max="177" width="13.83203125" style="59" bestFit="true" customWidth="true"/>
    <col min="178" max="16384" width="8.83203125" style="59"/>
  </cols>
  <sheetData>
    <row r="1" ht="15" customHeight="true">
      <c r="A1" t="s">
        <v>16</v>
      </c>
      <c r="B1" t="s">
        <v>1</v>
      </c>
      <c r="C1" t="s">
        <v>17</v>
      </c>
      <c r="D1" t="s">
        <v>298</v>
      </c>
      <c r="E1" t="s">
        <v>299</v>
      </c>
      <c r="F1" t="s">
        <v>175</v>
      </c>
      <c r="G1" t="s">
        <v>176</v>
      </c>
      <c r="H1" t="s">
        <v>177</v>
      </c>
      <c r="I1" t="s">
        <v>220</v>
      </c>
      <c r="J1" t="s">
        <v>221</v>
      </c>
      <c r="K1" t="s">
        <v>178</v>
      </c>
      <c r="L1" t="s">
        <v>222</v>
      </c>
      <c r="M1" t="s">
        <v>179</v>
      </c>
      <c r="N1" t="s">
        <v>180</v>
      </c>
      <c r="O1" t="s">
        <v>223</v>
      </c>
      <c r="P1" t="s">
        <v>181</v>
      </c>
      <c r="Q1" t="s">
        <v>224</v>
      </c>
      <c r="R1" t="s">
        <v>182</v>
      </c>
      <c r="S1" t="s">
        <v>183</v>
      </c>
      <c r="T1" t="s">
        <v>184</v>
      </c>
      <c r="U1" t="s">
        <v>185</v>
      </c>
      <c r="V1" t="s">
        <v>186</v>
      </c>
      <c r="W1" t="s">
        <v>187</v>
      </c>
      <c r="X1" t="s">
        <v>188</v>
      </c>
      <c r="Y1" t="s">
        <v>189</v>
      </c>
      <c r="Z1" t="s">
        <v>190</v>
      </c>
      <c r="AA1" t="s">
        <v>191</v>
      </c>
      <c r="AB1" t="s">
        <v>192</v>
      </c>
      <c r="AC1" t="s">
        <v>225</v>
      </c>
      <c r="AD1" t="s">
        <v>226</v>
      </c>
      <c r="AE1" t="s">
        <v>227</v>
      </c>
      <c r="AF1" t="s">
        <v>228</v>
      </c>
      <c r="AG1" t="s">
        <v>197</v>
      </c>
      <c r="AH1" t="s">
        <v>198</v>
      </c>
      <c r="AI1" t="s">
        <v>199</v>
      </c>
      <c r="AJ1" t="s">
        <v>229</v>
      </c>
      <c r="AK1" t="s">
        <v>230</v>
      </c>
      <c r="AL1" t="s">
        <v>231</v>
      </c>
      <c r="AM1" t="s">
        <v>232</v>
      </c>
      <c r="AN1" t="s">
        <v>233</v>
      </c>
      <c r="AO1" t="s">
        <v>205</v>
      </c>
      <c r="AP1" t="s">
        <v>206</v>
      </c>
      <c r="AQ1" t="s">
        <v>207</v>
      </c>
      <c r="AR1" t="s">
        <v>208</v>
      </c>
      <c r="AS1" t="s">
        <v>209</v>
      </c>
      <c r="AT1" t="s">
        <v>210</v>
      </c>
      <c r="AU1" t="s">
        <v>211</v>
      </c>
      <c r="AV1" t="s">
        <v>212</v>
      </c>
      <c r="AW1" t="s">
        <v>213</v>
      </c>
      <c r="AX1" t="s">
        <v>214</v>
      </c>
      <c r="AY1" t="s">
        <v>304</v>
      </c>
      <c r="AZ1" t="s">
        <v>215</v>
      </c>
      <c r="BA1" t="s">
        <v>216</v>
      </c>
      <c r="BB1" t="s">
        <v>217</v>
      </c>
      <c r="BC1" t="s">
        <v>218</v>
      </c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ht="15" customHeight="true">
      <c r="A2" t="s">
        <v>175</v>
      </c>
      <c r="B2">
        <v>254.05999755859375</v>
      </c>
      <c r="C2">
        <v>0.96876823902130127</v>
      </c>
      <c r="D2"/>
      <c r="E2"/>
      <c r="F2"/>
      <c r="G2"/>
      <c r="H2" s="271">
        <v>92.959930419921875</v>
      </c>
      <c r="I2" s="63">
        <v>7.3546547889709473</v>
      </c>
      <c r="J2" s="64">
        <v>10.036974906921387</v>
      </c>
      <c r="K2" s="8">
        <v>0.15372365713119507</v>
      </c>
      <c r="L2" s="242">
        <v>123.13626861572266</v>
      </c>
      <c r="M2"/>
      <c r="N2" s="8">
        <v>0.14750334620475769</v>
      </c>
      <c r="O2"/>
      <c r="P2" s="61">
        <v>5.9385952949523926</v>
      </c>
      <c r="Q2"/>
      <c r="R2"/>
      <c r="S2"/>
      <c r="T2"/>
      <c r="U2"/>
      <c r="V2" s="8">
        <v>4.9330522306263447E-3</v>
      </c>
      <c r="W2" s="19">
        <v>1.9526277780532837</v>
      </c>
      <c r="X2" s="8">
        <v>1.7972080036997795E-2</v>
      </c>
      <c r="Y2"/>
      <c r="Z2"/>
      <c r="AA2"/>
      <c r="AB2"/>
      <c r="AC2"/>
      <c r="AD2"/>
      <c r="AE2"/>
      <c r="AF2"/>
      <c r="AG2"/>
      <c r="AH2"/>
      <c r="AI2"/>
      <c r="AJ2"/>
      <c r="AK2"/>
      <c r="AL2" s="8">
        <v>0.13948719203472137</v>
      </c>
      <c r="AM2"/>
      <c r="AN2"/>
      <c r="AO2"/>
      <c r="AP2" s="15">
        <v>3.1119003295898438</v>
      </c>
      <c r="AQ2" s="11">
        <v>0.26722955703735352</v>
      </c>
      <c r="AR2" s="22">
        <v>6.4771900177001953</v>
      </c>
      <c r="AS2" s="20">
        <v>1.3922355175018311</v>
      </c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ht="15" customHeight="true">
      <c r="A3" t="s">
        <v>176</v>
      </c>
      <c r="B3">
        <v>17.006999969482422</v>
      </c>
      <c r="C3">
        <v>13.177505493164062</v>
      </c>
      <c r="D3"/>
      <c r="E3"/>
      <c r="F3"/>
      <c r="G3"/>
      <c r="H3"/>
      <c r="I3"/>
      <c r="J3"/>
      <c r="K3"/>
      <c r="L3"/>
      <c r="M3"/>
      <c r="N3" s="11">
        <v>3.4743599593639374E-2</v>
      </c>
      <c r="O3"/>
      <c r="P3"/>
      <c r="Q3"/>
      <c r="R3"/>
      <c r="S3"/>
      <c r="T3"/>
      <c r="U3" s="8">
        <v>1.1114443186670542E-3</v>
      </c>
      <c r="V3" s="8">
        <v>3.3528653439134359E-3</v>
      </c>
      <c r="W3"/>
      <c r="X3" s="8">
        <v>1.3176743872463703E-2</v>
      </c>
      <c r="Y3"/>
      <c r="Z3" s="8">
        <v>6.7374944592302199E-6</v>
      </c>
      <c r="AA3" s="8">
        <v>3.0696587600687053E-6</v>
      </c>
      <c r="AB3"/>
      <c r="AC3" s="8">
        <v>5.6151952776417602E-6</v>
      </c>
      <c r="AD3"/>
      <c r="AE3" s="8">
        <v>4.1162020352203399E-6</v>
      </c>
      <c r="AF3" s="8">
        <v>1.3785201590508223E-3</v>
      </c>
      <c r="AG3"/>
      <c r="AH3" s="8">
        <v>1.2059475993737578E-3</v>
      </c>
      <c r="AI3"/>
      <c r="AJ3" s="24">
        <v>0.81385701894760132</v>
      </c>
      <c r="AK3"/>
      <c r="AL3" s="19">
        <v>0.13143746554851532</v>
      </c>
      <c r="AM3"/>
      <c r="AN3"/>
      <c r="AO3"/>
      <c r="AP3" s="55">
        <v>0.36862626671791077</v>
      </c>
      <c r="AQ3" s="241">
        <v>0.53251004219055176</v>
      </c>
      <c r="AR3" s="118">
        <v>1.6346132755279541</v>
      </c>
      <c r="AS3" s="16">
        <v>0.29343852400779724</v>
      </c>
      <c r="AT3"/>
      <c r="AU3"/>
      <c r="AV3"/>
      <c r="AW3" s="8">
        <v>2.288927134941332E-5</v>
      </c>
      <c r="AX3" s="8">
        <v>6.1395134309805144E-8</v>
      </c>
      <c r="AY3" s="6">
        <v>2.9300866177806029E-9</v>
      </c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ht="15" customHeight="true">
      <c r="A4" t="s">
        <v>177</v>
      </c>
      <c r="B4">
        <v>200</v>
      </c>
      <c r="C4">
        <v>9.9999904632568359</v>
      </c>
      <c r="D4"/>
      <c r="E4"/>
      <c r="F4"/>
      <c r="G4"/>
      <c r="H4" s="229">
        <v>32.25</v>
      </c>
      <c r="I4" s="65">
        <v>6.8040103912353516</v>
      </c>
      <c r="J4" s="270">
        <v>18.749576568603516</v>
      </c>
      <c r="K4"/>
      <c r="L4" s="259">
        <v>125.48674011230469</v>
      </c>
      <c r="M4"/>
      <c r="N4"/>
      <c r="O4" s="20">
        <v>1.1339321136474609</v>
      </c>
      <c r="P4" s="18">
        <v>3.8824067115783691</v>
      </c>
      <c r="Q4" s="11">
        <v>0.49852001667022705</v>
      </c>
      <c r="R4"/>
      <c r="S4"/>
      <c r="T4"/>
      <c r="U4"/>
      <c r="V4"/>
      <c r="W4" s="20">
        <v>1.1944304704666138</v>
      </c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 s="8">
        <v>3.9682758506387472E-4</v>
      </c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ht="15" customHeight="true">
      <c r="A5" t="s">
        <v>220</v>
      </c>
      <c r="B5">
        <v>27</v>
      </c>
      <c r="C5">
        <v>1.914543628692627</v>
      </c>
      <c r="D5"/>
      <c r="E5"/>
      <c r="F5"/>
      <c r="G5"/>
      <c r="H5"/>
      <c r="I5"/>
      <c r="J5"/>
      <c r="K5"/>
      <c r="L5"/>
      <c r="M5" s="24">
        <v>1.2470834255218506</v>
      </c>
      <c r="N5"/>
      <c r="O5" s="239">
        <v>6.4076070785522461</v>
      </c>
      <c r="P5"/>
      <c r="Q5" s="129">
        <v>5.8159456253051758</v>
      </c>
      <c r="R5" s="67">
        <v>2.0052814483642578</v>
      </c>
      <c r="S5"/>
      <c r="T5" s="20">
        <v>0.16112527251243591</v>
      </c>
      <c r="U5"/>
      <c r="V5" s="233">
        <v>1.8524512052536011</v>
      </c>
      <c r="W5"/>
      <c r="X5"/>
      <c r="Y5" s="8">
        <v>5.9411604888737202E-3</v>
      </c>
      <c r="Z5" s="8">
        <v>5.8505069318925962E-5</v>
      </c>
      <c r="AA5"/>
      <c r="AB5" s="61">
        <v>0.64659386873245239</v>
      </c>
      <c r="AC5"/>
      <c r="AD5"/>
      <c r="AE5"/>
      <c r="AF5"/>
      <c r="AG5"/>
      <c r="AH5"/>
      <c r="AI5"/>
      <c r="AJ5" s="147">
        <v>4.9490294456481934</v>
      </c>
      <c r="AK5"/>
      <c r="AL5" s="67">
        <v>1.9943282604217529</v>
      </c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 s="8">
        <v>1.1679306226142216E-5</v>
      </c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ht="15" customHeight="true">
      <c r="A6" t="s">
        <v>221</v>
      </c>
      <c r="B6">
        <v>45</v>
      </c>
      <c r="C6">
        <v>30.517860412597656</v>
      </c>
      <c r="D6"/>
      <c r="E6"/>
      <c r="F6"/>
      <c r="G6"/>
      <c r="H6"/>
      <c r="I6"/>
      <c r="J6"/>
      <c r="K6" s="19">
        <v>0.38955238461494446</v>
      </c>
      <c r="L6"/>
      <c r="M6" s="15">
        <v>0.57331734895706177</v>
      </c>
      <c r="N6" s="19">
        <v>0.37612563371658325</v>
      </c>
      <c r="O6" s="9">
        <v>0.13956668972969055</v>
      </c>
      <c r="P6" s="22">
        <v>1.1537600755691528</v>
      </c>
      <c r="Q6" s="10">
        <v>1.6716779470443726</v>
      </c>
      <c r="R6" s="68">
        <v>5.2034173011779785</v>
      </c>
      <c r="S6"/>
      <c r="T6"/>
      <c r="U6"/>
      <c r="V6" s="19">
        <v>0.33878913521766663</v>
      </c>
      <c r="W6"/>
      <c r="X6"/>
      <c r="Y6"/>
      <c r="Z6" s="8">
        <v>3.4023769330815412E-6</v>
      </c>
      <c r="AA6"/>
      <c r="AB6" s="8">
        <v>1.4863141812384129E-2</v>
      </c>
      <c r="AC6" s="8">
        <v>3.0359623488038778E-3</v>
      </c>
      <c r="AD6"/>
      <c r="AE6"/>
      <c r="AF6"/>
      <c r="AG6"/>
      <c r="AH6" s="8">
        <v>9.2053480329923332E-5</v>
      </c>
      <c r="AI6"/>
      <c r="AJ6" s="57">
        <v>2.6190893650054932</v>
      </c>
      <c r="AK6"/>
      <c r="AL6" s="16">
        <v>0.79153656959533691</v>
      </c>
      <c r="AM6"/>
      <c r="AN6" s="11">
        <v>0.12909878790378571</v>
      </c>
      <c r="AO6"/>
      <c r="AP6"/>
      <c r="AQ6" s="9">
        <v>0.15575338900089264</v>
      </c>
      <c r="AR6"/>
      <c r="AS6" s="18">
        <v>0.92245864868164062</v>
      </c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ht="15" customHeight="true">
      <c r="A7" t="s">
        <v>178</v>
      </c>
      <c r="B7">
        <v>20.700000762939453</v>
      </c>
      <c r="C7">
        <v>7.8569784164428711</v>
      </c>
      <c r="D7"/>
      <c r="E7"/>
      <c r="F7"/>
      <c r="G7"/>
      <c r="H7"/>
      <c r="I7"/>
      <c r="J7"/>
      <c r="K7"/>
      <c r="L7"/>
      <c r="M7"/>
      <c r="N7"/>
      <c r="O7" s="235">
        <v>11.757027626037598</v>
      </c>
      <c r="P7"/>
      <c r="Q7"/>
      <c r="R7"/>
      <c r="S7"/>
      <c r="T7"/>
      <c r="U7"/>
      <c r="V7"/>
      <c r="W7"/>
      <c r="X7"/>
      <c r="Y7"/>
      <c r="Z7" s="8">
        <v>1.6949549899436533E-4</v>
      </c>
      <c r="AA7" s="8">
        <v>2.2703730501234531E-3</v>
      </c>
      <c r="AB7" s="12">
        <v>0.20957110822200775</v>
      </c>
      <c r="AC7"/>
      <c r="AD7"/>
      <c r="AE7"/>
      <c r="AF7"/>
      <c r="AG7"/>
      <c r="AH7"/>
      <c r="AI7"/>
      <c r="AJ7"/>
      <c r="AK7"/>
      <c r="AL7"/>
      <c r="AM7"/>
      <c r="AN7" s="17">
        <v>0.87394273281097412</v>
      </c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 s="8">
        <v>4.1054598113987595E-5</v>
      </c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ht="15" customHeight="true">
      <c r="A8" t="s">
        <v>222</v>
      </c>
      <c r="B8">
        <v>19</v>
      </c>
      <c r="C8">
        <v>1.5487852096557617</v>
      </c>
      <c r="D8"/>
      <c r="E8"/>
      <c r="F8"/>
      <c r="G8"/>
      <c r="H8"/>
      <c r="I8"/>
      <c r="J8"/>
      <c r="K8" s="8">
        <v>3.300125477835536E-3</v>
      </c>
      <c r="L8" s="134">
        <v>13.715624809265137</v>
      </c>
      <c r="M8" s="9">
        <v>6.5681293606758118E-2</v>
      </c>
      <c r="N8" s="9">
        <v>7.1314208209514618E-2</v>
      </c>
      <c r="O8" s="65">
        <v>0.645396888256073</v>
      </c>
      <c r="P8" s="8">
        <v>3.2580585684627295E-3</v>
      </c>
      <c r="Q8" s="21">
        <v>0.52378565073013306</v>
      </c>
      <c r="R8" s="15">
        <v>0.22919945418834686</v>
      </c>
      <c r="S8" s="19">
        <v>0.15491171181201935</v>
      </c>
      <c r="T8" s="8">
        <v>1.7501302063465118E-2</v>
      </c>
      <c r="U8" s="8">
        <v>1.4521476114168763E-3</v>
      </c>
      <c r="V8" s="18">
        <v>0.35541453957557678</v>
      </c>
      <c r="W8" s="14">
        <v>0.24391716718673706</v>
      </c>
      <c r="X8" s="8">
        <v>1.9263405120000243E-3</v>
      </c>
      <c r="Y8"/>
      <c r="Z8" s="8">
        <v>6.0630263760685921E-5</v>
      </c>
      <c r="AA8" s="8">
        <v>8.550233906134963E-4</v>
      </c>
      <c r="AB8" s="8">
        <v>2.8260115068405867E-3</v>
      </c>
      <c r="AC8" s="8">
        <v>5.1262247143313289E-4</v>
      </c>
      <c r="AD8" s="8">
        <v>5.601170938462019E-3</v>
      </c>
      <c r="AE8"/>
      <c r="AF8"/>
      <c r="AG8"/>
      <c r="AH8" s="8">
        <v>8.337775245308876E-3</v>
      </c>
      <c r="AI8" s="8">
        <v>2.2797301426180638E-5</v>
      </c>
      <c r="AJ8" s="23">
        <v>0.65203946828842163</v>
      </c>
      <c r="AK8" s="8">
        <v>1.6438977792859077E-2</v>
      </c>
      <c r="AL8" s="65">
        <v>0.61750113964080811</v>
      </c>
      <c r="AM8"/>
      <c r="AN8" s="9">
        <v>6.0355406254529953E-2</v>
      </c>
      <c r="AO8" s="8">
        <v>1.3818583451211452E-2</v>
      </c>
      <c r="AP8"/>
      <c r="AQ8"/>
      <c r="AR8"/>
      <c r="AS8" s="11">
        <v>4.015321284532547E-2</v>
      </c>
      <c r="AT8"/>
      <c r="AU8"/>
      <c r="AV8"/>
      <c r="AW8" s="8">
        <v>9.1308875198592432E-6</v>
      </c>
      <c r="AX8" s="8">
        <v>8.7278046123628883E-8</v>
      </c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ht="15" customHeight="true">
      <c r="A9" t="s">
        <v>179</v>
      </c>
      <c r="B9">
        <v>90.449996948242188</v>
      </c>
      <c r="C9">
        <v>13.613252639770508</v>
      </c>
      <c r="D9"/>
      <c r="E9"/>
      <c r="F9"/>
      <c r="G9"/>
      <c r="H9"/>
      <c r="I9"/>
      <c r="J9"/>
      <c r="K9"/>
      <c r="L9"/>
      <c r="M9" s="11">
        <v>0.17282010614871979</v>
      </c>
      <c r="N9"/>
      <c r="O9" s="230">
        <v>26.145002365112305</v>
      </c>
      <c r="P9"/>
      <c r="Q9" s="228">
        <v>15.255510330200195</v>
      </c>
      <c r="R9" s="227">
        <v>11.672318458557129</v>
      </c>
      <c r="S9"/>
      <c r="T9"/>
      <c r="U9"/>
      <c r="V9"/>
      <c r="W9"/>
      <c r="X9"/>
      <c r="Y9"/>
      <c r="Z9" s="8">
        <v>9.0563548728823662E-3</v>
      </c>
      <c r="AA9"/>
      <c r="AB9"/>
      <c r="AC9"/>
      <c r="AD9"/>
      <c r="AE9"/>
      <c r="AF9"/>
      <c r="AG9"/>
      <c r="AH9"/>
      <c r="AI9"/>
      <c r="AJ9" s="129">
        <v>19.420230865478516</v>
      </c>
      <c r="AK9"/>
      <c r="AL9"/>
      <c r="AM9"/>
      <c r="AN9" s="62">
        <v>4.161801815032959</v>
      </c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ht="15" customHeight="true">
      <c r="A10" t="s">
        <v>180</v>
      </c>
      <c r="B10">
        <v>14.680000305175781</v>
      </c>
      <c r="C10">
        <v>5.5465807914733887</v>
      </c>
      <c r="D10"/>
      <c r="E10" s="11">
        <v>3.4018497914075851E-2</v>
      </c>
      <c r="F10"/>
      <c r="G10"/>
      <c r="H10"/>
      <c r="I10"/>
      <c r="J10"/>
      <c r="K10"/>
      <c r="L10"/>
      <c r="M10"/>
      <c r="N10"/>
      <c r="O10"/>
      <c r="P10"/>
      <c r="Q10"/>
      <c r="R10" s="21">
        <v>0.41471186280250549</v>
      </c>
      <c r="S10"/>
      <c r="T10" s="57">
        <v>0.86548769474029541</v>
      </c>
      <c r="U10"/>
      <c r="V10"/>
      <c r="W10"/>
      <c r="X10"/>
      <c r="Y10"/>
      <c r="Z10" s="8">
        <v>5.3393449634313583E-3</v>
      </c>
      <c r="AA10" s="11">
        <v>1.4630206860601902E-2</v>
      </c>
      <c r="AB10"/>
      <c r="AC10" s="20">
        <v>9.3896195292472839E-2</v>
      </c>
      <c r="AD10" s="262">
        <v>5.2687506675720215</v>
      </c>
      <c r="AE10"/>
      <c r="AF10" s="11">
        <v>4.1315604001283646E-2</v>
      </c>
      <c r="AG10"/>
      <c r="AH10"/>
      <c r="AI10"/>
      <c r="AJ10"/>
      <c r="AK10" s="11">
        <v>3.039233572781086E-2</v>
      </c>
      <c r="AL10" s="229">
        <v>2.364877462387085</v>
      </c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ht="15" customHeight="true">
      <c r="A11" t="s">
        <v>223</v>
      </c>
      <c r="B11">
        <v>18.25</v>
      </c>
      <c r="C11">
        <v>10.635985374450684</v>
      </c>
      <c r="D11"/>
      <c r="E11" s="8">
        <v>6.9570290861520334E-8</v>
      </c>
      <c r="F11"/>
      <c r="G11"/>
      <c r="H11"/>
      <c r="I11"/>
      <c r="J11"/>
      <c r="K11"/>
      <c r="L11"/>
      <c r="M11"/>
      <c r="N11"/>
      <c r="O11" s="127">
        <v>5.8802309036254883</v>
      </c>
      <c r="P11"/>
      <c r="Q11"/>
      <c r="R11"/>
      <c r="S11"/>
      <c r="T11" s="232">
        <v>1.4715145826339722</v>
      </c>
      <c r="U11"/>
      <c r="V11"/>
      <c r="W11"/>
      <c r="X11"/>
      <c r="Y11"/>
      <c r="Z11"/>
      <c r="AA11"/>
      <c r="AB11"/>
      <c r="AC11"/>
      <c r="AD11"/>
      <c r="AE11"/>
      <c r="AF11"/>
      <c r="AG11"/>
      <c r="AH11" s="14">
        <v>0.26182165741920471</v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 s="8">
        <v>2.5680294584162766E-6</v>
      </c>
      <c r="AY11"/>
      <c r="AZ11" s="8">
        <v>4.4441665522754192E-4</v>
      </c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ht="15" customHeight="true">
      <c r="A12" t="s">
        <v>181</v>
      </c>
      <c r="B12">
        <v>90.099998474121094</v>
      </c>
      <c r="C12">
        <v>68.955406188964844</v>
      </c>
      <c r="D12"/>
      <c r="E12"/>
      <c r="F12"/>
      <c r="G12"/>
      <c r="H12"/>
      <c r="I12"/>
      <c r="J12"/>
      <c r="K12"/>
      <c r="L12"/>
      <c r="M12"/>
      <c r="N12"/>
      <c r="O12" s="237">
        <v>14.894906044006348</v>
      </c>
      <c r="P12"/>
      <c r="Q12"/>
      <c r="R12"/>
      <c r="S12"/>
      <c r="T12" s="125">
        <v>5.5441946983337402</v>
      </c>
      <c r="U12"/>
      <c r="V12"/>
      <c r="W12"/>
      <c r="X12" s="11">
        <v>0.12532156705856323</v>
      </c>
      <c r="Y12"/>
      <c r="Z12"/>
      <c r="AA12"/>
      <c r="AB12"/>
      <c r="AC12"/>
      <c r="AD12"/>
      <c r="AE12"/>
      <c r="AF12"/>
      <c r="AG12"/>
      <c r="AH12" s="11">
        <v>0.11322178691625595</v>
      </c>
      <c r="AI12"/>
      <c r="AJ12"/>
      <c r="AK12"/>
      <c r="AL12"/>
      <c r="AM12"/>
      <c r="AN12" s="20">
        <v>0.46667072176933289</v>
      </c>
      <c r="AO12"/>
      <c r="AP12"/>
      <c r="AQ12"/>
      <c r="AR12"/>
      <c r="AS12"/>
      <c r="AT12"/>
      <c r="AU12"/>
      <c r="AV12"/>
      <c r="AW12" s="8">
        <v>2.4755907361395657E-4</v>
      </c>
      <c r="AX12" s="8">
        <v>2.7223621145822108E-5</v>
      </c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ht="15" customHeight="true">
      <c r="A13" t="s">
        <v>224</v>
      </c>
      <c r="B13">
        <v>19.827499389648438</v>
      </c>
      <c r="C13">
        <v>1.0976885557174683</v>
      </c>
      <c r="D13"/>
      <c r="E13"/>
      <c r="F13"/>
      <c r="G13"/>
      <c r="H13"/>
      <c r="I13"/>
      <c r="J13"/>
      <c r="K13"/>
      <c r="L13"/>
      <c r="M13"/>
      <c r="N13"/>
      <c r="O13" s="240">
        <v>6.9790554046630859</v>
      </c>
      <c r="P13"/>
      <c r="Q13" s="133">
        <v>11.232315063476562</v>
      </c>
      <c r="R13"/>
      <c r="S13"/>
      <c r="T13" s="12">
        <v>0.20961347222328186</v>
      </c>
      <c r="U13"/>
      <c r="V13" s="11">
        <v>2.4139096960425377E-2</v>
      </c>
      <c r="W13"/>
      <c r="X13"/>
      <c r="Y13"/>
      <c r="Z13" s="8">
        <v>1.1244829511269927E-4</v>
      </c>
      <c r="AA13"/>
      <c r="AB13" s="11">
        <v>2.1556328982114792E-2</v>
      </c>
      <c r="AC13"/>
      <c r="AD13"/>
      <c r="AE13"/>
      <c r="AF13"/>
      <c r="AG13" s="8">
        <v>4.92554534048395E-7</v>
      </c>
      <c r="AH13"/>
      <c r="AI13"/>
      <c r="AJ13"/>
      <c r="AK13"/>
      <c r="AL13"/>
      <c r="AM13"/>
      <c r="AN13" s="14">
        <v>0.26287472248077393</v>
      </c>
      <c r="AO13"/>
      <c r="AP13"/>
      <c r="AQ13"/>
      <c r="AR13"/>
      <c r="AS13"/>
      <c r="AT13"/>
      <c r="AU13"/>
      <c r="AV13"/>
      <c r="AW13"/>
      <c r="AX13" s="8">
        <v>1.6561321899644099E-5</v>
      </c>
      <c r="AY13"/>
      <c r="AZ13" s="8">
        <v>1.2794911162927747E-4</v>
      </c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ht="15" customHeight="true">
      <c r="A14" t="s">
        <v>182</v>
      </c>
      <c r="B14">
        <v>2.4430000782012939</v>
      </c>
      <c r="C14">
        <v>0.98357218503952026</v>
      </c>
      <c r="D14"/>
      <c r="E14" s="8">
        <v>1.1877503425239411E-7</v>
      </c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 s="130">
        <v>0.62661010026931763</v>
      </c>
      <c r="W14"/>
      <c r="X14"/>
      <c r="Y14"/>
      <c r="Z14" s="8">
        <v>3.4772638173308223E-5</v>
      </c>
      <c r="AA14" s="20">
        <v>1.5663247555494308E-2</v>
      </c>
      <c r="AB14"/>
      <c r="AC14"/>
      <c r="AD14"/>
      <c r="AE14" s="8">
        <v>7.9354731133207679E-4</v>
      </c>
      <c r="AF14" s="9">
        <v>1.1479694396257401E-2</v>
      </c>
      <c r="AG14" s="8">
        <v>1.3984556801460712E-7</v>
      </c>
      <c r="AH14"/>
      <c r="AI14"/>
      <c r="AJ14"/>
      <c r="AK14" s="117">
        <v>0.80410796403884888</v>
      </c>
      <c r="AL14"/>
      <c r="AM14"/>
      <c r="AN14"/>
      <c r="AO14"/>
      <c r="AP14"/>
      <c r="AQ14"/>
      <c r="AR14"/>
      <c r="AS14"/>
      <c r="AT14" s="8">
        <v>9.7574236860964447E-5</v>
      </c>
      <c r="AU14" s="8">
        <v>1.3324329302122351E-5</v>
      </c>
      <c r="AV14"/>
      <c r="AW14"/>
      <c r="AX14"/>
      <c r="AY14"/>
      <c r="AZ14"/>
      <c r="BA14" s="8">
        <v>6.2741962028667331E-4</v>
      </c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ht="15" customHeight="true">
      <c r="A15" t="s">
        <v>183</v>
      </c>
      <c r="B15">
        <v>0.60000002384185791</v>
      </c>
      <c r="C15">
        <v>0.5999990701675415</v>
      </c>
      <c r="D15" s="8">
        <v>7.3271320388812455E-7</v>
      </c>
      <c r="E15" s="8">
        <v>2.2984349357102474E-7</v>
      </c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ht="15" customHeight="true">
      <c r="A16" t="s">
        <v>184</v>
      </c>
      <c r="B16">
        <v>0.80000001192092896</v>
      </c>
      <c r="C16">
        <v>0.79889982938766479</v>
      </c>
      <c r="D16" s="8">
        <v>8.5770388125183672E-8</v>
      </c>
      <c r="E16" s="8">
        <v>5.4844400665388093E-7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 s="8">
        <v>6.4808054594323039E-4</v>
      </c>
      <c r="AB16"/>
      <c r="AC16"/>
      <c r="AD16"/>
      <c r="AE16"/>
      <c r="AF16"/>
      <c r="AG16" s="8">
        <v>7.8784046309010591E-7</v>
      </c>
      <c r="AH16"/>
      <c r="AI16"/>
      <c r="AJ16"/>
      <c r="AK16"/>
      <c r="AL16"/>
      <c r="AM16"/>
      <c r="AN16"/>
      <c r="AO16"/>
      <c r="AP16"/>
      <c r="AQ16"/>
      <c r="AR16"/>
      <c r="AS16"/>
      <c r="AT16" s="8">
        <v>7.9782103057368658E-6</v>
      </c>
      <c r="AU16"/>
      <c r="AV16"/>
      <c r="AW16"/>
      <c r="AX16"/>
      <c r="AY16"/>
      <c r="AZ16"/>
      <c r="BA16" s="8">
        <v>4.3881841702386737E-4</v>
      </c>
      <c r="BB16" s="8">
        <v>3.5623854728328297E-6</v>
      </c>
      <c r="BC16" s="8">
        <v>2.9710346893807582E-7</v>
      </c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ht="15" customHeight="true">
      <c r="A17" t="s">
        <v>185</v>
      </c>
      <c r="B17">
        <v>0.85500001907348633</v>
      </c>
      <c r="C17">
        <v>0.17100004851818085</v>
      </c>
      <c r="D17" s="8">
        <v>1.9293661068786605E-7</v>
      </c>
      <c r="E17" s="8">
        <v>1.0079573257826269E-5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 s="11">
        <v>1.8763217376545072E-3</v>
      </c>
      <c r="AA17"/>
      <c r="AB17"/>
      <c r="AC17"/>
      <c r="AD17"/>
      <c r="AE17"/>
      <c r="AF17" s="11">
        <v>1.8455893732607365E-3</v>
      </c>
      <c r="AG17" s="8">
        <v>3.4176400731666945E-7</v>
      </c>
      <c r="AH17"/>
      <c r="AI17"/>
      <c r="AJ17"/>
      <c r="AK17" s="258">
        <v>0.67196488380432129</v>
      </c>
      <c r="AL17"/>
      <c r="AM17"/>
      <c r="AN17"/>
      <c r="AO17"/>
      <c r="AP17"/>
      <c r="AQ17"/>
      <c r="AR17"/>
      <c r="AS17"/>
      <c r="AT17"/>
      <c r="AU17" s="8">
        <v>5.1651481953740586E-6</v>
      </c>
      <c r="AV17"/>
      <c r="AW17"/>
      <c r="AX17"/>
      <c r="AY17"/>
      <c r="AZ17"/>
      <c r="BA17" s="12">
        <v>8.208676241338253E-3</v>
      </c>
      <c r="BB17" s="8">
        <v>8.1903941463679075E-5</v>
      </c>
      <c r="BC17" s="8">
        <v>6.8308013396745082E-6</v>
      </c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ht="15" customHeight="true">
      <c r="A18" t="s">
        <v>186</v>
      </c>
      <c r="B18">
        <v>1.6000000238418579</v>
      </c>
      <c r="C18">
        <v>0.90933620929718018</v>
      </c>
      <c r="D18" s="8">
        <v>2.8328133794275345E-6</v>
      </c>
      <c r="E18" s="8">
        <v>6.6159380367025733E-5</v>
      </c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 s="8">
        <v>1.970068842638284E-5</v>
      </c>
      <c r="AF18" s="9">
        <v>7.4234399944543839E-3</v>
      </c>
      <c r="AG18" s="8">
        <v>1.9219091029754054E-7</v>
      </c>
      <c r="AH18"/>
      <c r="AI18"/>
      <c r="AJ18" s="251">
        <v>0.36577761173248291</v>
      </c>
      <c r="AK18" s="250">
        <v>0.31630423665046692</v>
      </c>
      <c r="AL18"/>
      <c r="AM18"/>
      <c r="AN18"/>
      <c r="AO18"/>
      <c r="AP18"/>
      <c r="AQ18"/>
      <c r="AR18"/>
      <c r="AS18"/>
      <c r="AT18" s="8">
        <v>3.2393660512752831E-4</v>
      </c>
      <c r="AU18" s="8">
        <v>3.6346627894090489E-5</v>
      </c>
      <c r="AV18"/>
      <c r="AW18"/>
      <c r="AX18" s="8">
        <v>1.403060878146789E-6</v>
      </c>
      <c r="AY18"/>
      <c r="AZ18"/>
      <c r="BA18" s="8">
        <v>7.018278120085597E-4</v>
      </c>
      <c r="BB18" s="8">
        <v>5.6722492445260286E-6</v>
      </c>
      <c r="BC18" s="8">
        <v>4.730664500129933E-7</v>
      </c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ht="15" customHeight="true">
      <c r="A19" t="s">
        <v>187</v>
      </c>
      <c r="B19">
        <v>2.0999999046325684</v>
      </c>
      <c r="C19">
        <v>0.65914541482925415</v>
      </c>
      <c r="D19" s="8">
        <v>9.0346338765812106E-6</v>
      </c>
      <c r="E19" s="255">
        <v>0.81747382879257202</v>
      </c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 s="8">
        <v>1.7737411326379515E-5</v>
      </c>
      <c r="AF19" s="9">
        <v>6.6836569458246231E-3</v>
      </c>
      <c r="AG19" s="8">
        <v>1.7303808874657989E-7</v>
      </c>
      <c r="AH19"/>
      <c r="AI19"/>
      <c r="AJ19" s="249">
        <v>0.32932600378990173</v>
      </c>
      <c r="AK19" s="248">
        <v>0.28478288650512695</v>
      </c>
      <c r="AL19"/>
      <c r="AM19"/>
      <c r="AN19"/>
      <c r="AO19"/>
      <c r="AP19"/>
      <c r="AQ19"/>
      <c r="AR19"/>
      <c r="AS19"/>
      <c r="AT19" s="8">
        <v>1.081927097402513E-3</v>
      </c>
      <c r="AU19" s="8">
        <v>7.3597286245785654E-5</v>
      </c>
      <c r="AV19" s="8">
        <v>2.8578904675669037E-5</v>
      </c>
      <c r="AW19"/>
      <c r="AX19" s="8">
        <v>1.2632386869881884E-6</v>
      </c>
      <c r="AY19"/>
      <c r="AZ19"/>
      <c r="BA19" s="8">
        <v>1.3680873671546578E-3</v>
      </c>
      <c r="BB19" s="8">
        <v>7.0524970396945719E-6</v>
      </c>
      <c r="BC19" s="8">
        <v>5.8817931858357042E-7</v>
      </c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ht="15" customHeight="true">
      <c r="A20" t="s">
        <v>188</v>
      </c>
      <c r="B20">
        <v>1.7999999523162842</v>
      </c>
      <c r="C20">
        <v>1.7177157402038574</v>
      </c>
      <c r="D20" s="8">
        <v>4.0143038495443761E-4</v>
      </c>
      <c r="E20" s="9">
        <v>5.4104477167129517E-3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 s="11">
        <v>3.2483057584613562E-3</v>
      </c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 s="18">
        <v>3.662462905049324E-2</v>
      </c>
      <c r="AU20" s="8">
        <v>1.3845114735886455E-3</v>
      </c>
      <c r="AV20" s="11">
        <v>2.9068945441395044E-3</v>
      </c>
      <c r="AW20"/>
      <c r="AX20"/>
      <c r="AY20"/>
      <c r="AZ20"/>
      <c r="BA20" s="16">
        <v>3.2100837677717209E-2</v>
      </c>
      <c r="BB20" s="8">
        <v>1.9126810366287827E-4</v>
      </c>
      <c r="BC20" s="8">
        <v>1.59517876454629E-5</v>
      </c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ht="15" customHeight="true">
      <c r="A21" t="s">
        <v>189</v>
      </c>
      <c r="B21">
        <v>0.34999999403953552</v>
      </c>
      <c r="C21">
        <v>0.12490589171648026</v>
      </c>
      <c r="D21" s="122">
        <v>0.21816356480121613</v>
      </c>
      <c r="E21" s="18">
        <v>6.9305216893553734E-3</v>
      </c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ht="15" customHeight="true">
      <c r="A22" t="s">
        <v>190</v>
      </c>
      <c r="B22">
        <v>0.56999999284744263</v>
      </c>
      <c r="C22">
        <v>0.4134124219417572</v>
      </c>
      <c r="D22" s="8">
        <v>2.7363933622837067E-4</v>
      </c>
      <c r="E22" s="14">
        <v>7.4437684379518032E-3</v>
      </c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 s="142">
        <v>0.14757224917411804</v>
      </c>
      <c r="BB22" s="11">
        <v>1.1980108683928847E-3</v>
      </c>
      <c r="BC22" s="8">
        <v>9.9914279417134821E-5</v>
      </c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ht="15" customHeight="true">
      <c r="A23" t="s">
        <v>191</v>
      </c>
      <c r="B23">
        <v>0.37999999523162842</v>
      </c>
      <c r="C23">
        <v>0.11360227316617966</v>
      </c>
      <c r="D23" s="8">
        <v>1.1263918713666499E-4</v>
      </c>
      <c r="E23" s="8">
        <v>1.0667008609743789E-5</v>
      </c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 s="20">
        <v>2.5362917222082615E-3</v>
      </c>
      <c r="AA23"/>
      <c r="AB23"/>
      <c r="AC23"/>
      <c r="AD23"/>
      <c r="AE23"/>
      <c r="AF23"/>
      <c r="AG23"/>
      <c r="AH23"/>
      <c r="AI23"/>
      <c r="AJ23"/>
      <c r="AK23"/>
      <c r="AL23"/>
      <c r="AM23"/>
      <c r="AN23" s="124">
        <v>0.22890098392963409</v>
      </c>
      <c r="AO23"/>
      <c r="AP23"/>
      <c r="AQ23"/>
      <c r="AR23"/>
      <c r="AS23"/>
      <c r="AT23"/>
      <c r="AU23"/>
      <c r="AV23"/>
      <c r="AW23"/>
      <c r="AX23" s="8">
        <v>4.7698648586447234E-7</v>
      </c>
      <c r="AY23"/>
      <c r="AZ23"/>
      <c r="BA23" s="143">
        <v>3.4666705876588821E-2</v>
      </c>
      <c r="BB23" s="8">
        <v>1.6998629143927246E-4</v>
      </c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ht="15" customHeight="true">
      <c r="A24" t="s">
        <v>192</v>
      </c>
      <c r="B24">
        <v>0.87000000476837158</v>
      </c>
      <c r="C24">
        <v>0.17399993538856506</v>
      </c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 s="144">
        <v>0.69478327035903931</v>
      </c>
      <c r="BB24" s="11">
        <v>1.0793748078867793E-3</v>
      </c>
      <c r="BC24" s="8">
        <v>1.3748512719757855E-4</v>
      </c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ht="15" customHeight="true">
      <c r="A25" t="s">
        <v>225</v>
      </c>
      <c r="B25">
        <v>2.4500000476837158</v>
      </c>
      <c r="C25">
        <v>2.415170431137085</v>
      </c>
      <c r="D25" s="8">
        <v>5.9314057580195367E-5</v>
      </c>
      <c r="E25" s="8">
        <v>1.1946216318392544E-6</v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 s="8">
        <v>6.4638128969818354E-4</v>
      </c>
      <c r="AA25"/>
      <c r="AB25"/>
      <c r="AC25" s="14">
        <v>3.3990398049354553E-2</v>
      </c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 s="8">
        <v>1.3220688560977578E-4</v>
      </c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ht="15" customHeight="true">
      <c r="A26" t="s">
        <v>226</v>
      </c>
      <c r="B26">
        <v>0.77499997615814209</v>
      </c>
      <c r="C26">
        <v>7.7499463222920895E-3</v>
      </c>
      <c r="D26" s="8">
        <v>4.1970890015363693E-4</v>
      </c>
      <c r="E26" s="8">
        <v>3.847389598377049E-5</v>
      </c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12">
        <v>4.1697755455970764E-2</v>
      </c>
      <c r="AG26"/>
      <c r="AH26"/>
      <c r="AI26"/>
      <c r="AJ26"/>
      <c r="AK26" s="213">
        <v>0.72509407997131348</v>
      </c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ht="15" customHeight="true">
      <c r="A27" t="s">
        <v>227</v>
      </c>
      <c r="B27">
        <v>0.43000000715255737</v>
      </c>
      <c r="C27">
        <v>0.42497596144676208</v>
      </c>
      <c r="D27" s="11">
        <v>7.5556151568889618E-4</v>
      </c>
      <c r="E27" s="12">
        <v>4.2684762738645077E-3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ht="15" customHeight="true">
      <c r="A28" t="s">
        <v>228</v>
      </c>
      <c r="B28">
        <v>1.0399999618530273</v>
      </c>
      <c r="C28">
        <v>1.0388017892837524</v>
      </c>
      <c r="D28" s="8">
        <v>6.1819438997190446E-5</v>
      </c>
      <c r="E28" s="11">
        <v>1.1364085366949439E-3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ht="15" customHeight="true">
      <c r="A29" t="s">
        <v>197</v>
      </c>
      <c r="B29">
        <v>0.43000000715255737</v>
      </c>
      <c r="C29">
        <v>0.42903158068656921</v>
      </c>
      <c r="D29" s="8">
        <v>9.330829925602302E-5</v>
      </c>
      <c r="E29" s="11">
        <v>8.751103887334466E-4</v>
      </c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ht="15" customHeight="true">
      <c r="A30" t="s">
        <v>198</v>
      </c>
      <c r="B30">
        <v>2.4500000476837158</v>
      </c>
      <c r="C30">
        <v>0.88547295331954956</v>
      </c>
      <c r="D30" s="8">
        <v>2.8424849733710289E-4</v>
      </c>
      <c r="E30" s="8">
        <v>1.7508231394458562E-4</v>
      </c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 s="259">
        <v>1.5390164852142334</v>
      </c>
      <c r="V30"/>
      <c r="W30"/>
      <c r="X30"/>
      <c r="Y30"/>
      <c r="Z30" s="8">
        <v>1.9171935273334384E-3</v>
      </c>
      <c r="AA30" s="11">
        <v>4.7860518097877502E-3</v>
      </c>
      <c r="AB30"/>
      <c r="AC30"/>
      <c r="AD30"/>
      <c r="AE30" s="8">
        <v>2.1283414680510759E-3</v>
      </c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 s="8">
        <v>2.9880250804126263E-4</v>
      </c>
      <c r="AU30" s="8">
        <v>2.8040254255756736E-4</v>
      </c>
      <c r="AV30"/>
      <c r="AW30"/>
      <c r="AX30"/>
      <c r="AY30"/>
      <c r="AZ30"/>
      <c r="BA30" s="20">
        <v>1.5568227507174015E-2</v>
      </c>
      <c r="BB30" s="8">
        <v>6.6709806560538709E-5</v>
      </c>
      <c r="BC30" s="8">
        <v>5.5636078286624979E-6</v>
      </c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ht="15" customHeight="true">
      <c r="A31" t="s">
        <v>199</v>
      </c>
      <c r="B31">
        <v>0.40000000596046448</v>
      </c>
      <c r="C31">
        <v>0.37884217500686646</v>
      </c>
      <c r="D31" s="8">
        <v>1.2707892892649397E-5</v>
      </c>
      <c r="E31" s="8">
        <v>2.6640863507054746E-4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 s="16">
        <v>7.0529356598854065E-3</v>
      </c>
      <c r="AU31"/>
      <c r="AV31"/>
      <c r="AW31"/>
      <c r="AX31"/>
      <c r="AY31"/>
      <c r="AZ31"/>
      <c r="BA31" s="65">
        <v>1.3703933916985989E-2</v>
      </c>
      <c r="BB31" s="8">
        <v>1.1247274960624054E-4</v>
      </c>
      <c r="BC31" s="8">
        <v>9.3802436822443269E-6</v>
      </c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ht="15" customHeight="true">
      <c r="A32" t="s">
        <v>229</v>
      </c>
      <c r="B32">
        <v>2.5999999046325684</v>
      </c>
      <c r="C32">
        <v>0.76244878768920898</v>
      </c>
      <c r="D32" s="8">
        <v>9.5976088232418988E-7</v>
      </c>
      <c r="E32" s="8">
        <v>2.6303973754693288E-6</v>
      </c>
      <c r="F32"/>
      <c r="G32"/>
      <c r="H32"/>
      <c r="I32"/>
      <c r="J32"/>
      <c r="K32"/>
      <c r="L32"/>
      <c r="M32"/>
      <c r="N32"/>
      <c r="O32"/>
      <c r="P32"/>
      <c r="Q32"/>
      <c r="R32"/>
      <c r="S32" s="18">
        <v>5.0200365483760834E-2</v>
      </c>
      <c r="T32" s="13">
        <v>3.909701481461525E-2</v>
      </c>
      <c r="U32" s="9">
        <v>1.1736504733562469E-2</v>
      </c>
      <c r="V32"/>
      <c r="W32"/>
      <c r="X32"/>
      <c r="Y32"/>
      <c r="Z32" s="8">
        <v>2.1074232645332813E-3</v>
      </c>
      <c r="AA32" s="8">
        <v>7.9802193795330822E-5</v>
      </c>
      <c r="AB32" s="9">
        <v>8.8493851944804192E-3</v>
      </c>
      <c r="AC32"/>
      <c r="AD32"/>
      <c r="AE32" s="11">
        <v>7.5942603871226311E-3</v>
      </c>
      <c r="AF32" s="22">
        <v>6.5053083002567291E-2</v>
      </c>
      <c r="AG32" s="8">
        <v>6.0994116211077198E-6</v>
      </c>
      <c r="AH32"/>
      <c r="AI32"/>
      <c r="AJ32" s="145">
        <v>0.3840382993221283</v>
      </c>
      <c r="AK32" s="146">
        <v>0.7876582145690918</v>
      </c>
      <c r="AL32"/>
      <c r="AM32"/>
      <c r="AN32" s="131">
        <v>0.47974854707717896</v>
      </c>
      <c r="AO32"/>
      <c r="AP32"/>
      <c r="AQ32"/>
      <c r="AR32"/>
      <c r="AS32"/>
      <c r="AT32" s="8">
        <v>2.0537756790872663E-4</v>
      </c>
      <c r="AU32" s="8">
        <v>4.1236558899981901E-5</v>
      </c>
      <c r="AV32" s="8">
        <v>4.9213749662158079E-6</v>
      </c>
      <c r="AW32"/>
      <c r="AX32" s="6">
        <v>8.2359841169221681E-10</v>
      </c>
      <c r="AY32"/>
      <c r="AZ32"/>
      <c r="BA32" s="8">
        <v>1.1187373893335462E-3</v>
      </c>
      <c r="BB32" s="8">
        <v>5.4379752327804454E-6</v>
      </c>
      <c r="BC32" s="8">
        <v>2.8860870315838838E-6</v>
      </c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ht="15" customHeight="true">
      <c r="A33" t="s">
        <v>230</v>
      </c>
      <c r="B33">
        <v>0.69999998807907104</v>
      </c>
      <c r="C33">
        <v>0.42763602733612061</v>
      </c>
      <c r="D33" s="8">
        <v>1.8293775792699307E-4</v>
      </c>
      <c r="E33" s="8">
        <v>3.3964510657824576E-4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 s="16">
        <v>1.3017796911299229E-2</v>
      </c>
      <c r="AF33" s="125">
        <v>4.2495731264352798E-2</v>
      </c>
      <c r="AG33" s="8">
        <v>9.3365788416122086E-6</v>
      </c>
      <c r="AH33"/>
      <c r="AI33"/>
      <c r="AJ33"/>
      <c r="AK33" s="225">
        <v>0.21545484662055969</v>
      </c>
      <c r="AL33"/>
      <c r="AM33"/>
      <c r="AN33"/>
      <c r="AO33"/>
      <c r="AP33"/>
      <c r="AQ33"/>
      <c r="AR33"/>
      <c r="AS33"/>
      <c r="AT33" s="8">
        <v>6.642462540185079E-5</v>
      </c>
      <c r="AU33" s="8">
        <v>3.0870301998220384E-5</v>
      </c>
      <c r="AV33"/>
      <c r="AW33"/>
      <c r="AX33"/>
      <c r="AY33"/>
      <c r="AZ33"/>
      <c r="BA33" s="11">
        <v>7.5992016354575753E-4</v>
      </c>
      <c r="BB33" s="8">
        <v>5.9319104366295505E-6</v>
      </c>
      <c r="BC33" s="8">
        <v>4.9472225782665191E-7</v>
      </c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ht="15" customHeight="true">
      <c r="A34" t="s">
        <v>231</v>
      </c>
      <c r="B34">
        <v>1.5800000429153442</v>
      </c>
      <c r="C34">
        <v>0.69936943054199219</v>
      </c>
      <c r="D34" s="8">
        <v>1.8797934171743691E-4</v>
      </c>
      <c r="E34" s="8">
        <v>6.7537774157244712E-5</v>
      </c>
      <c r="F34"/>
      <c r="G34"/>
      <c r="H34"/>
      <c r="I34"/>
      <c r="J34"/>
      <c r="K34"/>
      <c r="L34"/>
      <c r="M34"/>
      <c r="N34" s="61">
        <v>3.5780865699052811E-2</v>
      </c>
      <c r="O34"/>
      <c r="P34"/>
      <c r="Q34"/>
      <c r="R34"/>
      <c r="S34"/>
      <c r="T34"/>
      <c r="U34" s="23">
        <v>5.5718611925840378E-2</v>
      </c>
      <c r="V34"/>
      <c r="W34"/>
      <c r="X34"/>
      <c r="Y34" s="9">
        <v>6.0011097230017185E-3</v>
      </c>
      <c r="Z34" s="8">
        <v>4.1312389657832682E-4</v>
      </c>
      <c r="AA34" s="9">
        <v>4.8857303336262703E-3</v>
      </c>
      <c r="AB34"/>
      <c r="AC34" s="9">
        <v>5.6903106160461903E-3</v>
      </c>
      <c r="AD34"/>
      <c r="AE34" s="8">
        <v>3.0601391335949302E-4</v>
      </c>
      <c r="AF34" s="9">
        <v>7.4109211564064026E-3</v>
      </c>
      <c r="AG34" s="8">
        <v>2.3475926980154327E-7</v>
      </c>
      <c r="AH34" s="20">
        <v>8.0455448478460312E-3</v>
      </c>
      <c r="AI34" s="21">
        <v>4.276912659406662E-2</v>
      </c>
      <c r="AJ34"/>
      <c r="AK34" s="12">
        <v>1.5227090567350388E-2</v>
      </c>
      <c r="AL34" s="117">
        <v>0.51935935020446777</v>
      </c>
      <c r="AM34" s="20">
        <v>8.8333189487457275E-3</v>
      </c>
      <c r="AN34"/>
      <c r="AO34" s="61">
        <v>3.827502578496933E-2</v>
      </c>
      <c r="AP34"/>
      <c r="AQ34"/>
      <c r="AR34"/>
      <c r="AS34" s="234">
        <v>0.1299917995929718</v>
      </c>
      <c r="AT34" s="8">
        <v>4.1446916293352842E-4</v>
      </c>
      <c r="AU34" s="8">
        <v>4.0878712752601132E-6</v>
      </c>
      <c r="AV34" s="8">
        <v>3.5664565984916408E-6</v>
      </c>
      <c r="AW34"/>
      <c r="AX34" s="8">
        <v>2.0325472860349691E-7</v>
      </c>
      <c r="AY34" s="8">
        <v>8.690584252235567E-8</v>
      </c>
      <c r="AZ34"/>
      <c r="BA34" s="8">
        <v>1.2436156393960118E-3</v>
      </c>
      <c r="BB34" s="8">
        <v>7.4026576157848467E-7</v>
      </c>
      <c r="BC34" s="8">
        <v>6.1738276713185769E-8</v>
      </c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ht="15" customHeight="true">
      <c r="A35" t="s">
        <v>232</v>
      </c>
      <c r="B35">
        <v>1.5800000429153442</v>
      </c>
      <c r="C35">
        <v>7.9722531139850616E-2</v>
      </c>
      <c r="D35" s="11">
        <v>2.0233332179486752E-3</v>
      </c>
      <c r="E35" s="11">
        <v>2.0345465745776892E-3</v>
      </c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 s="269">
        <v>1.1461937427520752</v>
      </c>
      <c r="V35"/>
      <c r="W35"/>
      <c r="X35"/>
      <c r="Y35"/>
      <c r="Z35"/>
      <c r="AA35" s="12">
        <v>1.6286533325910568E-2</v>
      </c>
      <c r="AB35"/>
      <c r="AC35"/>
      <c r="AD35"/>
      <c r="AE35"/>
      <c r="AF35"/>
      <c r="AG35" s="8">
        <v>1.2833645541832084E-6</v>
      </c>
      <c r="AH35"/>
      <c r="AI35"/>
      <c r="AJ35"/>
      <c r="AK35" s="268">
        <v>0.3337380588054657</v>
      </c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ht="15" customHeight="true">
      <c r="A36" t="s">
        <v>233</v>
      </c>
      <c r="B36">
        <v>4.3000001907348633</v>
      </c>
      <c r="C36">
        <v>1.4224603176116943</v>
      </c>
      <c r="D36"/>
      <c r="E36" s="8">
        <v>5.4579857078351779E-7</v>
      </c>
      <c r="F36"/>
      <c r="G36"/>
      <c r="H36"/>
      <c r="I36"/>
      <c r="J36"/>
      <c r="K36"/>
      <c r="L36"/>
      <c r="M36"/>
      <c r="N36" s="126">
        <v>0.36222308874130249</v>
      </c>
      <c r="O36"/>
      <c r="P36"/>
      <c r="Q36"/>
      <c r="R36"/>
      <c r="S36"/>
      <c r="T36"/>
      <c r="U36"/>
      <c r="V36"/>
      <c r="W36"/>
      <c r="X36"/>
      <c r="Y36"/>
      <c r="Z36" s="8">
        <v>2.2211526520550251E-3</v>
      </c>
      <c r="AA36" s="8">
        <v>1.2289171572774649E-3</v>
      </c>
      <c r="AB36"/>
      <c r="AC36"/>
      <c r="AD36"/>
      <c r="AE36" s="8">
        <v>4.1491608135402203E-3</v>
      </c>
      <c r="AF36" s="55">
        <v>9.5112785696983337E-2</v>
      </c>
      <c r="AG36" s="8">
        <v>9.0684361566673033E-6</v>
      </c>
      <c r="AH36" s="8">
        <v>6.5158441429957747E-4</v>
      </c>
      <c r="AI36"/>
      <c r="AJ36"/>
      <c r="AK36" s="70">
        <v>0.86670219898223877</v>
      </c>
      <c r="AL36" s="118">
        <v>0.40935817360877991</v>
      </c>
      <c r="AM36"/>
      <c r="AN36" s="128">
        <v>1.0368391275405884</v>
      </c>
      <c r="AO36"/>
      <c r="AP36"/>
      <c r="AQ36"/>
      <c r="AR36"/>
      <c r="AS36"/>
      <c r="AT36"/>
      <c r="AU36" s="8">
        <v>1.1136849025206175E-5</v>
      </c>
      <c r="AV36"/>
      <c r="AW36"/>
      <c r="AX36" s="8">
        <v>1.4275466128310654E-5</v>
      </c>
      <c r="AY36"/>
      <c r="AZ36"/>
      <c r="BA36" s="61">
        <v>9.7950637340545654E-2</v>
      </c>
      <c r="BB36" s="8">
        <v>1.0677147656679153E-3</v>
      </c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ht="15" customHeight="true">
      <c r="A37" t="s">
        <v>205</v>
      </c>
      <c r="B37">
        <v>2.4000000953674316</v>
      </c>
      <c r="C37">
        <v>1.1705013513565063</v>
      </c>
      <c r="D37" s="20">
        <v>1.2879109941422939E-2</v>
      </c>
      <c r="E37" s="16">
        <v>4.0493529289960861E-2</v>
      </c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 s="8">
        <v>4.5389610022539273E-5</v>
      </c>
      <c r="AA37"/>
      <c r="AB37"/>
      <c r="AC37"/>
      <c r="AD37"/>
      <c r="AE37"/>
      <c r="AF37"/>
      <c r="AG37"/>
      <c r="AH37"/>
      <c r="AI37"/>
      <c r="AJ37"/>
      <c r="AK37"/>
      <c r="AL37" s="226">
        <v>1.1760412454605103</v>
      </c>
      <c r="AM37"/>
      <c r="AN37"/>
      <c r="AO37"/>
      <c r="AP37"/>
      <c r="AQ37"/>
      <c r="AR37"/>
      <c r="AS37"/>
      <c r="AT37"/>
      <c r="AU37"/>
      <c r="AV37"/>
      <c r="AW37"/>
      <c r="AX37" s="8">
        <v>8.8485357991885394E-6</v>
      </c>
      <c r="AY37" s="8">
        <v>3.0577291909139603E-5</v>
      </c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ht="15" customHeight="true">
      <c r="A38" t="s">
        <v>206</v>
      </c>
      <c r="B38">
        <v>0.80000001192092896</v>
      </c>
      <c r="C38">
        <v>0.15999999642372131</v>
      </c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20">
        <v>4.73045464605093E-3</v>
      </c>
      <c r="W38"/>
      <c r="X38"/>
      <c r="Y38"/>
      <c r="Z38" s="8">
        <v>1.0032812861027196E-4</v>
      </c>
      <c r="AA38" s="8">
        <v>2.4310487788170576E-5</v>
      </c>
      <c r="AB38" s="18">
        <v>1.5703191980719566E-2</v>
      </c>
      <c r="AC38"/>
      <c r="AD38"/>
      <c r="AE38" s="8">
        <v>9.313915143138729E-6</v>
      </c>
      <c r="AF38" s="9">
        <v>3.0600607860833406E-3</v>
      </c>
      <c r="AG38" s="8">
        <v>9.1056995188409928E-7</v>
      </c>
      <c r="AH38" s="11">
        <v>1.6367834759876132E-3</v>
      </c>
      <c r="AI38" s="68">
        <v>9.212784469127655E-2</v>
      </c>
      <c r="AJ38"/>
      <c r="AK38" s="65">
        <v>2.6308149099349976E-2</v>
      </c>
      <c r="AL38" s="260">
        <v>0.16757316887378693</v>
      </c>
      <c r="AM38"/>
      <c r="AN38"/>
      <c r="AO38" s="261">
        <v>0.32872551679611206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ht="15" customHeight="true">
      <c r="A39" t="s">
        <v>207</v>
      </c>
      <c r="B39">
        <v>12.5</v>
      </c>
      <c r="C39">
        <v>2.5000004768371582</v>
      </c>
      <c r="D39"/>
      <c r="E39"/>
      <c r="F39"/>
      <c r="G39"/>
      <c r="H39"/>
      <c r="I39"/>
      <c r="J39"/>
      <c r="K39"/>
      <c r="L39"/>
      <c r="M39"/>
      <c r="N39" s="224">
        <v>0.71840626001358032</v>
      </c>
      <c r="O39"/>
      <c r="P39"/>
      <c r="Q39"/>
      <c r="R39" s="15">
        <v>0.15093390643596649</v>
      </c>
      <c r="S39"/>
      <c r="T39" s="9">
        <v>6.1209604144096375E-2</v>
      </c>
      <c r="U39"/>
      <c r="V39" s="13">
        <v>0.19322361052036285</v>
      </c>
      <c r="W39"/>
      <c r="X39"/>
      <c r="Y39" s="8">
        <v>2.5522764190100133E-4</v>
      </c>
      <c r="Z39" s="8">
        <v>5.8389879995957017E-4</v>
      </c>
      <c r="AA39" s="8">
        <v>9.3206595629453659E-3</v>
      </c>
      <c r="AB39" s="8">
        <v>8.3457189612090588E-4</v>
      </c>
      <c r="AC39" s="8">
        <v>3.9390283636748791E-3</v>
      </c>
      <c r="AD39"/>
      <c r="AE39"/>
      <c r="AF39" s="8">
        <v>3.6694521550089121E-3</v>
      </c>
      <c r="AG39" s="8">
        <v>1.9066573031523149E-6</v>
      </c>
      <c r="AH39" s="20">
        <v>8.3779975771903992E-2</v>
      </c>
      <c r="AI39"/>
      <c r="AJ39" s="9">
        <v>5.6691993027925491E-2</v>
      </c>
      <c r="AK39" s="11">
        <v>3.5779919475317001E-2</v>
      </c>
      <c r="AL39" s="265">
        <v>4.0812468528747559</v>
      </c>
      <c r="AM39"/>
      <c r="AN39" s="15">
        <v>0.15018805861473083</v>
      </c>
      <c r="AO39" s="19">
        <v>9.6956484019756317E-2</v>
      </c>
      <c r="AP39"/>
      <c r="AQ39" s="132">
        <v>3.1236612796783447</v>
      </c>
      <c r="AR39"/>
      <c r="AS39" s="264">
        <v>1.2293169498443604</v>
      </c>
      <c r="AT39"/>
      <c r="AU39"/>
      <c r="AV39"/>
      <c r="AW39"/>
      <c r="AX39" s="6">
        <v>7.4475088318592952E-9</v>
      </c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ht="15" customHeight="true">
      <c r="A40" t="s">
        <v>208</v>
      </c>
      <c r="B40">
        <v>2.2999999523162842</v>
      </c>
      <c r="C40">
        <v>1.0479214191436768</v>
      </c>
      <c r="D40" s="8">
        <v>1.4699478924740106E-4</v>
      </c>
      <c r="E40" s="11">
        <v>2.5978945195674896E-3</v>
      </c>
      <c r="F40"/>
      <c r="G40"/>
      <c r="H40"/>
      <c r="I40"/>
      <c r="J40"/>
      <c r="K40"/>
      <c r="L40"/>
      <c r="M40"/>
      <c r="N40"/>
      <c r="O40"/>
      <c r="P40"/>
      <c r="Q40"/>
      <c r="R40" s="15">
        <v>2.9042478650808334E-2</v>
      </c>
      <c r="S40"/>
      <c r="T40"/>
      <c r="U40"/>
      <c r="V40" s="19">
        <v>1.8870675936341286E-2</v>
      </c>
      <c r="W40"/>
      <c r="X40"/>
      <c r="Y40"/>
      <c r="Z40"/>
      <c r="AA40" s="9">
        <v>9.9945859983563423E-3</v>
      </c>
      <c r="AB40"/>
      <c r="AC40"/>
      <c r="AD40" s="55">
        <v>5.0252992659807205E-2</v>
      </c>
      <c r="AE40"/>
      <c r="AF40"/>
      <c r="AG40" s="8">
        <v>5.7677590348248486E-7</v>
      </c>
      <c r="AH40" s="8">
        <v>3.4896362194558606E-5</v>
      </c>
      <c r="AI40"/>
      <c r="AJ40"/>
      <c r="AK40" s="20">
        <v>1.3941102661192417E-2</v>
      </c>
      <c r="AL40" s="231">
        <v>0.16760601103305817</v>
      </c>
      <c r="AM40" s="19">
        <v>2.011462114751339E-2</v>
      </c>
      <c r="AN40"/>
      <c r="AO40"/>
      <c r="AP40"/>
      <c r="AQ40" s="263">
        <v>0.31883892416954041</v>
      </c>
      <c r="AR40"/>
      <c r="AS40" s="238">
        <v>0.62063688039779663</v>
      </c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ht="15" customHeight="true">
      <c r="A41" t="s">
        <v>209</v>
      </c>
      <c r="B41">
        <v>6.4000000953674316</v>
      </c>
      <c r="C41">
        <v>2.0138142108917236</v>
      </c>
      <c r="D41"/>
      <c r="E41"/>
      <c r="F41"/>
      <c r="G41"/>
      <c r="H41"/>
      <c r="I41"/>
      <c r="J41"/>
      <c r="K41"/>
      <c r="L41"/>
      <c r="M41"/>
      <c r="N41" s="61">
        <v>0.1506994217634201</v>
      </c>
      <c r="O41"/>
      <c r="P41"/>
      <c r="Q41"/>
      <c r="R41" s="13">
        <v>9.8244868218898773E-2</v>
      </c>
      <c r="S41" s="8">
        <v>1.5394333750009537E-3</v>
      </c>
      <c r="T41" s="15">
        <v>7.0872284471988678E-2</v>
      </c>
      <c r="U41" s="9">
        <v>2.5120647624135017E-2</v>
      </c>
      <c r="V41" s="24">
        <v>0.30226564407348633</v>
      </c>
      <c r="W41"/>
      <c r="X41" s="11">
        <v>1.1987501755356789E-2</v>
      </c>
      <c r="Y41" s="11">
        <v>8.7107652798295021E-3</v>
      </c>
      <c r="Z41" s="8">
        <v>3.234444186091423E-3</v>
      </c>
      <c r="AA41" s="20">
        <v>3.4308549016714096E-2</v>
      </c>
      <c r="AB41" s="8">
        <v>6.6630524815991521E-4</v>
      </c>
      <c r="AC41" s="11">
        <v>1.3707419857382774E-2</v>
      </c>
      <c r="AD41" s="20">
        <v>3.6324996501207352E-2</v>
      </c>
      <c r="AE41" s="8">
        <v>9.6591637702658772E-4</v>
      </c>
      <c r="AF41" s="15">
        <v>7.2433806955814362E-2</v>
      </c>
      <c r="AG41" s="8">
        <v>3.6834353522863239E-5</v>
      </c>
      <c r="AH41" s="19">
        <v>5.2522387355566025E-2</v>
      </c>
      <c r="AI41" s="8">
        <v>3.4108301042579114E-4</v>
      </c>
      <c r="AJ41" s="236">
        <v>0.50011652708053589</v>
      </c>
      <c r="AK41" s="66">
        <v>0.31027990579605103</v>
      </c>
      <c r="AL41" s="70">
        <v>1.2961235046386719</v>
      </c>
      <c r="AM41" s="9">
        <v>1.9078755751252174E-2</v>
      </c>
      <c r="AN41" s="19">
        <v>5.2316442131996155E-2</v>
      </c>
      <c r="AO41" s="20">
        <v>3.3877164125442505E-2</v>
      </c>
      <c r="AP41"/>
      <c r="AQ41" s="231">
        <v>0.47043415904045105</v>
      </c>
      <c r="AR41"/>
      <c r="AS41" s="69">
        <v>0.81996434926986694</v>
      </c>
      <c r="AT41"/>
      <c r="AU41" s="8">
        <v>6.8827739596599713E-7</v>
      </c>
      <c r="AV41"/>
      <c r="AW41"/>
      <c r="AX41" s="8">
        <v>1.4659120779469959E-6</v>
      </c>
      <c r="AY41" s="8">
        <v>3.9918531911098398E-6</v>
      </c>
      <c r="AZ41"/>
      <c r="BA41"/>
      <c r="BB41" s="8">
        <v>6.281284640863305E-6</v>
      </c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ht="15" customHeight="true">
      <c r="A42" t="s">
        <v>210</v>
      </c>
      <c r="B42">
        <v>5.4000000953674316</v>
      </c>
      <c r="C42">
        <v>5.3999810218811035</v>
      </c>
      <c r="D42"/>
      <c r="E42" s="8">
        <v>1.9163762772222981E-5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ht="15" customHeight="true">
      <c r="A43" t="s">
        <v>211</v>
      </c>
      <c r="B43">
        <v>5.4000000953674316</v>
      </c>
      <c r="C43">
        <v>5.4000000953674316</v>
      </c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ht="15" customHeight="true">
      <c r="A44" t="s">
        <v>212</v>
      </c>
      <c r="B44">
        <v>5.4000000953674316</v>
      </c>
      <c r="C44">
        <v>5.4000000953674316</v>
      </c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ht="15" customHeight="true">
      <c r="A45" t="s">
        <v>213</v>
      </c>
      <c r="B45">
        <v>0.19200000166893005</v>
      </c>
      <c r="C45">
        <v>0.19081278145313263</v>
      </c>
      <c r="D45"/>
      <c r="E45" s="20">
        <v>1.1872148606926203E-3</v>
      </c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ht="15" customHeight="true">
      <c r="A46" t="s">
        <v>214</v>
      </c>
      <c r="B46">
        <v>0.19200000166893005</v>
      </c>
      <c r="C46">
        <v>0.18372662365436554</v>
      </c>
      <c r="D46"/>
      <c r="E46" s="17">
        <v>8.2733789458870888E-3</v>
      </c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ht="15" customHeight="true">
      <c r="A47" t="s">
        <v>304</v>
      </c>
      <c r="B47">
        <v>0.19200000166893005</v>
      </c>
      <c r="C47">
        <v>1.8972015008330345E-2</v>
      </c>
      <c r="D47"/>
      <c r="E47" s="123">
        <v>0.17302799224853516</v>
      </c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ht="15" customHeight="true">
      <c r="A48" t="s">
        <v>215</v>
      </c>
      <c r="B48">
        <v>0.19200000166893005</v>
      </c>
      <c r="C48">
        <v>0.18424409627914429</v>
      </c>
      <c r="D48"/>
      <c r="E48" s="56">
        <v>7.7559053897857666E-3</v>
      </c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ht="15" customHeight="true">
      <c r="A49" t="s">
        <v>216</v>
      </c>
      <c r="B49">
        <v>0.10000000149011612</v>
      </c>
      <c r="C49">
        <v>9.7421571612358093E-2</v>
      </c>
      <c r="D49"/>
      <c r="E49" s="11">
        <v>1.4521040429826826E-4</v>
      </c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 s="61">
        <v>2.4332178290933371E-3</v>
      </c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ht="15" customHeight="true">
      <c r="A50" t="s">
        <v>217</v>
      </c>
      <c r="B50">
        <v>4.6999998390674591E-2</v>
      </c>
      <c r="C50">
        <v>4.3968811631202698E-2</v>
      </c>
      <c r="D50"/>
      <c r="E50" s="58">
        <v>3.0311886221170425E-3</v>
      </c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ht="15" customHeight="true">
      <c r="A51" t="s">
        <v>218</v>
      </c>
      <c r="B51">
        <v>3.7999998778104782E-2</v>
      </c>
      <c r="C51">
        <v>3.7999998778104782E-2</v>
      </c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ht="15" customHeight="true">
      <c r="A52" t="s">
        <v>72</v>
      </c>
      <c r="B52"/>
      <c r="C52">
        <v>0.87118136882781982</v>
      </c>
      <c r="D52"/>
      <c r="E52"/>
      <c r="F52"/>
      <c r="G52"/>
      <c r="H52" s="6">
        <v>37.475345611572266</v>
      </c>
      <c r="I52"/>
      <c r="J52" s="6">
        <v>270.78750610351562</v>
      </c>
      <c r="K52" s="6">
        <v>3.5566134452819824</v>
      </c>
      <c r="L52" s="6">
        <v>651.5311279296875</v>
      </c>
      <c r="M52" s="6">
        <v>9.9205020815134048E-3</v>
      </c>
      <c r="N52" s="6">
        <v>14.86591911315918</v>
      </c>
      <c r="O52"/>
      <c r="P52" s="6">
        <v>97.677330017089844</v>
      </c>
      <c r="Q52"/>
      <c r="R52" s="6">
        <v>4.1131777763366699</v>
      </c>
      <c r="S52" s="6">
        <v>47.660396575927734</v>
      </c>
      <c r="T52" s="6">
        <v>6.388801097869873</v>
      </c>
      <c r="U52" s="6">
        <v>0.99118483066558838</v>
      </c>
      <c r="V52" s="6">
        <v>41.336814880371094</v>
      </c>
      <c r="W52" s="6">
        <v>3.1229090690612793</v>
      </c>
      <c r="X52" s="6">
        <v>1.7040625810623169</v>
      </c>
      <c r="Y52" s="6">
        <v>6.306616123765707E-3</v>
      </c>
      <c r="Z52" s="6">
        <v>4.6200193464756012E-3</v>
      </c>
      <c r="AA52" s="6">
        <v>3.1222863122820854E-2</v>
      </c>
      <c r="AB52"/>
      <c r="AC52" s="6">
        <v>0.10405188053846359</v>
      </c>
      <c r="AD52" s="6">
        <v>0.78396075963973999</v>
      </c>
      <c r="AE52"/>
      <c r="AF52" s="6">
        <v>0.11449247598648071</v>
      </c>
      <c r="AG52" s="6">
        <v>2.1740195734309964E-5</v>
      </c>
      <c r="AH52" s="6">
        <v>1.678349494934082</v>
      </c>
      <c r="AI52" s="6">
        <v>0.22056373953819275</v>
      </c>
      <c r="AJ52" s="6">
        <v>62.5989990234375</v>
      </c>
      <c r="AK52" s="6">
        <v>0.68979936838150024</v>
      </c>
      <c r="AL52" s="6">
        <v>48.003135681152344</v>
      </c>
      <c r="AM52"/>
      <c r="AN52" s="6">
        <v>6.6995673179626465</v>
      </c>
      <c r="AO52" s="6">
        <v>1.4044184684753418</v>
      </c>
      <c r="AP52" s="6">
        <v>24.06916618347168</v>
      </c>
      <c r="AQ52" s="6">
        <v>44.470706939697266</v>
      </c>
      <c r="AR52" s="6">
        <v>5.5952816009521484</v>
      </c>
      <c r="AS52" s="6">
        <v>32.960670471191406</v>
      </c>
      <c r="AT52"/>
      <c r="AU52"/>
      <c r="AV52"/>
      <c r="AW52"/>
      <c r="AX52" s="6">
        <v>2.0074454369023442E-5</v>
      </c>
      <c r="AY52" s="6">
        <v>2.0340206901892088E-5</v>
      </c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ht="15" customHeight="true">
      <c r="A53" t="s">
        <v>219</v>
      </c>
      <c r="B53"/>
      <c r="C53">
        <v>0.93590766191482544</v>
      </c>
      <c r="D53"/>
      <c r="E53"/>
      <c r="F53"/>
      <c r="G53"/>
      <c r="H53"/>
      <c r="I53"/>
      <c r="J53"/>
      <c r="K53"/>
      <c r="L53"/>
      <c r="M53"/>
      <c r="N53"/>
      <c r="O53" s="6">
        <v>13.893229484558105</v>
      </c>
      <c r="P53"/>
      <c r="Q53" s="6">
        <v>5.8615961074829102</v>
      </c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 s="6">
        <v>11.804637908935547</v>
      </c>
      <c r="AK53"/>
      <c r="AL53"/>
      <c r="AM53"/>
      <c r="AN53" s="6">
        <v>0.66389727592468262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ht="15" customHeight="true">
      <c r="A54" t="s">
        <v>71</v>
      </c>
      <c r="B54"/>
      <c r="C54">
        <v>0</v>
      </c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ht="15" customHeight="true">
      <c r="A55" t="s">
        <v>73</v>
      </c>
      <c r="B55"/>
      <c r="C55">
        <v>0.30878511071205139</v>
      </c>
      <c r="D55"/>
      <c r="E55"/>
      <c r="F55"/>
      <c r="G55"/>
      <c r="H55"/>
      <c r="I55"/>
      <c r="J55" s="6">
        <v>93.375</v>
      </c>
      <c r="K55" s="6">
        <v>53.5108642578125</v>
      </c>
      <c r="L55" s="6">
        <v>802.77947998046875</v>
      </c>
      <c r="M55"/>
      <c r="N55" s="6">
        <v>25.866697311401367</v>
      </c>
      <c r="O55"/>
      <c r="P55"/>
      <c r="Q55"/>
      <c r="R55"/>
      <c r="S55"/>
      <c r="T55"/>
      <c r="U55" s="6">
        <v>0.2874581515789032</v>
      </c>
      <c r="V55"/>
      <c r="W55"/>
      <c r="X55"/>
      <c r="Y55"/>
      <c r="Z55" s="6">
        <v>4.8346412368118763E-3</v>
      </c>
      <c r="AA55" s="6">
        <v>0.21088436245918274</v>
      </c>
      <c r="AB55"/>
      <c r="AC55"/>
      <c r="AD55"/>
      <c r="AE55"/>
      <c r="AF55"/>
      <c r="AG55"/>
      <c r="AH55"/>
      <c r="AI55"/>
      <c r="AJ55"/>
      <c r="AK55"/>
      <c r="AL55" s="6">
        <v>65.786346435546875</v>
      </c>
      <c r="AM55"/>
      <c r="AN55"/>
      <c r="AO55"/>
      <c r="AP55"/>
      <c r="AQ55" s="6">
        <v>125.55216979980469</v>
      </c>
      <c r="AR55" s="6">
        <v>341.31216430664062</v>
      </c>
      <c r="AS55" s="6">
        <v>60.695293426513672</v>
      </c>
      <c r="AT55"/>
      <c r="AU55"/>
      <c r="AV55"/>
      <c r="AW55" s="6">
        <v>1.75410823430866E-4</v>
      </c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ht="15" customHeight="true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ht="15" customHeight="true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ht="15" customHeight="true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ht="15" customHeight="true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ht="15" customHeight="true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ht="15" customHeight="true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ht="15" customHeight="true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ht="15" customHeight="true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ht="15" customHeight="true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ht="15" customHeight="true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ht="15" customHeight="true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ht="15" customHeight="true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ht="15" customHeight="true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ht="15" customHeight="true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ht="15" customHeight="true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ht="15" customHeight="true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ht="15" customHeight="true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ht="15" customHeight="true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ht="15" customHeight="true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ht="15" customHeight="true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ht="15" customHeight="true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ht="15" customHeight="true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ht="15" customHeight="true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ht="15" customHeight="true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ht="15" customHeight="true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ht="15" customHeight="true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ht="15" customHeight="true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ht="15" customHeight="true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ht="15" customHeight="true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ht="15" customHeight="true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ht="15" customHeight="true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ht="15" customHeight="true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ht="15" customHeight="true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ht="15" customHeight="true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ht="15" customHeight="true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ht="15" customHeight="true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ht="15" customHeight="true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ht="15" customHeight="true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ht="15" customHeight="true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ht="15" customHeight="true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ht="15" customHeight="true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ht="15" customHeight="true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ht="15" customHeight="true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ht="15" customHeight="true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ht="15" customHeight="true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ht="15" customHeight="true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ht="15" customHeight="true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ht="15" customHeight="true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ht="15" customHeight="true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ht="15" customHeight="true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ht="15" customHeight="true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ht="15" customHeight="true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ht="15" customHeight="true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ht="15" customHeight="true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ht="15" customHeight="true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ht="15" customHeight="true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ht="15" customHeight="true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ht="15" customHeight="true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ht="15" customHeight="true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ht="15" customHeight="true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ht="15" customHeight="true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ht="15" customHeight="true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ht="15" customHeight="true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ht="15" customHeight="true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ht="15" customHeight="true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ht="15" customHeight="true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ht="15" customHeight="true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ht="15" customHeight="true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ht="15" customHeight="true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ht="15" customHeight="true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ht="15" customHeight="true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ht="15" customHeight="true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ht="15" customHeight="true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ht="15" customHeight="true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ht="15" customHeight="true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ht="15" customHeight="true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ht="15" customHeight="true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ht="15" customHeight="true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ht="15" customHeight="true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ht="15" customHeight="true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ht="15" customHeight="true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ht="15" customHeight="true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ht="15" customHeight="true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ht="15" customHeight="true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ht="15" customHeight="true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ht="15" customHeight="true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ht="15" customHeight="true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ht="15" customHeight="true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ht="15" customHeight="true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ht="15" customHeight="true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ht="15" customHeight="true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ht="15" customHeight="true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ht="15" customHeight="true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ht="15" customHeight="true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ht="15" customHeight="true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ht="15" customHeight="true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ht="15" customHeight="true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ht="15" customHeight="true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ht="15" customHeight="true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ht="15" customHeight="true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ht="15" customHeight="true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ht="15" customHeight="true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ht="15" customHeight="true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ht="15" customHeight="true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ht="15" customHeight="true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ht="15" customHeight="true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ht="15" customHeight="true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ht="15" customHeight="true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ht="15" customHeight="true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ht="15" customHeight="true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ht="15" customHeight="true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ht="15" customHeight="true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ht="15" customHeight="true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ht="15" customHeight="true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ht="15" customHeight="true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ht="15" customHeight="true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ht="15" customHeight="true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ht="15" customHeight="true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ht="15" customHeight="true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ht="15" customHeight="true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ht="15" customHeight="true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ht="15" customHeight="true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ht="15" customHeight="true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ht="15" customHeight="true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ht="15" customHeight="true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ht="15" customHeight="true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ht="15" customHeight="true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ht="15" customHeight="true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ht="15" customHeight="true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ht="15" customHeight="true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ht="15" customHeight="true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ht="15" customHeight="true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ht="15" customHeight="true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ht="15" customHeight="true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ht="15" customHeight="true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ht="15" customHeight="true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ht="15" customHeight="true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ht="15" customHeight="true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ht="15" customHeight="true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ht="15" customHeight="true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ht="15" customHeight="true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ht="15" customHeight="true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ht="15" customHeight="true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ht="15" customHeight="true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ht="15" customHeight="true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ht="15" customHeight="true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ht="15" customHeight="true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ht="15" customHeight="true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ht="15" customHeight="true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ht="15" customHeight="true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ht="15" customHeight="true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ht="15" customHeight="true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ht="15" customHeight="true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ht="15" customHeight="true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ht="15" customHeight="true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ht="15" customHeight="true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ht="15" customHeight="true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ht="15" customHeight="true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ht="15" customHeight="true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ht="15" customHeight="true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ht="15" customHeight="true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ht="15" customHeight="true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ht="15" customHeight="true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ht="15" customHeight="true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ht="15" customHeight="true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ht="15" customHeight="true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ht="15" customHeight="true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ht="15" customHeight="true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ht="15" customHeight="true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ht="15" customHeight="true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ht="15" customHeight="true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ht="15" customHeight="true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ht="15" customHeight="true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ht="15" customHeight="true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ht="15" customHeight="true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ht="15" customHeight="true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ht="15" customHeight="true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ht="15" customHeight="true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ht="15" customHeight="true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ht="15" customHeight="true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ht="15" customHeight="true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ht="15" customHeight="true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ht="15" customHeight="true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ht="15" customHeight="true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ht="15" customHeight="true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ht="15" customHeight="true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ht="15" customHeight="true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ht="15" customHeight="true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ht="15" customHeight="true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ht="15" customHeight="true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ht="15" customHeight="true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ht="15" customHeight="true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ht="15" customHeight="true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ht="15" customHeight="true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ht="15" customHeight="true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ht="15" customHeight="true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ht="15" customHeight="true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ht="15" customHeight="true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ht="15" customHeight="true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ht="15" customHeight="true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ht="15" customHeight="true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ht="15" customHeight="true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ht="15" customHeight="true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ht="15" customHeight="true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ht="15" customHeight="true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ht="15" customHeight="true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ht="15" customHeight="true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ht="15" customHeight="true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ht="15" customHeight="true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ht="15" customHeight="true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ht="15" customHeight="true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ht="15" customHeight="true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ht="15" customHeight="true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ht="15" customHeight="true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ht="15" customHeight="true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ht="15" customHeight="true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ht="15" customHeight="true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ht="15" customHeight="true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ht="15" customHeight="true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ht="15" customHeight="true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ht="15" customHeight="true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ht="15" customHeight="true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ht="15" customHeight="true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ht="15" customHeight="true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ht="15" customHeight="true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ht="15" customHeight="true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ht="15" customHeight="true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ht="15" customHeight="true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ht="15" customHeight="true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ht="15" customHeight="true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ht="15" customHeight="true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ht="15" customHeight="true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ht="15" customHeight="true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ht="15" customHeight="true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ht="15" customHeight="true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ht="15" customHeight="true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ht="15" customHeight="true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ht="15" customHeight="true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ht="15" customHeight="true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ht="15" customHeight="true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ht="15" customHeight="true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ht="15" customHeight="true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ht="15" customHeight="true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ht="15" customHeight="true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ht="15" customHeight="true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ht="15" customHeight="true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ht="15" customHeight="true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ht="15" customHeight="true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ht="15" customHeight="true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ht="15" customHeight="true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ht="15" customHeight="true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ht="15" customHeight="true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ht="15" customHeight="true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ht="15" customHeight="true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ht="15" customHeight="true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ht="15" customHeight="true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ht="15" customHeight="true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ht="15" customHeight="true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ht="15" customHeight="true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ht="15" customHeight="true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ht="15" customHeight="true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ht="15" customHeight="true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ht="15" customHeight="true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ht="15" customHeight="true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ht="15" customHeight="true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ht="15" customHeight="true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ht="15" customHeight="true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ht="15" customHeight="true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ht="15" customHeight="true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ht="15" customHeight="true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ht="15" customHeight="true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ht="15" customHeight="true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ht="15" customHeight="true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ht="15" customHeight="true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ht="15" customHeight="true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ht="15" customHeight="true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ht="15" customHeight="true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ht="15" customHeight="true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ht="15" customHeight="true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ht="15" customHeight="true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ht="15" customHeight="true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ht="15" customHeight="true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ht="15" customHeight="true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ht="15" customHeight="true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ht="15" customHeight="true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ht="15" customHeight="true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ht="15" customHeight="true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ht="15" customHeight="true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ht="15" customHeight="true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ht="15" customHeight="true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ht="15" customHeight="true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ht="15" customHeight="true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ht="15" customHeight="true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ht="15" customHeight="true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ht="15" customHeight="true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ht="15" customHeight="true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ht="15" customHeight="true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ht="15" customHeight="true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ht="15" customHeight="true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ht="15" customHeight="true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ht="15" customHeight="true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ht="15" customHeight="true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ht="15" customHeight="true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ht="15" customHeight="true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ht="15" customHeight="true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ht="15" customHeight="true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ht="15" customHeight="true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ht="15" customHeight="true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ht="15" customHeight="true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ht="15" customHeight="true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ht="15" customHeight="true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ht="15" customHeight="true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ht="15" customHeight="true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ht="15" customHeight="true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ht="15" customHeight="true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ht="15" customHeight="true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ht="15" customHeight="true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ht="15" customHeight="true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ht="15" customHeight="true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ht="15" customHeight="true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ht="15" customHeight="true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ht="15" customHeight="true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ht="15" customHeight="true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ht="15" customHeight="true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ht="15" customHeight="true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ht="15" customHeight="true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ht="15" customHeight="true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ht="15" customHeight="true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ht="15" customHeight="true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ht="15" customHeight="true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ht="15" customHeight="true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ht="15" customHeight="true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ht="15" customHeight="true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ht="15" customHeight="true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ht="15" customHeight="true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ht="15" customHeight="true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ht="15" customHeight="true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ht="15" customHeight="true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ht="15" customHeight="true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ht="15" customHeight="true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ht="15" customHeight="true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ht="15" customHeight="true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ht="15" customHeight="true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ht="15" customHeight="true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ht="15" customHeight="true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ht="15" customHeight="true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ht="15" customHeight="true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ht="15" customHeight="true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ht="15" customHeight="true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ht="15" customHeight="true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ht="15" customHeight="true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ht="15" customHeight="true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ht="15" customHeight="true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ht="15" customHeight="true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ht="15" customHeight="true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ht="15" customHeight="true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ht="15" customHeight="true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ht="15" customHeight="true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ht="15" customHeight="true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ht="15" customHeight="true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ht="15" customHeight="true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ht="15" customHeight="true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ht="15" customHeight="true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ht="15" customHeight="true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ht="15" customHeight="true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ht="15" customHeight="true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ht="15" customHeight="true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ht="15" customHeight="true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ht="15" customHeight="true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ht="15" customHeight="true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ht="15" customHeight="true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ht="15" customHeight="true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ht="15" customHeight="true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ht="15" customHeight="true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ht="15" customHeight="true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ht="15" customHeight="true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ht="15" customHeight="true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ht="15" customHeight="true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ht="15" customHeight="true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ht="15" customHeight="true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ht="15" customHeight="true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ht="15" customHeight="true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ht="15" customHeight="true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ht="15" customHeight="true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ht="15" customHeight="true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ht="15" customHeight="true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ht="15" customHeight="true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ht="15" customHeight="true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ht="15" customHeight="true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ht="15" customHeight="true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ht="15" customHeight="true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ht="15" customHeight="true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ht="15" customHeight="true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ht="15" customHeight="true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ht="15" customHeight="true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ht="15" customHeight="true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ht="15" customHeight="true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ht="15" customHeight="true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ht="15" customHeight="true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ht="15" customHeight="true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ht="15" customHeight="true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ht="15" customHeight="true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ht="15" customHeight="true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ht="15" customHeight="true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ht="15" customHeight="true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ht="15" customHeight="true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ht="15" customHeight="true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ht="15" customHeight="true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ht="15" customHeight="true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ht="15" customHeight="true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ht="15" customHeight="true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ht="15" customHeight="true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ht="15" customHeight="true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ht="15" customHeight="true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ht="15" customHeight="true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ht="15" customHeight="true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ht="15" customHeight="true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ht="15" customHeight="true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ht="15" customHeight="true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ht="15" customHeight="true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ht="15" customHeight="true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ht="15" customHeight="true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ht="15" customHeight="true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ht="15" customHeight="true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ht="15" customHeight="true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ht="15" customHeight="true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ht="15" customHeight="true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ht="15" customHeight="true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ht="15" customHeight="true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ht="15" customHeight="true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ht="15" customHeight="true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ht="15" customHeight="true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ht="15" customHeight="true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ht="15" customHeight="true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ht="15" customHeight="true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ht="15" customHeight="true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ht="15" customHeight="true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ht="15" customHeight="true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ht="15" customHeight="true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ht="15" customHeight="true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ht="15" customHeight="true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ht="15" customHeight="true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ht="15" customHeight="true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ht="15" customHeight="true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ht="15" customHeight="true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62"/>
  <sheetViews>
    <sheetView topLeftCell="A21" workbookViewId="0">
      <selection activeCell="H50" sqref="H50"/>
    </sheetView>
  </sheetViews>
  <sheetFormatPr baseColWidth="10" defaultRowHeight="13"/>
  <cols>
    <col min="1" max="1" width="33.6640625" bestFit="true" customWidth="true"/>
    <col min="2" max="2" width="5.85546875" customWidth="true"/>
    <col min="3" max="3" width="9" style="3" customWidth="true"/>
    <col min="4" max="4" width="31" bestFit="true" customWidth="true"/>
    <col min="5" max="5" width="13.83203125" bestFit="true" customWidth="true"/>
    <col min="6" max="6" width="5.85546875" customWidth="true"/>
    <col min="7" max="7" width="15.33203125" bestFit="true" customWidth="true"/>
    <col min="8" max="8" width="31" bestFit="true" customWidth="true"/>
    <col min="10" max="10" width="18" bestFit="true" customWidth="true"/>
    <col min="11" max="11" width="14" bestFit="true" customWidth="true"/>
    <col min="15" max="15" width="14.33203125" bestFit="true" customWidth="true"/>
    <col min="16" max="16" width="39.83203125" bestFit="true" customWidth="true"/>
  </cols>
  <sheetData>
    <row r="1" s="1" customFormat="true" ht="14" thickBot="true">
      <c r="C1" s="48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54" t="s">
        <v>169</v>
      </c>
    </row>
    <row r="2">
      <c r="A2" s="1" t="s">
        <v>37</v>
      </c>
      <c r="B2" s="34">
        <v>3</v>
      </c>
      <c r="C2" s="32"/>
      <c r="D2" t="s">
        <v>38</v>
      </c>
      <c r="E2">
        <v>1</v>
      </c>
      <c r="F2">
        <v>1</v>
      </c>
      <c r="G2">
        <v>1</v>
      </c>
      <c r="H2" t="s">
        <v>38</v>
      </c>
      <c r="J2" s="49"/>
      <c r="K2" s="74"/>
      <c r="L2" s="54" t="s">
        <v>170</v>
      </c>
    </row>
    <row r="3" ht="14" thickBot="true">
      <c r="A3" s="1" t="s">
        <v>39</v>
      </c>
      <c r="B3" s="35">
        <v>0</v>
      </c>
      <c r="C3" s="32"/>
      <c r="D3" t="s">
        <v>40</v>
      </c>
      <c r="E3">
        <f>E2+1</f>
        <v>2</v>
      </c>
      <c r="F3">
        <v>1.1000000000000001</v>
      </c>
      <c r="G3">
        <f>G2+1</f>
        <v>2</v>
      </c>
      <c r="H3" t="s">
        <v>40</v>
      </c>
      <c r="J3" s="50"/>
      <c r="K3" s="51"/>
    </row>
    <row r="4">
      <c r="D4" t="s">
        <v>41</v>
      </c>
      <c r="E4">
        <f t="shared" ref="E4:G19" si="0">E3+1</f>
        <v>3</v>
      </c>
      <c r="F4">
        <v>1.2</v>
      </c>
      <c r="G4">
        <f t="shared" si="0"/>
        <v>3</v>
      </c>
      <c r="H4" t="s">
        <v>41</v>
      </c>
      <c r="J4" s="50"/>
      <c r="K4" s="51"/>
    </row>
    <row r="5">
      <c r="D5" s="136" t="s">
        <v>175</v>
      </c>
      <c r="E5">
        <f t="shared" si="0"/>
        <v>4</v>
      </c>
      <c r="F5">
        <v>2.1000000000000001</v>
      </c>
      <c r="G5">
        <f t="shared" si="0"/>
        <v>4</v>
      </c>
      <c r="H5" s="136" t="s">
        <v>175</v>
      </c>
      <c r="J5" s="50"/>
      <c r="K5" s="51"/>
    </row>
    <row r="6" ht="14" thickBot="true">
      <c r="A6" s="36" t="s">
        <v>121</v>
      </c>
      <c r="D6" t="s">
        <v>176</v>
      </c>
      <c r="E6">
        <f t="shared" si="0"/>
        <v>5</v>
      </c>
      <c r="F6">
        <v>2.2200000000000002</v>
      </c>
      <c r="G6">
        <f t="shared" si="0"/>
        <v>5</v>
      </c>
      <c r="H6" t="s">
        <v>176</v>
      </c>
      <c r="J6" s="50"/>
      <c r="K6" s="51"/>
    </row>
    <row r="7">
      <c r="A7" s="31" t="s">
        <v>126</v>
      </c>
      <c r="B7" s="38">
        <v>1</v>
      </c>
      <c r="C7" s="33"/>
      <c r="D7" s="137" t="s">
        <v>177</v>
      </c>
      <c r="E7">
        <f t="shared" si="0"/>
        <v>6</v>
      </c>
      <c r="F7">
        <v>3.1110000000000002</v>
      </c>
      <c r="G7">
        <f t="shared" si="0"/>
        <v>6</v>
      </c>
      <c r="H7" s="137" t="s">
        <v>177</v>
      </c>
      <c r="J7" s="50"/>
      <c r="K7" s="51"/>
    </row>
    <row r="8">
      <c r="A8" s="31" t="s">
        <v>38</v>
      </c>
      <c r="B8" s="39">
        <v>1</v>
      </c>
      <c r="C8" s="33"/>
      <c r="D8" s="137" t="s">
        <v>220</v>
      </c>
      <c r="E8">
        <f t="shared" si="0"/>
        <v>7</v>
      </c>
      <c r="F8">
        <v>3.1099999999999999</v>
      </c>
      <c r="G8">
        <f t="shared" si="0"/>
        <v>7</v>
      </c>
      <c r="H8" s="137" t="s">
        <v>220</v>
      </c>
      <c r="J8" s="50"/>
      <c r="K8" s="51"/>
    </row>
    <row r="9">
      <c r="A9" s="31" t="s">
        <v>40</v>
      </c>
      <c r="B9" s="39">
        <v>1.1000000000000001</v>
      </c>
      <c r="C9" s="33"/>
      <c r="D9" s="137" t="s">
        <v>221</v>
      </c>
      <c r="E9">
        <f t="shared" si="0"/>
        <v>8</v>
      </c>
      <c r="F9">
        <v>3.1099999999999999</v>
      </c>
      <c r="G9">
        <f t="shared" si="0"/>
        <v>8</v>
      </c>
      <c r="H9" s="137" t="s">
        <v>221</v>
      </c>
      <c r="J9" s="50"/>
      <c r="K9" s="51"/>
    </row>
    <row r="10">
      <c r="A10" s="31" t="s">
        <v>41</v>
      </c>
      <c r="B10" s="39">
        <v>1.2</v>
      </c>
      <c r="C10" s="33"/>
      <c r="D10" t="s">
        <v>178</v>
      </c>
      <c r="E10">
        <f t="shared" si="0"/>
        <v>9</v>
      </c>
      <c r="F10">
        <v>3.1200000000000001</v>
      </c>
      <c r="G10">
        <f t="shared" si="0"/>
        <v>9</v>
      </c>
      <c r="H10" t="s">
        <v>178</v>
      </c>
      <c r="J10" s="50"/>
      <c r="K10" s="51"/>
    </row>
    <row r="11" ht="16" customHeight="true">
      <c r="A11" s="37" t="s">
        <v>127</v>
      </c>
      <c r="B11" s="39">
        <v>2</v>
      </c>
      <c r="C11" s="33"/>
      <c r="D11" s="137" t="s">
        <v>222</v>
      </c>
      <c r="E11">
        <f t="shared" si="0"/>
        <v>10</v>
      </c>
      <c r="F11">
        <v>3.1099999999999999</v>
      </c>
      <c r="G11">
        <f t="shared" si="0"/>
        <v>10</v>
      </c>
      <c r="H11" s="137" t="s">
        <v>222</v>
      </c>
      <c r="J11" s="50"/>
      <c r="K11" s="51"/>
    </row>
    <row r="12">
      <c r="A12" s="31" t="s">
        <v>42</v>
      </c>
      <c r="B12" s="39">
        <v>2.1200000000000001</v>
      </c>
      <c r="C12" s="33"/>
      <c r="D12" t="s">
        <v>179</v>
      </c>
      <c r="E12">
        <f t="shared" si="0"/>
        <v>11</v>
      </c>
      <c r="F12">
        <v>3.1099999999999999</v>
      </c>
      <c r="G12">
        <f t="shared" si="0"/>
        <v>11</v>
      </c>
      <c r="H12" t="s">
        <v>179</v>
      </c>
      <c r="J12" s="50"/>
      <c r="K12" s="51"/>
    </row>
    <row r="13">
      <c r="A13" s="31" t="s">
        <v>43</v>
      </c>
      <c r="B13" s="39">
        <v>2.1099999999999999</v>
      </c>
      <c r="C13" s="33"/>
      <c r="D13" t="s">
        <v>180</v>
      </c>
      <c r="E13">
        <f t="shared" si="0"/>
        <v>12</v>
      </c>
      <c r="F13">
        <v>3.1200000000000001</v>
      </c>
      <c r="G13">
        <f t="shared" si="0"/>
        <v>12</v>
      </c>
      <c r="H13" t="s">
        <v>180</v>
      </c>
      <c r="J13" s="50"/>
      <c r="K13" s="51"/>
    </row>
    <row r="14">
      <c r="A14" s="31" t="s">
        <v>68</v>
      </c>
      <c r="B14" s="39">
        <v>2.2200000000000002</v>
      </c>
      <c r="C14" s="33"/>
      <c r="D14" s="137" t="s">
        <v>223</v>
      </c>
      <c r="E14">
        <f t="shared" si="0"/>
        <v>13</v>
      </c>
      <c r="F14">
        <v>3.1099999999999999</v>
      </c>
      <c r="G14">
        <f t="shared" si="0"/>
        <v>13</v>
      </c>
      <c r="H14" s="137" t="s">
        <v>223</v>
      </c>
      <c r="J14" s="50"/>
      <c r="K14" s="51"/>
    </row>
    <row r="15">
      <c r="A15" s="37" t="s">
        <v>128</v>
      </c>
      <c r="B15" s="39">
        <v>3</v>
      </c>
      <c r="C15" s="33"/>
      <c r="D15" t="s">
        <v>181</v>
      </c>
      <c r="E15">
        <f t="shared" si="0"/>
        <v>14</v>
      </c>
      <c r="F15">
        <v>3.1099999999999999</v>
      </c>
      <c r="G15">
        <f t="shared" si="0"/>
        <v>14</v>
      </c>
      <c r="H15" t="s">
        <v>181</v>
      </c>
      <c r="J15" s="50"/>
      <c r="K15" s="51"/>
    </row>
    <row r="16">
      <c r="A16" s="31" t="s">
        <v>63</v>
      </c>
      <c r="B16" s="39">
        <v>3.1099999999999999</v>
      </c>
      <c r="C16" s="33"/>
      <c r="D16" s="137" t="s">
        <v>224</v>
      </c>
      <c r="E16">
        <f t="shared" si="0"/>
        <v>15</v>
      </c>
      <c r="F16">
        <v>3.1099999999999999</v>
      </c>
      <c r="G16">
        <f t="shared" si="0"/>
        <v>15</v>
      </c>
      <c r="H16" s="137" t="s">
        <v>224</v>
      </c>
      <c r="J16" s="50"/>
      <c r="K16" s="51"/>
    </row>
    <row r="17">
      <c r="A17" s="31" t="s">
        <v>62</v>
      </c>
      <c r="B17" s="39">
        <v>3.1400000000000001</v>
      </c>
      <c r="C17" s="33"/>
      <c r="D17" t="s">
        <v>182</v>
      </c>
      <c r="E17">
        <f t="shared" si="0"/>
        <v>16</v>
      </c>
      <c r="F17">
        <v>3.1400000000000001</v>
      </c>
      <c r="G17">
        <f t="shared" si="0"/>
        <v>16</v>
      </c>
      <c r="H17" t="s">
        <v>182</v>
      </c>
      <c r="J17" s="50"/>
      <c r="K17" s="51"/>
    </row>
    <row r="18">
      <c r="A18" s="31" t="s">
        <v>69</v>
      </c>
      <c r="B18" s="39">
        <v>3.1600000000000001</v>
      </c>
      <c r="C18" s="33"/>
      <c r="D18" t="s">
        <v>183</v>
      </c>
      <c r="E18">
        <f t="shared" si="0"/>
        <v>17</v>
      </c>
      <c r="F18">
        <v>3.1400000000000001</v>
      </c>
      <c r="G18">
        <f t="shared" si="0"/>
        <v>17</v>
      </c>
      <c r="H18" t="s">
        <v>183</v>
      </c>
      <c r="J18" s="50"/>
      <c r="K18" s="51"/>
    </row>
    <row r="19">
      <c r="A19" s="31" t="s">
        <v>67</v>
      </c>
      <c r="B19" s="39">
        <v>3.21</v>
      </c>
      <c r="C19" s="33"/>
      <c r="D19" t="s">
        <v>184</v>
      </c>
      <c r="E19">
        <f t="shared" si="0"/>
        <v>18</v>
      </c>
      <c r="F19">
        <v>3.2400000000000002</v>
      </c>
      <c r="G19">
        <f t="shared" si="0"/>
        <v>18</v>
      </c>
      <c r="H19" t="s">
        <v>184</v>
      </c>
      <c r="J19" s="50"/>
      <c r="K19" s="51"/>
    </row>
    <row r="20">
      <c r="A20" s="31" t="s">
        <v>64</v>
      </c>
      <c r="B20" s="39">
        <v>3.2400000000000002</v>
      </c>
      <c r="C20" s="33"/>
      <c r="D20" t="s">
        <v>185</v>
      </c>
      <c r="E20">
        <f t="shared" ref="E20:G35" si="1">E19+1</f>
        <v>19</v>
      </c>
      <c r="F20">
        <v>3.2400000000000002</v>
      </c>
      <c r="G20">
        <f t="shared" si="1"/>
        <v>19</v>
      </c>
      <c r="H20" t="s">
        <v>185</v>
      </c>
      <c r="J20" s="50"/>
      <c r="K20" s="51"/>
    </row>
    <row r="21" ht="14" thickBot="true">
      <c r="A21" s="31" t="s">
        <v>70</v>
      </c>
      <c r="B21" s="39">
        <v>3.2599999999999998</v>
      </c>
      <c r="C21" s="33"/>
      <c r="D21" t="s">
        <v>186</v>
      </c>
      <c r="E21">
        <f t="shared" si="1"/>
        <v>20</v>
      </c>
      <c r="F21">
        <v>3.1400000000000001</v>
      </c>
      <c r="G21">
        <f t="shared" si="1"/>
        <v>20</v>
      </c>
      <c r="H21" t="s">
        <v>186</v>
      </c>
      <c r="J21" s="52"/>
      <c r="K21" s="53"/>
      <c r="L21" s="54" t="s">
        <v>151</v>
      </c>
    </row>
    <row r="22">
      <c r="A22" s="31" t="s">
        <v>65</v>
      </c>
      <c r="B22" s="39">
        <v>8</v>
      </c>
      <c r="C22" s="33"/>
      <c r="D22" t="s">
        <v>187</v>
      </c>
      <c r="E22">
        <f t="shared" si="1"/>
        <v>21</v>
      </c>
      <c r="F22">
        <v>3.1400000000000001</v>
      </c>
      <c r="G22">
        <f t="shared" si="1"/>
        <v>21</v>
      </c>
      <c r="H22" t="s">
        <v>187</v>
      </c>
    </row>
    <row r="23">
      <c r="A23" s="31" t="s">
        <v>129</v>
      </c>
      <c r="B23" s="39">
        <v>4</v>
      </c>
      <c r="C23" s="33"/>
      <c r="D23" t="s">
        <v>188</v>
      </c>
      <c r="E23">
        <f t="shared" si="1"/>
        <v>22</v>
      </c>
      <c r="F23">
        <v>3.1400000000000001</v>
      </c>
      <c r="G23">
        <f t="shared" si="1"/>
        <v>22</v>
      </c>
      <c r="H23" t="s">
        <v>188</v>
      </c>
    </row>
    <row r="24">
      <c r="A24" s="31" t="s">
        <v>122</v>
      </c>
      <c r="B24" s="39">
        <v>4.0999999999999996</v>
      </c>
      <c r="C24" s="33"/>
      <c r="D24" t="s">
        <v>189</v>
      </c>
      <c r="E24">
        <f t="shared" si="1"/>
        <v>23</v>
      </c>
      <c r="F24">
        <v>3.2400000000000002</v>
      </c>
      <c r="G24">
        <f t="shared" si="1"/>
        <v>23</v>
      </c>
      <c r="H24" t="s">
        <v>189</v>
      </c>
    </row>
    <row r="25">
      <c r="A25" s="31" t="s">
        <v>71</v>
      </c>
      <c r="B25" s="39">
        <v>4.2000000000000002</v>
      </c>
      <c r="C25" s="33"/>
      <c r="D25" t="s">
        <v>190</v>
      </c>
      <c r="E25">
        <f t="shared" si="1"/>
        <v>24</v>
      </c>
      <c r="F25">
        <v>3.2400000000000002</v>
      </c>
      <c r="G25">
        <f t="shared" si="1"/>
        <v>24</v>
      </c>
      <c r="H25" t="s">
        <v>190</v>
      </c>
    </row>
    <row r="26">
      <c r="A26" s="31" t="s">
        <v>123</v>
      </c>
      <c r="B26" s="39">
        <v>4.2999999999999998</v>
      </c>
      <c r="C26" s="33"/>
      <c r="D26" t="s">
        <v>191</v>
      </c>
      <c r="E26">
        <f t="shared" si="1"/>
        <v>25</v>
      </c>
      <c r="F26">
        <v>3.2400000000000002</v>
      </c>
      <c r="G26">
        <f t="shared" si="1"/>
        <v>25</v>
      </c>
      <c r="H26" t="s">
        <v>191</v>
      </c>
    </row>
    <row r="27">
      <c r="A27" s="31" t="s">
        <v>125</v>
      </c>
      <c r="B27" s="39">
        <v>6.0999999999999996</v>
      </c>
      <c r="D27" t="s">
        <v>192</v>
      </c>
      <c r="E27">
        <f t="shared" si="1"/>
        <v>26</v>
      </c>
      <c r="F27">
        <v>3.1400000000000001</v>
      </c>
      <c r="G27">
        <f t="shared" si="1"/>
        <v>26</v>
      </c>
      <c r="H27" t="s">
        <v>192</v>
      </c>
    </row>
    <row r="28">
      <c r="A28" s="31" t="s">
        <v>124</v>
      </c>
      <c r="B28" s="39">
        <v>6.2000000000000002</v>
      </c>
      <c r="D28" s="137" t="s">
        <v>225</v>
      </c>
      <c r="E28">
        <f t="shared" si="1"/>
        <v>27</v>
      </c>
      <c r="F28">
        <v>3.2400000000000002</v>
      </c>
      <c r="G28">
        <f t="shared" si="1"/>
        <v>27</v>
      </c>
      <c r="H28" s="137" t="s">
        <v>225</v>
      </c>
    </row>
    <row r="29">
      <c r="A29" s="31" t="s">
        <v>44</v>
      </c>
      <c r="B29" s="39">
        <v>5</v>
      </c>
      <c r="D29" s="137" t="s">
        <v>226</v>
      </c>
      <c r="E29">
        <f t="shared" si="1"/>
        <v>28</v>
      </c>
      <c r="F29">
        <v>3.2400000000000002</v>
      </c>
      <c r="G29">
        <f t="shared" si="1"/>
        <v>28</v>
      </c>
      <c r="H29" s="137" t="s">
        <v>226</v>
      </c>
    </row>
    <row r="30">
      <c r="A30" s="31" t="s">
        <v>74</v>
      </c>
      <c r="B30" s="39">
        <v>7</v>
      </c>
      <c r="D30" s="137" t="s">
        <v>227</v>
      </c>
      <c r="E30">
        <f t="shared" si="1"/>
        <v>29</v>
      </c>
      <c r="F30">
        <v>3.1400000000000001</v>
      </c>
      <c r="G30">
        <f t="shared" si="1"/>
        <v>29</v>
      </c>
      <c r="H30" s="137" t="s">
        <v>227</v>
      </c>
    </row>
    <row r="31" ht="16" customHeight="true">
      <c r="A31" s="31" t="s">
        <v>173</v>
      </c>
      <c r="B31" s="39">
        <v>3.1110000000000002</v>
      </c>
      <c r="D31" s="137" t="s">
        <v>228</v>
      </c>
      <c r="E31">
        <f t="shared" si="1"/>
        <v>30</v>
      </c>
      <c r="F31">
        <v>3.1400000000000001</v>
      </c>
      <c r="G31">
        <f t="shared" si="1"/>
        <v>30</v>
      </c>
      <c r="H31" s="137" t="s">
        <v>228</v>
      </c>
    </row>
    <row r="32" ht="16" customHeight="true" thickBot="true">
      <c r="A32" s="37" t="s">
        <v>174</v>
      </c>
      <c r="B32" s="40">
        <v>9</v>
      </c>
      <c r="D32" t="s">
        <v>197</v>
      </c>
      <c r="E32">
        <f t="shared" si="1"/>
        <v>31</v>
      </c>
      <c r="F32">
        <v>3.1400000000000001</v>
      </c>
      <c r="G32">
        <f t="shared" si="1"/>
        <v>31</v>
      </c>
      <c r="H32" t="s">
        <v>197</v>
      </c>
    </row>
    <row r="33" ht="16" customHeight="true">
      <c r="D33" t="s">
        <v>198</v>
      </c>
      <c r="E33">
        <f t="shared" si="1"/>
        <v>32</v>
      </c>
      <c r="F33">
        <v>3.2400000000000002</v>
      </c>
      <c r="G33">
        <f t="shared" si="1"/>
        <v>32</v>
      </c>
      <c r="H33" t="s">
        <v>198</v>
      </c>
    </row>
    <row r="34" ht="16" customHeight="true">
      <c r="D34" t="s">
        <v>199</v>
      </c>
      <c r="E34">
        <f t="shared" si="1"/>
        <v>33</v>
      </c>
      <c r="F34">
        <v>3.2400000000000002</v>
      </c>
      <c r="G34">
        <f t="shared" si="1"/>
        <v>33</v>
      </c>
      <c r="H34" t="s">
        <v>199</v>
      </c>
    </row>
    <row r="35" ht="16" customHeight="true">
      <c r="D35" s="137" t="s">
        <v>229</v>
      </c>
      <c r="E35">
        <f t="shared" si="1"/>
        <v>34</v>
      </c>
      <c r="F35">
        <v>3.1400000000000001</v>
      </c>
      <c r="G35">
        <f t="shared" si="1"/>
        <v>34</v>
      </c>
      <c r="H35" s="137" t="s">
        <v>229</v>
      </c>
    </row>
    <row r="36" ht="16" customHeight="true">
      <c r="D36" s="137" t="s">
        <v>230</v>
      </c>
      <c r="E36">
        <f t="shared" ref="E36:G51" si="2">E35+1</f>
        <v>35</v>
      </c>
      <c r="F36">
        <v>3.1000000000000001</v>
      </c>
      <c r="G36">
        <f t="shared" si="2"/>
        <v>35</v>
      </c>
      <c r="H36" s="137" t="s">
        <v>230</v>
      </c>
    </row>
    <row r="37" ht="16" customHeight="true">
      <c r="D37" s="137" t="s">
        <v>231</v>
      </c>
      <c r="E37">
        <f t="shared" si="2"/>
        <v>36</v>
      </c>
      <c r="F37">
        <v>3.2400000000000002</v>
      </c>
      <c r="G37">
        <f t="shared" si="2"/>
        <v>36</v>
      </c>
      <c r="H37" s="137" t="s">
        <v>231</v>
      </c>
    </row>
    <row r="38">
      <c r="D38" s="137" t="s">
        <v>232</v>
      </c>
      <c r="E38">
        <f t="shared" si="2"/>
        <v>37</v>
      </c>
      <c r="F38">
        <v>3.2400000000000002</v>
      </c>
      <c r="G38">
        <f t="shared" si="2"/>
        <v>37</v>
      </c>
      <c r="H38" s="137" t="s">
        <v>232</v>
      </c>
    </row>
    <row r="39">
      <c r="D39" s="137" t="s">
        <v>233</v>
      </c>
      <c r="E39">
        <f t="shared" si="2"/>
        <v>38</v>
      </c>
      <c r="F39">
        <v>3.1299999999999999</v>
      </c>
      <c r="G39">
        <f t="shared" si="2"/>
        <v>38</v>
      </c>
      <c r="H39" s="137" t="s">
        <v>233</v>
      </c>
    </row>
    <row r="40">
      <c r="D40" t="s">
        <v>205</v>
      </c>
      <c r="E40">
        <f t="shared" si="2"/>
        <v>39</v>
      </c>
      <c r="F40">
        <v>3.21</v>
      </c>
      <c r="G40">
        <f t="shared" si="2"/>
        <v>39</v>
      </c>
      <c r="H40" t="s">
        <v>205</v>
      </c>
    </row>
    <row r="41">
      <c r="D41" t="s">
        <v>206</v>
      </c>
      <c r="E41">
        <f t="shared" si="2"/>
        <v>40</v>
      </c>
      <c r="F41">
        <v>3.21</v>
      </c>
      <c r="G41">
        <f t="shared" si="2"/>
        <v>40</v>
      </c>
      <c r="H41" t="s">
        <v>206</v>
      </c>
    </row>
    <row r="42">
      <c r="D42" t="s">
        <v>207</v>
      </c>
      <c r="E42">
        <f t="shared" si="2"/>
        <v>41</v>
      </c>
      <c r="F42">
        <v>3.21</v>
      </c>
      <c r="G42">
        <f t="shared" si="2"/>
        <v>41</v>
      </c>
      <c r="H42" t="s">
        <v>207</v>
      </c>
    </row>
    <row r="43">
      <c r="D43" t="s">
        <v>208</v>
      </c>
      <c r="E43">
        <f t="shared" si="2"/>
        <v>42</v>
      </c>
      <c r="F43">
        <v>3.21</v>
      </c>
      <c r="G43">
        <f t="shared" si="2"/>
        <v>42</v>
      </c>
      <c r="H43" t="s">
        <v>208</v>
      </c>
    </row>
    <row r="44">
      <c r="D44" t="s">
        <v>209</v>
      </c>
      <c r="E44">
        <f t="shared" si="2"/>
        <v>43</v>
      </c>
      <c r="F44">
        <v>3.21</v>
      </c>
      <c r="G44">
        <f t="shared" si="2"/>
        <v>43</v>
      </c>
      <c r="H44" t="s">
        <v>209</v>
      </c>
    </row>
    <row r="45">
      <c r="D45" t="s">
        <v>210</v>
      </c>
      <c r="E45">
        <f t="shared" si="2"/>
        <v>44</v>
      </c>
      <c r="F45">
        <v>3.1600000000000001</v>
      </c>
      <c r="G45">
        <f t="shared" si="2"/>
        <v>44</v>
      </c>
      <c r="H45" t="s">
        <v>210</v>
      </c>
    </row>
    <row r="46">
      <c r="D46" t="s">
        <v>211</v>
      </c>
      <c r="E46">
        <f t="shared" si="2"/>
        <v>45</v>
      </c>
      <c r="F46">
        <v>3.1600000000000001</v>
      </c>
      <c r="G46">
        <f t="shared" si="2"/>
        <v>45</v>
      </c>
      <c r="H46" t="s">
        <v>211</v>
      </c>
    </row>
    <row r="47" ht="16" customHeight="true">
      <c r="D47" t="s">
        <v>212</v>
      </c>
      <c r="E47">
        <f t="shared" si="2"/>
        <v>46</v>
      </c>
      <c r="F47">
        <v>3.1600000000000001</v>
      </c>
      <c r="G47">
        <f t="shared" si="2"/>
        <v>46</v>
      </c>
      <c r="H47" t="s">
        <v>212</v>
      </c>
    </row>
    <row r="48" ht="16" customHeight="true">
      <c r="D48" t="s">
        <v>213</v>
      </c>
      <c r="E48">
        <f t="shared" si="2"/>
        <v>47</v>
      </c>
      <c r="F48">
        <v>3.1499999999999999</v>
      </c>
      <c r="G48">
        <f t="shared" si="2"/>
        <v>47</v>
      </c>
      <c r="H48" t="s">
        <v>213</v>
      </c>
    </row>
    <row r="49" ht="16" customHeight="true">
      <c r="D49" s="137" t="s">
        <v>214</v>
      </c>
      <c r="E49">
        <f t="shared" si="2"/>
        <v>48</v>
      </c>
      <c r="F49">
        <v>3.1499999999999999</v>
      </c>
      <c r="G49">
        <f t="shared" si="2"/>
        <v>48</v>
      </c>
      <c r="H49" t="s">
        <v>214</v>
      </c>
    </row>
    <row r="50" ht="16" customHeight="true">
      <c r="D50" s="137" t="s">
        <v>304</v>
      </c>
      <c r="E50">
        <f t="shared" si="2"/>
        <v>49</v>
      </c>
      <c r="F50">
        <v>3.1499999999999999</v>
      </c>
      <c r="G50">
        <f t="shared" si="2"/>
        <v>49</v>
      </c>
      <c r="H50" t="s">
        <v>304</v>
      </c>
    </row>
    <row r="51" ht="16" customHeight="true">
      <c r="D51" t="s">
        <v>215</v>
      </c>
      <c r="E51">
        <f t="shared" si="2"/>
        <v>50</v>
      </c>
      <c r="F51">
        <v>3.1499999999999999</v>
      </c>
      <c r="G51">
        <f t="shared" si="2"/>
        <v>50</v>
      </c>
      <c r="H51" t="s">
        <v>215</v>
      </c>
    </row>
    <row r="52" ht="16" customHeight="true">
      <c r="D52" t="s">
        <v>216</v>
      </c>
      <c r="E52">
        <f t="shared" ref="E52:G56" si="3">E51+1</f>
        <v>51</v>
      </c>
      <c r="F52">
        <v>3.1600000000000001</v>
      </c>
      <c r="G52">
        <f t="shared" si="3"/>
        <v>51</v>
      </c>
      <c r="H52" t="s">
        <v>216</v>
      </c>
    </row>
    <row r="53" ht="16" customHeight="true">
      <c r="D53" t="s">
        <v>217</v>
      </c>
      <c r="E53">
        <f t="shared" si="3"/>
        <v>52</v>
      </c>
      <c r="F53">
        <v>3.1600000000000001</v>
      </c>
      <c r="G53">
        <f t="shared" si="3"/>
        <v>52</v>
      </c>
      <c r="H53" t="s">
        <v>217</v>
      </c>
    </row>
    <row r="54" ht="16" customHeight="true">
      <c r="D54" t="s">
        <v>218</v>
      </c>
      <c r="E54">
        <f t="shared" si="3"/>
        <v>53</v>
      </c>
      <c r="F54">
        <v>3.1600000000000001</v>
      </c>
      <c r="G54">
        <f t="shared" si="3"/>
        <v>53</v>
      </c>
      <c r="H54" t="s">
        <v>218</v>
      </c>
    </row>
    <row r="55" ht="16" customHeight="true">
      <c r="D55" t="s">
        <v>72</v>
      </c>
      <c r="E55">
        <f t="shared" si="3"/>
        <v>54</v>
      </c>
      <c r="F55">
        <v>4.0999999999999996</v>
      </c>
      <c r="G55">
        <f t="shared" si="3"/>
        <v>54</v>
      </c>
      <c r="H55" t="s">
        <v>72</v>
      </c>
    </row>
    <row r="56" ht="16" customHeight="true">
      <c r="D56" t="s">
        <v>219</v>
      </c>
      <c r="E56">
        <f t="shared" si="3"/>
        <v>55</v>
      </c>
      <c r="F56">
        <v>8</v>
      </c>
      <c r="G56">
        <f t="shared" si="3"/>
        <v>55</v>
      </c>
      <c r="H56" t="s">
        <v>219</v>
      </c>
    </row>
    <row r="57" ht="16" customHeight="true">
      <c r="D57" t="s">
        <v>71</v>
      </c>
      <c r="E57">
        <f>E56+1</f>
        <v>56</v>
      </c>
      <c r="F57">
        <v>4.2000000000000002</v>
      </c>
      <c r="G57">
        <f>G56+1</f>
        <v>56</v>
      </c>
      <c r="H57" t="s">
        <v>71</v>
      </c>
    </row>
    <row r="58">
      <c r="D58" t="s">
        <v>73</v>
      </c>
      <c r="E58">
        <f>E57+1</f>
        <v>57</v>
      </c>
      <c r="F58">
        <v>4.2999999999999998</v>
      </c>
      <c r="G58">
        <f>G57+1</f>
        <v>57</v>
      </c>
      <c r="H58" t="s">
        <v>73</v>
      </c>
    </row>
    <row r="59">
      <c r="D59" s="137" t="s">
        <v>280</v>
      </c>
      <c r="E59">
        <f>E58+1</f>
        <v>58</v>
      </c>
      <c r="F59">
        <v>5</v>
      </c>
      <c r="G59">
        <f>G58+1</f>
        <v>58</v>
      </c>
      <c r="H59" s="137" t="s">
        <v>280</v>
      </c>
      <c r="I59" s="54" t="s">
        <v>300</v>
      </c>
    </row>
    <row r="60">
      <c r="D60" t="s">
        <v>281</v>
      </c>
      <c r="E60">
        <f>E59+1</f>
        <v>59</v>
      </c>
      <c r="F60">
        <v>5</v>
      </c>
      <c r="G60">
        <f>G59+1</f>
        <v>59</v>
      </c>
      <c r="H60" t="s">
        <v>281</v>
      </c>
      <c r="I60" s="54" t="s">
        <v>300</v>
      </c>
    </row>
    <row r="61">
      <c r="D61" t="s">
        <v>138</v>
      </c>
      <c r="E61">
        <f>E60+1</f>
        <v>60</v>
      </c>
      <c r="F61">
        <v>6.1</v>
      </c>
      <c r="G61">
        <f>G60+1</f>
        <v>60</v>
      </c>
      <c r="H61" t="s">
        <v>138</v>
      </c>
      <c r="I61" s="54" t="s">
        <v>154</v>
      </c>
    </row>
    <row r="62">
      <c r="D62" t="s">
        <v>45</v>
      </c>
      <c r="E62">
        <v>61</v>
      </c>
      <c r="F62">
        <v>6.2</v>
      </c>
      <c r="G62">
        <v>61</v>
      </c>
      <c r="H62" t="s">
        <v>45</v>
      </c>
      <c r="I62" s="54" t="s">
        <v>154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S188"/>
  <sheetViews>
    <sheetView zoomScale="115" workbookViewId="0">
      <pane ySplit="2" topLeftCell="A38" activePane="bottomLeft" state="frozen"/>
      <selection pane="bottomLeft" activeCell="F51" sqref="F51"/>
    </sheetView>
  </sheetViews>
  <sheetFormatPr baseColWidth="10" defaultColWidth="11.5" defaultRowHeight="15" customHeight="true"/>
  <cols>
    <col min="1" max="1" width="26.1640625" style="95" bestFit="true" customWidth="true"/>
    <col min="2" max="5" width="16.1640625" style="73" customWidth="true"/>
    <col min="6" max="6" width="22.1640625" customWidth="true"/>
    <col min="10" max="10" width="12.1640625" bestFit="true" customWidth="true"/>
    <col min="17" max="17" width="21.5" bestFit="true" customWidth="true"/>
    <col min="18" max="18" width="28.6640625" style="120" customWidth="true"/>
    <col min="20" max="16384" width="11.5" style="73"/>
  </cols>
  <sheetData>
    <row r="1" ht="15" customHeight="true" thickBot="true">
      <c r="G1" s="214" t="s">
        <v>46</v>
      </c>
      <c r="H1" s="214" t="s">
        <v>47</v>
      </c>
      <c r="I1" s="214" t="s">
        <v>120</v>
      </c>
      <c r="J1" s="214" t="s">
        <v>132</v>
      </c>
      <c r="K1" s="214" t="s">
        <v>48</v>
      </c>
      <c r="M1" s="214" t="s">
        <v>119</v>
      </c>
      <c r="O1" s="214" t="s">
        <v>49</v>
      </c>
      <c r="Q1" s="215" t="s">
        <v>50</v>
      </c>
      <c r="R1" s="216" t="s">
        <v>155</v>
      </c>
    </row>
    <row r="2" ht="15" customHeight="true">
      <c r="A2" s="96" t="s">
        <v>51</v>
      </c>
      <c r="B2" s="97">
        <v>0.5</v>
      </c>
      <c r="C2" s="95" t="s">
        <v>52</v>
      </c>
      <c r="D2" s="98"/>
      <c r="G2" s="217"/>
      <c r="H2" s="217"/>
      <c r="I2" s="217" t="s">
        <v>133</v>
      </c>
      <c r="J2" s="217" t="s">
        <v>133</v>
      </c>
      <c r="K2" s="217" t="s">
        <v>52</v>
      </c>
      <c r="L2" s="217" t="s">
        <v>53</v>
      </c>
      <c r="M2" s="217" t="s">
        <v>52</v>
      </c>
      <c r="N2" s="217" t="s">
        <v>53</v>
      </c>
      <c r="O2" s="217" t="s">
        <v>52</v>
      </c>
      <c r="P2" s="217" t="s">
        <v>53</v>
      </c>
      <c r="Q2" s="217"/>
      <c r="R2" s="33" t="s">
        <v>156</v>
      </c>
    </row>
    <row r="3" ht="15" customHeight="true" thickBot="true">
      <c r="A3" s="96" t="s">
        <v>54</v>
      </c>
      <c r="B3" s="99">
        <v>0.5</v>
      </c>
      <c r="C3" s="95" t="s">
        <v>53</v>
      </c>
      <c r="D3" s="98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218">
        <v>0</v>
      </c>
      <c r="R3" s="33">
        <v>0</v>
      </c>
    </row>
    <row r="4" ht="15" customHeight="true" thickBot="true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218">
        <v>0</v>
      </c>
      <c r="R4" s="33">
        <v>0</v>
      </c>
    </row>
    <row r="5" ht="15" customHeight="true">
      <c r="A5" s="96" t="s">
        <v>55</v>
      </c>
      <c r="B5" s="100">
        <v>0.5</v>
      </c>
      <c r="C5" s="95" t="s">
        <v>52</v>
      </c>
      <c r="D5" s="98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218">
        <v>0</v>
      </c>
      <c r="R5" s="33">
        <v>0</v>
      </c>
    </row>
    <row r="6" ht="15" customHeight="true" thickBot="true">
      <c r="A6" s="96"/>
      <c r="B6" s="101">
        <v>0.5</v>
      </c>
      <c r="C6" s="95" t="s">
        <v>53</v>
      </c>
      <c r="D6" s="98"/>
      <c r="F6" s="136" t="s">
        <v>175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1</v>
      </c>
      <c r="O6">
        <v>1</v>
      </c>
      <c r="P6">
        <v>0</v>
      </c>
      <c r="Q6" s="218">
        <v>0</v>
      </c>
      <c r="R6" s="33">
        <v>0</v>
      </c>
    </row>
    <row r="7" ht="15" customHeight="true" thickBot="true">
      <c r="F7" t="s">
        <v>176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0.25</v>
      </c>
      <c r="N7">
        <v>0.75</v>
      </c>
      <c r="O7">
        <v>0.5</v>
      </c>
      <c r="P7">
        <f t="shared" ref="P7" si="0">1-O7</f>
        <v>0.5</v>
      </c>
      <c r="Q7" s="218">
        <v>0</v>
      </c>
      <c r="R7" s="33">
        <v>0</v>
      </c>
    </row>
    <row r="8" ht="15" customHeight="true">
      <c r="A8" s="96" t="s">
        <v>56</v>
      </c>
      <c r="B8" s="100">
        <f>E32</f>
        <v>0.63759543436032429</v>
      </c>
      <c r="C8" s="93" t="s">
        <v>175</v>
      </c>
      <c r="D8" s="98" t="s">
        <v>163</v>
      </c>
      <c r="F8" t="s">
        <v>177</v>
      </c>
      <c r="G8">
        <v>0</v>
      </c>
      <c r="H8">
        <v>0</v>
      </c>
      <c r="I8">
        <v>0</v>
      </c>
      <c r="J8">
        <v>0</v>
      </c>
      <c r="K8">
        <v>1</v>
      </c>
      <c r="L8">
        <v>0</v>
      </c>
      <c r="M8">
        <v>1</v>
      </c>
      <c r="N8">
        <v>0</v>
      </c>
      <c r="O8">
        <v>1</v>
      </c>
      <c r="P8">
        <v>0</v>
      </c>
      <c r="Q8" s="218">
        <v>0</v>
      </c>
      <c r="R8" s="33">
        <v>0</v>
      </c>
    </row>
    <row r="9" ht="15" customHeight="true">
      <c r="A9" s="102" t="s">
        <v>171</v>
      </c>
      <c r="B9" s="103">
        <f>E33</f>
        <v>0.36240456563967571</v>
      </c>
      <c r="C9" s="93" t="s">
        <v>176</v>
      </c>
      <c r="D9" s="98" t="s">
        <v>163</v>
      </c>
      <c r="F9" t="s">
        <v>220</v>
      </c>
      <c r="G9">
        <v>0</v>
      </c>
      <c r="H9">
        <v>0</v>
      </c>
      <c r="I9">
        <v>0</v>
      </c>
      <c r="J9">
        <v>0</v>
      </c>
      <c r="K9">
        <v>0</v>
      </c>
      <c r="L9">
        <v>1</v>
      </c>
      <c r="M9">
        <v>0</v>
      </c>
      <c r="N9">
        <v>1</v>
      </c>
      <c r="O9">
        <v>0.5</v>
      </c>
      <c r="P9">
        <v>0.5</v>
      </c>
      <c r="Q9" s="218">
        <v>0</v>
      </c>
      <c r="R9" s="33">
        <v>0</v>
      </c>
    </row>
    <row r="10" ht="15" customHeight="true">
      <c r="B10" s="103"/>
      <c r="C10" s="93"/>
      <c r="D10" s="98" t="s">
        <v>163</v>
      </c>
      <c r="F10" t="s">
        <v>221</v>
      </c>
      <c r="G10">
        <v>0</v>
      </c>
      <c r="H10">
        <v>0</v>
      </c>
      <c r="I10">
        <v>0</v>
      </c>
      <c r="J10">
        <v>0</v>
      </c>
      <c r="K10">
        <v>0</v>
      </c>
      <c r="L10">
        <v>1</v>
      </c>
      <c r="M10">
        <v>0</v>
      </c>
      <c r="N10">
        <v>1</v>
      </c>
      <c r="O10">
        <v>0.5</v>
      </c>
      <c r="P10">
        <v>0.5</v>
      </c>
      <c r="Q10" s="218">
        <v>0</v>
      </c>
      <c r="R10" s="33">
        <v>0</v>
      </c>
    </row>
    <row r="11" ht="15" customHeight="true">
      <c r="A11" s="96"/>
      <c r="B11" s="103"/>
      <c r="C11" s="93"/>
      <c r="D11" s="98" t="s">
        <v>163</v>
      </c>
      <c r="F11" t="s">
        <v>178</v>
      </c>
      <c r="G11">
        <v>0</v>
      </c>
      <c r="H11">
        <v>0</v>
      </c>
      <c r="I11">
        <v>0</v>
      </c>
      <c r="J11">
        <v>0</v>
      </c>
      <c r="K11">
        <v>0</v>
      </c>
      <c r="L11">
        <v>1</v>
      </c>
      <c r="M11">
        <v>0</v>
      </c>
      <c r="N11">
        <v>1</v>
      </c>
      <c r="O11">
        <v>0.5</v>
      </c>
      <c r="P11">
        <v>0.5</v>
      </c>
      <c r="Q11" s="218">
        <v>0</v>
      </c>
      <c r="R11" s="33">
        <v>0</v>
      </c>
    </row>
    <row r="12" ht="15" customHeight="true">
      <c r="B12" s="103"/>
      <c r="C12" s="104"/>
      <c r="D12" s="98" t="s">
        <v>163</v>
      </c>
      <c r="F12" t="s">
        <v>222</v>
      </c>
      <c r="G12">
        <v>0</v>
      </c>
      <c r="H12">
        <v>0</v>
      </c>
      <c r="I12">
        <v>0</v>
      </c>
      <c r="J12">
        <v>0</v>
      </c>
      <c r="K12">
        <v>0</v>
      </c>
      <c r="L12">
        <v>1</v>
      </c>
      <c r="M12">
        <v>0</v>
      </c>
      <c r="N12">
        <v>1</v>
      </c>
      <c r="O12">
        <v>0.5</v>
      </c>
      <c r="P12">
        <v>0.5</v>
      </c>
      <c r="Q12" s="218">
        <v>0</v>
      </c>
      <c r="R12" s="33">
        <v>0</v>
      </c>
    </row>
    <row r="13" ht="15" customHeight="true">
      <c r="B13" s="103"/>
      <c r="C13" s="104"/>
      <c r="D13" s="98" t="s">
        <v>163</v>
      </c>
      <c r="F13" t="s">
        <v>179</v>
      </c>
      <c r="G13">
        <v>0</v>
      </c>
      <c r="H13">
        <v>0</v>
      </c>
      <c r="I13">
        <v>0</v>
      </c>
      <c r="J13">
        <v>0</v>
      </c>
      <c r="K13">
        <v>0</v>
      </c>
      <c r="L13">
        <v>1</v>
      </c>
      <c r="M13">
        <v>0</v>
      </c>
      <c r="N13">
        <v>1</v>
      </c>
      <c r="O13">
        <v>0.5</v>
      </c>
      <c r="P13">
        <v>0.5</v>
      </c>
      <c r="Q13" s="218">
        <v>0</v>
      </c>
      <c r="R13" s="33">
        <v>0</v>
      </c>
    </row>
    <row r="14" ht="15" customHeight="true">
      <c r="B14" s="103"/>
      <c r="C14" s="105"/>
      <c r="D14" s="98" t="s">
        <v>163</v>
      </c>
      <c r="F14" t="s">
        <v>180</v>
      </c>
      <c r="G14">
        <v>0</v>
      </c>
      <c r="H14">
        <v>0</v>
      </c>
      <c r="I14">
        <v>0</v>
      </c>
      <c r="J14">
        <v>0</v>
      </c>
      <c r="K14">
        <v>0</v>
      </c>
      <c r="L14">
        <v>1</v>
      </c>
      <c r="M14">
        <v>0</v>
      </c>
      <c r="N14">
        <v>1</v>
      </c>
      <c r="O14">
        <v>0</v>
      </c>
      <c r="P14">
        <v>1</v>
      </c>
      <c r="Q14" s="218">
        <v>0</v>
      </c>
      <c r="R14" s="33">
        <v>0</v>
      </c>
    </row>
    <row r="15" ht="15" customHeight="true">
      <c r="B15" s="103"/>
      <c r="C15" s="105"/>
      <c r="D15" s="98" t="s">
        <v>163</v>
      </c>
      <c r="F15" t="s">
        <v>223</v>
      </c>
      <c r="G15">
        <v>0</v>
      </c>
      <c r="H15">
        <v>0</v>
      </c>
      <c r="I15">
        <v>0</v>
      </c>
      <c r="J15">
        <v>0</v>
      </c>
      <c r="K15">
        <v>0</v>
      </c>
      <c r="L15">
        <v>1</v>
      </c>
      <c r="M15">
        <v>0</v>
      </c>
      <c r="N15">
        <v>1</v>
      </c>
      <c r="O15" s="137">
        <v>0.5</v>
      </c>
      <c r="P15" s="137">
        <v>0.5</v>
      </c>
      <c r="Q15" s="218">
        <v>0</v>
      </c>
      <c r="R15" s="33">
        <v>0</v>
      </c>
    </row>
    <row r="16" ht="15" customHeight="true">
      <c r="B16" s="103"/>
      <c r="C16" s="105"/>
      <c r="D16" s="98" t="s">
        <v>163</v>
      </c>
      <c r="F16" t="s">
        <v>181</v>
      </c>
      <c r="G16">
        <v>0</v>
      </c>
      <c r="H16">
        <v>0</v>
      </c>
      <c r="I16">
        <v>0</v>
      </c>
      <c r="J16">
        <v>0</v>
      </c>
      <c r="K16" s="137">
        <v>0.5</v>
      </c>
      <c r="L16">
        <v>0.5</v>
      </c>
      <c r="M16">
        <v>0.5</v>
      </c>
      <c r="N16">
        <v>0.5</v>
      </c>
      <c r="O16">
        <v>0.5</v>
      </c>
      <c r="P16">
        <v>0.5</v>
      </c>
      <c r="Q16" s="218">
        <v>0</v>
      </c>
      <c r="R16" s="33">
        <v>0</v>
      </c>
    </row>
    <row r="17" ht="15" customHeight="true" thickBot="true">
      <c r="B17" s="101"/>
      <c r="C17" s="105"/>
      <c r="D17" s="98" t="s">
        <v>163</v>
      </c>
      <c r="F17" s="137" t="s">
        <v>224</v>
      </c>
      <c r="G17">
        <v>0</v>
      </c>
      <c r="H17">
        <v>0</v>
      </c>
      <c r="I17">
        <v>0</v>
      </c>
      <c r="J17">
        <v>0</v>
      </c>
      <c r="K17">
        <v>0</v>
      </c>
      <c r="L17">
        <v>1</v>
      </c>
      <c r="M17">
        <v>0</v>
      </c>
      <c r="N17">
        <v>1</v>
      </c>
      <c r="O17">
        <v>0.5</v>
      </c>
      <c r="P17">
        <v>0.5</v>
      </c>
      <c r="Q17" s="218">
        <v>0</v>
      </c>
      <c r="R17" s="33">
        <v>0</v>
      </c>
    </row>
    <row r="18" ht="15" customHeight="true" thickBot="true">
      <c r="B18" s="94"/>
      <c r="F18" t="s">
        <v>182</v>
      </c>
      <c r="G18">
        <v>0</v>
      </c>
      <c r="H18">
        <v>0</v>
      </c>
      <c r="I18">
        <v>0</v>
      </c>
      <c r="J18">
        <v>0</v>
      </c>
      <c r="K18">
        <v>0</v>
      </c>
      <c r="L18">
        <v>1</v>
      </c>
      <c r="M18">
        <v>0</v>
      </c>
      <c r="N18">
        <v>1</v>
      </c>
      <c r="O18">
        <v>1</v>
      </c>
      <c r="P18">
        <v>0</v>
      </c>
      <c r="Q18" s="218">
        <v>0</v>
      </c>
      <c r="R18" s="33">
        <v>0</v>
      </c>
    </row>
    <row r="19" ht="15" customHeight="true">
      <c r="A19" s="96" t="s">
        <v>57</v>
      </c>
      <c r="B19" s="100">
        <f>E32</f>
        <v>0.63759543436032429</v>
      </c>
      <c r="C19" s="93" t="s">
        <v>175</v>
      </c>
      <c r="D19" s="98" t="s">
        <v>163</v>
      </c>
      <c r="F19" t="s">
        <v>183</v>
      </c>
      <c r="G19">
        <v>0</v>
      </c>
      <c r="H19">
        <v>0</v>
      </c>
      <c r="I19">
        <v>0</v>
      </c>
      <c r="J19">
        <v>0</v>
      </c>
      <c r="K19">
        <v>0</v>
      </c>
      <c r="L19">
        <v>1</v>
      </c>
      <c r="M19">
        <v>0</v>
      </c>
      <c r="N19">
        <v>1</v>
      </c>
      <c r="O19">
        <v>0.75</v>
      </c>
      <c r="P19">
        <v>0.25</v>
      </c>
      <c r="Q19" s="218">
        <v>0</v>
      </c>
      <c r="R19" s="33">
        <v>0</v>
      </c>
    </row>
    <row r="20" ht="15" customHeight="true">
      <c r="A20" s="102" t="s">
        <v>171</v>
      </c>
      <c r="B20" s="103">
        <f>E33</f>
        <v>0.36240456563967571</v>
      </c>
      <c r="C20" s="93" t="s">
        <v>176</v>
      </c>
      <c r="D20" s="98" t="s">
        <v>163</v>
      </c>
      <c r="F20" t="s">
        <v>184</v>
      </c>
      <c r="G20">
        <v>0</v>
      </c>
      <c r="H20">
        <v>0</v>
      </c>
      <c r="I20">
        <v>0</v>
      </c>
      <c r="J20">
        <v>0</v>
      </c>
      <c r="K20">
        <v>0</v>
      </c>
      <c r="L20">
        <v>1</v>
      </c>
      <c r="M20">
        <v>0</v>
      </c>
      <c r="N20">
        <v>1</v>
      </c>
      <c r="O20">
        <v>0.75</v>
      </c>
      <c r="P20">
        <v>0.25</v>
      </c>
      <c r="Q20" s="218">
        <v>0</v>
      </c>
      <c r="R20" s="33">
        <v>0</v>
      </c>
    </row>
    <row r="21" ht="15" customHeight="true">
      <c r="B21" s="103"/>
      <c r="C21" s="93"/>
      <c r="D21" s="98" t="s">
        <v>163</v>
      </c>
      <c r="F21" t="s">
        <v>185</v>
      </c>
      <c r="G21">
        <v>0</v>
      </c>
      <c r="H21">
        <v>0</v>
      </c>
      <c r="I21">
        <v>0</v>
      </c>
      <c r="J21">
        <v>0</v>
      </c>
      <c r="K21">
        <v>0</v>
      </c>
      <c r="L21">
        <v>1</v>
      </c>
      <c r="M21">
        <v>0</v>
      </c>
      <c r="N21">
        <v>1</v>
      </c>
      <c r="O21">
        <v>0.1</v>
      </c>
      <c r="P21">
        <v>0.9</v>
      </c>
      <c r="Q21" s="218">
        <v>0</v>
      </c>
      <c r="R21" s="33">
        <v>0</v>
      </c>
    </row>
    <row r="22" ht="15" customHeight="true">
      <c r="A22" s="73"/>
      <c r="B22" s="103"/>
      <c r="C22" s="93"/>
      <c r="D22" s="98" t="s">
        <v>163</v>
      </c>
      <c r="F22" t="s">
        <v>186</v>
      </c>
      <c r="G22">
        <v>0</v>
      </c>
      <c r="H22">
        <v>0</v>
      </c>
      <c r="I22">
        <v>0</v>
      </c>
      <c r="J22">
        <v>0</v>
      </c>
      <c r="K22">
        <v>0</v>
      </c>
      <c r="L22">
        <v>1</v>
      </c>
      <c r="M22">
        <v>0</v>
      </c>
      <c r="N22">
        <v>1</v>
      </c>
      <c r="O22">
        <v>1</v>
      </c>
      <c r="P22">
        <v>0</v>
      </c>
      <c r="Q22" s="218">
        <v>0</v>
      </c>
      <c r="R22" s="33">
        <v>0</v>
      </c>
    </row>
    <row r="23" ht="15" customHeight="true">
      <c r="A23" s="73"/>
      <c r="B23" s="103"/>
      <c r="C23" s="104"/>
      <c r="D23" s="98" t="s">
        <v>163</v>
      </c>
      <c r="F23" t="s">
        <v>187</v>
      </c>
      <c r="G23">
        <v>0</v>
      </c>
      <c r="H23">
        <v>0</v>
      </c>
      <c r="I23">
        <v>0</v>
      </c>
      <c r="J23">
        <v>0</v>
      </c>
      <c r="K23">
        <v>0</v>
      </c>
      <c r="L23">
        <v>1</v>
      </c>
      <c r="M23">
        <v>0</v>
      </c>
      <c r="N23">
        <v>1</v>
      </c>
      <c r="O23">
        <v>1</v>
      </c>
      <c r="P23">
        <v>0</v>
      </c>
      <c r="Q23" s="218">
        <v>0</v>
      </c>
      <c r="R23" s="33">
        <v>0</v>
      </c>
    </row>
    <row r="24" ht="15" customHeight="true">
      <c r="A24" s="73"/>
      <c r="B24" s="103"/>
      <c r="C24" s="104"/>
      <c r="D24" s="98" t="s">
        <v>163</v>
      </c>
      <c r="F24" t="s">
        <v>188</v>
      </c>
      <c r="G24">
        <v>0</v>
      </c>
      <c r="H24">
        <v>0</v>
      </c>
      <c r="I24">
        <v>0</v>
      </c>
      <c r="J24">
        <v>0</v>
      </c>
      <c r="K24">
        <v>0</v>
      </c>
      <c r="L24">
        <v>1</v>
      </c>
      <c r="M24">
        <v>0</v>
      </c>
      <c r="N24">
        <v>1</v>
      </c>
      <c r="O24">
        <v>0.33</v>
      </c>
      <c r="P24">
        <v>0.67</v>
      </c>
      <c r="Q24" s="218">
        <v>0</v>
      </c>
      <c r="R24" s="33">
        <v>0</v>
      </c>
    </row>
    <row r="25" ht="15" customHeight="true">
      <c r="A25" s="73"/>
      <c r="B25" s="103"/>
      <c r="C25" s="105"/>
      <c r="D25" s="98" t="s">
        <v>163</v>
      </c>
      <c r="F25" t="s">
        <v>189</v>
      </c>
      <c r="G25">
        <v>0</v>
      </c>
      <c r="H25">
        <v>0</v>
      </c>
      <c r="I25">
        <v>0</v>
      </c>
      <c r="J25">
        <v>0</v>
      </c>
      <c r="K25">
        <v>0</v>
      </c>
      <c r="L25">
        <v>1</v>
      </c>
      <c r="M25">
        <v>0</v>
      </c>
      <c r="N25">
        <v>1</v>
      </c>
      <c r="O25">
        <v>0.33</v>
      </c>
      <c r="P25">
        <v>0.67</v>
      </c>
      <c r="Q25" s="218">
        <v>0</v>
      </c>
      <c r="R25" s="33">
        <v>0</v>
      </c>
    </row>
    <row r="26" ht="15" customHeight="true">
      <c r="B26" s="103"/>
      <c r="C26" s="105"/>
      <c r="D26" s="98" t="s">
        <v>163</v>
      </c>
      <c r="F26" t="s">
        <v>190</v>
      </c>
      <c r="G26">
        <v>0</v>
      </c>
      <c r="H26">
        <v>0</v>
      </c>
      <c r="I26">
        <v>0</v>
      </c>
      <c r="J26">
        <v>0</v>
      </c>
      <c r="K26">
        <v>0</v>
      </c>
      <c r="L26">
        <v>1</v>
      </c>
      <c r="M26">
        <v>0</v>
      </c>
      <c r="N26">
        <v>1</v>
      </c>
      <c r="O26">
        <v>0.25</v>
      </c>
      <c r="P26">
        <v>0.75</v>
      </c>
      <c r="Q26" s="218">
        <v>0</v>
      </c>
      <c r="R26" s="33">
        <v>0</v>
      </c>
    </row>
    <row r="27" ht="15" customHeight="true">
      <c r="B27" s="103"/>
      <c r="C27" s="105"/>
      <c r="D27" s="98" t="s">
        <v>163</v>
      </c>
      <c r="F27" t="s">
        <v>191</v>
      </c>
      <c r="G27">
        <v>0</v>
      </c>
      <c r="H27">
        <v>0</v>
      </c>
      <c r="I27">
        <v>0</v>
      </c>
      <c r="J27">
        <v>0</v>
      </c>
      <c r="K27">
        <v>0</v>
      </c>
      <c r="L27">
        <v>1</v>
      </c>
      <c r="M27">
        <v>0</v>
      </c>
      <c r="N27">
        <v>1</v>
      </c>
      <c r="O27">
        <v>0.25</v>
      </c>
      <c r="P27">
        <v>0.75</v>
      </c>
      <c r="Q27" s="218">
        <v>0</v>
      </c>
      <c r="R27" s="33">
        <v>0</v>
      </c>
    </row>
    <row r="28" ht="15" customHeight="true" thickBot="true">
      <c r="B28" s="101"/>
      <c r="C28" s="105"/>
      <c r="D28" s="98" t="s">
        <v>163</v>
      </c>
      <c r="F28" t="s">
        <v>192</v>
      </c>
      <c r="G28">
        <v>0</v>
      </c>
      <c r="H28">
        <v>0</v>
      </c>
      <c r="I28">
        <v>0</v>
      </c>
      <c r="J28">
        <v>0</v>
      </c>
      <c r="K28">
        <v>0</v>
      </c>
      <c r="L28">
        <v>1</v>
      </c>
      <c r="M28">
        <v>0</v>
      </c>
      <c r="N28">
        <v>1</v>
      </c>
      <c r="O28">
        <v>1</v>
      </c>
      <c r="P28">
        <v>0</v>
      </c>
      <c r="Q28" s="218">
        <v>0</v>
      </c>
      <c r="R28" s="33">
        <v>0</v>
      </c>
    </row>
    <row r="29" ht="15" customHeight="true">
      <c r="F29" t="s">
        <v>225</v>
      </c>
      <c r="G29">
        <v>0</v>
      </c>
      <c r="H29">
        <v>0</v>
      </c>
      <c r="I29">
        <v>0</v>
      </c>
      <c r="J29">
        <v>0</v>
      </c>
      <c r="K29">
        <v>0</v>
      </c>
      <c r="L29">
        <v>1</v>
      </c>
      <c r="M29">
        <v>0</v>
      </c>
      <c r="N29">
        <v>1</v>
      </c>
      <c r="O29">
        <v>0.25</v>
      </c>
      <c r="P29">
        <v>0.75</v>
      </c>
      <c r="Q29" s="218">
        <v>0</v>
      </c>
      <c r="R29" s="33">
        <v>0</v>
      </c>
    </row>
    <row r="30" ht="15" customHeight="true">
      <c r="F30" t="s">
        <v>226</v>
      </c>
      <c r="G30">
        <v>0</v>
      </c>
      <c r="H30">
        <v>0</v>
      </c>
      <c r="I30">
        <v>0</v>
      </c>
      <c r="J30">
        <v>0</v>
      </c>
      <c r="K30">
        <v>0</v>
      </c>
      <c r="L30">
        <v>1</v>
      </c>
      <c r="M30">
        <v>0</v>
      </c>
      <c r="N30">
        <v>1</v>
      </c>
      <c r="O30">
        <v>0.25</v>
      </c>
      <c r="P30">
        <v>0.75</v>
      </c>
      <c r="Q30" s="218">
        <v>0</v>
      </c>
      <c r="R30" s="33">
        <v>0</v>
      </c>
    </row>
    <row r="31" ht="15" customHeight="true">
      <c r="A31" s="106"/>
      <c r="B31" s="107" t="s">
        <v>18</v>
      </c>
      <c r="C31" s="107" t="s">
        <v>1</v>
      </c>
      <c r="D31" s="107" t="s">
        <v>164</v>
      </c>
      <c r="E31" s="108" t="s">
        <v>166</v>
      </c>
      <c r="F31" t="s">
        <v>227</v>
      </c>
      <c r="G31">
        <v>0</v>
      </c>
      <c r="H31">
        <v>0</v>
      </c>
      <c r="I31">
        <v>0</v>
      </c>
      <c r="J31">
        <v>0</v>
      </c>
      <c r="K31">
        <v>0</v>
      </c>
      <c r="L31">
        <v>1</v>
      </c>
      <c r="M31">
        <v>0</v>
      </c>
      <c r="N31">
        <v>1</v>
      </c>
      <c r="O31">
        <v>1</v>
      </c>
      <c r="P31">
        <v>0</v>
      </c>
      <c r="Q31" s="218">
        <v>0</v>
      </c>
      <c r="R31" s="33">
        <v>0</v>
      </c>
    </row>
    <row r="32" ht="15" customHeight="true">
      <c r="A32" s="77" t="str">
        <f>MainOutputs!B2</f>
        <v>phytoplankton</v>
      </c>
      <c r="B32" s="94">
        <f>MainOutputs!D2</f>
        <v>24.188064575195312</v>
      </c>
      <c r="C32" s="94">
        <f>MainOutputs!E2</f>
        <v>254.05999755859375</v>
      </c>
      <c r="D32" s="94">
        <f>B32*C32</f>
        <v>6145.2196269212291</v>
      </c>
      <c r="E32" s="109">
        <f>D32/D$42</f>
        <v>0.63759543436032429</v>
      </c>
      <c r="F32" t="s">
        <v>228</v>
      </c>
      <c r="G32">
        <v>0</v>
      </c>
      <c r="H32">
        <v>0</v>
      </c>
      <c r="I32">
        <v>0</v>
      </c>
      <c r="J32">
        <v>0</v>
      </c>
      <c r="K32">
        <v>0</v>
      </c>
      <c r="L32">
        <v>1</v>
      </c>
      <c r="M32">
        <v>0</v>
      </c>
      <c r="N32">
        <v>1</v>
      </c>
      <c r="O32">
        <v>1</v>
      </c>
      <c r="P32">
        <v>0</v>
      </c>
      <c r="Q32" s="218">
        <v>0</v>
      </c>
      <c r="R32" s="33">
        <v>0</v>
      </c>
    </row>
    <row r="33" ht="15" customHeight="true">
      <c r="A33" s="77" t="str">
        <f>MainOutputs!B3</f>
        <v>seagrass and macroalgae</v>
      </c>
      <c r="B33" s="94">
        <f>MainOutputs!D3</f>
        <v>205.3800048828125</v>
      </c>
      <c r="C33" s="94">
        <f>MainOutputs!E3</f>
        <v>17.006999969482422</v>
      </c>
      <c r="D33" s="94">
        <f t="shared" ref="D33" si="1">B33*C33</f>
        <v>3492.8977367742918</v>
      </c>
      <c r="E33" s="109">
        <f t="shared" ref="E33" si="2">D33/D$42</f>
        <v>0.36240456563967571</v>
      </c>
      <c r="F33" t="s">
        <v>197</v>
      </c>
      <c r="G33">
        <v>0</v>
      </c>
      <c r="H33">
        <v>0</v>
      </c>
      <c r="I33">
        <v>0</v>
      </c>
      <c r="J33">
        <v>0</v>
      </c>
      <c r="K33">
        <v>0</v>
      </c>
      <c r="L33">
        <v>1</v>
      </c>
      <c r="M33">
        <v>0</v>
      </c>
      <c r="N33">
        <v>1</v>
      </c>
      <c r="O33">
        <v>1</v>
      </c>
      <c r="P33">
        <v>0</v>
      </c>
      <c r="Q33" s="218">
        <v>0</v>
      </c>
      <c r="R33" s="33">
        <v>0</v>
      </c>
    </row>
    <row r="34" ht="15" customHeight="true">
      <c r="A34"/>
      <c r="B34"/>
      <c r="C34"/>
      <c r="D34"/>
      <c r="E34"/>
      <c r="F34" t="s">
        <v>198</v>
      </c>
      <c r="G34">
        <v>0</v>
      </c>
      <c r="H34">
        <v>0</v>
      </c>
      <c r="I34">
        <v>0</v>
      </c>
      <c r="J34">
        <v>0</v>
      </c>
      <c r="K34">
        <v>0</v>
      </c>
      <c r="L34">
        <v>1</v>
      </c>
      <c r="M34">
        <v>0</v>
      </c>
      <c r="N34">
        <v>1</v>
      </c>
      <c r="O34">
        <v>0.33</v>
      </c>
      <c r="P34">
        <v>0.67</v>
      </c>
      <c r="Q34" s="218">
        <v>0</v>
      </c>
      <c r="R34" s="33">
        <v>0</v>
      </c>
    </row>
    <row r="35" ht="15" customHeight="true">
      <c r="A35"/>
      <c r="B35"/>
      <c r="C35"/>
      <c r="D35"/>
      <c r="E35"/>
      <c r="F35" t="s">
        <v>199</v>
      </c>
      <c r="G35">
        <v>0</v>
      </c>
      <c r="H35">
        <v>0</v>
      </c>
      <c r="I35">
        <v>0</v>
      </c>
      <c r="J35">
        <v>0</v>
      </c>
      <c r="K35">
        <v>0</v>
      </c>
      <c r="L35">
        <v>1</v>
      </c>
      <c r="M35">
        <v>0</v>
      </c>
      <c r="N35">
        <v>1</v>
      </c>
      <c r="O35">
        <v>0.25</v>
      </c>
      <c r="P35">
        <v>0.75</v>
      </c>
      <c r="Q35" s="218">
        <v>0</v>
      </c>
      <c r="R35" s="33">
        <v>0</v>
      </c>
    </row>
    <row r="36" ht="15" customHeight="true">
      <c r="A36" s="110"/>
      <c r="B36" s="94"/>
      <c r="C36" s="94"/>
      <c r="D36" s="94"/>
      <c r="E36" s="109"/>
      <c r="F36" t="s">
        <v>229</v>
      </c>
      <c r="G36">
        <v>0</v>
      </c>
      <c r="H36">
        <v>0</v>
      </c>
      <c r="I36">
        <v>0</v>
      </c>
      <c r="J36">
        <v>0</v>
      </c>
      <c r="K36">
        <v>0</v>
      </c>
      <c r="L36">
        <v>1</v>
      </c>
      <c r="M36">
        <v>0</v>
      </c>
      <c r="N36">
        <v>1</v>
      </c>
      <c r="O36">
        <v>1</v>
      </c>
      <c r="P36">
        <v>0</v>
      </c>
      <c r="Q36" s="218">
        <v>0</v>
      </c>
      <c r="R36" s="33">
        <v>0</v>
      </c>
    </row>
    <row r="37" ht="15" customHeight="true">
      <c r="A37" s="110"/>
      <c r="B37" s="94"/>
      <c r="C37" s="94"/>
      <c r="D37" s="94"/>
      <c r="E37" s="109"/>
      <c r="F37" t="s">
        <v>230</v>
      </c>
      <c r="G37">
        <v>0</v>
      </c>
      <c r="H37">
        <v>0</v>
      </c>
      <c r="I37">
        <v>0</v>
      </c>
      <c r="J37">
        <v>0</v>
      </c>
      <c r="K37">
        <v>0</v>
      </c>
      <c r="L37">
        <v>1</v>
      </c>
      <c r="M37">
        <v>0</v>
      </c>
      <c r="N37">
        <v>1</v>
      </c>
      <c r="O37">
        <v>1</v>
      </c>
      <c r="P37">
        <v>0</v>
      </c>
      <c r="Q37" s="218">
        <v>0</v>
      </c>
      <c r="R37" s="33">
        <v>0</v>
      </c>
    </row>
    <row r="38" ht="15" customHeight="true">
      <c r="A38" s="111"/>
      <c r="B38" s="94"/>
      <c r="C38" s="94"/>
      <c r="D38" s="94"/>
      <c r="E38" s="109"/>
      <c r="F38" t="s">
        <v>231</v>
      </c>
      <c r="G38">
        <v>0</v>
      </c>
      <c r="H38">
        <v>0</v>
      </c>
      <c r="I38">
        <v>0</v>
      </c>
      <c r="J38">
        <v>0</v>
      </c>
      <c r="K38">
        <v>0</v>
      </c>
      <c r="L38">
        <v>1</v>
      </c>
      <c r="M38">
        <v>0</v>
      </c>
      <c r="N38">
        <v>1</v>
      </c>
      <c r="O38">
        <v>0.25</v>
      </c>
      <c r="P38">
        <v>0.75</v>
      </c>
      <c r="Q38" s="218">
        <v>0</v>
      </c>
      <c r="R38" s="33">
        <v>0</v>
      </c>
    </row>
    <row r="39" ht="15" customHeight="true">
      <c r="A39" s="111"/>
      <c r="B39" s="94"/>
      <c r="C39" s="94"/>
      <c r="D39" s="94"/>
      <c r="E39" s="109"/>
      <c r="F39" t="s">
        <v>232</v>
      </c>
      <c r="G39">
        <v>0</v>
      </c>
      <c r="H39">
        <v>0</v>
      </c>
      <c r="I39">
        <v>0</v>
      </c>
      <c r="J39">
        <v>0</v>
      </c>
      <c r="K39">
        <v>0</v>
      </c>
      <c r="L39">
        <v>1</v>
      </c>
      <c r="M39">
        <v>0</v>
      </c>
      <c r="N39">
        <v>1</v>
      </c>
      <c r="O39">
        <v>0.25</v>
      </c>
      <c r="P39">
        <v>0.75</v>
      </c>
      <c r="Q39" s="218">
        <v>0</v>
      </c>
      <c r="R39" s="33">
        <v>0</v>
      </c>
    </row>
    <row r="40" ht="15" customHeight="true">
      <c r="A40" s="111"/>
      <c r="B40" s="94"/>
      <c r="C40" s="94"/>
      <c r="D40" s="94"/>
      <c r="E40" s="109"/>
      <c r="F40" t="s">
        <v>233</v>
      </c>
      <c r="G40">
        <v>0</v>
      </c>
      <c r="H40">
        <v>0</v>
      </c>
      <c r="I40">
        <v>0</v>
      </c>
      <c r="J40">
        <v>0</v>
      </c>
      <c r="K40">
        <v>0</v>
      </c>
      <c r="L40">
        <v>1</v>
      </c>
      <c r="M40">
        <v>0</v>
      </c>
      <c r="N40">
        <v>1</v>
      </c>
      <c r="O40">
        <v>1</v>
      </c>
      <c r="P40">
        <v>0</v>
      </c>
      <c r="Q40" s="218">
        <v>0</v>
      </c>
      <c r="R40" s="33">
        <v>0</v>
      </c>
    </row>
    <row r="41" ht="15" customHeight="true" thickBot="true">
      <c r="A41" s="111"/>
      <c r="B41" s="94"/>
      <c r="C41" s="94"/>
      <c r="D41" s="112"/>
      <c r="E41" s="113"/>
      <c r="F41" t="s">
        <v>205</v>
      </c>
      <c r="G41">
        <v>0</v>
      </c>
      <c r="H41">
        <v>0</v>
      </c>
      <c r="I41">
        <v>0</v>
      </c>
      <c r="J41">
        <v>0</v>
      </c>
      <c r="K41">
        <v>0</v>
      </c>
      <c r="L41">
        <v>1</v>
      </c>
      <c r="M41">
        <v>0</v>
      </c>
      <c r="N41">
        <v>1</v>
      </c>
      <c r="O41">
        <v>0.25</v>
      </c>
      <c r="P41">
        <v>0.75</v>
      </c>
      <c r="Q41" s="33">
        <v>0</v>
      </c>
      <c r="R41" s="33">
        <v>0</v>
      </c>
    </row>
    <row r="42" ht="15" customHeight="true">
      <c r="A42" s="114"/>
      <c r="B42" s="115"/>
      <c r="C42" s="115" t="s">
        <v>165</v>
      </c>
      <c r="D42" s="115">
        <f>SUM(D32:D41)</f>
        <v>9638.1173636955209</v>
      </c>
      <c r="E42" s="116">
        <f>SUM(E32:E41)</f>
        <v>1</v>
      </c>
      <c r="F42" t="s">
        <v>206</v>
      </c>
      <c r="G42">
        <v>0</v>
      </c>
      <c r="H42">
        <v>0</v>
      </c>
      <c r="I42">
        <v>0</v>
      </c>
      <c r="J42">
        <v>0</v>
      </c>
      <c r="K42">
        <v>0</v>
      </c>
      <c r="L42">
        <v>1</v>
      </c>
      <c r="M42">
        <v>0</v>
      </c>
      <c r="N42">
        <v>1</v>
      </c>
      <c r="O42">
        <v>0</v>
      </c>
      <c r="P42">
        <v>1</v>
      </c>
      <c r="Q42" s="218">
        <v>0</v>
      </c>
      <c r="R42" s="33">
        <v>0</v>
      </c>
    </row>
    <row r="43" ht="15" customHeight="true">
      <c r="A43" s="73"/>
      <c r="F43" t="s">
        <v>207</v>
      </c>
      <c r="G43">
        <v>0</v>
      </c>
      <c r="H43">
        <v>0</v>
      </c>
      <c r="I43">
        <v>0</v>
      </c>
      <c r="J43">
        <v>0</v>
      </c>
      <c r="K43">
        <v>0</v>
      </c>
      <c r="L43">
        <v>1</v>
      </c>
      <c r="M43">
        <v>0</v>
      </c>
      <c r="N43">
        <v>1</v>
      </c>
      <c r="O43">
        <v>0</v>
      </c>
      <c r="P43">
        <v>1</v>
      </c>
      <c r="Q43" s="218">
        <v>0</v>
      </c>
      <c r="R43" s="33">
        <v>0</v>
      </c>
    </row>
    <row r="44" ht="15" customHeight="true">
      <c r="A44" s="73"/>
      <c r="F44" t="s">
        <v>208</v>
      </c>
      <c r="G44">
        <v>0</v>
      </c>
      <c r="H44">
        <v>0</v>
      </c>
      <c r="I44">
        <v>0</v>
      </c>
      <c r="J44">
        <v>0</v>
      </c>
      <c r="K44">
        <v>0</v>
      </c>
      <c r="L44">
        <v>1</v>
      </c>
      <c r="M44">
        <v>0</v>
      </c>
      <c r="N44">
        <v>1</v>
      </c>
      <c r="O44">
        <v>0</v>
      </c>
      <c r="P44">
        <v>1</v>
      </c>
      <c r="Q44" s="218">
        <v>0</v>
      </c>
      <c r="R44" s="33">
        <v>0</v>
      </c>
    </row>
    <row r="45" ht="15" customHeight="true">
      <c r="A45" s="73"/>
      <c r="F45" t="s">
        <v>209</v>
      </c>
      <c r="G45">
        <v>0</v>
      </c>
      <c r="H45">
        <v>0</v>
      </c>
      <c r="I45">
        <v>0</v>
      </c>
      <c r="J45">
        <v>0</v>
      </c>
      <c r="K45">
        <v>0</v>
      </c>
      <c r="L45">
        <v>1</v>
      </c>
      <c r="M45">
        <v>0</v>
      </c>
      <c r="N45">
        <v>1</v>
      </c>
      <c r="O45">
        <v>0</v>
      </c>
      <c r="P45">
        <v>1</v>
      </c>
      <c r="Q45" s="218">
        <v>0</v>
      </c>
      <c r="R45" s="33">
        <v>0</v>
      </c>
    </row>
    <row r="46" ht="15" customHeight="true">
      <c r="A46" s="73"/>
      <c r="F46" t="s">
        <v>210</v>
      </c>
      <c r="G46">
        <v>0</v>
      </c>
      <c r="H46">
        <v>0</v>
      </c>
      <c r="I46">
        <v>0</v>
      </c>
      <c r="J46">
        <v>0</v>
      </c>
      <c r="K46">
        <v>0</v>
      </c>
      <c r="L46">
        <v>1</v>
      </c>
      <c r="M46">
        <v>0</v>
      </c>
      <c r="N46">
        <v>1</v>
      </c>
      <c r="O46">
        <v>1</v>
      </c>
      <c r="P46">
        <v>0</v>
      </c>
      <c r="Q46" s="218">
        <v>0</v>
      </c>
      <c r="R46" s="33">
        <v>0</v>
      </c>
    </row>
    <row r="47" ht="15" customHeight="true">
      <c r="A47" s="73"/>
      <c r="F47" t="s">
        <v>211</v>
      </c>
      <c r="G47">
        <v>0</v>
      </c>
      <c r="H47">
        <v>0</v>
      </c>
      <c r="I47">
        <v>0</v>
      </c>
      <c r="J47">
        <v>0</v>
      </c>
      <c r="K47">
        <v>0</v>
      </c>
      <c r="L47">
        <v>1</v>
      </c>
      <c r="M47">
        <v>0</v>
      </c>
      <c r="N47">
        <v>1</v>
      </c>
      <c r="O47">
        <v>1</v>
      </c>
      <c r="P47">
        <v>0</v>
      </c>
      <c r="Q47" s="218">
        <v>0</v>
      </c>
      <c r="R47" s="33">
        <v>0</v>
      </c>
    </row>
    <row r="48" ht="15" customHeight="true">
      <c r="A48" s="73"/>
      <c r="F48" t="s">
        <v>212</v>
      </c>
      <c r="G48">
        <v>0</v>
      </c>
      <c r="H48">
        <v>0</v>
      </c>
      <c r="I48">
        <v>0</v>
      </c>
      <c r="J48">
        <v>0</v>
      </c>
      <c r="K48">
        <v>0</v>
      </c>
      <c r="L48">
        <v>1</v>
      </c>
      <c r="M48">
        <v>0</v>
      </c>
      <c r="N48">
        <v>1</v>
      </c>
      <c r="O48">
        <v>1</v>
      </c>
      <c r="P48">
        <v>0</v>
      </c>
      <c r="Q48" s="218">
        <v>0</v>
      </c>
      <c r="R48" s="33">
        <v>0</v>
      </c>
    </row>
    <row r="49" ht="15" customHeight="true">
      <c r="A49" s="73"/>
      <c r="F49" t="s">
        <v>213</v>
      </c>
      <c r="G49">
        <v>0</v>
      </c>
      <c r="H49">
        <v>0</v>
      </c>
      <c r="I49">
        <v>0</v>
      </c>
      <c r="J49">
        <v>0</v>
      </c>
      <c r="K49">
        <v>0</v>
      </c>
      <c r="L49">
        <v>1</v>
      </c>
      <c r="M49">
        <v>0</v>
      </c>
      <c r="N49">
        <v>1</v>
      </c>
      <c r="O49">
        <v>1</v>
      </c>
      <c r="P49">
        <v>0</v>
      </c>
      <c r="Q49" s="218">
        <v>0</v>
      </c>
      <c r="R49" s="33">
        <v>0</v>
      </c>
    </row>
    <row r="50" ht="15" customHeight="true">
      <c r="A50" s="73"/>
      <c r="F50" t="s">
        <v>214</v>
      </c>
      <c r="G50">
        <v>0</v>
      </c>
      <c r="H50">
        <v>0</v>
      </c>
      <c r="I50">
        <v>0</v>
      </c>
      <c r="J50">
        <v>0</v>
      </c>
      <c r="K50">
        <v>0</v>
      </c>
      <c r="L50">
        <v>1</v>
      </c>
      <c r="M50">
        <v>0</v>
      </c>
      <c r="N50">
        <v>1</v>
      </c>
      <c r="O50">
        <v>1</v>
      </c>
      <c r="P50">
        <v>0</v>
      </c>
      <c r="Q50" s="218">
        <v>0</v>
      </c>
      <c r="R50" s="33">
        <v>0</v>
      </c>
    </row>
    <row r="51" ht="15" customHeight="true">
      <c r="F51" t="s">
        <v>304</v>
      </c>
      <c r="G51">
        <v>0</v>
      </c>
      <c r="H51">
        <v>0</v>
      </c>
      <c r="I51">
        <v>0</v>
      </c>
      <c r="J51">
        <v>0</v>
      </c>
      <c r="K51">
        <v>0</v>
      </c>
      <c r="L51">
        <v>1</v>
      </c>
      <c r="M51">
        <v>0</v>
      </c>
      <c r="N51">
        <v>1</v>
      </c>
      <c r="O51">
        <v>1</v>
      </c>
      <c r="P51">
        <v>0</v>
      </c>
      <c r="Q51" s="218">
        <v>0</v>
      </c>
      <c r="R51" s="33">
        <v>0</v>
      </c>
    </row>
    <row r="52" ht="15" customHeight="true">
      <c r="F52" t="s">
        <v>215</v>
      </c>
      <c r="G52">
        <v>0</v>
      </c>
      <c r="H52">
        <v>0</v>
      </c>
      <c r="I52">
        <v>0</v>
      </c>
      <c r="J52">
        <v>0</v>
      </c>
      <c r="K52">
        <v>0</v>
      </c>
      <c r="L52">
        <v>1</v>
      </c>
      <c r="M52">
        <v>0</v>
      </c>
      <c r="N52">
        <v>1</v>
      </c>
      <c r="O52">
        <v>1</v>
      </c>
      <c r="P52">
        <v>0</v>
      </c>
      <c r="Q52" s="218">
        <v>0</v>
      </c>
      <c r="R52" s="33">
        <v>0</v>
      </c>
    </row>
    <row r="53" ht="15" customHeight="true">
      <c r="F53" t="s">
        <v>216</v>
      </c>
      <c r="G53">
        <v>0</v>
      </c>
      <c r="H53">
        <v>0</v>
      </c>
      <c r="I53">
        <v>0</v>
      </c>
      <c r="J53">
        <v>0</v>
      </c>
      <c r="K53">
        <v>1</v>
      </c>
      <c r="L53">
        <v>0</v>
      </c>
      <c r="M53">
        <v>0</v>
      </c>
      <c r="N53">
        <v>1</v>
      </c>
      <c r="O53">
        <v>1</v>
      </c>
      <c r="P53">
        <v>0</v>
      </c>
      <c r="Q53" s="218">
        <v>0</v>
      </c>
      <c r="R53" s="33">
        <v>0</v>
      </c>
    </row>
    <row r="54" ht="15" customHeight="true">
      <c r="F54" t="s">
        <v>217</v>
      </c>
      <c r="G54">
        <v>0</v>
      </c>
      <c r="H54">
        <v>0</v>
      </c>
      <c r="I54">
        <v>0</v>
      </c>
      <c r="J54">
        <v>0</v>
      </c>
      <c r="K54">
        <v>1</v>
      </c>
      <c r="L54">
        <v>0</v>
      </c>
      <c r="M54">
        <v>0</v>
      </c>
      <c r="N54">
        <v>1</v>
      </c>
      <c r="O54">
        <v>1</v>
      </c>
      <c r="P54">
        <v>0</v>
      </c>
      <c r="Q54" s="218">
        <v>0</v>
      </c>
      <c r="R54" s="33">
        <v>0</v>
      </c>
    </row>
    <row r="55" ht="15" customHeight="true">
      <c r="F55" t="s">
        <v>218</v>
      </c>
      <c r="G55">
        <v>0</v>
      </c>
      <c r="H55">
        <v>0</v>
      </c>
      <c r="I55">
        <v>0</v>
      </c>
      <c r="J55">
        <v>0</v>
      </c>
      <c r="K55">
        <v>1</v>
      </c>
      <c r="L55">
        <v>0</v>
      </c>
      <c r="M55">
        <v>0</v>
      </c>
      <c r="N55">
        <v>1</v>
      </c>
      <c r="O55">
        <v>1</v>
      </c>
      <c r="P55">
        <v>0</v>
      </c>
      <c r="Q55" s="218">
        <v>0</v>
      </c>
      <c r="R55" s="33">
        <v>0</v>
      </c>
    </row>
    <row r="56" ht="15" customHeight="true">
      <c r="F56" t="s">
        <v>72</v>
      </c>
      <c r="G56">
        <v>0</v>
      </c>
      <c r="H56">
        <v>0</v>
      </c>
      <c r="I56">
        <v>0</v>
      </c>
      <c r="J56">
        <v>0</v>
      </c>
      <c r="K56">
        <v>0</v>
      </c>
      <c r="L56">
        <v>1</v>
      </c>
      <c r="M56">
        <v>0</v>
      </c>
      <c r="N56">
        <v>1</v>
      </c>
      <c r="O56">
        <v>1</v>
      </c>
      <c r="P56">
        <v>0</v>
      </c>
      <c r="Q56" s="218">
        <v>0</v>
      </c>
      <c r="R56" s="33">
        <v>0</v>
      </c>
    </row>
    <row r="57" ht="15" customHeight="true">
      <c r="F57" t="s">
        <v>219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1</v>
      </c>
      <c r="O57">
        <v>0</v>
      </c>
      <c r="P57">
        <v>1</v>
      </c>
      <c r="Q57" s="218">
        <v>0</v>
      </c>
      <c r="R57" s="33">
        <v>0</v>
      </c>
    </row>
    <row r="58" ht="15" customHeight="true">
      <c r="F58" t="s">
        <v>71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 s="219">
        <v>0.1</v>
      </c>
      <c r="N58" s="219">
        <v>0.9</v>
      </c>
      <c r="O58" s="219">
        <v>0.1</v>
      </c>
      <c r="P58" s="219">
        <v>0.9</v>
      </c>
      <c r="Q58" s="218">
        <v>0</v>
      </c>
      <c r="R58" s="33">
        <v>0</v>
      </c>
      <c r="S58" t="s">
        <v>301</v>
      </c>
    </row>
    <row r="59" ht="15" customHeight="true">
      <c r="F59" t="s">
        <v>73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 s="219">
        <v>0</v>
      </c>
      <c r="N59" s="219">
        <v>1</v>
      </c>
      <c r="O59" s="219">
        <v>0</v>
      </c>
      <c r="P59" s="219">
        <v>1</v>
      </c>
      <c r="Q59" s="218">
        <v>0</v>
      </c>
      <c r="R59" s="33">
        <v>0</v>
      </c>
    </row>
    <row r="60" ht="15" customHeight="true">
      <c r="F60" s="137" t="s">
        <v>280</v>
      </c>
      <c r="G60">
        <v>0</v>
      </c>
      <c r="H60">
        <v>0</v>
      </c>
      <c r="I60">
        <v>0</v>
      </c>
      <c r="J60">
        <v>0</v>
      </c>
      <c r="K60">
        <v>0</v>
      </c>
      <c r="L60">
        <v>1</v>
      </c>
      <c r="M60">
        <v>0</v>
      </c>
      <c r="N60">
        <v>0</v>
      </c>
      <c r="O60">
        <v>0</v>
      </c>
      <c r="P60">
        <v>0</v>
      </c>
      <c r="Q60" s="218">
        <v>0</v>
      </c>
      <c r="R60" s="33">
        <v>0</v>
      </c>
    </row>
    <row r="61" ht="15" customHeight="true">
      <c r="F61" s="137" t="s">
        <v>281</v>
      </c>
      <c r="G61">
        <v>0</v>
      </c>
      <c r="H61">
        <v>0</v>
      </c>
      <c r="I61">
        <v>0</v>
      </c>
      <c r="J61">
        <v>0</v>
      </c>
      <c r="K61">
        <v>0</v>
      </c>
      <c r="L61">
        <v>1</v>
      </c>
      <c r="M61">
        <v>0</v>
      </c>
      <c r="N61">
        <v>0</v>
      </c>
      <c r="O61">
        <v>0</v>
      </c>
      <c r="P61">
        <v>0</v>
      </c>
      <c r="Q61" s="218">
        <v>0</v>
      </c>
      <c r="R61" s="33">
        <v>0</v>
      </c>
    </row>
    <row r="62" ht="15" customHeight="true">
      <c r="F62" t="s">
        <v>138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 s="218">
        <v>0</v>
      </c>
      <c r="R62" s="33">
        <v>0</v>
      </c>
    </row>
    <row r="63" ht="15" customHeight="true">
      <c r="F63" t="s">
        <v>45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 s="218">
        <v>0</v>
      </c>
      <c r="R63" s="33">
        <v>0</v>
      </c>
    </row>
    <row r="64" ht="15" customHeight="true">
      <c r="R64"/>
    </row>
    <row r="65" ht="15" customHeight="true">
      <c r="R65"/>
    </row>
    <row r="66" ht="15" customHeight="true">
      <c r="R66"/>
    </row>
    <row r="67" ht="15" customHeight="true">
      <c r="R67"/>
    </row>
    <row r="68" ht="15" customHeight="true">
      <c r="R68"/>
    </row>
    <row r="69" ht="15" customHeight="true">
      <c r="R69"/>
    </row>
    <row r="70" ht="15" customHeight="true">
      <c r="R70"/>
    </row>
    <row r="71" ht="15" customHeight="true">
      <c r="R71"/>
    </row>
    <row r="72" ht="15" customHeight="true">
      <c r="R72"/>
    </row>
    <row r="73" ht="15" customHeight="true">
      <c r="R73"/>
    </row>
    <row r="74" ht="15" customHeight="true">
      <c r="R74"/>
    </row>
    <row r="75" ht="15" customHeight="true">
      <c r="R75"/>
    </row>
    <row r="76" customFormat="true" ht="15" customHeight="true"/>
    <row r="77" customFormat="true" ht="15" customHeight="true"/>
    <row r="78" customFormat="true" ht="15" customHeight="true"/>
    <row r="79" customFormat="true" ht="15" customHeight="true"/>
    <row r="80" customFormat="true" ht="15" customHeight="true"/>
    <row r="81" customFormat="true" ht="15" customHeight="true"/>
    <row r="82" customFormat="true" ht="15" customHeight="true"/>
    <row r="83" customFormat="true" ht="15" customHeight="true"/>
    <row r="84" customFormat="true" ht="15" customHeight="true"/>
    <row r="85" customFormat="true" ht="15" customHeight="true"/>
    <row r="86" ht="15" customHeight="true">
      <c r="A86" s="73"/>
      <c r="R86"/>
    </row>
    <row r="87" ht="15" customHeight="true">
      <c r="A87" s="73"/>
      <c r="R87"/>
      <c r="S87" s="54"/>
    </row>
    <row r="88" ht="15" customHeight="true">
      <c r="R88"/>
    </row>
    <row r="89" ht="15" customHeight="true">
      <c r="R89"/>
    </row>
    <row r="90" ht="15" customHeight="true">
      <c r="R90"/>
    </row>
    <row r="91" ht="15" customHeight="true">
      <c r="R91"/>
    </row>
    <row r="92" ht="15" customHeight="true">
      <c r="R92"/>
    </row>
    <row r="93" ht="15" customHeight="true">
      <c r="A93" s="73"/>
      <c r="R93"/>
    </row>
    <row r="94" ht="15" customHeight="true">
      <c r="A94" s="73"/>
      <c r="R94"/>
    </row>
    <row r="95" ht="15" customHeight="true">
      <c r="A95" s="73"/>
      <c r="R95"/>
    </row>
    <row r="96" ht="15" customHeight="true">
      <c r="A96" s="73"/>
      <c r="R96"/>
    </row>
    <row r="97" ht="15" customHeight="true">
      <c r="A97" s="73"/>
      <c r="R97"/>
    </row>
    <row r="98" ht="15" customHeight="true">
      <c r="A98" s="73"/>
      <c r="R98"/>
    </row>
    <row r="99" ht="15" customHeight="true">
      <c r="A99" s="73"/>
      <c r="R99"/>
    </row>
    <row r="100" ht="15" customHeight="true">
      <c r="A100" s="73"/>
      <c r="R100"/>
    </row>
    <row r="101" ht="15" customHeight="true">
      <c r="A101" s="73"/>
      <c r="R101"/>
    </row>
    <row r="102" ht="15" customHeight="true">
      <c r="A102" s="73"/>
      <c r="R102"/>
    </row>
    <row r="103" ht="15" customHeight="true">
      <c r="A103" s="73"/>
      <c r="R103"/>
    </row>
    <row r="104" ht="15" customHeight="true">
      <c r="A104" s="73"/>
      <c r="R104"/>
    </row>
    <row r="105" ht="15" customHeight="true">
      <c r="A105" s="73"/>
      <c r="R105"/>
    </row>
    <row r="106" ht="15" customHeight="true">
      <c r="R106"/>
    </row>
    <row r="107" ht="15" customHeight="true">
      <c r="R107"/>
    </row>
    <row r="108" ht="15" customHeight="true">
      <c r="R108"/>
    </row>
    <row r="109" ht="15" customHeight="true">
      <c r="R109"/>
    </row>
    <row r="110" ht="15" customHeight="true">
      <c r="R110"/>
    </row>
    <row r="111" ht="15" customHeight="true">
      <c r="R111"/>
    </row>
    <row r="112" ht="15" customHeight="true">
      <c r="R112"/>
    </row>
    <row r="113" s="73" customFormat="true" ht="15" customHeight="true"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</row>
    <row r="114" s="73" customFormat="true" ht="15" customHeight="true"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</row>
    <row r="115" s="73" customFormat="true" ht="15" customHeight="true"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</row>
    <row r="116" s="73" customFormat="true" ht="15" customHeight="true"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</row>
    <row r="117" s="73" customFormat="true" ht="15" customHeight="true"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</row>
    <row r="118" s="73" customFormat="true" ht="15" customHeight="true"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</row>
    <row r="119" s="73" customFormat="true" ht="15" customHeight="true"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</row>
    <row r="120" s="73" customFormat="true" ht="15" customHeight="true"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</row>
    <row r="121" s="73" customFormat="true" ht="15" customHeight="true"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</row>
    <row r="122" s="73" customFormat="true" ht="15" customHeight="true"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</row>
    <row r="123" s="73" customFormat="true" ht="15" customHeight="true"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</row>
    <row r="124" s="73" customFormat="true" ht="15" customHeight="true"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</row>
    <row r="125" s="73" customFormat="true" ht="15" customHeight="true"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</row>
    <row r="126" s="73" customFormat="true" ht="15" customHeight="true"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</row>
    <row r="127" s="73" customFormat="true" ht="15" customHeight="true"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</row>
    <row r="128" s="73" customFormat="true" ht="15" customHeight="true"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</row>
    <row r="129" s="73" customFormat="true" ht="15" customHeight="true"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</row>
    <row r="130" s="73" customFormat="true" ht="15" customHeight="true"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</row>
    <row r="131" s="73" customFormat="true" ht="15" customHeight="true"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</row>
    <row r="132" s="73" customFormat="true" ht="15" customHeight="true"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</row>
    <row r="133" s="73" customFormat="true" ht="15" customHeight="true"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</row>
    <row r="134" s="73" customFormat="true" ht="15" customHeight="true"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</row>
    <row r="135" s="73" customFormat="true" ht="15" customHeight="true"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</row>
    <row r="136" s="73" customFormat="true" ht="15" customHeight="true"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</row>
    <row r="137" s="73" customFormat="true" ht="15" customHeight="true"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</row>
    <row r="138" s="73" customFormat="true" ht="15" customHeight="true">
      <c r="F138"/>
      <c r="G138"/>
      <c r="H138"/>
      <c r="I138"/>
      <c r="J138"/>
      <c r="K138"/>
      <c r="L138"/>
      <c r="M138"/>
      <c r="N138"/>
      <c r="O138"/>
      <c r="P138"/>
      <c r="Q138"/>
      <c r="R138" s="120"/>
      <c r="S138"/>
    </row>
    <row r="139" s="73" customFormat="true" ht="15" customHeight="true">
      <c r="F139"/>
      <c r="G139"/>
      <c r="H139"/>
      <c r="I139"/>
      <c r="J139"/>
      <c r="K139"/>
      <c r="L139"/>
      <c r="M139"/>
      <c r="N139"/>
      <c r="O139"/>
      <c r="P139"/>
      <c r="Q139"/>
      <c r="R139" s="120"/>
      <c r="S139"/>
    </row>
    <row r="140" s="73" customFormat="true" ht="15" customHeight="true">
      <c r="F140"/>
      <c r="G140"/>
      <c r="H140"/>
      <c r="I140"/>
      <c r="J140"/>
      <c r="K140"/>
      <c r="L140"/>
      <c r="M140"/>
      <c r="N140"/>
      <c r="O140"/>
      <c r="P140"/>
      <c r="Q140"/>
      <c r="R140" s="120"/>
      <c r="S140"/>
    </row>
    <row r="141" s="73" customFormat="true" ht="15" customHeight="true">
      <c r="F141"/>
      <c r="G141"/>
      <c r="H141"/>
      <c r="I141"/>
      <c r="J141"/>
      <c r="K141"/>
      <c r="L141"/>
      <c r="M141"/>
      <c r="N141"/>
      <c r="O141"/>
      <c r="P141"/>
      <c r="Q141"/>
      <c r="R141" s="120"/>
      <c r="S141"/>
    </row>
    <row r="142" s="73" customFormat="true" ht="15" customHeight="true">
      <c r="F142"/>
      <c r="G142"/>
      <c r="H142"/>
      <c r="I142"/>
      <c r="J142"/>
      <c r="K142"/>
      <c r="L142"/>
      <c r="M142"/>
      <c r="N142"/>
      <c r="O142"/>
      <c r="P142"/>
      <c r="Q142"/>
      <c r="R142" s="120"/>
      <c r="S142"/>
    </row>
    <row r="143" s="73" customFormat="true" ht="15" customHeight="true">
      <c r="F143"/>
      <c r="G143"/>
      <c r="H143"/>
      <c r="I143"/>
      <c r="J143"/>
      <c r="K143"/>
      <c r="L143"/>
      <c r="M143"/>
      <c r="N143"/>
      <c r="O143"/>
      <c r="P143"/>
      <c r="Q143"/>
      <c r="R143" s="120"/>
      <c r="S143"/>
    </row>
    <row r="144" s="73" customFormat="true" ht="15" customHeight="true">
      <c r="F144"/>
      <c r="G144"/>
      <c r="H144"/>
      <c r="I144"/>
      <c r="J144"/>
      <c r="K144"/>
      <c r="L144"/>
      <c r="M144"/>
      <c r="N144"/>
      <c r="O144"/>
      <c r="P144"/>
      <c r="Q144"/>
      <c r="R144" s="120"/>
      <c r="S144"/>
    </row>
    <row r="145" s="73" customFormat="true" ht="15" customHeight="true">
      <c r="F145"/>
      <c r="G145"/>
      <c r="H145"/>
      <c r="I145"/>
      <c r="J145"/>
      <c r="K145"/>
      <c r="L145"/>
      <c r="M145"/>
      <c r="N145"/>
      <c r="O145"/>
      <c r="P145"/>
      <c r="Q145"/>
      <c r="R145" s="120"/>
      <c r="S145"/>
    </row>
    <row r="146" s="73" customFormat="true" ht="15" customHeight="true">
      <c r="F146"/>
      <c r="G146"/>
      <c r="H146"/>
      <c r="I146"/>
      <c r="J146"/>
      <c r="K146"/>
      <c r="L146"/>
      <c r="M146"/>
      <c r="N146"/>
      <c r="O146"/>
      <c r="P146"/>
      <c r="Q146"/>
      <c r="R146" s="120"/>
      <c r="S146"/>
    </row>
    <row r="147" s="73" customFormat="true" ht="15" customHeight="true">
      <c r="F147"/>
      <c r="G147"/>
      <c r="H147"/>
      <c r="I147"/>
      <c r="J147"/>
      <c r="K147"/>
      <c r="L147"/>
      <c r="M147"/>
      <c r="N147"/>
      <c r="O147"/>
      <c r="P147"/>
      <c r="Q147"/>
      <c r="R147" s="120"/>
      <c r="S147"/>
    </row>
    <row r="148" s="73" customFormat="true" ht="15" customHeight="true">
      <c r="F148"/>
      <c r="G148"/>
      <c r="H148"/>
      <c r="I148"/>
      <c r="J148"/>
      <c r="K148"/>
      <c r="L148"/>
      <c r="M148"/>
      <c r="N148"/>
      <c r="O148"/>
      <c r="P148"/>
      <c r="Q148"/>
      <c r="R148" s="120"/>
      <c r="S148"/>
    </row>
    <row r="149" s="73" customFormat="true" ht="15" customHeight="true">
      <c r="F149"/>
      <c r="G149"/>
      <c r="H149"/>
      <c r="I149"/>
      <c r="J149"/>
      <c r="K149"/>
      <c r="L149"/>
      <c r="M149"/>
      <c r="N149"/>
      <c r="O149"/>
      <c r="P149"/>
      <c r="Q149"/>
      <c r="R149" s="120"/>
      <c r="S149"/>
    </row>
    <row r="150" s="73" customFormat="true" ht="15" customHeight="true">
      <c r="F150"/>
      <c r="G150"/>
      <c r="H150"/>
      <c r="I150"/>
      <c r="J150"/>
      <c r="K150"/>
      <c r="L150"/>
      <c r="M150"/>
      <c r="N150"/>
      <c r="O150"/>
      <c r="P150"/>
      <c r="Q150"/>
      <c r="R150" s="120"/>
      <c r="S150"/>
    </row>
    <row r="151" s="73" customFormat="true" ht="15" customHeight="true">
      <c r="F151"/>
      <c r="G151"/>
      <c r="H151"/>
      <c r="I151"/>
      <c r="J151"/>
      <c r="K151"/>
      <c r="L151"/>
      <c r="M151"/>
      <c r="N151"/>
      <c r="O151"/>
      <c r="P151"/>
      <c r="Q151"/>
      <c r="R151" s="120"/>
      <c r="S151"/>
    </row>
    <row r="152" s="73" customFormat="true" ht="15" customHeight="true">
      <c r="F152"/>
      <c r="G152"/>
      <c r="H152"/>
      <c r="I152"/>
      <c r="J152"/>
      <c r="K152"/>
      <c r="L152"/>
      <c r="M152"/>
      <c r="N152"/>
      <c r="O152"/>
      <c r="P152"/>
      <c r="Q152"/>
      <c r="R152" s="120"/>
      <c r="S152"/>
    </row>
    <row r="153" s="73" customFormat="true" ht="15" customHeight="true">
      <c r="F153"/>
      <c r="G153"/>
      <c r="H153"/>
      <c r="I153"/>
      <c r="J153"/>
      <c r="K153"/>
      <c r="L153"/>
      <c r="M153"/>
      <c r="N153"/>
      <c r="O153"/>
      <c r="P153"/>
      <c r="Q153"/>
      <c r="R153" s="120"/>
      <c r="S153"/>
    </row>
    <row r="154" s="73" customFormat="true" ht="15" customHeight="true">
      <c r="F154"/>
      <c r="G154"/>
      <c r="H154"/>
      <c r="I154"/>
      <c r="J154"/>
      <c r="K154"/>
      <c r="L154"/>
      <c r="M154"/>
      <c r="N154"/>
      <c r="O154"/>
      <c r="P154"/>
      <c r="Q154"/>
      <c r="R154" s="120"/>
      <c r="S154"/>
    </row>
    <row r="155" s="73" customFormat="true" ht="15" customHeight="true">
      <c r="F155"/>
      <c r="G155"/>
      <c r="H155"/>
      <c r="I155"/>
      <c r="J155"/>
      <c r="K155"/>
      <c r="L155"/>
      <c r="M155"/>
      <c r="N155"/>
      <c r="O155"/>
      <c r="P155"/>
      <c r="Q155"/>
      <c r="R155" s="120"/>
      <c r="S155"/>
    </row>
    <row r="156" s="73" customFormat="true" ht="15" customHeight="true">
      <c r="F156"/>
      <c r="G156"/>
      <c r="H156"/>
      <c r="I156"/>
      <c r="J156"/>
      <c r="K156"/>
      <c r="L156"/>
      <c r="M156"/>
      <c r="N156"/>
      <c r="O156"/>
      <c r="P156"/>
      <c r="Q156"/>
      <c r="R156" s="120"/>
      <c r="S156"/>
    </row>
    <row r="157" s="73" customFormat="true" ht="15" customHeight="true">
      <c r="F157"/>
      <c r="G157"/>
      <c r="H157"/>
      <c r="I157"/>
      <c r="J157"/>
      <c r="K157"/>
      <c r="L157"/>
      <c r="M157"/>
      <c r="N157"/>
      <c r="O157"/>
      <c r="P157"/>
      <c r="Q157"/>
      <c r="R157" s="120"/>
      <c r="S157"/>
    </row>
    <row r="158" s="73" customFormat="true" ht="15" customHeight="true">
      <c r="F158"/>
      <c r="G158"/>
      <c r="H158"/>
      <c r="I158"/>
      <c r="J158"/>
      <c r="K158"/>
      <c r="L158"/>
      <c r="M158"/>
      <c r="N158"/>
      <c r="O158"/>
      <c r="P158"/>
      <c r="Q158"/>
      <c r="R158" s="120"/>
      <c r="S158"/>
    </row>
    <row r="159" s="73" customFormat="true" ht="15" customHeight="true">
      <c r="F159"/>
      <c r="G159"/>
      <c r="H159"/>
      <c r="I159"/>
      <c r="J159"/>
      <c r="K159"/>
      <c r="L159"/>
      <c r="M159"/>
      <c r="N159"/>
      <c r="O159"/>
      <c r="P159"/>
      <c r="Q159"/>
      <c r="R159" s="120"/>
      <c r="S159"/>
    </row>
    <row r="160" s="73" customFormat="true" ht="15" customHeight="true">
      <c r="F160"/>
      <c r="G160"/>
      <c r="H160"/>
      <c r="I160"/>
      <c r="J160"/>
      <c r="K160"/>
      <c r="L160"/>
      <c r="M160"/>
      <c r="N160"/>
      <c r="O160"/>
      <c r="P160"/>
      <c r="Q160"/>
      <c r="R160" s="120"/>
      <c r="S160"/>
    </row>
    <row r="161" s="73" customFormat="true" ht="15" customHeight="true">
      <c r="F161"/>
      <c r="G161"/>
      <c r="H161"/>
      <c r="I161"/>
      <c r="J161"/>
      <c r="K161"/>
      <c r="L161"/>
      <c r="M161"/>
      <c r="N161"/>
      <c r="O161"/>
      <c r="P161"/>
      <c r="Q161"/>
      <c r="R161" s="120"/>
      <c r="S161"/>
    </row>
    <row r="162" s="73" customFormat="true" ht="15" customHeight="true">
      <c r="F162"/>
      <c r="G162"/>
      <c r="H162"/>
      <c r="I162"/>
      <c r="J162"/>
      <c r="K162"/>
      <c r="L162"/>
      <c r="M162"/>
      <c r="N162"/>
      <c r="O162"/>
      <c r="P162"/>
      <c r="Q162"/>
      <c r="R162" s="120"/>
      <c r="S162"/>
    </row>
    <row r="163" s="73" customFormat="true" ht="15" customHeight="true">
      <c r="F163"/>
      <c r="G163"/>
      <c r="H163"/>
      <c r="I163"/>
      <c r="J163"/>
      <c r="K163"/>
      <c r="L163"/>
      <c r="M163"/>
      <c r="N163"/>
      <c r="O163"/>
      <c r="P163"/>
      <c r="Q163"/>
      <c r="R163" s="120"/>
      <c r="S163"/>
    </row>
    <row r="164" s="73" customFormat="true" ht="15" customHeight="true">
      <c r="F164"/>
      <c r="G164"/>
      <c r="H164"/>
      <c r="I164"/>
      <c r="J164"/>
      <c r="K164"/>
      <c r="L164"/>
      <c r="M164"/>
      <c r="N164"/>
      <c r="O164"/>
      <c r="P164"/>
      <c r="Q164"/>
      <c r="R164" s="120"/>
      <c r="S164"/>
    </row>
    <row r="165" s="73" customFormat="true" ht="15" customHeight="true">
      <c r="F165"/>
      <c r="G165"/>
      <c r="H165"/>
      <c r="I165"/>
      <c r="J165"/>
      <c r="K165"/>
      <c r="L165"/>
      <c r="M165"/>
      <c r="N165"/>
      <c r="O165"/>
      <c r="P165"/>
      <c r="Q165"/>
      <c r="R165" s="120"/>
      <c r="S165"/>
    </row>
    <row r="166" s="73" customFormat="true" ht="15" customHeight="true">
      <c r="F166"/>
      <c r="G166"/>
      <c r="H166"/>
      <c r="I166"/>
      <c r="J166"/>
      <c r="K166"/>
      <c r="L166"/>
      <c r="M166"/>
      <c r="N166"/>
      <c r="O166"/>
      <c r="P166"/>
      <c r="Q166"/>
      <c r="R166" s="120"/>
      <c r="S166"/>
    </row>
    <row r="167" s="73" customFormat="true" ht="15" customHeight="true">
      <c r="F167"/>
      <c r="G167"/>
      <c r="H167"/>
      <c r="I167"/>
      <c r="J167"/>
      <c r="K167"/>
      <c r="L167"/>
      <c r="M167"/>
      <c r="N167"/>
      <c r="O167"/>
      <c r="P167"/>
      <c r="Q167"/>
      <c r="R167" s="120"/>
      <c r="S167"/>
    </row>
    <row r="168" s="73" customFormat="true" ht="15" customHeight="true">
      <c r="F168"/>
      <c r="G168"/>
      <c r="H168"/>
      <c r="I168"/>
      <c r="J168"/>
      <c r="K168"/>
      <c r="L168"/>
      <c r="M168"/>
      <c r="N168"/>
      <c r="O168"/>
      <c r="P168"/>
      <c r="Q168"/>
      <c r="R168" s="120"/>
      <c r="S168"/>
    </row>
    <row r="169" s="73" customFormat="true" ht="15" customHeight="true">
      <c r="F169"/>
      <c r="G169"/>
      <c r="H169"/>
      <c r="I169"/>
      <c r="J169"/>
      <c r="K169"/>
      <c r="L169"/>
      <c r="M169"/>
      <c r="N169"/>
      <c r="O169"/>
      <c r="P169"/>
      <c r="Q169"/>
      <c r="R169" s="120"/>
      <c r="S169"/>
    </row>
    <row r="170" s="73" customFormat="true" ht="15" customHeight="true">
      <c r="F170"/>
      <c r="G170"/>
      <c r="H170"/>
      <c r="I170"/>
      <c r="J170"/>
      <c r="K170"/>
      <c r="L170"/>
      <c r="M170"/>
      <c r="N170"/>
      <c r="O170"/>
      <c r="P170"/>
      <c r="Q170"/>
      <c r="R170" s="120"/>
      <c r="S170"/>
    </row>
    <row r="171" s="73" customFormat="true" ht="15" customHeight="true">
      <c r="F171"/>
      <c r="G171"/>
      <c r="H171"/>
      <c r="I171"/>
      <c r="J171"/>
      <c r="K171"/>
      <c r="L171"/>
      <c r="M171"/>
      <c r="N171"/>
      <c r="O171"/>
      <c r="P171"/>
      <c r="Q171"/>
      <c r="R171" s="120"/>
      <c r="S171"/>
    </row>
    <row r="172" s="73" customFormat="true" ht="15" customHeight="true">
      <c r="F172"/>
      <c r="G172"/>
      <c r="H172"/>
      <c r="I172"/>
      <c r="J172"/>
      <c r="K172"/>
      <c r="L172"/>
      <c r="M172"/>
      <c r="N172"/>
      <c r="O172"/>
      <c r="P172"/>
      <c r="Q172"/>
      <c r="R172" s="120"/>
      <c r="S172"/>
    </row>
    <row r="173" s="73" customFormat="true" ht="15" customHeight="true">
      <c r="F173"/>
      <c r="G173"/>
      <c r="H173"/>
      <c r="I173"/>
      <c r="J173"/>
      <c r="K173"/>
      <c r="L173"/>
      <c r="M173"/>
      <c r="N173"/>
      <c r="O173"/>
      <c r="P173"/>
      <c r="Q173"/>
      <c r="R173" s="120"/>
      <c r="S173"/>
    </row>
    <row r="174" s="73" customFormat="true" ht="15" customHeight="true">
      <c r="F174"/>
      <c r="G174"/>
      <c r="H174"/>
      <c r="I174"/>
      <c r="J174"/>
      <c r="K174"/>
      <c r="L174"/>
      <c r="M174"/>
      <c r="N174"/>
      <c r="O174"/>
      <c r="P174"/>
      <c r="Q174"/>
      <c r="R174" s="120"/>
      <c r="S174"/>
    </row>
    <row r="175" s="73" customFormat="true" ht="15" customHeight="true">
      <c r="F175"/>
      <c r="G175"/>
      <c r="H175"/>
      <c r="I175"/>
      <c r="J175"/>
      <c r="K175"/>
      <c r="L175"/>
      <c r="M175"/>
      <c r="N175"/>
      <c r="O175"/>
      <c r="P175"/>
      <c r="Q175"/>
      <c r="R175" s="120"/>
      <c r="S175"/>
    </row>
    <row r="176" s="73" customFormat="true" ht="15" customHeight="true">
      <c r="F176"/>
      <c r="G176"/>
      <c r="H176"/>
      <c r="I176"/>
      <c r="J176"/>
      <c r="K176"/>
      <c r="L176"/>
      <c r="M176"/>
      <c r="N176"/>
      <c r="O176"/>
      <c r="P176"/>
      <c r="Q176"/>
      <c r="R176" s="120"/>
      <c r="S176"/>
    </row>
    <row r="177" s="73" customFormat="true" ht="15" customHeight="true">
      <c r="F177"/>
      <c r="G177"/>
      <c r="H177"/>
      <c r="I177"/>
      <c r="J177"/>
      <c r="K177"/>
      <c r="L177"/>
      <c r="M177"/>
      <c r="N177"/>
      <c r="O177"/>
      <c r="P177"/>
      <c r="Q177"/>
      <c r="R177" s="120"/>
      <c r="S177"/>
    </row>
    <row r="178" s="73" customFormat="true" ht="15" customHeight="true">
      <c r="F178"/>
      <c r="G178"/>
      <c r="H178"/>
      <c r="I178"/>
      <c r="J178"/>
      <c r="K178"/>
      <c r="L178"/>
      <c r="M178"/>
      <c r="N178"/>
      <c r="O178"/>
      <c r="P178"/>
      <c r="Q178"/>
      <c r="R178" s="120"/>
      <c r="S178"/>
    </row>
    <row r="179" s="73" customFormat="true" ht="15" customHeight="true">
      <c r="F179"/>
      <c r="G179"/>
      <c r="H179"/>
      <c r="I179"/>
      <c r="J179"/>
      <c r="K179"/>
      <c r="L179"/>
      <c r="M179"/>
      <c r="N179"/>
      <c r="O179"/>
      <c r="P179"/>
      <c r="Q179"/>
      <c r="R179" s="120"/>
      <c r="S179"/>
    </row>
    <row r="180" s="73" customFormat="true" ht="15" customHeight="true">
      <c r="F180"/>
      <c r="G180"/>
      <c r="H180"/>
      <c r="I180"/>
      <c r="J180"/>
      <c r="K180"/>
      <c r="L180"/>
      <c r="M180"/>
      <c r="N180"/>
      <c r="O180"/>
      <c r="P180"/>
      <c r="Q180"/>
      <c r="R180" s="120"/>
      <c r="S180"/>
    </row>
    <row r="181" s="73" customFormat="true" ht="15" customHeight="true">
      <c r="F181"/>
      <c r="G181"/>
      <c r="H181"/>
      <c r="I181"/>
      <c r="J181"/>
      <c r="K181"/>
      <c r="L181"/>
      <c r="M181"/>
      <c r="N181"/>
      <c r="O181"/>
      <c r="P181"/>
      <c r="Q181"/>
      <c r="R181" s="120"/>
      <c r="S181"/>
    </row>
    <row r="182" s="73" customFormat="true" ht="15" customHeight="true">
      <c r="F182"/>
      <c r="G182"/>
      <c r="H182"/>
      <c r="I182"/>
      <c r="J182"/>
      <c r="K182"/>
      <c r="L182"/>
      <c r="M182"/>
      <c r="N182"/>
      <c r="O182"/>
      <c r="P182"/>
      <c r="Q182"/>
      <c r="R182" s="120"/>
      <c r="S182"/>
    </row>
    <row r="183" s="73" customFormat="true" ht="15" customHeight="true">
      <c r="F183"/>
      <c r="G183"/>
      <c r="H183"/>
      <c r="I183"/>
      <c r="J183"/>
      <c r="K183"/>
      <c r="L183"/>
      <c r="M183"/>
      <c r="N183"/>
      <c r="O183"/>
      <c r="P183"/>
      <c r="Q183"/>
      <c r="R183" s="120"/>
      <c r="S183"/>
    </row>
    <row r="184" s="73" customFormat="true" ht="15" customHeight="true">
      <c r="F184"/>
      <c r="G184"/>
      <c r="H184"/>
      <c r="I184"/>
      <c r="J184"/>
      <c r="K184"/>
      <c r="L184"/>
      <c r="M184"/>
      <c r="N184"/>
      <c r="O184"/>
      <c r="P184"/>
      <c r="Q184"/>
      <c r="R184" s="120"/>
      <c r="S184"/>
    </row>
    <row r="185" s="73" customFormat="true" ht="15" customHeight="true">
      <c r="F185"/>
      <c r="G185"/>
      <c r="H185"/>
      <c r="I185"/>
      <c r="J185"/>
      <c r="K185"/>
      <c r="L185"/>
      <c r="M185"/>
      <c r="N185"/>
      <c r="O185"/>
      <c r="P185"/>
      <c r="Q185"/>
      <c r="R185" s="120"/>
      <c r="S185"/>
    </row>
    <row r="186" s="73" customFormat="true" ht="15" customHeight="true">
      <c r="F186"/>
      <c r="G186"/>
      <c r="H186"/>
      <c r="I186"/>
      <c r="J186"/>
      <c r="K186"/>
      <c r="L186"/>
      <c r="M186"/>
      <c r="N186"/>
      <c r="O186"/>
      <c r="P186"/>
      <c r="Q186"/>
      <c r="R186" s="120"/>
      <c r="S186"/>
    </row>
    <row r="187" s="73" customFormat="true" ht="15" customHeight="true">
      <c r="F187"/>
      <c r="G187"/>
      <c r="H187"/>
      <c r="I187"/>
      <c r="J187"/>
      <c r="K187"/>
      <c r="L187"/>
      <c r="M187"/>
      <c r="N187"/>
      <c r="O187"/>
      <c r="P187"/>
      <c r="Q187"/>
      <c r="R187" s="120"/>
      <c r="S187"/>
    </row>
    <row r="188" s="73" customFormat="true" ht="15" customHeight="true">
      <c r="F188"/>
      <c r="G188"/>
      <c r="H188"/>
      <c r="I188"/>
      <c r="J188"/>
      <c r="K188"/>
      <c r="L188"/>
      <c r="M188"/>
      <c r="N188"/>
      <c r="O188"/>
      <c r="P188"/>
      <c r="Q188"/>
      <c r="R188" s="120"/>
      <c r="S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CJ192"/>
  <sheetViews>
    <sheetView tabSelected="true" workbookViewId="0">
      <pane xSplit="1" ySplit="1" topLeftCell="B32" activePane="bottomRight" state="frozen"/>
      <selection pane="topRight" activeCell="B1" sqref="B1"/>
      <selection pane="bottomLeft" activeCell="A2" sqref="A2"/>
      <selection pane="bottomRight" activeCell="F41" sqref="F41"/>
    </sheetView>
  </sheetViews>
  <sheetFormatPr baseColWidth="10" defaultColWidth="8.83203125" defaultRowHeight="13"/>
  <cols>
    <col min="1" max="1" width="40" bestFit="true" customWidth="true"/>
    <col min="2" max="5" width="7.83203125" style="121" customWidth="true"/>
    <col min="6" max="77" width="8.83203125" style="3"/>
    <col min="78" max="78" width="22.1640625" style="3" bestFit="true" customWidth="true"/>
    <col min="79" max="88" width="8.83203125" style="3"/>
  </cols>
  <sheetData>
    <row r="1">
      <c r="A1" s="2" t="s">
        <v>157</v>
      </c>
      <c r="B1" s="32" t="s">
        <v>158</v>
      </c>
      <c r="C1" s="32" t="s">
        <v>18</v>
      </c>
      <c r="D1" s="32" t="s">
        <v>159</v>
      </c>
      <c r="E1" s="32" t="s">
        <v>160</v>
      </c>
      <c r="F1" s="3" t="s">
        <v>38</v>
      </c>
      <c r="G1" s="3" t="s">
        <v>40</v>
      </c>
      <c r="H1" s="3" t="s">
        <v>41</v>
      </c>
      <c r="I1" s="3" t="s">
        <v>175</v>
      </c>
      <c r="J1" s="3" t="s">
        <v>176</v>
      </c>
      <c r="K1" s="3" t="s">
        <v>177</v>
      </c>
      <c r="L1" s="3" t="s">
        <v>220</v>
      </c>
      <c r="M1" s="3" t="s">
        <v>221</v>
      </c>
      <c r="N1" s="3" t="s">
        <v>178</v>
      </c>
      <c r="O1" s="3" t="s">
        <v>222</v>
      </c>
      <c r="P1" s="3" t="s">
        <v>179</v>
      </c>
      <c r="Q1" s="3" t="s">
        <v>180</v>
      </c>
      <c r="R1" s="3" t="s">
        <v>223</v>
      </c>
      <c r="S1" s="3" t="s">
        <v>181</v>
      </c>
      <c r="T1" s="3" t="s">
        <v>224</v>
      </c>
      <c r="U1" s="3" t="s">
        <v>182</v>
      </c>
      <c r="V1" s="3" t="s">
        <v>183</v>
      </c>
      <c r="W1" s="3" t="s">
        <v>184</v>
      </c>
      <c r="X1" s="3" t="s">
        <v>185</v>
      </c>
      <c r="Y1" s="3" t="s">
        <v>186</v>
      </c>
      <c r="Z1" s="3" t="s">
        <v>187</v>
      </c>
      <c r="AA1" s="3" t="s">
        <v>188</v>
      </c>
      <c r="AB1" s="3" t="s">
        <v>189</v>
      </c>
      <c r="AC1" s="3" t="s">
        <v>190</v>
      </c>
      <c r="AD1" s="3" t="s">
        <v>191</v>
      </c>
      <c r="AE1" s="3" t="s">
        <v>192</v>
      </c>
      <c r="AF1" s="3" t="s">
        <v>225</v>
      </c>
      <c r="AG1" s="3" t="s">
        <v>226</v>
      </c>
      <c r="AH1" s="3" t="s">
        <v>227</v>
      </c>
      <c r="AI1" s="3" t="s">
        <v>228</v>
      </c>
      <c r="AJ1" s="3" t="s">
        <v>197</v>
      </c>
      <c r="AK1" s="3" t="s">
        <v>198</v>
      </c>
      <c r="AL1" s="3" t="s">
        <v>199</v>
      </c>
      <c r="AM1" s="3" t="s">
        <v>229</v>
      </c>
      <c r="AN1" s="3" t="s">
        <v>230</v>
      </c>
      <c r="AO1" s="3" t="s">
        <v>231</v>
      </c>
      <c r="AP1" s="3" t="s">
        <v>232</v>
      </c>
      <c r="AQ1" s="3" t="s">
        <v>233</v>
      </c>
      <c r="AR1" s="3" t="s">
        <v>205</v>
      </c>
      <c r="AS1" s="3" t="s">
        <v>206</v>
      </c>
      <c r="AT1" s="3" t="s">
        <v>207</v>
      </c>
      <c r="AU1" s="3" t="s">
        <v>208</v>
      </c>
      <c r="AV1" s="3" t="s">
        <v>209</v>
      </c>
      <c r="AW1" s="3" t="s">
        <v>210</v>
      </c>
      <c r="AX1" s="3" t="s">
        <v>211</v>
      </c>
      <c r="AY1" s="3" t="s">
        <v>212</v>
      </c>
      <c r="AZ1" s="3" t="s">
        <v>213</v>
      </c>
      <c r="BA1" s="3" t="s">
        <v>214</v>
      </c>
      <c r="BB1" s="3" t="s">
        <v>304</v>
      </c>
      <c r="BC1" s="3" t="s">
        <v>215</v>
      </c>
      <c r="BD1" s="3" t="s">
        <v>216</v>
      </c>
      <c r="BE1" s="3" t="s">
        <v>217</v>
      </c>
      <c r="BF1" s="3" t="s">
        <v>218</v>
      </c>
      <c r="BG1" s="3" t="s">
        <v>72</v>
      </c>
      <c r="BH1" s="3" t="s">
        <v>219</v>
      </c>
      <c r="BI1" s="3" t="s">
        <v>71</v>
      </c>
      <c r="BJ1" s="3" t="s">
        <v>73</v>
      </c>
      <c r="BK1" s="3" t="s">
        <v>280</v>
      </c>
      <c r="BL1" s="3" t="s">
        <v>281</v>
      </c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</row>
    <row r="2">
      <c r="A2" t="s">
        <v>38</v>
      </c>
      <c r="B2" s="121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</row>
    <row r="3">
      <c r="A3" t="s">
        <v>40</v>
      </c>
      <c r="B3" s="121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</row>
    <row r="4">
      <c r="A4" t="s">
        <v>41</v>
      </c>
      <c r="B4" s="121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</row>
    <row r="5">
      <c r="A5" s="136" t="s">
        <v>175</v>
      </c>
      <c r="B5" s="121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</row>
    <row r="6">
      <c r="A6" t="s">
        <v>176</v>
      </c>
      <c r="B6" s="121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</row>
    <row r="7">
      <c r="A7" t="s">
        <v>177</v>
      </c>
      <c r="B7" s="121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</row>
    <row r="8">
      <c r="A8" t="s">
        <v>220</v>
      </c>
      <c r="B8" s="121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</row>
    <row r="9">
      <c r="A9" t="s">
        <v>221</v>
      </c>
      <c r="B9" s="121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</row>
    <row r="10">
      <c r="A10" t="s">
        <v>178</v>
      </c>
      <c r="B10" s="121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</row>
    <row r="11">
      <c r="A11" t="s">
        <v>222</v>
      </c>
      <c r="B11" s="121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</row>
    <row r="12">
      <c r="A12" t="s">
        <v>179</v>
      </c>
      <c r="B12" s="121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</row>
    <row r="13">
      <c r="A13" t="s">
        <v>180</v>
      </c>
      <c r="B13" s="121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</row>
    <row r="14">
      <c r="A14" t="s">
        <v>223</v>
      </c>
      <c r="B14" s="121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</row>
    <row r="15">
      <c r="A15" t="s">
        <v>181</v>
      </c>
      <c r="B15" s="121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</row>
    <row r="16">
      <c r="A16" s="137" t="s">
        <v>224</v>
      </c>
      <c r="B16" s="121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</row>
    <row r="17">
      <c r="A17" t="s">
        <v>182</v>
      </c>
      <c r="B17" s="121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</row>
    <row r="18">
      <c r="A18" t="s">
        <v>183</v>
      </c>
      <c r="B18" s="121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</row>
    <row r="19">
      <c r="A19" t="s">
        <v>184</v>
      </c>
      <c r="B19" s="121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</row>
    <row r="20">
      <c r="A20" t="s">
        <v>185</v>
      </c>
      <c r="B20" s="121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</row>
    <row r="21">
      <c r="A21" t="s">
        <v>186</v>
      </c>
      <c r="B21" s="121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</row>
    <row r="22">
      <c r="A22" t="s">
        <v>187</v>
      </c>
      <c r="B22" s="121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</row>
    <row r="23">
      <c r="A23" t="s">
        <v>188</v>
      </c>
      <c r="B23" s="121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</row>
    <row r="24">
      <c r="A24" t="s">
        <v>189</v>
      </c>
      <c r="B24" s="121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</row>
    <row r="25">
      <c r="A25" t="s">
        <v>190</v>
      </c>
      <c r="B25" s="121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</row>
    <row r="26">
      <c r="A26" t="s">
        <v>191</v>
      </c>
      <c r="B26" s="121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</row>
    <row r="27">
      <c r="A27" t="s">
        <v>192</v>
      </c>
      <c r="B27" s="121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</row>
    <row r="28">
      <c r="A28" t="s">
        <v>225</v>
      </c>
      <c r="B28" s="121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</row>
    <row r="29">
      <c r="A29" t="s">
        <v>226</v>
      </c>
      <c r="B29" s="121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</row>
    <row r="30">
      <c r="A30" t="s">
        <v>227</v>
      </c>
      <c r="B30" s="121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</row>
    <row r="31">
      <c r="A31" t="s">
        <v>228</v>
      </c>
      <c r="B31" s="121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</row>
    <row r="32">
      <c r="A32" t="s">
        <v>197</v>
      </c>
      <c r="B32" s="121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</row>
    <row r="33">
      <c r="A33" t="s">
        <v>198</v>
      </c>
      <c r="B33" s="121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</row>
    <row r="34">
      <c r="A34" t="s">
        <v>199</v>
      </c>
      <c r="B34" s="121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</row>
    <row r="35">
      <c r="A35" t="s">
        <v>229</v>
      </c>
      <c r="B35" s="121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</row>
    <row r="36">
      <c r="A36" t="s">
        <v>230</v>
      </c>
      <c r="B36" s="121">
        <v>0</v>
      </c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</row>
    <row r="37">
      <c r="A37" t="s">
        <v>231</v>
      </c>
      <c r="B37" s="121">
        <v>0</v>
      </c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</row>
    <row r="38">
      <c r="A38" t="s">
        <v>232</v>
      </c>
      <c r="B38" s="121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</row>
    <row r="39">
      <c r="A39" t="s">
        <v>233</v>
      </c>
      <c r="B39" s="121">
        <v>0</v>
      </c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</row>
    <row r="40">
      <c r="A40" t="s">
        <v>205</v>
      </c>
      <c r="B40" s="121">
        <v>0</v>
      </c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</row>
    <row r="41">
      <c r="A41" t="s">
        <v>206</v>
      </c>
      <c r="B41" s="121">
        <v>0</v>
      </c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</row>
    <row r="42">
      <c r="A42" t="s">
        <v>207</v>
      </c>
      <c r="B42" s="121">
        <v>0</v>
      </c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</row>
    <row r="43">
      <c r="A43" t="s">
        <v>208</v>
      </c>
      <c r="B43" s="121">
        <v>0</v>
      </c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</row>
    <row r="44">
      <c r="A44" t="s">
        <v>209</v>
      </c>
      <c r="B44" s="121">
        <v>0</v>
      </c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</row>
    <row r="45">
      <c r="A45" t="s">
        <v>210</v>
      </c>
      <c r="B45" s="121">
        <v>0</v>
      </c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</row>
    <row r="46">
      <c r="A46" t="s">
        <v>211</v>
      </c>
      <c r="B46" s="121">
        <v>0</v>
      </c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</row>
    <row r="47">
      <c r="A47" t="s">
        <v>212</v>
      </c>
      <c r="B47" s="121">
        <v>0</v>
      </c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</row>
    <row r="48">
      <c r="A48" t="s">
        <v>213</v>
      </c>
      <c r="B48" s="121">
        <v>0</v>
      </c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</row>
    <row r="49">
      <c r="A49" t="s">
        <v>214</v>
      </c>
      <c r="B49" s="121">
        <v>0</v>
      </c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</row>
    <row r="50">
      <c r="A50" t="s">
        <v>304</v>
      </c>
      <c r="B50" s="121">
        <v>0</v>
      </c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</row>
    <row r="51">
      <c r="A51" t="s">
        <v>215</v>
      </c>
      <c r="B51" s="121">
        <v>0</v>
      </c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</row>
    <row r="52">
      <c r="A52" t="s">
        <v>216</v>
      </c>
      <c r="B52" s="121">
        <v>0</v>
      </c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</row>
    <row r="53">
      <c r="A53" t="s">
        <v>217</v>
      </c>
      <c r="B53" s="121">
        <v>0</v>
      </c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</row>
    <row r="54">
      <c r="A54" t="s">
        <v>218</v>
      </c>
      <c r="B54" s="121">
        <v>0</v>
      </c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</row>
    <row r="55">
      <c r="A55" t="s">
        <v>72</v>
      </c>
      <c r="B55" s="121">
        <v>0</v>
      </c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</row>
    <row r="56">
      <c r="A56" t="s">
        <v>219</v>
      </c>
      <c r="B56" s="121">
        <v>0</v>
      </c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</row>
    <row r="57">
      <c r="A57" t="s">
        <v>71</v>
      </c>
      <c r="B57" s="121">
        <v>0</v>
      </c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</row>
    <row r="58">
      <c r="A58" t="s">
        <v>73</v>
      </c>
      <c r="B58" s="121">
        <v>0</v>
      </c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</row>
    <row r="59">
      <c r="A59" s="137" t="s">
        <v>280</v>
      </c>
      <c r="B59" s="121">
        <v>0</v>
      </c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</row>
    <row r="60">
      <c r="A60" s="137" t="s">
        <v>281</v>
      </c>
      <c r="B60" s="121">
        <v>0</v>
      </c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</row>
    <row r="61" ht="15" customHeight="true"/>
    <row r="62" ht="15" customHeight="true"/>
    <row r="63">
      <c r="B63" s="54" t="s">
        <v>161</v>
      </c>
    </row>
    <row r="64" ht="15" customHeight="true"/>
    <row r="65" ht="15" customHeight="true"/>
    <row r="66" ht="15" customHeight="true"/>
    <row r="67" ht="15" customHeight="true"/>
    <row r="68" ht="15" customHeight="true"/>
    <row r="69" ht="15" customHeight="true"/>
    <row r="70" ht="15" customHeight="true"/>
    <row r="71" ht="15" customHeight="true"/>
    <row r="72" ht="15" customHeight="true"/>
    <row r="73" ht="15" customHeight="true"/>
    <row r="74" ht="15" customHeight="true"/>
    <row r="75" ht="15" customHeight="true"/>
    <row r="76" ht="15" customHeight="true"/>
    <row r="77" ht="15" customHeight="true"/>
    <row r="78" ht="15" customHeight="true"/>
    <row r="79" ht="15" customHeight="true"/>
    <row r="80" ht="15" customHeight="true"/>
    <row r="81" ht="15" customHeight="true"/>
    <row r="82" ht="15" customHeight="true"/>
    <row r="83" ht="15" customHeight="true"/>
    <row r="84" ht="15" customHeight="true"/>
    <row r="85" ht="15" customHeight="true"/>
    <row r="86" ht="15" customHeight="true"/>
    <row r="87" ht="15" customHeight="true"/>
    <row r="88" ht="15" customHeight="true"/>
    <row r="89" ht="15" customHeight="true"/>
    <row r="90" ht="15" customHeight="true"/>
    <row r="91" ht="15" customHeight="true"/>
    <row r="92" ht="15" customHeight="true"/>
    <row r="93" ht="15" customHeight="true"/>
    <row r="94" ht="15" customHeight="true"/>
    <row r="95" ht="15" customHeight="true"/>
    <row r="96" ht="15" customHeight="true"/>
    <row r="97" ht="15" customHeight="true"/>
    <row r="98" ht="15" customHeight="true"/>
    <row r="99" ht="15" customHeight="true"/>
    <row r="100" ht="15" customHeight="true"/>
    <row r="101" ht="15" customHeight="true"/>
    <row r="102" ht="15" customHeight="true"/>
    <row r="103" ht="15" customHeight="true"/>
    <row r="104" ht="15" customHeight="true"/>
    <row r="105" ht="15" customHeight="true"/>
    <row r="106" ht="15" customHeight="true"/>
    <row r="107" ht="15" customHeight="true"/>
    <row r="108" ht="15" customHeight="true"/>
    <row r="109" ht="15" customHeight="true"/>
    <row r="110" ht="15" customHeight="true"/>
    <row r="111" ht="15" customHeight="true"/>
    <row r="112" ht="15" customHeight="true"/>
    <row r="113" ht="15" customHeight="true"/>
    <row r="114" ht="15" customHeight="true"/>
    <row r="115" ht="15" customHeight="true"/>
    <row r="116" ht="15" customHeight="true"/>
    <row r="117" ht="15" customHeight="true"/>
    <row r="118" ht="15" customHeight="true"/>
    <row r="119" ht="15" customHeight="true"/>
    <row r="120" ht="15" customHeight="true"/>
    <row r="121" ht="15" customHeight="true"/>
    <row r="122" ht="15" customHeight="true"/>
    <row r="123" ht="15" customHeight="true"/>
    <row r="124" ht="15" customHeight="true"/>
    <row r="125" ht="15" customHeight="true"/>
    <row r="126" ht="15" customHeight="true"/>
    <row r="127" ht="15" customHeight="true"/>
    <row r="128" ht="15" customHeight="true"/>
    <row r="129" ht="15" customHeight="true"/>
    <row r="130" ht="15" customHeight="true"/>
    <row r="131" ht="15" customHeight="true"/>
    <row r="132" ht="15" customHeight="true"/>
    <row r="133" ht="15" customHeight="true"/>
    <row r="134" ht="15" customHeight="true"/>
    <row r="135" ht="15" customHeight="true"/>
    <row r="136" ht="15" customHeight="true"/>
    <row r="137" ht="15" customHeight="true"/>
    <row r="138" ht="15" customHeight="true"/>
    <row r="139" ht="15" customHeight="true"/>
    <row r="140" ht="15" customHeight="true"/>
    <row r="141" ht="15" customHeight="true"/>
    <row r="142" ht="15" customHeight="true"/>
    <row r="143" ht="15" customHeight="true"/>
    <row r="144" ht="15" customHeight="true"/>
    <row r="145" ht="15" customHeight="true"/>
    <row r="146" ht="15" customHeight="true"/>
    <row r="147" ht="15" customHeight="true"/>
    <row r="148" ht="15" customHeight="true"/>
    <row r="149" ht="15" customHeight="true"/>
    <row r="150" ht="15" customHeight="true"/>
    <row r="151" ht="15" customHeight="true"/>
    <row r="152" ht="15" customHeight="true"/>
    <row r="153" ht="15" customHeight="true"/>
    <row r="154" ht="15" customHeight="true"/>
    <row r="155" ht="15" customHeight="true"/>
    <row r="156" ht="15" customHeight="true"/>
    <row r="157" ht="15" customHeight="true"/>
    <row r="158" ht="15" customHeight="true"/>
    <row r="159" ht="15" customHeight="true"/>
    <row r="160" ht="15" customHeight="true"/>
    <row r="161" ht="15" customHeight="true"/>
    <row r="162" ht="15" customHeight="true"/>
    <row r="163" ht="15" customHeight="true"/>
    <row r="164" ht="15" customHeight="true"/>
    <row r="165" ht="15" customHeight="true"/>
    <row r="166" ht="15" customHeight="true"/>
    <row r="167" ht="15" customHeight="true"/>
    <row r="168" ht="15" customHeight="true"/>
    <row r="169" ht="15" customHeight="true"/>
    <row r="170" ht="15" customHeight="true"/>
    <row r="171" ht="15" customHeight="true"/>
    <row r="172" ht="15" customHeight="true"/>
    <row r="173" ht="15" customHeight="true"/>
    <row r="174" ht="15" customHeight="true"/>
    <row r="175" ht="15" customHeight="true"/>
    <row r="176" ht="15" customHeight="true"/>
    <row r="177" ht="15" customHeight="true"/>
    <row r="178" ht="15" customHeight="true"/>
    <row r="179" ht="15" customHeight="true"/>
    <row r="180" ht="15" customHeight="true"/>
    <row r="181" ht="15" customHeight="true"/>
    <row r="182" ht="15" customHeight="true"/>
    <row r="183" ht="15" customHeight="true"/>
    <row r="184" ht="15" customHeight="true"/>
    <row r="185" ht="15" customHeight="true"/>
    <row r="186" ht="15" customHeight="true"/>
    <row r="187" ht="15" customHeight="true"/>
    <row r="188" ht="15" customHeight="true"/>
    <row r="192" ht="15" customHeight="true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2022-10-23T01:16:01Z</dcterms:modified>
</cp:coreProperties>
</file>