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105F5F82-CC02-1F44-938B-39FF229D0CF6}" xr6:coauthVersionLast="45" xr6:coauthVersionMax="45" xr10:uidLastSave="{00000000-0000-0000-0000-000000000000}"/>
  <bookViews>
    <workbookView xWindow="160" yWindow="460" windowWidth="25440" windowHeight="1428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Detritus!$C$2:$E$48</definedName>
    <definedName name="matDiet">Diets!$B$2:$AO$44</definedName>
    <definedName name="matDiscards">Discards!$C$2:$G$43</definedName>
    <definedName name="matFishery">Fishing!$C$2:$G$43</definedName>
    <definedName name="matFishing">Fishing!#REF!</definedName>
    <definedName name="matMort">Mortalities!$A$1:$AX$43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3" i="3" l="1"/>
  <c r="H43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2" i="1"/>
  <c r="AQ47" i="78"/>
  <c r="AQ48" i="78"/>
  <c r="C33" i="86" l="1"/>
  <c r="C34" i="86"/>
  <c r="C35" i="86"/>
  <c r="C32" i="86"/>
  <c r="B33" i="86"/>
  <c r="D33" i="86" s="1"/>
  <c r="B34" i="86"/>
  <c r="D34" i="86" s="1"/>
  <c r="B35" i="86"/>
  <c r="D35" i="86" s="1"/>
  <c r="B32" i="86"/>
  <c r="H42" i="3" l="1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2" i="2"/>
  <c r="C47" i="78" l="1"/>
  <c r="D47" i="78"/>
  <c r="E47" i="78"/>
  <c r="F47" i="78"/>
  <c r="G47" i="78"/>
  <c r="H47" i="78"/>
  <c r="I47" i="78"/>
  <c r="J47" i="78"/>
  <c r="K47" i="78"/>
  <c r="L47" i="78"/>
  <c r="M47" i="78"/>
  <c r="N47" i="78"/>
  <c r="O47" i="78"/>
  <c r="P47" i="78"/>
  <c r="Q47" i="78"/>
  <c r="R47" i="78"/>
  <c r="S47" i="78"/>
  <c r="T47" i="78"/>
  <c r="U47" i="78"/>
  <c r="V47" i="78"/>
  <c r="W47" i="78"/>
  <c r="X47" i="78"/>
  <c r="Y47" i="78"/>
  <c r="Z47" i="78"/>
  <c r="AA47" i="78"/>
  <c r="AB47" i="78"/>
  <c r="AC47" i="78"/>
  <c r="AD47" i="78"/>
  <c r="AE47" i="78"/>
  <c r="AF47" i="78"/>
  <c r="AG47" i="78"/>
  <c r="AH47" i="78"/>
  <c r="AI47" i="78"/>
  <c r="AJ47" i="78"/>
  <c r="AK47" i="78"/>
  <c r="AL47" i="78"/>
  <c r="AM47" i="78"/>
  <c r="AN47" i="78"/>
  <c r="AO47" i="78"/>
  <c r="AP47" i="78"/>
  <c r="C48" i="78"/>
  <c r="D48" i="78"/>
  <c r="E48" i="78"/>
  <c r="F48" i="78"/>
  <c r="G48" i="78"/>
  <c r="H48" i="78"/>
  <c r="I48" i="78"/>
  <c r="J48" i="78"/>
  <c r="K48" i="78"/>
  <c r="L48" i="78"/>
  <c r="M48" i="78"/>
  <c r="N48" i="78"/>
  <c r="O48" i="78"/>
  <c r="P48" i="78"/>
  <c r="Q48" i="78"/>
  <c r="R48" i="78"/>
  <c r="S48" i="78"/>
  <c r="T48" i="78"/>
  <c r="U48" i="78"/>
  <c r="V48" i="78"/>
  <c r="W48" i="78"/>
  <c r="X48" i="78"/>
  <c r="Y48" i="78"/>
  <c r="Z48" i="78"/>
  <c r="AA48" i="78"/>
  <c r="AB48" i="78"/>
  <c r="AC48" i="78"/>
  <c r="AD48" i="78"/>
  <c r="AE48" i="78"/>
  <c r="AF48" i="78"/>
  <c r="AG48" i="78"/>
  <c r="AH48" i="78"/>
  <c r="AI48" i="78"/>
  <c r="AJ48" i="78"/>
  <c r="AK48" i="78"/>
  <c r="AL48" i="78"/>
  <c r="AM48" i="78"/>
  <c r="AN48" i="78"/>
  <c r="AO48" i="78"/>
  <c r="AP48" i="78"/>
  <c r="B47" i="78"/>
  <c r="B48" i="78" s="1"/>
  <c r="B10" i="87" l="1"/>
  <c r="D32" i="86"/>
  <c r="X6" i="75"/>
  <c r="B8" i="75"/>
  <c r="B7" i="75"/>
  <c r="D42" i="86" l="1"/>
  <c r="E33" i="86" l="1"/>
  <c r="E35" i="86"/>
  <c r="E34" i="86"/>
  <c r="E32" i="86"/>
  <c r="E42" i="86" s="1"/>
  <c r="B10" i="86" l="1"/>
  <c r="B21" i="86"/>
  <c r="B11" i="86"/>
  <c r="B22" i="86"/>
  <c r="B9" i="86"/>
  <c r="B20" i="86"/>
  <c r="B8" i="86"/>
  <c r="B19" i="86"/>
</calcChain>
</file>

<file path=xl/sharedStrings.xml><?xml version="1.0" encoding="utf-8"?>
<sst xmlns="http://schemas.openxmlformats.org/spreadsheetml/2006/main" count="1246" uniqueCount="241">
  <si>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</si>
  <si>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</si>
  <si>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</si>
  <si>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</si>
  <si>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</si>
  <si>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</si>
  <si>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</si>
  <si>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</si>
  <si>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</si>
  <si>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</si>
  <si>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</si>
  <si>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</si>
  <si>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</si>
  <si>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</si>
  <si>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</si>
  <si>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</si>
  <si>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</si>
  <si>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</si>
  <si>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</si>
  <si>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</si>
  <si>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</si>
  <si>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</si>
  <si>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</si>
  <si>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</si>
  <si>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</si>
  <si>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</si>
  <si>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</si>
  <si>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</si>
  <si>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</si>
  <si>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</si>
  <si>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</si>
  <si>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</si>
  <si>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</si>
  <si>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</si>
  <si>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</si>
  <si>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</si>
  <si>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</si>
  <si>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</si>
  <si>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</si>
  <si>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</si>
  <si>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</si>
  <si>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</si>
  <si>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</si>
  <si>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</si>
  <si>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</si>
  <si>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</si>
  <si>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</si>
  <si>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</si>
  <si>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</si>
  <si>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</si>
  <si>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</si>
  <si>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</si>
  <si>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</si>
  <si>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</si>
  <si>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</si>
  <si>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</si>
  <si>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</si>
  <si>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</si>
  <si>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</si>
  <si>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</si>
  <si>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</si>
  <si>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</si>
  <si>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</si>
  <si>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</si>
  <si>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</si>
  <si>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</si>
  <si>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</si>
  <si>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</si>
  <si>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</si>
  <si>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</si>
  <si>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</si>
  <si>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</si>
  <si>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</si>
  <si>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</si>
  <si>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</si>
  <si>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</si>
  <si>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</si>
  <si>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</si>
  <si>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</si>
  <si>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</si>
  <si>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</si>
  <si>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</si>
  <si>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</si>
  <si>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</si>
  <si>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</si>
  <si>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</si>
  <si>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</si>
  <si>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</si>
  <si>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</si>
  <si>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</si>
  <si>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</si>
  <si>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</si>
  <si>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</si>
  <si>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</si>
  <si>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</si>
  <si>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</si>
  <si>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</si>
  <si>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</si>
  <si>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</si>
  <si>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</si>
  <si>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</si>
  <si>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</si>
  <si>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</si>
  <si>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</si>
  <si>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</si>
  <si>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</si>
  <si>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</si>
  <si>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</si>
  <si>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</si>
  <si>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</si>
  <si>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</si>
  <si>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</si>
  <si>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</si>
  <si>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</si>
  <si>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</si>
  <si>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</si>
  <si>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</si>
  <si>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</si>
  <si>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</si>
  <si>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</si>
  <si>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</si>
  <si>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</si>
  <si>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</si>
  <si>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</si>
  <si>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</si>
  <si>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</si>
  <si>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</si>
  <si>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</si>
  <si>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</si>
  <si>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</si>
  <si>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</si>
  <si>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</si>
  <si>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</si>
  <si>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</si>
  <si>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</si>
  <si>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</si>
  <si>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</si>
  <si>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</si>
  <si>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</si>
  <si>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</si>
  <si>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</si>
  <si>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</si>
  <si>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</si>
  <si>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</si>
  <si>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</si>
  <si>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</si>
  <si>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</si>
  <si>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</si>
  <si>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</si>
  <si>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</si>
  <si>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</si>
  <si>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</si>
  <si>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</si>
  <si>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</si>
  <si>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</si>
  <si>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</si>
  <si>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</si>
  <si>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&lt;-NOTE: every model must have a terminal pelagic &amp; benthic detritus group</t>
  </si>
  <si>
    <t>&lt;-NOTE: BA &amp; EM at very end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</si>
  <si>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</si>
  <si>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</si>
  <si>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</si>
  <si>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</si>
  <si>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</si>
  <si>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</si>
  <si>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</si>
  <si>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import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</si>
  <si>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</si>
  <si>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</si>
  <si>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</si>
  <si>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</si>
  <si>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</si>
  <si>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</si>
  <si>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</si>
  <si>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</si>
  <si>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PhytoCluster</t>
  </si>
  <si>
    <t>[4 5]</t>
  </si>
  <si>
    <t>&lt;-- use AggregationCode numbers and brackets "[ ]"</t>
  </si>
  <si>
    <t>&lt;-NOTE: fisheries FOLLOW terminal detritus groups (on this tab)</t>
  </si>
  <si>
    <t>NOTE: Maximum of 10 primary producers-&gt;</t>
  </si>
  <si>
    <t>micrograzers</t>
  </si>
  <si>
    <t>bacteria</t>
  </si>
  <si>
    <t>Blue sharks</t>
  </si>
  <si>
    <t>Other sharks</t>
  </si>
  <si>
    <t>Broadbill swordfish</t>
  </si>
  <si>
    <t>Blue marlin</t>
  </si>
  <si>
    <t>Striped marlin</t>
  </si>
  <si>
    <t>Other billfishes</t>
  </si>
  <si>
    <t>Small billfishes</t>
  </si>
  <si>
    <t>Baleen whales</t>
  </si>
  <si>
    <t>Toothed whales</t>
  </si>
  <si>
    <t>Bigeye tuna</t>
  </si>
  <si>
    <t>Juvenile bigeye tuna</t>
  </si>
  <si>
    <t>Yellowfin tuna</t>
  </si>
  <si>
    <t>Juvenile yellowfin tuna</t>
  </si>
  <si>
    <t>Albacore tuna</t>
  </si>
  <si>
    <t>Juvenile albacore tuna</t>
  </si>
  <si>
    <t>Skipjack tuna</t>
  </si>
  <si>
    <t>Juvenile skipjack tuna</t>
  </si>
  <si>
    <t>Mahi-mahi</t>
  </si>
  <si>
    <t>Lancetfish</t>
  </si>
  <si>
    <t>Opah</t>
  </si>
  <si>
    <t>Snake mackerel and escolars</t>
  </si>
  <si>
    <t>Other large pelagic fishes</t>
  </si>
  <si>
    <t>Sea birds</t>
  </si>
  <si>
    <t>Sea turtles</t>
  </si>
  <si>
    <t>Small epipelagic fishes</t>
  </si>
  <si>
    <t>Zooplanktivorous micronekton fishes</t>
  </si>
  <si>
    <t>Carnivorous micronekton fishes</t>
  </si>
  <si>
    <t>Decapod crustaceans</t>
  </si>
  <si>
    <t>Other crustaceans</t>
  </si>
  <si>
    <t>Predatory gelatinous</t>
  </si>
  <si>
    <t>Filter-feeding gelatinous</t>
  </si>
  <si>
    <t>Epipelagic mollusks</t>
  </si>
  <si>
    <t>Mesopelagic mollusks</t>
  </si>
  <si>
    <t>Bathypelagic fishes</t>
  </si>
  <si>
    <t>Mesozooplankton</t>
  </si>
  <si>
    <t>Microzooplankton</t>
  </si>
  <si>
    <t>Diatoms</t>
  </si>
  <si>
    <t>Diazotrophs</t>
  </si>
  <si>
    <t>Other large phytoplankton</t>
  </si>
  <si>
    <t>Small phytoplankton</t>
  </si>
  <si>
    <t>Detritus</t>
  </si>
  <si>
    <t>1-sum</t>
  </si>
  <si>
    <t>notes</t>
  </si>
  <si>
    <t>ChoyCNP_11182021</t>
  </si>
  <si>
    <t>added fleet parameters supplied by Anela Choy</t>
  </si>
  <si>
    <t>Purse Seine</t>
  </si>
  <si>
    <t>Troll</t>
  </si>
  <si>
    <t>HLA Shallow LL</t>
  </si>
  <si>
    <t>HLA Deep LL</t>
  </si>
  <si>
    <t>Longline SPC</t>
  </si>
  <si>
    <t>F Purse Seine</t>
  </si>
  <si>
    <t>F Troll</t>
  </si>
  <si>
    <t>F HLA Shallow LL</t>
  </si>
  <si>
    <t>F HLA Deep LL</t>
  </si>
  <si>
    <t>F Longline SPC</t>
  </si>
  <si>
    <t>ChoyCNP_07262023</t>
  </si>
  <si>
    <t>filled out ECOTRAN parameters</t>
  </si>
  <si>
    <t>NOTE: this is the original Choy model for the SPF paper. My depth zone sub-model modifications were made on a different fork of model date lineages (CNP)</t>
  </si>
  <si>
    <t>detritus_TerminalBenthic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</si>
</sst>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6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7C166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C0C0C0"/>
      </bottom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6" borderId="2" xfId="0" applyFont="1" applyFill="1" applyBorder="1" applyAlignment="1">
      <alignment horizontal="center"/>
    </xf>
    <xf numFmtId="0" fontId="1" fillId="26" borderId="4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6" borderId="5" xfId="0" applyFill="1" applyBorder="1"/>
    <xf numFmtId="0" fontId="0" fillId="26" borderId="6" xfId="0" applyFill="1" applyBorder="1"/>
    <xf numFmtId="0" fontId="0" fillId="26" borderId="7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1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2" borderId="0" xfId="0" applyFill="1"/>
    <xf numFmtId="0" fontId="0" fillId="43" borderId="0" xfId="0" applyFill="1"/>
    <xf numFmtId="0" fontId="0" fillId="0" borderId="0" xfId="0" applyFont="1" applyFill="1" applyAlignment="1">
      <alignment horizontal="center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4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41" borderId="3" xfId="0" applyNumberFormat="1" applyFont="1" applyFill="1" applyBorder="1"/>
    <xf numFmtId="0" fontId="0" fillId="41" borderId="2" xfId="0" applyFont="1" applyFill="1" applyBorder="1"/>
    <xf numFmtId="0" fontId="0" fillId="41" borderId="3" xfId="0" applyFont="1" applyFill="1" applyBorder="1"/>
    <xf numFmtId="0" fontId="0" fillId="4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0" borderId="0" xfId="0" applyBorder="1"/>
    <xf numFmtId="0" fontId="0" fillId="54" borderId="0" xfId="0" applyFill="1"/>
    <xf numFmtId="0" fontId="0" fillId="55" borderId="0" xfId="0" applyFill="1"/>
    <xf numFmtId="0" fontId="0" fillId="39" borderId="0" xfId="0" applyFill="1"/>
    <xf numFmtId="0" fontId="0" fillId="47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1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6" borderId="2" xfId="0" applyFill="1" applyBorder="1" applyAlignment="1">
      <alignment horizontal="center"/>
    </xf>
    <xf numFmtId="0" fontId="0" fillId="0" borderId="0" xfId="0" applyFill="1" applyBorder="1"/>
    <xf numFmtId="0" fontId="0" fillId="26" borderId="4" xfId="0" applyFill="1" applyBorder="1" applyAlignment="1">
      <alignment horizontal="center"/>
    </xf>
    <xf numFmtId="0" fontId="0" fillId="26" borderId="3" xfId="0" applyFill="1" applyBorder="1"/>
    <xf numFmtId="0" fontId="9" fillId="0" borderId="0" xfId="0" applyFont="1" applyAlignment="1">
      <alignment horizontal="left"/>
    </xf>
    <xf numFmtId="0" fontId="0" fillId="0" borderId="15" xfId="0" applyFont="1" applyBorder="1"/>
    <xf numFmtId="0" fontId="0" fillId="0" borderId="17" xfId="0" applyFont="1" applyBorder="1"/>
    <xf numFmtId="0" fontId="10" fillId="0" borderId="18" xfId="0" applyFont="1" applyFill="1" applyBorder="1" applyAlignment="1">
      <alignment horizontal="right" wrapText="1"/>
    </xf>
    <xf numFmtId="0" fontId="0" fillId="0" borderId="16" xfId="0" applyFont="1" applyFill="1" applyBorder="1" applyAlignment="1">
      <alignment horizontal="right"/>
    </xf>
    <xf numFmtId="0" fontId="0" fillId="0" borderId="19" xfId="0" applyFont="1" applyBorder="1"/>
    <xf numFmtId="0" fontId="0" fillId="0" borderId="20" xfId="0" applyFont="1" applyBorder="1"/>
    <xf numFmtId="0" fontId="0" fillId="0" borderId="1" xfId="0" applyFont="1" applyBorder="1"/>
    <xf numFmtId="0" fontId="0" fillId="0" borderId="21" xfId="0" applyFont="1" applyBorder="1"/>
    <xf numFmtId="0" fontId="1" fillId="0" borderId="23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0" xfId="0" applyBorder="1" applyAlignment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13" fillId="0" borderId="0" xfId="0" applyFont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49" fontId="0" fillId="0" borderId="0" xfId="0" applyNumberFormat="1"/>
    <xf numFmtId="0" fontId="13" fillId="0" borderId="0" xfId="0" applyFont="1" applyAlignment="1">
      <alignment horizontal="right"/>
    </xf>
    <xf numFmtId="0" fontId="10" fillId="0" borderId="24" xfId="0" applyFont="1" applyFill="1" applyBorder="1" applyAlignment="1">
      <alignment horizontal="left" wrapText="1"/>
    </xf>
    <xf numFmtId="0" fontId="13" fillId="0" borderId="0" xfId="0" applyFont="1" applyAlignment="1">
      <alignment horizontal="center"/>
    </xf>
    <xf numFmtId="0" fontId="0" fillId="16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147</v>
      </c>
    </row>
    <row r="3" spans="2:4" x14ac:dyDescent="0.15">
      <c r="B3" t="s">
        <v>148</v>
      </c>
    </row>
    <row r="4" spans="2:4" x14ac:dyDescent="0.15">
      <c r="B4" s="62" t="s">
        <v>172</v>
      </c>
    </row>
    <row r="6" spans="2:4" ht="14" thickBot="1" x14ac:dyDescent="0.2">
      <c r="B6" s="46" t="s">
        <v>143</v>
      </c>
    </row>
    <row r="7" spans="2:4" x14ac:dyDescent="0.15">
      <c r="B7" s="62" t="s">
        <v>145</v>
      </c>
    </row>
    <row r="8" spans="2:4" x14ac:dyDescent="0.15">
      <c r="B8" s="62" t="s">
        <v>144</v>
      </c>
    </row>
    <row r="9" spans="2:4" x14ac:dyDescent="0.15">
      <c r="B9" s="62" t="s">
        <v>146</v>
      </c>
    </row>
    <row r="10" spans="2:4" x14ac:dyDescent="0.15">
      <c r="B10" s="62" t="s">
        <v>149</v>
      </c>
    </row>
    <row r="11" spans="2:4" x14ac:dyDescent="0.15">
      <c r="B11" s="62" t="s">
        <v>153</v>
      </c>
    </row>
    <row r="12" spans="2:4" x14ac:dyDescent="0.15">
      <c r="B12" s="62" t="s">
        <v>155</v>
      </c>
    </row>
    <row r="13" spans="2:4" x14ac:dyDescent="0.15">
      <c r="B13" s="62" t="s">
        <v>173</v>
      </c>
    </row>
    <row r="15" spans="2:4" ht="14" thickBot="1" x14ac:dyDescent="0.2"/>
    <row r="16" spans="2:4" ht="14" thickBot="1" x14ac:dyDescent="0.2">
      <c r="B16" s="47" t="s">
        <v>139</v>
      </c>
      <c r="C16" s="48"/>
      <c r="D16" s="30">
        <v>41373</v>
      </c>
    </row>
    <row r="17" spans="2:4" x14ac:dyDescent="0.15">
      <c r="B17" s="49" t="s">
        <v>59</v>
      </c>
      <c r="C17" s="33">
        <v>0</v>
      </c>
    </row>
    <row r="18" spans="2:4" x14ac:dyDescent="0.15">
      <c r="B18" s="49" t="s">
        <v>60</v>
      </c>
      <c r="C18" s="33">
        <v>1</v>
      </c>
    </row>
    <row r="19" spans="2:4" x14ac:dyDescent="0.15">
      <c r="B19" s="49" t="s">
        <v>61</v>
      </c>
      <c r="C19" s="33">
        <v>2</v>
      </c>
    </row>
    <row r="20" spans="2:4" ht="14" thickBot="1" x14ac:dyDescent="0.2">
      <c r="B20" s="50" t="s">
        <v>45</v>
      </c>
      <c r="C20" s="34">
        <v>3</v>
      </c>
    </row>
    <row r="21" spans="2:4" x14ac:dyDescent="0.15">
      <c r="B21" s="51" t="s">
        <v>142</v>
      </c>
    </row>
    <row r="22" spans="2:4" ht="14" thickBot="1" x14ac:dyDescent="0.2"/>
    <row r="23" spans="2:4" ht="14" thickBot="1" x14ac:dyDescent="0.2">
      <c r="B23" s="47" t="s">
        <v>67</v>
      </c>
      <c r="C23" s="48"/>
      <c r="D23" s="30" t="s">
        <v>150</v>
      </c>
    </row>
    <row r="24" spans="2:4" x14ac:dyDescent="0.15">
      <c r="B24" s="53" t="s">
        <v>39</v>
      </c>
      <c r="C24" s="31">
        <v>1</v>
      </c>
    </row>
    <row r="25" spans="2:4" x14ac:dyDescent="0.15">
      <c r="B25" s="49" t="s">
        <v>41</v>
      </c>
      <c r="C25" s="33">
        <v>1.1000000000000001</v>
      </c>
    </row>
    <row r="26" spans="2:4" x14ac:dyDescent="0.15">
      <c r="B26" s="49" t="s">
        <v>42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43</v>
      </c>
      <c r="C28" s="33">
        <v>2.1</v>
      </c>
    </row>
    <row r="29" spans="2:4" x14ac:dyDescent="0.15">
      <c r="B29" s="49" t="s">
        <v>44</v>
      </c>
      <c r="C29" s="33">
        <v>2.2000000000000002</v>
      </c>
    </row>
    <row r="30" spans="2:4" x14ac:dyDescent="0.15">
      <c r="B30" s="49" t="s">
        <v>69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64</v>
      </c>
      <c r="C32" s="33">
        <v>3.11</v>
      </c>
    </row>
    <row r="33" spans="2:3" x14ac:dyDescent="0.15">
      <c r="B33" s="49" t="s">
        <v>63</v>
      </c>
      <c r="C33" s="33">
        <v>3.12</v>
      </c>
    </row>
    <row r="34" spans="2:3" x14ac:dyDescent="0.15">
      <c r="B34" s="49" t="s">
        <v>70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68</v>
      </c>
      <c r="C36" s="33">
        <v>3.21</v>
      </c>
    </row>
    <row r="37" spans="2:3" x14ac:dyDescent="0.15">
      <c r="B37" s="49" t="s">
        <v>65</v>
      </c>
      <c r="C37" s="33">
        <v>3.22</v>
      </c>
    </row>
    <row r="38" spans="2:3" x14ac:dyDescent="0.15">
      <c r="B38" s="49" t="s">
        <v>71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66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73</v>
      </c>
      <c r="C42" s="33">
        <v>4.0999999999999996</v>
      </c>
    </row>
    <row r="43" spans="2:3" x14ac:dyDescent="0.15">
      <c r="B43" s="49" t="s">
        <v>72</v>
      </c>
      <c r="C43" s="33">
        <v>4.2</v>
      </c>
    </row>
    <row r="44" spans="2:3" x14ac:dyDescent="0.15">
      <c r="B44" s="49" t="s">
        <v>74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140</v>
      </c>
      <c r="C46" s="33">
        <v>6.1</v>
      </c>
    </row>
    <row r="47" spans="2:3" x14ac:dyDescent="0.15">
      <c r="B47" s="49" t="s">
        <v>46</v>
      </c>
      <c r="C47" s="33">
        <v>6.2</v>
      </c>
    </row>
    <row r="48" spans="2:3" x14ac:dyDescent="0.15">
      <c r="B48" s="49"/>
      <c r="C48" s="33"/>
    </row>
    <row r="49" spans="2:3" x14ac:dyDescent="0.15">
      <c r="B49" s="49" t="s">
        <v>45</v>
      </c>
      <c r="C49" s="33">
        <v>5</v>
      </c>
    </row>
    <row r="50" spans="2:3" x14ac:dyDescent="0.15">
      <c r="B50" s="49"/>
      <c r="C50" s="33"/>
    </row>
    <row r="51" spans="2:3" ht="14" thickBot="1" x14ac:dyDescent="0.2">
      <c r="B51" s="50" t="s">
        <v>75</v>
      </c>
      <c r="C51" s="34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34" activePane="bottomLeft" state="frozenSplit"/>
      <selection activeCell="E1" sqref="E1"/>
      <selection pane="bottomLeft" activeCell="C51" sqref="C51"/>
    </sheetView>
  </sheetViews>
  <sheetFormatPr baseColWidth="10" defaultColWidth="8.83203125" defaultRowHeight="15" customHeight="1" x14ac:dyDescent="0.15"/>
  <cols>
    <col min="1" max="1" width="22.5" style="85" customWidth="1"/>
    <col min="2" max="2" width="7.6640625" style="85" customWidth="1"/>
    <col min="3" max="3" width="8.83203125" style="85"/>
    <col min="4" max="4" width="14.33203125" style="85" customWidth="1"/>
    <col min="5" max="5" width="41.83203125" style="85" bestFit="1" customWidth="1"/>
    <col min="6" max="6" width="9.5" style="85" bestFit="1" customWidth="1"/>
    <col min="7" max="7" width="8.1640625" style="85" bestFit="1" customWidth="1"/>
    <col min="8" max="14" width="8.83203125" style="85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0" customFormat="1" ht="15" customHeight="1" x14ac:dyDescent="0.15">
      <c r="A1" s="81" t="s">
        <v>19</v>
      </c>
      <c r="C1" s="82" t="s">
        <v>8</v>
      </c>
      <c r="D1" s="81" t="s">
        <v>24</v>
      </c>
      <c r="E1" s="81" t="s">
        <v>0</v>
      </c>
      <c r="F1" s="81" t="s">
        <v>7</v>
      </c>
      <c r="G1" s="83" t="s">
        <v>14</v>
      </c>
      <c r="H1" s="81" t="s">
        <v>1</v>
      </c>
      <c r="I1" s="81" t="s">
        <v>2</v>
      </c>
      <c r="J1" s="81" t="s">
        <v>15</v>
      </c>
      <c r="K1" s="81" t="s">
        <v>3</v>
      </c>
      <c r="L1" s="81" t="s">
        <v>4</v>
      </c>
      <c r="M1" s="81" t="s">
        <v>5</v>
      </c>
      <c r="N1" s="81" t="s">
        <v>6</v>
      </c>
      <c r="O1"/>
      <c r="P1" s="81" t="s">
        <v>224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>
        <v>1</v>
      </c>
      <c r="E2" t="s">
        <v>182</v>
      </c>
      <c r="F2">
        <v>0</v>
      </c>
      <c r="G2">
        <v>1.9E-3</v>
      </c>
      <c r="H2">
        <v>0.42</v>
      </c>
      <c r="I2">
        <v>1.5</v>
      </c>
      <c r="J2"/>
      <c r="K2"/>
      <c r="L2">
        <v>0</v>
      </c>
      <c r="M2">
        <v>0.2</v>
      </c>
      <c r="N2">
        <v>0</v>
      </c>
    </row>
    <row r="3" spans="1:46" ht="15" customHeight="1" x14ac:dyDescent="0.15">
      <c r="A3" s="1" t="s">
        <v>9</v>
      </c>
      <c r="B3" s="4">
        <v>40</v>
      </c>
      <c r="C3">
        <v>2</v>
      </c>
      <c r="E3" t="s">
        <v>183</v>
      </c>
      <c r="F3">
        <v>0</v>
      </c>
      <c r="G3">
        <v>2E-3</v>
      </c>
      <c r="H3">
        <v>0.32</v>
      </c>
      <c r="I3">
        <v>2.82</v>
      </c>
      <c r="J3"/>
      <c r="K3"/>
      <c r="L3">
        <v>0</v>
      </c>
      <c r="M3">
        <v>0.2</v>
      </c>
      <c r="N3">
        <v>0</v>
      </c>
    </row>
    <row r="4" spans="1:46" ht="15" customHeight="1" x14ac:dyDescent="0.15">
      <c r="A4" s="1" t="s">
        <v>10</v>
      </c>
      <c r="B4" s="4">
        <v>2</v>
      </c>
      <c r="C4">
        <v>3</v>
      </c>
      <c r="E4" t="s">
        <v>184</v>
      </c>
      <c r="F4">
        <v>0</v>
      </c>
      <c r="G4">
        <v>1.8E-3</v>
      </c>
      <c r="H4">
        <v>0.35</v>
      </c>
      <c r="I4">
        <v>3.3</v>
      </c>
      <c r="J4"/>
      <c r="K4"/>
      <c r="L4">
        <v>0</v>
      </c>
      <c r="M4">
        <v>0.2</v>
      </c>
      <c r="N4">
        <v>0</v>
      </c>
      <c r="V4" s="1" t="s">
        <v>30</v>
      </c>
    </row>
    <row r="5" spans="1:46" ht="15" customHeight="1" thickBot="1" x14ac:dyDescent="0.2">
      <c r="A5" s="1" t="s">
        <v>11</v>
      </c>
      <c r="B5" s="4">
        <v>5</v>
      </c>
      <c r="C5">
        <v>4</v>
      </c>
      <c r="E5" t="s">
        <v>185</v>
      </c>
      <c r="F5">
        <v>0</v>
      </c>
      <c r="G5">
        <v>5.0000000000000001E-4</v>
      </c>
      <c r="H5">
        <v>0.47</v>
      </c>
      <c r="I5">
        <v>3.8</v>
      </c>
      <c r="J5"/>
      <c r="K5"/>
      <c r="L5">
        <v>0</v>
      </c>
      <c r="M5">
        <v>0.2</v>
      </c>
      <c r="N5">
        <v>0</v>
      </c>
      <c r="P5" s="73"/>
      <c r="Q5" s="73"/>
      <c r="R5" s="73"/>
    </row>
    <row r="6" spans="1:46" ht="15" customHeight="1" thickBot="1" x14ac:dyDescent="0.2">
      <c r="B6" s="1"/>
      <c r="C6">
        <v>5</v>
      </c>
      <c r="E6" t="s">
        <v>186</v>
      </c>
      <c r="F6">
        <v>0</v>
      </c>
      <c r="G6">
        <v>5.9999999999999995E-4</v>
      </c>
      <c r="H6">
        <v>0.47</v>
      </c>
      <c r="I6">
        <v>3.8</v>
      </c>
      <c r="J6"/>
      <c r="K6"/>
      <c r="L6">
        <v>0</v>
      </c>
      <c r="M6">
        <v>0.2</v>
      </c>
      <c r="N6">
        <v>0</v>
      </c>
      <c r="P6" s="73"/>
      <c r="Q6" s="73"/>
      <c r="R6" s="73"/>
      <c r="W6" s="36" t="s">
        <v>32</v>
      </c>
      <c r="X6" s="52">
        <f>MAX(MainOutputs!G:G)</f>
        <v>0.97999995946884155</v>
      </c>
    </row>
    <row r="7" spans="1:46" ht="15" customHeight="1" x14ac:dyDescent="0.15">
      <c r="A7" s="2" t="s">
        <v>28</v>
      </c>
      <c r="B7" s="85">
        <f ca="1">COUNTIF(OFFSET(cornerDiets,1,1,NumLiving+NumDead+1,NumLiving+NumDead),"&gt;0")+NumLiving+NumDead+1</f>
        <v>461</v>
      </c>
      <c r="C7">
        <v>6</v>
      </c>
      <c r="E7" t="s">
        <v>187</v>
      </c>
      <c r="F7">
        <v>0</v>
      </c>
      <c r="G7" s="152"/>
      <c r="H7">
        <v>0.81</v>
      </c>
      <c r="I7">
        <v>6.07</v>
      </c>
      <c r="J7">
        <v>0.4</v>
      </c>
      <c r="K7"/>
      <c r="L7">
        <v>0</v>
      </c>
      <c r="M7">
        <v>0.2</v>
      </c>
      <c r="N7">
        <v>0</v>
      </c>
      <c r="P7" s="152">
        <v>5.0000000000000001E-4</v>
      </c>
      <c r="Q7" s="73"/>
      <c r="R7" s="73"/>
    </row>
    <row r="8" spans="1:46" ht="15" customHeight="1" x14ac:dyDescent="0.15">
      <c r="A8" s="2" t="s">
        <v>29</v>
      </c>
      <c r="B8" s="85">
        <f ca="1">COUNTIF(OFFSET(cornerFishing,1,2,NumLiving+NumDead,NumGears),"&gt;0")+NumDead*COUNTIF(OFFSET(cornerDiscards,1,2,NumLiving+NumDead,NumGears),"&gt;0")+NumLiving+NumDead+1</f>
        <v>86</v>
      </c>
      <c r="C8">
        <v>7</v>
      </c>
      <c r="E8" t="s">
        <v>188</v>
      </c>
      <c r="F8">
        <v>0</v>
      </c>
      <c r="G8" s="152"/>
      <c r="H8">
        <v>1</v>
      </c>
      <c r="I8">
        <v>10</v>
      </c>
      <c r="J8">
        <v>0.6</v>
      </c>
      <c r="K8"/>
      <c r="L8">
        <v>0</v>
      </c>
      <c r="M8">
        <v>0.2</v>
      </c>
      <c r="N8">
        <v>0</v>
      </c>
      <c r="P8" s="152">
        <v>7.0000000000000007E-2</v>
      </c>
      <c r="Q8" s="73"/>
      <c r="R8" s="73"/>
    </row>
    <row r="9" spans="1:46" ht="15" customHeight="1" x14ac:dyDescent="0.15">
      <c r="B9" s="1"/>
      <c r="C9">
        <v>8</v>
      </c>
      <c r="E9" t="s">
        <v>189</v>
      </c>
      <c r="F9">
        <v>0</v>
      </c>
      <c r="G9">
        <v>7.8E-2</v>
      </c>
      <c r="H9">
        <v>0.08</v>
      </c>
      <c r="I9">
        <v>7.4</v>
      </c>
      <c r="J9"/>
      <c r="K9"/>
      <c r="L9">
        <v>0</v>
      </c>
      <c r="M9">
        <v>0.2</v>
      </c>
      <c r="N9">
        <v>0</v>
      </c>
      <c r="P9" s="73"/>
      <c r="Q9" s="73"/>
      <c r="R9" s="73"/>
    </row>
    <row r="10" spans="1:46" ht="15" customHeight="1" x14ac:dyDescent="0.15">
      <c r="B10" s="1"/>
      <c r="C10">
        <v>9</v>
      </c>
      <c r="E10" t="s">
        <v>190</v>
      </c>
      <c r="F10">
        <v>0</v>
      </c>
      <c r="G10">
        <v>3.49E-2</v>
      </c>
      <c r="H10">
        <v>0.03</v>
      </c>
      <c r="I10">
        <v>13</v>
      </c>
      <c r="J10"/>
      <c r="K10"/>
      <c r="L10">
        <v>0</v>
      </c>
      <c r="M10">
        <v>0.2</v>
      </c>
      <c r="N10">
        <v>0</v>
      </c>
    </row>
    <row r="11" spans="1:46" ht="15" customHeight="1" x14ac:dyDescent="0.15">
      <c r="C11">
        <v>10</v>
      </c>
      <c r="E11" s="153" t="s">
        <v>191</v>
      </c>
      <c r="F11">
        <v>0</v>
      </c>
      <c r="G11">
        <v>4.1000000000000003E-3</v>
      </c>
      <c r="H11">
        <v>0.5</v>
      </c>
      <c r="I11">
        <v>8.1999999999999993</v>
      </c>
      <c r="J11"/>
      <c r="K11"/>
      <c r="L11">
        <v>0</v>
      </c>
      <c r="M11">
        <v>0.2</v>
      </c>
      <c r="N11">
        <v>0</v>
      </c>
    </row>
    <row r="12" spans="1:46" ht="15" customHeight="1" x14ac:dyDescent="0.15">
      <c r="C12">
        <v>11</v>
      </c>
      <c r="E12" s="153" t="s">
        <v>192</v>
      </c>
      <c r="F12">
        <v>0</v>
      </c>
      <c r="G12">
        <v>3.0000000000000001E-3</v>
      </c>
      <c r="H12">
        <v>0.6</v>
      </c>
      <c r="I12">
        <v>14.7</v>
      </c>
      <c r="J12"/>
      <c r="K12"/>
      <c r="L12">
        <v>0</v>
      </c>
      <c r="M12">
        <v>0.2</v>
      </c>
      <c r="N12">
        <v>0</v>
      </c>
    </row>
    <row r="13" spans="1:46" ht="15" customHeight="1" x14ac:dyDescent="0.15">
      <c r="C13">
        <v>12</v>
      </c>
      <c r="E13" s="153" t="s">
        <v>193</v>
      </c>
      <c r="F13">
        <v>0</v>
      </c>
      <c r="G13">
        <v>1.9599999999999999E-2</v>
      </c>
      <c r="H13">
        <v>0.4</v>
      </c>
      <c r="I13">
        <v>10.6</v>
      </c>
      <c r="J13"/>
      <c r="K13"/>
      <c r="L13">
        <v>0</v>
      </c>
      <c r="M13">
        <v>0.2</v>
      </c>
      <c r="N13">
        <v>0</v>
      </c>
    </row>
    <row r="14" spans="1:46" ht="15" customHeight="1" x14ac:dyDescent="0.15">
      <c r="C14">
        <v>13</v>
      </c>
      <c r="E14" s="153" t="s">
        <v>194</v>
      </c>
      <c r="F14">
        <v>0</v>
      </c>
      <c r="G14">
        <v>1.1000000000000001E-3</v>
      </c>
      <c r="H14">
        <v>0.5</v>
      </c>
      <c r="I14">
        <v>26.33</v>
      </c>
      <c r="J14"/>
      <c r="K14"/>
      <c r="L14">
        <v>0</v>
      </c>
      <c r="M14">
        <v>0.2</v>
      </c>
      <c r="N14">
        <v>0</v>
      </c>
    </row>
    <row r="15" spans="1:46" ht="15" customHeight="1" x14ac:dyDescent="0.15">
      <c r="C15">
        <v>14</v>
      </c>
      <c r="E15" s="153" t="s">
        <v>195</v>
      </c>
      <c r="F15">
        <v>0</v>
      </c>
      <c r="G15">
        <v>1.52E-2</v>
      </c>
      <c r="H15">
        <v>0.4</v>
      </c>
      <c r="I15">
        <v>9.6</v>
      </c>
      <c r="J15"/>
      <c r="K15"/>
      <c r="L15">
        <v>0</v>
      </c>
      <c r="M15">
        <v>0.2</v>
      </c>
      <c r="N15">
        <v>0</v>
      </c>
    </row>
    <row r="16" spans="1:46" ht="15" customHeight="1" x14ac:dyDescent="0.15">
      <c r="C16">
        <v>15</v>
      </c>
      <c r="E16" s="153" t="s">
        <v>196</v>
      </c>
      <c r="F16">
        <v>0</v>
      </c>
      <c r="G16">
        <v>1.8200000000000001E-2</v>
      </c>
      <c r="H16">
        <v>0.35</v>
      </c>
      <c r="I16">
        <v>14.92</v>
      </c>
      <c r="J16"/>
      <c r="K16"/>
      <c r="L16">
        <v>0</v>
      </c>
      <c r="M16">
        <v>0.2</v>
      </c>
      <c r="N16">
        <v>0</v>
      </c>
    </row>
    <row r="17" spans="1:22" ht="15" customHeight="1" x14ac:dyDescent="0.15">
      <c r="C17">
        <v>16</v>
      </c>
      <c r="E17" s="153" t="s">
        <v>197</v>
      </c>
      <c r="F17">
        <v>0</v>
      </c>
      <c r="G17">
        <v>2.0799999999999999E-2</v>
      </c>
      <c r="H17">
        <v>1.9</v>
      </c>
      <c r="I17">
        <v>14.09</v>
      </c>
      <c r="J17"/>
      <c r="K17"/>
      <c r="L17">
        <v>0</v>
      </c>
      <c r="M17">
        <v>0.2</v>
      </c>
      <c r="N17">
        <v>0</v>
      </c>
      <c r="V17" s="1" t="s">
        <v>31</v>
      </c>
    </row>
    <row r="18" spans="1:22" ht="15" customHeight="1" x14ac:dyDescent="0.15">
      <c r="C18">
        <v>17</v>
      </c>
      <c r="E18" s="153" t="s">
        <v>198</v>
      </c>
      <c r="F18">
        <v>0</v>
      </c>
      <c r="G18">
        <v>6.4299999999999996E-2</v>
      </c>
      <c r="H18">
        <v>5.5</v>
      </c>
      <c r="I18">
        <v>30</v>
      </c>
      <c r="J18"/>
      <c r="K18"/>
      <c r="L18">
        <v>0</v>
      </c>
      <c r="M18">
        <v>0.2</v>
      </c>
      <c r="N18">
        <v>0</v>
      </c>
      <c r="V18" s="1"/>
    </row>
    <row r="19" spans="1:22" ht="15" customHeight="1" x14ac:dyDescent="0.15">
      <c r="C19">
        <v>18</v>
      </c>
      <c r="E19" s="153" t="s">
        <v>199</v>
      </c>
      <c r="F19">
        <v>0</v>
      </c>
      <c r="G19" s="152"/>
      <c r="H19">
        <v>1</v>
      </c>
      <c r="I19">
        <v>8.48</v>
      </c>
      <c r="J19">
        <v>0.8</v>
      </c>
      <c r="K19"/>
      <c r="L19">
        <v>0</v>
      </c>
      <c r="M19">
        <v>0.2</v>
      </c>
      <c r="N19">
        <v>0</v>
      </c>
      <c r="P19" s="152">
        <v>7.6100000000000001E-2</v>
      </c>
    </row>
    <row r="20" spans="1:22" ht="15" customHeight="1" thickBot="1" x14ac:dyDescent="0.2">
      <c r="C20">
        <v>19</v>
      </c>
      <c r="E20" s="153" t="s">
        <v>200</v>
      </c>
      <c r="F20">
        <v>0</v>
      </c>
      <c r="G20" s="152"/>
      <c r="H20">
        <v>0.47</v>
      </c>
      <c r="I20">
        <v>4</v>
      </c>
      <c r="J20">
        <v>0.6</v>
      </c>
      <c r="K20"/>
      <c r="L20">
        <v>0</v>
      </c>
      <c r="M20">
        <v>0.2</v>
      </c>
      <c r="N20">
        <v>0</v>
      </c>
      <c r="P20" s="152">
        <v>0.90310000000000001</v>
      </c>
    </row>
    <row r="21" spans="1:22" ht="15" customHeight="1" thickBot="1" x14ac:dyDescent="0.2">
      <c r="A21" s="47" t="s">
        <v>139</v>
      </c>
      <c r="B21" s="101"/>
      <c r="C21">
        <v>20</v>
      </c>
      <c r="E21" s="153" t="s">
        <v>201</v>
      </c>
      <c r="F21">
        <v>0</v>
      </c>
      <c r="G21" s="152"/>
      <c r="H21">
        <v>0.22</v>
      </c>
      <c r="I21">
        <v>3.5</v>
      </c>
      <c r="J21">
        <v>0.6</v>
      </c>
      <c r="K21"/>
      <c r="L21">
        <v>0</v>
      </c>
      <c r="M21">
        <v>0.2</v>
      </c>
      <c r="N21">
        <v>0</v>
      </c>
      <c r="P21" s="152">
        <v>5.3499999999999999E-2</v>
      </c>
    </row>
    <row r="22" spans="1:22" ht="15" customHeight="1" x14ac:dyDescent="0.15">
      <c r="A22" s="102" t="s">
        <v>59</v>
      </c>
      <c r="B22" s="103">
        <v>0</v>
      </c>
      <c r="C22">
        <v>21</v>
      </c>
      <c r="E22" s="153" t="s">
        <v>202</v>
      </c>
      <c r="F22">
        <v>0</v>
      </c>
      <c r="G22" s="152"/>
      <c r="H22">
        <v>0.28000000000000003</v>
      </c>
      <c r="I22">
        <v>3.88</v>
      </c>
      <c r="J22">
        <v>0.6</v>
      </c>
      <c r="K22"/>
      <c r="L22">
        <v>0</v>
      </c>
      <c r="M22">
        <v>0.2</v>
      </c>
      <c r="N22">
        <v>0</v>
      </c>
      <c r="P22" s="152">
        <v>1.1578999999999999</v>
      </c>
    </row>
    <row r="23" spans="1:22" ht="15" customHeight="1" x14ac:dyDescent="0.15">
      <c r="A23" s="102" t="s">
        <v>60</v>
      </c>
      <c r="B23" s="103">
        <v>1</v>
      </c>
      <c r="C23">
        <v>22</v>
      </c>
      <c r="E23" s="153" t="s">
        <v>203</v>
      </c>
      <c r="F23">
        <v>0</v>
      </c>
      <c r="G23" s="152"/>
      <c r="H23">
        <v>0.6</v>
      </c>
      <c r="I23">
        <v>4.13</v>
      </c>
      <c r="J23">
        <v>0.9</v>
      </c>
      <c r="K23"/>
      <c r="L23">
        <v>0</v>
      </c>
      <c r="M23">
        <v>0.2</v>
      </c>
      <c r="N23">
        <v>0</v>
      </c>
      <c r="P23" s="152">
        <v>2.8368000000000002</v>
      </c>
    </row>
    <row r="24" spans="1:22" ht="15" customHeight="1" x14ac:dyDescent="0.15">
      <c r="A24" s="102" t="s">
        <v>61</v>
      </c>
      <c r="B24" s="103">
        <v>2</v>
      </c>
      <c r="C24">
        <v>23</v>
      </c>
      <c r="E24" s="153" t="s">
        <v>204</v>
      </c>
      <c r="F24">
        <v>0</v>
      </c>
      <c r="G24">
        <v>2.9999999999999997E-4</v>
      </c>
      <c r="H24">
        <v>1</v>
      </c>
      <c r="I24">
        <v>80</v>
      </c>
      <c r="J24"/>
      <c r="K24"/>
      <c r="L24">
        <v>0</v>
      </c>
      <c r="M24">
        <v>0.2</v>
      </c>
      <c r="N24">
        <v>0</v>
      </c>
    </row>
    <row r="25" spans="1:22" ht="15" customHeight="1" thickBot="1" x14ac:dyDescent="0.2">
      <c r="A25" s="104" t="s">
        <v>45</v>
      </c>
      <c r="B25" s="105">
        <v>3</v>
      </c>
      <c r="C25">
        <v>24</v>
      </c>
      <c r="E25" s="153" t="s">
        <v>205</v>
      </c>
      <c r="F25">
        <v>0</v>
      </c>
      <c r="G25">
        <v>2.8999999999999998E-3</v>
      </c>
      <c r="H25">
        <v>0.12</v>
      </c>
      <c r="I25">
        <v>19.8</v>
      </c>
      <c r="J25"/>
      <c r="K25"/>
      <c r="L25">
        <v>0</v>
      </c>
      <c r="M25">
        <v>0.2</v>
      </c>
      <c r="N25">
        <v>0</v>
      </c>
    </row>
    <row r="26" spans="1:22" ht="15" customHeight="1" x14ac:dyDescent="0.15">
      <c r="A26" s="106" t="s">
        <v>142</v>
      </c>
      <c r="C26">
        <v>25</v>
      </c>
      <c r="E26" s="153" t="s">
        <v>206</v>
      </c>
      <c r="F26">
        <v>0</v>
      </c>
      <c r="G26">
        <v>2</v>
      </c>
      <c r="H26">
        <v>2.4</v>
      </c>
      <c r="I26">
        <v>9</v>
      </c>
      <c r="J26"/>
      <c r="K26"/>
      <c r="L26">
        <v>0</v>
      </c>
      <c r="M26">
        <v>0.2</v>
      </c>
      <c r="N26">
        <v>0</v>
      </c>
    </row>
    <row r="27" spans="1:22" ht="15" customHeight="1" x14ac:dyDescent="0.15">
      <c r="C27">
        <v>26</v>
      </c>
      <c r="E27" s="153" t="s">
        <v>207</v>
      </c>
      <c r="F27">
        <v>0</v>
      </c>
      <c r="G27">
        <v>5.8</v>
      </c>
      <c r="H27">
        <v>2.1</v>
      </c>
      <c r="I27">
        <v>8</v>
      </c>
      <c r="J27"/>
      <c r="K27"/>
      <c r="L27">
        <v>0</v>
      </c>
      <c r="M27">
        <v>0.2</v>
      </c>
      <c r="N27">
        <v>0</v>
      </c>
    </row>
    <row r="28" spans="1:22" ht="15" customHeight="1" x14ac:dyDescent="0.15">
      <c r="C28">
        <v>27</v>
      </c>
      <c r="E28" s="153" t="s">
        <v>208</v>
      </c>
      <c r="F28">
        <v>0</v>
      </c>
      <c r="G28">
        <v>3.9</v>
      </c>
      <c r="H28">
        <v>1.7</v>
      </c>
      <c r="I28">
        <v>6</v>
      </c>
      <c r="J28"/>
      <c r="K28"/>
      <c r="L28">
        <v>0</v>
      </c>
      <c r="M28">
        <v>0.2</v>
      </c>
      <c r="N28">
        <v>0</v>
      </c>
    </row>
    <row r="29" spans="1:22" customFormat="1" ht="15" customHeight="1" x14ac:dyDescent="0.15">
      <c r="C29">
        <v>28</v>
      </c>
      <c r="D29" s="85"/>
      <c r="E29" s="153" t="s">
        <v>209</v>
      </c>
      <c r="F29">
        <v>0</v>
      </c>
      <c r="G29">
        <v>2.4950999999999999</v>
      </c>
      <c r="H29">
        <v>4.8</v>
      </c>
      <c r="I29">
        <v>25</v>
      </c>
      <c r="L29">
        <v>0</v>
      </c>
      <c r="M29">
        <v>0.2</v>
      </c>
      <c r="N29">
        <v>0</v>
      </c>
    </row>
    <row r="30" spans="1:22" customFormat="1" ht="15" customHeight="1" x14ac:dyDescent="0.15">
      <c r="C30">
        <v>29</v>
      </c>
      <c r="D30" s="85"/>
      <c r="E30" s="153" t="s">
        <v>210</v>
      </c>
      <c r="F30">
        <v>0</v>
      </c>
      <c r="G30" s="152"/>
      <c r="H30">
        <v>8</v>
      </c>
      <c r="I30">
        <v>25</v>
      </c>
      <c r="J30">
        <v>0.95</v>
      </c>
      <c r="L30">
        <v>0</v>
      </c>
      <c r="M30">
        <v>0.2</v>
      </c>
      <c r="N30">
        <v>0</v>
      </c>
      <c r="P30" s="152">
        <v>3.0427</v>
      </c>
    </row>
    <row r="31" spans="1:22" customFormat="1" ht="15" customHeight="1" x14ac:dyDescent="0.15">
      <c r="C31">
        <v>30</v>
      </c>
      <c r="D31" s="85"/>
      <c r="E31" s="153" t="s">
        <v>211</v>
      </c>
      <c r="F31">
        <v>0</v>
      </c>
      <c r="G31">
        <v>1.8644000000000001</v>
      </c>
      <c r="H31">
        <v>5.01</v>
      </c>
      <c r="I31">
        <v>25.05</v>
      </c>
      <c r="L31">
        <v>0</v>
      </c>
      <c r="M31">
        <v>0.2</v>
      </c>
      <c r="N31">
        <v>0</v>
      </c>
    </row>
    <row r="32" spans="1:22" customFormat="1" ht="15" customHeight="1" x14ac:dyDescent="0.15">
      <c r="C32">
        <v>31</v>
      </c>
      <c r="D32" s="85"/>
      <c r="E32" s="153" t="s">
        <v>212</v>
      </c>
      <c r="F32">
        <v>0</v>
      </c>
      <c r="G32">
        <v>0.91200000000000003</v>
      </c>
      <c r="H32">
        <v>5.4</v>
      </c>
      <c r="I32">
        <v>20</v>
      </c>
      <c r="L32">
        <v>0</v>
      </c>
      <c r="M32">
        <v>0.2</v>
      </c>
      <c r="N32">
        <v>0</v>
      </c>
    </row>
    <row r="33" spans="3:16" customFormat="1" ht="15" customHeight="1" x14ac:dyDescent="0.15">
      <c r="C33">
        <v>32</v>
      </c>
      <c r="D33" s="85"/>
      <c r="E33" s="153" t="s">
        <v>213</v>
      </c>
      <c r="F33">
        <v>0</v>
      </c>
      <c r="G33">
        <v>0.9</v>
      </c>
      <c r="H33">
        <v>3.5</v>
      </c>
      <c r="I33">
        <v>10</v>
      </c>
      <c r="L33">
        <v>0</v>
      </c>
      <c r="M33">
        <v>0.2</v>
      </c>
      <c r="N33">
        <v>0</v>
      </c>
    </row>
    <row r="34" spans="3:16" customFormat="1" ht="15" customHeight="1" x14ac:dyDescent="0.15">
      <c r="C34">
        <v>33</v>
      </c>
      <c r="D34" s="85"/>
      <c r="E34" s="153" t="s">
        <v>214</v>
      </c>
      <c r="F34">
        <v>0</v>
      </c>
      <c r="G34">
        <v>1.6</v>
      </c>
      <c r="H34">
        <v>4</v>
      </c>
      <c r="I34">
        <v>10</v>
      </c>
      <c r="L34">
        <v>0</v>
      </c>
      <c r="M34">
        <v>0.2</v>
      </c>
      <c r="N34">
        <v>0</v>
      </c>
    </row>
    <row r="35" spans="3:16" customFormat="1" ht="15" customHeight="1" x14ac:dyDescent="0.15">
      <c r="C35">
        <v>34</v>
      </c>
      <c r="D35" s="85"/>
      <c r="E35" s="153" t="s">
        <v>215</v>
      </c>
      <c r="F35">
        <v>0</v>
      </c>
      <c r="G35">
        <v>2.9</v>
      </c>
      <c r="H35">
        <v>1.5</v>
      </c>
      <c r="I35">
        <v>2.4500000000000002</v>
      </c>
      <c r="L35">
        <v>0</v>
      </c>
      <c r="M35">
        <v>0.2</v>
      </c>
      <c r="N35">
        <v>0</v>
      </c>
    </row>
    <row r="36" spans="3:16" customFormat="1" ht="15" customHeight="1" x14ac:dyDescent="0.15">
      <c r="C36">
        <v>35</v>
      </c>
      <c r="D36" s="85"/>
      <c r="E36" s="153" t="s">
        <v>216</v>
      </c>
      <c r="F36">
        <v>0</v>
      </c>
      <c r="G36" s="152"/>
      <c r="H36">
        <v>20</v>
      </c>
      <c r="I36">
        <v>30</v>
      </c>
      <c r="J36">
        <v>0.98</v>
      </c>
      <c r="L36">
        <v>0</v>
      </c>
      <c r="M36">
        <v>0.2</v>
      </c>
      <c r="N36">
        <v>0</v>
      </c>
      <c r="P36" s="152">
        <v>8.4926999999999992</v>
      </c>
    </row>
    <row r="37" spans="3:16" customFormat="1" ht="15" customHeight="1" x14ac:dyDescent="0.15">
      <c r="C37">
        <v>36</v>
      </c>
      <c r="D37" s="85"/>
      <c r="E37" s="153" t="s">
        <v>217</v>
      </c>
      <c r="F37">
        <v>0</v>
      </c>
      <c r="G37">
        <v>11.13</v>
      </c>
      <c r="H37">
        <v>25</v>
      </c>
      <c r="I37">
        <v>60</v>
      </c>
      <c r="L37">
        <v>0</v>
      </c>
      <c r="M37">
        <v>0.2</v>
      </c>
      <c r="N37">
        <v>0</v>
      </c>
    </row>
    <row r="38" spans="3:16" customFormat="1" ht="15" customHeight="1" x14ac:dyDescent="0.15">
      <c r="C38">
        <v>37</v>
      </c>
      <c r="D38" s="85"/>
      <c r="E38" s="153" t="s">
        <v>218</v>
      </c>
      <c r="F38">
        <v>1</v>
      </c>
      <c r="G38">
        <v>0.23</v>
      </c>
      <c r="H38">
        <v>120</v>
      </c>
      <c r="L38">
        <v>0</v>
      </c>
      <c r="N38">
        <v>0</v>
      </c>
    </row>
    <row r="39" spans="3:16" customFormat="1" ht="15" customHeight="1" x14ac:dyDescent="0.15">
      <c r="C39">
        <v>38</v>
      </c>
      <c r="D39" s="85"/>
      <c r="E39" s="153" t="s">
        <v>219</v>
      </c>
      <c r="F39">
        <v>1</v>
      </c>
      <c r="G39">
        <v>0.41</v>
      </c>
      <c r="H39">
        <v>120</v>
      </c>
      <c r="L39">
        <v>0</v>
      </c>
      <c r="N39">
        <v>0</v>
      </c>
    </row>
    <row r="40" spans="3:16" customFormat="1" ht="15" customHeight="1" x14ac:dyDescent="0.15">
      <c r="C40">
        <v>39</v>
      </c>
      <c r="D40" s="85"/>
      <c r="E40" s="153" t="s">
        <v>220</v>
      </c>
      <c r="F40">
        <v>1</v>
      </c>
      <c r="G40">
        <v>0.49</v>
      </c>
      <c r="H40">
        <v>120</v>
      </c>
      <c r="L40">
        <v>0</v>
      </c>
      <c r="N40">
        <v>0</v>
      </c>
    </row>
    <row r="41" spans="3:16" customFormat="1" ht="15" customHeight="1" x14ac:dyDescent="0.15">
      <c r="C41">
        <v>40</v>
      </c>
      <c r="D41" s="85"/>
      <c r="E41" s="153" t="s">
        <v>221</v>
      </c>
      <c r="F41">
        <v>1</v>
      </c>
      <c r="G41">
        <v>10.94</v>
      </c>
      <c r="H41">
        <v>180</v>
      </c>
      <c r="L41">
        <v>0</v>
      </c>
      <c r="N41">
        <v>0</v>
      </c>
    </row>
    <row r="42" spans="3:16" customFormat="1" ht="15" customHeight="1" x14ac:dyDescent="0.15">
      <c r="C42">
        <v>41</v>
      </c>
      <c r="D42" s="85"/>
      <c r="E42" s="153" t="s">
        <v>222</v>
      </c>
      <c r="F42">
        <v>2</v>
      </c>
      <c r="G42">
        <v>100</v>
      </c>
      <c r="L42">
        <v>0</v>
      </c>
      <c r="N42">
        <v>0</v>
      </c>
    </row>
    <row r="43" spans="3:16" customFormat="1" ht="15" customHeight="1" x14ac:dyDescent="0.15">
      <c r="C43">
        <v>42</v>
      </c>
      <c r="D43" s="85"/>
      <c r="E43" s="262" t="s">
        <v>240</v>
      </c>
      <c r="F43" s="85">
        <v>2</v>
      </c>
      <c r="G43" s="85"/>
      <c r="H43" s="85"/>
      <c r="I43" s="85"/>
      <c r="J43" s="85"/>
      <c r="K43" s="85"/>
      <c r="L43" s="85"/>
      <c r="M43" s="85"/>
      <c r="N43" s="85"/>
    </row>
    <row r="44" spans="3:16" customFormat="1" ht="15" customHeight="1" x14ac:dyDescent="0.15">
      <c r="C44">
        <v>43</v>
      </c>
      <c r="D44" s="85"/>
      <c r="E44" s="153" t="s">
        <v>227</v>
      </c>
      <c r="F44">
        <v>3</v>
      </c>
      <c r="L44">
        <v>0</v>
      </c>
      <c r="N44">
        <v>0</v>
      </c>
    </row>
    <row r="45" spans="3:16" customFormat="1" ht="15" customHeight="1" x14ac:dyDescent="0.15">
      <c r="C45">
        <v>44</v>
      </c>
      <c r="D45" s="85"/>
      <c r="E45" s="153" t="s">
        <v>228</v>
      </c>
      <c r="F45">
        <v>3</v>
      </c>
      <c r="L45">
        <v>0</v>
      </c>
      <c r="N45">
        <v>0</v>
      </c>
    </row>
    <row r="46" spans="3:16" customFormat="1" ht="15" customHeight="1" x14ac:dyDescent="0.15">
      <c r="C46">
        <v>45</v>
      </c>
      <c r="D46" s="85"/>
      <c r="E46" s="153" t="s">
        <v>229</v>
      </c>
      <c r="F46">
        <v>3</v>
      </c>
      <c r="L46">
        <v>0</v>
      </c>
      <c r="N46">
        <v>0</v>
      </c>
    </row>
    <row r="47" spans="3:16" customFormat="1" ht="15" customHeight="1" x14ac:dyDescent="0.15">
      <c r="C47">
        <v>46</v>
      </c>
      <c r="E47" t="s">
        <v>230</v>
      </c>
      <c r="F47">
        <v>3</v>
      </c>
      <c r="L47">
        <v>0</v>
      </c>
      <c r="N47">
        <v>0</v>
      </c>
    </row>
    <row r="48" spans="3:16" customFormat="1" ht="15" customHeight="1" x14ac:dyDescent="0.15">
      <c r="C48" s="85">
        <v>47</v>
      </c>
      <c r="E48" t="s">
        <v>231</v>
      </c>
      <c r="F48">
        <v>3</v>
      </c>
      <c r="L48">
        <v>0</v>
      </c>
      <c r="N48">
        <v>0</v>
      </c>
    </row>
    <row r="49" spans="3:5" customFormat="1" ht="15" customHeight="1" x14ac:dyDescent="0.15"/>
    <row r="50" spans="3:5" customFormat="1" ht="15" customHeight="1" x14ac:dyDescent="0.15"/>
    <row r="51" spans="3:5" customFormat="1" ht="15" customHeight="1" x14ac:dyDescent="0.15">
      <c r="C51" s="85"/>
      <c r="D51" s="85"/>
      <c r="E51" s="85"/>
    </row>
    <row r="52" spans="3:5" customFormat="1" ht="15" customHeight="1" x14ac:dyDescent="0.15">
      <c r="C52" s="85"/>
      <c r="D52" s="85"/>
      <c r="E52" s="85"/>
    </row>
    <row r="53" spans="3:5" customFormat="1" ht="15" customHeight="1" x14ac:dyDescent="0.15"/>
    <row r="54" spans="3:5" customFormat="1" ht="15" customHeight="1" x14ac:dyDescent="0.15"/>
    <row r="55" spans="3:5" customFormat="1" ht="15" customHeight="1" x14ac:dyDescent="0.15"/>
    <row r="56" spans="3:5" customFormat="1" ht="15" customHeight="1" x14ac:dyDescent="0.15"/>
    <row r="57" spans="3:5" customFormat="1" ht="15" customHeight="1" x14ac:dyDescent="0.15"/>
    <row r="58" spans="3:5" customFormat="1" ht="15" customHeight="1" x14ac:dyDescent="0.15"/>
    <row r="59" spans="3:5" customFormat="1" ht="15" customHeight="1" x14ac:dyDescent="0.15"/>
    <row r="60" spans="3:5" customFormat="1" ht="15" customHeight="1" x14ac:dyDescent="0.15"/>
    <row r="61" spans="3:5" customFormat="1" ht="15" customHeight="1" x14ac:dyDescent="0.15"/>
    <row r="62" spans="3:5" customFormat="1" ht="15" customHeight="1" x14ac:dyDescent="0.15"/>
    <row r="63" spans="3:5" customFormat="1" ht="15" customHeight="1" x14ac:dyDescent="0.15"/>
    <row r="64" spans="3:5" customFormat="1" ht="15" customHeight="1" x14ac:dyDescent="0.15"/>
    <row r="65" spans="3:5" customFormat="1" ht="15" customHeight="1" x14ac:dyDescent="0.15"/>
    <row r="66" spans="3:5" customFormat="1" ht="15" customHeight="1" x14ac:dyDescent="0.15"/>
    <row r="67" spans="3:5" customFormat="1" ht="15" customHeight="1" x14ac:dyDescent="0.15"/>
    <row r="68" spans="3:5" customFormat="1" ht="15" customHeight="1" x14ac:dyDescent="0.15"/>
    <row r="69" spans="3:5" customFormat="1" ht="15" customHeight="1" x14ac:dyDescent="0.15">
      <c r="C69" s="153" t="s">
        <v>225</v>
      </c>
    </row>
    <row r="70" spans="3:5" customFormat="1" ht="15" customHeight="1" x14ac:dyDescent="0.15">
      <c r="E70" s="153" t="s">
        <v>226</v>
      </c>
    </row>
    <row r="71" spans="3:5" customFormat="1" ht="15" customHeight="1" x14ac:dyDescent="0.15"/>
    <row r="72" spans="3:5" customFormat="1" ht="15" customHeight="1" x14ac:dyDescent="0.15">
      <c r="C72" s="153" t="s">
        <v>237</v>
      </c>
    </row>
    <row r="73" spans="3:5" customFormat="1" ht="15" customHeight="1" x14ac:dyDescent="0.15">
      <c r="E73" s="153" t="s">
        <v>238</v>
      </c>
    </row>
    <row r="74" spans="3:5" customFormat="1" ht="15" customHeight="1" x14ac:dyDescent="0.15">
      <c r="E74" s="153" t="s">
        <v>239</v>
      </c>
    </row>
    <row r="75" spans="3:5" customFormat="1" ht="15" customHeight="1" x14ac:dyDescent="0.15"/>
    <row r="76" spans="3:5" customFormat="1" ht="15" customHeight="1" x14ac:dyDescent="0.15"/>
    <row r="77" spans="3:5" customFormat="1" ht="15" customHeight="1" x14ac:dyDescent="0.15"/>
    <row r="78" spans="3:5" customFormat="1" ht="15" customHeight="1" x14ac:dyDescent="0.15"/>
    <row r="79" spans="3:5" customFormat="1" ht="15" customHeight="1" x14ac:dyDescent="0.15"/>
    <row r="80" spans="3:5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Q373"/>
  <sheetViews>
    <sheetView workbookViewId="0">
      <pane xSplit="1" ySplit="1" topLeftCell="AI23" activePane="bottomRight" state="frozen"/>
      <selection pane="topRight" activeCell="B1" sqref="B1"/>
      <selection pane="bottomLeft" activeCell="A2" sqref="A2"/>
      <selection pane="bottomRight" activeCell="A43" sqref="A43"/>
    </sheetView>
  </sheetViews>
  <sheetFormatPr baseColWidth="10" defaultColWidth="8.83203125" defaultRowHeight="13" x14ac:dyDescent="0.15"/>
  <cols>
    <col min="1" max="1" width="40.1640625" bestFit="1" customWidth="1"/>
  </cols>
  <sheetData>
    <row r="1" spans="1:43" x14ac:dyDescent="0.15">
      <c r="A1" s="4" t="s">
        <v>20</v>
      </c>
      <c r="B1" t="s">
        <v>182</v>
      </c>
      <c r="C1" t="s">
        <v>183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s="85" t="s">
        <v>203</v>
      </c>
      <c r="X1" s="85" t="s">
        <v>204</v>
      </c>
      <c r="Y1" s="85" t="s">
        <v>205</v>
      </c>
      <c r="Z1" t="s">
        <v>206</v>
      </c>
      <c r="AA1" t="s">
        <v>207</v>
      </c>
      <c r="AB1" s="117" t="s">
        <v>208</v>
      </c>
      <c r="AC1" s="117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s="153" t="s">
        <v>240</v>
      </c>
    </row>
    <row r="2" spans="1:43" x14ac:dyDescent="0.15">
      <c r="A2" t="s">
        <v>182</v>
      </c>
      <c r="B2">
        <v>0</v>
      </c>
      <c r="C2">
        <v>0.01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15">
      <c r="A3" t="s">
        <v>183</v>
      </c>
      <c r="B3">
        <v>0.02</v>
      </c>
      <c r="C3">
        <v>0.01</v>
      </c>
      <c r="D3">
        <v>0</v>
      </c>
      <c r="E3">
        <v>0</v>
      </c>
      <c r="F3">
        <v>0</v>
      </c>
      <c r="G3">
        <v>0.01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</row>
    <row r="4" spans="1:43" x14ac:dyDescent="0.15">
      <c r="A4" t="s">
        <v>184</v>
      </c>
      <c r="B4">
        <v>0.01</v>
      </c>
      <c r="C4">
        <v>0.01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15">
      <c r="A5" t="s">
        <v>185</v>
      </c>
      <c r="B5">
        <v>0.01</v>
      </c>
      <c r="C5">
        <v>0.01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15">
      <c r="A6" t="s">
        <v>186</v>
      </c>
      <c r="B6">
        <v>0.01</v>
      </c>
      <c r="C6">
        <v>0.01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 x14ac:dyDescent="0.15">
      <c r="A7" t="s">
        <v>187</v>
      </c>
      <c r="B7">
        <v>0.01</v>
      </c>
      <c r="C7">
        <v>0.01</v>
      </c>
      <c r="D7">
        <v>0</v>
      </c>
      <c r="E7">
        <v>0.02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 x14ac:dyDescent="0.15">
      <c r="A8" t="s">
        <v>188</v>
      </c>
      <c r="B8">
        <v>0.01</v>
      </c>
      <c r="C8">
        <v>0.01</v>
      </c>
      <c r="D8">
        <v>0</v>
      </c>
      <c r="E8">
        <v>0.01</v>
      </c>
      <c r="F8">
        <v>0</v>
      </c>
      <c r="G8">
        <v>0</v>
      </c>
      <c r="H8">
        <v>2E-3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0.01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3.333E-3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 x14ac:dyDescent="0.15">
      <c r="A9" t="s">
        <v>189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 x14ac:dyDescent="0.15">
      <c r="A10" t="s">
        <v>190</v>
      </c>
      <c r="B10">
        <v>0</v>
      </c>
      <c r="C10">
        <v>0.01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2.0000000000000001E-4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 x14ac:dyDescent="0.15">
      <c r="A11" s="153" t="s">
        <v>191</v>
      </c>
      <c r="B11">
        <v>0</v>
      </c>
      <c r="C11">
        <v>0.05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 x14ac:dyDescent="0.15">
      <c r="A12" s="153" t="s">
        <v>192</v>
      </c>
      <c r="B12">
        <v>0.01</v>
      </c>
      <c r="C12">
        <v>0.03</v>
      </c>
      <c r="D12">
        <v>2E-3</v>
      </c>
      <c r="E12">
        <v>0.02</v>
      </c>
      <c r="F12">
        <v>5.0000000000000001E-3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2E-3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 x14ac:dyDescent="0.15">
      <c r="A13" s="153" t="s">
        <v>193</v>
      </c>
      <c r="B13">
        <v>0.01</v>
      </c>
      <c r="C13">
        <v>0.02</v>
      </c>
      <c r="D13">
        <v>0</v>
      </c>
      <c r="E13">
        <v>0.01</v>
      </c>
      <c r="F13">
        <v>0.01</v>
      </c>
      <c r="G13">
        <v>0</v>
      </c>
      <c r="H13">
        <v>0</v>
      </c>
      <c r="I13">
        <v>0</v>
      </c>
      <c r="J13">
        <v>4.0000000000000002E-4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 x14ac:dyDescent="0.15">
      <c r="A14" s="153" t="s">
        <v>194</v>
      </c>
      <c r="B14">
        <v>0.01</v>
      </c>
      <c r="C14">
        <v>0.02</v>
      </c>
      <c r="D14">
        <v>2E-3</v>
      </c>
      <c r="E14">
        <v>0.01</v>
      </c>
      <c r="F14">
        <v>2E-3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 x14ac:dyDescent="0.15">
      <c r="A15" s="153" t="s">
        <v>195</v>
      </c>
      <c r="B15">
        <v>0</v>
      </c>
      <c r="C15">
        <v>0.05</v>
      </c>
      <c r="D15">
        <v>0</v>
      </c>
      <c r="E15">
        <v>0.01</v>
      </c>
      <c r="F15">
        <v>0</v>
      </c>
      <c r="G15">
        <v>0</v>
      </c>
      <c r="H15">
        <v>0</v>
      </c>
      <c r="I15">
        <v>0</v>
      </c>
      <c r="J15">
        <v>2.9999999999999997E-4</v>
      </c>
      <c r="K15">
        <v>0</v>
      </c>
      <c r="L15">
        <v>0</v>
      </c>
      <c r="M15">
        <v>0</v>
      </c>
      <c r="N15">
        <v>0</v>
      </c>
      <c r="O15">
        <v>1E-3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</row>
    <row r="16" spans="1:43" x14ac:dyDescent="0.15">
      <c r="A16" s="153" t="s">
        <v>196</v>
      </c>
      <c r="B16">
        <v>0.01</v>
      </c>
      <c r="C16">
        <v>0.03</v>
      </c>
      <c r="D16">
        <v>2E-3</v>
      </c>
      <c r="E16">
        <v>0.01</v>
      </c>
      <c r="F16">
        <v>0.01</v>
      </c>
      <c r="G16">
        <v>0.01</v>
      </c>
      <c r="H16">
        <v>0</v>
      </c>
      <c r="I16">
        <v>0</v>
      </c>
      <c r="J16">
        <v>0</v>
      </c>
      <c r="K16">
        <v>0.01</v>
      </c>
      <c r="L16">
        <v>0</v>
      </c>
      <c r="M16">
        <v>0.02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</row>
    <row r="17" spans="1:43" x14ac:dyDescent="0.15">
      <c r="A17" s="153" t="s">
        <v>197</v>
      </c>
      <c r="B17">
        <v>0.02</v>
      </c>
      <c r="C17">
        <v>0.02</v>
      </c>
      <c r="D17">
        <v>2E-3</v>
      </c>
      <c r="E17">
        <v>0.01</v>
      </c>
      <c r="F17">
        <v>0.01</v>
      </c>
      <c r="G17">
        <v>0</v>
      </c>
      <c r="H17">
        <v>0</v>
      </c>
      <c r="I17">
        <v>0</v>
      </c>
      <c r="J17">
        <v>2.9999999999999997E-4</v>
      </c>
      <c r="K17">
        <v>0</v>
      </c>
      <c r="L17">
        <v>0</v>
      </c>
      <c r="M17">
        <v>0.02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 x14ac:dyDescent="0.15">
      <c r="A18" s="153" t="s">
        <v>198</v>
      </c>
      <c r="B18">
        <v>0.01</v>
      </c>
      <c r="C18">
        <v>0.05</v>
      </c>
      <c r="D18">
        <v>2E-3</v>
      </c>
      <c r="E18">
        <v>0.1</v>
      </c>
      <c r="F18">
        <v>0.1</v>
      </c>
      <c r="G18">
        <v>0.125</v>
      </c>
      <c r="H18">
        <v>0.01</v>
      </c>
      <c r="I18">
        <v>0</v>
      </c>
      <c r="J18">
        <v>0</v>
      </c>
      <c r="K18">
        <v>5.0000000000000001E-3</v>
      </c>
      <c r="L18">
        <v>5.0000000000000001E-3</v>
      </c>
      <c r="M18">
        <v>0.02</v>
      </c>
      <c r="N18">
        <v>0</v>
      </c>
      <c r="O18">
        <v>0.02</v>
      </c>
      <c r="P18">
        <v>5.0000000000000001E-3</v>
      </c>
      <c r="Q18">
        <v>0.02</v>
      </c>
      <c r="R18">
        <v>0</v>
      </c>
      <c r="S18">
        <v>0.02</v>
      </c>
      <c r="T18">
        <v>0</v>
      </c>
      <c r="U18">
        <v>0</v>
      </c>
      <c r="V18">
        <v>0</v>
      </c>
      <c r="W18">
        <v>1E-4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 x14ac:dyDescent="0.15">
      <c r="A19" s="153" t="s">
        <v>199</v>
      </c>
      <c r="B19">
        <v>2.5000000000000001E-2</v>
      </c>
      <c r="C19">
        <v>0.05</v>
      </c>
      <c r="D19">
        <v>1.4E-2</v>
      </c>
      <c r="E19">
        <v>0.03</v>
      </c>
      <c r="F19">
        <v>0.01</v>
      </c>
      <c r="G19">
        <v>0.01</v>
      </c>
      <c r="H19">
        <v>0</v>
      </c>
      <c r="I19">
        <v>0</v>
      </c>
      <c r="J19">
        <v>3.0999999999999999E-3</v>
      </c>
      <c r="K19">
        <v>0.04</v>
      </c>
      <c r="L19">
        <v>0</v>
      </c>
      <c r="M19">
        <v>0.02</v>
      </c>
      <c r="N19">
        <v>0</v>
      </c>
      <c r="O19">
        <v>0.01</v>
      </c>
      <c r="P19">
        <v>0</v>
      </c>
      <c r="Q19">
        <v>0</v>
      </c>
      <c r="R19">
        <v>0</v>
      </c>
      <c r="S19">
        <v>0.02</v>
      </c>
      <c r="T19">
        <v>0</v>
      </c>
      <c r="U19">
        <v>0</v>
      </c>
      <c r="V19">
        <v>0</v>
      </c>
      <c r="W19">
        <v>3.3E-3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 x14ac:dyDescent="0.15">
      <c r="A20" s="153" t="s">
        <v>200</v>
      </c>
      <c r="B20">
        <v>0.05</v>
      </c>
      <c r="C20">
        <v>0.08</v>
      </c>
      <c r="D20">
        <v>0.04</v>
      </c>
      <c r="E20">
        <v>0.05</v>
      </c>
      <c r="F20">
        <v>0.05</v>
      </c>
      <c r="G20">
        <v>0</v>
      </c>
      <c r="H20">
        <v>0</v>
      </c>
      <c r="I20">
        <v>0</v>
      </c>
      <c r="J20">
        <v>0</v>
      </c>
      <c r="K20">
        <v>0.1</v>
      </c>
      <c r="L20">
        <v>0</v>
      </c>
      <c r="M20">
        <v>0.05</v>
      </c>
      <c r="N20">
        <v>0</v>
      </c>
      <c r="O20">
        <v>0.05</v>
      </c>
      <c r="P20">
        <v>0</v>
      </c>
      <c r="Q20">
        <v>0</v>
      </c>
      <c r="R20">
        <v>0</v>
      </c>
      <c r="S20">
        <v>0</v>
      </c>
      <c r="T20">
        <v>0.05</v>
      </c>
      <c r="U20">
        <v>0.27739999999999998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 x14ac:dyDescent="0.15">
      <c r="A21" s="153" t="s">
        <v>201</v>
      </c>
      <c r="B21">
        <v>0</v>
      </c>
      <c r="C21">
        <v>0.01</v>
      </c>
      <c r="D21">
        <v>0</v>
      </c>
      <c r="E21">
        <v>0</v>
      </c>
      <c r="F21">
        <v>0</v>
      </c>
      <c r="G21">
        <v>0</v>
      </c>
      <c r="H21">
        <v>0.01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</row>
    <row r="22" spans="1:43" x14ac:dyDescent="0.15">
      <c r="A22" s="153" t="s">
        <v>202</v>
      </c>
      <c r="B22">
        <v>0</v>
      </c>
      <c r="C22">
        <v>0.01</v>
      </c>
      <c r="D22">
        <v>2E-3</v>
      </c>
      <c r="E22">
        <v>0.05</v>
      </c>
      <c r="F22">
        <v>0.05</v>
      </c>
      <c r="G22">
        <v>0</v>
      </c>
      <c r="H22">
        <v>0.02</v>
      </c>
      <c r="I22">
        <v>0</v>
      </c>
      <c r="J22">
        <v>0</v>
      </c>
      <c r="K22">
        <v>0.05</v>
      </c>
      <c r="L22">
        <v>0</v>
      </c>
      <c r="M22">
        <v>0.02</v>
      </c>
      <c r="N22">
        <v>0</v>
      </c>
      <c r="O22">
        <v>0.02</v>
      </c>
      <c r="P22">
        <v>0</v>
      </c>
      <c r="Q22">
        <v>0</v>
      </c>
      <c r="R22">
        <v>0</v>
      </c>
      <c r="S22">
        <v>0.06</v>
      </c>
      <c r="T22">
        <v>0</v>
      </c>
      <c r="U22">
        <v>0</v>
      </c>
      <c r="V22">
        <v>2.7E-2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1E-3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 x14ac:dyDescent="0.15">
      <c r="A23" s="153" t="s">
        <v>203</v>
      </c>
      <c r="B23">
        <v>0.05</v>
      </c>
      <c r="C23">
        <v>0.01</v>
      </c>
      <c r="D23">
        <v>0.04</v>
      </c>
      <c r="E23">
        <v>0.02</v>
      </c>
      <c r="F23">
        <v>0.01</v>
      </c>
      <c r="G23">
        <v>0.01</v>
      </c>
      <c r="H23">
        <v>0</v>
      </c>
      <c r="I23">
        <v>0.05</v>
      </c>
      <c r="J23">
        <v>0.15670000000000001</v>
      </c>
      <c r="K23">
        <v>0.05</v>
      </c>
      <c r="L23">
        <v>0</v>
      </c>
      <c r="M23">
        <v>0.09</v>
      </c>
      <c r="N23">
        <v>0</v>
      </c>
      <c r="O23">
        <v>0.02</v>
      </c>
      <c r="P23">
        <v>0</v>
      </c>
      <c r="Q23">
        <v>0</v>
      </c>
      <c r="R23">
        <v>0</v>
      </c>
      <c r="S23">
        <v>1.4E-2</v>
      </c>
      <c r="T23">
        <v>7.2800000000000004E-2</v>
      </c>
      <c r="U23">
        <v>0.20599999999999999</v>
      </c>
      <c r="V23">
        <v>0.17929999999999999</v>
      </c>
      <c r="W23">
        <v>2.5000000000000001E-2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</row>
    <row r="24" spans="1:43" x14ac:dyDescent="0.15">
      <c r="A24" s="153" t="s">
        <v>204</v>
      </c>
      <c r="B24">
        <v>0</v>
      </c>
      <c r="C24">
        <v>0.01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2.9999999999999997E-4</v>
      </c>
      <c r="Y24">
        <v>2.9999999999999997E-4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 x14ac:dyDescent="0.15">
      <c r="A25" s="153" t="s">
        <v>205</v>
      </c>
      <c r="B25">
        <v>0</v>
      </c>
      <c r="C25">
        <v>0.01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 x14ac:dyDescent="0.15">
      <c r="A26" s="153" t="s">
        <v>206</v>
      </c>
      <c r="B26">
        <v>0.1</v>
      </c>
      <c r="C26">
        <v>0.16</v>
      </c>
      <c r="D26">
        <v>0.1</v>
      </c>
      <c r="E26">
        <v>0.3</v>
      </c>
      <c r="F26">
        <v>0.35</v>
      </c>
      <c r="G26">
        <v>0.52500000000000002</v>
      </c>
      <c r="H26">
        <v>0.35</v>
      </c>
      <c r="I26">
        <v>0.125</v>
      </c>
      <c r="J26">
        <v>3.9800000000000002E-2</v>
      </c>
      <c r="K26">
        <v>0.08</v>
      </c>
      <c r="L26">
        <v>0.3</v>
      </c>
      <c r="M26">
        <v>0.27</v>
      </c>
      <c r="N26">
        <v>0.2</v>
      </c>
      <c r="O26">
        <v>0.27</v>
      </c>
      <c r="P26">
        <v>0.28000000000000003</v>
      </c>
      <c r="Q26">
        <v>0.2</v>
      </c>
      <c r="R26">
        <v>0.1</v>
      </c>
      <c r="S26">
        <v>0.55000000000000004</v>
      </c>
      <c r="T26">
        <v>1.8599999999999998E-2</v>
      </c>
      <c r="U26">
        <v>5.0000000000000001E-4</v>
      </c>
      <c r="V26">
        <v>0.01</v>
      </c>
      <c r="W26">
        <v>0.05</v>
      </c>
      <c r="X26">
        <v>0.16309999999999999</v>
      </c>
      <c r="Y26">
        <v>0.16309999999999999</v>
      </c>
      <c r="Z26">
        <v>5.3999999999999999E-2</v>
      </c>
      <c r="AA26">
        <v>0</v>
      </c>
      <c r="AB26">
        <v>0</v>
      </c>
      <c r="AC26">
        <v>0</v>
      </c>
      <c r="AD26">
        <v>0</v>
      </c>
      <c r="AE26">
        <v>1.2E-2</v>
      </c>
      <c r="AF26">
        <v>0</v>
      </c>
      <c r="AG26">
        <v>0.05</v>
      </c>
      <c r="AH26">
        <v>0.01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  <row r="27" spans="1:43" x14ac:dyDescent="0.15">
      <c r="A27" s="153" t="s">
        <v>207</v>
      </c>
      <c r="B27">
        <v>0.1</v>
      </c>
      <c r="C27">
        <v>0.02</v>
      </c>
      <c r="D27">
        <v>3.0000000000000001E-3</v>
      </c>
      <c r="E27">
        <v>0</v>
      </c>
      <c r="F27">
        <v>0</v>
      </c>
      <c r="G27">
        <v>0</v>
      </c>
      <c r="H27">
        <v>0</v>
      </c>
      <c r="I27">
        <v>0.14380000000000001</v>
      </c>
      <c r="J27">
        <v>0.123</v>
      </c>
      <c r="K27">
        <v>2.5000000000000001E-2</v>
      </c>
      <c r="L27">
        <v>0.01</v>
      </c>
      <c r="M27">
        <v>0.02</v>
      </c>
      <c r="N27">
        <v>0</v>
      </c>
      <c r="O27">
        <v>0.03</v>
      </c>
      <c r="P27">
        <v>0.01</v>
      </c>
      <c r="Q27">
        <v>0.1</v>
      </c>
      <c r="R27">
        <v>0</v>
      </c>
      <c r="S27">
        <v>0.03</v>
      </c>
      <c r="T27">
        <v>1.4E-3</v>
      </c>
      <c r="U27">
        <v>1.5100000000000001E-2</v>
      </c>
      <c r="V27">
        <v>0.05</v>
      </c>
      <c r="W27">
        <v>0</v>
      </c>
      <c r="X27">
        <v>5.7000000000000002E-3</v>
      </c>
      <c r="Y27">
        <v>5.7000000000000002E-3</v>
      </c>
      <c r="Z27">
        <v>0</v>
      </c>
      <c r="AA27">
        <v>0</v>
      </c>
      <c r="AB27">
        <v>0.4</v>
      </c>
      <c r="AC27">
        <v>5.0000000000000001E-3</v>
      </c>
      <c r="AD27">
        <v>7.0000000000000001E-3</v>
      </c>
      <c r="AE27">
        <v>0</v>
      </c>
      <c r="AF27">
        <v>0</v>
      </c>
      <c r="AG27">
        <v>0.05</v>
      </c>
      <c r="AH27">
        <v>0.01</v>
      </c>
      <c r="AI27">
        <v>7.0000000000000007E-2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</row>
    <row r="28" spans="1:43" x14ac:dyDescent="0.15">
      <c r="A28" s="153" t="s">
        <v>208</v>
      </c>
      <c r="B28">
        <v>0.1</v>
      </c>
      <c r="C28">
        <v>0.08</v>
      </c>
      <c r="D28">
        <v>0.04</v>
      </c>
      <c r="E28">
        <v>0.02</v>
      </c>
      <c r="F28">
        <v>0.05</v>
      </c>
      <c r="G28">
        <v>0</v>
      </c>
      <c r="H28">
        <v>0.2</v>
      </c>
      <c r="I28">
        <v>1.8800000000000001E-2</v>
      </c>
      <c r="J28">
        <v>0</v>
      </c>
      <c r="K28">
        <v>0.2</v>
      </c>
      <c r="L28">
        <v>0.15</v>
      </c>
      <c r="M28">
        <v>0.05</v>
      </c>
      <c r="N28">
        <v>0.1</v>
      </c>
      <c r="O28">
        <v>0.17</v>
      </c>
      <c r="P28">
        <v>0.04</v>
      </c>
      <c r="Q28">
        <v>0.01</v>
      </c>
      <c r="R28">
        <v>0.05</v>
      </c>
      <c r="S28">
        <v>0.01</v>
      </c>
      <c r="T28">
        <v>0.2</v>
      </c>
      <c r="U28">
        <v>0.1033</v>
      </c>
      <c r="V28">
        <v>0.08</v>
      </c>
      <c r="W28">
        <v>0.08</v>
      </c>
      <c r="X28">
        <v>1.8700000000000001E-2</v>
      </c>
      <c r="Y28">
        <v>1.8700000000000001E-2</v>
      </c>
      <c r="Z28">
        <v>0.05</v>
      </c>
      <c r="AA28">
        <v>0</v>
      </c>
      <c r="AB28">
        <v>0.02</v>
      </c>
      <c r="AC28">
        <v>0.01</v>
      </c>
      <c r="AD28">
        <v>5.0000000000000001E-3</v>
      </c>
      <c r="AE28">
        <v>0.01</v>
      </c>
      <c r="AF28">
        <v>0</v>
      </c>
      <c r="AG28">
        <v>0.08</v>
      </c>
      <c r="AH28">
        <v>0.02</v>
      </c>
      <c r="AI28">
        <v>0.05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</row>
    <row r="29" spans="1:43" x14ac:dyDescent="0.15">
      <c r="A29" s="153" t="s">
        <v>209</v>
      </c>
      <c r="B29">
        <v>0</v>
      </c>
      <c r="C29">
        <v>0</v>
      </c>
      <c r="D29">
        <v>5.0000000000000001E-4</v>
      </c>
      <c r="E29">
        <v>0.02</v>
      </c>
      <c r="F29">
        <v>0.01</v>
      </c>
      <c r="G29">
        <v>0</v>
      </c>
      <c r="H29">
        <v>0</v>
      </c>
      <c r="I29">
        <v>0</v>
      </c>
      <c r="J29">
        <v>0</v>
      </c>
      <c r="K29">
        <v>3.5000000000000003E-2</v>
      </c>
      <c r="L29">
        <v>0.1</v>
      </c>
      <c r="M29">
        <v>0.03</v>
      </c>
      <c r="N29">
        <v>0.125</v>
      </c>
      <c r="O29">
        <v>0.05</v>
      </c>
      <c r="P29">
        <v>0.05</v>
      </c>
      <c r="Q29">
        <v>0.01</v>
      </c>
      <c r="R29">
        <v>0.05</v>
      </c>
      <c r="S29">
        <v>1E-3</v>
      </c>
      <c r="T29">
        <v>1.4E-3</v>
      </c>
      <c r="U29">
        <v>6.6E-3</v>
      </c>
      <c r="V29">
        <v>0.1</v>
      </c>
      <c r="W29">
        <v>8.1900000000000001E-2</v>
      </c>
      <c r="X29">
        <v>1.46E-2</v>
      </c>
      <c r="Y29">
        <v>1.46E-2</v>
      </c>
      <c r="Z29">
        <v>0.15</v>
      </c>
      <c r="AA29">
        <v>0</v>
      </c>
      <c r="AB29">
        <v>0.13370000000000001</v>
      </c>
      <c r="AC29">
        <v>0.03</v>
      </c>
      <c r="AD29">
        <v>1.4800000000000001E-2</v>
      </c>
      <c r="AE29">
        <v>0</v>
      </c>
      <c r="AF29">
        <v>0</v>
      </c>
      <c r="AG29">
        <v>3.9E-2</v>
      </c>
      <c r="AH29">
        <v>0.01</v>
      </c>
      <c r="AI29">
        <v>2E-3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</row>
    <row r="30" spans="1:43" x14ac:dyDescent="0.15">
      <c r="A30" s="153" t="s">
        <v>210</v>
      </c>
      <c r="B30">
        <v>0.05</v>
      </c>
      <c r="C30">
        <v>0.02</v>
      </c>
      <c r="D30">
        <v>5.0000000000000001E-4</v>
      </c>
      <c r="E30">
        <v>0.01</v>
      </c>
      <c r="F30">
        <v>4.2999999999999997E-2</v>
      </c>
      <c r="G30">
        <v>0.01</v>
      </c>
      <c r="H30">
        <v>0.108</v>
      </c>
      <c r="I30">
        <v>1.8800000000000001E-2</v>
      </c>
      <c r="J30">
        <v>0</v>
      </c>
      <c r="K30">
        <v>3.5000000000000003E-2</v>
      </c>
      <c r="L30">
        <v>0.215</v>
      </c>
      <c r="M30">
        <v>0.2</v>
      </c>
      <c r="N30">
        <v>0.40500000000000003</v>
      </c>
      <c r="O30">
        <v>7.3999999999999996E-2</v>
      </c>
      <c r="P30">
        <v>0.40300000000000002</v>
      </c>
      <c r="Q30">
        <v>0.1</v>
      </c>
      <c r="R30">
        <v>0.46500000000000002</v>
      </c>
      <c r="S30">
        <v>0.05</v>
      </c>
      <c r="T30">
        <v>0.22</v>
      </c>
      <c r="U30">
        <v>7.2800000000000004E-2</v>
      </c>
      <c r="V30">
        <v>8.2699999999999996E-2</v>
      </c>
      <c r="W30">
        <v>0.1</v>
      </c>
      <c r="X30">
        <v>5.62E-2</v>
      </c>
      <c r="Y30">
        <v>5.62E-2</v>
      </c>
      <c r="Z30">
        <v>0.3</v>
      </c>
      <c r="AA30">
        <v>0</v>
      </c>
      <c r="AB30">
        <v>9.6500000000000002E-2</v>
      </c>
      <c r="AC30">
        <v>0.02</v>
      </c>
      <c r="AD30">
        <v>0.01</v>
      </c>
      <c r="AE30">
        <v>8.9999999999999993E-3</v>
      </c>
      <c r="AF30">
        <v>0</v>
      </c>
      <c r="AG30">
        <v>0.38</v>
      </c>
      <c r="AH30">
        <v>0.37</v>
      </c>
      <c r="AI30">
        <v>1.6E-2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</row>
    <row r="31" spans="1:43" x14ac:dyDescent="0.15">
      <c r="A31" s="153" t="s">
        <v>211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0.02</v>
      </c>
      <c r="L31">
        <v>0.01</v>
      </c>
      <c r="M31">
        <v>0</v>
      </c>
      <c r="N31">
        <v>0.01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5.3E-3</v>
      </c>
      <c r="V31">
        <v>0</v>
      </c>
      <c r="W31">
        <v>0.18</v>
      </c>
      <c r="X31">
        <v>2.0999999999999999E-3</v>
      </c>
      <c r="Y31">
        <v>2.0999999999999999E-3</v>
      </c>
      <c r="Z31">
        <v>0</v>
      </c>
      <c r="AA31">
        <v>0</v>
      </c>
      <c r="AB31">
        <v>0</v>
      </c>
      <c r="AC31">
        <v>2.3300000000000001E-2</v>
      </c>
      <c r="AD31">
        <v>5.4999999999999997E-3</v>
      </c>
      <c r="AE31">
        <v>3.5000000000000003E-2</v>
      </c>
      <c r="AF31">
        <v>0</v>
      </c>
      <c r="AG31">
        <v>0</v>
      </c>
      <c r="AH31">
        <v>0.01</v>
      </c>
      <c r="AI31">
        <v>0.1057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</row>
    <row r="32" spans="1:43" x14ac:dyDescent="0.15">
      <c r="A32" s="153" t="s">
        <v>212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0.02</v>
      </c>
      <c r="L32">
        <v>0.01</v>
      </c>
      <c r="M32">
        <v>0.01</v>
      </c>
      <c r="N32">
        <v>0.01</v>
      </c>
      <c r="O32">
        <v>0.02</v>
      </c>
      <c r="P32">
        <v>0.01</v>
      </c>
      <c r="Q32">
        <v>0.01</v>
      </c>
      <c r="R32">
        <v>0.01</v>
      </c>
      <c r="S32">
        <v>0</v>
      </c>
      <c r="T32">
        <v>9.7000000000000003E-2</v>
      </c>
      <c r="U32">
        <v>4.8099999999999997E-2</v>
      </c>
      <c r="V32">
        <v>0</v>
      </c>
      <c r="W32">
        <v>0.15</v>
      </c>
      <c r="X32">
        <v>2.3900000000000001E-2</v>
      </c>
      <c r="Y32">
        <v>2.3900000000000001E-2</v>
      </c>
      <c r="Z32">
        <v>0.02</v>
      </c>
      <c r="AA32">
        <v>0</v>
      </c>
      <c r="AB32">
        <v>0</v>
      </c>
      <c r="AC32">
        <v>0</v>
      </c>
      <c r="AD32">
        <v>7.0000000000000001E-3</v>
      </c>
      <c r="AE32">
        <v>0.03</v>
      </c>
      <c r="AF32">
        <v>0</v>
      </c>
      <c r="AG32">
        <v>0</v>
      </c>
      <c r="AH32">
        <v>0</v>
      </c>
      <c r="AI32">
        <v>0.02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</row>
    <row r="33" spans="1:43" x14ac:dyDescent="0.15">
      <c r="A33" s="153" t="s">
        <v>213</v>
      </c>
      <c r="B33">
        <v>0.37</v>
      </c>
      <c r="C33">
        <v>0.17</v>
      </c>
      <c r="D33">
        <v>0.1</v>
      </c>
      <c r="E33">
        <v>0.3</v>
      </c>
      <c r="F33">
        <v>0.28000000000000003</v>
      </c>
      <c r="G33">
        <v>0.3</v>
      </c>
      <c r="H33">
        <v>0.2</v>
      </c>
      <c r="I33">
        <v>0</v>
      </c>
      <c r="J33">
        <v>0.38069999999999998</v>
      </c>
      <c r="K33">
        <v>0.13</v>
      </c>
      <c r="L33">
        <v>7.4999999999999997E-2</v>
      </c>
      <c r="M33">
        <v>0.15</v>
      </c>
      <c r="N33">
        <v>0</v>
      </c>
      <c r="O33">
        <v>0.18</v>
      </c>
      <c r="P33">
        <v>0</v>
      </c>
      <c r="Q33">
        <v>0.3</v>
      </c>
      <c r="R33">
        <v>0</v>
      </c>
      <c r="S33">
        <v>0.2</v>
      </c>
      <c r="T33">
        <v>5.6000000000000001E-2</v>
      </c>
      <c r="U33">
        <v>1.37E-2</v>
      </c>
      <c r="V33">
        <v>0.20799999999999999</v>
      </c>
      <c r="W33">
        <v>3.3300000000000003E-2</v>
      </c>
      <c r="X33">
        <v>0.5796</v>
      </c>
      <c r="Y33">
        <v>0.5796</v>
      </c>
      <c r="Z33">
        <v>2.5000000000000001E-2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0.05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</row>
    <row r="34" spans="1:43" x14ac:dyDescent="0.15">
      <c r="A34" s="153" t="s">
        <v>214</v>
      </c>
      <c r="B34">
        <v>1.4999999999999999E-2</v>
      </c>
      <c r="C34">
        <v>0</v>
      </c>
      <c r="D34">
        <v>0.6</v>
      </c>
      <c r="E34">
        <v>0</v>
      </c>
      <c r="F34">
        <v>0</v>
      </c>
      <c r="G34">
        <v>0</v>
      </c>
      <c r="H34">
        <v>0</v>
      </c>
      <c r="I34">
        <v>2.5000000000000001E-2</v>
      </c>
      <c r="J34">
        <v>0.29530000000000001</v>
      </c>
      <c r="K34">
        <v>0.1</v>
      </c>
      <c r="L34">
        <v>7.4999999999999997E-2</v>
      </c>
      <c r="M34">
        <v>0</v>
      </c>
      <c r="N34">
        <v>0.05</v>
      </c>
      <c r="O34">
        <v>5.5E-2</v>
      </c>
      <c r="P34">
        <v>0.05</v>
      </c>
      <c r="Q34">
        <v>0</v>
      </c>
      <c r="R34">
        <v>7.4999999999999997E-2</v>
      </c>
      <c r="S34">
        <v>0.03</v>
      </c>
      <c r="T34">
        <v>0.1</v>
      </c>
      <c r="U34">
        <v>0.1993</v>
      </c>
      <c r="V34">
        <v>0.09</v>
      </c>
      <c r="W34">
        <v>0.09</v>
      </c>
      <c r="X34">
        <v>3.9899999999999998E-2</v>
      </c>
      <c r="Y34">
        <v>3.9899999999999998E-2</v>
      </c>
      <c r="Z34">
        <v>1.7000000000000001E-2</v>
      </c>
      <c r="AA34">
        <v>0</v>
      </c>
      <c r="AB34">
        <v>6.8599999999999994E-2</v>
      </c>
      <c r="AC34">
        <v>8.0000000000000002E-3</v>
      </c>
      <c r="AD34">
        <v>2.5000000000000001E-3</v>
      </c>
      <c r="AE34">
        <v>0</v>
      </c>
      <c r="AF34">
        <v>0</v>
      </c>
      <c r="AG34">
        <v>0.09</v>
      </c>
      <c r="AH34">
        <v>2.5000000000000001E-2</v>
      </c>
      <c r="AI34">
        <v>0.05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</row>
    <row r="35" spans="1:43" x14ac:dyDescent="0.15">
      <c r="A35" s="153" t="s">
        <v>215</v>
      </c>
      <c r="B35">
        <v>0</v>
      </c>
      <c r="C35">
        <v>0.02</v>
      </c>
      <c r="D35">
        <v>0.05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0.1</v>
      </c>
      <c r="L35">
        <v>0</v>
      </c>
      <c r="M35">
        <v>0.01</v>
      </c>
      <c r="N35">
        <v>0</v>
      </c>
      <c r="O35">
        <v>0.01</v>
      </c>
      <c r="P35">
        <v>0</v>
      </c>
      <c r="Q35">
        <v>0</v>
      </c>
      <c r="R35">
        <v>0</v>
      </c>
      <c r="S35">
        <v>0.01</v>
      </c>
      <c r="T35">
        <v>8.2699999999999996E-2</v>
      </c>
      <c r="U35">
        <v>2.9100000000000001E-2</v>
      </c>
      <c r="V35">
        <v>0</v>
      </c>
      <c r="W35">
        <v>0</v>
      </c>
      <c r="X35">
        <v>0</v>
      </c>
      <c r="Y35">
        <v>0</v>
      </c>
      <c r="Z35">
        <v>8.9999999999999993E-3</v>
      </c>
      <c r="AA35">
        <v>0</v>
      </c>
      <c r="AB35">
        <v>0.11119999999999999</v>
      </c>
      <c r="AC35">
        <v>0</v>
      </c>
      <c r="AD35">
        <v>0</v>
      </c>
      <c r="AE35">
        <v>0</v>
      </c>
      <c r="AF35">
        <v>0</v>
      </c>
      <c r="AG35">
        <v>0.04</v>
      </c>
      <c r="AH35">
        <v>0.02</v>
      </c>
      <c r="AI35">
        <v>0.02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</row>
    <row r="36" spans="1:43" x14ac:dyDescent="0.15">
      <c r="A36" s="153" t="s">
        <v>216</v>
      </c>
      <c r="B36">
        <v>0</v>
      </c>
      <c r="C36">
        <v>0</v>
      </c>
      <c r="D36">
        <v>0</v>
      </c>
      <c r="E36">
        <v>0</v>
      </c>
      <c r="F36">
        <v>0.01</v>
      </c>
      <c r="G36">
        <v>0</v>
      </c>
      <c r="H36">
        <v>0.1</v>
      </c>
      <c r="I36">
        <v>0.5</v>
      </c>
      <c r="J36">
        <v>0</v>
      </c>
      <c r="K36">
        <v>0</v>
      </c>
      <c r="L36">
        <v>0.05</v>
      </c>
      <c r="M36">
        <v>0.02</v>
      </c>
      <c r="N36">
        <v>0.1</v>
      </c>
      <c r="O36">
        <v>0.01</v>
      </c>
      <c r="P36">
        <v>0.15</v>
      </c>
      <c r="Q36">
        <v>0.25</v>
      </c>
      <c r="R36">
        <v>0.2</v>
      </c>
      <c r="S36">
        <v>0</v>
      </c>
      <c r="T36">
        <v>9.98E-2</v>
      </c>
      <c r="U36">
        <v>2.2800000000000001E-2</v>
      </c>
      <c r="V36">
        <v>0.17</v>
      </c>
      <c r="W36">
        <v>0.2</v>
      </c>
      <c r="X36">
        <v>9.5699999999999993E-2</v>
      </c>
      <c r="Y36">
        <v>9.5699999999999993E-2</v>
      </c>
      <c r="Z36">
        <v>0.105</v>
      </c>
      <c r="AA36">
        <v>0.72809999999999997</v>
      </c>
      <c r="AB36">
        <v>0.17</v>
      </c>
      <c r="AC36">
        <v>0.46</v>
      </c>
      <c r="AD36">
        <v>0.51</v>
      </c>
      <c r="AE36">
        <v>0.76300000000000001</v>
      </c>
      <c r="AF36">
        <v>0.02</v>
      </c>
      <c r="AG36">
        <v>0.22</v>
      </c>
      <c r="AH36">
        <v>0.125</v>
      </c>
      <c r="AI36">
        <v>0.316</v>
      </c>
      <c r="AJ36">
        <v>0.05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</row>
    <row r="37" spans="1:43" x14ac:dyDescent="0.15">
      <c r="A37" s="153" t="s">
        <v>217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0.1188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0.05</v>
      </c>
      <c r="S37">
        <v>0</v>
      </c>
      <c r="T37">
        <v>0</v>
      </c>
      <c r="U37">
        <v>0</v>
      </c>
      <c r="V37">
        <v>3.0000000000000001E-3</v>
      </c>
      <c r="W37">
        <v>0</v>
      </c>
      <c r="X37">
        <v>0</v>
      </c>
      <c r="Y37">
        <v>0</v>
      </c>
      <c r="Z37">
        <v>5.5E-2</v>
      </c>
      <c r="AA37">
        <v>0.14860000000000001</v>
      </c>
      <c r="AB37">
        <v>0</v>
      </c>
      <c r="AC37">
        <v>4.3400000000000001E-2</v>
      </c>
      <c r="AD37">
        <v>9.3299999999999994E-2</v>
      </c>
      <c r="AE37">
        <v>0.14099999999999999</v>
      </c>
      <c r="AF37">
        <v>0.08</v>
      </c>
      <c r="AG37">
        <v>0</v>
      </c>
      <c r="AH37">
        <v>0.1</v>
      </c>
      <c r="AI37">
        <v>0.35</v>
      </c>
      <c r="AJ37">
        <v>0.37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</row>
    <row r="38" spans="1:43" x14ac:dyDescent="0.15">
      <c r="A38" s="153" t="s">
        <v>218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8.3000000000000001E-3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0.17499999999999999</v>
      </c>
      <c r="AG38">
        <v>0</v>
      </c>
      <c r="AH38">
        <v>3.3000000000000002E-2</v>
      </c>
      <c r="AI38">
        <v>0</v>
      </c>
      <c r="AJ38">
        <v>0.05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</row>
    <row r="39" spans="1:43" x14ac:dyDescent="0.15">
      <c r="A39" s="153" t="s">
        <v>219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8.3000000000000001E-3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0.17499999999999999</v>
      </c>
      <c r="AG39">
        <v>0</v>
      </c>
      <c r="AH39">
        <v>3.3000000000000002E-2</v>
      </c>
      <c r="AI39">
        <v>0</v>
      </c>
      <c r="AJ39">
        <v>0.05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</row>
    <row r="40" spans="1:43" x14ac:dyDescent="0.15">
      <c r="A40" s="153" t="s">
        <v>220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8.3000000000000001E-3</v>
      </c>
      <c r="AA40">
        <v>3.3300000000000003E-2</v>
      </c>
      <c r="AB40">
        <v>0</v>
      </c>
      <c r="AC40">
        <v>0.15</v>
      </c>
      <c r="AD40">
        <v>5.0000000000000001E-3</v>
      </c>
      <c r="AE40">
        <v>0</v>
      </c>
      <c r="AF40">
        <v>0.1</v>
      </c>
      <c r="AG40">
        <v>0</v>
      </c>
      <c r="AH40">
        <v>3.3000000000000002E-2</v>
      </c>
      <c r="AI40">
        <v>0</v>
      </c>
      <c r="AJ40">
        <v>0.05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</row>
    <row r="41" spans="1:43" x14ac:dyDescent="0.15">
      <c r="A41" s="153" t="s">
        <v>221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3.0000000000000001E-3</v>
      </c>
      <c r="X41">
        <v>0</v>
      </c>
      <c r="Y41">
        <v>0</v>
      </c>
      <c r="Z41">
        <v>0</v>
      </c>
      <c r="AA41">
        <v>6.7000000000000002E-3</v>
      </c>
      <c r="AB41">
        <v>0</v>
      </c>
      <c r="AC41">
        <v>0</v>
      </c>
      <c r="AD41">
        <v>0</v>
      </c>
      <c r="AE41">
        <v>0</v>
      </c>
      <c r="AF41">
        <v>0.3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</row>
    <row r="42" spans="1:43" x14ac:dyDescent="0.15">
      <c r="A42" s="153" t="s">
        <v>222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5.0000000000000001E-3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0.19</v>
      </c>
      <c r="AA42">
        <v>8.3299999999999999E-2</v>
      </c>
      <c r="AB42">
        <v>0</v>
      </c>
      <c r="AC42">
        <v>0.25030000000000002</v>
      </c>
      <c r="AD42">
        <v>0.34</v>
      </c>
      <c r="AE42">
        <v>0</v>
      </c>
      <c r="AF42">
        <v>0.15</v>
      </c>
      <c r="AG42">
        <v>0</v>
      </c>
      <c r="AH42">
        <v>0.2</v>
      </c>
      <c r="AI42">
        <v>0</v>
      </c>
      <c r="AJ42">
        <v>0.43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</row>
    <row r="43" spans="1:43" x14ac:dyDescent="0.15">
      <c r="A43" s="153" t="s">
        <v>240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</row>
    <row r="44" spans="1:43" x14ac:dyDescent="0.15">
      <c r="A44" s="153" t="s">
        <v>166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</row>
    <row r="47" spans="1:43" x14ac:dyDescent="0.15">
      <c r="A47" s="153" t="s">
        <v>62</v>
      </c>
      <c r="B47">
        <f t="shared" ref="B47:AQ47" si="0">SUM(B2:B44)</f>
        <v>1</v>
      </c>
      <c r="C47">
        <f t="shared" si="0"/>
        <v>1</v>
      </c>
      <c r="D47">
        <f t="shared" si="0"/>
        <v>1</v>
      </c>
      <c r="E47">
        <f t="shared" si="0"/>
        <v>1</v>
      </c>
      <c r="F47">
        <f t="shared" si="0"/>
        <v>1</v>
      </c>
      <c r="G47">
        <f t="shared" si="0"/>
        <v>1</v>
      </c>
      <c r="H47">
        <f t="shared" si="0"/>
        <v>0.99999999999999989</v>
      </c>
      <c r="I47">
        <f t="shared" si="0"/>
        <v>1.0002</v>
      </c>
      <c r="J47">
        <f t="shared" si="0"/>
        <v>0.99979999999999991</v>
      </c>
      <c r="K47">
        <f t="shared" si="0"/>
        <v>1.0000000000000002</v>
      </c>
      <c r="L47">
        <f t="shared" si="0"/>
        <v>0.99999999999999989</v>
      </c>
      <c r="M47">
        <f t="shared" si="0"/>
        <v>1</v>
      </c>
      <c r="N47">
        <f t="shared" si="0"/>
        <v>1.0000000000000002</v>
      </c>
      <c r="O47">
        <f t="shared" si="0"/>
        <v>1</v>
      </c>
      <c r="P47">
        <f t="shared" si="0"/>
        <v>1</v>
      </c>
      <c r="Q47">
        <f t="shared" si="0"/>
        <v>1</v>
      </c>
      <c r="R47">
        <f t="shared" si="0"/>
        <v>1</v>
      </c>
      <c r="S47">
        <f t="shared" si="0"/>
        <v>1</v>
      </c>
      <c r="T47">
        <f t="shared" si="0"/>
        <v>0.99970000000000003</v>
      </c>
      <c r="U47">
        <f t="shared" si="0"/>
        <v>1</v>
      </c>
      <c r="V47">
        <f t="shared" si="0"/>
        <v>1</v>
      </c>
      <c r="W47">
        <f t="shared" si="0"/>
        <v>0.99993300000000007</v>
      </c>
      <c r="X47">
        <f t="shared" si="0"/>
        <v>0.99980000000000002</v>
      </c>
      <c r="Y47">
        <f t="shared" si="0"/>
        <v>0.99980000000000002</v>
      </c>
      <c r="Z47">
        <f t="shared" si="0"/>
        <v>0.99990000000000001</v>
      </c>
      <c r="AA47">
        <f t="shared" si="0"/>
        <v>1</v>
      </c>
      <c r="AB47">
        <f t="shared" si="0"/>
        <v>1</v>
      </c>
      <c r="AC47">
        <f t="shared" si="0"/>
        <v>1</v>
      </c>
      <c r="AD47">
        <f t="shared" si="0"/>
        <v>1.0001</v>
      </c>
      <c r="AE47">
        <f t="shared" si="0"/>
        <v>1</v>
      </c>
      <c r="AF47">
        <f t="shared" si="0"/>
        <v>1</v>
      </c>
      <c r="AG47">
        <f t="shared" si="0"/>
        <v>1</v>
      </c>
      <c r="AH47">
        <f t="shared" si="0"/>
        <v>0.99900000000000011</v>
      </c>
      <c r="AI47">
        <f t="shared" si="0"/>
        <v>0.99970000000000003</v>
      </c>
      <c r="AJ47">
        <f t="shared" si="0"/>
        <v>1</v>
      </c>
      <c r="AK47">
        <f t="shared" si="0"/>
        <v>1</v>
      </c>
      <c r="AL47">
        <f t="shared" si="0"/>
        <v>0</v>
      </c>
      <c r="AM47">
        <f t="shared" si="0"/>
        <v>0</v>
      </c>
      <c r="AN47">
        <f t="shared" si="0"/>
        <v>0</v>
      </c>
      <c r="AO47">
        <f t="shared" si="0"/>
        <v>0</v>
      </c>
      <c r="AP47">
        <f t="shared" si="0"/>
        <v>0</v>
      </c>
      <c r="AQ47">
        <f t="shared" si="0"/>
        <v>0</v>
      </c>
    </row>
    <row r="48" spans="1:43" x14ac:dyDescent="0.15">
      <c r="A48" s="153" t="s">
        <v>223</v>
      </c>
      <c r="B48">
        <f>1-B47</f>
        <v>0</v>
      </c>
      <c r="C48">
        <f t="shared" ref="C48:AP48" si="1">1-C47</f>
        <v>0</v>
      </c>
      <c r="D48">
        <f t="shared" si="1"/>
        <v>0</v>
      </c>
      <c r="E48">
        <f t="shared" si="1"/>
        <v>0</v>
      </c>
      <c r="F48">
        <f t="shared" si="1"/>
        <v>0</v>
      </c>
      <c r="G48">
        <f t="shared" si="1"/>
        <v>0</v>
      </c>
      <c r="H48">
        <f t="shared" si="1"/>
        <v>0</v>
      </c>
      <c r="I48">
        <f t="shared" si="1"/>
        <v>-1.9999999999997797E-4</v>
      </c>
      <c r="J48">
        <f t="shared" si="1"/>
        <v>2.00000000000089E-4</v>
      </c>
      <c r="K48">
        <f t="shared" si="1"/>
        <v>0</v>
      </c>
      <c r="L48">
        <f t="shared" si="1"/>
        <v>0</v>
      </c>
      <c r="M48">
        <f t="shared" si="1"/>
        <v>0</v>
      </c>
      <c r="N48">
        <f t="shared" si="1"/>
        <v>0</v>
      </c>
      <c r="O48">
        <f t="shared" si="1"/>
        <v>0</v>
      </c>
      <c r="P48">
        <f t="shared" si="1"/>
        <v>0</v>
      </c>
      <c r="Q48">
        <f t="shared" si="1"/>
        <v>0</v>
      </c>
      <c r="R48">
        <f t="shared" si="1"/>
        <v>0</v>
      </c>
      <c r="S48">
        <f t="shared" si="1"/>
        <v>0</v>
      </c>
      <c r="T48">
        <f t="shared" si="1"/>
        <v>2.9999999999996696E-4</v>
      </c>
      <c r="U48">
        <f t="shared" si="1"/>
        <v>0</v>
      </c>
      <c r="V48">
        <f t="shared" si="1"/>
        <v>0</v>
      </c>
      <c r="W48">
        <f t="shared" si="1"/>
        <v>6.6999999999928228E-5</v>
      </c>
      <c r="X48">
        <f t="shared" si="1"/>
        <v>1.9999999999997797E-4</v>
      </c>
      <c r="Y48">
        <f t="shared" si="1"/>
        <v>1.9999999999997797E-4</v>
      </c>
      <c r="Z48">
        <f t="shared" si="1"/>
        <v>9.9999999999988987E-5</v>
      </c>
      <c r="AA48">
        <f t="shared" si="1"/>
        <v>0</v>
      </c>
      <c r="AB48">
        <f t="shared" si="1"/>
        <v>0</v>
      </c>
      <c r="AC48">
        <f t="shared" si="1"/>
        <v>0</v>
      </c>
      <c r="AD48">
        <f t="shared" si="1"/>
        <v>-9.9999999999988987E-5</v>
      </c>
      <c r="AE48">
        <f t="shared" si="1"/>
        <v>0</v>
      </c>
      <c r="AF48">
        <f t="shared" si="1"/>
        <v>0</v>
      </c>
      <c r="AG48">
        <f t="shared" si="1"/>
        <v>0</v>
      </c>
      <c r="AH48">
        <f t="shared" si="1"/>
        <v>9.9999999999988987E-4</v>
      </c>
      <c r="AI48">
        <f t="shared" si="1"/>
        <v>2.9999999999996696E-4</v>
      </c>
      <c r="AJ48">
        <f t="shared" si="1"/>
        <v>0</v>
      </c>
      <c r="AK48">
        <f t="shared" si="1"/>
        <v>0</v>
      </c>
      <c r="AL48">
        <f t="shared" si="1"/>
        <v>1</v>
      </c>
      <c r="AM48">
        <f t="shared" si="1"/>
        <v>1</v>
      </c>
      <c r="AN48">
        <f t="shared" si="1"/>
        <v>1</v>
      </c>
      <c r="AO48">
        <f t="shared" si="1"/>
        <v>1</v>
      </c>
      <c r="AP48">
        <f t="shared" si="1"/>
        <v>1</v>
      </c>
      <c r="AQ48">
        <f t="shared" ref="AQ48" si="2">1-AQ47</f>
        <v>1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J185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43" sqref="B43"/>
    </sheetView>
  </sheetViews>
  <sheetFormatPr baseColWidth="10" defaultColWidth="8.83203125" defaultRowHeight="13" x14ac:dyDescent="0.15"/>
  <cols>
    <col min="1" max="1" width="12.83203125" customWidth="1"/>
    <col min="2" max="2" width="21.6640625" customWidth="1"/>
    <col min="3" max="6" width="28.5" style="119" customWidth="1"/>
  </cols>
  <sheetData>
    <row r="1" spans="1:10" ht="14" x14ac:dyDescent="0.15">
      <c r="A1" s="5" t="s">
        <v>21</v>
      </c>
      <c r="B1" s="1" t="s">
        <v>0</v>
      </c>
      <c r="C1" s="265" t="s">
        <v>222</v>
      </c>
      <c r="D1" s="265" t="s">
        <v>240</v>
      </c>
      <c r="E1" s="119" t="s">
        <v>156</v>
      </c>
      <c r="F1" s="120" t="s">
        <v>62</v>
      </c>
    </row>
    <row r="2" spans="1:10" x14ac:dyDescent="0.15">
      <c r="A2">
        <v>1</v>
      </c>
      <c r="B2" t="s">
        <v>182</v>
      </c>
      <c r="C2" s="119">
        <v>1</v>
      </c>
      <c r="D2" s="119">
        <v>0</v>
      </c>
      <c r="E2" s="119">
        <v>0</v>
      </c>
      <c r="F2" s="121">
        <f>SUM(C2:E2)</f>
        <v>1</v>
      </c>
      <c r="H2" s="6"/>
      <c r="I2" s="6"/>
      <c r="J2" s="6"/>
    </row>
    <row r="3" spans="1:10" x14ac:dyDescent="0.15">
      <c r="A3">
        <v>2</v>
      </c>
      <c r="B3" t="s">
        <v>183</v>
      </c>
      <c r="C3" s="119">
        <v>1</v>
      </c>
      <c r="D3" s="119">
        <v>0</v>
      </c>
      <c r="E3" s="119">
        <v>0</v>
      </c>
      <c r="F3" s="121">
        <f t="shared" ref="F3:F48" si="0">SUM(C3:E3)</f>
        <v>1</v>
      </c>
      <c r="H3" s="6"/>
      <c r="I3" s="6"/>
      <c r="J3" s="6"/>
    </row>
    <row r="4" spans="1:10" x14ac:dyDescent="0.15">
      <c r="A4">
        <v>3</v>
      </c>
      <c r="B4" t="s">
        <v>184</v>
      </c>
      <c r="C4" s="119">
        <v>1</v>
      </c>
      <c r="D4" s="119">
        <v>0</v>
      </c>
      <c r="E4" s="119">
        <v>0</v>
      </c>
      <c r="F4" s="121">
        <f t="shared" si="0"/>
        <v>1</v>
      </c>
    </row>
    <row r="5" spans="1:10" x14ac:dyDescent="0.15">
      <c r="A5">
        <v>4</v>
      </c>
      <c r="B5" t="s">
        <v>185</v>
      </c>
      <c r="C5" s="119">
        <v>1</v>
      </c>
      <c r="D5" s="119">
        <v>0</v>
      </c>
      <c r="E5" s="119">
        <v>0</v>
      </c>
      <c r="F5" s="121">
        <f t="shared" si="0"/>
        <v>1</v>
      </c>
    </row>
    <row r="6" spans="1:10" x14ac:dyDescent="0.15">
      <c r="A6">
        <v>5</v>
      </c>
      <c r="B6" t="s">
        <v>186</v>
      </c>
      <c r="C6" s="119">
        <v>1</v>
      </c>
      <c r="D6" s="119">
        <v>0</v>
      </c>
      <c r="E6" s="119">
        <v>0</v>
      </c>
      <c r="F6" s="121">
        <f t="shared" si="0"/>
        <v>1</v>
      </c>
    </row>
    <row r="7" spans="1:10" x14ac:dyDescent="0.15">
      <c r="A7">
        <v>6</v>
      </c>
      <c r="B7" t="s">
        <v>187</v>
      </c>
      <c r="C7" s="119">
        <v>1</v>
      </c>
      <c r="D7" s="119">
        <v>0</v>
      </c>
      <c r="E7" s="119">
        <v>0</v>
      </c>
      <c r="F7" s="121">
        <f t="shared" si="0"/>
        <v>1</v>
      </c>
    </row>
    <row r="8" spans="1:10" x14ac:dyDescent="0.15">
      <c r="A8">
        <v>7</v>
      </c>
      <c r="B8" t="s">
        <v>188</v>
      </c>
      <c r="C8" s="119">
        <v>1</v>
      </c>
      <c r="D8" s="119">
        <v>0</v>
      </c>
      <c r="E8" s="119">
        <v>0</v>
      </c>
      <c r="F8" s="121">
        <f t="shared" si="0"/>
        <v>1</v>
      </c>
    </row>
    <row r="9" spans="1:10" x14ac:dyDescent="0.15">
      <c r="A9">
        <v>8</v>
      </c>
      <c r="B9" t="s">
        <v>189</v>
      </c>
      <c r="C9" s="119">
        <v>1</v>
      </c>
      <c r="D9" s="119">
        <v>0</v>
      </c>
      <c r="E9" s="119">
        <v>0</v>
      </c>
      <c r="F9" s="121">
        <f t="shared" si="0"/>
        <v>1</v>
      </c>
    </row>
    <row r="10" spans="1:10" x14ac:dyDescent="0.15">
      <c r="A10">
        <v>9</v>
      </c>
      <c r="B10" t="s">
        <v>190</v>
      </c>
      <c r="C10" s="119">
        <v>1</v>
      </c>
      <c r="D10" s="119">
        <v>0</v>
      </c>
      <c r="E10" s="119">
        <v>0</v>
      </c>
      <c r="F10" s="121">
        <f t="shared" si="0"/>
        <v>1</v>
      </c>
    </row>
    <row r="11" spans="1:10" x14ac:dyDescent="0.15">
      <c r="A11">
        <v>10</v>
      </c>
      <c r="B11" s="153" t="s">
        <v>191</v>
      </c>
      <c r="C11" s="119">
        <v>1</v>
      </c>
      <c r="D11" s="119">
        <v>0</v>
      </c>
      <c r="E11" s="119">
        <v>0</v>
      </c>
      <c r="F11" s="121">
        <f t="shared" si="0"/>
        <v>1</v>
      </c>
    </row>
    <row r="12" spans="1:10" x14ac:dyDescent="0.15">
      <c r="A12">
        <v>11</v>
      </c>
      <c r="B12" s="153" t="s">
        <v>192</v>
      </c>
      <c r="C12" s="119">
        <v>1</v>
      </c>
      <c r="D12" s="119">
        <v>0</v>
      </c>
      <c r="E12" s="119">
        <v>0</v>
      </c>
      <c r="F12" s="121">
        <f t="shared" si="0"/>
        <v>1</v>
      </c>
    </row>
    <row r="13" spans="1:10" x14ac:dyDescent="0.15">
      <c r="A13">
        <v>12</v>
      </c>
      <c r="B13" s="153" t="s">
        <v>193</v>
      </c>
      <c r="C13" s="119">
        <v>1</v>
      </c>
      <c r="D13" s="119">
        <v>0</v>
      </c>
      <c r="E13" s="119">
        <v>0</v>
      </c>
      <c r="F13" s="121">
        <f t="shared" si="0"/>
        <v>1</v>
      </c>
    </row>
    <row r="14" spans="1:10" x14ac:dyDescent="0.15">
      <c r="A14">
        <v>13</v>
      </c>
      <c r="B14" s="153" t="s">
        <v>194</v>
      </c>
      <c r="C14" s="119">
        <v>1</v>
      </c>
      <c r="D14" s="119">
        <v>0</v>
      </c>
      <c r="E14" s="119">
        <v>0</v>
      </c>
      <c r="F14" s="121">
        <f t="shared" si="0"/>
        <v>1</v>
      </c>
    </row>
    <row r="15" spans="1:10" x14ac:dyDescent="0.15">
      <c r="A15">
        <v>14</v>
      </c>
      <c r="B15" s="153" t="s">
        <v>195</v>
      </c>
      <c r="C15" s="119">
        <v>1</v>
      </c>
      <c r="D15" s="119">
        <v>0</v>
      </c>
      <c r="E15" s="119">
        <v>0</v>
      </c>
      <c r="F15" s="121">
        <f t="shared" si="0"/>
        <v>1</v>
      </c>
    </row>
    <row r="16" spans="1:10" x14ac:dyDescent="0.15">
      <c r="A16">
        <v>15</v>
      </c>
      <c r="B16" s="153" t="s">
        <v>196</v>
      </c>
      <c r="C16" s="119">
        <v>1</v>
      </c>
      <c r="D16" s="119">
        <v>0</v>
      </c>
      <c r="E16" s="119">
        <v>0</v>
      </c>
      <c r="F16" s="121">
        <f t="shared" si="0"/>
        <v>1</v>
      </c>
    </row>
    <row r="17" spans="1:6" ht="15" customHeight="1" x14ac:dyDescent="0.15">
      <c r="A17">
        <v>16</v>
      </c>
      <c r="B17" s="153" t="s">
        <v>197</v>
      </c>
      <c r="C17" s="119">
        <v>1</v>
      </c>
      <c r="D17" s="119">
        <v>0</v>
      </c>
      <c r="E17" s="119">
        <v>0</v>
      </c>
      <c r="F17" s="121">
        <f t="shared" si="0"/>
        <v>1</v>
      </c>
    </row>
    <row r="18" spans="1:6" ht="15" customHeight="1" x14ac:dyDescent="0.15">
      <c r="A18">
        <v>17</v>
      </c>
      <c r="B18" s="153" t="s">
        <v>198</v>
      </c>
      <c r="C18" s="119">
        <v>1</v>
      </c>
      <c r="D18" s="119">
        <v>0</v>
      </c>
      <c r="E18" s="119">
        <v>0</v>
      </c>
      <c r="F18" s="121">
        <f t="shared" si="0"/>
        <v>1</v>
      </c>
    </row>
    <row r="19" spans="1:6" ht="15" customHeight="1" x14ac:dyDescent="0.15">
      <c r="A19">
        <v>18</v>
      </c>
      <c r="B19" s="153" t="s">
        <v>199</v>
      </c>
      <c r="C19" s="119">
        <v>1</v>
      </c>
      <c r="D19" s="119">
        <v>0</v>
      </c>
      <c r="E19" s="119">
        <v>0</v>
      </c>
      <c r="F19" s="121">
        <f t="shared" si="0"/>
        <v>1</v>
      </c>
    </row>
    <row r="20" spans="1:6" ht="15" customHeight="1" x14ac:dyDescent="0.15">
      <c r="A20">
        <v>19</v>
      </c>
      <c r="B20" s="153" t="s">
        <v>200</v>
      </c>
      <c r="C20" s="119">
        <v>1</v>
      </c>
      <c r="D20" s="119">
        <v>0</v>
      </c>
      <c r="E20" s="119">
        <v>0</v>
      </c>
      <c r="F20" s="121">
        <f t="shared" si="0"/>
        <v>1</v>
      </c>
    </row>
    <row r="21" spans="1:6" ht="15" customHeight="1" x14ac:dyDescent="0.15">
      <c r="A21">
        <v>20</v>
      </c>
      <c r="B21" s="153" t="s">
        <v>201</v>
      </c>
      <c r="C21" s="119">
        <v>1</v>
      </c>
      <c r="D21" s="119">
        <v>0</v>
      </c>
      <c r="E21" s="119">
        <v>0</v>
      </c>
      <c r="F21" s="121">
        <f t="shared" si="0"/>
        <v>1</v>
      </c>
    </row>
    <row r="22" spans="1:6" ht="15" customHeight="1" x14ac:dyDescent="0.15">
      <c r="A22">
        <v>21</v>
      </c>
      <c r="B22" s="153" t="s">
        <v>202</v>
      </c>
      <c r="C22" s="119">
        <v>1</v>
      </c>
      <c r="D22" s="119">
        <v>0</v>
      </c>
      <c r="E22" s="119">
        <v>0</v>
      </c>
      <c r="F22" s="121">
        <f t="shared" si="0"/>
        <v>1</v>
      </c>
    </row>
    <row r="23" spans="1:6" ht="15" customHeight="1" x14ac:dyDescent="0.15">
      <c r="A23">
        <v>22</v>
      </c>
      <c r="B23" s="153" t="s">
        <v>203</v>
      </c>
      <c r="C23" s="119">
        <v>1</v>
      </c>
      <c r="D23" s="119">
        <v>0</v>
      </c>
      <c r="E23" s="119">
        <v>0</v>
      </c>
      <c r="F23" s="121">
        <f t="shared" si="0"/>
        <v>1</v>
      </c>
    </row>
    <row r="24" spans="1:6" ht="15" customHeight="1" x14ac:dyDescent="0.15">
      <c r="A24">
        <v>23</v>
      </c>
      <c r="B24" s="153" t="s">
        <v>204</v>
      </c>
      <c r="C24" s="119">
        <v>1</v>
      </c>
      <c r="D24" s="119">
        <v>0</v>
      </c>
      <c r="E24" s="119">
        <v>0</v>
      </c>
      <c r="F24" s="121">
        <f t="shared" si="0"/>
        <v>1</v>
      </c>
    </row>
    <row r="25" spans="1:6" ht="15" customHeight="1" x14ac:dyDescent="0.15">
      <c r="A25">
        <v>24</v>
      </c>
      <c r="B25" s="153" t="s">
        <v>205</v>
      </c>
      <c r="C25" s="119">
        <v>1</v>
      </c>
      <c r="D25" s="119">
        <v>0</v>
      </c>
      <c r="E25" s="119">
        <v>0</v>
      </c>
      <c r="F25" s="121">
        <f t="shared" si="0"/>
        <v>1</v>
      </c>
    </row>
    <row r="26" spans="1:6" ht="15" customHeight="1" x14ac:dyDescent="0.15">
      <c r="A26">
        <v>25</v>
      </c>
      <c r="B26" s="153" t="s">
        <v>206</v>
      </c>
      <c r="C26" s="119">
        <v>1</v>
      </c>
      <c r="D26" s="119">
        <v>0</v>
      </c>
      <c r="E26" s="119">
        <v>0</v>
      </c>
      <c r="F26" s="121">
        <f t="shared" si="0"/>
        <v>1</v>
      </c>
    </row>
    <row r="27" spans="1:6" ht="15" customHeight="1" x14ac:dyDescent="0.15">
      <c r="A27">
        <v>26</v>
      </c>
      <c r="B27" s="153" t="s">
        <v>207</v>
      </c>
      <c r="C27" s="119">
        <v>1</v>
      </c>
      <c r="D27" s="119">
        <v>0</v>
      </c>
      <c r="E27" s="119">
        <v>0</v>
      </c>
      <c r="F27" s="121">
        <f t="shared" si="0"/>
        <v>1</v>
      </c>
    </row>
    <row r="28" spans="1:6" ht="15" customHeight="1" x14ac:dyDescent="0.15">
      <c r="A28">
        <v>27</v>
      </c>
      <c r="B28" s="153" t="s">
        <v>208</v>
      </c>
      <c r="C28" s="119">
        <v>1</v>
      </c>
      <c r="D28" s="119">
        <v>0</v>
      </c>
      <c r="E28" s="119">
        <v>0</v>
      </c>
      <c r="F28" s="121">
        <f t="shared" si="0"/>
        <v>1</v>
      </c>
    </row>
    <row r="29" spans="1:6" ht="15" customHeight="1" x14ac:dyDescent="0.15">
      <c r="A29">
        <v>28</v>
      </c>
      <c r="B29" s="153" t="s">
        <v>209</v>
      </c>
      <c r="C29" s="119">
        <v>1</v>
      </c>
      <c r="D29" s="119">
        <v>0</v>
      </c>
      <c r="E29" s="119">
        <v>0</v>
      </c>
      <c r="F29" s="121">
        <f t="shared" si="0"/>
        <v>1</v>
      </c>
    </row>
    <row r="30" spans="1:6" ht="15" customHeight="1" x14ac:dyDescent="0.15">
      <c r="A30">
        <v>29</v>
      </c>
      <c r="B30" s="153" t="s">
        <v>210</v>
      </c>
      <c r="C30" s="119">
        <v>1</v>
      </c>
      <c r="D30" s="119">
        <v>0</v>
      </c>
      <c r="E30" s="119">
        <v>0</v>
      </c>
      <c r="F30" s="121">
        <f t="shared" si="0"/>
        <v>1</v>
      </c>
    </row>
    <row r="31" spans="1:6" ht="15" customHeight="1" x14ac:dyDescent="0.15">
      <c r="A31">
        <v>30</v>
      </c>
      <c r="B31" s="153" t="s">
        <v>211</v>
      </c>
      <c r="C31" s="119">
        <v>1</v>
      </c>
      <c r="D31" s="119">
        <v>0</v>
      </c>
      <c r="E31" s="119">
        <v>0</v>
      </c>
      <c r="F31" s="121">
        <f t="shared" si="0"/>
        <v>1</v>
      </c>
    </row>
    <row r="32" spans="1:6" ht="15" customHeight="1" x14ac:dyDescent="0.15">
      <c r="A32">
        <v>31</v>
      </c>
      <c r="B32" s="153" t="s">
        <v>212</v>
      </c>
      <c r="C32" s="119">
        <v>1</v>
      </c>
      <c r="D32" s="119">
        <v>0</v>
      </c>
      <c r="E32" s="119">
        <v>0</v>
      </c>
      <c r="F32" s="121">
        <f t="shared" si="0"/>
        <v>1</v>
      </c>
    </row>
    <row r="33" spans="1:6" ht="15" customHeight="1" x14ac:dyDescent="0.15">
      <c r="A33">
        <v>32</v>
      </c>
      <c r="B33" s="153" t="s">
        <v>213</v>
      </c>
      <c r="C33" s="119">
        <v>1</v>
      </c>
      <c r="D33" s="119">
        <v>0</v>
      </c>
      <c r="E33" s="119">
        <v>0</v>
      </c>
      <c r="F33" s="121">
        <f t="shared" si="0"/>
        <v>1</v>
      </c>
    </row>
    <row r="34" spans="1:6" ht="15" customHeight="1" x14ac:dyDescent="0.15">
      <c r="A34">
        <v>33</v>
      </c>
      <c r="B34" s="153" t="s">
        <v>214</v>
      </c>
      <c r="C34" s="119">
        <v>1</v>
      </c>
      <c r="D34" s="119">
        <v>0</v>
      </c>
      <c r="E34" s="119">
        <v>0</v>
      </c>
      <c r="F34" s="121">
        <f t="shared" si="0"/>
        <v>1</v>
      </c>
    </row>
    <row r="35" spans="1:6" ht="15" customHeight="1" x14ac:dyDescent="0.15">
      <c r="A35">
        <v>34</v>
      </c>
      <c r="B35" s="153" t="s">
        <v>215</v>
      </c>
      <c r="C35" s="119">
        <v>1</v>
      </c>
      <c r="D35" s="119">
        <v>0</v>
      </c>
      <c r="E35" s="119">
        <v>0</v>
      </c>
      <c r="F35" s="121">
        <f t="shared" si="0"/>
        <v>1</v>
      </c>
    </row>
    <row r="36" spans="1:6" ht="15" customHeight="1" x14ac:dyDescent="0.15">
      <c r="A36">
        <v>35</v>
      </c>
      <c r="B36" s="153" t="s">
        <v>216</v>
      </c>
      <c r="C36" s="119">
        <v>1</v>
      </c>
      <c r="D36" s="119">
        <v>0</v>
      </c>
      <c r="E36" s="119">
        <v>0</v>
      </c>
      <c r="F36" s="121">
        <f t="shared" si="0"/>
        <v>1</v>
      </c>
    </row>
    <row r="37" spans="1:6" ht="15" customHeight="1" x14ac:dyDescent="0.15">
      <c r="A37">
        <v>36</v>
      </c>
      <c r="B37" s="153" t="s">
        <v>217</v>
      </c>
      <c r="C37" s="119">
        <v>1</v>
      </c>
      <c r="D37" s="119">
        <v>0</v>
      </c>
      <c r="E37" s="119">
        <v>0</v>
      </c>
      <c r="F37" s="121">
        <f t="shared" si="0"/>
        <v>1</v>
      </c>
    </row>
    <row r="38" spans="1:6" ht="15" customHeight="1" x14ac:dyDescent="0.15">
      <c r="A38">
        <v>37</v>
      </c>
      <c r="B38" s="153" t="s">
        <v>218</v>
      </c>
      <c r="C38" s="119">
        <v>1</v>
      </c>
      <c r="D38" s="119">
        <v>0</v>
      </c>
      <c r="E38" s="119">
        <v>0</v>
      </c>
      <c r="F38" s="121">
        <f t="shared" si="0"/>
        <v>1</v>
      </c>
    </row>
    <row r="39" spans="1:6" ht="15" customHeight="1" x14ac:dyDescent="0.15">
      <c r="A39">
        <v>38</v>
      </c>
      <c r="B39" s="153" t="s">
        <v>219</v>
      </c>
      <c r="C39" s="119">
        <v>1</v>
      </c>
      <c r="D39" s="119">
        <v>0</v>
      </c>
      <c r="E39" s="119">
        <v>0</v>
      </c>
      <c r="F39" s="121">
        <f t="shared" si="0"/>
        <v>1</v>
      </c>
    </row>
    <row r="40" spans="1:6" ht="15" customHeight="1" x14ac:dyDescent="0.15">
      <c r="A40">
        <v>39</v>
      </c>
      <c r="B40" s="153" t="s">
        <v>220</v>
      </c>
      <c r="C40" s="119">
        <v>1</v>
      </c>
      <c r="D40" s="119">
        <v>0</v>
      </c>
      <c r="E40" s="119">
        <v>0</v>
      </c>
      <c r="F40" s="121">
        <f t="shared" si="0"/>
        <v>1</v>
      </c>
    </row>
    <row r="41" spans="1:6" ht="15" customHeight="1" x14ac:dyDescent="0.15">
      <c r="A41">
        <v>40</v>
      </c>
      <c r="B41" s="153" t="s">
        <v>221</v>
      </c>
      <c r="C41" s="119">
        <v>1</v>
      </c>
      <c r="D41" s="119">
        <v>0</v>
      </c>
      <c r="E41" s="119">
        <v>0</v>
      </c>
      <c r="F41" s="121">
        <f t="shared" si="0"/>
        <v>1</v>
      </c>
    </row>
    <row r="42" spans="1:6" ht="15" customHeight="1" x14ac:dyDescent="0.15">
      <c r="A42">
        <v>41</v>
      </c>
      <c r="B42" s="153" t="s">
        <v>222</v>
      </c>
      <c r="C42" s="119">
        <v>0</v>
      </c>
      <c r="D42" s="119">
        <v>1</v>
      </c>
      <c r="E42" s="119">
        <v>0</v>
      </c>
      <c r="F42" s="121">
        <f t="shared" si="0"/>
        <v>1</v>
      </c>
    </row>
    <row r="43" spans="1:6" ht="15" customHeight="1" x14ac:dyDescent="0.15">
      <c r="A43">
        <v>42</v>
      </c>
      <c r="B43" s="153" t="s">
        <v>240</v>
      </c>
      <c r="C43" s="119">
        <v>0</v>
      </c>
      <c r="D43" s="119">
        <v>0</v>
      </c>
      <c r="E43" s="119">
        <v>1</v>
      </c>
      <c r="F43" s="121">
        <f t="shared" si="0"/>
        <v>1</v>
      </c>
    </row>
    <row r="44" spans="1:6" ht="15" customHeight="1" x14ac:dyDescent="0.15">
      <c r="A44">
        <v>43</v>
      </c>
      <c r="B44" s="153" t="s">
        <v>227</v>
      </c>
      <c r="C44" s="119">
        <v>1</v>
      </c>
      <c r="D44" s="119">
        <v>0</v>
      </c>
      <c r="E44" s="119">
        <v>0</v>
      </c>
      <c r="F44" s="121">
        <f t="shared" si="0"/>
        <v>1</v>
      </c>
    </row>
    <row r="45" spans="1:6" ht="15" customHeight="1" x14ac:dyDescent="0.15">
      <c r="A45">
        <v>44</v>
      </c>
      <c r="B45" s="153" t="s">
        <v>228</v>
      </c>
      <c r="C45" s="119">
        <v>1</v>
      </c>
      <c r="D45" s="119">
        <v>0</v>
      </c>
      <c r="E45" s="119">
        <v>0</v>
      </c>
      <c r="F45" s="121">
        <f t="shared" si="0"/>
        <v>1</v>
      </c>
    </row>
    <row r="46" spans="1:6" ht="15" customHeight="1" x14ac:dyDescent="0.15">
      <c r="A46">
        <v>45</v>
      </c>
      <c r="B46" s="153" t="s">
        <v>229</v>
      </c>
      <c r="C46" s="119">
        <v>1</v>
      </c>
      <c r="D46" s="119">
        <v>0</v>
      </c>
      <c r="E46" s="119">
        <v>0</v>
      </c>
      <c r="F46" s="121">
        <f t="shared" si="0"/>
        <v>1</v>
      </c>
    </row>
    <row r="47" spans="1:6" ht="15" customHeight="1" x14ac:dyDescent="0.15">
      <c r="A47">
        <v>46</v>
      </c>
      <c r="B47" t="s">
        <v>230</v>
      </c>
      <c r="C47" s="119">
        <v>1</v>
      </c>
      <c r="D47" s="119">
        <v>0</v>
      </c>
      <c r="E47" s="119">
        <v>0</v>
      </c>
      <c r="F47" s="121">
        <f t="shared" si="0"/>
        <v>1</v>
      </c>
    </row>
    <row r="48" spans="1:6" ht="15" customHeight="1" x14ac:dyDescent="0.15">
      <c r="A48">
        <v>47</v>
      </c>
      <c r="B48" t="s">
        <v>231</v>
      </c>
      <c r="C48" s="119">
        <v>1</v>
      </c>
      <c r="D48" s="119">
        <v>0</v>
      </c>
      <c r="E48" s="119">
        <v>0</v>
      </c>
      <c r="F48" s="121">
        <f t="shared" si="0"/>
        <v>1</v>
      </c>
    </row>
    <row r="49" spans="6:6" ht="15" customHeight="1" x14ac:dyDescent="0.15">
      <c r="F49"/>
    </row>
    <row r="50" spans="6:6" ht="15" customHeight="1" x14ac:dyDescent="0.15">
      <c r="F50"/>
    </row>
    <row r="51" spans="6:6" ht="15" customHeight="1" x14ac:dyDescent="0.15">
      <c r="F51"/>
    </row>
    <row r="52" spans="6:6" ht="15" customHeight="1" x14ac:dyDescent="0.15">
      <c r="F52"/>
    </row>
    <row r="53" spans="6:6" ht="15" customHeight="1" x14ac:dyDescent="0.15">
      <c r="F53"/>
    </row>
    <row r="54" spans="6:6" ht="15" customHeight="1" x14ac:dyDescent="0.15">
      <c r="F54"/>
    </row>
    <row r="55" spans="6:6" ht="15" customHeight="1" x14ac:dyDescent="0.15">
      <c r="F55"/>
    </row>
    <row r="56" spans="6:6" ht="15" customHeight="1" x14ac:dyDescent="0.15">
      <c r="F56"/>
    </row>
    <row r="57" spans="6:6" ht="15" customHeight="1" x14ac:dyDescent="0.15">
      <c r="F57"/>
    </row>
    <row r="58" spans="6:6" ht="15" customHeight="1" x14ac:dyDescent="0.15">
      <c r="F58"/>
    </row>
    <row r="59" spans="6:6" ht="15" customHeight="1" x14ac:dyDescent="0.15">
      <c r="F59"/>
    </row>
    <row r="60" spans="6:6" ht="15" customHeight="1" x14ac:dyDescent="0.15">
      <c r="F60"/>
    </row>
    <row r="61" spans="6:6" ht="15" customHeight="1" x14ac:dyDescent="0.15">
      <c r="F61"/>
    </row>
    <row r="62" spans="6:6" ht="15" customHeight="1" x14ac:dyDescent="0.15">
      <c r="F62"/>
    </row>
    <row r="63" spans="6:6" ht="15" customHeight="1" x14ac:dyDescent="0.15">
      <c r="F63"/>
    </row>
    <row r="64" spans="6:6" ht="15" customHeight="1" x14ac:dyDescent="0.15">
      <c r="F64"/>
    </row>
    <row r="65" spans="6:6" ht="15" customHeight="1" x14ac:dyDescent="0.15">
      <c r="F65"/>
    </row>
    <row r="66" spans="6:6" ht="15" customHeight="1" x14ac:dyDescent="0.15">
      <c r="F66"/>
    </row>
    <row r="67" spans="6:6" ht="15" customHeight="1" x14ac:dyDescent="0.15">
      <c r="F67"/>
    </row>
    <row r="68" spans="6:6" ht="15" customHeight="1" x14ac:dyDescent="0.15">
      <c r="F68"/>
    </row>
    <row r="69" spans="6:6" ht="15" customHeight="1" x14ac:dyDescent="0.15">
      <c r="F69"/>
    </row>
    <row r="70" spans="6:6" ht="15" customHeight="1" x14ac:dyDescent="0.15">
      <c r="F70"/>
    </row>
    <row r="71" spans="6:6" ht="15" customHeight="1" x14ac:dyDescent="0.15">
      <c r="F71"/>
    </row>
    <row r="72" spans="6:6" ht="15" customHeight="1" x14ac:dyDescent="0.15">
      <c r="F72"/>
    </row>
    <row r="73" spans="6:6" ht="15" customHeight="1" x14ac:dyDescent="0.15">
      <c r="F73"/>
    </row>
    <row r="74" spans="6:6" ht="15" customHeight="1" x14ac:dyDescent="0.15">
      <c r="F74"/>
    </row>
    <row r="75" spans="6:6" ht="15" customHeight="1" x14ac:dyDescent="0.15">
      <c r="F75"/>
    </row>
    <row r="76" spans="6:6" ht="15" customHeight="1" x14ac:dyDescent="0.15">
      <c r="F76"/>
    </row>
    <row r="77" spans="6:6" ht="15" customHeight="1" x14ac:dyDescent="0.15">
      <c r="F77"/>
    </row>
    <row r="78" spans="6:6" ht="15" customHeight="1" x14ac:dyDescent="0.15">
      <c r="F78"/>
    </row>
    <row r="79" spans="6:6" ht="15" customHeight="1" x14ac:dyDescent="0.15">
      <c r="F79"/>
    </row>
    <row r="80" spans="6:6" ht="15" customHeight="1" x14ac:dyDescent="0.15">
      <c r="F80"/>
    </row>
    <row r="81" spans="6:6" ht="15" customHeight="1" x14ac:dyDescent="0.15">
      <c r="F81"/>
    </row>
    <row r="82" spans="6:6" ht="15" customHeight="1" x14ac:dyDescent="0.15">
      <c r="F82"/>
    </row>
    <row r="83" spans="6:6" ht="15" customHeight="1" x14ac:dyDescent="0.15">
      <c r="F83"/>
    </row>
    <row r="84" spans="6:6" ht="15" customHeight="1" x14ac:dyDescent="0.15">
      <c r="F84"/>
    </row>
    <row r="85" spans="6:6" ht="15" customHeight="1" x14ac:dyDescent="0.15">
      <c r="F85"/>
    </row>
    <row r="86" spans="6:6" ht="15" customHeight="1" x14ac:dyDescent="0.15">
      <c r="F86"/>
    </row>
    <row r="87" spans="6:6" ht="15" customHeight="1" x14ac:dyDescent="0.15">
      <c r="F87"/>
    </row>
    <row r="88" spans="6:6" ht="15" customHeight="1" x14ac:dyDescent="0.15">
      <c r="F88"/>
    </row>
    <row r="89" spans="6:6" ht="15" customHeight="1" x14ac:dyDescent="0.15">
      <c r="F89"/>
    </row>
    <row r="90" spans="6:6" ht="15" customHeight="1" x14ac:dyDescent="0.15">
      <c r="F90"/>
    </row>
    <row r="91" spans="6:6" ht="15" customHeight="1" x14ac:dyDescent="0.15">
      <c r="F91"/>
    </row>
    <row r="92" spans="6:6" ht="15" customHeight="1" x14ac:dyDescent="0.15">
      <c r="F92"/>
    </row>
    <row r="93" spans="6:6" ht="15" customHeight="1" x14ac:dyDescent="0.15">
      <c r="F93"/>
    </row>
    <row r="94" spans="6:6" ht="15" customHeight="1" x14ac:dyDescent="0.15">
      <c r="F94"/>
    </row>
    <row r="95" spans="6:6" ht="15" customHeight="1" x14ac:dyDescent="0.15">
      <c r="F95"/>
    </row>
    <row r="96" spans="6:6" ht="15" customHeight="1" x14ac:dyDescent="0.15">
      <c r="F96"/>
    </row>
    <row r="97" spans="6:6" ht="15" customHeight="1" x14ac:dyDescent="0.15">
      <c r="F97"/>
    </row>
    <row r="98" spans="6:6" ht="15" customHeight="1" x14ac:dyDescent="0.15">
      <c r="F98"/>
    </row>
    <row r="99" spans="6:6" ht="15" customHeight="1" x14ac:dyDescent="0.15">
      <c r="F99"/>
    </row>
    <row r="100" spans="6:6" ht="15" customHeight="1" x14ac:dyDescent="0.15">
      <c r="F100"/>
    </row>
    <row r="101" spans="6:6" ht="15" customHeight="1" x14ac:dyDescent="0.15">
      <c r="F101"/>
    </row>
    <row r="102" spans="6:6" ht="15" customHeight="1" x14ac:dyDescent="0.15">
      <c r="F102"/>
    </row>
    <row r="103" spans="6:6" ht="15" customHeight="1" x14ac:dyDescent="0.15">
      <c r="F103"/>
    </row>
    <row r="104" spans="6:6" ht="15" customHeight="1" x14ac:dyDescent="0.15">
      <c r="F104"/>
    </row>
    <row r="105" spans="6:6" ht="15" customHeight="1" x14ac:dyDescent="0.15"/>
    <row r="106" spans="6:6" ht="15" customHeight="1" x14ac:dyDescent="0.15"/>
    <row r="107" spans="6:6" ht="15" customHeight="1" x14ac:dyDescent="0.15"/>
    <row r="108" spans="6:6" ht="15" customHeight="1" x14ac:dyDescent="0.15"/>
    <row r="109" spans="6:6" ht="15" customHeight="1" x14ac:dyDescent="0.15"/>
    <row r="110" spans="6:6" ht="15" customHeight="1" x14ac:dyDescent="0.15"/>
    <row r="111" spans="6:6" ht="15" customHeight="1" x14ac:dyDescent="0.15"/>
    <row r="112" spans="6:6" ht="15" customHeight="1" x14ac:dyDescent="0.15"/>
    <row r="113" spans="6:6" ht="15" customHeight="1" x14ac:dyDescent="0.15"/>
    <row r="114" spans="6:6" ht="15" customHeight="1" x14ac:dyDescent="0.15"/>
    <row r="115" spans="6:6" ht="15" customHeight="1" x14ac:dyDescent="0.15"/>
    <row r="116" spans="6:6" ht="15" customHeight="1" x14ac:dyDescent="0.15">
      <c r="F116"/>
    </row>
    <row r="117" spans="6:6" ht="15" customHeight="1" x14ac:dyDescent="0.15">
      <c r="F117"/>
    </row>
    <row r="118" spans="6:6" ht="15" customHeight="1" x14ac:dyDescent="0.15">
      <c r="F118"/>
    </row>
    <row r="119" spans="6:6" ht="15" customHeight="1" x14ac:dyDescent="0.15">
      <c r="F119"/>
    </row>
    <row r="120" spans="6:6" ht="15" customHeight="1" x14ac:dyDescent="0.15">
      <c r="F120"/>
    </row>
    <row r="121" spans="6:6" ht="15" customHeight="1" x14ac:dyDescent="0.15">
      <c r="F121"/>
    </row>
    <row r="122" spans="6:6" ht="15" customHeight="1" x14ac:dyDescent="0.15">
      <c r="F122"/>
    </row>
    <row r="123" spans="6:6" ht="15" customHeight="1" x14ac:dyDescent="0.15">
      <c r="F123"/>
    </row>
    <row r="124" spans="6:6" ht="15" customHeight="1" x14ac:dyDescent="0.15">
      <c r="F124"/>
    </row>
    <row r="125" spans="6:6" ht="15" customHeight="1" x14ac:dyDescent="0.15">
      <c r="F125"/>
    </row>
    <row r="126" spans="6:6" ht="15" customHeight="1" x14ac:dyDescent="0.15">
      <c r="F126"/>
    </row>
    <row r="127" spans="6:6" ht="15" customHeight="1" x14ac:dyDescent="0.15">
      <c r="F127"/>
    </row>
    <row r="128" spans="6:6" ht="15" customHeight="1" x14ac:dyDescent="0.15">
      <c r="F128"/>
    </row>
    <row r="129" spans="6:6" ht="15" customHeight="1" x14ac:dyDescent="0.15">
      <c r="F129"/>
    </row>
    <row r="130" spans="6:6" ht="15" customHeight="1" x14ac:dyDescent="0.15">
      <c r="F130"/>
    </row>
    <row r="131" spans="6:6" ht="15" customHeight="1" x14ac:dyDescent="0.15">
      <c r="F131"/>
    </row>
    <row r="132" spans="6:6" ht="15" customHeight="1" x14ac:dyDescent="0.15">
      <c r="F132"/>
    </row>
    <row r="133" spans="6:6" ht="15" customHeight="1" x14ac:dyDescent="0.15">
      <c r="F133"/>
    </row>
    <row r="134" spans="6:6" ht="15" customHeight="1" x14ac:dyDescent="0.15">
      <c r="F134"/>
    </row>
    <row r="135" spans="6:6" ht="15" customHeight="1" x14ac:dyDescent="0.15">
      <c r="F135"/>
    </row>
    <row r="136" spans="6:6" ht="15" customHeight="1" x14ac:dyDescent="0.15">
      <c r="F136"/>
    </row>
    <row r="137" spans="6:6" ht="15" customHeight="1" x14ac:dyDescent="0.15">
      <c r="F137"/>
    </row>
    <row r="138" spans="6:6" ht="15" customHeight="1" x14ac:dyDescent="0.15">
      <c r="F138"/>
    </row>
    <row r="139" spans="6:6" ht="15" customHeight="1" x14ac:dyDescent="0.15">
      <c r="F139"/>
    </row>
    <row r="140" spans="6:6" ht="15" customHeight="1" x14ac:dyDescent="0.15">
      <c r="F140"/>
    </row>
    <row r="141" spans="6:6" ht="15" customHeight="1" x14ac:dyDescent="0.15">
      <c r="F141"/>
    </row>
    <row r="142" spans="6:6" ht="15" customHeight="1" x14ac:dyDescent="0.15">
      <c r="F142"/>
    </row>
    <row r="143" spans="6:6" ht="15" customHeight="1" x14ac:dyDescent="0.15">
      <c r="F143"/>
    </row>
    <row r="144" spans="6:6" ht="15" customHeight="1" x14ac:dyDescent="0.15">
      <c r="F144"/>
    </row>
    <row r="145" spans="6:6" ht="15" customHeight="1" x14ac:dyDescent="0.15">
      <c r="F145"/>
    </row>
    <row r="146" spans="6:6" ht="15" customHeight="1" x14ac:dyDescent="0.15">
      <c r="F146"/>
    </row>
    <row r="147" spans="6:6" ht="15" customHeight="1" x14ac:dyDescent="0.15">
      <c r="F147"/>
    </row>
    <row r="148" spans="6:6" ht="15" customHeight="1" x14ac:dyDescent="0.15">
      <c r="F148"/>
    </row>
    <row r="149" spans="6:6" ht="15" customHeight="1" x14ac:dyDescent="0.15">
      <c r="F149"/>
    </row>
    <row r="150" spans="6:6" ht="15" customHeight="1" x14ac:dyDescent="0.15">
      <c r="F150"/>
    </row>
    <row r="151" spans="6:6" ht="15" customHeight="1" x14ac:dyDescent="0.15">
      <c r="F151"/>
    </row>
    <row r="152" spans="6:6" ht="15" customHeight="1" x14ac:dyDescent="0.15">
      <c r="F152"/>
    </row>
    <row r="153" spans="6:6" ht="15" customHeight="1" x14ac:dyDescent="0.15">
      <c r="F153"/>
    </row>
    <row r="154" spans="6:6" ht="15" customHeight="1" x14ac:dyDescent="0.15">
      <c r="F154"/>
    </row>
    <row r="155" spans="6:6" ht="15" customHeight="1" x14ac:dyDescent="0.15">
      <c r="F155"/>
    </row>
    <row r="156" spans="6:6" ht="15" customHeight="1" x14ac:dyDescent="0.15">
      <c r="F156"/>
    </row>
    <row r="157" spans="6:6" ht="15" customHeight="1" x14ac:dyDescent="0.15">
      <c r="F157"/>
    </row>
    <row r="158" spans="6:6" ht="15" customHeight="1" x14ac:dyDescent="0.15">
      <c r="F158"/>
    </row>
    <row r="159" spans="6:6" ht="15" customHeight="1" x14ac:dyDescent="0.15">
      <c r="F159"/>
    </row>
    <row r="160" spans="6:6" ht="15" customHeight="1" x14ac:dyDescent="0.15">
      <c r="F160"/>
    </row>
    <row r="161" spans="6:6" ht="15" customHeight="1" x14ac:dyDescent="0.15">
      <c r="F161"/>
    </row>
    <row r="162" spans="6:6" ht="15" customHeight="1" x14ac:dyDescent="0.15">
      <c r="F162"/>
    </row>
    <row r="163" spans="6:6" ht="15" customHeight="1" x14ac:dyDescent="0.15">
      <c r="F163"/>
    </row>
    <row r="164" spans="6:6" ht="15" customHeight="1" x14ac:dyDescent="0.15">
      <c r="F164"/>
    </row>
    <row r="165" spans="6:6" ht="15" customHeight="1" x14ac:dyDescent="0.15">
      <c r="F165"/>
    </row>
    <row r="166" spans="6:6" ht="15" customHeight="1" x14ac:dyDescent="0.15">
      <c r="F166"/>
    </row>
    <row r="167" spans="6:6" ht="15" customHeight="1" x14ac:dyDescent="0.15">
      <c r="F167"/>
    </row>
    <row r="168" spans="6:6" ht="15" customHeight="1" x14ac:dyDescent="0.15">
      <c r="F168"/>
    </row>
    <row r="169" spans="6:6" ht="15" customHeight="1" x14ac:dyDescent="0.15">
      <c r="F169"/>
    </row>
    <row r="170" spans="6:6" ht="15" customHeight="1" x14ac:dyDescent="0.15">
      <c r="F170"/>
    </row>
    <row r="171" spans="6:6" ht="15" customHeight="1" x14ac:dyDescent="0.15">
      <c r="F171"/>
    </row>
    <row r="172" spans="6:6" ht="15" customHeight="1" x14ac:dyDescent="0.15">
      <c r="F172"/>
    </row>
    <row r="173" spans="6:6" ht="15" customHeight="1" x14ac:dyDescent="0.15">
      <c r="F173"/>
    </row>
    <row r="174" spans="6:6" ht="15" customHeight="1" x14ac:dyDescent="0.15">
      <c r="F174"/>
    </row>
    <row r="175" spans="6:6" ht="15" customHeight="1" x14ac:dyDescent="0.15">
      <c r="F175"/>
    </row>
    <row r="176" spans="6:6" ht="15" customHeight="1" x14ac:dyDescent="0.15">
      <c r="F176"/>
    </row>
    <row r="177" spans="6:6" ht="15" customHeight="1" x14ac:dyDescent="0.15">
      <c r="F177"/>
    </row>
    <row r="178" spans="6:6" ht="15" customHeight="1" x14ac:dyDescent="0.15">
      <c r="F178"/>
    </row>
    <row r="179" spans="6:6" ht="15" customHeight="1" x14ac:dyDescent="0.15">
      <c r="F179"/>
    </row>
    <row r="180" spans="6:6" ht="15" customHeight="1" x14ac:dyDescent="0.15">
      <c r="F180"/>
    </row>
    <row r="181" spans="6:6" ht="15" customHeight="1" x14ac:dyDescent="0.15">
      <c r="F181"/>
    </row>
    <row r="182" spans="6:6" ht="15" customHeight="1" x14ac:dyDescent="0.15">
      <c r="F182"/>
    </row>
    <row r="183" spans="6:6" ht="15" customHeight="1" x14ac:dyDescent="0.15">
      <c r="F183"/>
    </row>
    <row r="184" spans="6:6" ht="15" customHeight="1" x14ac:dyDescent="0.15">
      <c r="F184"/>
    </row>
    <row r="185" spans="6:6" ht="15" customHeight="1" x14ac:dyDescent="0.15">
      <c r="F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36" activePane="bottomRight" state="frozen"/>
      <selection pane="topRight" activeCell="D1" sqref="D1"/>
      <selection pane="bottomLeft" activeCell="A2" sqref="A2"/>
      <selection pane="bottomRight" activeCell="B43" sqref="B4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7" width="12.5" customWidth="1"/>
    <col min="8" max="8" width="12.1640625" bestFit="1" customWidth="1"/>
  </cols>
  <sheetData>
    <row r="1" spans="1:8" s="122" customFormat="1" ht="28" x14ac:dyDescent="0.15">
      <c r="A1" s="5" t="s">
        <v>22</v>
      </c>
      <c r="B1" s="3" t="s">
        <v>0</v>
      </c>
      <c r="C1" t="s">
        <v>227</v>
      </c>
      <c r="D1" t="s">
        <v>228</v>
      </c>
      <c r="E1" t="s">
        <v>229</v>
      </c>
      <c r="F1" s="122" t="s">
        <v>230</v>
      </c>
      <c r="G1" s="122" t="s">
        <v>231</v>
      </c>
      <c r="H1" s="122" t="s">
        <v>12</v>
      </c>
    </row>
    <row r="2" spans="1:8" ht="15" customHeight="1" x14ac:dyDescent="0.15">
      <c r="A2">
        <v>1</v>
      </c>
      <c r="B2" t="s">
        <v>182</v>
      </c>
      <c r="C2" s="205">
        <v>0</v>
      </c>
      <c r="D2" s="205">
        <v>0</v>
      </c>
      <c r="E2" s="205">
        <v>2.1800000000000001E-4</v>
      </c>
      <c r="F2" s="206">
        <v>1.4E-5</v>
      </c>
      <c r="G2" s="206">
        <v>9.5749999999999996E-5</v>
      </c>
      <c r="H2" s="116">
        <f>SUM(C2:G2)</f>
        <v>3.2775000000000002E-4</v>
      </c>
    </row>
    <row r="3" spans="1:8" ht="15" customHeight="1" x14ac:dyDescent="0.15">
      <c r="A3">
        <v>2</v>
      </c>
      <c r="B3" t="s">
        <v>183</v>
      </c>
      <c r="C3" s="205">
        <v>0</v>
      </c>
      <c r="D3" s="205">
        <v>0</v>
      </c>
      <c r="E3" s="206">
        <v>1.22E-5</v>
      </c>
      <c r="F3" s="206">
        <v>1.3200000000000001E-6</v>
      </c>
      <c r="G3" s="206">
        <v>1.0000000000000001E-5</v>
      </c>
      <c r="H3" s="116">
        <f t="shared" ref="H3:H42" si="0">SUM(C3:G3)</f>
        <v>2.3519999999999998E-5</v>
      </c>
    </row>
    <row r="4" spans="1:8" ht="15" customHeight="1" x14ac:dyDescent="0.15">
      <c r="A4">
        <v>3</v>
      </c>
      <c r="B4" t="s">
        <v>184</v>
      </c>
      <c r="C4" s="205">
        <v>0</v>
      </c>
      <c r="D4" s="205">
        <v>0</v>
      </c>
      <c r="E4" s="205">
        <v>3.21E-4</v>
      </c>
      <c r="F4" s="206">
        <v>5.4999999999999999E-6</v>
      </c>
      <c r="G4" s="206">
        <v>7.4999999999999993E-5</v>
      </c>
      <c r="H4" s="116">
        <f t="shared" si="0"/>
        <v>4.015E-4</v>
      </c>
    </row>
    <row r="5" spans="1:8" ht="15" customHeight="1" x14ac:dyDescent="0.15">
      <c r="A5">
        <v>4</v>
      </c>
      <c r="B5" t="s">
        <v>185</v>
      </c>
      <c r="C5" s="205">
        <v>0</v>
      </c>
      <c r="D5" s="205">
        <v>0</v>
      </c>
      <c r="E5" s="206">
        <v>4.6799999999999999E-5</v>
      </c>
      <c r="F5" s="206">
        <v>8.9999999999999996E-7</v>
      </c>
      <c r="G5" s="206">
        <v>1.5E-5</v>
      </c>
      <c r="H5" s="116">
        <f t="shared" si="0"/>
        <v>6.2700000000000006E-5</v>
      </c>
    </row>
    <row r="6" spans="1:8" ht="15" customHeight="1" x14ac:dyDescent="0.15">
      <c r="A6">
        <v>5</v>
      </c>
      <c r="B6" t="s">
        <v>186</v>
      </c>
      <c r="C6" s="205">
        <v>0</v>
      </c>
      <c r="D6" s="205">
        <v>0</v>
      </c>
      <c r="E6" s="206">
        <v>4.1300000000000001E-5</v>
      </c>
      <c r="F6" s="206">
        <v>6.9999999999999999E-6</v>
      </c>
      <c r="G6" s="206">
        <v>3.0000000000000001E-5</v>
      </c>
      <c r="H6" s="116">
        <f t="shared" si="0"/>
        <v>7.8300000000000006E-5</v>
      </c>
    </row>
    <row r="7" spans="1:8" ht="15" customHeight="1" x14ac:dyDescent="0.15">
      <c r="A7">
        <v>6</v>
      </c>
      <c r="B7" t="s">
        <v>187</v>
      </c>
      <c r="C7" s="205">
        <v>0</v>
      </c>
      <c r="D7" s="205">
        <v>0</v>
      </c>
      <c r="E7" s="206">
        <v>2.9300000000000001E-5</v>
      </c>
      <c r="F7" s="206">
        <v>5.4999999999999999E-6</v>
      </c>
      <c r="G7" s="206">
        <v>1.9999999999999999E-6</v>
      </c>
      <c r="H7" s="116">
        <f t="shared" si="0"/>
        <v>3.68E-5</v>
      </c>
    </row>
    <row r="8" spans="1:8" ht="15" customHeight="1" x14ac:dyDescent="0.15">
      <c r="A8">
        <v>7</v>
      </c>
      <c r="B8" t="s">
        <v>188</v>
      </c>
      <c r="C8" s="205">
        <v>0</v>
      </c>
      <c r="D8" s="205">
        <v>0</v>
      </c>
      <c r="E8" s="205">
        <v>0</v>
      </c>
      <c r="F8" s="205">
        <v>0</v>
      </c>
      <c r="G8" s="205">
        <v>0</v>
      </c>
      <c r="H8" s="116">
        <f t="shared" si="0"/>
        <v>0</v>
      </c>
    </row>
    <row r="9" spans="1:8" ht="15" customHeight="1" x14ac:dyDescent="0.15">
      <c r="A9">
        <v>8</v>
      </c>
      <c r="B9" t="s">
        <v>189</v>
      </c>
      <c r="C9" s="205">
        <v>0</v>
      </c>
      <c r="D9" s="205">
        <v>0</v>
      </c>
      <c r="E9" s="205">
        <v>0</v>
      </c>
      <c r="F9" s="205">
        <v>0</v>
      </c>
      <c r="G9" s="205">
        <v>0</v>
      </c>
      <c r="H9" s="116">
        <f t="shared" si="0"/>
        <v>0</v>
      </c>
    </row>
    <row r="10" spans="1:8" ht="15" customHeight="1" x14ac:dyDescent="0.15">
      <c r="A10">
        <v>9</v>
      </c>
      <c r="B10" t="s">
        <v>190</v>
      </c>
      <c r="C10" s="205">
        <v>0</v>
      </c>
      <c r="D10" s="205">
        <v>0</v>
      </c>
      <c r="E10" s="205">
        <v>0</v>
      </c>
      <c r="F10" s="205">
        <v>0</v>
      </c>
      <c r="G10" s="205">
        <v>0</v>
      </c>
      <c r="H10" s="116">
        <f t="shared" si="0"/>
        <v>0</v>
      </c>
    </row>
    <row r="11" spans="1:8" ht="15" customHeight="1" x14ac:dyDescent="0.15">
      <c r="A11">
        <v>10</v>
      </c>
      <c r="B11" s="153" t="s">
        <v>191</v>
      </c>
      <c r="C11" s="205">
        <v>0</v>
      </c>
      <c r="D11" s="205">
        <v>0</v>
      </c>
      <c r="E11" s="206">
        <v>9.31E-5</v>
      </c>
      <c r="F11" s="206">
        <v>8.25E-5</v>
      </c>
      <c r="G11" s="205">
        <v>1.75E-4</v>
      </c>
      <c r="H11" s="116">
        <f t="shared" si="0"/>
        <v>3.5059999999999996E-4</v>
      </c>
    </row>
    <row r="12" spans="1:8" ht="15" customHeight="1" x14ac:dyDescent="0.15">
      <c r="A12">
        <v>11</v>
      </c>
      <c r="B12" s="153" t="s">
        <v>192</v>
      </c>
      <c r="C12" s="205">
        <v>5.9999999999999995E-4</v>
      </c>
      <c r="D12" s="205">
        <v>0</v>
      </c>
      <c r="E12" s="205">
        <v>0</v>
      </c>
      <c r="F12" s="205">
        <v>0</v>
      </c>
      <c r="G12" s="205">
        <v>0</v>
      </c>
      <c r="H12" s="116">
        <f t="shared" si="0"/>
        <v>5.9999999999999995E-4</v>
      </c>
    </row>
    <row r="13" spans="1:8" ht="15" customHeight="1" x14ac:dyDescent="0.15">
      <c r="A13">
        <v>12</v>
      </c>
      <c r="B13" s="153" t="s">
        <v>193</v>
      </c>
      <c r="C13" s="205">
        <v>2E-3</v>
      </c>
      <c r="D13" s="205">
        <v>0</v>
      </c>
      <c r="E13" s="206">
        <v>2.8500000000000002E-5</v>
      </c>
      <c r="F13" s="206">
        <v>7.9999999999999996E-6</v>
      </c>
      <c r="G13" s="206">
        <v>2.4559999999999999E-5</v>
      </c>
      <c r="H13" s="116">
        <f t="shared" si="0"/>
        <v>2.06106E-3</v>
      </c>
    </row>
    <row r="14" spans="1:8" ht="15" customHeight="1" x14ac:dyDescent="0.15">
      <c r="A14">
        <v>13</v>
      </c>
      <c r="B14" s="153" t="s">
        <v>194</v>
      </c>
      <c r="C14" s="205">
        <v>2.9999999999999997E-4</v>
      </c>
      <c r="D14" s="205">
        <v>0</v>
      </c>
      <c r="E14" s="205">
        <v>0</v>
      </c>
      <c r="F14" s="205">
        <v>0</v>
      </c>
      <c r="G14" s="205">
        <v>0</v>
      </c>
      <c r="H14" s="116">
        <f t="shared" si="0"/>
        <v>2.9999999999999997E-4</v>
      </c>
    </row>
    <row r="15" spans="1:8" ht="15" customHeight="1" x14ac:dyDescent="0.15">
      <c r="A15">
        <v>14</v>
      </c>
      <c r="B15" s="153" t="s">
        <v>195</v>
      </c>
      <c r="C15" s="205">
        <v>0</v>
      </c>
      <c r="D15" s="205">
        <v>2E-3</v>
      </c>
      <c r="E15" s="206">
        <v>1.01E-5</v>
      </c>
      <c r="F15" s="206">
        <v>2.2000000000000001E-6</v>
      </c>
      <c r="G15" s="206">
        <v>1.0000000000000001E-5</v>
      </c>
      <c r="H15" s="116">
        <f t="shared" si="0"/>
        <v>2.0222999999999999E-3</v>
      </c>
    </row>
    <row r="16" spans="1:8" ht="15" customHeight="1" x14ac:dyDescent="0.15">
      <c r="A16">
        <v>15</v>
      </c>
      <c r="B16" s="153" t="s">
        <v>196</v>
      </c>
      <c r="C16" s="205">
        <v>0</v>
      </c>
      <c r="D16" s="205">
        <v>0</v>
      </c>
      <c r="E16" s="205">
        <v>0</v>
      </c>
      <c r="F16" s="205">
        <v>0</v>
      </c>
      <c r="G16" s="205">
        <v>0</v>
      </c>
      <c r="H16" s="116">
        <f t="shared" si="0"/>
        <v>0</v>
      </c>
    </row>
    <row r="17" spans="1:8" ht="15" customHeight="1" x14ac:dyDescent="0.15">
      <c r="A17">
        <v>16</v>
      </c>
      <c r="B17" s="153" t="s">
        <v>197</v>
      </c>
      <c r="C17" s="205">
        <v>3.0000000000000001E-3</v>
      </c>
      <c r="D17" s="205">
        <v>0</v>
      </c>
      <c r="E17" s="206">
        <v>2.0000000000000002E-5</v>
      </c>
      <c r="F17" s="206">
        <v>9.9999999999999995E-7</v>
      </c>
      <c r="G17" s="206">
        <v>9.0000000000000006E-5</v>
      </c>
      <c r="H17" s="116">
        <f t="shared" si="0"/>
        <v>3.1110000000000001E-3</v>
      </c>
    </row>
    <row r="18" spans="1:8" ht="15" customHeight="1" x14ac:dyDescent="0.15">
      <c r="A18">
        <v>17</v>
      </c>
      <c r="B18" s="153" t="s">
        <v>198</v>
      </c>
      <c r="C18" s="205">
        <v>2E-3</v>
      </c>
      <c r="D18" s="205">
        <v>0</v>
      </c>
      <c r="E18" s="205">
        <v>0</v>
      </c>
      <c r="F18" s="205">
        <v>0</v>
      </c>
      <c r="G18" s="205">
        <v>0</v>
      </c>
      <c r="H18" s="116">
        <f t="shared" si="0"/>
        <v>2E-3</v>
      </c>
    </row>
    <row r="19" spans="1:8" ht="15" customHeight="1" x14ac:dyDescent="0.15">
      <c r="A19">
        <v>18</v>
      </c>
      <c r="B19" s="153" t="s">
        <v>199</v>
      </c>
      <c r="C19" s="205">
        <v>0</v>
      </c>
      <c r="D19" s="205">
        <v>0</v>
      </c>
      <c r="E19" s="206">
        <v>1.88E-5</v>
      </c>
      <c r="F19" s="206">
        <v>7.9999999999999996E-7</v>
      </c>
      <c r="G19" s="206">
        <v>1.9999999999999999E-6</v>
      </c>
      <c r="H19" s="116">
        <f t="shared" si="0"/>
        <v>2.16E-5</v>
      </c>
    </row>
    <row r="20" spans="1:8" ht="15" customHeight="1" x14ac:dyDescent="0.15">
      <c r="A20">
        <v>19</v>
      </c>
      <c r="B20" s="153" t="s">
        <v>200</v>
      </c>
      <c r="C20" s="205">
        <v>0</v>
      </c>
      <c r="D20" s="205">
        <v>0</v>
      </c>
      <c r="E20" s="206">
        <v>1.9999999999999999E-6</v>
      </c>
      <c r="F20" s="206">
        <v>9.9999999999999995E-7</v>
      </c>
      <c r="G20" s="206">
        <v>1.9999999999999999E-7</v>
      </c>
      <c r="H20" s="116">
        <f t="shared" si="0"/>
        <v>3.1999999999999999E-6</v>
      </c>
    </row>
    <row r="21" spans="1:8" ht="15" customHeight="1" x14ac:dyDescent="0.15">
      <c r="A21">
        <v>20</v>
      </c>
      <c r="B21" s="153" t="s">
        <v>201</v>
      </c>
      <c r="C21" s="205">
        <v>0</v>
      </c>
      <c r="D21" s="205">
        <v>0</v>
      </c>
      <c r="E21" s="205">
        <v>0</v>
      </c>
      <c r="F21" s="205">
        <v>0</v>
      </c>
      <c r="G21" s="206">
        <v>3.6100000000000002E-6</v>
      </c>
      <c r="H21" s="116">
        <f t="shared" si="0"/>
        <v>3.6100000000000002E-6</v>
      </c>
    </row>
    <row r="22" spans="1:8" ht="15" customHeight="1" x14ac:dyDescent="0.15">
      <c r="A22">
        <v>21</v>
      </c>
      <c r="B22" s="153" t="s">
        <v>202</v>
      </c>
      <c r="C22" s="205">
        <v>0</v>
      </c>
      <c r="D22" s="205">
        <v>0</v>
      </c>
      <c r="E22" s="205">
        <v>0</v>
      </c>
      <c r="F22" s="205">
        <v>0</v>
      </c>
      <c r="G22" s="205">
        <v>0</v>
      </c>
      <c r="H22" s="116">
        <f t="shared" si="0"/>
        <v>0</v>
      </c>
    </row>
    <row r="23" spans="1:8" ht="15" customHeight="1" x14ac:dyDescent="0.15">
      <c r="A23">
        <v>22</v>
      </c>
      <c r="B23" s="153" t="s">
        <v>203</v>
      </c>
      <c r="C23" s="205">
        <v>0</v>
      </c>
      <c r="D23" s="205">
        <v>0</v>
      </c>
      <c r="E23" s="205">
        <v>0</v>
      </c>
      <c r="F23" s="205">
        <v>0</v>
      </c>
      <c r="G23" s="205">
        <v>0</v>
      </c>
      <c r="H23" s="116">
        <f t="shared" si="0"/>
        <v>0</v>
      </c>
    </row>
    <row r="24" spans="1:8" ht="15" customHeight="1" x14ac:dyDescent="0.15">
      <c r="A24">
        <v>23</v>
      </c>
      <c r="B24" s="153" t="s">
        <v>204</v>
      </c>
      <c r="C24" s="205">
        <v>0</v>
      </c>
      <c r="D24" s="205">
        <v>0</v>
      </c>
      <c r="E24" s="205">
        <v>0</v>
      </c>
      <c r="F24" s="205">
        <v>0</v>
      </c>
      <c r="G24" s="205">
        <v>0</v>
      </c>
      <c r="H24" s="116">
        <f t="shared" si="0"/>
        <v>0</v>
      </c>
    </row>
    <row r="25" spans="1:8" ht="15" customHeight="1" x14ac:dyDescent="0.15">
      <c r="A25">
        <v>24</v>
      </c>
      <c r="B25" s="153" t="s">
        <v>205</v>
      </c>
      <c r="C25" s="205">
        <v>0</v>
      </c>
      <c r="D25" s="205">
        <v>0</v>
      </c>
      <c r="E25" s="205">
        <v>0</v>
      </c>
      <c r="F25" s="205">
        <v>0</v>
      </c>
      <c r="G25" s="205">
        <v>0</v>
      </c>
      <c r="H25" s="116">
        <f t="shared" si="0"/>
        <v>0</v>
      </c>
    </row>
    <row r="26" spans="1:8" ht="15" customHeight="1" x14ac:dyDescent="0.15">
      <c r="A26">
        <v>25</v>
      </c>
      <c r="B26" s="153" t="s">
        <v>206</v>
      </c>
      <c r="C26" s="205">
        <v>0</v>
      </c>
      <c r="D26" s="205">
        <v>0</v>
      </c>
      <c r="E26" s="205">
        <v>0</v>
      </c>
      <c r="F26" s="205">
        <v>0</v>
      </c>
      <c r="G26" s="205">
        <v>0</v>
      </c>
      <c r="H26" s="116">
        <f t="shared" si="0"/>
        <v>0</v>
      </c>
    </row>
    <row r="27" spans="1:8" ht="15" customHeight="1" x14ac:dyDescent="0.15">
      <c r="A27">
        <v>26</v>
      </c>
      <c r="B27" s="153" t="s">
        <v>207</v>
      </c>
      <c r="C27" s="205">
        <v>0</v>
      </c>
      <c r="D27" s="205">
        <v>0</v>
      </c>
      <c r="E27" s="205">
        <v>0</v>
      </c>
      <c r="F27" s="205">
        <v>0</v>
      </c>
      <c r="G27" s="205">
        <v>0</v>
      </c>
      <c r="H27" s="116">
        <f t="shared" si="0"/>
        <v>0</v>
      </c>
    </row>
    <row r="28" spans="1:8" ht="15" customHeight="1" x14ac:dyDescent="0.15">
      <c r="A28">
        <v>27</v>
      </c>
      <c r="B28" s="153" t="s">
        <v>208</v>
      </c>
      <c r="C28" s="205">
        <v>0</v>
      </c>
      <c r="D28" s="205">
        <v>0</v>
      </c>
      <c r="E28" s="205">
        <v>0</v>
      </c>
      <c r="F28" s="205">
        <v>0</v>
      </c>
      <c r="G28" s="205">
        <v>0</v>
      </c>
      <c r="H28" s="116">
        <f t="shared" si="0"/>
        <v>0</v>
      </c>
    </row>
    <row r="29" spans="1:8" ht="15" customHeight="1" x14ac:dyDescent="0.15">
      <c r="A29">
        <v>28</v>
      </c>
      <c r="B29" s="153" t="s">
        <v>209</v>
      </c>
      <c r="C29" s="205">
        <v>0</v>
      </c>
      <c r="D29" s="205">
        <v>0</v>
      </c>
      <c r="E29" s="205">
        <v>0</v>
      </c>
      <c r="F29" s="205">
        <v>0</v>
      </c>
      <c r="G29" s="205">
        <v>0</v>
      </c>
      <c r="H29" s="116">
        <f t="shared" si="0"/>
        <v>0</v>
      </c>
    </row>
    <row r="30" spans="1:8" ht="15" customHeight="1" x14ac:dyDescent="0.15">
      <c r="A30">
        <v>29</v>
      </c>
      <c r="B30" s="153" t="s">
        <v>210</v>
      </c>
      <c r="C30" s="205">
        <v>0</v>
      </c>
      <c r="D30" s="205">
        <v>0</v>
      </c>
      <c r="E30" s="205">
        <v>0</v>
      </c>
      <c r="F30" s="205">
        <v>0</v>
      </c>
      <c r="G30" s="205">
        <v>0</v>
      </c>
      <c r="H30" s="116">
        <f t="shared" si="0"/>
        <v>0</v>
      </c>
    </row>
    <row r="31" spans="1:8" ht="15" customHeight="1" x14ac:dyDescent="0.15">
      <c r="A31">
        <v>30</v>
      </c>
      <c r="B31" s="153" t="s">
        <v>211</v>
      </c>
      <c r="C31" s="205">
        <v>0</v>
      </c>
      <c r="D31" s="205">
        <v>0</v>
      </c>
      <c r="E31" s="205">
        <v>0</v>
      </c>
      <c r="F31" s="205">
        <v>0</v>
      </c>
      <c r="G31" s="205">
        <v>0</v>
      </c>
      <c r="H31" s="116">
        <f t="shared" si="0"/>
        <v>0</v>
      </c>
    </row>
    <row r="32" spans="1:8" ht="15" customHeight="1" x14ac:dyDescent="0.15">
      <c r="A32">
        <v>31</v>
      </c>
      <c r="B32" s="153" t="s">
        <v>212</v>
      </c>
      <c r="C32" s="205">
        <v>0</v>
      </c>
      <c r="D32" s="205">
        <v>0</v>
      </c>
      <c r="E32" s="205">
        <v>0</v>
      </c>
      <c r="F32" s="205">
        <v>0</v>
      </c>
      <c r="G32" s="205">
        <v>0</v>
      </c>
      <c r="H32" s="116">
        <f t="shared" si="0"/>
        <v>0</v>
      </c>
    </row>
    <row r="33" spans="1:8" ht="15" customHeight="1" x14ac:dyDescent="0.15">
      <c r="A33">
        <v>32</v>
      </c>
      <c r="B33" s="153" t="s">
        <v>213</v>
      </c>
      <c r="C33" s="205">
        <v>0</v>
      </c>
      <c r="D33" s="205">
        <v>0</v>
      </c>
      <c r="E33" s="205">
        <v>0</v>
      </c>
      <c r="F33" s="205">
        <v>0</v>
      </c>
      <c r="G33" s="205">
        <v>0</v>
      </c>
      <c r="H33" s="116">
        <f t="shared" si="0"/>
        <v>0</v>
      </c>
    </row>
    <row r="34" spans="1:8" ht="15" customHeight="1" x14ac:dyDescent="0.15">
      <c r="A34">
        <v>33</v>
      </c>
      <c r="B34" s="153" t="s">
        <v>214</v>
      </c>
      <c r="C34" s="205">
        <v>0</v>
      </c>
      <c r="D34" s="205">
        <v>0</v>
      </c>
      <c r="E34" s="205">
        <v>0</v>
      </c>
      <c r="F34" s="205">
        <v>0</v>
      </c>
      <c r="G34" s="205">
        <v>0</v>
      </c>
      <c r="H34" s="116">
        <f t="shared" si="0"/>
        <v>0</v>
      </c>
    </row>
    <row r="35" spans="1:8" ht="15" customHeight="1" x14ac:dyDescent="0.15">
      <c r="A35">
        <v>34</v>
      </c>
      <c r="B35" s="153" t="s">
        <v>215</v>
      </c>
      <c r="C35" s="205">
        <v>0</v>
      </c>
      <c r="D35" s="205">
        <v>0</v>
      </c>
      <c r="E35" s="205">
        <v>0</v>
      </c>
      <c r="F35" s="205">
        <v>0</v>
      </c>
      <c r="G35" s="205">
        <v>0</v>
      </c>
      <c r="H35" s="116">
        <f t="shared" si="0"/>
        <v>0</v>
      </c>
    </row>
    <row r="36" spans="1:8" ht="15" customHeight="1" x14ac:dyDescent="0.15">
      <c r="A36">
        <v>35</v>
      </c>
      <c r="B36" s="153" t="s">
        <v>216</v>
      </c>
      <c r="C36" s="205">
        <v>0</v>
      </c>
      <c r="D36" s="205">
        <v>0</v>
      </c>
      <c r="E36" s="205">
        <v>0</v>
      </c>
      <c r="F36" s="205">
        <v>0</v>
      </c>
      <c r="G36" s="205">
        <v>0</v>
      </c>
      <c r="H36" s="116">
        <f t="shared" si="0"/>
        <v>0</v>
      </c>
    </row>
    <row r="37" spans="1:8" ht="15" customHeight="1" x14ac:dyDescent="0.15">
      <c r="A37">
        <v>36</v>
      </c>
      <c r="B37" s="153" t="s">
        <v>217</v>
      </c>
      <c r="C37" s="205">
        <v>0</v>
      </c>
      <c r="D37" s="205">
        <v>0</v>
      </c>
      <c r="E37" s="205">
        <v>0</v>
      </c>
      <c r="F37" s="205">
        <v>0</v>
      </c>
      <c r="G37" s="205">
        <v>0</v>
      </c>
      <c r="H37" s="116">
        <f t="shared" si="0"/>
        <v>0</v>
      </c>
    </row>
    <row r="38" spans="1:8" ht="15" customHeight="1" x14ac:dyDescent="0.15">
      <c r="A38">
        <v>37</v>
      </c>
      <c r="B38" s="153" t="s">
        <v>218</v>
      </c>
      <c r="C38" s="205">
        <v>0</v>
      </c>
      <c r="D38" s="205">
        <v>0</v>
      </c>
      <c r="E38" s="205">
        <v>0</v>
      </c>
      <c r="F38" s="205">
        <v>0</v>
      </c>
      <c r="G38" s="205">
        <v>0</v>
      </c>
      <c r="H38" s="116">
        <f t="shared" si="0"/>
        <v>0</v>
      </c>
    </row>
    <row r="39" spans="1:8" ht="15" customHeight="1" x14ac:dyDescent="0.15">
      <c r="A39">
        <v>38</v>
      </c>
      <c r="B39" s="153" t="s">
        <v>219</v>
      </c>
      <c r="C39" s="205">
        <v>0</v>
      </c>
      <c r="D39" s="205">
        <v>0</v>
      </c>
      <c r="E39" s="205">
        <v>0</v>
      </c>
      <c r="F39" s="205">
        <v>0</v>
      </c>
      <c r="G39" s="205">
        <v>0</v>
      </c>
      <c r="H39" s="116">
        <f t="shared" si="0"/>
        <v>0</v>
      </c>
    </row>
    <row r="40" spans="1:8" ht="15" customHeight="1" x14ac:dyDescent="0.15">
      <c r="A40">
        <v>39</v>
      </c>
      <c r="B40" s="153" t="s">
        <v>220</v>
      </c>
      <c r="C40" s="205">
        <v>0</v>
      </c>
      <c r="D40" s="205">
        <v>0</v>
      </c>
      <c r="E40" s="205">
        <v>0</v>
      </c>
      <c r="F40" s="205">
        <v>0</v>
      </c>
      <c r="G40" s="205">
        <v>0</v>
      </c>
      <c r="H40" s="116">
        <f t="shared" si="0"/>
        <v>0</v>
      </c>
    </row>
    <row r="41" spans="1:8" ht="15" customHeight="1" x14ac:dyDescent="0.15">
      <c r="A41">
        <v>40</v>
      </c>
      <c r="B41" s="153" t="s">
        <v>221</v>
      </c>
      <c r="C41" s="205">
        <v>0</v>
      </c>
      <c r="D41" s="205">
        <v>0</v>
      </c>
      <c r="E41" s="205">
        <v>0</v>
      </c>
      <c r="F41" s="205">
        <v>0</v>
      </c>
      <c r="G41" s="205">
        <v>0</v>
      </c>
      <c r="H41" s="116">
        <f t="shared" si="0"/>
        <v>0</v>
      </c>
    </row>
    <row r="42" spans="1:8" ht="15" customHeight="1" x14ac:dyDescent="0.15">
      <c r="A42">
        <v>41</v>
      </c>
      <c r="B42" s="153" t="s">
        <v>222</v>
      </c>
      <c r="C42" s="205">
        <v>0</v>
      </c>
      <c r="D42" s="205">
        <v>0</v>
      </c>
      <c r="E42" s="205">
        <v>0</v>
      </c>
      <c r="F42" s="205">
        <v>0</v>
      </c>
      <c r="G42" s="205">
        <v>0</v>
      </c>
      <c r="H42" s="116">
        <f t="shared" si="0"/>
        <v>0</v>
      </c>
    </row>
    <row r="43" spans="1:8" ht="15" customHeight="1" x14ac:dyDescent="0.15">
      <c r="A43">
        <v>42</v>
      </c>
      <c r="B43" s="153" t="s">
        <v>240</v>
      </c>
      <c r="C43" s="205">
        <v>0</v>
      </c>
      <c r="D43" s="205">
        <v>0</v>
      </c>
      <c r="E43" s="205">
        <v>0</v>
      </c>
      <c r="F43" s="205">
        <v>0</v>
      </c>
      <c r="G43" s="205">
        <v>0</v>
      </c>
      <c r="H43" s="116">
        <f t="shared" ref="H43" si="1">SUM(C43:G43)</f>
        <v>0</v>
      </c>
    </row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43"/>
  <sheetViews>
    <sheetView workbookViewId="0">
      <pane xSplit="2" ySplit="1" topLeftCell="C29" activePane="bottomRight" state="frozen"/>
      <selection pane="topRight" activeCell="D1" sqref="D1"/>
      <selection pane="bottomLeft" activeCell="A2" sqref="A2"/>
      <selection pane="bottomRight" activeCell="B43" sqref="B4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7" width="12.5" customWidth="1"/>
    <col min="8" max="8" width="12.1640625" bestFit="1" customWidth="1"/>
  </cols>
  <sheetData>
    <row r="1" spans="1:8" s="122" customFormat="1" ht="28" x14ac:dyDescent="0.15">
      <c r="A1" s="5" t="s">
        <v>23</v>
      </c>
      <c r="B1" s="3" t="s">
        <v>0</v>
      </c>
      <c r="C1" t="s">
        <v>227</v>
      </c>
      <c r="D1" t="s">
        <v>228</v>
      </c>
      <c r="E1" t="s">
        <v>229</v>
      </c>
      <c r="F1" s="122" t="s">
        <v>230</v>
      </c>
      <c r="G1" s="122" t="s">
        <v>231</v>
      </c>
      <c r="H1" s="122" t="s">
        <v>12</v>
      </c>
    </row>
    <row r="2" spans="1:8" ht="15" customHeight="1" x14ac:dyDescent="0.15">
      <c r="A2">
        <v>1</v>
      </c>
      <c r="B2" t="s">
        <v>182</v>
      </c>
      <c r="C2" s="205">
        <v>0</v>
      </c>
      <c r="D2" s="205">
        <v>0</v>
      </c>
      <c r="E2" s="205">
        <v>0</v>
      </c>
      <c r="F2" s="205">
        <v>0</v>
      </c>
      <c r="G2" s="205">
        <v>0</v>
      </c>
      <c r="H2" s="116">
        <f>SUM(C2:G2)</f>
        <v>0</v>
      </c>
    </row>
    <row r="3" spans="1:8" ht="15" customHeight="1" x14ac:dyDescent="0.15">
      <c r="A3">
        <v>2</v>
      </c>
      <c r="B3" t="s">
        <v>183</v>
      </c>
      <c r="C3" s="205">
        <v>0</v>
      </c>
      <c r="D3" s="205">
        <v>0</v>
      </c>
      <c r="E3" s="205">
        <v>0</v>
      </c>
      <c r="F3" s="205">
        <v>0</v>
      </c>
      <c r="G3" s="205">
        <v>0</v>
      </c>
      <c r="H3" s="116">
        <f t="shared" ref="H3:H43" si="0">SUM(C3:G3)</f>
        <v>0</v>
      </c>
    </row>
    <row r="4" spans="1:8" ht="15" customHeight="1" x14ac:dyDescent="0.15">
      <c r="A4">
        <v>3</v>
      </c>
      <c r="B4" t="s">
        <v>184</v>
      </c>
      <c r="C4" s="205">
        <v>0</v>
      </c>
      <c r="D4" s="205">
        <v>0</v>
      </c>
      <c r="E4" s="205">
        <v>0</v>
      </c>
      <c r="F4" s="205">
        <v>0</v>
      </c>
      <c r="G4" s="205">
        <v>0</v>
      </c>
      <c r="H4" s="116">
        <f t="shared" si="0"/>
        <v>0</v>
      </c>
    </row>
    <row r="5" spans="1:8" ht="15" customHeight="1" x14ac:dyDescent="0.15">
      <c r="A5">
        <v>4</v>
      </c>
      <c r="B5" t="s">
        <v>185</v>
      </c>
      <c r="C5" s="205">
        <v>0</v>
      </c>
      <c r="D5" s="205">
        <v>0</v>
      </c>
      <c r="E5" s="205">
        <v>0</v>
      </c>
      <c r="F5" s="205">
        <v>0</v>
      </c>
      <c r="G5" s="205">
        <v>0</v>
      </c>
      <c r="H5" s="116">
        <f t="shared" si="0"/>
        <v>0</v>
      </c>
    </row>
    <row r="6" spans="1:8" ht="15" customHeight="1" x14ac:dyDescent="0.15">
      <c r="A6">
        <v>5</v>
      </c>
      <c r="B6" t="s">
        <v>186</v>
      </c>
      <c r="C6" s="205">
        <v>0</v>
      </c>
      <c r="D6" s="205">
        <v>0</v>
      </c>
      <c r="E6" s="205">
        <v>0</v>
      </c>
      <c r="F6" s="205">
        <v>0</v>
      </c>
      <c r="G6" s="205">
        <v>0</v>
      </c>
      <c r="H6" s="116">
        <f t="shared" si="0"/>
        <v>0</v>
      </c>
    </row>
    <row r="7" spans="1:8" ht="15" customHeight="1" x14ac:dyDescent="0.15">
      <c r="A7">
        <v>6</v>
      </c>
      <c r="B7" t="s">
        <v>187</v>
      </c>
      <c r="C7" s="205">
        <v>0</v>
      </c>
      <c r="D7" s="205">
        <v>0</v>
      </c>
      <c r="E7" s="205">
        <v>0</v>
      </c>
      <c r="F7" s="205">
        <v>0</v>
      </c>
      <c r="G7" s="205">
        <v>0</v>
      </c>
      <c r="H7" s="116">
        <f t="shared" si="0"/>
        <v>0</v>
      </c>
    </row>
    <row r="8" spans="1:8" ht="15" customHeight="1" x14ac:dyDescent="0.15">
      <c r="A8">
        <v>7</v>
      </c>
      <c r="B8" t="s">
        <v>188</v>
      </c>
      <c r="C8" s="205">
        <v>0</v>
      </c>
      <c r="D8" s="205">
        <v>0</v>
      </c>
      <c r="E8" s="205">
        <v>0</v>
      </c>
      <c r="F8" s="205">
        <v>0</v>
      </c>
      <c r="G8" s="205">
        <v>0</v>
      </c>
      <c r="H8" s="116">
        <f t="shared" si="0"/>
        <v>0</v>
      </c>
    </row>
    <row r="9" spans="1:8" ht="15" customHeight="1" x14ac:dyDescent="0.15">
      <c r="A9">
        <v>8</v>
      </c>
      <c r="B9" t="s">
        <v>189</v>
      </c>
      <c r="C9" s="205">
        <v>0</v>
      </c>
      <c r="D9" s="205">
        <v>0</v>
      </c>
      <c r="E9" s="205">
        <v>0</v>
      </c>
      <c r="F9" s="205">
        <v>0</v>
      </c>
      <c r="G9" s="205">
        <v>0</v>
      </c>
      <c r="H9" s="116">
        <f t="shared" si="0"/>
        <v>0</v>
      </c>
    </row>
    <row r="10" spans="1:8" ht="15" customHeight="1" x14ac:dyDescent="0.15">
      <c r="A10">
        <v>9</v>
      </c>
      <c r="B10" t="s">
        <v>190</v>
      </c>
      <c r="C10" s="205">
        <v>0</v>
      </c>
      <c r="D10" s="205">
        <v>0</v>
      </c>
      <c r="E10" s="205">
        <v>0</v>
      </c>
      <c r="F10" s="205">
        <v>0</v>
      </c>
      <c r="G10" s="205">
        <v>0</v>
      </c>
      <c r="H10" s="116">
        <f t="shared" si="0"/>
        <v>0</v>
      </c>
    </row>
    <row r="11" spans="1:8" ht="15" customHeight="1" x14ac:dyDescent="0.15">
      <c r="A11">
        <v>10</v>
      </c>
      <c r="B11" s="153" t="s">
        <v>191</v>
      </c>
      <c r="C11" s="205">
        <v>0</v>
      </c>
      <c r="D11" s="205">
        <v>0</v>
      </c>
      <c r="E11" s="205">
        <v>0</v>
      </c>
      <c r="F11" s="205">
        <v>0</v>
      </c>
      <c r="G11" s="205">
        <v>0</v>
      </c>
      <c r="H11" s="116">
        <f t="shared" si="0"/>
        <v>0</v>
      </c>
    </row>
    <row r="12" spans="1:8" ht="15" customHeight="1" x14ac:dyDescent="0.15">
      <c r="A12">
        <v>11</v>
      </c>
      <c r="B12" s="153" t="s">
        <v>192</v>
      </c>
      <c r="C12" s="205">
        <v>0</v>
      </c>
      <c r="D12" s="205">
        <v>0</v>
      </c>
      <c r="E12" s="205">
        <v>0</v>
      </c>
      <c r="F12" s="205">
        <v>0</v>
      </c>
      <c r="G12" s="205">
        <v>0</v>
      </c>
      <c r="H12" s="116">
        <f t="shared" si="0"/>
        <v>0</v>
      </c>
    </row>
    <row r="13" spans="1:8" ht="15" customHeight="1" x14ac:dyDescent="0.15">
      <c r="A13">
        <v>12</v>
      </c>
      <c r="B13" s="153" t="s">
        <v>193</v>
      </c>
      <c r="C13" s="205">
        <v>0</v>
      </c>
      <c r="D13" s="205">
        <v>0</v>
      </c>
      <c r="E13" s="205">
        <v>0</v>
      </c>
      <c r="F13" s="205">
        <v>0</v>
      </c>
      <c r="G13" s="205">
        <v>0</v>
      </c>
      <c r="H13" s="116">
        <f t="shared" si="0"/>
        <v>0</v>
      </c>
    </row>
    <row r="14" spans="1:8" ht="15" customHeight="1" x14ac:dyDescent="0.15">
      <c r="A14">
        <v>13</v>
      </c>
      <c r="B14" s="153" t="s">
        <v>194</v>
      </c>
      <c r="C14" s="205">
        <v>0</v>
      </c>
      <c r="D14" s="205">
        <v>0</v>
      </c>
      <c r="E14" s="205">
        <v>0</v>
      </c>
      <c r="F14" s="205">
        <v>0</v>
      </c>
      <c r="G14" s="205">
        <v>0</v>
      </c>
      <c r="H14" s="116">
        <f t="shared" si="0"/>
        <v>0</v>
      </c>
    </row>
    <row r="15" spans="1:8" ht="15" customHeight="1" x14ac:dyDescent="0.15">
      <c r="A15">
        <v>14</v>
      </c>
      <c r="B15" s="153" t="s">
        <v>195</v>
      </c>
      <c r="C15" s="205">
        <v>0</v>
      </c>
      <c r="D15" s="205">
        <v>0</v>
      </c>
      <c r="E15" s="205">
        <v>0</v>
      </c>
      <c r="F15" s="205">
        <v>0</v>
      </c>
      <c r="G15" s="205">
        <v>0</v>
      </c>
      <c r="H15" s="116">
        <f t="shared" si="0"/>
        <v>0</v>
      </c>
    </row>
    <row r="16" spans="1:8" ht="15" customHeight="1" x14ac:dyDescent="0.15">
      <c r="A16">
        <v>15</v>
      </c>
      <c r="B16" s="153" t="s">
        <v>196</v>
      </c>
      <c r="C16" s="205">
        <v>0</v>
      </c>
      <c r="D16" s="205">
        <v>0</v>
      </c>
      <c r="E16" s="205">
        <v>0</v>
      </c>
      <c r="F16" s="205">
        <v>0</v>
      </c>
      <c r="G16" s="205">
        <v>0</v>
      </c>
      <c r="H16" s="116">
        <f t="shared" si="0"/>
        <v>0</v>
      </c>
    </row>
    <row r="17" spans="1:8" ht="15" customHeight="1" x14ac:dyDescent="0.15">
      <c r="A17">
        <v>16</v>
      </c>
      <c r="B17" s="153" t="s">
        <v>197</v>
      </c>
      <c r="C17" s="205">
        <v>0</v>
      </c>
      <c r="D17" s="205">
        <v>0</v>
      </c>
      <c r="E17" s="205">
        <v>0</v>
      </c>
      <c r="F17" s="205">
        <v>0</v>
      </c>
      <c r="G17" s="205">
        <v>0</v>
      </c>
      <c r="H17" s="116">
        <f t="shared" si="0"/>
        <v>0</v>
      </c>
    </row>
    <row r="18" spans="1:8" ht="15" customHeight="1" x14ac:dyDescent="0.15">
      <c r="A18">
        <v>17</v>
      </c>
      <c r="B18" s="153" t="s">
        <v>198</v>
      </c>
      <c r="C18" s="205">
        <v>0</v>
      </c>
      <c r="D18" s="205">
        <v>0</v>
      </c>
      <c r="E18" s="205">
        <v>0</v>
      </c>
      <c r="F18" s="205">
        <v>0</v>
      </c>
      <c r="G18" s="205">
        <v>0</v>
      </c>
      <c r="H18" s="116">
        <f t="shared" si="0"/>
        <v>0</v>
      </c>
    </row>
    <row r="19" spans="1:8" ht="15" customHeight="1" x14ac:dyDescent="0.15">
      <c r="A19">
        <v>18</v>
      </c>
      <c r="B19" s="153" t="s">
        <v>199</v>
      </c>
      <c r="C19" s="205">
        <v>0</v>
      </c>
      <c r="D19" s="205">
        <v>0</v>
      </c>
      <c r="E19" s="205">
        <v>0</v>
      </c>
      <c r="F19" s="205">
        <v>0</v>
      </c>
      <c r="G19" s="205">
        <v>0</v>
      </c>
      <c r="H19" s="116">
        <f t="shared" si="0"/>
        <v>0</v>
      </c>
    </row>
    <row r="20" spans="1:8" ht="15" customHeight="1" x14ac:dyDescent="0.15">
      <c r="A20">
        <v>19</v>
      </c>
      <c r="B20" s="153" t="s">
        <v>200</v>
      </c>
      <c r="C20" s="205">
        <v>0</v>
      </c>
      <c r="D20" s="205">
        <v>0</v>
      </c>
      <c r="E20" s="205">
        <v>0</v>
      </c>
      <c r="F20" s="205">
        <v>0</v>
      </c>
      <c r="G20" s="205">
        <v>0</v>
      </c>
      <c r="H20" s="116">
        <f t="shared" si="0"/>
        <v>0</v>
      </c>
    </row>
    <row r="21" spans="1:8" ht="15" customHeight="1" x14ac:dyDescent="0.15">
      <c r="A21">
        <v>20</v>
      </c>
      <c r="B21" s="153" t="s">
        <v>201</v>
      </c>
      <c r="C21" s="205">
        <v>0</v>
      </c>
      <c r="D21" s="205">
        <v>0</v>
      </c>
      <c r="E21" s="205">
        <v>0</v>
      </c>
      <c r="F21" s="205">
        <v>0</v>
      </c>
      <c r="G21" s="205">
        <v>0</v>
      </c>
      <c r="H21" s="116">
        <f t="shared" si="0"/>
        <v>0</v>
      </c>
    </row>
    <row r="22" spans="1:8" ht="15" customHeight="1" x14ac:dyDescent="0.15">
      <c r="A22">
        <v>21</v>
      </c>
      <c r="B22" s="153" t="s">
        <v>202</v>
      </c>
      <c r="C22" s="205">
        <v>0</v>
      </c>
      <c r="D22" s="205">
        <v>0</v>
      </c>
      <c r="E22" s="205">
        <v>0</v>
      </c>
      <c r="F22" s="205">
        <v>0</v>
      </c>
      <c r="G22" s="205">
        <v>0</v>
      </c>
      <c r="H22" s="116">
        <f t="shared" si="0"/>
        <v>0</v>
      </c>
    </row>
    <row r="23" spans="1:8" ht="15" customHeight="1" x14ac:dyDescent="0.15">
      <c r="A23">
        <v>22</v>
      </c>
      <c r="B23" s="153" t="s">
        <v>203</v>
      </c>
      <c r="C23" s="205">
        <v>0</v>
      </c>
      <c r="D23" s="205">
        <v>0</v>
      </c>
      <c r="E23" s="205">
        <v>0</v>
      </c>
      <c r="F23" s="205">
        <v>0</v>
      </c>
      <c r="G23" s="205">
        <v>0</v>
      </c>
      <c r="H23" s="116">
        <f t="shared" si="0"/>
        <v>0</v>
      </c>
    </row>
    <row r="24" spans="1:8" ht="15" customHeight="1" x14ac:dyDescent="0.15">
      <c r="A24">
        <v>23</v>
      </c>
      <c r="B24" s="153" t="s">
        <v>204</v>
      </c>
      <c r="C24" s="205">
        <v>0</v>
      </c>
      <c r="D24" s="205">
        <v>0</v>
      </c>
      <c r="E24" s="205">
        <v>0</v>
      </c>
      <c r="F24" s="205">
        <v>0</v>
      </c>
      <c r="G24" s="205">
        <v>0</v>
      </c>
      <c r="H24" s="116">
        <f t="shared" si="0"/>
        <v>0</v>
      </c>
    </row>
    <row r="25" spans="1:8" ht="15" customHeight="1" x14ac:dyDescent="0.15">
      <c r="A25">
        <v>24</v>
      </c>
      <c r="B25" s="153" t="s">
        <v>205</v>
      </c>
      <c r="C25" s="205">
        <v>0</v>
      </c>
      <c r="D25" s="205">
        <v>0</v>
      </c>
      <c r="E25" s="205">
        <v>0</v>
      </c>
      <c r="F25" s="205">
        <v>0</v>
      </c>
      <c r="G25" s="205">
        <v>0</v>
      </c>
      <c r="H25" s="116">
        <f t="shared" si="0"/>
        <v>0</v>
      </c>
    </row>
    <row r="26" spans="1:8" ht="15" customHeight="1" x14ac:dyDescent="0.15">
      <c r="A26">
        <v>25</v>
      </c>
      <c r="B26" s="153" t="s">
        <v>206</v>
      </c>
      <c r="C26" s="205">
        <v>0</v>
      </c>
      <c r="D26" s="205">
        <v>0</v>
      </c>
      <c r="E26" s="205">
        <v>0</v>
      </c>
      <c r="F26" s="205">
        <v>0</v>
      </c>
      <c r="G26" s="205">
        <v>0</v>
      </c>
      <c r="H26" s="116">
        <f t="shared" si="0"/>
        <v>0</v>
      </c>
    </row>
    <row r="27" spans="1:8" ht="15" customHeight="1" x14ac:dyDescent="0.15">
      <c r="A27">
        <v>26</v>
      </c>
      <c r="B27" s="153" t="s">
        <v>207</v>
      </c>
      <c r="C27" s="205">
        <v>0</v>
      </c>
      <c r="D27" s="205">
        <v>0</v>
      </c>
      <c r="E27" s="205">
        <v>0</v>
      </c>
      <c r="F27" s="205">
        <v>0</v>
      </c>
      <c r="G27" s="205">
        <v>0</v>
      </c>
      <c r="H27" s="116">
        <f t="shared" si="0"/>
        <v>0</v>
      </c>
    </row>
    <row r="28" spans="1:8" ht="15" customHeight="1" x14ac:dyDescent="0.15">
      <c r="A28">
        <v>27</v>
      </c>
      <c r="B28" s="153" t="s">
        <v>208</v>
      </c>
      <c r="C28" s="205">
        <v>0</v>
      </c>
      <c r="D28" s="205">
        <v>0</v>
      </c>
      <c r="E28" s="205">
        <v>0</v>
      </c>
      <c r="F28" s="205">
        <v>0</v>
      </c>
      <c r="G28" s="205">
        <v>0</v>
      </c>
      <c r="H28" s="116">
        <f t="shared" si="0"/>
        <v>0</v>
      </c>
    </row>
    <row r="29" spans="1:8" ht="15" customHeight="1" x14ac:dyDescent="0.15">
      <c r="A29">
        <v>28</v>
      </c>
      <c r="B29" s="153" t="s">
        <v>209</v>
      </c>
      <c r="C29" s="205">
        <v>0</v>
      </c>
      <c r="D29" s="205">
        <v>0</v>
      </c>
      <c r="E29" s="205">
        <v>0</v>
      </c>
      <c r="F29" s="205">
        <v>0</v>
      </c>
      <c r="G29" s="205">
        <v>0</v>
      </c>
      <c r="H29" s="116">
        <f t="shared" si="0"/>
        <v>0</v>
      </c>
    </row>
    <row r="30" spans="1:8" ht="15" customHeight="1" x14ac:dyDescent="0.15">
      <c r="A30">
        <v>29</v>
      </c>
      <c r="B30" s="153" t="s">
        <v>210</v>
      </c>
      <c r="C30" s="205">
        <v>0</v>
      </c>
      <c r="D30" s="205">
        <v>0</v>
      </c>
      <c r="E30" s="205">
        <v>0</v>
      </c>
      <c r="F30" s="205">
        <v>0</v>
      </c>
      <c r="G30" s="205">
        <v>0</v>
      </c>
      <c r="H30" s="116">
        <f t="shared" si="0"/>
        <v>0</v>
      </c>
    </row>
    <row r="31" spans="1:8" ht="15" customHeight="1" x14ac:dyDescent="0.15">
      <c r="A31">
        <v>30</v>
      </c>
      <c r="B31" s="153" t="s">
        <v>211</v>
      </c>
      <c r="C31" s="205">
        <v>0</v>
      </c>
      <c r="D31" s="205">
        <v>0</v>
      </c>
      <c r="E31" s="205">
        <v>0</v>
      </c>
      <c r="F31" s="205">
        <v>0</v>
      </c>
      <c r="G31" s="205">
        <v>0</v>
      </c>
      <c r="H31" s="116">
        <f t="shared" si="0"/>
        <v>0</v>
      </c>
    </row>
    <row r="32" spans="1:8" ht="15" customHeight="1" x14ac:dyDescent="0.15">
      <c r="A32">
        <v>31</v>
      </c>
      <c r="B32" s="153" t="s">
        <v>212</v>
      </c>
      <c r="C32" s="205">
        <v>0</v>
      </c>
      <c r="D32" s="205">
        <v>0</v>
      </c>
      <c r="E32" s="205">
        <v>0</v>
      </c>
      <c r="F32" s="205">
        <v>0</v>
      </c>
      <c r="G32" s="205">
        <v>0</v>
      </c>
      <c r="H32" s="116">
        <f t="shared" si="0"/>
        <v>0</v>
      </c>
    </row>
    <row r="33" spans="1:8" ht="15" customHeight="1" x14ac:dyDescent="0.15">
      <c r="A33">
        <v>32</v>
      </c>
      <c r="B33" s="153" t="s">
        <v>213</v>
      </c>
      <c r="C33" s="205">
        <v>0</v>
      </c>
      <c r="D33" s="205">
        <v>0</v>
      </c>
      <c r="E33" s="205">
        <v>0</v>
      </c>
      <c r="F33" s="205">
        <v>0</v>
      </c>
      <c r="G33" s="205">
        <v>0</v>
      </c>
      <c r="H33" s="116">
        <f t="shared" si="0"/>
        <v>0</v>
      </c>
    </row>
    <row r="34" spans="1:8" ht="15" customHeight="1" x14ac:dyDescent="0.15">
      <c r="A34">
        <v>33</v>
      </c>
      <c r="B34" s="153" t="s">
        <v>214</v>
      </c>
      <c r="C34" s="205">
        <v>0</v>
      </c>
      <c r="D34" s="205">
        <v>0</v>
      </c>
      <c r="E34" s="205">
        <v>0</v>
      </c>
      <c r="F34" s="205">
        <v>0</v>
      </c>
      <c r="G34" s="205">
        <v>0</v>
      </c>
      <c r="H34" s="116">
        <f t="shared" si="0"/>
        <v>0</v>
      </c>
    </row>
    <row r="35" spans="1:8" ht="15" customHeight="1" x14ac:dyDescent="0.15">
      <c r="A35">
        <v>34</v>
      </c>
      <c r="B35" s="153" t="s">
        <v>215</v>
      </c>
      <c r="C35" s="205">
        <v>0</v>
      </c>
      <c r="D35" s="205">
        <v>0</v>
      </c>
      <c r="E35" s="205">
        <v>0</v>
      </c>
      <c r="F35" s="205">
        <v>0</v>
      </c>
      <c r="G35" s="205">
        <v>0</v>
      </c>
      <c r="H35" s="116">
        <f t="shared" si="0"/>
        <v>0</v>
      </c>
    </row>
    <row r="36" spans="1:8" ht="15" customHeight="1" x14ac:dyDescent="0.15">
      <c r="A36">
        <v>35</v>
      </c>
      <c r="B36" s="153" t="s">
        <v>216</v>
      </c>
      <c r="C36" s="205">
        <v>0</v>
      </c>
      <c r="D36" s="205">
        <v>0</v>
      </c>
      <c r="E36" s="205">
        <v>0</v>
      </c>
      <c r="F36" s="205">
        <v>0</v>
      </c>
      <c r="G36" s="205">
        <v>0</v>
      </c>
      <c r="H36" s="116">
        <f t="shared" si="0"/>
        <v>0</v>
      </c>
    </row>
    <row r="37" spans="1:8" ht="15" customHeight="1" x14ac:dyDescent="0.15">
      <c r="A37">
        <v>36</v>
      </c>
      <c r="B37" s="153" t="s">
        <v>217</v>
      </c>
      <c r="C37" s="205">
        <v>0</v>
      </c>
      <c r="D37" s="205">
        <v>0</v>
      </c>
      <c r="E37" s="205">
        <v>0</v>
      </c>
      <c r="F37" s="205">
        <v>0</v>
      </c>
      <c r="G37" s="205">
        <v>0</v>
      </c>
      <c r="H37" s="116">
        <f t="shared" si="0"/>
        <v>0</v>
      </c>
    </row>
    <row r="38" spans="1:8" ht="15" customHeight="1" x14ac:dyDescent="0.15">
      <c r="A38">
        <v>37</v>
      </c>
      <c r="B38" s="153" t="s">
        <v>218</v>
      </c>
      <c r="C38" s="205">
        <v>0</v>
      </c>
      <c r="D38" s="205">
        <v>0</v>
      </c>
      <c r="E38" s="205">
        <v>0</v>
      </c>
      <c r="F38" s="205">
        <v>0</v>
      </c>
      <c r="G38" s="205">
        <v>0</v>
      </c>
      <c r="H38" s="116">
        <f t="shared" si="0"/>
        <v>0</v>
      </c>
    </row>
    <row r="39" spans="1:8" ht="15" customHeight="1" x14ac:dyDescent="0.15">
      <c r="A39">
        <v>38</v>
      </c>
      <c r="B39" s="153" t="s">
        <v>219</v>
      </c>
      <c r="C39" s="205">
        <v>0</v>
      </c>
      <c r="D39" s="205">
        <v>0</v>
      </c>
      <c r="E39" s="205">
        <v>0</v>
      </c>
      <c r="F39" s="205">
        <v>0</v>
      </c>
      <c r="G39" s="205">
        <v>0</v>
      </c>
      <c r="H39" s="116">
        <f t="shared" si="0"/>
        <v>0</v>
      </c>
    </row>
    <row r="40" spans="1:8" ht="15" customHeight="1" x14ac:dyDescent="0.15">
      <c r="A40">
        <v>39</v>
      </c>
      <c r="B40" s="153" t="s">
        <v>220</v>
      </c>
      <c r="C40" s="205">
        <v>0</v>
      </c>
      <c r="D40" s="205">
        <v>0</v>
      </c>
      <c r="E40" s="205">
        <v>0</v>
      </c>
      <c r="F40" s="205">
        <v>0</v>
      </c>
      <c r="G40" s="205">
        <v>0</v>
      </c>
      <c r="H40" s="116">
        <f t="shared" si="0"/>
        <v>0</v>
      </c>
    </row>
    <row r="41" spans="1:8" ht="15" customHeight="1" x14ac:dyDescent="0.15">
      <c r="A41">
        <v>40</v>
      </c>
      <c r="B41" s="153" t="s">
        <v>221</v>
      </c>
      <c r="C41" s="205">
        <v>0</v>
      </c>
      <c r="D41" s="205">
        <v>0</v>
      </c>
      <c r="E41" s="205">
        <v>0</v>
      </c>
      <c r="F41" s="205">
        <v>0</v>
      </c>
      <c r="G41" s="205">
        <v>0</v>
      </c>
      <c r="H41" s="116">
        <f t="shared" si="0"/>
        <v>0</v>
      </c>
    </row>
    <row r="42" spans="1:8" ht="15" customHeight="1" x14ac:dyDescent="0.15">
      <c r="A42">
        <v>41</v>
      </c>
      <c r="B42" s="153" t="s">
        <v>222</v>
      </c>
      <c r="C42" s="205">
        <v>0</v>
      </c>
      <c r="D42" s="205">
        <v>0</v>
      </c>
      <c r="E42" s="205">
        <v>0</v>
      </c>
      <c r="F42" s="205">
        <v>0</v>
      </c>
      <c r="G42" s="205">
        <v>0</v>
      </c>
      <c r="H42" s="116">
        <f t="shared" si="0"/>
        <v>0</v>
      </c>
    </row>
    <row r="43" spans="1:8" ht="15" customHeight="1" x14ac:dyDescent="0.15">
      <c r="A43">
        <v>42</v>
      </c>
      <c r="B43" s="153" t="s">
        <v>240</v>
      </c>
      <c r="C43" s="205">
        <v>0</v>
      </c>
      <c r="D43" s="205">
        <v>0</v>
      </c>
      <c r="E43" s="205">
        <v>0</v>
      </c>
      <c r="F43" s="205">
        <v>0</v>
      </c>
      <c r="G43" s="205">
        <v>0</v>
      </c>
      <c r="H43" s="116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topLeftCell="A27" workbookViewId="0">
      <selection activeCell="E43" sqref="E43"/>
    </sheetView>
  </sheetViews>
  <sheetFormatPr baseColWidth="10" defaultRowHeight="13" x14ac:dyDescent="0.15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119" bestFit="1" customWidth="1"/>
    <col min="11" max="11" width="8.6640625" style="11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3" customFormat="1" ht="14" thickBot="1" x14ac:dyDescent="0.2">
      <c r="D1" s="124" t="s">
        <v>8</v>
      </c>
      <c r="E1" s="124" t="s">
        <v>0</v>
      </c>
      <c r="F1" s="125" t="s">
        <v>101</v>
      </c>
      <c r="G1" s="126" t="s">
        <v>86</v>
      </c>
      <c r="H1" s="126" t="s">
        <v>87</v>
      </c>
      <c r="I1" s="126" t="s">
        <v>88</v>
      </c>
      <c r="J1" s="126" t="s">
        <v>89</v>
      </c>
      <c r="K1" s="126" t="s">
        <v>90</v>
      </c>
      <c r="L1" s="127" t="s">
        <v>91</v>
      </c>
      <c r="M1" s="127" t="s">
        <v>95</v>
      </c>
      <c r="N1" s="127" t="s">
        <v>94</v>
      </c>
      <c r="O1" s="127" t="s">
        <v>92</v>
      </c>
      <c r="P1" s="127" t="s">
        <v>93</v>
      </c>
      <c r="Q1" s="128" t="s">
        <v>96</v>
      </c>
      <c r="R1" s="128" t="s">
        <v>97</v>
      </c>
      <c r="S1" s="128" t="s">
        <v>98</v>
      </c>
      <c r="T1" s="128" t="s">
        <v>99</v>
      </c>
      <c r="U1" s="128" t="s">
        <v>100</v>
      </c>
      <c r="V1" s="126" t="s">
        <v>102</v>
      </c>
      <c r="W1" s="126" t="s">
        <v>103</v>
      </c>
      <c r="X1" s="126" t="s">
        <v>104</v>
      </c>
      <c r="Y1" s="126" t="s">
        <v>136</v>
      </c>
      <c r="Z1" s="127" t="s">
        <v>105</v>
      </c>
      <c r="AA1" s="127" t="s">
        <v>106</v>
      </c>
      <c r="AB1" s="127" t="s">
        <v>107</v>
      </c>
      <c r="AC1" s="129" t="s">
        <v>137</v>
      </c>
      <c r="AD1" s="128" t="s">
        <v>108</v>
      </c>
      <c r="AE1" s="128" t="s">
        <v>109</v>
      </c>
      <c r="AF1" s="128" t="s">
        <v>110</v>
      </c>
      <c r="AG1" s="128" t="s">
        <v>138</v>
      </c>
      <c r="AH1" s="126" t="s">
        <v>111</v>
      </c>
      <c r="AI1" s="126" t="s">
        <v>113</v>
      </c>
      <c r="AJ1" s="126" t="s">
        <v>112</v>
      </c>
      <c r="AK1" s="127" t="s">
        <v>117</v>
      </c>
      <c r="AL1" s="127" t="s">
        <v>118</v>
      </c>
      <c r="AM1" s="127" t="s">
        <v>119</v>
      </c>
      <c r="AN1" s="128" t="s">
        <v>114</v>
      </c>
      <c r="AO1" s="128" t="s">
        <v>115</v>
      </c>
      <c r="AP1" s="128" t="s">
        <v>116</v>
      </c>
    </row>
    <row r="2" spans="1:42" x14ac:dyDescent="0.15">
      <c r="A2" s="130" t="s">
        <v>76</v>
      </c>
      <c r="B2" s="131">
        <v>1</v>
      </c>
      <c r="D2">
        <v>1</v>
      </c>
      <c r="E2" t="s">
        <v>182</v>
      </c>
      <c r="F2">
        <v>0.98</v>
      </c>
      <c r="G2">
        <v>0.8</v>
      </c>
      <c r="H2">
        <v>0.8</v>
      </c>
      <c r="I2">
        <v>0.8</v>
      </c>
      <c r="J2" s="119">
        <v>0.25</v>
      </c>
      <c r="K2" s="119">
        <v>0.05</v>
      </c>
    </row>
    <row r="3" spans="1:42" x14ac:dyDescent="0.15">
      <c r="A3" s="130" t="s">
        <v>77</v>
      </c>
      <c r="B3" s="133">
        <v>1</v>
      </c>
      <c r="D3">
        <v>2</v>
      </c>
      <c r="E3" t="s">
        <v>183</v>
      </c>
      <c r="F3">
        <v>0.98</v>
      </c>
      <c r="G3">
        <v>0.8</v>
      </c>
      <c r="H3">
        <v>0.8</v>
      </c>
      <c r="I3">
        <v>0.8</v>
      </c>
      <c r="J3" s="119">
        <v>0.25</v>
      </c>
      <c r="K3" s="119">
        <v>0.05</v>
      </c>
    </row>
    <row r="4" spans="1:42" x14ac:dyDescent="0.15">
      <c r="A4" s="130" t="s">
        <v>78</v>
      </c>
      <c r="B4" s="133">
        <v>1</v>
      </c>
      <c r="D4">
        <v>3</v>
      </c>
      <c r="E4" t="s">
        <v>184</v>
      </c>
      <c r="F4">
        <v>0.98</v>
      </c>
      <c r="G4">
        <v>0.8</v>
      </c>
      <c r="H4">
        <v>0.8</v>
      </c>
      <c r="I4">
        <v>0.8</v>
      </c>
      <c r="J4" s="119">
        <v>0.25</v>
      </c>
      <c r="K4" s="119">
        <v>0.05</v>
      </c>
    </row>
    <row r="5" spans="1:42" x14ac:dyDescent="0.15">
      <c r="A5" s="130" t="s">
        <v>79</v>
      </c>
      <c r="B5" s="133">
        <v>1</v>
      </c>
      <c r="D5">
        <v>4</v>
      </c>
      <c r="E5" t="s">
        <v>185</v>
      </c>
      <c r="F5">
        <v>0.98</v>
      </c>
      <c r="G5">
        <v>0.8</v>
      </c>
      <c r="H5">
        <v>0.8</v>
      </c>
      <c r="I5">
        <v>0.8</v>
      </c>
      <c r="J5" s="119">
        <v>0.25</v>
      </c>
      <c r="K5" s="119">
        <v>0.05</v>
      </c>
    </row>
    <row r="6" spans="1:42" x14ac:dyDescent="0.15">
      <c r="A6" s="130" t="s">
        <v>80</v>
      </c>
      <c r="B6" s="133">
        <v>1</v>
      </c>
      <c r="D6">
        <v>5</v>
      </c>
      <c r="E6" t="s">
        <v>186</v>
      </c>
      <c r="F6">
        <v>0.98</v>
      </c>
      <c r="G6">
        <v>0.8</v>
      </c>
      <c r="H6">
        <v>0.8</v>
      </c>
      <c r="I6">
        <v>0.8</v>
      </c>
      <c r="J6" s="119">
        <v>0.25</v>
      </c>
      <c r="K6" s="119">
        <v>0.05</v>
      </c>
    </row>
    <row r="7" spans="1:42" x14ac:dyDescent="0.15">
      <c r="A7" s="130" t="s">
        <v>81</v>
      </c>
      <c r="B7" s="133">
        <v>1</v>
      </c>
      <c r="D7">
        <v>6</v>
      </c>
      <c r="E7" t="s">
        <v>187</v>
      </c>
      <c r="F7">
        <v>0.98</v>
      </c>
      <c r="G7">
        <v>0.8</v>
      </c>
      <c r="H7">
        <v>0.8</v>
      </c>
      <c r="I7">
        <v>0.8</v>
      </c>
      <c r="J7" s="119">
        <v>0.25</v>
      </c>
      <c r="K7" s="119">
        <v>0.05</v>
      </c>
    </row>
    <row r="8" spans="1:42" x14ac:dyDescent="0.15">
      <c r="A8" s="130" t="s">
        <v>82</v>
      </c>
      <c r="B8" s="133">
        <v>1</v>
      </c>
      <c r="D8">
        <v>7</v>
      </c>
      <c r="E8" t="s">
        <v>188</v>
      </c>
      <c r="F8">
        <v>0.98</v>
      </c>
      <c r="G8">
        <v>0.8</v>
      </c>
      <c r="H8">
        <v>0.8</v>
      </c>
      <c r="I8">
        <v>0.8</v>
      </c>
      <c r="J8" s="119">
        <v>0.25</v>
      </c>
      <c r="K8" s="119">
        <v>0.05</v>
      </c>
    </row>
    <row r="9" spans="1:42" x14ac:dyDescent="0.15">
      <c r="A9" s="130" t="s">
        <v>83</v>
      </c>
      <c r="B9" s="133">
        <v>0.1</v>
      </c>
      <c r="C9" s="61" t="s">
        <v>152</v>
      </c>
      <c r="D9">
        <v>8</v>
      </c>
      <c r="E9" t="s">
        <v>189</v>
      </c>
      <c r="F9">
        <v>0.98</v>
      </c>
      <c r="G9">
        <v>0.8</v>
      </c>
      <c r="H9">
        <v>0.8</v>
      </c>
      <c r="I9">
        <v>0.8</v>
      </c>
      <c r="J9" s="119">
        <v>0.25</v>
      </c>
      <c r="K9" s="119">
        <v>0.05</v>
      </c>
    </row>
    <row r="10" spans="1:42" ht="14" thickBot="1" x14ac:dyDescent="0.2">
      <c r="A10" s="130" t="s">
        <v>151</v>
      </c>
      <c r="B10" s="134">
        <f>1/3</f>
        <v>0.33333333333333331</v>
      </c>
      <c r="C10" s="61" t="s">
        <v>152</v>
      </c>
      <c r="D10">
        <v>9</v>
      </c>
      <c r="E10" t="s">
        <v>190</v>
      </c>
      <c r="F10">
        <v>0.98</v>
      </c>
      <c r="G10">
        <v>0.8</v>
      </c>
      <c r="H10">
        <v>0.8</v>
      </c>
      <c r="I10">
        <v>0.8</v>
      </c>
      <c r="J10" s="119">
        <v>0.25</v>
      </c>
      <c r="K10" s="119">
        <v>0.05</v>
      </c>
    </row>
    <row r="11" spans="1:42" x14ac:dyDescent="0.15">
      <c r="D11">
        <v>10</v>
      </c>
      <c r="E11" s="153" t="s">
        <v>191</v>
      </c>
      <c r="F11">
        <v>0.98</v>
      </c>
      <c r="G11">
        <v>0.8</v>
      </c>
      <c r="H11">
        <v>0.8</v>
      </c>
      <c r="I11">
        <v>0.8</v>
      </c>
      <c r="J11" s="119">
        <v>0.25</v>
      </c>
      <c r="K11" s="119">
        <v>0.05</v>
      </c>
    </row>
    <row r="12" spans="1:42" x14ac:dyDescent="0.15">
      <c r="D12">
        <v>11</v>
      </c>
      <c r="E12" s="153" t="s">
        <v>192</v>
      </c>
      <c r="F12">
        <v>0.98</v>
      </c>
      <c r="G12">
        <v>0.8</v>
      </c>
      <c r="H12">
        <v>0.8</v>
      </c>
      <c r="I12">
        <v>0.8</v>
      </c>
      <c r="J12" s="119">
        <v>0.25</v>
      </c>
      <c r="K12" s="119">
        <v>0.05</v>
      </c>
    </row>
    <row r="13" spans="1:42" x14ac:dyDescent="0.15">
      <c r="D13">
        <v>12</v>
      </c>
      <c r="E13" s="153" t="s">
        <v>193</v>
      </c>
      <c r="F13">
        <v>0.98</v>
      </c>
      <c r="G13">
        <v>0.8</v>
      </c>
      <c r="H13">
        <v>0.8</v>
      </c>
      <c r="I13">
        <v>0.8</v>
      </c>
      <c r="J13" s="119">
        <v>0.25</v>
      </c>
      <c r="K13" s="119">
        <v>0.05</v>
      </c>
    </row>
    <row r="14" spans="1:42" x14ac:dyDescent="0.15">
      <c r="D14">
        <v>13</v>
      </c>
      <c r="E14" s="153" t="s">
        <v>194</v>
      </c>
      <c r="F14">
        <v>0.98</v>
      </c>
      <c r="G14">
        <v>0.8</v>
      </c>
      <c r="H14">
        <v>0.8</v>
      </c>
      <c r="I14">
        <v>0.8</v>
      </c>
      <c r="J14" s="119">
        <v>0.25</v>
      </c>
      <c r="K14" s="119">
        <v>0.05</v>
      </c>
    </row>
    <row r="15" spans="1:42" x14ac:dyDescent="0.15">
      <c r="D15">
        <v>14</v>
      </c>
      <c r="E15" s="153" t="s">
        <v>195</v>
      </c>
      <c r="F15">
        <v>0.98</v>
      </c>
      <c r="G15">
        <v>0.8</v>
      </c>
      <c r="H15">
        <v>0.8</v>
      </c>
      <c r="I15">
        <v>0.8</v>
      </c>
      <c r="J15" s="119">
        <v>0.25</v>
      </c>
      <c r="K15" s="119">
        <v>0.05</v>
      </c>
    </row>
    <row r="16" spans="1:42" x14ac:dyDescent="0.15">
      <c r="D16">
        <v>15</v>
      </c>
      <c r="E16" s="153" t="s">
        <v>196</v>
      </c>
      <c r="F16">
        <v>0.98</v>
      </c>
      <c r="G16">
        <v>0.8</v>
      </c>
      <c r="H16">
        <v>0.8</v>
      </c>
      <c r="I16">
        <v>0.8</v>
      </c>
      <c r="J16" s="119">
        <v>0.25</v>
      </c>
      <c r="K16" s="119">
        <v>0.05</v>
      </c>
    </row>
    <row r="17" spans="4:33" ht="15" customHeight="1" x14ac:dyDescent="0.15">
      <c r="D17">
        <v>16</v>
      </c>
      <c r="E17" s="153" t="s">
        <v>197</v>
      </c>
      <c r="F17">
        <v>0.98</v>
      </c>
      <c r="G17">
        <v>0.8</v>
      </c>
      <c r="H17">
        <v>0.8</v>
      </c>
      <c r="I17">
        <v>0.8</v>
      </c>
      <c r="J17" s="119">
        <v>0.25</v>
      </c>
      <c r="K17" s="119">
        <v>0.05</v>
      </c>
    </row>
    <row r="18" spans="4:33" ht="15" customHeight="1" x14ac:dyDescent="0.15">
      <c r="D18">
        <v>17</v>
      </c>
      <c r="E18" s="153" t="s">
        <v>198</v>
      </c>
      <c r="F18">
        <v>0.98</v>
      </c>
      <c r="G18">
        <v>0.8</v>
      </c>
      <c r="H18">
        <v>0.8</v>
      </c>
      <c r="I18">
        <v>0.8</v>
      </c>
      <c r="J18" s="119">
        <v>0.25</v>
      </c>
      <c r="K18" s="119">
        <v>0.05</v>
      </c>
    </row>
    <row r="19" spans="4:33" ht="15" customHeight="1" x14ac:dyDescent="0.15">
      <c r="D19">
        <v>18</v>
      </c>
      <c r="E19" s="153" t="s">
        <v>199</v>
      </c>
      <c r="F19">
        <v>0.98</v>
      </c>
      <c r="G19">
        <v>0.8</v>
      </c>
      <c r="H19">
        <v>0.8</v>
      </c>
      <c r="I19">
        <v>0.8</v>
      </c>
      <c r="J19" s="119">
        <v>0.25</v>
      </c>
      <c r="K19" s="119">
        <v>0.05</v>
      </c>
    </row>
    <row r="20" spans="4:33" ht="15" customHeight="1" x14ac:dyDescent="0.15">
      <c r="D20">
        <v>19</v>
      </c>
      <c r="E20" s="153" t="s">
        <v>200</v>
      </c>
      <c r="F20">
        <v>0.98</v>
      </c>
      <c r="G20">
        <v>0.8</v>
      </c>
      <c r="H20">
        <v>0.8</v>
      </c>
      <c r="I20">
        <v>0.8</v>
      </c>
      <c r="J20" s="119">
        <v>0.25</v>
      </c>
      <c r="K20" s="119">
        <v>0.05</v>
      </c>
    </row>
    <row r="21" spans="4:33" ht="15" customHeight="1" x14ac:dyDescent="0.15">
      <c r="D21">
        <v>20</v>
      </c>
      <c r="E21" s="153" t="s">
        <v>201</v>
      </c>
      <c r="F21">
        <v>0.98</v>
      </c>
      <c r="G21">
        <v>0.8</v>
      </c>
      <c r="H21">
        <v>0.8</v>
      </c>
      <c r="I21">
        <v>0.8</v>
      </c>
      <c r="J21" s="119">
        <v>0.25</v>
      </c>
      <c r="K21" s="119">
        <v>0.05</v>
      </c>
    </row>
    <row r="22" spans="4:33" ht="15" customHeight="1" x14ac:dyDescent="0.15">
      <c r="D22">
        <v>21</v>
      </c>
      <c r="E22" s="153" t="s">
        <v>202</v>
      </c>
      <c r="F22">
        <v>0.98</v>
      </c>
      <c r="G22">
        <v>0.8</v>
      </c>
      <c r="H22">
        <v>0.8</v>
      </c>
      <c r="I22">
        <v>0.8</v>
      </c>
      <c r="J22" s="119">
        <v>0.25</v>
      </c>
      <c r="K22" s="119">
        <v>0.05</v>
      </c>
    </row>
    <row r="23" spans="4:33" ht="15" customHeight="1" x14ac:dyDescent="0.15">
      <c r="D23">
        <v>22</v>
      </c>
      <c r="E23" s="153" t="s">
        <v>203</v>
      </c>
      <c r="F23">
        <v>0.98</v>
      </c>
      <c r="G23">
        <v>0.8</v>
      </c>
      <c r="H23">
        <v>0.8</v>
      </c>
      <c r="I23">
        <v>0.8</v>
      </c>
      <c r="J23" s="119">
        <v>0.25</v>
      </c>
      <c r="K23" s="119">
        <v>0.05</v>
      </c>
    </row>
    <row r="24" spans="4:33" ht="15" customHeight="1" x14ac:dyDescent="0.15">
      <c r="D24">
        <v>23</v>
      </c>
      <c r="E24" s="153" t="s">
        <v>204</v>
      </c>
      <c r="F24">
        <v>0.98</v>
      </c>
      <c r="G24">
        <v>0.8</v>
      </c>
      <c r="H24">
        <v>0.8</v>
      </c>
      <c r="I24">
        <v>0.8</v>
      </c>
      <c r="J24" s="119">
        <v>0.25</v>
      </c>
      <c r="K24" s="119">
        <v>0.05</v>
      </c>
    </row>
    <row r="25" spans="4:33" ht="15" customHeight="1" x14ac:dyDescent="0.15">
      <c r="D25">
        <v>24</v>
      </c>
      <c r="E25" s="153" t="s">
        <v>205</v>
      </c>
      <c r="F25">
        <v>0.98</v>
      </c>
      <c r="G25">
        <v>0.8</v>
      </c>
      <c r="H25">
        <v>0.8</v>
      </c>
      <c r="I25">
        <v>0.8</v>
      </c>
      <c r="J25" s="119">
        <v>0.25</v>
      </c>
      <c r="K25" s="119">
        <v>0.05</v>
      </c>
    </row>
    <row r="26" spans="4:33" ht="15" customHeight="1" x14ac:dyDescent="0.15">
      <c r="D26">
        <v>25</v>
      </c>
      <c r="E26" s="153" t="s">
        <v>206</v>
      </c>
      <c r="F26">
        <v>0.98</v>
      </c>
      <c r="G26">
        <v>0.8</v>
      </c>
      <c r="H26">
        <v>0.8</v>
      </c>
      <c r="I26">
        <v>0.8</v>
      </c>
      <c r="J26" s="119">
        <v>0.25</v>
      </c>
      <c r="K26" s="119">
        <v>0.05</v>
      </c>
    </row>
    <row r="27" spans="4:33" ht="15" customHeight="1" x14ac:dyDescent="0.15">
      <c r="D27">
        <v>26</v>
      </c>
      <c r="E27" s="153" t="s">
        <v>207</v>
      </c>
      <c r="F27">
        <v>0.98</v>
      </c>
      <c r="G27">
        <v>0.8</v>
      </c>
      <c r="H27">
        <v>0.8</v>
      </c>
      <c r="I27">
        <v>0.8</v>
      </c>
      <c r="J27" s="119">
        <v>0.25</v>
      </c>
      <c r="K27" s="119">
        <v>0.05</v>
      </c>
    </row>
    <row r="28" spans="4:33" ht="15" customHeight="1" x14ac:dyDescent="0.15">
      <c r="D28">
        <v>27</v>
      </c>
      <c r="E28" s="153" t="s">
        <v>208</v>
      </c>
      <c r="F28">
        <v>0.98</v>
      </c>
      <c r="G28">
        <v>0.8</v>
      </c>
      <c r="H28">
        <v>0.8</v>
      </c>
      <c r="I28">
        <v>0.8</v>
      </c>
      <c r="J28" s="119">
        <v>0.25</v>
      </c>
      <c r="K28" s="119">
        <v>0.05</v>
      </c>
    </row>
    <row r="29" spans="4:33" ht="15" customHeight="1" x14ac:dyDescent="0.15">
      <c r="D29">
        <v>28</v>
      </c>
      <c r="E29" s="153" t="s">
        <v>209</v>
      </c>
      <c r="F29">
        <v>0.98</v>
      </c>
      <c r="G29">
        <v>0.8</v>
      </c>
      <c r="H29">
        <v>0.8</v>
      </c>
      <c r="I29">
        <v>0.8</v>
      </c>
      <c r="J29" s="119">
        <v>0.25</v>
      </c>
      <c r="K29" s="119">
        <v>0.05</v>
      </c>
      <c r="Y29"/>
      <c r="AC29"/>
      <c r="AG29"/>
    </row>
    <row r="30" spans="4:33" ht="15" customHeight="1" x14ac:dyDescent="0.15">
      <c r="D30">
        <v>29</v>
      </c>
      <c r="E30" s="153" t="s">
        <v>210</v>
      </c>
      <c r="F30">
        <v>0.98</v>
      </c>
      <c r="G30">
        <v>0.8</v>
      </c>
      <c r="H30">
        <v>0.8</v>
      </c>
      <c r="I30">
        <v>0.8</v>
      </c>
      <c r="J30" s="119">
        <v>0.25</v>
      </c>
      <c r="K30" s="119">
        <v>0.05</v>
      </c>
      <c r="Y30"/>
      <c r="AC30"/>
      <c r="AG30"/>
    </row>
    <row r="31" spans="4:33" ht="15" customHeight="1" x14ac:dyDescent="0.15">
      <c r="D31">
        <v>30</v>
      </c>
      <c r="E31" s="153" t="s">
        <v>211</v>
      </c>
      <c r="F31">
        <v>0.98</v>
      </c>
      <c r="G31">
        <v>0.8</v>
      </c>
      <c r="H31">
        <v>0.8</v>
      </c>
      <c r="I31">
        <v>0.8</v>
      </c>
      <c r="J31" s="119">
        <v>0.25</v>
      </c>
      <c r="K31" s="119">
        <v>0.05</v>
      </c>
      <c r="Y31"/>
      <c r="AC31"/>
      <c r="AG31"/>
    </row>
    <row r="32" spans="4:33" ht="15" customHeight="1" x14ac:dyDescent="0.15">
      <c r="D32">
        <v>31</v>
      </c>
      <c r="E32" s="153" t="s">
        <v>212</v>
      </c>
      <c r="F32">
        <v>0.98</v>
      </c>
      <c r="G32">
        <v>0.8</v>
      </c>
      <c r="H32">
        <v>0.8</v>
      </c>
      <c r="I32">
        <v>0.8</v>
      </c>
      <c r="J32" s="119">
        <v>0.25</v>
      </c>
      <c r="K32" s="119">
        <v>0.05</v>
      </c>
      <c r="Y32"/>
      <c r="AC32"/>
      <c r="AG32"/>
    </row>
    <row r="33" spans="4:33" ht="15" customHeight="1" x14ac:dyDescent="0.15">
      <c r="D33">
        <v>32</v>
      </c>
      <c r="E33" s="153" t="s">
        <v>213</v>
      </c>
      <c r="F33">
        <v>0.98</v>
      </c>
      <c r="G33">
        <v>0.8</v>
      </c>
      <c r="H33">
        <v>0.8</v>
      </c>
      <c r="I33">
        <v>0.8</v>
      </c>
      <c r="J33" s="119">
        <v>0.25</v>
      </c>
      <c r="K33" s="119">
        <v>0.05</v>
      </c>
      <c r="Y33"/>
      <c r="AC33"/>
      <c r="AG33"/>
    </row>
    <row r="34" spans="4:33" ht="15" customHeight="1" x14ac:dyDescent="0.15">
      <c r="D34">
        <v>33</v>
      </c>
      <c r="E34" s="153" t="s">
        <v>214</v>
      </c>
      <c r="F34">
        <v>0.98</v>
      </c>
      <c r="G34">
        <v>0.8</v>
      </c>
      <c r="H34">
        <v>0.8</v>
      </c>
      <c r="I34">
        <v>0.8</v>
      </c>
      <c r="J34" s="119">
        <v>0.25</v>
      </c>
      <c r="K34" s="119">
        <v>0.05</v>
      </c>
      <c r="Y34"/>
      <c r="AC34"/>
      <c r="AG34"/>
    </row>
    <row r="35" spans="4:33" ht="15" customHeight="1" x14ac:dyDescent="0.15">
      <c r="D35">
        <v>34</v>
      </c>
      <c r="E35" s="153" t="s">
        <v>215</v>
      </c>
      <c r="F35">
        <v>0.98</v>
      </c>
      <c r="G35">
        <v>0.8</v>
      </c>
      <c r="H35">
        <v>0.8</v>
      </c>
      <c r="I35">
        <v>0.8</v>
      </c>
      <c r="J35" s="119">
        <v>0.25</v>
      </c>
      <c r="K35" s="119">
        <v>0.05</v>
      </c>
      <c r="Y35"/>
      <c r="AC35"/>
      <c r="AG35"/>
    </row>
    <row r="36" spans="4:33" ht="15" customHeight="1" x14ac:dyDescent="0.15">
      <c r="D36">
        <v>35</v>
      </c>
      <c r="E36" s="153" t="s">
        <v>216</v>
      </c>
      <c r="F36">
        <v>0.98</v>
      </c>
      <c r="G36">
        <v>0.8</v>
      </c>
      <c r="H36">
        <v>0.8</v>
      </c>
      <c r="I36">
        <v>0.8</v>
      </c>
      <c r="J36" s="119">
        <v>0.25</v>
      </c>
      <c r="K36" s="119">
        <v>0.05</v>
      </c>
      <c r="Y36"/>
      <c r="AC36"/>
      <c r="AG36"/>
    </row>
    <row r="37" spans="4:33" ht="15" customHeight="1" x14ac:dyDescent="0.15">
      <c r="D37">
        <v>36</v>
      </c>
      <c r="E37" s="153" t="s">
        <v>217</v>
      </c>
      <c r="F37">
        <v>0.98</v>
      </c>
      <c r="G37">
        <v>0.8</v>
      </c>
      <c r="H37">
        <v>0.8</v>
      </c>
      <c r="I37">
        <v>0.8</v>
      </c>
      <c r="J37" s="119">
        <v>0.25</v>
      </c>
      <c r="K37" s="119">
        <v>0.05</v>
      </c>
      <c r="Y37"/>
      <c r="AC37"/>
      <c r="AG37"/>
    </row>
    <row r="38" spans="4:33" ht="15" customHeight="1" x14ac:dyDescent="0.15">
      <c r="D38">
        <v>37</v>
      </c>
      <c r="E38" s="153" t="s">
        <v>218</v>
      </c>
      <c r="F38">
        <v>0.98</v>
      </c>
      <c r="G38">
        <v>0.8</v>
      </c>
      <c r="H38">
        <v>0.8</v>
      </c>
      <c r="I38">
        <v>0</v>
      </c>
      <c r="J38" s="119">
        <v>0</v>
      </c>
      <c r="K38" s="119">
        <v>0</v>
      </c>
      <c r="Y38"/>
      <c r="AC38"/>
      <c r="AG38"/>
    </row>
    <row r="39" spans="4:33" ht="15" customHeight="1" x14ac:dyDescent="0.15">
      <c r="D39">
        <v>38</v>
      </c>
      <c r="E39" s="153" t="s">
        <v>219</v>
      </c>
      <c r="F39">
        <v>0.98</v>
      </c>
      <c r="G39">
        <v>0.8</v>
      </c>
      <c r="H39">
        <v>0.8</v>
      </c>
      <c r="I39">
        <v>0</v>
      </c>
      <c r="J39" s="119">
        <v>0</v>
      </c>
      <c r="K39" s="119">
        <v>0</v>
      </c>
    </row>
    <row r="40" spans="4:33" ht="15" customHeight="1" x14ac:dyDescent="0.15">
      <c r="D40">
        <v>39</v>
      </c>
      <c r="E40" s="153" t="s">
        <v>220</v>
      </c>
      <c r="F40">
        <v>0.98</v>
      </c>
      <c r="G40">
        <v>0.8</v>
      </c>
      <c r="H40">
        <v>0.8</v>
      </c>
      <c r="I40">
        <v>0</v>
      </c>
      <c r="J40" s="119">
        <v>0</v>
      </c>
      <c r="K40" s="119">
        <v>0</v>
      </c>
      <c r="Y40"/>
      <c r="AC40"/>
      <c r="AG40"/>
    </row>
    <row r="41" spans="4:33" ht="15" customHeight="1" x14ac:dyDescent="0.15">
      <c r="D41">
        <v>40</v>
      </c>
      <c r="E41" s="153" t="s">
        <v>221</v>
      </c>
      <c r="F41">
        <v>0.98</v>
      </c>
      <c r="G41">
        <v>0.8</v>
      </c>
      <c r="H41">
        <v>0.8</v>
      </c>
      <c r="I41">
        <v>0</v>
      </c>
      <c r="J41" s="119">
        <v>0</v>
      </c>
      <c r="K41" s="119">
        <v>0</v>
      </c>
      <c r="Y41"/>
      <c r="AC41"/>
      <c r="AG41"/>
    </row>
    <row r="42" spans="4:33" ht="15" customHeight="1" x14ac:dyDescent="0.15">
      <c r="D42">
        <v>41</v>
      </c>
      <c r="E42" s="153" t="s">
        <v>222</v>
      </c>
      <c r="F42">
        <v>0.98</v>
      </c>
      <c r="G42">
        <v>0.8</v>
      </c>
      <c r="H42">
        <v>0</v>
      </c>
      <c r="I42">
        <v>0</v>
      </c>
      <c r="J42" s="119">
        <v>0</v>
      </c>
      <c r="K42" s="119">
        <v>0</v>
      </c>
      <c r="Y42"/>
      <c r="AC42"/>
      <c r="AG42"/>
    </row>
    <row r="43" spans="4:33" ht="15" customHeight="1" x14ac:dyDescent="0.15">
      <c r="D43">
        <v>42</v>
      </c>
      <c r="E43" s="153" t="s">
        <v>240</v>
      </c>
      <c r="F43">
        <v>0.98</v>
      </c>
      <c r="G43">
        <v>0.8</v>
      </c>
      <c r="H43">
        <v>0</v>
      </c>
      <c r="I43">
        <v>0</v>
      </c>
      <c r="J43" s="119">
        <v>0</v>
      </c>
      <c r="K43" s="119">
        <v>0</v>
      </c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Q44"/>
  <sheetViews>
    <sheetView topLeftCell="A25" workbookViewId="0">
      <selection activeCell="A43" sqref="A43"/>
    </sheetView>
  </sheetViews>
  <sheetFormatPr baseColWidth="10" defaultRowHeight="13" x14ac:dyDescent="0.15"/>
  <cols>
    <col min="1" max="1" width="39.83203125" style="113" bestFit="1" customWidth="1"/>
    <col min="2" max="16384" width="10.83203125" style="113"/>
  </cols>
  <sheetData>
    <row r="1" spans="1:43" x14ac:dyDescent="0.15">
      <c r="A1" s="63" t="s">
        <v>120</v>
      </c>
      <c r="B1" s="113" t="s">
        <v>182</v>
      </c>
      <c r="C1" s="113" t="s">
        <v>183</v>
      </c>
      <c r="D1" s="113" t="s">
        <v>184</v>
      </c>
      <c r="E1" s="113" t="s">
        <v>185</v>
      </c>
      <c r="F1" s="113" t="s">
        <v>186</v>
      </c>
      <c r="G1" s="113" t="s">
        <v>187</v>
      </c>
      <c r="H1" s="113" t="s">
        <v>188</v>
      </c>
      <c r="I1" s="113" t="s">
        <v>189</v>
      </c>
      <c r="J1" s="113" t="s">
        <v>190</v>
      </c>
      <c r="K1" s="113" t="s">
        <v>191</v>
      </c>
      <c r="L1" s="113" t="s">
        <v>192</v>
      </c>
      <c r="M1" s="113" t="s">
        <v>193</v>
      </c>
      <c r="N1" s="113" t="s">
        <v>194</v>
      </c>
      <c r="O1" s="113" t="s">
        <v>195</v>
      </c>
      <c r="P1" s="113" t="s">
        <v>196</v>
      </c>
      <c r="Q1" s="113" t="s">
        <v>197</v>
      </c>
      <c r="R1" s="113" t="s">
        <v>198</v>
      </c>
      <c r="S1" s="113" t="s">
        <v>199</v>
      </c>
      <c r="T1" s="113" t="s">
        <v>200</v>
      </c>
      <c r="U1" s="113" t="s">
        <v>201</v>
      </c>
      <c r="V1" s="113" t="s">
        <v>202</v>
      </c>
      <c r="W1" s="85" t="s">
        <v>203</v>
      </c>
      <c r="X1" s="85" t="s">
        <v>204</v>
      </c>
      <c r="Y1" s="73" t="s">
        <v>205</v>
      </c>
      <c r="Z1" s="6" t="s">
        <v>206</v>
      </c>
      <c r="AA1" s="6" t="s">
        <v>207</v>
      </c>
      <c r="AB1" s="132" t="s">
        <v>208</v>
      </c>
      <c r="AC1" s="132" t="s">
        <v>209</v>
      </c>
      <c r="AD1" s="132" t="s">
        <v>210</v>
      </c>
      <c r="AE1" s="113" t="s">
        <v>211</v>
      </c>
      <c r="AF1" s="113" t="s">
        <v>212</v>
      </c>
      <c r="AG1" s="113" t="s">
        <v>213</v>
      </c>
      <c r="AH1" s="113" t="s">
        <v>214</v>
      </c>
      <c r="AI1" s="113" t="s">
        <v>215</v>
      </c>
      <c r="AJ1" s="113" t="s">
        <v>216</v>
      </c>
      <c r="AK1" s="113" t="s">
        <v>217</v>
      </c>
      <c r="AL1" s="113" t="s">
        <v>218</v>
      </c>
      <c r="AM1" s="113" t="s">
        <v>219</v>
      </c>
      <c r="AN1" s="113" t="s">
        <v>220</v>
      </c>
      <c r="AO1" s="113" t="s">
        <v>221</v>
      </c>
      <c r="AP1" s="113" t="s">
        <v>222</v>
      </c>
      <c r="AQ1" s="153" t="s">
        <v>240</v>
      </c>
    </row>
    <row r="2" spans="1:43" x14ac:dyDescent="0.15">
      <c r="A2" t="s">
        <v>182</v>
      </c>
      <c r="B2" s="113">
        <v>0.8</v>
      </c>
      <c r="C2" s="113">
        <v>0.8</v>
      </c>
      <c r="D2" s="113">
        <v>0.8</v>
      </c>
      <c r="E2" s="113">
        <v>0.8</v>
      </c>
      <c r="F2" s="113">
        <v>0.8</v>
      </c>
      <c r="G2" s="113">
        <v>0.8</v>
      </c>
      <c r="H2" s="113">
        <v>0.8</v>
      </c>
      <c r="I2" s="113">
        <v>0.8</v>
      </c>
      <c r="J2" s="113">
        <v>0.8</v>
      </c>
      <c r="K2" s="113">
        <v>0.8</v>
      </c>
      <c r="L2" s="113">
        <v>0.8</v>
      </c>
      <c r="M2" s="113">
        <v>0.8</v>
      </c>
      <c r="N2" s="113">
        <v>0.8</v>
      </c>
      <c r="O2" s="113">
        <v>0.8</v>
      </c>
      <c r="P2" s="113">
        <v>0.8</v>
      </c>
      <c r="Q2" s="113">
        <v>0.8</v>
      </c>
      <c r="R2" s="113">
        <v>0.8</v>
      </c>
      <c r="S2" s="113">
        <v>0.8</v>
      </c>
      <c r="T2" s="113">
        <v>0.8</v>
      </c>
      <c r="U2" s="113">
        <v>0.8</v>
      </c>
      <c r="V2" s="113">
        <v>0.8</v>
      </c>
      <c r="W2" s="113">
        <v>0.8</v>
      </c>
      <c r="X2" s="113">
        <v>0.8</v>
      </c>
      <c r="Y2" s="113">
        <v>0.8</v>
      </c>
      <c r="Z2" s="113">
        <v>0.8</v>
      </c>
      <c r="AA2" s="113">
        <v>0.8</v>
      </c>
      <c r="AB2" s="113">
        <v>0.8</v>
      </c>
      <c r="AC2" s="113">
        <v>0.8</v>
      </c>
      <c r="AD2" s="113">
        <v>0.8</v>
      </c>
      <c r="AE2" s="113">
        <v>0.8</v>
      </c>
      <c r="AF2" s="113">
        <v>0.8</v>
      </c>
      <c r="AG2" s="113">
        <v>0.8</v>
      </c>
      <c r="AH2" s="113">
        <v>0.8</v>
      </c>
      <c r="AI2" s="113">
        <v>0.8</v>
      </c>
      <c r="AJ2" s="113">
        <v>0.8</v>
      </c>
      <c r="AK2" s="113">
        <v>0.8</v>
      </c>
      <c r="AL2" s="113">
        <v>0.8</v>
      </c>
      <c r="AM2" s="113">
        <v>0.8</v>
      </c>
      <c r="AN2" s="113">
        <v>0.8</v>
      </c>
      <c r="AO2" s="113">
        <v>0.8</v>
      </c>
      <c r="AP2" s="113">
        <v>0.8</v>
      </c>
      <c r="AQ2" s="113">
        <v>0.8</v>
      </c>
    </row>
    <row r="3" spans="1:43" x14ac:dyDescent="0.15">
      <c r="A3" t="s">
        <v>183</v>
      </c>
      <c r="B3" s="113">
        <v>0.8</v>
      </c>
      <c r="C3" s="113">
        <v>0.8</v>
      </c>
      <c r="D3" s="113">
        <v>0.8</v>
      </c>
      <c r="E3" s="113">
        <v>0.8</v>
      </c>
      <c r="F3" s="113">
        <v>0.8</v>
      </c>
      <c r="G3" s="113">
        <v>0.8</v>
      </c>
      <c r="H3" s="113">
        <v>0.8</v>
      </c>
      <c r="I3" s="113">
        <v>0.8</v>
      </c>
      <c r="J3" s="113">
        <v>0.8</v>
      </c>
      <c r="K3" s="113">
        <v>0.8</v>
      </c>
      <c r="L3" s="113">
        <v>0.8</v>
      </c>
      <c r="M3" s="113">
        <v>0.8</v>
      </c>
      <c r="N3" s="113">
        <v>0.8</v>
      </c>
      <c r="O3" s="113">
        <v>0.8</v>
      </c>
      <c r="P3" s="113">
        <v>0.8</v>
      </c>
      <c r="Q3" s="113">
        <v>0.8</v>
      </c>
      <c r="R3" s="113">
        <v>0.8</v>
      </c>
      <c r="S3" s="113">
        <v>0.8</v>
      </c>
      <c r="T3" s="113">
        <v>0.8</v>
      </c>
      <c r="U3" s="113">
        <v>0.8</v>
      </c>
      <c r="V3" s="113">
        <v>0.8</v>
      </c>
      <c r="W3" s="113">
        <v>0.8</v>
      </c>
      <c r="X3" s="113">
        <v>0.8</v>
      </c>
      <c r="Y3" s="113">
        <v>0.8</v>
      </c>
      <c r="Z3" s="113">
        <v>0.8</v>
      </c>
      <c r="AA3" s="113">
        <v>0.8</v>
      </c>
      <c r="AB3" s="113">
        <v>0.8</v>
      </c>
      <c r="AC3" s="113">
        <v>0.8</v>
      </c>
      <c r="AD3" s="113">
        <v>0.8</v>
      </c>
      <c r="AE3" s="113">
        <v>0.8</v>
      </c>
      <c r="AF3" s="113">
        <v>0.8</v>
      </c>
      <c r="AG3" s="113">
        <v>0.8</v>
      </c>
      <c r="AH3" s="113">
        <v>0.8</v>
      </c>
      <c r="AI3" s="113">
        <v>0.8</v>
      </c>
      <c r="AJ3" s="113">
        <v>0.8</v>
      </c>
      <c r="AK3" s="113">
        <v>0.8</v>
      </c>
      <c r="AL3" s="113">
        <v>0.8</v>
      </c>
      <c r="AM3" s="113">
        <v>0.8</v>
      </c>
      <c r="AN3" s="113">
        <v>0.8</v>
      </c>
      <c r="AO3" s="113">
        <v>0.8</v>
      </c>
      <c r="AP3" s="113">
        <v>0.8</v>
      </c>
      <c r="AQ3" s="113">
        <v>0.8</v>
      </c>
    </row>
    <row r="4" spans="1:43" x14ac:dyDescent="0.15">
      <c r="A4" t="s">
        <v>184</v>
      </c>
      <c r="B4" s="113">
        <v>0.8</v>
      </c>
      <c r="C4" s="113">
        <v>0.8</v>
      </c>
      <c r="D4" s="113">
        <v>0.8</v>
      </c>
      <c r="E4" s="113">
        <v>0.8</v>
      </c>
      <c r="F4" s="113">
        <v>0.8</v>
      </c>
      <c r="G4" s="113">
        <v>0.8</v>
      </c>
      <c r="H4" s="113">
        <v>0.8</v>
      </c>
      <c r="I4" s="113">
        <v>0.8</v>
      </c>
      <c r="J4" s="113">
        <v>0.8</v>
      </c>
      <c r="K4" s="113">
        <v>0.8</v>
      </c>
      <c r="L4" s="113">
        <v>0.8</v>
      </c>
      <c r="M4" s="113">
        <v>0.8</v>
      </c>
      <c r="N4" s="113">
        <v>0.8</v>
      </c>
      <c r="O4" s="113">
        <v>0.8</v>
      </c>
      <c r="P4" s="113">
        <v>0.8</v>
      </c>
      <c r="Q4" s="113">
        <v>0.8</v>
      </c>
      <c r="R4" s="113">
        <v>0.8</v>
      </c>
      <c r="S4" s="113">
        <v>0.8</v>
      </c>
      <c r="T4" s="113">
        <v>0.8</v>
      </c>
      <c r="U4" s="113">
        <v>0.8</v>
      </c>
      <c r="V4" s="113">
        <v>0.8</v>
      </c>
      <c r="W4" s="113">
        <v>0.8</v>
      </c>
      <c r="X4" s="113">
        <v>0.8</v>
      </c>
      <c r="Y4" s="113">
        <v>0.8</v>
      </c>
      <c r="Z4" s="113">
        <v>0.8</v>
      </c>
      <c r="AA4" s="113">
        <v>0.8</v>
      </c>
      <c r="AB4" s="113">
        <v>0.8</v>
      </c>
      <c r="AC4" s="113">
        <v>0.8</v>
      </c>
      <c r="AD4" s="113">
        <v>0.8</v>
      </c>
      <c r="AE4" s="113">
        <v>0.8</v>
      </c>
      <c r="AF4" s="113">
        <v>0.8</v>
      </c>
      <c r="AG4" s="113">
        <v>0.8</v>
      </c>
      <c r="AH4" s="113">
        <v>0.8</v>
      </c>
      <c r="AI4" s="113">
        <v>0.8</v>
      </c>
      <c r="AJ4" s="113">
        <v>0.8</v>
      </c>
      <c r="AK4" s="113">
        <v>0.8</v>
      </c>
      <c r="AL4" s="113">
        <v>0.8</v>
      </c>
      <c r="AM4" s="113">
        <v>0.8</v>
      </c>
      <c r="AN4" s="113">
        <v>0.8</v>
      </c>
      <c r="AO4" s="113">
        <v>0.8</v>
      </c>
      <c r="AP4" s="113">
        <v>0.8</v>
      </c>
      <c r="AQ4" s="113">
        <v>0.8</v>
      </c>
    </row>
    <row r="5" spans="1:43" x14ac:dyDescent="0.15">
      <c r="A5" t="s">
        <v>185</v>
      </c>
      <c r="B5" s="113">
        <v>0.8</v>
      </c>
      <c r="C5" s="113">
        <v>0.8</v>
      </c>
      <c r="D5" s="113">
        <v>0.8</v>
      </c>
      <c r="E5" s="113">
        <v>0.8</v>
      </c>
      <c r="F5" s="113">
        <v>0.8</v>
      </c>
      <c r="G5" s="113">
        <v>0.8</v>
      </c>
      <c r="H5" s="113">
        <v>0.8</v>
      </c>
      <c r="I5" s="113">
        <v>0.8</v>
      </c>
      <c r="J5" s="113">
        <v>0.8</v>
      </c>
      <c r="K5" s="113">
        <v>0.8</v>
      </c>
      <c r="L5" s="113">
        <v>0.8</v>
      </c>
      <c r="M5" s="113">
        <v>0.8</v>
      </c>
      <c r="N5" s="113">
        <v>0.8</v>
      </c>
      <c r="O5" s="113">
        <v>0.8</v>
      </c>
      <c r="P5" s="113">
        <v>0.8</v>
      </c>
      <c r="Q5" s="113">
        <v>0.8</v>
      </c>
      <c r="R5" s="113">
        <v>0.8</v>
      </c>
      <c r="S5" s="113">
        <v>0.8</v>
      </c>
      <c r="T5" s="113">
        <v>0.8</v>
      </c>
      <c r="U5" s="113">
        <v>0.8</v>
      </c>
      <c r="V5" s="113">
        <v>0.8</v>
      </c>
      <c r="W5" s="113">
        <v>0.8</v>
      </c>
      <c r="X5" s="113">
        <v>0.8</v>
      </c>
      <c r="Y5" s="113">
        <v>0.8</v>
      </c>
      <c r="Z5" s="113">
        <v>0.8</v>
      </c>
      <c r="AA5" s="113">
        <v>0.8</v>
      </c>
      <c r="AB5" s="113">
        <v>0.8</v>
      </c>
      <c r="AC5" s="113">
        <v>0.8</v>
      </c>
      <c r="AD5" s="113">
        <v>0.8</v>
      </c>
      <c r="AE5" s="113">
        <v>0.8</v>
      </c>
      <c r="AF5" s="113">
        <v>0.8</v>
      </c>
      <c r="AG5" s="113">
        <v>0.8</v>
      </c>
      <c r="AH5" s="113">
        <v>0.8</v>
      </c>
      <c r="AI5" s="113">
        <v>0.8</v>
      </c>
      <c r="AJ5" s="113">
        <v>0.8</v>
      </c>
      <c r="AK5" s="113">
        <v>0.8</v>
      </c>
      <c r="AL5" s="113">
        <v>0.8</v>
      </c>
      <c r="AM5" s="113">
        <v>0.8</v>
      </c>
      <c r="AN5" s="113">
        <v>0.8</v>
      </c>
      <c r="AO5" s="113">
        <v>0.8</v>
      </c>
      <c r="AP5" s="113">
        <v>0.8</v>
      </c>
      <c r="AQ5" s="113">
        <v>0.8</v>
      </c>
    </row>
    <row r="6" spans="1:43" x14ac:dyDescent="0.15">
      <c r="A6" t="s">
        <v>186</v>
      </c>
      <c r="B6" s="113">
        <v>0.8</v>
      </c>
      <c r="C6" s="113">
        <v>0.8</v>
      </c>
      <c r="D6" s="113">
        <v>0.8</v>
      </c>
      <c r="E6" s="113">
        <v>0.8</v>
      </c>
      <c r="F6" s="113">
        <v>0.8</v>
      </c>
      <c r="G6" s="113">
        <v>0.8</v>
      </c>
      <c r="H6" s="113">
        <v>0.8</v>
      </c>
      <c r="I6" s="113">
        <v>0.8</v>
      </c>
      <c r="J6" s="113">
        <v>0.8</v>
      </c>
      <c r="K6" s="113">
        <v>0.8</v>
      </c>
      <c r="L6" s="113">
        <v>0.8</v>
      </c>
      <c r="M6" s="113">
        <v>0.8</v>
      </c>
      <c r="N6" s="113">
        <v>0.8</v>
      </c>
      <c r="O6" s="113">
        <v>0.8</v>
      </c>
      <c r="P6" s="113">
        <v>0.8</v>
      </c>
      <c r="Q6" s="113">
        <v>0.8</v>
      </c>
      <c r="R6" s="113">
        <v>0.8</v>
      </c>
      <c r="S6" s="113">
        <v>0.8</v>
      </c>
      <c r="T6" s="113">
        <v>0.8</v>
      </c>
      <c r="U6" s="113">
        <v>0.8</v>
      </c>
      <c r="V6" s="113">
        <v>0.8</v>
      </c>
      <c r="W6" s="113">
        <v>0.8</v>
      </c>
      <c r="X6" s="113">
        <v>0.8</v>
      </c>
      <c r="Y6" s="113">
        <v>0.8</v>
      </c>
      <c r="Z6" s="113">
        <v>0.8</v>
      </c>
      <c r="AA6" s="113">
        <v>0.8</v>
      </c>
      <c r="AB6" s="113">
        <v>0.8</v>
      </c>
      <c r="AC6" s="113">
        <v>0.8</v>
      </c>
      <c r="AD6" s="113">
        <v>0.8</v>
      </c>
      <c r="AE6" s="113">
        <v>0.8</v>
      </c>
      <c r="AF6" s="113">
        <v>0.8</v>
      </c>
      <c r="AG6" s="113">
        <v>0.8</v>
      </c>
      <c r="AH6" s="113">
        <v>0.8</v>
      </c>
      <c r="AI6" s="113">
        <v>0.8</v>
      </c>
      <c r="AJ6" s="113">
        <v>0.8</v>
      </c>
      <c r="AK6" s="113">
        <v>0.8</v>
      </c>
      <c r="AL6" s="113">
        <v>0.8</v>
      </c>
      <c r="AM6" s="113">
        <v>0.8</v>
      </c>
      <c r="AN6" s="113">
        <v>0.8</v>
      </c>
      <c r="AO6" s="113">
        <v>0.8</v>
      </c>
      <c r="AP6" s="113">
        <v>0.8</v>
      </c>
      <c r="AQ6" s="113">
        <v>0.8</v>
      </c>
    </row>
    <row r="7" spans="1:43" x14ac:dyDescent="0.15">
      <c r="A7" t="s">
        <v>187</v>
      </c>
      <c r="B7" s="113">
        <v>0.8</v>
      </c>
      <c r="C7" s="113">
        <v>0.8</v>
      </c>
      <c r="D7" s="113">
        <v>0.8</v>
      </c>
      <c r="E7" s="113">
        <v>0.8</v>
      </c>
      <c r="F7" s="113">
        <v>0.8</v>
      </c>
      <c r="G7" s="113">
        <v>0.8</v>
      </c>
      <c r="H7" s="113">
        <v>0.8</v>
      </c>
      <c r="I7" s="113">
        <v>0.8</v>
      </c>
      <c r="J7" s="113">
        <v>0.8</v>
      </c>
      <c r="K7" s="113">
        <v>0.8</v>
      </c>
      <c r="L7" s="113">
        <v>0.8</v>
      </c>
      <c r="M7" s="113">
        <v>0.8</v>
      </c>
      <c r="N7" s="113">
        <v>0.8</v>
      </c>
      <c r="O7" s="113">
        <v>0.8</v>
      </c>
      <c r="P7" s="113">
        <v>0.8</v>
      </c>
      <c r="Q7" s="113">
        <v>0.8</v>
      </c>
      <c r="R7" s="113">
        <v>0.8</v>
      </c>
      <c r="S7" s="113">
        <v>0.8</v>
      </c>
      <c r="T7" s="113">
        <v>0.8</v>
      </c>
      <c r="U7" s="113">
        <v>0.8</v>
      </c>
      <c r="V7" s="113">
        <v>0.8</v>
      </c>
      <c r="W7" s="113">
        <v>0.8</v>
      </c>
      <c r="X7" s="113">
        <v>0.8</v>
      </c>
      <c r="Y7" s="113">
        <v>0.8</v>
      </c>
      <c r="Z7" s="113">
        <v>0.8</v>
      </c>
      <c r="AA7" s="113">
        <v>0.8</v>
      </c>
      <c r="AB7" s="113">
        <v>0.8</v>
      </c>
      <c r="AC7" s="113">
        <v>0.8</v>
      </c>
      <c r="AD7" s="113">
        <v>0.8</v>
      </c>
      <c r="AE7" s="113">
        <v>0.8</v>
      </c>
      <c r="AF7" s="113">
        <v>0.8</v>
      </c>
      <c r="AG7" s="113">
        <v>0.8</v>
      </c>
      <c r="AH7" s="113">
        <v>0.8</v>
      </c>
      <c r="AI7" s="113">
        <v>0.8</v>
      </c>
      <c r="AJ7" s="113">
        <v>0.8</v>
      </c>
      <c r="AK7" s="113">
        <v>0.8</v>
      </c>
      <c r="AL7" s="113">
        <v>0.8</v>
      </c>
      <c r="AM7" s="113">
        <v>0.8</v>
      </c>
      <c r="AN7" s="113">
        <v>0.8</v>
      </c>
      <c r="AO7" s="113">
        <v>0.8</v>
      </c>
      <c r="AP7" s="113">
        <v>0.8</v>
      </c>
      <c r="AQ7" s="113">
        <v>0.8</v>
      </c>
    </row>
    <row r="8" spans="1:43" x14ac:dyDescent="0.15">
      <c r="A8" t="s">
        <v>188</v>
      </c>
      <c r="B8" s="113">
        <v>0.8</v>
      </c>
      <c r="C8" s="113">
        <v>0.8</v>
      </c>
      <c r="D8" s="113">
        <v>0.8</v>
      </c>
      <c r="E8" s="113">
        <v>0.8</v>
      </c>
      <c r="F8" s="113">
        <v>0.8</v>
      </c>
      <c r="G8" s="113">
        <v>0.8</v>
      </c>
      <c r="H8" s="113">
        <v>0.8</v>
      </c>
      <c r="I8" s="113">
        <v>0.8</v>
      </c>
      <c r="J8" s="113">
        <v>0.8</v>
      </c>
      <c r="K8" s="113">
        <v>0.8</v>
      </c>
      <c r="L8" s="113">
        <v>0.8</v>
      </c>
      <c r="M8" s="113">
        <v>0.8</v>
      </c>
      <c r="N8" s="113">
        <v>0.8</v>
      </c>
      <c r="O8" s="113">
        <v>0.8</v>
      </c>
      <c r="P8" s="113">
        <v>0.8</v>
      </c>
      <c r="Q8" s="113">
        <v>0.8</v>
      </c>
      <c r="R8" s="113">
        <v>0.8</v>
      </c>
      <c r="S8" s="113">
        <v>0.8</v>
      </c>
      <c r="T8" s="113">
        <v>0.8</v>
      </c>
      <c r="U8" s="113">
        <v>0.8</v>
      </c>
      <c r="V8" s="113">
        <v>0.8</v>
      </c>
      <c r="W8" s="113">
        <v>0.8</v>
      </c>
      <c r="X8" s="113">
        <v>0.8</v>
      </c>
      <c r="Y8" s="113">
        <v>0.8</v>
      </c>
      <c r="Z8" s="113">
        <v>0.8</v>
      </c>
      <c r="AA8" s="113">
        <v>0.8</v>
      </c>
      <c r="AB8" s="113">
        <v>0.8</v>
      </c>
      <c r="AC8" s="113">
        <v>0.8</v>
      </c>
      <c r="AD8" s="113">
        <v>0.8</v>
      </c>
      <c r="AE8" s="113">
        <v>0.8</v>
      </c>
      <c r="AF8" s="113">
        <v>0.8</v>
      </c>
      <c r="AG8" s="113">
        <v>0.8</v>
      </c>
      <c r="AH8" s="113">
        <v>0.8</v>
      </c>
      <c r="AI8" s="113">
        <v>0.8</v>
      </c>
      <c r="AJ8" s="113">
        <v>0.8</v>
      </c>
      <c r="AK8" s="113">
        <v>0.8</v>
      </c>
      <c r="AL8" s="113">
        <v>0.8</v>
      </c>
      <c r="AM8" s="113">
        <v>0.8</v>
      </c>
      <c r="AN8" s="113">
        <v>0.8</v>
      </c>
      <c r="AO8" s="113">
        <v>0.8</v>
      </c>
      <c r="AP8" s="113">
        <v>0.8</v>
      </c>
      <c r="AQ8" s="113">
        <v>0.8</v>
      </c>
    </row>
    <row r="9" spans="1:43" x14ac:dyDescent="0.15">
      <c r="A9" t="s">
        <v>189</v>
      </c>
      <c r="B9" s="113">
        <v>0.8</v>
      </c>
      <c r="C9" s="113">
        <v>0.8</v>
      </c>
      <c r="D9" s="113">
        <v>0.8</v>
      </c>
      <c r="E9" s="113">
        <v>0.8</v>
      </c>
      <c r="F9" s="113">
        <v>0.8</v>
      </c>
      <c r="G9" s="113">
        <v>0.8</v>
      </c>
      <c r="H9" s="113">
        <v>0.8</v>
      </c>
      <c r="I9" s="113">
        <v>0.8</v>
      </c>
      <c r="J9" s="113">
        <v>0.8</v>
      </c>
      <c r="K9" s="113">
        <v>0.8</v>
      </c>
      <c r="L9" s="113">
        <v>0.8</v>
      </c>
      <c r="M9" s="113">
        <v>0.8</v>
      </c>
      <c r="N9" s="113">
        <v>0.8</v>
      </c>
      <c r="O9" s="113">
        <v>0.8</v>
      </c>
      <c r="P9" s="113">
        <v>0.8</v>
      </c>
      <c r="Q9" s="113">
        <v>0.8</v>
      </c>
      <c r="R9" s="113">
        <v>0.8</v>
      </c>
      <c r="S9" s="113">
        <v>0.8</v>
      </c>
      <c r="T9" s="113">
        <v>0.8</v>
      </c>
      <c r="U9" s="113">
        <v>0.8</v>
      </c>
      <c r="V9" s="113">
        <v>0.8</v>
      </c>
      <c r="W9" s="113">
        <v>0.8</v>
      </c>
      <c r="X9" s="113">
        <v>0.8</v>
      </c>
      <c r="Y9" s="113">
        <v>0.8</v>
      </c>
      <c r="Z9" s="113">
        <v>0.8</v>
      </c>
      <c r="AA9" s="113">
        <v>0.8</v>
      </c>
      <c r="AB9" s="113">
        <v>0.8</v>
      </c>
      <c r="AC9" s="113">
        <v>0.8</v>
      </c>
      <c r="AD9" s="113">
        <v>0.8</v>
      </c>
      <c r="AE9" s="113">
        <v>0.8</v>
      </c>
      <c r="AF9" s="113">
        <v>0.8</v>
      </c>
      <c r="AG9" s="113">
        <v>0.8</v>
      </c>
      <c r="AH9" s="113">
        <v>0.8</v>
      </c>
      <c r="AI9" s="113">
        <v>0.8</v>
      </c>
      <c r="AJ9" s="113">
        <v>0.8</v>
      </c>
      <c r="AK9" s="113">
        <v>0.8</v>
      </c>
      <c r="AL9" s="113">
        <v>0.8</v>
      </c>
      <c r="AM9" s="113">
        <v>0.8</v>
      </c>
      <c r="AN9" s="113">
        <v>0.8</v>
      </c>
      <c r="AO9" s="113">
        <v>0.8</v>
      </c>
      <c r="AP9" s="113">
        <v>0.8</v>
      </c>
      <c r="AQ9" s="113">
        <v>0.8</v>
      </c>
    </row>
    <row r="10" spans="1:43" x14ac:dyDescent="0.15">
      <c r="A10" t="s">
        <v>190</v>
      </c>
      <c r="B10" s="113">
        <v>0.8</v>
      </c>
      <c r="C10" s="113">
        <v>0.8</v>
      </c>
      <c r="D10" s="113">
        <v>0.8</v>
      </c>
      <c r="E10" s="113">
        <v>0.8</v>
      </c>
      <c r="F10" s="113">
        <v>0.8</v>
      </c>
      <c r="G10" s="113">
        <v>0.8</v>
      </c>
      <c r="H10" s="113">
        <v>0.8</v>
      </c>
      <c r="I10" s="113">
        <v>0.8</v>
      </c>
      <c r="J10" s="113">
        <v>0.8</v>
      </c>
      <c r="K10" s="113">
        <v>0.8</v>
      </c>
      <c r="L10" s="113">
        <v>0.8</v>
      </c>
      <c r="M10" s="113">
        <v>0.8</v>
      </c>
      <c r="N10" s="113">
        <v>0.8</v>
      </c>
      <c r="O10" s="113">
        <v>0.8</v>
      </c>
      <c r="P10" s="113">
        <v>0.8</v>
      </c>
      <c r="Q10" s="113">
        <v>0.8</v>
      </c>
      <c r="R10" s="113">
        <v>0.8</v>
      </c>
      <c r="S10" s="113">
        <v>0.8</v>
      </c>
      <c r="T10" s="113">
        <v>0.8</v>
      </c>
      <c r="U10" s="113">
        <v>0.8</v>
      </c>
      <c r="V10" s="113">
        <v>0.8</v>
      </c>
      <c r="W10" s="113">
        <v>0.8</v>
      </c>
      <c r="X10" s="113">
        <v>0.8</v>
      </c>
      <c r="Y10" s="113">
        <v>0.8</v>
      </c>
      <c r="Z10" s="113">
        <v>0.8</v>
      </c>
      <c r="AA10" s="113">
        <v>0.8</v>
      </c>
      <c r="AB10" s="113">
        <v>0.8</v>
      </c>
      <c r="AC10" s="113">
        <v>0.8</v>
      </c>
      <c r="AD10" s="113">
        <v>0.8</v>
      </c>
      <c r="AE10" s="113">
        <v>0.8</v>
      </c>
      <c r="AF10" s="113">
        <v>0.8</v>
      </c>
      <c r="AG10" s="113">
        <v>0.8</v>
      </c>
      <c r="AH10" s="113">
        <v>0.8</v>
      </c>
      <c r="AI10" s="113">
        <v>0.8</v>
      </c>
      <c r="AJ10" s="113">
        <v>0.8</v>
      </c>
      <c r="AK10" s="113">
        <v>0.8</v>
      </c>
      <c r="AL10" s="113">
        <v>0.8</v>
      </c>
      <c r="AM10" s="113">
        <v>0.8</v>
      </c>
      <c r="AN10" s="113">
        <v>0.8</v>
      </c>
      <c r="AO10" s="113">
        <v>0.8</v>
      </c>
      <c r="AP10" s="113">
        <v>0.8</v>
      </c>
      <c r="AQ10" s="113">
        <v>0.8</v>
      </c>
    </row>
    <row r="11" spans="1:43" x14ac:dyDescent="0.15">
      <c r="A11" s="153" t="s">
        <v>191</v>
      </c>
      <c r="B11" s="113">
        <v>0.8</v>
      </c>
      <c r="C11" s="113">
        <v>0.8</v>
      </c>
      <c r="D11" s="113">
        <v>0.8</v>
      </c>
      <c r="E11" s="113">
        <v>0.8</v>
      </c>
      <c r="F11" s="113">
        <v>0.8</v>
      </c>
      <c r="G11" s="113">
        <v>0.8</v>
      </c>
      <c r="H11" s="113">
        <v>0.8</v>
      </c>
      <c r="I11" s="113">
        <v>0.8</v>
      </c>
      <c r="J11" s="113">
        <v>0.8</v>
      </c>
      <c r="K11" s="113">
        <v>0.8</v>
      </c>
      <c r="L11" s="113">
        <v>0.8</v>
      </c>
      <c r="M11" s="113">
        <v>0.8</v>
      </c>
      <c r="N11" s="113">
        <v>0.8</v>
      </c>
      <c r="O11" s="113">
        <v>0.8</v>
      </c>
      <c r="P11" s="113">
        <v>0.8</v>
      </c>
      <c r="Q11" s="113">
        <v>0.8</v>
      </c>
      <c r="R11" s="113">
        <v>0.8</v>
      </c>
      <c r="S11" s="113">
        <v>0.8</v>
      </c>
      <c r="T11" s="113">
        <v>0.8</v>
      </c>
      <c r="U11" s="113">
        <v>0.8</v>
      </c>
      <c r="V11" s="113">
        <v>0.8</v>
      </c>
      <c r="W11" s="113">
        <v>0.8</v>
      </c>
      <c r="X11" s="113">
        <v>0.8</v>
      </c>
      <c r="Y11" s="113">
        <v>0.8</v>
      </c>
      <c r="Z11" s="113">
        <v>0.8</v>
      </c>
      <c r="AA11" s="113">
        <v>0.8</v>
      </c>
      <c r="AB11" s="113">
        <v>0.8</v>
      </c>
      <c r="AC11" s="113">
        <v>0.8</v>
      </c>
      <c r="AD11" s="113">
        <v>0.8</v>
      </c>
      <c r="AE11" s="113">
        <v>0.8</v>
      </c>
      <c r="AF11" s="113">
        <v>0.8</v>
      </c>
      <c r="AG11" s="113">
        <v>0.8</v>
      </c>
      <c r="AH11" s="113">
        <v>0.8</v>
      </c>
      <c r="AI11" s="113">
        <v>0.8</v>
      </c>
      <c r="AJ11" s="113">
        <v>0.8</v>
      </c>
      <c r="AK11" s="113">
        <v>0.8</v>
      </c>
      <c r="AL11" s="113">
        <v>0.8</v>
      </c>
      <c r="AM11" s="113">
        <v>0.8</v>
      </c>
      <c r="AN11" s="113">
        <v>0.8</v>
      </c>
      <c r="AO11" s="113">
        <v>0.8</v>
      </c>
      <c r="AP11" s="113">
        <v>0.8</v>
      </c>
      <c r="AQ11" s="113">
        <v>0.8</v>
      </c>
    </row>
    <row r="12" spans="1:43" x14ac:dyDescent="0.15">
      <c r="A12" s="153" t="s">
        <v>192</v>
      </c>
      <c r="B12" s="113">
        <v>0.8</v>
      </c>
      <c r="C12" s="113">
        <v>0.8</v>
      </c>
      <c r="D12" s="113">
        <v>0.8</v>
      </c>
      <c r="E12" s="113">
        <v>0.8</v>
      </c>
      <c r="F12" s="113">
        <v>0.8</v>
      </c>
      <c r="G12" s="113">
        <v>0.8</v>
      </c>
      <c r="H12" s="113">
        <v>0.8</v>
      </c>
      <c r="I12" s="113">
        <v>0.8</v>
      </c>
      <c r="J12" s="113">
        <v>0.8</v>
      </c>
      <c r="K12" s="113">
        <v>0.8</v>
      </c>
      <c r="L12" s="113">
        <v>0.8</v>
      </c>
      <c r="M12" s="113">
        <v>0.8</v>
      </c>
      <c r="N12" s="113">
        <v>0.8</v>
      </c>
      <c r="O12" s="113">
        <v>0.8</v>
      </c>
      <c r="P12" s="113">
        <v>0.8</v>
      </c>
      <c r="Q12" s="113">
        <v>0.8</v>
      </c>
      <c r="R12" s="113">
        <v>0.8</v>
      </c>
      <c r="S12" s="113">
        <v>0.8</v>
      </c>
      <c r="T12" s="113">
        <v>0.8</v>
      </c>
      <c r="U12" s="113">
        <v>0.8</v>
      </c>
      <c r="V12" s="113">
        <v>0.8</v>
      </c>
      <c r="W12" s="113">
        <v>0.8</v>
      </c>
      <c r="X12" s="113">
        <v>0.8</v>
      </c>
      <c r="Y12" s="113">
        <v>0.8</v>
      </c>
      <c r="Z12" s="113">
        <v>0.8</v>
      </c>
      <c r="AA12" s="113">
        <v>0.8</v>
      </c>
      <c r="AB12" s="113">
        <v>0.8</v>
      </c>
      <c r="AC12" s="113">
        <v>0.8</v>
      </c>
      <c r="AD12" s="113">
        <v>0.8</v>
      </c>
      <c r="AE12" s="113">
        <v>0.8</v>
      </c>
      <c r="AF12" s="113">
        <v>0.8</v>
      </c>
      <c r="AG12" s="113">
        <v>0.8</v>
      </c>
      <c r="AH12" s="113">
        <v>0.8</v>
      </c>
      <c r="AI12" s="113">
        <v>0.8</v>
      </c>
      <c r="AJ12" s="113">
        <v>0.8</v>
      </c>
      <c r="AK12" s="113">
        <v>0.8</v>
      </c>
      <c r="AL12" s="113">
        <v>0.8</v>
      </c>
      <c r="AM12" s="113">
        <v>0.8</v>
      </c>
      <c r="AN12" s="113">
        <v>0.8</v>
      </c>
      <c r="AO12" s="113">
        <v>0.8</v>
      </c>
      <c r="AP12" s="113">
        <v>0.8</v>
      </c>
      <c r="AQ12" s="113">
        <v>0.8</v>
      </c>
    </row>
    <row r="13" spans="1:43" x14ac:dyDescent="0.15">
      <c r="A13" s="153" t="s">
        <v>193</v>
      </c>
      <c r="B13" s="113">
        <v>0.8</v>
      </c>
      <c r="C13" s="113">
        <v>0.8</v>
      </c>
      <c r="D13" s="113">
        <v>0.8</v>
      </c>
      <c r="E13" s="113">
        <v>0.8</v>
      </c>
      <c r="F13" s="113">
        <v>0.8</v>
      </c>
      <c r="G13" s="113">
        <v>0.8</v>
      </c>
      <c r="H13" s="113">
        <v>0.8</v>
      </c>
      <c r="I13" s="113">
        <v>0.8</v>
      </c>
      <c r="J13" s="113">
        <v>0.8</v>
      </c>
      <c r="K13" s="113">
        <v>0.8</v>
      </c>
      <c r="L13" s="113">
        <v>0.8</v>
      </c>
      <c r="M13" s="113">
        <v>0.8</v>
      </c>
      <c r="N13" s="113">
        <v>0.8</v>
      </c>
      <c r="O13" s="113">
        <v>0.8</v>
      </c>
      <c r="P13" s="113">
        <v>0.8</v>
      </c>
      <c r="Q13" s="113">
        <v>0.8</v>
      </c>
      <c r="R13" s="113">
        <v>0.8</v>
      </c>
      <c r="S13" s="113">
        <v>0.8</v>
      </c>
      <c r="T13" s="113">
        <v>0.8</v>
      </c>
      <c r="U13" s="113">
        <v>0.8</v>
      </c>
      <c r="V13" s="113">
        <v>0.8</v>
      </c>
      <c r="W13" s="113">
        <v>0.8</v>
      </c>
      <c r="X13" s="113">
        <v>0.8</v>
      </c>
      <c r="Y13" s="113">
        <v>0.8</v>
      </c>
      <c r="Z13" s="113">
        <v>0.8</v>
      </c>
      <c r="AA13" s="113">
        <v>0.8</v>
      </c>
      <c r="AB13" s="113">
        <v>0.8</v>
      </c>
      <c r="AC13" s="113">
        <v>0.8</v>
      </c>
      <c r="AD13" s="113">
        <v>0.8</v>
      </c>
      <c r="AE13" s="113">
        <v>0.8</v>
      </c>
      <c r="AF13" s="113">
        <v>0.8</v>
      </c>
      <c r="AG13" s="113">
        <v>0.8</v>
      </c>
      <c r="AH13" s="113">
        <v>0.8</v>
      </c>
      <c r="AI13" s="113">
        <v>0.8</v>
      </c>
      <c r="AJ13" s="113">
        <v>0.8</v>
      </c>
      <c r="AK13" s="113">
        <v>0.8</v>
      </c>
      <c r="AL13" s="113">
        <v>0.8</v>
      </c>
      <c r="AM13" s="113">
        <v>0.8</v>
      </c>
      <c r="AN13" s="113">
        <v>0.8</v>
      </c>
      <c r="AO13" s="113">
        <v>0.8</v>
      </c>
      <c r="AP13" s="113">
        <v>0.8</v>
      </c>
      <c r="AQ13" s="113">
        <v>0.8</v>
      </c>
    </row>
    <row r="14" spans="1:43" x14ac:dyDescent="0.15">
      <c r="A14" s="153" t="s">
        <v>194</v>
      </c>
      <c r="B14" s="113">
        <v>0.8</v>
      </c>
      <c r="C14" s="113">
        <v>0.8</v>
      </c>
      <c r="D14" s="113">
        <v>0.8</v>
      </c>
      <c r="E14" s="113">
        <v>0.8</v>
      </c>
      <c r="F14" s="113">
        <v>0.8</v>
      </c>
      <c r="G14" s="113">
        <v>0.8</v>
      </c>
      <c r="H14" s="113">
        <v>0.8</v>
      </c>
      <c r="I14" s="113">
        <v>0.8</v>
      </c>
      <c r="J14" s="113">
        <v>0.8</v>
      </c>
      <c r="K14" s="113">
        <v>0.8</v>
      </c>
      <c r="L14" s="113">
        <v>0.8</v>
      </c>
      <c r="M14" s="113">
        <v>0.8</v>
      </c>
      <c r="N14" s="113">
        <v>0.8</v>
      </c>
      <c r="O14" s="113">
        <v>0.8</v>
      </c>
      <c r="P14" s="113">
        <v>0.8</v>
      </c>
      <c r="Q14" s="113">
        <v>0.8</v>
      </c>
      <c r="R14" s="113">
        <v>0.8</v>
      </c>
      <c r="S14" s="113">
        <v>0.8</v>
      </c>
      <c r="T14" s="113">
        <v>0.8</v>
      </c>
      <c r="U14" s="113">
        <v>0.8</v>
      </c>
      <c r="V14" s="113">
        <v>0.8</v>
      </c>
      <c r="W14" s="113">
        <v>0.8</v>
      </c>
      <c r="X14" s="113">
        <v>0.8</v>
      </c>
      <c r="Y14" s="113">
        <v>0.8</v>
      </c>
      <c r="Z14" s="113">
        <v>0.8</v>
      </c>
      <c r="AA14" s="113">
        <v>0.8</v>
      </c>
      <c r="AB14" s="113">
        <v>0.8</v>
      </c>
      <c r="AC14" s="113">
        <v>0.8</v>
      </c>
      <c r="AD14" s="113">
        <v>0.8</v>
      </c>
      <c r="AE14" s="113">
        <v>0.8</v>
      </c>
      <c r="AF14" s="113">
        <v>0.8</v>
      </c>
      <c r="AG14" s="113">
        <v>0.8</v>
      </c>
      <c r="AH14" s="113">
        <v>0.8</v>
      </c>
      <c r="AI14" s="113">
        <v>0.8</v>
      </c>
      <c r="AJ14" s="113">
        <v>0.8</v>
      </c>
      <c r="AK14" s="113">
        <v>0.8</v>
      </c>
      <c r="AL14" s="113">
        <v>0.8</v>
      </c>
      <c r="AM14" s="113">
        <v>0.8</v>
      </c>
      <c r="AN14" s="113">
        <v>0.8</v>
      </c>
      <c r="AO14" s="113">
        <v>0.8</v>
      </c>
      <c r="AP14" s="113">
        <v>0.8</v>
      </c>
      <c r="AQ14" s="113">
        <v>0.8</v>
      </c>
    </row>
    <row r="15" spans="1:43" x14ac:dyDescent="0.15">
      <c r="A15" s="153" t="s">
        <v>195</v>
      </c>
      <c r="B15" s="113">
        <v>0.8</v>
      </c>
      <c r="C15" s="113">
        <v>0.8</v>
      </c>
      <c r="D15" s="113">
        <v>0.8</v>
      </c>
      <c r="E15" s="113">
        <v>0.8</v>
      </c>
      <c r="F15" s="113">
        <v>0.8</v>
      </c>
      <c r="G15" s="113">
        <v>0.8</v>
      </c>
      <c r="H15" s="113">
        <v>0.8</v>
      </c>
      <c r="I15" s="113">
        <v>0.8</v>
      </c>
      <c r="J15" s="113">
        <v>0.8</v>
      </c>
      <c r="K15" s="113">
        <v>0.8</v>
      </c>
      <c r="L15" s="113">
        <v>0.8</v>
      </c>
      <c r="M15" s="113">
        <v>0.8</v>
      </c>
      <c r="N15" s="113">
        <v>0.8</v>
      </c>
      <c r="O15" s="113">
        <v>0.8</v>
      </c>
      <c r="P15" s="113">
        <v>0.8</v>
      </c>
      <c r="Q15" s="113">
        <v>0.8</v>
      </c>
      <c r="R15" s="113">
        <v>0.8</v>
      </c>
      <c r="S15" s="113">
        <v>0.8</v>
      </c>
      <c r="T15" s="113">
        <v>0.8</v>
      </c>
      <c r="U15" s="113">
        <v>0.8</v>
      </c>
      <c r="V15" s="113">
        <v>0.8</v>
      </c>
      <c r="W15" s="113">
        <v>0.8</v>
      </c>
      <c r="X15" s="113">
        <v>0.8</v>
      </c>
      <c r="Y15" s="113">
        <v>0.8</v>
      </c>
      <c r="Z15" s="113">
        <v>0.8</v>
      </c>
      <c r="AA15" s="113">
        <v>0.8</v>
      </c>
      <c r="AB15" s="113">
        <v>0.8</v>
      </c>
      <c r="AC15" s="113">
        <v>0.8</v>
      </c>
      <c r="AD15" s="113">
        <v>0.8</v>
      </c>
      <c r="AE15" s="113">
        <v>0.8</v>
      </c>
      <c r="AF15" s="113">
        <v>0.8</v>
      </c>
      <c r="AG15" s="113">
        <v>0.8</v>
      </c>
      <c r="AH15" s="113">
        <v>0.8</v>
      </c>
      <c r="AI15" s="113">
        <v>0.8</v>
      </c>
      <c r="AJ15" s="113">
        <v>0.8</v>
      </c>
      <c r="AK15" s="113">
        <v>0.8</v>
      </c>
      <c r="AL15" s="113">
        <v>0.8</v>
      </c>
      <c r="AM15" s="113">
        <v>0.8</v>
      </c>
      <c r="AN15" s="113">
        <v>0.8</v>
      </c>
      <c r="AO15" s="113">
        <v>0.8</v>
      </c>
      <c r="AP15" s="113">
        <v>0.8</v>
      </c>
      <c r="AQ15" s="113">
        <v>0.8</v>
      </c>
    </row>
    <row r="16" spans="1:43" x14ac:dyDescent="0.15">
      <c r="A16" s="153" t="s">
        <v>196</v>
      </c>
      <c r="B16" s="113">
        <v>0.8</v>
      </c>
      <c r="C16" s="113">
        <v>0.8</v>
      </c>
      <c r="D16" s="113">
        <v>0.8</v>
      </c>
      <c r="E16" s="113">
        <v>0.8</v>
      </c>
      <c r="F16" s="113">
        <v>0.8</v>
      </c>
      <c r="G16" s="113">
        <v>0.8</v>
      </c>
      <c r="H16" s="113">
        <v>0.8</v>
      </c>
      <c r="I16" s="113">
        <v>0.8</v>
      </c>
      <c r="J16" s="113">
        <v>0.8</v>
      </c>
      <c r="K16" s="113">
        <v>0.8</v>
      </c>
      <c r="L16" s="113">
        <v>0.8</v>
      </c>
      <c r="M16" s="113">
        <v>0.8</v>
      </c>
      <c r="N16" s="113">
        <v>0.8</v>
      </c>
      <c r="O16" s="113">
        <v>0.8</v>
      </c>
      <c r="P16" s="113">
        <v>0.8</v>
      </c>
      <c r="Q16" s="113">
        <v>0.8</v>
      </c>
      <c r="R16" s="113">
        <v>0.8</v>
      </c>
      <c r="S16" s="113">
        <v>0.8</v>
      </c>
      <c r="T16" s="113">
        <v>0.8</v>
      </c>
      <c r="U16" s="113">
        <v>0.8</v>
      </c>
      <c r="V16" s="113">
        <v>0.8</v>
      </c>
      <c r="W16" s="113">
        <v>0.8</v>
      </c>
      <c r="X16" s="113">
        <v>0.8</v>
      </c>
      <c r="Y16" s="113">
        <v>0.8</v>
      </c>
      <c r="Z16" s="113">
        <v>0.8</v>
      </c>
      <c r="AA16" s="113">
        <v>0.8</v>
      </c>
      <c r="AB16" s="113">
        <v>0.8</v>
      </c>
      <c r="AC16" s="113">
        <v>0.8</v>
      </c>
      <c r="AD16" s="113">
        <v>0.8</v>
      </c>
      <c r="AE16" s="113">
        <v>0.8</v>
      </c>
      <c r="AF16" s="113">
        <v>0.8</v>
      </c>
      <c r="AG16" s="113">
        <v>0.8</v>
      </c>
      <c r="AH16" s="113">
        <v>0.8</v>
      </c>
      <c r="AI16" s="113">
        <v>0.8</v>
      </c>
      <c r="AJ16" s="113">
        <v>0.8</v>
      </c>
      <c r="AK16" s="113">
        <v>0.8</v>
      </c>
      <c r="AL16" s="113">
        <v>0.8</v>
      </c>
      <c r="AM16" s="113">
        <v>0.8</v>
      </c>
      <c r="AN16" s="113">
        <v>0.8</v>
      </c>
      <c r="AO16" s="113">
        <v>0.8</v>
      </c>
      <c r="AP16" s="113">
        <v>0.8</v>
      </c>
      <c r="AQ16" s="113">
        <v>0.8</v>
      </c>
    </row>
    <row r="17" spans="1:43" x14ac:dyDescent="0.15">
      <c r="A17" s="153" t="s">
        <v>197</v>
      </c>
      <c r="B17" s="113">
        <v>0.8</v>
      </c>
      <c r="C17" s="113">
        <v>0.8</v>
      </c>
      <c r="D17" s="113">
        <v>0.8</v>
      </c>
      <c r="E17" s="113">
        <v>0.8</v>
      </c>
      <c r="F17" s="113">
        <v>0.8</v>
      </c>
      <c r="G17" s="113">
        <v>0.8</v>
      </c>
      <c r="H17" s="113">
        <v>0.8</v>
      </c>
      <c r="I17" s="113">
        <v>0.8</v>
      </c>
      <c r="J17" s="113">
        <v>0.8</v>
      </c>
      <c r="K17" s="113">
        <v>0.8</v>
      </c>
      <c r="L17" s="113">
        <v>0.8</v>
      </c>
      <c r="M17" s="113">
        <v>0.8</v>
      </c>
      <c r="N17" s="113">
        <v>0.8</v>
      </c>
      <c r="O17" s="113">
        <v>0.8</v>
      </c>
      <c r="P17" s="113">
        <v>0.8</v>
      </c>
      <c r="Q17" s="113">
        <v>0.8</v>
      </c>
      <c r="R17" s="113">
        <v>0.8</v>
      </c>
      <c r="S17" s="113">
        <v>0.8</v>
      </c>
      <c r="T17" s="113">
        <v>0.8</v>
      </c>
      <c r="U17" s="113">
        <v>0.8</v>
      </c>
      <c r="V17" s="113">
        <v>0.8</v>
      </c>
      <c r="W17" s="113">
        <v>0.8</v>
      </c>
      <c r="X17" s="113">
        <v>0.8</v>
      </c>
      <c r="Y17" s="113">
        <v>0.8</v>
      </c>
      <c r="Z17" s="113">
        <v>0.8</v>
      </c>
      <c r="AA17" s="113">
        <v>0.8</v>
      </c>
      <c r="AB17" s="113">
        <v>0.8</v>
      </c>
      <c r="AC17" s="113">
        <v>0.8</v>
      </c>
      <c r="AD17" s="113">
        <v>0.8</v>
      </c>
      <c r="AE17" s="113">
        <v>0.8</v>
      </c>
      <c r="AF17" s="113">
        <v>0.8</v>
      </c>
      <c r="AG17" s="113">
        <v>0.8</v>
      </c>
      <c r="AH17" s="113">
        <v>0.8</v>
      </c>
      <c r="AI17" s="113">
        <v>0.8</v>
      </c>
      <c r="AJ17" s="113">
        <v>0.8</v>
      </c>
      <c r="AK17" s="113">
        <v>0.8</v>
      </c>
      <c r="AL17" s="113">
        <v>0.8</v>
      </c>
      <c r="AM17" s="113">
        <v>0.8</v>
      </c>
      <c r="AN17" s="113">
        <v>0.8</v>
      </c>
      <c r="AO17" s="113">
        <v>0.8</v>
      </c>
      <c r="AP17" s="113">
        <v>0.8</v>
      </c>
      <c r="AQ17" s="113">
        <v>0.8</v>
      </c>
    </row>
    <row r="18" spans="1:43" x14ac:dyDescent="0.15">
      <c r="A18" s="153" t="s">
        <v>198</v>
      </c>
      <c r="B18" s="113">
        <v>0.8</v>
      </c>
      <c r="C18" s="113">
        <v>0.8</v>
      </c>
      <c r="D18" s="113">
        <v>0.8</v>
      </c>
      <c r="E18" s="113">
        <v>0.8</v>
      </c>
      <c r="F18" s="113">
        <v>0.8</v>
      </c>
      <c r="G18" s="113">
        <v>0.8</v>
      </c>
      <c r="H18" s="113">
        <v>0.8</v>
      </c>
      <c r="I18" s="113">
        <v>0.8</v>
      </c>
      <c r="J18" s="113">
        <v>0.8</v>
      </c>
      <c r="K18" s="113">
        <v>0.8</v>
      </c>
      <c r="L18" s="113">
        <v>0.8</v>
      </c>
      <c r="M18" s="113">
        <v>0.8</v>
      </c>
      <c r="N18" s="113">
        <v>0.8</v>
      </c>
      <c r="O18" s="113">
        <v>0.8</v>
      </c>
      <c r="P18" s="113">
        <v>0.8</v>
      </c>
      <c r="Q18" s="113">
        <v>0.8</v>
      </c>
      <c r="R18" s="113">
        <v>0.8</v>
      </c>
      <c r="S18" s="113">
        <v>0.8</v>
      </c>
      <c r="T18" s="113">
        <v>0.8</v>
      </c>
      <c r="U18" s="113">
        <v>0.8</v>
      </c>
      <c r="V18" s="113">
        <v>0.8</v>
      </c>
      <c r="W18" s="113">
        <v>0.8</v>
      </c>
      <c r="X18" s="113">
        <v>0.8</v>
      </c>
      <c r="Y18" s="113">
        <v>0.8</v>
      </c>
      <c r="Z18" s="113">
        <v>0.8</v>
      </c>
      <c r="AA18" s="113">
        <v>0.8</v>
      </c>
      <c r="AB18" s="113">
        <v>0.8</v>
      </c>
      <c r="AC18" s="113">
        <v>0.8</v>
      </c>
      <c r="AD18" s="113">
        <v>0.8</v>
      </c>
      <c r="AE18" s="113">
        <v>0.8</v>
      </c>
      <c r="AF18" s="113">
        <v>0.8</v>
      </c>
      <c r="AG18" s="113">
        <v>0.8</v>
      </c>
      <c r="AH18" s="113">
        <v>0.8</v>
      </c>
      <c r="AI18" s="113">
        <v>0.8</v>
      </c>
      <c r="AJ18" s="113">
        <v>0.8</v>
      </c>
      <c r="AK18" s="113">
        <v>0.8</v>
      </c>
      <c r="AL18" s="113">
        <v>0.8</v>
      </c>
      <c r="AM18" s="113">
        <v>0.8</v>
      </c>
      <c r="AN18" s="113">
        <v>0.8</v>
      </c>
      <c r="AO18" s="113">
        <v>0.8</v>
      </c>
      <c r="AP18" s="113">
        <v>0.8</v>
      </c>
      <c r="AQ18" s="113">
        <v>0.8</v>
      </c>
    </row>
    <row r="19" spans="1:43" x14ac:dyDescent="0.15">
      <c r="A19" s="153" t="s">
        <v>199</v>
      </c>
      <c r="B19" s="113">
        <v>0.8</v>
      </c>
      <c r="C19" s="113">
        <v>0.8</v>
      </c>
      <c r="D19" s="113">
        <v>0.8</v>
      </c>
      <c r="E19" s="113">
        <v>0.8</v>
      </c>
      <c r="F19" s="113">
        <v>0.8</v>
      </c>
      <c r="G19" s="113">
        <v>0.8</v>
      </c>
      <c r="H19" s="113">
        <v>0.8</v>
      </c>
      <c r="I19" s="113">
        <v>0.8</v>
      </c>
      <c r="J19" s="113">
        <v>0.8</v>
      </c>
      <c r="K19" s="113">
        <v>0.8</v>
      </c>
      <c r="L19" s="113">
        <v>0.8</v>
      </c>
      <c r="M19" s="113">
        <v>0.8</v>
      </c>
      <c r="N19" s="113">
        <v>0.8</v>
      </c>
      <c r="O19" s="113">
        <v>0.8</v>
      </c>
      <c r="P19" s="113">
        <v>0.8</v>
      </c>
      <c r="Q19" s="113">
        <v>0.8</v>
      </c>
      <c r="R19" s="113">
        <v>0.8</v>
      </c>
      <c r="S19" s="113">
        <v>0.8</v>
      </c>
      <c r="T19" s="113">
        <v>0.8</v>
      </c>
      <c r="U19" s="113">
        <v>0.8</v>
      </c>
      <c r="V19" s="113">
        <v>0.8</v>
      </c>
      <c r="W19" s="113">
        <v>0.8</v>
      </c>
      <c r="X19" s="113">
        <v>0.8</v>
      </c>
      <c r="Y19" s="113">
        <v>0.8</v>
      </c>
      <c r="Z19" s="113">
        <v>0.8</v>
      </c>
      <c r="AA19" s="113">
        <v>0.8</v>
      </c>
      <c r="AB19" s="113">
        <v>0.8</v>
      </c>
      <c r="AC19" s="113">
        <v>0.8</v>
      </c>
      <c r="AD19" s="113">
        <v>0.8</v>
      </c>
      <c r="AE19" s="113">
        <v>0.8</v>
      </c>
      <c r="AF19" s="113">
        <v>0.8</v>
      </c>
      <c r="AG19" s="113">
        <v>0.8</v>
      </c>
      <c r="AH19" s="113">
        <v>0.8</v>
      </c>
      <c r="AI19" s="113">
        <v>0.8</v>
      </c>
      <c r="AJ19" s="113">
        <v>0.8</v>
      </c>
      <c r="AK19" s="113">
        <v>0.8</v>
      </c>
      <c r="AL19" s="113">
        <v>0.8</v>
      </c>
      <c r="AM19" s="113">
        <v>0.8</v>
      </c>
      <c r="AN19" s="113">
        <v>0.8</v>
      </c>
      <c r="AO19" s="113">
        <v>0.8</v>
      </c>
      <c r="AP19" s="113">
        <v>0.8</v>
      </c>
      <c r="AQ19" s="113">
        <v>0.8</v>
      </c>
    </row>
    <row r="20" spans="1:43" x14ac:dyDescent="0.15">
      <c r="A20" s="153" t="s">
        <v>200</v>
      </c>
      <c r="B20" s="113">
        <v>0.8</v>
      </c>
      <c r="C20" s="113">
        <v>0.8</v>
      </c>
      <c r="D20" s="113">
        <v>0.8</v>
      </c>
      <c r="E20" s="113">
        <v>0.8</v>
      </c>
      <c r="F20" s="113">
        <v>0.8</v>
      </c>
      <c r="G20" s="113">
        <v>0.8</v>
      </c>
      <c r="H20" s="113">
        <v>0.8</v>
      </c>
      <c r="I20" s="113">
        <v>0.8</v>
      </c>
      <c r="J20" s="113">
        <v>0.8</v>
      </c>
      <c r="K20" s="113">
        <v>0.8</v>
      </c>
      <c r="L20" s="113">
        <v>0.8</v>
      </c>
      <c r="M20" s="113">
        <v>0.8</v>
      </c>
      <c r="N20" s="113">
        <v>0.8</v>
      </c>
      <c r="O20" s="113">
        <v>0.8</v>
      </c>
      <c r="P20" s="113">
        <v>0.8</v>
      </c>
      <c r="Q20" s="113">
        <v>0.8</v>
      </c>
      <c r="R20" s="113">
        <v>0.8</v>
      </c>
      <c r="S20" s="113">
        <v>0.8</v>
      </c>
      <c r="T20" s="113">
        <v>0.8</v>
      </c>
      <c r="U20" s="113">
        <v>0.8</v>
      </c>
      <c r="V20" s="113">
        <v>0.8</v>
      </c>
      <c r="W20" s="113">
        <v>0.8</v>
      </c>
      <c r="X20" s="113">
        <v>0.8</v>
      </c>
      <c r="Y20" s="113">
        <v>0.8</v>
      </c>
      <c r="Z20" s="113">
        <v>0.8</v>
      </c>
      <c r="AA20" s="113">
        <v>0.8</v>
      </c>
      <c r="AB20" s="113">
        <v>0.8</v>
      </c>
      <c r="AC20" s="113">
        <v>0.8</v>
      </c>
      <c r="AD20" s="113">
        <v>0.8</v>
      </c>
      <c r="AE20" s="113">
        <v>0.8</v>
      </c>
      <c r="AF20" s="113">
        <v>0.8</v>
      </c>
      <c r="AG20" s="113">
        <v>0.8</v>
      </c>
      <c r="AH20" s="113">
        <v>0.8</v>
      </c>
      <c r="AI20" s="113">
        <v>0.8</v>
      </c>
      <c r="AJ20" s="113">
        <v>0.8</v>
      </c>
      <c r="AK20" s="113">
        <v>0.8</v>
      </c>
      <c r="AL20" s="113">
        <v>0.8</v>
      </c>
      <c r="AM20" s="113">
        <v>0.8</v>
      </c>
      <c r="AN20" s="113">
        <v>0.8</v>
      </c>
      <c r="AO20" s="113">
        <v>0.8</v>
      </c>
      <c r="AP20" s="113">
        <v>0.8</v>
      </c>
      <c r="AQ20" s="113">
        <v>0.8</v>
      </c>
    </row>
    <row r="21" spans="1:43" x14ac:dyDescent="0.15">
      <c r="A21" s="153" t="s">
        <v>201</v>
      </c>
      <c r="B21" s="113">
        <v>0.8</v>
      </c>
      <c r="C21" s="113">
        <v>0.8</v>
      </c>
      <c r="D21" s="113">
        <v>0.8</v>
      </c>
      <c r="E21" s="113">
        <v>0.8</v>
      </c>
      <c r="F21" s="113">
        <v>0.8</v>
      </c>
      <c r="G21" s="113">
        <v>0.8</v>
      </c>
      <c r="H21" s="113">
        <v>0.8</v>
      </c>
      <c r="I21" s="113">
        <v>0.8</v>
      </c>
      <c r="J21" s="113">
        <v>0.8</v>
      </c>
      <c r="K21" s="113">
        <v>0.8</v>
      </c>
      <c r="L21" s="113">
        <v>0.8</v>
      </c>
      <c r="M21" s="113">
        <v>0.8</v>
      </c>
      <c r="N21" s="113">
        <v>0.8</v>
      </c>
      <c r="O21" s="113">
        <v>0.8</v>
      </c>
      <c r="P21" s="113">
        <v>0.8</v>
      </c>
      <c r="Q21" s="113">
        <v>0.8</v>
      </c>
      <c r="R21" s="113">
        <v>0.8</v>
      </c>
      <c r="S21" s="113">
        <v>0.8</v>
      </c>
      <c r="T21" s="113">
        <v>0.8</v>
      </c>
      <c r="U21" s="113">
        <v>0.8</v>
      </c>
      <c r="V21" s="113">
        <v>0.8</v>
      </c>
      <c r="W21" s="113">
        <v>0.8</v>
      </c>
      <c r="X21" s="113">
        <v>0.8</v>
      </c>
      <c r="Y21" s="113">
        <v>0.8</v>
      </c>
      <c r="Z21" s="113">
        <v>0.8</v>
      </c>
      <c r="AA21" s="113">
        <v>0.8</v>
      </c>
      <c r="AB21" s="113">
        <v>0.8</v>
      </c>
      <c r="AC21" s="113">
        <v>0.8</v>
      </c>
      <c r="AD21" s="113">
        <v>0.8</v>
      </c>
      <c r="AE21" s="113">
        <v>0.8</v>
      </c>
      <c r="AF21" s="113">
        <v>0.8</v>
      </c>
      <c r="AG21" s="113">
        <v>0.8</v>
      </c>
      <c r="AH21" s="113">
        <v>0.8</v>
      </c>
      <c r="AI21" s="113">
        <v>0.8</v>
      </c>
      <c r="AJ21" s="113">
        <v>0.8</v>
      </c>
      <c r="AK21" s="113">
        <v>0.8</v>
      </c>
      <c r="AL21" s="113">
        <v>0.8</v>
      </c>
      <c r="AM21" s="113">
        <v>0.8</v>
      </c>
      <c r="AN21" s="113">
        <v>0.8</v>
      </c>
      <c r="AO21" s="113">
        <v>0.8</v>
      </c>
      <c r="AP21" s="113">
        <v>0.8</v>
      </c>
      <c r="AQ21" s="113">
        <v>0.8</v>
      </c>
    </row>
    <row r="22" spans="1:43" x14ac:dyDescent="0.15">
      <c r="A22" s="153" t="s">
        <v>202</v>
      </c>
      <c r="B22" s="113">
        <v>0.8</v>
      </c>
      <c r="C22" s="113">
        <v>0.8</v>
      </c>
      <c r="D22" s="113">
        <v>0.8</v>
      </c>
      <c r="E22" s="113">
        <v>0.8</v>
      </c>
      <c r="F22" s="113">
        <v>0.8</v>
      </c>
      <c r="G22" s="113">
        <v>0.8</v>
      </c>
      <c r="H22" s="113">
        <v>0.8</v>
      </c>
      <c r="I22" s="113">
        <v>0.8</v>
      </c>
      <c r="J22" s="113">
        <v>0.8</v>
      </c>
      <c r="K22" s="113">
        <v>0.8</v>
      </c>
      <c r="L22" s="113">
        <v>0.8</v>
      </c>
      <c r="M22" s="113">
        <v>0.8</v>
      </c>
      <c r="N22" s="113">
        <v>0.8</v>
      </c>
      <c r="O22" s="113">
        <v>0.8</v>
      </c>
      <c r="P22" s="113">
        <v>0.8</v>
      </c>
      <c r="Q22" s="113">
        <v>0.8</v>
      </c>
      <c r="R22" s="113">
        <v>0.8</v>
      </c>
      <c r="S22" s="113">
        <v>0.8</v>
      </c>
      <c r="T22" s="113">
        <v>0.8</v>
      </c>
      <c r="U22" s="113">
        <v>0.8</v>
      </c>
      <c r="V22" s="113">
        <v>0.8</v>
      </c>
      <c r="W22" s="113">
        <v>0.8</v>
      </c>
      <c r="X22" s="113">
        <v>0.8</v>
      </c>
      <c r="Y22" s="113">
        <v>0.8</v>
      </c>
      <c r="Z22" s="113">
        <v>0.8</v>
      </c>
      <c r="AA22" s="113">
        <v>0.8</v>
      </c>
      <c r="AB22" s="113">
        <v>0.8</v>
      </c>
      <c r="AC22" s="113">
        <v>0.8</v>
      </c>
      <c r="AD22" s="113">
        <v>0.8</v>
      </c>
      <c r="AE22" s="113">
        <v>0.8</v>
      </c>
      <c r="AF22" s="113">
        <v>0.8</v>
      </c>
      <c r="AG22" s="113">
        <v>0.8</v>
      </c>
      <c r="AH22" s="113">
        <v>0.8</v>
      </c>
      <c r="AI22" s="113">
        <v>0.8</v>
      </c>
      <c r="AJ22" s="113">
        <v>0.8</v>
      </c>
      <c r="AK22" s="113">
        <v>0.8</v>
      </c>
      <c r="AL22" s="113">
        <v>0.8</v>
      </c>
      <c r="AM22" s="113">
        <v>0.8</v>
      </c>
      <c r="AN22" s="113">
        <v>0.8</v>
      </c>
      <c r="AO22" s="113">
        <v>0.8</v>
      </c>
      <c r="AP22" s="113">
        <v>0.8</v>
      </c>
      <c r="AQ22" s="113">
        <v>0.8</v>
      </c>
    </row>
    <row r="23" spans="1:43" x14ac:dyDescent="0.15">
      <c r="A23" s="153" t="s">
        <v>203</v>
      </c>
      <c r="B23" s="113">
        <v>0.8</v>
      </c>
      <c r="C23" s="113">
        <v>0.8</v>
      </c>
      <c r="D23" s="113">
        <v>0.8</v>
      </c>
      <c r="E23" s="113">
        <v>0.8</v>
      </c>
      <c r="F23" s="113">
        <v>0.8</v>
      </c>
      <c r="G23" s="113">
        <v>0.8</v>
      </c>
      <c r="H23" s="113">
        <v>0.8</v>
      </c>
      <c r="I23" s="113">
        <v>0.8</v>
      </c>
      <c r="J23" s="113">
        <v>0.8</v>
      </c>
      <c r="K23" s="113">
        <v>0.8</v>
      </c>
      <c r="L23" s="113">
        <v>0.8</v>
      </c>
      <c r="M23" s="113">
        <v>0.8</v>
      </c>
      <c r="N23" s="113">
        <v>0.8</v>
      </c>
      <c r="O23" s="113">
        <v>0.8</v>
      </c>
      <c r="P23" s="113">
        <v>0.8</v>
      </c>
      <c r="Q23" s="113">
        <v>0.8</v>
      </c>
      <c r="R23" s="113">
        <v>0.8</v>
      </c>
      <c r="S23" s="113">
        <v>0.8</v>
      </c>
      <c r="T23" s="113">
        <v>0.8</v>
      </c>
      <c r="U23" s="113">
        <v>0.8</v>
      </c>
      <c r="V23" s="113">
        <v>0.8</v>
      </c>
      <c r="W23" s="113">
        <v>0.8</v>
      </c>
      <c r="X23" s="113">
        <v>0.8</v>
      </c>
      <c r="Y23" s="113">
        <v>0.8</v>
      </c>
      <c r="Z23" s="113">
        <v>0.8</v>
      </c>
      <c r="AA23" s="113">
        <v>0.8</v>
      </c>
      <c r="AB23" s="113">
        <v>0.8</v>
      </c>
      <c r="AC23" s="113">
        <v>0.8</v>
      </c>
      <c r="AD23" s="113">
        <v>0.8</v>
      </c>
      <c r="AE23" s="113">
        <v>0.8</v>
      </c>
      <c r="AF23" s="113">
        <v>0.8</v>
      </c>
      <c r="AG23" s="113">
        <v>0.8</v>
      </c>
      <c r="AH23" s="113">
        <v>0.8</v>
      </c>
      <c r="AI23" s="113">
        <v>0.8</v>
      </c>
      <c r="AJ23" s="113">
        <v>0.8</v>
      </c>
      <c r="AK23" s="113">
        <v>0.8</v>
      </c>
      <c r="AL23" s="113">
        <v>0.8</v>
      </c>
      <c r="AM23" s="113">
        <v>0.8</v>
      </c>
      <c r="AN23" s="113">
        <v>0.8</v>
      </c>
      <c r="AO23" s="113">
        <v>0.8</v>
      </c>
      <c r="AP23" s="113">
        <v>0.8</v>
      </c>
      <c r="AQ23" s="113">
        <v>0.8</v>
      </c>
    </row>
    <row r="24" spans="1:43" x14ac:dyDescent="0.15">
      <c r="A24" s="153" t="s">
        <v>204</v>
      </c>
      <c r="B24" s="113">
        <v>0.8</v>
      </c>
      <c r="C24" s="113">
        <v>0.8</v>
      </c>
      <c r="D24" s="113">
        <v>0.8</v>
      </c>
      <c r="E24" s="113">
        <v>0.8</v>
      </c>
      <c r="F24" s="113">
        <v>0.8</v>
      </c>
      <c r="G24" s="113">
        <v>0.8</v>
      </c>
      <c r="H24" s="113">
        <v>0.8</v>
      </c>
      <c r="I24" s="113">
        <v>0.8</v>
      </c>
      <c r="J24" s="113">
        <v>0.8</v>
      </c>
      <c r="K24" s="113">
        <v>0.8</v>
      </c>
      <c r="L24" s="113">
        <v>0.8</v>
      </c>
      <c r="M24" s="113">
        <v>0.8</v>
      </c>
      <c r="N24" s="113">
        <v>0.8</v>
      </c>
      <c r="O24" s="113">
        <v>0.8</v>
      </c>
      <c r="P24" s="113">
        <v>0.8</v>
      </c>
      <c r="Q24" s="113">
        <v>0.8</v>
      </c>
      <c r="R24" s="113">
        <v>0.8</v>
      </c>
      <c r="S24" s="113">
        <v>0.8</v>
      </c>
      <c r="T24" s="113">
        <v>0.8</v>
      </c>
      <c r="U24" s="113">
        <v>0.8</v>
      </c>
      <c r="V24" s="113">
        <v>0.8</v>
      </c>
      <c r="W24" s="113">
        <v>0.8</v>
      </c>
      <c r="X24" s="113">
        <v>0.8</v>
      </c>
      <c r="Y24" s="113">
        <v>0.8</v>
      </c>
      <c r="Z24" s="113">
        <v>0.8</v>
      </c>
      <c r="AA24" s="113">
        <v>0.8</v>
      </c>
      <c r="AB24" s="113">
        <v>0.8</v>
      </c>
      <c r="AC24" s="113">
        <v>0.8</v>
      </c>
      <c r="AD24" s="113">
        <v>0.8</v>
      </c>
      <c r="AE24" s="113">
        <v>0.8</v>
      </c>
      <c r="AF24" s="113">
        <v>0.8</v>
      </c>
      <c r="AG24" s="113">
        <v>0.8</v>
      </c>
      <c r="AH24" s="113">
        <v>0.8</v>
      </c>
      <c r="AI24" s="113">
        <v>0.8</v>
      </c>
      <c r="AJ24" s="113">
        <v>0.8</v>
      </c>
      <c r="AK24" s="113">
        <v>0.8</v>
      </c>
      <c r="AL24" s="113">
        <v>0.8</v>
      </c>
      <c r="AM24" s="113">
        <v>0.8</v>
      </c>
      <c r="AN24" s="113">
        <v>0.8</v>
      </c>
      <c r="AO24" s="113">
        <v>0.8</v>
      </c>
      <c r="AP24" s="113">
        <v>0.8</v>
      </c>
      <c r="AQ24" s="113">
        <v>0.8</v>
      </c>
    </row>
    <row r="25" spans="1:43" x14ac:dyDescent="0.15">
      <c r="A25" s="153" t="s">
        <v>205</v>
      </c>
      <c r="B25" s="113">
        <v>0.8</v>
      </c>
      <c r="C25" s="113">
        <v>0.8</v>
      </c>
      <c r="D25" s="113">
        <v>0.8</v>
      </c>
      <c r="E25" s="113">
        <v>0.8</v>
      </c>
      <c r="F25" s="113">
        <v>0.8</v>
      </c>
      <c r="G25" s="113">
        <v>0.8</v>
      </c>
      <c r="H25" s="113">
        <v>0.8</v>
      </c>
      <c r="I25" s="113">
        <v>0.8</v>
      </c>
      <c r="J25" s="113">
        <v>0.8</v>
      </c>
      <c r="K25" s="113">
        <v>0.8</v>
      </c>
      <c r="L25" s="113">
        <v>0.8</v>
      </c>
      <c r="M25" s="113">
        <v>0.8</v>
      </c>
      <c r="N25" s="113">
        <v>0.8</v>
      </c>
      <c r="O25" s="113">
        <v>0.8</v>
      </c>
      <c r="P25" s="113">
        <v>0.8</v>
      </c>
      <c r="Q25" s="113">
        <v>0.8</v>
      </c>
      <c r="R25" s="113">
        <v>0.8</v>
      </c>
      <c r="S25" s="113">
        <v>0.8</v>
      </c>
      <c r="T25" s="113">
        <v>0.8</v>
      </c>
      <c r="U25" s="113">
        <v>0.8</v>
      </c>
      <c r="V25" s="113">
        <v>0.8</v>
      </c>
      <c r="W25" s="113">
        <v>0.8</v>
      </c>
      <c r="X25" s="113">
        <v>0.8</v>
      </c>
      <c r="Y25" s="113">
        <v>0.8</v>
      </c>
      <c r="Z25" s="113">
        <v>0.8</v>
      </c>
      <c r="AA25" s="113">
        <v>0.8</v>
      </c>
      <c r="AB25" s="113">
        <v>0.8</v>
      </c>
      <c r="AC25" s="113">
        <v>0.8</v>
      </c>
      <c r="AD25" s="113">
        <v>0.8</v>
      </c>
      <c r="AE25" s="113">
        <v>0.8</v>
      </c>
      <c r="AF25" s="113">
        <v>0.8</v>
      </c>
      <c r="AG25" s="113">
        <v>0.8</v>
      </c>
      <c r="AH25" s="113">
        <v>0.8</v>
      </c>
      <c r="AI25" s="113">
        <v>0.8</v>
      </c>
      <c r="AJ25" s="113">
        <v>0.8</v>
      </c>
      <c r="AK25" s="113">
        <v>0.8</v>
      </c>
      <c r="AL25" s="113">
        <v>0.8</v>
      </c>
      <c r="AM25" s="113">
        <v>0.8</v>
      </c>
      <c r="AN25" s="113">
        <v>0.8</v>
      </c>
      <c r="AO25" s="113">
        <v>0.8</v>
      </c>
      <c r="AP25" s="113">
        <v>0.8</v>
      </c>
      <c r="AQ25" s="113">
        <v>0.8</v>
      </c>
    </row>
    <row r="26" spans="1:43" x14ac:dyDescent="0.15">
      <c r="A26" s="153" t="s">
        <v>206</v>
      </c>
      <c r="B26" s="113">
        <v>0.8</v>
      </c>
      <c r="C26" s="113">
        <v>0.8</v>
      </c>
      <c r="D26" s="113">
        <v>0.8</v>
      </c>
      <c r="E26" s="113">
        <v>0.8</v>
      </c>
      <c r="F26" s="113">
        <v>0.8</v>
      </c>
      <c r="G26" s="113">
        <v>0.8</v>
      </c>
      <c r="H26" s="113">
        <v>0.8</v>
      </c>
      <c r="I26" s="113">
        <v>0.8</v>
      </c>
      <c r="J26" s="113">
        <v>0.8</v>
      </c>
      <c r="K26" s="113">
        <v>0.8</v>
      </c>
      <c r="L26" s="113">
        <v>0.8</v>
      </c>
      <c r="M26" s="113">
        <v>0.8</v>
      </c>
      <c r="N26" s="113">
        <v>0.8</v>
      </c>
      <c r="O26" s="113">
        <v>0.8</v>
      </c>
      <c r="P26" s="113">
        <v>0.8</v>
      </c>
      <c r="Q26" s="113">
        <v>0.8</v>
      </c>
      <c r="R26" s="113">
        <v>0.8</v>
      </c>
      <c r="S26" s="113">
        <v>0.8</v>
      </c>
      <c r="T26" s="113">
        <v>0.8</v>
      </c>
      <c r="U26" s="113">
        <v>0.8</v>
      </c>
      <c r="V26" s="113">
        <v>0.8</v>
      </c>
      <c r="W26" s="113">
        <v>0.8</v>
      </c>
      <c r="X26" s="113">
        <v>0.8</v>
      </c>
      <c r="Y26" s="113">
        <v>0.8</v>
      </c>
      <c r="Z26" s="113">
        <v>0.8</v>
      </c>
      <c r="AA26" s="113">
        <v>0.8</v>
      </c>
      <c r="AB26" s="113">
        <v>0.8</v>
      </c>
      <c r="AC26" s="113">
        <v>0.8</v>
      </c>
      <c r="AD26" s="113">
        <v>0.8</v>
      </c>
      <c r="AE26" s="113">
        <v>0.8</v>
      </c>
      <c r="AF26" s="113">
        <v>0.8</v>
      </c>
      <c r="AG26" s="113">
        <v>0.8</v>
      </c>
      <c r="AH26" s="113">
        <v>0.8</v>
      </c>
      <c r="AI26" s="113">
        <v>0.8</v>
      </c>
      <c r="AJ26" s="113">
        <v>0.8</v>
      </c>
      <c r="AK26" s="113">
        <v>0.8</v>
      </c>
      <c r="AL26" s="113">
        <v>0.8</v>
      </c>
      <c r="AM26" s="113">
        <v>0.8</v>
      </c>
      <c r="AN26" s="113">
        <v>0.8</v>
      </c>
      <c r="AO26" s="113">
        <v>0.8</v>
      </c>
      <c r="AP26" s="113">
        <v>0.8</v>
      </c>
      <c r="AQ26" s="113">
        <v>0.8</v>
      </c>
    </row>
    <row r="27" spans="1:43" x14ac:dyDescent="0.15">
      <c r="A27" s="153" t="s">
        <v>207</v>
      </c>
      <c r="B27" s="113">
        <v>0.8</v>
      </c>
      <c r="C27" s="113">
        <v>0.8</v>
      </c>
      <c r="D27" s="113">
        <v>0.8</v>
      </c>
      <c r="E27" s="113">
        <v>0.8</v>
      </c>
      <c r="F27" s="113">
        <v>0.8</v>
      </c>
      <c r="G27" s="113">
        <v>0.8</v>
      </c>
      <c r="H27" s="113">
        <v>0.8</v>
      </c>
      <c r="I27" s="113">
        <v>0.8</v>
      </c>
      <c r="J27" s="113">
        <v>0.8</v>
      </c>
      <c r="K27" s="113">
        <v>0.8</v>
      </c>
      <c r="L27" s="113">
        <v>0.8</v>
      </c>
      <c r="M27" s="113">
        <v>0.8</v>
      </c>
      <c r="N27" s="113">
        <v>0.8</v>
      </c>
      <c r="O27" s="113">
        <v>0.8</v>
      </c>
      <c r="P27" s="113">
        <v>0.8</v>
      </c>
      <c r="Q27" s="113">
        <v>0.8</v>
      </c>
      <c r="R27" s="113">
        <v>0.8</v>
      </c>
      <c r="S27" s="113">
        <v>0.8</v>
      </c>
      <c r="T27" s="113">
        <v>0.8</v>
      </c>
      <c r="U27" s="113">
        <v>0.8</v>
      </c>
      <c r="V27" s="113">
        <v>0.8</v>
      </c>
      <c r="W27" s="113">
        <v>0.8</v>
      </c>
      <c r="X27" s="113">
        <v>0.8</v>
      </c>
      <c r="Y27" s="113">
        <v>0.8</v>
      </c>
      <c r="Z27" s="113">
        <v>0.8</v>
      </c>
      <c r="AA27" s="113">
        <v>0.8</v>
      </c>
      <c r="AB27" s="113">
        <v>0.8</v>
      </c>
      <c r="AC27" s="113">
        <v>0.8</v>
      </c>
      <c r="AD27" s="113">
        <v>0.8</v>
      </c>
      <c r="AE27" s="113">
        <v>0.8</v>
      </c>
      <c r="AF27" s="113">
        <v>0.8</v>
      </c>
      <c r="AG27" s="113">
        <v>0.8</v>
      </c>
      <c r="AH27" s="113">
        <v>0.8</v>
      </c>
      <c r="AI27" s="113">
        <v>0.8</v>
      </c>
      <c r="AJ27" s="113">
        <v>0.8</v>
      </c>
      <c r="AK27" s="113">
        <v>0.8</v>
      </c>
      <c r="AL27" s="113">
        <v>0.8</v>
      </c>
      <c r="AM27" s="113">
        <v>0.8</v>
      </c>
      <c r="AN27" s="113">
        <v>0.8</v>
      </c>
      <c r="AO27" s="113">
        <v>0.8</v>
      </c>
      <c r="AP27" s="113">
        <v>0.8</v>
      </c>
      <c r="AQ27" s="113">
        <v>0.8</v>
      </c>
    </row>
    <row r="28" spans="1:43" x14ac:dyDescent="0.15">
      <c r="A28" s="153" t="s">
        <v>208</v>
      </c>
      <c r="B28" s="113">
        <v>0.8</v>
      </c>
      <c r="C28" s="113">
        <v>0.8</v>
      </c>
      <c r="D28" s="113">
        <v>0.8</v>
      </c>
      <c r="E28" s="113">
        <v>0.8</v>
      </c>
      <c r="F28" s="113">
        <v>0.8</v>
      </c>
      <c r="G28" s="113">
        <v>0.8</v>
      </c>
      <c r="H28" s="113">
        <v>0.8</v>
      </c>
      <c r="I28" s="113">
        <v>0.8</v>
      </c>
      <c r="J28" s="113">
        <v>0.8</v>
      </c>
      <c r="K28" s="113">
        <v>0.8</v>
      </c>
      <c r="L28" s="113">
        <v>0.8</v>
      </c>
      <c r="M28" s="113">
        <v>0.8</v>
      </c>
      <c r="N28" s="113">
        <v>0.8</v>
      </c>
      <c r="O28" s="113">
        <v>0.8</v>
      </c>
      <c r="P28" s="113">
        <v>0.8</v>
      </c>
      <c r="Q28" s="113">
        <v>0.8</v>
      </c>
      <c r="R28" s="113">
        <v>0.8</v>
      </c>
      <c r="S28" s="113">
        <v>0.8</v>
      </c>
      <c r="T28" s="113">
        <v>0.8</v>
      </c>
      <c r="U28" s="113">
        <v>0.8</v>
      </c>
      <c r="V28" s="113">
        <v>0.8</v>
      </c>
      <c r="W28" s="113">
        <v>0.8</v>
      </c>
      <c r="X28" s="113">
        <v>0.8</v>
      </c>
      <c r="Y28" s="113">
        <v>0.8</v>
      </c>
      <c r="Z28" s="113">
        <v>0.8</v>
      </c>
      <c r="AA28" s="113">
        <v>0.8</v>
      </c>
      <c r="AB28" s="113">
        <v>0.8</v>
      </c>
      <c r="AC28" s="113">
        <v>0.8</v>
      </c>
      <c r="AD28" s="113">
        <v>0.8</v>
      </c>
      <c r="AE28" s="113">
        <v>0.8</v>
      </c>
      <c r="AF28" s="113">
        <v>0.8</v>
      </c>
      <c r="AG28" s="113">
        <v>0.8</v>
      </c>
      <c r="AH28" s="113">
        <v>0.8</v>
      </c>
      <c r="AI28" s="113">
        <v>0.8</v>
      </c>
      <c r="AJ28" s="113">
        <v>0.8</v>
      </c>
      <c r="AK28" s="113">
        <v>0.8</v>
      </c>
      <c r="AL28" s="113">
        <v>0.8</v>
      </c>
      <c r="AM28" s="113">
        <v>0.8</v>
      </c>
      <c r="AN28" s="113">
        <v>0.8</v>
      </c>
      <c r="AO28" s="113">
        <v>0.8</v>
      </c>
      <c r="AP28" s="113">
        <v>0.8</v>
      </c>
      <c r="AQ28" s="113">
        <v>0.8</v>
      </c>
    </row>
    <row r="29" spans="1:43" x14ac:dyDescent="0.15">
      <c r="A29" s="153" t="s">
        <v>209</v>
      </c>
      <c r="B29" s="113">
        <v>0.8</v>
      </c>
      <c r="C29" s="113">
        <v>0.8</v>
      </c>
      <c r="D29" s="113">
        <v>0.8</v>
      </c>
      <c r="E29" s="113">
        <v>0.8</v>
      </c>
      <c r="F29" s="113">
        <v>0.8</v>
      </c>
      <c r="G29" s="113">
        <v>0.8</v>
      </c>
      <c r="H29" s="113">
        <v>0.8</v>
      </c>
      <c r="I29" s="113">
        <v>0.8</v>
      </c>
      <c r="J29" s="113">
        <v>0.8</v>
      </c>
      <c r="K29" s="113">
        <v>0.8</v>
      </c>
      <c r="L29" s="113">
        <v>0.8</v>
      </c>
      <c r="M29" s="113">
        <v>0.8</v>
      </c>
      <c r="N29" s="113">
        <v>0.8</v>
      </c>
      <c r="O29" s="113">
        <v>0.8</v>
      </c>
      <c r="P29" s="113">
        <v>0.8</v>
      </c>
      <c r="Q29" s="113">
        <v>0.8</v>
      </c>
      <c r="R29" s="113">
        <v>0.8</v>
      </c>
      <c r="S29" s="113">
        <v>0.8</v>
      </c>
      <c r="T29" s="113">
        <v>0.8</v>
      </c>
      <c r="U29" s="113">
        <v>0.8</v>
      </c>
      <c r="V29" s="113">
        <v>0.8</v>
      </c>
      <c r="W29" s="113">
        <v>0.8</v>
      </c>
      <c r="X29" s="113">
        <v>0.8</v>
      </c>
      <c r="Y29" s="113">
        <v>0.8</v>
      </c>
      <c r="Z29" s="113">
        <v>0.8</v>
      </c>
      <c r="AA29" s="113">
        <v>0.8</v>
      </c>
      <c r="AB29" s="113">
        <v>0.8</v>
      </c>
      <c r="AC29" s="113">
        <v>0.8</v>
      </c>
      <c r="AD29" s="113">
        <v>0.8</v>
      </c>
      <c r="AE29" s="113">
        <v>0.8</v>
      </c>
      <c r="AF29" s="113">
        <v>0.8</v>
      </c>
      <c r="AG29" s="113">
        <v>0.8</v>
      </c>
      <c r="AH29" s="113">
        <v>0.8</v>
      </c>
      <c r="AI29" s="113">
        <v>0.8</v>
      </c>
      <c r="AJ29" s="113">
        <v>0.8</v>
      </c>
      <c r="AK29" s="113">
        <v>0.8</v>
      </c>
      <c r="AL29" s="113">
        <v>0.8</v>
      </c>
      <c r="AM29" s="113">
        <v>0.8</v>
      </c>
      <c r="AN29" s="113">
        <v>0.8</v>
      </c>
      <c r="AO29" s="113">
        <v>0.8</v>
      </c>
      <c r="AP29" s="113">
        <v>0.8</v>
      </c>
      <c r="AQ29" s="113">
        <v>0.8</v>
      </c>
    </row>
    <row r="30" spans="1:43" x14ac:dyDescent="0.15">
      <c r="A30" s="153" t="s">
        <v>210</v>
      </c>
      <c r="B30" s="113">
        <v>0.8</v>
      </c>
      <c r="C30" s="113">
        <v>0.8</v>
      </c>
      <c r="D30" s="113">
        <v>0.8</v>
      </c>
      <c r="E30" s="113">
        <v>0.8</v>
      </c>
      <c r="F30" s="113">
        <v>0.8</v>
      </c>
      <c r="G30" s="113">
        <v>0.8</v>
      </c>
      <c r="H30" s="113">
        <v>0.8</v>
      </c>
      <c r="I30" s="113">
        <v>0.8</v>
      </c>
      <c r="J30" s="113">
        <v>0.8</v>
      </c>
      <c r="K30" s="113">
        <v>0.8</v>
      </c>
      <c r="L30" s="113">
        <v>0.8</v>
      </c>
      <c r="M30" s="113">
        <v>0.8</v>
      </c>
      <c r="N30" s="113">
        <v>0.8</v>
      </c>
      <c r="O30" s="113">
        <v>0.8</v>
      </c>
      <c r="P30" s="113">
        <v>0.8</v>
      </c>
      <c r="Q30" s="113">
        <v>0.8</v>
      </c>
      <c r="R30" s="113">
        <v>0.8</v>
      </c>
      <c r="S30" s="113">
        <v>0.8</v>
      </c>
      <c r="T30" s="113">
        <v>0.8</v>
      </c>
      <c r="U30" s="113">
        <v>0.8</v>
      </c>
      <c r="V30" s="113">
        <v>0.8</v>
      </c>
      <c r="W30" s="113">
        <v>0.8</v>
      </c>
      <c r="X30" s="113">
        <v>0.8</v>
      </c>
      <c r="Y30" s="113">
        <v>0.8</v>
      </c>
      <c r="Z30" s="113">
        <v>0.8</v>
      </c>
      <c r="AA30" s="113">
        <v>0.8</v>
      </c>
      <c r="AB30" s="113">
        <v>0.8</v>
      </c>
      <c r="AC30" s="113">
        <v>0.8</v>
      </c>
      <c r="AD30" s="113">
        <v>0.8</v>
      </c>
      <c r="AE30" s="113">
        <v>0.8</v>
      </c>
      <c r="AF30" s="113">
        <v>0.8</v>
      </c>
      <c r="AG30" s="113">
        <v>0.8</v>
      </c>
      <c r="AH30" s="113">
        <v>0.8</v>
      </c>
      <c r="AI30" s="113">
        <v>0.8</v>
      </c>
      <c r="AJ30" s="113">
        <v>0.8</v>
      </c>
      <c r="AK30" s="113">
        <v>0.8</v>
      </c>
      <c r="AL30" s="113">
        <v>0.8</v>
      </c>
      <c r="AM30" s="113">
        <v>0.8</v>
      </c>
      <c r="AN30" s="113">
        <v>0.8</v>
      </c>
      <c r="AO30" s="113">
        <v>0.8</v>
      </c>
      <c r="AP30" s="113">
        <v>0.8</v>
      </c>
      <c r="AQ30" s="113">
        <v>0.8</v>
      </c>
    </row>
    <row r="31" spans="1:43" x14ac:dyDescent="0.15">
      <c r="A31" s="153" t="s">
        <v>211</v>
      </c>
      <c r="B31" s="113">
        <v>0.8</v>
      </c>
      <c r="C31" s="113">
        <v>0.8</v>
      </c>
      <c r="D31" s="113">
        <v>0.8</v>
      </c>
      <c r="E31" s="113">
        <v>0.8</v>
      </c>
      <c r="F31" s="113">
        <v>0.8</v>
      </c>
      <c r="G31" s="113">
        <v>0.8</v>
      </c>
      <c r="H31" s="113">
        <v>0.8</v>
      </c>
      <c r="I31" s="113">
        <v>0.8</v>
      </c>
      <c r="J31" s="113">
        <v>0.8</v>
      </c>
      <c r="K31" s="113">
        <v>0.8</v>
      </c>
      <c r="L31" s="113">
        <v>0.8</v>
      </c>
      <c r="M31" s="113">
        <v>0.8</v>
      </c>
      <c r="N31" s="113">
        <v>0.8</v>
      </c>
      <c r="O31" s="113">
        <v>0.8</v>
      </c>
      <c r="P31" s="113">
        <v>0.8</v>
      </c>
      <c r="Q31" s="113">
        <v>0.8</v>
      </c>
      <c r="R31" s="113">
        <v>0.8</v>
      </c>
      <c r="S31" s="113">
        <v>0.8</v>
      </c>
      <c r="T31" s="113">
        <v>0.8</v>
      </c>
      <c r="U31" s="113">
        <v>0.8</v>
      </c>
      <c r="V31" s="113">
        <v>0.8</v>
      </c>
      <c r="W31" s="113">
        <v>0.8</v>
      </c>
      <c r="X31" s="113">
        <v>0.8</v>
      </c>
      <c r="Y31" s="113">
        <v>0.8</v>
      </c>
      <c r="Z31" s="113">
        <v>0.8</v>
      </c>
      <c r="AA31" s="113">
        <v>0.8</v>
      </c>
      <c r="AB31" s="113">
        <v>0.8</v>
      </c>
      <c r="AC31" s="113">
        <v>0.8</v>
      </c>
      <c r="AD31" s="113">
        <v>0.8</v>
      </c>
      <c r="AE31" s="113">
        <v>0.8</v>
      </c>
      <c r="AF31" s="113">
        <v>0.8</v>
      </c>
      <c r="AG31" s="113">
        <v>0.8</v>
      </c>
      <c r="AH31" s="113">
        <v>0.8</v>
      </c>
      <c r="AI31" s="113">
        <v>0.8</v>
      </c>
      <c r="AJ31" s="113">
        <v>0.8</v>
      </c>
      <c r="AK31" s="113">
        <v>0.8</v>
      </c>
      <c r="AL31" s="113">
        <v>0.8</v>
      </c>
      <c r="AM31" s="113">
        <v>0.8</v>
      </c>
      <c r="AN31" s="113">
        <v>0.8</v>
      </c>
      <c r="AO31" s="113">
        <v>0.8</v>
      </c>
      <c r="AP31" s="113">
        <v>0.8</v>
      </c>
      <c r="AQ31" s="113">
        <v>0.8</v>
      </c>
    </row>
    <row r="32" spans="1:43" x14ac:dyDescent="0.15">
      <c r="A32" s="153" t="s">
        <v>212</v>
      </c>
      <c r="B32" s="113">
        <v>0.8</v>
      </c>
      <c r="C32" s="113">
        <v>0.8</v>
      </c>
      <c r="D32" s="113">
        <v>0.8</v>
      </c>
      <c r="E32" s="113">
        <v>0.8</v>
      </c>
      <c r="F32" s="113">
        <v>0.8</v>
      </c>
      <c r="G32" s="113">
        <v>0.8</v>
      </c>
      <c r="H32" s="113">
        <v>0.8</v>
      </c>
      <c r="I32" s="113">
        <v>0.8</v>
      </c>
      <c r="J32" s="113">
        <v>0.8</v>
      </c>
      <c r="K32" s="113">
        <v>0.8</v>
      </c>
      <c r="L32" s="113">
        <v>0.8</v>
      </c>
      <c r="M32" s="113">
        <v>0.8</v>
      </c>
      <c r="N32" s="113">
        <v>0.8</v>
      </c>
      <c r="O32" s="113">
        <v>0.8</v>
      </c>
      <c r="P32" s="113">
        <v>0.8</v>
      </c>
      <c r="Q32" s="113">
        <v>0.8</v>
      </c>
      <c r="R32" s="113">
        <v>0.8</v>
      </c>
      <c r="S32" s="113">
        <v>0.8</v>
      </c>
      <c r="T32" s="113">
        <v>0.8</v>
      </c>
      <c r="U32" s="113">
        <v>0.8</v>
      </c>
      <c r="V32" s="113">
        <v>0.8</v>
      </c>
      <c r="W32" s="113">
        <v>0.8</v>
      </c>
      <c r="X32" s="113">
        <v>0.8</v>
      </c>
      <c r="Y32" s="113">
        <v>0.8</v>
      </c>
      <c r="Z32" s="113">
        <v>0.8</v>
      </c>
      <c r="AA32" s="113">
        <v>0.8</v>
      </c>
      <c r="AB32" s="113">
        <v>0.8</v>
      </c>
      <c r="AC32" s="113">
        <v>0.8</v>
      </c>
      <c r="AD32" s="113">
        <v>0.8</v>
      </c>
      <c r="AE32" s="113">
        <v>0.8</v>
      </c>
      <c r="AF32" s="113">
        <v>0.8</v>
      </c>
      <c r="AG32" s="113">
        <v>0.8</v>
      </c>
      <c r="AH32" s="113">
        <v>0.8</v>
      </c>
      <c r="AI32" s="113">
        <v>0.8</v>
      </c>
      <c r="AJ32" s="113">
        <v>0.8</v>
      </c>
      <c r="AK32" s="113">
        <v>0.8</v>
      </c>
      <c r="AL32" s="113">
        <v>0.8</v>
      </c>
      <c r="AM32" s="113">
        <v>0.8</v>
      </c>
      <c r="AN32" s="113">
        <v>0.8</v>
      </c>
      <c r="AO32" s="113">
        <v>0.8</v>
      </c>
      <c r="AP32" s="113">
        <v>0.8</v>
      </c>
      <c r="AQ32" s="113">
        <v>0.8</v>
      </c>
    </row>
    <row r="33" spans="1:43" x14ac:dyDescent="0.15">
      <c r="A33" s="153" t="s">
        <v>213</v>
      </c>
      <c r="B33" s="113">
        <v>0.8</v>
      </c>
      <c r="C33" s="113">
        <v>0.8</v>
      </c>
      <c r="D33" s="113">
        <v>0.8</v>
      </c>
      <c r="E33" s="113">
        <v>0.8</v>
      </c>
      <c r="F33" s="113">
        <v>0.8</v>
      </c>
      <c r="G33" s="113">
        <v>0.8</v>
      </c>
      <c r="H33" s="113">
        <v>0.8</v>
      </c>
      <c r="I33" s="113">
        <v>0.8</v>
      </c>
      <c r="J33" s="113">
        <v>0.8</v>
      </c>
      <c r="K33" s="113">
        <v>0.8</v>
      </c>
      <c r="L33" s="113">
        <v>0.8</v>
      </c>
      <c r="M33" s="113">
        <v>0.8</v>
      </c>
      <c r="N33" s="113">
        <v>0.8</v>
      </c>
      <c r="O33" s="113">
        <v>0.8</v>
      </c>
      <c r="P33" s="113">
        <v>0.8</v>
      </c>
      <c r="Q33" s="113">
        <v>0.8</v>
      </c>
      <c r="R33" s="113">
        <v>0.8</v>
      </c>
      <c r="S33" s="113">
        <v>0.8</v>
      </c>
      <c r="T33" s="113">
        <v>0.8</v>
      </c>
      <c r="U33" s="113">
        <v>0.8</v>
      </c>
      <c r="V33" s="113">
        <v>0.8</v>
      </c>
      <c r="W33" s="113">
        <v>0.8</v>
      </c>
      <c r="X33" s="113">
        <v>0.8</v>
      </c>
      <c r="Y33" s="113">
        <v>0.8</v>
      </c>
      <c r="Z33" s="113">
        <v>0.8</v>
      </c>
      <c r="AA33" s="113">
        <v>0.8</v>
      </c>
      <c r="AB33" s="113">
        <v>0.8</v>
      </c>
      <c r="AC33" s="113">
        <v>0.8</v>
      </c>
      <c r="AD33" s="113">
        <v>0.8</v>
      </c>
      <c r="AE33" s="113">
        <v>0.8</v>
      </c>
      <c r="AF33" s="113">
        <v>0.8</v>
      </c>
      <c r="AG33" s="113">
        <v>0.8</v>
      </c>
      <c r="AH33" s="113">
        <v>0.8</v>
      </c>
      <c r="AI33" s="113">
        <v>0.8</v>
      </c>
      <c r="AJ33" s="113">
        <v>0.8</v>
      </c>
      <c r="AK33" s="113">
        <v>0.8</v>
      </c>
      <c r="AL33" s="113">
        <v>0.8</v>
      </c>
      <c r="AM33" s="113">
        <v>0.8</v>
      </c>
      <c r="AN33" s="113">
        <v>0.8</v>
      </c>
      <c r="AO33" s="113">
        <v>0.8</v>
      </c>
      <c r="AP33" s="113">
        <v>0.8</v>
      </c>
      <c r="AQ33" s="113">
        <v>0.8</v>
      </c>
    </row>
    <row r="34" spans="1:43" x14ac:dyDescent="0.15">
      <c r="A34" s="153" t="s">
        <v>214</v>
      </c>
      <c r="B34" s="113">
        <v>0.8</v>
      </c>
      <c r="C34" s="113">
        <v>0.8</v>
      </c>
      <c r="D34" s="113">
        <v>0.8</v>
      </c>
      <c r="E34" s="113">
        <v>0.8</v>
      </c>
      <c r="F34" s="113">
        <v>0.8</v>
      </c>
      <c r="G34" s="113">
        <v>0.8</v>
      </c>
      <c r="H34" s="113">
        <v>0.8</v>
      </c>
      <c r="I34" s="113">
        <v>0.8</v>
      </c>
      <c r="J34" s="113">
        <v>0.8</v>
      </c>
      <c r="K34" s="113">
        <v>0.8</v>
      </c>
      <c r="L34" s="113">
        <v>0.8</v>
      </c>
      <c r="M34" s="113">
        <v>0.8</v>
      </c>
      <c r="N34" s="113">
        <v>0.8</v>
      </c>
      <c r="O34" s="113">
        <v>0.8</v>
      </c>
      <c r="P34" s="113">
        <v>0.8</v>
      </c>
      <c r="Q34" s="113">
        <v>0.8</v>
      </c>
      <c r="R34" s="113">
        <v>0.8</v>
      </c>
      <c r="S34" s="113">
        <v>0.8</v>
      </c>
      <c r="T34" s="113">
        <v>0.8</v>
      </c>
      <c r="U34" s="113">
        <v>0.8</v>
      </c>
      <c r="V34" s="113">
        <v>0.8</v>
      </c>
      <c r="W34" s="113">
        <v>0.8</v>
      </c>
      <c r="X34" s="113">
        <v>0.8</v>
      </c>
      <c r="Y34" s="113">
        <v>0.8</v>
      </c>
      <c r="Z34" s="113">
        <v>0.8</v>
      </c>
      <c r="AA34" s="113">
        <v>0.8</v>
      </c>
      <c r="AB34" s="113">
        <v>0.8</v>
      </c>
      <c r="AC34" s="113">
        <v>0.8</v>
      </c>
      <c r="AD34" s="113">
        <v>0.8</v>
      </c>
      <c r="AE34" s="113">
        <v>0.8</v>
      </c>
      <c r="AF34" s="113">
        <v>0.8</v>
      </c>
      <c r="AG34" s="113">
        <v>0.8</v>
      </c>
      <c r="AH34" s="113">
        <v>0.8</v>
      </c>
      <c r="AI34" s="113">
        <v>0.8</v>
      </c>
      <c r="AJ34" s="113">
        <v>0.8</v>
      </c>
      <c r="AK34" s="113">
        <v>0.8</v>
      </c>
      <c r="AL34" s="113">
        <v>0.8</v>
      </c>
      <c r="AM34" s="113">
        <v>0.8</v>
      </c>
      <c r="AN34" s="113">
        <v>0.8</v>
      </c>
      <c r="AO34" s="113">
        <v>0.8</v>
      </c>
      <c r="AP34" s="113">
        <v>0.8</v>
      </c>
      <c r="AQ34" s="113">
        <v>0.8</v>
      </c>
    </row>
    <row r="35" spans="1:43" x14ac:dyDescent="0.15">
      <c r="A35" s="153" t="s">
        <v>215</v>
      </c>
      <c r="B35" s="113">
        <v>0.8</v>
      </c>
      <c r="C35" s="113">
        <v>0.8</v>
      </c>
      <c r="D35" s="113">
        <v>0.8</v>
      </c>
      <c r="E35" s="113">
        <v>0.8</v>
      </c>
      <c r="F35" s="113">
        <v>0.8</v>
      </c>
      <c r="G35" s="113">
        <v>0.8</v>
      </c>
      <c r="H35" s="113">
        <v>0.8</v>
      </c>
      <c r="I35" s="113">
        <v>0.8</v>
      </c>
      <c r="J35" s="113">
        <v>0.8</v>
      </c>
      <c r="K35" s="113">
        <v>0.8</v>
      </c>
      <c r="L35" s="113">
        <v>0.8</v>
      </c>
      <c r="M35" s="113">
        <v>0.8</v>
      </c>
      <c r="N35" s="113">
        <v>0.8</v>
      </c>
      <c r="O35" s="113">
        <v>0.8</v>
      </c>
      <c r="P35" s="113">
        <v>0.8</v>
      </c>
      <c r="Q35" s="113">
        <v>0.8</v>
      </c>
      <c r="R35" s="113">
        <v>0.8</v>
      </c>
      <c r="S35" s="113">
        <v>0.8</v>
      </c>
      <c r="T35" s="113">
        <v>0.8</v>
      </c>
      <c r="U35" s="113">
        <v>0.8</v>
      </c>
      <c r="V35" s="113">
        <v>0.8</v>
      </c>
      <c r="W35" s="113">
        <v>0.8</v>
      </c>
      <c r="X35" s="113">
        <v>0.8</v>
      </c>
      <c r="Y35" s="113">
        <v>0.8</v>
      </c>
      <c r="Z35" s="113">
        <v>0.8</v>
      </c>
      <c r="AA35" s="113">
        <v>0.8</v>
      </c>
      <c r="AB35" s="113">
        <v>0.8</v>
      </c>
      <c r="AC35" s="113">
        <v>0.8</v>
      </c>
      <c r="AD35" s="113">
        <v>0.8</v>
      </c>
      <c r="AE35" s="113">
        <v>0.8</v>
      </c>
      <c r="AF35" s="113">
        <v>0.8</v>
      </c>
      <c r="AG35" s="113">
        <v>0.8</v>
      </c>
      <c r="AH35" s="113">
        <v>0.8</v>
      </c>
      <c r="AI35" s="113">
        <v>0.8</v>
      </c>
      <c r="AJ35" s="113">
        <v>0.8</v>
      </c>
      <c r="AK35" s="113">
        <v>0.8</v>
      </c>
      <c r="AL35" s="113">
        <v>0.8</v>
      </c>
      <c r="AM35" s="113">
        <v>0.8</v>
      </c>
      <c r="AN35" s="113">
        <v>0.8</v>
      </c>
      <c r="AO35" s="113">
        <v>0.8</v>
      </c>
      <c r="AP35" s="113">
        <v>0.8</v>
      </c>
      <c r="AQ35" s="113">
        <v>0.8</v>
      </c>
    </row>
    <row r="36" spans="1:43" x14ac:dyDescent="0.15">
      <c r="A36" s="153" t="s">
        <v>216</v>
      </c>
      <c r="B36" s="113">
        <v>0.8</v>
      </c>
      <c r="C36" s="113">
        <v>0.8</v>
      </c>
      <c r="D36" s="113">
        <v>0.8</v>
      </c>
      <c r="E36" s="113">
        <v>0.8</v>
      </c>
      <c r="F36" s="113">
        <v>0.8</v>
      </c>
      <c r="G36" s="113">
        <v>0.8</v>
      </c>
      <c r="H36" s="113">
        <v>0.8</v>
      </c>
      <c r="I36" s="113">
        <v>0.8</v>
      </c>
      <c r="J36" s="113">
        <v>0.8</v>
      </c>
      <c r="K36" s="113">
        <v>0.8</v>
      </c>
      <c r="L36" s="113">
        <v>0.8</v>
      </c>
      <c r="M36" s="113">
        <v>0.8</v>
      </c>
      <c r="N36" s="113">
        <v>0.8</v>
      </c>
      <c r="O36" s="113">
        <v>0.8</v>
      </c>
      <c r="P36" s="113">
        <v>0.8</v>
      </c>
      <c r="Q36" s="113">
        <v>0.8</v>
      </c>
      <c r="R36" s="113">
        <v>0.8</v>
      </c>
      <c r="S36" s="113">
        <v>0.8</v>
      </c>
      <c r="T36" s="113">
        <v>0.8</v>
      </c>
      <c r="U36" s="113">
        <v>0.8</v>
      </c>
      <c r="V36" s="113">
        <v>0.8</v>
      </c>
      <c r="W36" s="113">
        <v>0.8</v>
      </c>
      <c r="X36" s="113">
        <v>0.8</v>
      </c>
      <c r="Y36" s="113">
        <v>0.8</v>
      </c>
      <c r="Z36" s="113">
        <v>0.8</v>
      </c>
      <c r="AA36" s="113">
        <v>0.8</v>
      </c>
      <c r="AB36" s="113">
        <v>0.8</v>
      </c>
      <c r="AC36" s="113">
        <v>0.8</v>
      </c>
      <c r="AD36" s="113">
        <v>0.8</v>
      </c>
      <c r="AE36" s="113">
        <v>0.8</v>
      </c>
      <c r="AF36" s="113">
        <v>0.8</v>
      </c>
      <c r="AG36" s="113">
        <v>0.8</v>
      </c>
      <c r="AH36" s="113">
        <v>0.8</v>
      </c>
      <c r="AI36" s="113">
        <v>0.8</v>
      </c>
      <c r="AJ36" s="113">
        <v>0.8</v>
      </c>
      <c r="AK36" s="113">
        <v>0.8</v>
      </c>
      <c r="AL36" s="113">
        <v>0.8</v>
      </c>
      <c r="AM36" s="113">
        <v>0.8</v>
      </c>
      <c r="AN36" s="113">
        <v>0.8</v>
      </c>
      <c r="AO36" s="113">
        <v>0.8</v>
      </c>
      <c r="AP36" s="113">
        <v>0.8</v>
      </c>
      <c r="AQ36" s="113">
        <v>0.8</v>
      </c>
    </row>
    <row r="37" spans="1:43" x14ac:dyDescent="0.15">
      <c r="A37" s="153" t="s">
        <v>217</v>
      </c>
      <c r="B37" s="113">
        <v>0.8</v>
      </c>
      <c r="C37" s="113">
        <v>0.8</v>
      </c>
      <c r="D37" s="113">
        <v>0.8</v>
      </c>
      <c r="E37" s="113">
        <v>0.8</v>
      </c>
      <c r="F37" s="113">
        <v>0.8</v>
      </c>
      <c r="G37" s="113">
        <v>0.8</v>
      </c>
      <c r="H37" s="113">
        <v>0.8</v>
      </c>
      <c r="I37" s="113">
        <v>0.8</v>
      </c>
      <c r="J37" s="113">
        <v>0.8</v>
      </c>
      <c r="K37" s="113">
        <v>0.8</v>
      </c>
      <c r="L37" s="113">
        <v>0.8</v>
      </c>
      <c r="M37" s="113">
        <v>0.8</v>
      </c>
      <c r="N37" s="113">
        <v>0.8</v>
      </c>
      <c r="O37" s="113">
        <v>0.8</v>
      </c>
      <c r="P37" s="113">
        <v>0.8</v>
      </c>
      <c r="Q37" s="113">
        <v>0.8</v>
      </c>
      <c r="R37" s="113">
        <v>0.8</v>
      </c>
      <c r="S37" s="113">
        <v>0.8</v>
      </c>
      <c r="T37" s="113">
        <v>0.8</v>
      </c>
      <c r="U37" s="113">
        <v>0.8</v>
      </c>
      <c r="V37" s="113">
        <v>0.8</v>
      </c>
      <c r="W37" s="113">
        <v>0.8</v>
      </c>
      <c r="X37" s="113">
        <v>0.8</v>
      </c>
      <c r="Y37" s="113">
        <v>0.8</v>
      </c>
      <c r="Z37" s="113">
        <v>0.8</v>
      </c>
      <c r="AA37" s="113">
        <v>0.8</v>
      </c>
      <c r="AB37" s="113">
        <v>0.8</v>
      </c>
      <c r="AC37" s="113">
        <v>0.8</v>
      </c>
      <c r="AD37" s="113">
        <v>0.8</v>
      </c>
      <c r="AE37" s="113">
        <v>0.8</v>
      </c>
      <c r="AF37" s="113">
        <v>0.8</v>
      </c>
      <c r="AG37" s="113">
        <v>0.8</v>
      </c>
      <c r="AH37" s="113">
        <v>0.8</v>
      </c>
      <c r="AI37" s="113">
        <v>0.8</v>
      </c>
      <c r="AJ37" s="113">
        <v>0.8</v>
      </c>
      <c r="AK37" s="113">
        <v>0.8</v>
      </c>
      <c r="AL37" s="113">
        <v>0.8</v>
      </c>
      <c r="AM37" s="113">
        <v>0.8</v>
      </c>
      <c r="AN37" s="113">
        <v>0.8</v>
      </c>
      <c r="AO37" s="113">
        <v>0.8</v>
      </c>
      <c r="AP37" s="113">
        <v>0.8</v>
      </c>
      <c r="AQ37" s="113">
        <v>0.8</v>
      </c>
    </row>
    <row r="38" spans="1:43" x14ac:dyDescent="0.15">
      <c r="A38" s="153" t="s">
        <v>218</v>
      </c>
      <c r="B38" s="113">
        <v>0.8</v>
      </c>
      <c r="C38" s="113">
        <v>0.8</v>
      </c>
      <c r="D38" s="113">
        <v>0.8</v>
      </c>
      <c r="E38" s="113">
        <v>0.8</v>
      </c>
      <c r="F38" s="113">
        <v>0.8</v>
      </c>
      <c r="G38" s="113">
        <v>0.8</v>
      </c>
      <c r="H38" s="113">
        <v>0.8</v>
      </c>
      <c r="I38" s="113">
        <v>0.8</v>
      </c>
      <c r="J38" s="113">
        <v>0.8</v>
      </c>
      <c r="K38" s="113">
        <v>0.8</v>
      </c>
      <c r="L38" s="113">
        <v>0.8</v>
      </c>
      <c r="M38" s="113">
        <v>0.8</v>
      </c>
      <c r="N38" s="113">
        <v>0.8</v>
      </c>
      <c r="O38" s="113">
        <v>0.8</v>
      </c>
      <c r="P38" s="113">
        <v>0.8</v>
      </c>
      <c r="Q38" s="113">
        <v>0.8</v>
      </c>
      <c r="R38" s="113">
        <v>0.8</v>
      </c>
      <c r="S38" s="113">
        <v>0.8</v>
      </c>
      <c r="T38" s="113">
        <v>0.8</v>
      </c>
      <c r="U38" s="113">
        <v>0.8</v>
      </c>
      <c r="V38" s="113">
        <v>0.8</v>
      </c>
      <c r="W38" s="113">
        <v>0.8</v>
      </c>
      <c r="X38" s="113">
        <v>0.8</v>
      </c>
      <c r="Y38" s="113">
        <v>0.8</v>
      </c>
      <c r="Z38" s="113">
        <v>0.8</v>
      </c>
      <c r="AA38" s="113">
        <v>0.8</v>
      </c>
      <c r="AB38" s="113">
        <v>0.8</v>
      </c>
      <c r="AC38" s="113">
        <v>0.8</v>
      </c>
      <c r="AD38" s="113">
        <v>0.8</v>
      </c>
      <c r="AE38" s="113">
        <v>0.8</v>
      </c>
      <c r="AF38" s="113">
        <v>0.8</v>
      </c>
      <c r="AG38" s="113">
        <v>0.8</v>
      </c>
      <c r="AH38" s="113">
        <v>0.8</v>
      </c>
      <c r="AI38" s="113">
        <v>0.8</v>
      </c>
      <c r="AJ38" s="113">
        <v>0.8</v>
      </c>
      <c r="AK38" s="113">
        <v>0.8</v>
      </c>
      <c r="AL38" s="113">
        <v>0.8</v>
      </c>
      <c r="AM38" s="113">
        <v>0.8</v>
      </c>
      <c r="AN38" s="113">
        <v>0.8</v>
      </c>
      <c r="AO38" s="113">
        <v>0.8</v>
      </c>
      <c r="AP38" s="113">
        <v>0.8</v>
      </c>
      <c r="AQ38" s="113">
        <v>0.8</v>
      </c>
    </row>
    <row r="39" spans="1:43" x14ac:dyDescent="0.15">
      <c r="A39" s="153" t="s">
        <v>219</v>
      </c>
      <c r="B39" s="113">
        <v>0.8</v>
      </c>
      <c r="C39" s="113">
        <v>0.8</v>
      </c>
      <c r="D39" s="113">
        <v>0.8</v>
      </c>
      <c r="E39" s="113">
        <v>0.8</v>
      </c>
      <c r="F39" s="113">
        <v>0.8</v>
      </c>
      <c r="G39" s="113">
        <v>0.8</v>
      </c>
      <c r="H39" s="113">
        <v>0.8</v>
      </c>
      <c r="I39" s="113">
        <v>0.8</v>
      </c>
      <c r="J39" s="113">
        <v>0.8</v>
      </c>
      <c r="K39" s="113">
        <v>0.8</v>
      </c>
      <c r="L39" s="113">
        <v>0.8</v>
      </c>
      <c r="M39" s="113">
        <v>0.8</v>
      </c>
      <c r="N39" s="113">
        <v>0.8</v>
      </c>
      <c r="O39" s="113">
        <v>0.8</v>
      </c>
      <c r="P39" s="113">
        <v>0.8</v>
      </c>
      <c r="Q39" s="113">
        <v>0.8</v>
      </c>
      <c r="R39" s="113">
        <v>0.8</v>
      </c>
      <c r="S39" s="113">
        <v>0.8</v>
      </c>
      <c r="T39" s="113">
        <v>0.8</v>
      </c>
      <c r="U39" s="113">
        <v>0.8</v>
      </c>
      <c r="V39" s="113">
        <v>0.8</v>
      </c>
      <c r="W39" s="113">
        <v>0.8</v>
      </c>
      <c r="X39" s="113">
        <v>0.8</v>
      </c>
      <c r="Y39" s="113">
        <v>0.8</v>
      </c>
      <c r="Z39" s="113">
        <v>0.8</v>
      </c>
      <c r="AA39" s="113">
        <v>0.8</v>
      </c>
      <c r="AB39" s="113">
        <v>0.8</v>
      </c>
      <c r="AC39" s="113">
        <v>0.8</v>
      </c>
      <c r="AD39" s="113">
        <v>0.8</v>
      </c>
      <c r="AE39" s="113">
        <v>0.8</v>
      </c>
      <c r="AF39" s="113">
        <v>0.8</v>
      </c>
      <c r="AG39" s="113">
        <v>0.8</v>
      </c>
      <c r="AH39" s="113">
        <v>0.8</v>
      </c>
      <c r="AI39" s="113">
        <v>0.8</v>
      </c>
      <c r="AJ39" s="113">
        <v>0.8</v>
      </c>
      <c r="AK39" s="113">
        <v>0.8</v>
      </c>
      <c r="AL39" s="113">
        <v>0.8</v>
      </c>
      <c r="AM39" s="113">
        <v>0.8</v>
      </c>
      <c r="AN39" s="113">
        <v>0.8</v>
      </c>
      <c r="AO39" s="113">
        <v>0.8</v>
      </c>
      <c r="AP39" s="113">
        <v>0.8</v>
      </c>
      <c r="AQ39" s="113">
        <v>0.8</v>
      </c>
    </row>
    <row r="40" spans="1:43" x14ac:dyDescent="0.15">
      <c r="A40" s="153" t="s">
        <v>220</v>
      </c>
      <c r="B40" s="113">
        <v>0.8</v>
      </c>
      <c r="C40" s="113">
        <v>0.8</v>
      </c>
      <c r="D40" s="113">
        <v>0.8</v>
      </c>
      <c r="E40" s="113">
        <v>0.8</v>
      </c>
      <c r="F40" s="113">
        <v>0.8</v>
      </c>
      <c r="G40" s="113">
        <v>0.8</v>
      </c>
      <c r="H40" s="113">
        <v>0.8</v>
      </c>
      <c r="I40" s="113">
        <v>0.8</v>
      </c>
      <c r="J40" s="113">
        <v>0.8</v>
      </c>
      <c r="K40" s="113">
        <v>0.8</v>
      </c>
      <c r="L40" s="113">
        <v>0.8</v>
      </c>
      <c r="M40" s="113">
        <v>0.8</v>
      </c>
      <c r="N40" s="113">
        <v>0.8</v>
      </c>
      <c r="O40" s="113">
        <v>0.8</v>
      </c>
      <c r="P40" s="113">
        <v>0.8</v>
      </c>
      <c r="Q40" s="113">
        <v>0.8</v>
      </c>
      <c r="R40" s="113">
        <v>0.8</v>
      </c>
      <c r="S40" s="113">
        <v>0.8</v>
      </c>
      <c r="T40" s="113">
        <v>0.8</v>
      </c>
      <c r="U40" s="113">
        <v>0.8</v>
      </c>
      <c r="V40" s="113">
        <v>0.8</v>
      </c>
      <c r="W40" s="113">
        <v>0.8</v>
      </c>
      <c r="X40" s="113">
        <v>0.8</v>
      </c>
      <c r="Y40" s="113">
        <v>0.8</v>
      </c>
      <c r="Z40" s="113">
        <v>0.8</v>
      </c>
      <c r="AA40" s="113">
        <v>0.8</v>
      </c>
      <c r="AB40" s="113">
        <v>0.8</v>
      </c>
      <c r="AC40" s="113">
        <v>0.8</v>
      </c>
      <c r="AD40" s="113">
        <v>0.8</v>
      </c>
      <c r="AE40" s="113">
        <v>0.8</v>
      </c>
      <c r="AF40" s="113">
        <v>0.8</v>
      </c>
      <c r="AG40" s="113">
        <v>0.8</v>
      </c>
      <c r="AH40" s="113">
        <v>0.8</v>
      </c>
      <c r="AI40" s="113">
        <v>0.8</v>
      </c>
      <c r="AJ40" s="113">
        <v>0.8</v>
      </c>
      <c r="AK40" s="113">
        <v>0.8</v>
      </c>
      <c r="AL40" s="113">
        <v>0.8</v>
      </c>
      <c r="AM40" s="113">
        <v>0.8</v>
      </c>
      <c r="AN40" s="113">
        <v>0.8</v>
      </c>
      <c r="AO40" s="113">
        <v>0.8</v>
      </c>
      <c r="AP40" s="113">
        <v>0.8</v>
      </c>
      <c r="AQ40" s="113">
        <v>0.8</v>
      </c>
    </row>
    <row r="41" spans="1:43" x14ac:dyDescent="0.15">
      <c r="A41" s="153" t="s">
        <v>221</v>
      </c>
      <c r="B41" s="113">
        <v>0.8</v>
      </c>
      <c r="C41" s="113">
        <v>0.8</v>
      </c>
      <c r="D41" s="113">
        <v>0.8</v>
      </c>
      <c r="E41" s="113">
        <v>0.8</v>
      </c>
      <c r="F41" s="113">
        <v>0.8</v>
      </c>
      <c r="G41" s="113">
        <v>0.8</v>
      </c>
      <c r="H41" s="113">
        <v>0.8</v>
      </c>
      <c r="I41" s="113">
        <v>0.8</v>
      </c>
      <c r="J41" s="113">
        <v>0.8</v>
      </c>
      <c r="K41" s="113">
        <v>0.8</v>
      </c>
      <c r="L41" s="113">
        <v>0.8</v>
      </c>
      <c r="M41" s="113">
        <v>0.8</v>
      </c>
      <c r="N41" s="113">
        <v>0.8</v>
      </c>
      <c r="O41" s="113">
        <v>0.8</v>
      </c>
      <c r="P41" s="113">
        <v>0.8</v>
      </c>
      <c r="Q41" s="113">
        <v>0.8</v>
      </c>
      <c r="R41" s="113">
        <v>0.8</v>
      </c>
      <c r="S41" s="113">
        <v>0.8</v>
      </c>
      <c r="T41" s="113">
        <v>0.8</v>
      </c>
      <c r="U41" s="113">
        <v>0.8</v>
      </c>
      <c r="V41" s="113">
        <v>0.8</v>
      </c>
      <c r="W41" s="113">
        <v>0.8</v>
      </c>
      <c r="X41" s="113">
        <v>0.8</v>
      </c>
      <c r="Y41" s="113">
        <v>0.8</v>
      </c>
      <c r="Z41" s="113">
        <v>0.8</v>
      </c>
      <c r="AA41" s="113">
        <v>0.8</v>
      </c>
      <c r="AB41" s="113">
        <v>0.8</v>
      </c>
      <c r="AC41" s="113">
        <v>0.8</v>
      </c>
      <c r="AD41" s="113">
        <v>0.8</v>
      </c>
      <c r="AE41" s="113">
        <v>0.8</v>
      </c>
      <c r="AF41" s="113">
        <v>0.8</v>
      </c>
      <c r="AG41" s="113">
        <v>0.8</v>
      </c>
      <c r="AH41" s="113">
        <v>0.8</v>
      </c>
      <c r="AI41" s="113">
        <v>0.8</v>
      </c>
      <c r="AJ41" s="113">
        <v>0.8</v>
      </c>
      <c r="AK41" s="113">
        <v>0.8</v>
      </c>
      <c r="AL41" s="113">
        <v>0.8</v>
      </c>
      <c r="AM41" s="113">
        <v>0.8</v>
      </c>
      <c r="AN41" s="113">
        <v>0.8</v>
      </c>
      <c r="AO41" s="113">
        <v>0.8</v>
      </c>
      <c r="AP41" s="113">
        <v>0.8</v>
      </c>
      <c r="AQ41" s="113">
        <v>0.8</v>
      </c>
    </row>
    <row r="42" spans="1:43" x14ac:dyDescent="0.15">
      <c r="A42" s="153" t="s">
        <v>222</v>
      </c>
      <c r="B42" s="113">
        <v>0.8</v>
      </c>
      <c r="C42" s="113">
        <v>0.8</v>
      </c>
      <c r="D42" s="113">
        <v>0.8</v>
      </c>
      <c r="E42" s="113">
        <v>0.8</v>
      </c>
      <c r="F42" s="113">
        <v>0.8</v>
      </c>
      <c r="G42" s="113">
        <v>0.8</v>
      </c>
      <c r="H42" s="113">
        <v>0.8</v>
      </c>
      <c r="I42" s="113">
        <v>0.8</v>
      </c>
      <c r="J42" s="113">
        <v>0.8</v>
      </c>
      <c r="K42" s="113">
        <v>0.8</v>
      </c>
      <c r="L42" s="113">
        <v>0.8</v>
      </c>
      <c r="M42" s="113">
        <v>0.8</v>
      </c>
      <c r="N42" s="113">
        <v>0.8</v>
      </c>
      <c r="O42" s="113">
        <v>0.8</v>
      </c>
      <c r="P42" s="113">
        <v>0.8</v>
      </c>
      <c r="Q42" s="113">
        <v>0.8</v>
      </c>
      <c r="R42" s="113">
        <v>0.8</v>
      </c>
      <c r="S42" s="113">
        <v>0.8</v>
      </c>
      <c r="T42" s="113">
        <v>0.8</v>
      </c>
      <c r="U42" s="113">
        <v>0.8</v>
      </c>
      <c r="V42" s="113">
        <v>0.8</v>
      </c>
      <c r="W42" s="113">
        <v>0.8</v>
      </c>
      <c r="X42" s="113">
        <v>0.8</v>
      </c>
      <c r="Y42" s="113">
        <v>0.8</v>
      </c>
      <c r="Z42" s="113">
        <v>0.8</v>
      </c>
      <c r="AA42" s="113">
        <v>0.8</v>
      </c>
      <c r="AB42" s="113">
        <v>0.8</v>
      </c>
      <c r="AC42" s="113">
        <v>0.8</v>
      </c>
      <c r="AD42" s="113">
        <v>0.8</v>
      </c>
      <c r="AE42" s="113">
        <v>0.8</v>
      </c>
      <c r="AF42" s="113">
        <v>0.8</v>
      </c>
      <c r="AG42" s="113">
        <v>0.8</v>
      </c>
      <c r="AH42" s="113">
        <v>0.8</v>
      </c>
      <c r="AI42" s="113">
        <v>0.8</v>
      </c>
      <c r="AJ42" s="113">
        <v>0.8</v>
      </c>
      <c r="AK42" s="113">
        <v>0.8</v>
      </c>
      <c r="AL42" s="113">
        <v>0.8</v>
      </c>
      <c r="AM42" s="113">
        <v>0.8</v>
      </c>
      <c r="AN42" s="113">
        <v>0.8</v>
      </c>
      <c r="AO42" s="113">
        <v>0.8</v>
      </c>
      <c r="AP42" s="113">
        <v>0.8</v>
      </c>
      <c r="AQ42" s="113">
        <v>0.8</v>
      </c>
    </row>
    <row r="43" spans="1:43" x14ac:dyDescent="0.15">
      <c r="A43" s="153" t="s">
        <v>240</v>
      </c>
      <c r="B43" s="113">
        <v>0.8</v>
      </c>
      <c r="C43" s="113">
        <v>0.8</v>
      </c>
      <c r="D43" s="113">
        <v>0.8</v>
      </c>
      <c r="E43" s="113">
        <v>0.8</v>
      </c>
      <c r="F43" s="113">
        <v>0.8</v>
      </c>
      <c r="G43" s="113">
        <v>0.8</v>
      </c>
      <c r="H43" s="113">
        <v>0.8</v>
      </c>
      <c r="I43" s="113">
        <v>0.8</v>
      </c>
      <c r="J43" s="113">
        <v>0.8</v>
      </c>
      <c r="K43" s="113">
        <v>0.8</v>
      </c>
      <c r="L43" s="113">
        <v>0.8</v>
      </c>
      <c r="M43" s="113">
        <v>0.8</v>
      </c>
      <c r="N43" s="113">
        <v>0.8</v>
      </c>
      <c r="O43" s="113">
        <v>0.8</v>
      </c>
      <c r="P43" s="113">
        <v>0.8</v>
      </c>
      <c r="Q43" s="113">
        <v>0.8</v>
      </c>
      <c r="R43" s="113">
        <v>0.8</v>
      </c>
      <c r="S43" s="113">
        <v>0.8</v>
      </c>
      <c r="T43" s="113">
        <v>0.8</v>
      </c>
      <c r="U43" s="113">
        <v>0.8</v>
      </c>
      <c r="V43" s="113">
        <v>0.8</v>
      </c>
      <c r="W43" s="113">
        <v>0.8</v>
      </c>
      <c r="X43" s="113">
        <v>0.8</v>
      </c>
      <c r="Y43" s="113">
        <v>0.8</v>
      </c>
      <c r="Z43" s="113">
        <v>0.8</v>
      </c>
      <c r="AA43" s="113">
        <v>0.8</v>
      </c>
      <c r="AB43" s="113">
        <v>0.8</v>
      </c>
      <c r="AC43" s="113">
        <v>0.8</v>
      </c>
      <c r="AD43" s="113">
        <v>0.8</v>
      </c>
      <c r="AE43" s="113">
        <v>0.8</v>
      </c>
      <c r="AF43" s="113">
        <v>0.8</v>
      </c>
      <c r="AG43" s="113">
        <v>0.8</v>
      </c>
      <c r="AH43" s="113">
        <v>0.8</v>
      </c>
      <c r="AI43" s="113">
        <v>0.8</v>
      </c>
      <c r="AJ43" s="113">
        <v>0.8</v>
      </c>
      <c r="AK43" s="113">
        <v>0.8</v>
      </c>
      <c r="AL43" s="113">
        <v>0.8</v>
      </c>
      <c r="AM43" s="113">
        <v>0.8</v>
      </c>
      <c r="AN43" s="113">
        <v>0.8</v>
      </c>
      <c r="AO43" s="113">
        <v>0.8</v>
      </c>
      <c r="AP43" s="113">
        <v>0.8</v>
      </c>
      <c r="AQ43" s="113">
        <v>0.8</v>
      </c>
    </row>
    <row r="44" spans="1:43" x14ac:dyDescent="0.15">
      <c r="A44" s="153" t="s">
        <v>166</v>
      </c>
      <c r="B44" s="113">
        <v>0.8</v>
      </c>
      <c r="C44" s="113">
        <v>0.8</v>
      </c>
      <c r="D44" s="113">
        <v>0.8</v>
      </c>
      <c r="E44" s="113">
        <v>0.8</v>
      </c>
      <c r="F44" s="113">
        <v>0.8</v>
      </c>
      <c r="G44" s="113">
        <v>0.8</v>
      </c>
      <c r="H44" s="113">
        <v>0.8</v>
      </c>
      <c r="I44" s="113">
        <v>0.8</v>
      </c>
      <c r="J44" s="113">
        <v>0.8</v>
      </c>
      <c r="K44" s="113">
        <v>0.8</v>
      </c>
      <c r="L44" s="113">
        <v>0.8</v>
      </c>
      <c r="M44" s="113">
        <v>0.8</v>
      </c>
      <c r="N44" s="113">
        <v>0.8</v>
      </c>
      <c r="O44" s="113">
        <v>0.8</v>
      </c>
      <c r="P44" s="113">
        <v>0.8</v>
      </c>
      <c r="Q44" s="113">
        <v>0.8</v>
      </c>
      <c r="R44" s="113">
        <v>0.8</v>
      </c>
      <c r="S44" s="113">
        <v>0.8</v>
      </c>
      <c r="T44" s="113">
        <v>0.8</v>
      </c>
      <c r="U44" s="113">
        <v>0.8</v>
      </c>
      <c r="V44" s="113">
        <v>0.8</v>
      </c>
      <c r="W44" s="113">
        <v>0.8</v>
      </c>
      <c r="X44" s="113">
        <v>0.8</v>
      </c>
      <c r="Y44" s="113">
        <v>0.8</v>
      </c>
      <c r="Z44" s="113">
        <v>0.8</v>
      </c>
      <c r="AA44" s="113">
        <v>0.8</v>
      </c>
      <c r="AB44" s="113">
        <v>0.8</v>
      </c>
      <c r="AC44" s="113">
        <v>0.8</v>
      </c>
      <c r="AD44" s="113">
        <v>0.8</v>
      </c>
      <c r="AE44" s="113">
        <v>0.8</v>
      </c>
      <c r="AF44" s="113">
        <v>0.8</v>
      </c>
      <c r="AG44" s="113">
        <v>0.8</v>
      </c>
      <c r="AH44" s="113">
        <v>0.8</v>
      </c>
      <c r="AI44" s="113">
        <v>0.8</v>
      </c>
      <c r="AJ44" s="113">
        <v>0.8</v>
      </c>
      <c r="AK44" s="113">
        <v>0.8</v>
      </c>
      <c r="AL44" s="113">
        <v>0.8</v>
      </c>
      <c r="AM44" s="113">
        <v>0.8</v>
      </c>
      <c r="AN44" s="113">
        <v>0.8</v>
      </c>
      <c r="AO44" s="113">
        <v>0.8</v>
      </c>
      <c r="AP44" s="113">
        <v>0.8</v>
      </c>
      <c r="AQ44" s="113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Q44"/>
  <sheetViews>
    <sheetView topLeftCell="A25" workbookViewId="0">
      <selection activeCell="A43" sqref="A43"/>
    </sheetView>
  </sheetViews>
  <sheetFormatPr baseColWidth="10" defaultRowHeight="13" x14ac:dyDescent="0.15"/>
  <cols>
    <col min="1" max="1" width="39.83203125" style="113" bestFit="1" customWidth="1"/>
    <col min="2" max="16384" width="10.83203125" style="113"/>
  </cols>
  <sheetData>
    <row r="1" spans="1:43" x14ac:dyDescent="0.15">
      <c r="A1" s="63" t="s">
        <v>141</v>
      </c>
      <c r="B1" s="113" t="s">
        <v>182</v>
      </c>
      <c r="C1" s="113" t="s">
        <v>183</v>
      </c>
      <c r="D1" s="113" t="s">
        <v>184</v>
      </c>
      <c r="E1" s="113" t="s">
        <v>185</v>
      </c>
      <c r="F1" s="113" t="s">
        <v>186</v>
      </c>
      <c r="G1" s="113" t="s">
        <v>187</v>
      </c>
      <c r="H1" s="113" t="s">
        <v>188</v>
      </c>
      <c r="I1" s="113" t="s">
        <v>189</v>
      </c>
      <c r="J1" s="113" t="s">
        <v>190</v>
      </c>
      <c r="K1" s="113" t="s">
        <v>191</v>
      </c>
      <c r="L1" s="113" t="s">
        <v>192</v>
      </c>
      <c r="M1" s="113" t="s">
        <v>193</v>
      </c>
      <c r="N1" s="113" t="s">
        <v>194</v>
      </c>
      <c r="O1" s="113" t="s">
        <v>195</v>
      </c>
      <c r="P1" s="113" t="s">
        <v>196</v>
      </c>
      <c r="Q1" s="113" t="s">
        <v>197</v>
      </c>
      <c r="R1" s="113" t="s">
        <v>198</v>
      </c>
      <c r="S1" s="113" t="s">
        <v>199</v>
      </c>
      <c r="T1" s="113" t="s">
        <v>200</v>
      </c>
      <c r="U1" s="113" t="s">
        <v>201</v>
      </c>
      <c r="V1" s="113" t="s">
        <v>202</v>
      </c>
      <c r="W1" s="85" t="s">
        <v>203</v>
      </c>
      <c r="X1" s="85" t="s">
        <v>204</v>
      </c>
      <c r="Y1" s="73" t="s">
        <v>205</v>
      </c>
      <c r="Z1" s="6" t="s">
        <v>206</v>
      </c>
      <c r="AA1" s="6" t="s">
        <v>207</v>
      </c>
      <c r="AB1" s="132" t="s">
        <v>208</v>
      </c>
      <c r="AC1" s="132" t="s">
        <v>209</v>
      </c>
      <c r="AD1" s="132" t="s">
        <v>210</v>
      </c>
      <c r="AE1" s="113" t="s">
        <v>211</v>
      </c>
      <c r="AF1" s="113" t="s">
        <v>212</v>
      </c>
      <c r="AG1" s="113" t="s">
        <v>213</v>
      </c>
      <c r="AH1" s="113" t="s">
        <v>214</v>
      </c>
      <c r="AI1" s="113" t="s">
        <v>215</v>
      </c>
      <c r="AJ1" s="113" t="s">
        <v>216</v>
      </c>
      <c r="AK1" s="113" t="s">
        <v>217</v>
      </c>
      <c r="AL1" s="113" t="s">
        <v>218</v>
      </c>
      <c r="AM1" s="113" t="s">
        <v>219</v>
      </c>
      <c r="AN1" s="113" t="s">
        <v>220</v>
      </c>
      <c r="AO1" s="113" t="s">
        <v>221</v>
      </c>
      <c r="AP1" s="113" t="s">
        <v>222</v>
      </c>
      <c r="AQ1" s="153" t="s">
        <v>240</v>
      </c>
    </row>
    <row r="2" spans="1:43" x14ac:dyDescent="0.15">
      <c r="A2" t="s">
        <v>182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</row>
    <row r="3" spans="1:43" x14ac:dyDescent="0.15">
      <c r="A3" t="s">
        <v>183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</row>
    <row r="4" spans="1:43" x14ac:dyDescent="0.15">
      <c r="A4" t="s">
        <v>184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</row>
    <row r="5" spans="1:43" x14ac:dyDescent="0.15">
      <c r="A5" t="s">
        <v>185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</row>
    <row r="6" spans="1:43" x14ac:dyDescent="0.15">
      <c r="A6" t="s">
        <v>186</v>
      </c>
      <c r="B6" s="113">
        <v>0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</row>
    <row r="7" spans="1:43" x14ac:dyDescent="0.15">
      <c r="A7" t="s">
        <v>187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</row>
    <row r="8" spans="1:43" x14ac:dyDescent="0.15">
      <c r="A8" t="s">
        <v>188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</row>
    <row r="9" spans="1:43" x14ac:dyDescent="0.15">
      <c r="A9" t="s">
        <v>189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</row>
    <row r="10" spans="1:43" x14ac:dyDescent="0.15">
      <c r="A10" t="s">
        <v>190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</row>
    <row r="11" spans="1:43" x14ac:dyDescent="0.15">
      <c r="A11" s="153" t="s">
        <v>191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</row>
    <row r="12" spans="1:43" x14ac:dyDescent="0.15">
      <c r="A12" s="153" t="s">
        <v>192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</row>
    <row r="13" spans="1:43" x14ac:dyDescent="0.15">
      <c r="A13" s="153" t="s">
        <v>193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</row>
    <row r="14" spans="1:43" x14ac:dyDescent="0.15">
      <c r="A14" s="153" t="s">
        <v>194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</row>
    <row r="15" spans="1:43" x14ac:dyDescent="0.15">
      <c r="A15" s="153" t="s">
        <v>195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</row>
    <row r="16" spans="1:43" x14ac:dyDescent="0.15">
      <c r="A16" s="153" t="s">
        <v>196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</row>
    <row r="17" spans="1:43" x14ac:dyDescent="0.15">
      <c r="A17" s="153" t="s">
        <v>197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</row>
    <row r="18" spans="1:43" x14ac:dyDescent="0.15">
      <c r="A18" s="153" t="s">
        <v>198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</row>
    <row r="19" spans="1:43" x14ac:dyDescent="0.15">
      <c r="A19" s="153" t="s">
        <v>199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</row>
    <row r="20" spans="1:43" x14ac:dyDescent="0.15">
      <c r="A20" s="153" t="s">
        <v>200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</row>
    <row r="21" spans="1:43" x14ac:dyDescent="0.15">
      <c r="A21" s="153" t="s">
        <v>201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</row>
    <row r="22" spans="1:43" x14ac:dyDescent="0.15">
      <c r="A22" s="153" t="s">
        <v>202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</row>
    <row r="23" spans="1:43" x14ac:dyDescent="0.15">
      <c r="A23" s="153" t="s">
        <v>203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</row>
    <row r="24" spans="1:43" x14ac:dyDescent="0.15">
      <c r="A24" s="153" t="s">
        <v>204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</row>
    <row r="25" spans="1:43" x14ac:dyDescent="0.15">
      <c r="A25" s="153" t="s">
        <v>205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</row>
    <row r="26" spans="1:43" x14ac:dyDescent="0.15">
      <c r="A26" s="153" t="s">
        <v>206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</row>
    <row r="27" spans="1:43" x14ac:dyDescent="0.15">
      <c r="A27" s="153" t="s">
        <v>207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</row>
    <row r="28" spans="1:43" x14ac:dyDescent="0.15">
      <c r="A28" s="153" t="s">
        <v>208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</row>
    <row r="29" spans="1:43" x14ac:dyDescent="0.15">
      <c r="A29" s="153" t="s">
        <v>209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</row>
    <row r="30" spans="1:43" x14ac:dyDescent="0.15">
      <c r="A30" s="153" t="s">
        <v>210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</row>
    <row r="31" spans="1:43" x14ac:dyDescent="0.15">
      <c r="A31" s="153" t="s">
        <v>211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</row>
    <row r="32" spans="1:43" x14ac:dyDescent="0.15">
      <c r="A32" s="153" t="s">
        <v>212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</row>
    <row r="33" spans="1:43" x14ac:dyDescent="0.15">
      <c r="A33" s="153" t="s">
        <v>213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</row>
    <row r="34" spans="1:43" x14ac:dyDescent="0.15">
      <c r="A34" s="153" t="s">
        <v>214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</row>
    <row r="35" spans="1:43" x14ac:dyDescent="0.15">
      <c r="A35" s="153" t="s">
        <v>215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</row>
    <row r="36" spans="1:43" x14ac:dyDescent="0.15">
      <c r="A36" s="153" t="s">
        <v>216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</row>
    <row r="37" spans="1:43" x14ac:dyDescent="0.15">
      <c r="A37" s="153" t="s">
        <v>217</v>
      </c>
      <c r="B37" s="113">
        <v>0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</row>
    <row r="38" spans="1:43" x14ac:dyDescent="0.15">
      <c r="A38" s="153" t="s">
        <v>218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</row>
    <row r="39" spans="1:43" x14ac:dyDescent="0.15">
      <c r="A39" s="153" t="s">
        <v>219</v>
      </c>
      <c r="B39" s="113">
        <v>0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13">
        <v>0</v>
      </c>
      <c r="AF39" s="113">
        <v>0</v>
      </c>
      <c r="AG39" s="113">
        <v>0</v>
      </c>
      <c r="AH39" s="113">
        <v>0</v>
      </c>
      <c r="AI39" s="113">
        <v>0</v>
      </c>
      <c r="AJ39" s="113">
        <v>0</v>
      </c>
      <c r="AK39" s="113">
        <v>0</v>
      </c>
      <c r="AL39" s="113">
        <v>0</v>
      </c>
      <c r="AM39" s="113">
        <v>0</v>
      </c>
      <c r="AN39" s="113">
        <v>0</v>
      </c>
      <c r="AO39" s="113">
        <v>0</v>
      </c>
      <c r="AP39" s="113">
        <v>0</v>
      </c>
      <c r="AQ39" s="113">
        <v>0</v>
      </c>
    </row>
    <row r="40" spans="1:43" x14ac:dyDescent="0.15">
      <c r="A40" s="153" t="s">
        <v>220</v>
      </c>
      <c r="B40" s="113">
        <v>0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  <c r="AQ40" s="113">
        <v>0</v>
      </c>
    </row>
    <row r="41" spans="1:43" x14ac:dyDescent="0.15">
      <c r="A41" s="153" t="s">
        <v>221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0</v>
      </c>
      <c r="AO41" s="113">
        <v>0</v>
      </c>
      <c r="AP41" s="113">
        <v>0</v>
      </c>
      <c r="AQ41" s="113">
        <v>0</v>
      </c>
    </row>
    <row r="42" spans="1:43" x14ac:dyDescent="0.15">
      <c r="A42" s="153" t="s">
        <v>222</v>
      </c>
      <c r="B42" s="113">
        <v>0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0</v>
      </c>
      <c r="W42" s="113">
        <v>0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  <c r="AQ42" s="113">
        <v>0</v>
      </c>
    </row>
    <row r="43" spans="1:43" x14ac:dyDescent="0.15">
      <c r="A43" s="153" t="s">
        <v>240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0</v>
      </c>
      <c r="AA43" s="113">
        <v>0</v>
      </c>
      <c r="AB43" s="113">
        <v>0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0</v>
      </c>
      <c r="AN43" s="113">
        <v>0</v>
      </c>
      <c r="AO43" s="113">
        <v>0</v>
      </c>
      <c r="AP43" s="113">
        <v>0</v>
      </c>
      <c r="AQ43" s="113">
        <v>0</v>
      </c>
    </row>
    <row r="44" spans="1:43" x14ac:dyDescent="0.15">
      <c r="A44" s="153" t="s">
        <v>166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</v>
      </c>
      <c r="O44" s="113">
        <v>0</v>
      </c>
      <c r="P44" s="113">
        <v>0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0</v>
      </c>
      <c r="W44" s="113">
        <v>0</v>
      </c>
      <c r="X44" s="113">
        <v>0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113">
        <v>0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0</v>
      </c>
      <c r="AO44" s="113">
        <v>0</v>
      </c>
      <c r="AP44" s="113">
        <v>0</v>
      </c>
      <c r="AQ44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topLeftCell="A27" workbookViewId="0">
      <selection activeCell="B43" sqref="B43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6" bestFit="1" customWidth="1"/>
    <col min="4" max="4" width="16.33203125" bestFit="1" customWidth="1"/>
  </cols>
  <sheetData>
    <row r="1" spans="1:7" ht="28" x14ac:dyDescent="0.15">
      <c r="A1" s="5" t="s">
        <v>85</v>
      </c>
      <c r="B1" s="3" t="s">
        <v>0</v>
      </c>
      <c r="C1" t="s">
        <v>227</v>
      </c>
      <c r="D1" t="s">
        <v>228</v>
      </c>
      <c r="E1" t="s">
        <v>229</v>
      </c>
      <c r="F1" s="122" t="s">
        <v>230</v>
      </c>
      <c r="G1" s="122" t="s">
        <v>231</v>
      </c>
    </row>
    <row r="2" spans="1:7" x14ac:dyDescent="0.15">
      <c r="A2">
        <v>1</v>
      </c>
      <c r="B2" t="s">
        <v>182</v>
      </c>
      <c r="C2" s="205">
        <v>0.8</v>
      </c>
      <c r="D2" s="205">
        <v>0.8</v>
      </c>
      <c r="E2" s="205">
        <v>0.8</v>
      </c>
      <c r="F2" s="205">
        <v>0.8</v>
      </c>
      <c r="G2" s="205">
        <v>0.8</v>
      </c>
    </row>
    <row r="3" spans="1:7" x14ac:dyDescent="0.15">
      <c r="A3">
        <v>2</v>
      </c>
      <c r="B3" t="s">
        <v>183</v>
      </c>
      <c r="C3" s="205">
        <v>0.8</v>
      </c>
      <c r="D3" s="205">
        <v>0.8</v>
      </c>
      <c r="E3" s="205">
        <v>0.8</v>
      </c>
      <c r="F3" s="205">
        <v>0.8</v>
      </c>
      <c r="G3" s="205">
        <v>0.8</v>
      </c>
    </row>
    <row r="4" spans="1:7" x14ac:dyDescent="0.15">
      <c r="A4">
        <v>3</v>
      </c>
      <c r="B4" t="s">
        <v>184</v>
      </c>
      <c r="C4" s="205">
        <v>0.8</v>
      </c>
      <c r="D4" s="205">
        <v>0.8</v>
      </c>
      <c r="E4" s="205">
        <v>0.8</v>
      </c>
      <c r="F4" s="205">
        <v>0.8</v>
      </c>
      <c r="G4" s="205">
        <v>0.8</v>
      </c>
    </row>
    <row r="5" spans="1:7" x14ac:dyDescent="0.15">
      <c r="A5">
        <v>4</v>
      </c>
      <c r="B5" t="s">
        <v>185</v>
      </c>
      <c r="C5" s="205">
        <v>0.8</v>
      </c>
      <c r="D5" s="205">
        <v>0.8</v>
      </c>
      <c r="E5" s="205">
        <v>0.8</v>
      </c>
      <c r="F5" s="205">
        <v>0.8</v>
      </c>
      <c r="G5" s="205">
        <v>0.8</v>
      </c>
    </row>
    <row r="6" spans="1:7" x14ac:dyDescent="0.15">
      <c r="A6">
        <v>5</v>
      </c>
      <c r="B6" t="s">
        <v>186</v>
      </c>
      <c r="C6" s="205">
        <v>0.8</v>
      </c>
      <c r="D6" s="205">
        <v>0.8</v>
      </c>
      <c r="E6" s="205">
        <v>0.8</v>
      </c>
      <c r="F6" s="205">
        <v>0.8</v>
      </c>
      <c r="G6" s="205">
        <v>0.8</v>
      </c>
    </row>
    <row r="7" spans="1:7" x14ac:dyDescent="0.15">
      <c r="A7">
        <v>6</v>
      </c>
      <c r="B7" t="s">
        <v>187</v>
      </c>
      <c r="C7" s="205">
        <v>0.8</v>
      </c>
      <c r="D7" s="205">
        <v>0.8</v>
      </c>
      <c r="E7" s="205">
        <v>0.8</v>
      </c>
      <c r="F7" s="205">
        <v>0.8</v>
      </c>
      <c r="G7" s="205">
        <v>0.8</v>
      </c>
    </row>
    <row r="8" spans="1:7" x14ac:dyDescent="0.15">
      <c r="A8">
        <v>7</v>
      </c>
      <c r="B8" t="s">
        <v>188</v>
      </c>
      <c r="C8" s="205">
        <v>0.8</v>
      </c>
      <c r="D8" s="205">
        <v>0.8</v>
      </c>
      <c r="E8" s="205">
        <v>0.8</v>
      </c>
      <c r="F8" s="205">
        <v>0.8</v>
      </c>
      <c r="G8" s="205">
        <v>0.8</v>
      </c>
    </row>
    <row r="9" spans="1:7" x14ac:dyDescent="0.15">
      <c r="A9">
        <v>8</v>
      </c>
      <c r="B9" t="s">
        <v>189</v>
      </c>
      <c r="C9" s="205">
        <v>0.8</v>
      </c>
      <c r="D9" s="205">
        <v>0.8</v>
      </c>
      <c r="E9" s="205">
        <v>0.8</v>
      </c>
      <c r="F9" s="205">
        <v>0.8</v>
      </c>
      <c r="G9" s="205">
        <v>0.8</v>
      </c>
    </row>
    <row r="10" spans="1:7" x14ac:dyDescent="0.15">
      <c r="A10">
        <v>9</v>
      </c>
      <c r="B10" t="s">
        <v>190</v>
      </c>
      <c r="C10" s="205">
        <v>0.8</v>
      </c>
      <c r="D10" s="205">
        <v>0.8</v>
      </c>
      <c r="E10" s="205">
        <v>0.8</v>
      </c>
      <c r="F10" s="205">
        <v>0.8</v>
      </c>
      <c r="G10" s="205">
        <v>0.8</v>
      </c>
    </row>
    <row r="11" spans="1:7" x14ac:dyDescent="0.15">
      <c r="A11">
        <v>10</v>
      </c>
      <c r="B11" s="153" t="s">
        <v>191</v>
      </c>
      <c r="C11" s="205">
        <v>0.8</v>
      </c>
      <c r="D11" s="205">
        <v>0.8</v>
      </c>
      <c r="E11" s="205">
        <v>0.8</v>
      </c>
      <c r="F11" s="205">
        <v>0.8</v>
      </c>
      <c r="G11" s="205">
        <v>0.8</v>
      </c>
    </row>
    <row r="12" spans="1:7" x14ac:dyDescent="0.15">
      <c r="A12">
        <v>11</v>
      </c>
      <c r="B12" s="153" t="s">
        <v>192</v>
      </c>
      <c r="C12" s="205">
        <v>0.8</v>
      </c>
      <c r="D12" s="205">
        <v>0.8</v>
      </c>
      <c r="E12" s="205">
        <v>0.8</v>
      </c>
      <c r="F12" s="205">
        <v>0.8</v>
      </c>
      <c r="G12" s="205">
        <v>0.8</v>
      </c>
    </row>
    <row r="13" spans="1:7" x14ac:dyDescent="0.15">
      <c r="A13">
        <v>12</v>
      </c>
      <c r="B13" s="153" t="s">
        <v>193</v>
      </c>
      <c r="C13" s="205">
        <v>0.8</v>
      </c>
      <c r="D13" s="205">
        <v>0.8</v>
      </c>
      <c r="E13" s="205">
        <v>0.8</v>
      </c>
      <c r="F13" s="205">
        <v>0.8</v>
      </c>
      <c r="G13" s="205">
        <v>0.8</v>
      </c>
    </row>
    <row r="14" spans="1:7" x14ac:dyDescent="0.15">
      <c r="A14">
        <v>13</v>
      </c>
      <c r="B14" s="153" t="s">
        <v>194</v>
      </c>
      <c r="C14" s="205">
        <v>0.8</v>
      </c>
      <c r="D14" s="205">
        <v>0.8</v>
      </c>
      <c r="E14" s="205">
        <v>0.8</v>
      </c>
      <c r="F14" s="205">
        <v>0.8</v>
      </c>
      <c r="G14" s="205">
        <v>0.8</v>
      </c>
    </row>
    <row r="15" spans="1:7" x14ac:dyDescent="0.15">
      <c r="A15">
        <v>14</v>
      </c>
      <c r="B15" s="153" t="s">
        <v>195</v>
      </c>
      <c r="C15" s="205">
        <v>0.8</v>
      </c>
      <c r="D15" s="205">
        <v>0.8</v>
      </c>
      <c r="E15" s="205">
        <v>0.8</v>
      </c>
      <c r="F15" s="205">
        <v>0.8</v>
      </c>
      <c r="G15" s="205">
        <v>0.8</v>
      </c>
    </row>
    <row r="16" spans="1:7" x14ac:dyDescent="0.15">
      <c r="A16">
        <v>15</v>
      </c>
      <c r="B16" s="153" t="s">
        <v>196</v>
      </c>
      <c r="C16" s="205">
        <v>0.8</v>
      </c>
      <c r="D16" s="205">
        <v>0.8</v>
      </c>
      <c r="E16" s="205">
        <v>0.8</v>
      </c>
      <c r="F16" s="205">
        <v>0.8</v>
      </c>
      <c r="G16" s="205">
        <v>0.8</v>
      </c>
    </row>
    <row r="17" spans="1:7" x14ac:dyDescent="0.15">
      <c r="A17">
        <v>16</v>
      </c>
      <c r="B17" s="153" t="s">
        <v>197</v>
      </c>
      <c r="C17" s="205">
        <v>0.8</v>
      </c>
      <c r="D17" s="205">
        <v>0.8</v>
      </c>
      <c r="E17" s="205">
        <v>0.8</v>
      </c>
      <c r="F17" s="205">
        <v>0.8</v>
      </c>
      <c r="G17" s="205">
        <v>0.8</v>
      </c>
    </row>
    <row r="18" spans="1:7" x14ac:dyDescent="0.15">
      <c r="A18">
        <v>17</v>
      </c>
      <c r="B18" s="153" t="s">
        <v>198</v>
      </c>
      <c r="C18" s="205">
        <v>0.8</v>
      </c>
      <c r="D18" s="205">
        <v>0.8</v>
      </c>
      <c r="E18" s="205">
        <v>0.8</v>
      </c>
      <c r="F18" s="205">
        <v>0.8</v>
      </c>
      <c r="G18" s="205">
        <v>0.8</v>
      </c>
    </row>
    <row r="19" spans="1:7" x14ac:dyDescent="0.15">
      <c r="A19">
        <v>18</v>
      </c>
      <c r="B19" s="153" t="s">
        <v>199</v>
      </c>
      <c r="C19" s="205">
        <v>0.8</v>
      </c>
      <c r="D19" s="205">
        <v>0.8</v>
      </c>
      <c r="E19" s="205">
        <v>0.8</v>
      </c>
      <c r="F19" s="205">
        <v>0.8</v>
      </c>
      <c r="G19" s="205">
        <v>0.8</v>
      </c>
    </row>
    <row r="20" spans="1:7" x14ac:dyDescent="0.15">
      <c r="A20">
        <v>19</v>
      </c>
      <c r="B20" s="153" t="s">
        <v>200</v>
      </c>
      <c r="C20" s="205">
        <v>0.8</v>
      </c>
      <c r="D20" s="205">
        <v>0.8</v>
      </c>
      <c r="E20" s="205">
        <v>0.8</v>
      </c>
      <c r="F20" s="205">
        <v>0.8</v>
      </c>
      <c r="G20" s="205">
        <v>0.8</v>
      </c>
    </row>
    <row r="21" spans="1:7" x14ac:dyDescent="0.15">
      <c r="A21">
        <v>20</v>
      </c>
      <c r="B21" s="153" t="s">
        <v>201</v>
      </c>
      <c r="C21" s="205">
        <v>0.8</v>
      </c>
      <c r="D21" s="205">
        <v>0.8</v>
      </c>
      <c r="E21" s="205">
        <v>0.8</v>
      </c>
      <c r="F21" s="205">
        <v>0.8</v>
      </c>
      <c r="G21" s="205">
        <v>0.8</v>
      </c>
    </row>
    <row r="22" spans="1:7" x14ac:dyDescent="0.15">
      <c r="A22">
        <v>21</v>
      </c>
      <c r="B22" s="153" t="s">
        <v>202</v>
      </c>
      <c r="C22" s="205">
        <v>0.8</v>
      </c>
      <c r="D22" s="205">
        <v>0.8</v>
      </c>
      <c r="E22" s="205">
        <v>0.8</v>
      </c>
      <c r="F22" s="205">
        <v>0.8</v>
      </c>
      <c r="G22" s="205">
        <v>0.8</v>
      </c>
    </row>
    <row r="23" spans="1:7" x14ac:dyDescent="0.15">
      <c r="A23">
        <v>22</v>
      </c>
      <c r="B23" s="153" t="s">
        <v>203</v>
      </c>
      <c r="C23" s="205">
        <v>0.8</v>
      </c>
      <c r="D23" s="205">
        <v>0.8</v>
      </c>
      <c r="E23" s="205">
        <v>0.8</v>
      </c>
      <c r="F23" s="205">
        <v>0.8</v>
      </c>
      <c r="G23" s="205">
        <v>0.8</v>
      </c>
    </row>
    <row r="24" spans="1:7" x14ac:dyDescent="0.15">
      <c r="A24">
        <v>23</v>
      </c>
      <c r="B24" s="153" t="s">
        <v>204</v>
      </c>
      <c r="C24" s="205">
        <v>0.8</v>
      </c>
      <c r="D24" s="205">
        <v>0.8</v>
      </c>
      <c r="E24" s="205">
        <v>0.8</v>
      </c>
      <c r="F24" s="205">
        <v>0.8</v>
      </c>
      <c r="G24" s="205">
        <v>0.8</v>
      </c>
    </row>
    <row r="25" spans="1:7" x14ac:dyDescent="0.15">
      <c r="A25">
        <v>24</v>
      </c>
      <c r="B25" s="153" t="s">
        <v>205</v>
      </c>
      <c r="C25" s="205">
        <v>0.8</v>
      </c>
      <c r="D25" s="205">
        <v>0.8</v>
      </c>
      <c r="E25" s="205">
        <v>0.8</v>
      </c>
      <c r="F25" s="205">
        <v>0.8</v>
      </c>
      <c r="G25" s="205">
        <v>0.8</v>
      </c>
    </row>
    <row r="26" spans="1:7" x14ac:dyDescent="0.15">
      <c r="A26">
        <v>25</v>
      </c>
      <c r="B26" s="153" t="s">
        <v>206</v>
      </c>
      <c r="C26" s="205">
        <v>0.8</v>
      </c>
      <c r="D26" s="205">
        <v>0.8</v>
      </c>
      <c r="E26" s="205">
        <v>0.8</v>
      </c>
      <c r="F26" s="205">
        <v>0.8</v>
      </c>
      <c r="G26" s="205">
        <v>0.8</v>
      </c>
    </row>
    <row r="27" spans="1:7" x14ac:dyDescent="0.15">
      <c r="A27">
        <v>26</v>
      </c>
      <c r="B27" s="153" t="s">
        <v>207</v>
      </c>
      <c r="C27" s="205">
        <v>0.8</v>
      </c>
      <c r="D27" s="205">
        <v>0.8</v>
      </c>
      <c r="E27" s="205">
        <v>0.8</v>
      </c>
      <c r="F27" s="205">
        <v>0.8</v>
      </c>
      <c r="G27" s="205">
        <v>0.8</v>
      </c>
    </row>
    <row r="28" spans="1:7" x14ac:dyDescent="0.15">
      <c r="A28">
        <v>27</v>
      </c>
      <c r="B28" s="153" t="s">
        <v>208</v>
      </c>
      <c r="C28" s="205">
        <v>0.8</v>
      </c>
      <c r="D28" s="205">
        <v>0.8</v>
      </c>
      <c r="E28" s="205">
        <v>0.8</v>
      </c>
      <c r="F28" s="205">
        <v>0.8</v>
      </c>
      <c r="G28" s="205">
        <v>0.8</v>
      </c>
    </row>
    <row r="29" spans="1:7" x14ac:dyDescent="0.15">
      <c r="A29">
        <v>28</v>
      </c>
      <c r="B29" s="153" t="s">
        <v>209</v>
      </c>
      <c r="C29" s="205">
        <v>0.8</v>
      </c>
      <c r="D29" s="205">
        <v>0.8</v>
      </c>
      <c r="E29" s="205">
        <v>0.8</v>
      </c>
      <c r="F29" s="205">
        <v>0.8</v>
      </c>
      <c r="G29" s="205">
        <v>0.8</v>
      </c>
    </row>
    <row r="30" spans="1:7" x14ac:dyDescent="0.15">
      <c r="A30">
        <v>29</v>
      </c>
      <c r="B30" s="153" t="s">
        <v>210</v>
      </c>
      <c r="C30" s="205">
        <v>0.8</v>
      </c>
      <c r="D30" s="205">
        <v>0.8</v>
      </c>
      <c r="E30" s="205">
        <v>0.8</v>
      </c>
      <c r="F30" s="205">
        <v>0.8</v>
      </c>
      <c r="G30" s="205">
        <v>0.8</v>
      </c>
    </row>
    <row r="31" spans="1:7" x14ac:dyDescent="0.15">
      <c r="A31">
        <v>30</v>
      </c>
      <c r="B31" s="153" t="s">
        <v>211</v>
      </c>
      <c r="C31" s="205">
        <v>0.8</v>
      </c>
      <c r="D31" s="205">
        <v>0.8</v>
      </c>
      <c r="E31" s="205">
        <v>0.8</v>
      </c>
      <c r="F31" s="205">
        <v>0.8</v>
      </c>
      <c r="G31" s="205">
        <v>0.8</v>
      </c>
    </row>
    <row r="32" spans="1:7" x14ac:dyDescent="0.15">
      <c r="A32">
        <v>31</v>
      </c>
      <c r="B32" s="153" t="s">
        <v>212</v>
      </c>
      <c r="C32" s="205">
        <v>0.8</v>
      </c>
      <c r="D32" s="205">
        <v>0.8</v>
      </c>
      <c r="E32" s="205">
        <v>0.8</v>
      </c>
      <c r="F32" s="205">
        <v>0.8</v>
      </c>
      <c r="G32" s="205">
        <v>0.8</v>
      </c>
    </row>
    <row r="33" spans="1:7" x14ac:dyDescent="0.15">
      <c r="A33">
        <v>32</v>
      </c>
      <c r="B33" s="153" t="s">
        <v>213</v>
      </c>
      <c r="C33" s="205">
        <v>0.8</v>
      </c>
      <c r="D33" s="205">
        <v>0.8</v>
      </c>
      <c r="E33" s="205">
        <v>0.8</v>
      </c>
      <c r="F33" s="205">
        <v>0.8</v>
      </c>
      <c r="G33" s="205">
        <v>0.8</v>
      </c>
    </row>
    <row r="34" spans="1:7" x14ac:dyDescent="0.15">
      <c r="A34">
        <v>33</v>
      </c>
      <c r="B34" s="153" t="s">
        <v>214</v>
      </c>
      <c r="C34" s="205">
        <v>0.8</v>
      </c>
      <c r="D34" s="205">
        <v>0.8</v>
      </c>
      <c r="E34" s="205">
        <v>0.8</v>
      </c>
      <c r="F34" s="205">
        <v>0.8</v>
      </c>
      <c r="G34" s="205">
        <v>0.8</v>
      </c>
    </row>
    <row r="35" spans="1:7" x14ac:dyDescent="0.15">
      <c r="A35">
        <v>34</v>
      </c>
      <c r="B35" s="153" t="s">
        <v>215</v>
      </c>
      <c r="C35" s="205">
        <v>0.8</v>
      </c>
      <c r="D35" s="205">
        <v>0.8</v>
      </c>
      <c r="E35" s="205">
        <v>0.8</v>
      </c>
      <c r="F35" s="205">
        <v>0.8</v>
      </c>
      <c r="G35" s="205">
        <v>0.8</v>
      </c>
    </row>
    <row r="36" spans="1:7" x14ac:dyDescent="0.15">
      <c r="A36">
        <v>35</v>
      </c>
      <c r="B36" s="153" t="s">
        <v>216</v>
      </c>
      <c r="C36" s="205">
        <v>0.8</v>
      </c>
      <c r="D36" s="205">
        <v>0.8</v>
      </c>
      <c r="E36" s="205">
        <v>0.8</v>
      </c>
      <c r="F36" s="205">
        <v>0.8</v>
      </c>
      <c r="G36" s="205">
        <v>0.8</v>
      </c>
    </row>
    <row r="37" spans="1:7" x14ac:dyDescent="0.15">
      <c r="A37">
        <v>36</v>
      </c>
      <c r="B37" s="153" t="s">
        <v>217</v>
      </c>
      <c r="C37" s="205">
        <v>0.8</v>
      </c>
      <c r="D37" s="205">
        <v>0.8</v>
      </c>
      <c r="E37" s="205">
        <v>0.8</v>
      </c>
      <c r="F37" s="205">
        <v>0.8</v>
      </c>
      <c r="G37" s="205">
        <v>0.8</v>
      </c>
    </row>
    <row r="38" spans="1:7" x14ac:dyDescent="0.15">
      <c r="A38">
        <v>37</v>
      </c>
      <c r="B38" s="153" t="s">
        <v>218</v>
      </c>
      <c r="C38" s="205">
        <v>0.8</v>
      </c>
      <c r="D38" s="205">
        <v>0.8</v>
      </c>
      <c r="E38" s="205">
        <v>0.8</v>
      </c>
      <c r="F38" s="205">
        <v>0.8</v>
      </c>
      <c r="G38" s="205">
        <v>0.8</v>
      </c>
    </row>
    <row r="39" spans="1:7" x14ac:dyDescent="0.15">
      <c r="A39">
        <v>38</v>
      </c>
      <c r="B39" s="153" t="s">
        <v>219</v>
      </c>
      <c r="C39" s="205">
        <v>0.8</v>
      </c>
      <c r="D39" s="205">
        <v>0.8</v>
      </c>
      <c r="E39" s="205">
        <v>0.8</v>
      </c>
      <c r="F39" s="205">
        <v>0.8</v>
      </c>
      <c r="G39" s="205">
        <v>0.8</v>
      </c>
    </row>
    <row r="40" spans="1:7" x14ac:dyDescent="0.15">
      <c r="A40">
        <v>39</v>
      </c>
      <c r="B40" s="153" t="s">
        <v>220</v>
      </c>
      <c r="C40" s="205">
        <v>0.8</v>
      </c>
      <c r="D40" s="205">
        <v>0.8</v>
      </c>
      <c r="E40" s="205">
        <v>0.8</v>
      </c>
      <c r="F40" s="205">
        <v>0.8</v>
      </c>
      <c r="G40" s="205">
        <v>0.8</v>
      </c>
    </row>
    <row r="41" spans="1:7" x14ac:dyDescent="0.15">
      <c r="A41">
        <v>40</v>
      </c>
      <c r="B41" s="153" t="s">
        <v>221</v>
      </c>
      <c r="C41" s="205">
        <v>0.8</v>
      </c>
      <c r="D41" s="205">
        <v>0.8</v>
      </c>
      <c r="E41" s="205">
        <v>0.8</v>
      </c>
      <c r="F41" s="205">
        <v>0.8</v>
      </c>
      <c r="G41" s="205">
        <v>0.8</v>
      </c>
    </row>
    <row r="42" spans="1:7" x14ac:dyDescent="0.15">
      <c r="A42">
        <v>41</v>
      </c>
      <c r="B42" s="153" t="s">
        <v>222</v>
      </c>
      <c r="C42" s="205">
        <v>0.8</v>
      </c>
      <c r="D42" s="205">
        <v>0.8</v>
      </c>
      <c r="E42" s="205">
        <v>0.8</v>
      </c>
      <c r="F42" s="205">
        <v>0.8</v>
      </c>
      <c r="G42" s="205">
        <v>0.8</v>
      </c>
    </row>
    <row r="43" spans="1:7" x14ac:dyDescent="0.15">
      <c r="A43">
        <v>42</v>
      </c>
      <c r="B43" s="153" t="s">
        <v>240</v>
      </c>
      <c r="C43" s="205">
        <v>0.8</v>
      </c>
      <c r="D43" s="205">
        <v>0.8</v>
      </c>
      <c r="E43" s="205">
        <v>0.8</v>
      </c>
      <c r="F43" s="205">
        <v>0.8</v>
      </c>
      <c r="G43" s="205">
        <v>0.8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43"/>
  <sheetViews>
    <sheetView topLeftCell="A31" workbookViewId="0">
      <selection activeCell="B43" sqref="B43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6" bestFit="1" customWidth="1"/>
    <col min="4" max="4" width="16.33203125" bestFit="1" customWidth="1"/>
  </cols>
  <sheetData>
    <row r="1" spans="1:7" ht="28" x14ac:dyDescent="0.15">
      <c r="A1" s="5" t="s">
        <v>84</v>
      </c>
      <c r="B1" s="3" t="s">
        <v>0</v>
      </c>
      <c r="C1" t="s">
        <v>227</v>
      </c>
      <c r="D1" t="s">
        <v>228</v>
      </c>
      <c r="E1" t="s">
        <v>229</v>
      </c>
      <c r="F1" s="122" t="s">
        <v>230</v>
      </c>
      <c r="G1" s="122" t="s">
        <v>231</v>
      </c>
    </row>
    <row r="2" spans="1:7" x14ac:dyDescent="0.15">
      <c r="A2">
        <v>1</v>
      </c>
      <c r="B2" t="s">
        <v>182</v>
      </c>
      <c r="C2" s="205">
        <v>0.8</v>
      </c>
      <c r="D2" s="205">
        <v>0.8</v>
      </c>
      <c r="E2" s="205">
        <v>0.8</v>
      </c>
      <c r="F2" s="205">
        <v>0.8</v>
      </c>
      <c r="G2" s="205">
        <v>0.8</v>
      </c>
    </row>
    <row r="3" spans="1:7" x14ac:dyDescent="0.15">
      <c r="A3">
        <v>2</v>
      </c>
      <c r="B3" t="s">
        <v>183</v>
      </c>
      <c r="C3" s="205">
        <v>0.8</v>
      </c>
      <c r="D3" s="205">
        <v>0.8</v>
      </c>
      <c r="E3" s="205">
        <v>0.8</v>
      </c>
      <c r="F3" s="205">
        <v>0.8</v>
      </c>
      <c r="G3" s="205">
        <v>0.8</v>
      </c>
    </row>
    <row r="4" spans="1:7" x14ac:dyDescent="0.15">
      <c r="A4">
        <v>3</v>
      </c>
      <c r="B4" t="s">
        <v>184</v>
      </c>
      <c r="C4" s="205">
        <v>0.8</v>
      </c>
      <c r="D4" s="205">
        <v>0.8</v>
      </c>
      <c r="E4" s="205">
        <v>0.8</v>
      </c>
      <c r="F4" s="205">
        <v>0.8</v>
      </c>
      <c r="G4" s="205">
        <v>0.8</v>
      </c>
    </row>
    <row r="5" spans="1:7" x14ac:dyDescent="0.15">
      <c r="A5">
        <v>4</v>
      </c>
      <c r="B5" t="s">
        <v>185</v>
      </c>
      <c r="C5" s="205">
        <v>0.8</v>
      </c>
      <c r="D5" s="205">
        <v>0.8</v>
      </c>
      <c r="E5" s="205">
        <v>0.8</v>
      </c>
      <c r="F5" s="205">
        <v>0.8</v>
      </c>
      <c r="G5" s="205">
        <v>0.8</v>
      </c>
    </row>
    <row r="6" spans="1:7" x14ac:dyDescent="0.15">
      <c r="A6">
        <v>5</v>
      </c>
      <c r="B6" t="s">
        <v>186</v>
      </c>
      <c r="C6" s="205">
        <v>0.8</v>
      </c>
      <c r="D6" s="205">
        <v>0.8</v>
      </c>
      <c r="E6" s="205">
        <v>0.8</v>
      </c>
      <c r="F6" s="205">
        <v>0.8</v>
      </c>
      <c r="G6" s="205">
        <v>0.8</v>
      </c>
    </row>
    <row r="7" spans="1:7" x14ac:dyDescent="0.15">
      <c r="A7">
        <v>6</v>
      </c>
      <c r="B7" t="s">
        <v>187</v>
      </c>
      <c r="C7" s="205">
        <v>0.8</v>
      </c>
      <c r="D7" s="205">
        <v>0.8</v>
      </c>
      <c r="E7" s="205">
        <v>0.8</v>
      </c>
      <c r="F7" s="205">
        <v>0.8</v>
      </c>
      <c r="G7" s="205">
        <v>0.8</v>
      </c>
    </row>
    <row r="8" spans="1:7" x14ac:dyDescent="0.15">
      <c r="A8">
        <v>7</v>
      </c>
      <c r="B8" t="s">
        <v>188</v>
      </c>
      <c r="C8" s="205">
        <v>0.8</v>
      </c>
      <c r="D8" s="205">
        <v>0.8</v>
      </c>
      <c r="E8" s="205">
        <v>0.8</v>
      </c>
      <c r="F8" s="205">
        <v>0.8</v>
      </c>
      <c r="G8" s="205">
        <v>0.8</v>
      </c>
    </row>
    <row r="9" spans="1:7" x14ac:dyDescent="0.15">
      <c r="A9">
        <v>8</v>
      </c>
      <c r="B9" t="s">
        <v>189</v>
      </c>
      <c r="C9" s="205">
        <v>0.8</v>
      </c>
      <c r="D9" s="205">
        <v>0.8</v>
      </c>
      <c r="E9" s="205">
        <v>0.8</v>
      </c>
      <c r="F9" s="205">
        <v>0.8</v>
      </c>
      <c r="G9" s="205">
        <v>0.8</v>
      </c>
    </row>
    <row r="10" spans="1:7" x14ac:dyDescent="0.15">
      <c r="A10">
        <v>9</v>
      </c>
      <c r="B10" t="s">
        <v>190</v>
      </c>
      <c r="C10" s="205">
        <v>0.8</v>
      </c>
      <c r="D10" s="205">
        <v>0.8</v>
      </c>
      <c r="E10" s="205">
        <v>0.8</v>
      </c>
      <c r="F10" s="205">
        <v>0.8</v>
      </c>
      <c r="G10" s="205">
        <v>0.8</v>
      </c>
    </row>
    <row r="11" spans="1:7" x14ac:dyDescent="0.15">
      <c r="A11">
        <v>10</v>
      </c>
      <c r="B11" s="153" t="s">
        <v>191</v>
      </c>
      <c r="C11" s="205">
        <v>0.8</v>
      </c>
      <c r="D11" s="205">
        <v>0.8</v>
      </c>
      <c r="E11" s="205">
        <v>0.8</v>
      </c>
      <c r="F11" s="205">
        <v>0.8</v>
      </c>
      <c r="G11" s="205">
        <v>0.8</v>
      </c>
    </row>
    <row r="12" spans="1:7" x14ac:dyDescent="0.15">
      <c r="A12">
        <v>11</v>
      </c>
      <c r="B12" s="153" t="s">
        <v>192</v>
      </c>
      <c r="C12" s="205">
        <v>0.8</v>
      </c>
      <c r="D12" s="205">
        <v>0.8</v>
      </c>
      <c r="E12" s="205">
        <v>0.8</v>
      </c>
      <c r="F12" s="205">
        <v>0.8</v>
      </c>
      <c r="G12" s="205">
        <v>0.8</v>
      </c>
    </row>
    <row r="13" spans="1:7" x14ac:dyDescent="0.15">
      <c r="A13">
        <v>12</v>
      </c>
      <c r="B13" s="153" t="s">
        <v>193</v>
      </c>
      <c r="C13" s="205">
        <v>0.8</v>
      </c>
      <c r="D13" s="205">
        <v>0.8</v>
      </c>
      <c r="E13" s="205">
        <v>0.8</v>
      </c>
      <c r="F13" s="205">
        <v>0.8</v>
      </c>
      <c r="G13" s="205">
        <v>0.8</v>
      </c>
    </row>
    <row r="14" spans="1:7" x14ac:dyDescent="0.15">
      <c r="A14">
        <v>13</v>
      </c>
      <c r="B14" s="153" t="s">
        <v>194</v>
      </c>
      <c r="C14" s="205">
        <v>0.8</v>
      </c>
      <c r="D14" s="205">
        <v>0.8</v>
      </c>
      <c r="E14" s="205">
        <v>0.8</v>
      </c>
      <c r="F14" s="205">
        <v>0.8</v>
      </c>
      <c r="G14" s="205">
        <v>0.8</v>
      </c>
    </row>
    <row r="15" spans="1:7" x14ac:dyDescent="0.15">
      <c r="A15">
        <v>14</v>
      </c>
      <c r="B15" s="153" t="s">
        <v>195</v>
      </c>
      <c r="C15" s="205">
        <v>0.8</v>
      </c>
      <c r="D15" s="205">
        <v>0.8</v>
      </c>
      <c r="E15" s="205">
        <v>0.8</v>
      </c>
      <c r="F15" s="205">
        <v>0.8</v>
      </c>
      <c r="G15" s="205">
        <v>0.8</v>
      </c>
    </row>
    <row r="16" spans="1:7" x14ac:dyDescent="0.15">
      <c r="A16">
        <v>15</v>
      </c>
      <c r="B16" s="153" t="s">
        <v>196</v>
      </c>
      <c r="C16" s="205">
        <v>0.8</v>
      </c>
      <c r="D16" s="205">
        <v>0.8</v>
      </c>
      <c r="E16" s="205">
        <v>0.8</v>
      </c>
      <c r="F16" s="205">
        <v>0.8</v>
      </c>
      <c r="G16" s="205">
        <v>0.8</v>
      </c>
    </row>
    <row r="17" spans="1:7" x14ac:dyDescent="0.15">
      <c r="A17">
        <v>16</v>
      </c>
      <c r="B17" s="153" t="s">
        <v>197</v>
      </c>
      <c r="C17" s="205">
        <v>0.8</v>
      </c>
      <c r="D17" s="205">
        <v>0.8</v>
      </c>
      <c r="E17" s="205">
        <v>0.8</v>
      </c>
      <c r="F17" s="205">
        <v>0.8</v>
      </c>
      <c r="G17" s="205">
        <v>0.8</v>
      </c>
    </row>
    <row r="18" spans="1:7" x14ac:dyDescent="0.15">
      <c r="A18">
        <v>17</v>
      </c>
      <c r="B18" s="153" t="s">
        <v>198</v>
      </c>
      <c r="C18" s="205">
        <v>0.8</v>
      </c>
      <c r="D18" s="205">
        <v>0.8</v>
      </c>
      <c r="E18" s="205">
        <v>0.8</v>
      </c>
      <c r="F18" s="205">
        <v>0.8</v>
      </c>
      <c r="G18" s="205">
        <v>0.8</v>
      </c>
    </row>
    <row r="19" spans="1:7" x14ac:dyDescent="0.15">
      <c r="A19">
        <v>18</v>
      </c>
      <c r="B19" s="153" t="s">
        <v>199</v>
      </c>
      <c r="C19" s="205">
        <v>0.8</v>
      </c>
      <c r="D19" s="205">
        <v>0.8</v>
      </c>
      <c r="E19" s="205">
        <v>0.8</v>
      </c>
      <c r="F19" s="205">
        <v>0.8</v>
      </c>
      <c r="G19" s="205">
        <v>0.8</v>
      </c>
    </row>
    <row r="20" spans="1:7" x14ac:dyDescent="0.15">
      <c r="A20">
        <v>19</v>
      </c>
      <c r="B20" s="153" t="s">
        <v>200</v>
      </c>
      <c r="C20" s="205">
        <v>0.8</v>
      </c>
      <c r="D20" s="205">
        <v>0.8</v>
      </c>
      <c r="E20" s="205">
        <v>0.8</v>
      </c>
      <c r="F20" s="205">
        <v>0.8</v>
      </c>
      <c r="G20" s="205">
        <v>0.8</v>
      </c>
    </row>
    <row r="21" spans="1:7" x14ac:dyDescent="0.15">
      <c r="A21">
        <v>20</v>
      </c>
      <c r="B21" s="153" t="s">
        <v>201</v>
      </c>
      <c r="C21" s="205">
        <v>0.8</v>
      </c>
      <c r="D21" s="205">
        <v>0.8</v>
      </c>
      <c r="E21" s="205">
        <v>0.8</v>
      </c>
      <c r="F21" s="205">
        <v>0.8</v>
      </c>
      <c r="G21" s="205">
        <v>0.8</v>
      </c>
    </row>
    <row r="22" spans="1:7" x14ac:dyDescent="0.15">
      <c r="A22">
        <v>21</v>
      </c>
      <c r="B22" s="153" t="s">
        <v>202</v>
      </c>
      <c r="C22" s="205">
        <v>0.8</v>
      </c>
      <c r="D22" s="205">
        <v>0.8</v>
      </c>
      <c r="E22" s="205">
        <v>0.8</v>
      </c>
      <c r="F22" s="205">
        <v>0.8</v>
      </c>
      <c r="G22" s="205">
        <v>0.8</v>
      </c>
    </row>
    <row r="23" spans="1:7" x14ac:dyDescent="0.15">
      <c r="A23">
        <v>22</v>
      </c>
      <c r="B23" s="153" t="s">
        <v>203</v>
      </c>
      <c r="C23" s="205">
        <v>0.8</v>
      </c>
      <c r="D23" s="205">
        <v>0.8</v>
      </c>
      <c r="E23" s="205">
        <v>0.8</v>
      </c>
      <c r="F23" s="205">
        <v>0.8</v>
      </c>
      <c r="G23" s="205">
        <v>0.8</v>
      </c>
    </row>
    <row r="24" spans="1:7" x14ac:dyDescent="0.15">
      <c r="A24">
        <v>23</v>
      </c>
      <c r="B24" s="153" t="s">
        <v>204</v>
      </c>
      <c r="C24" s="205">
        <v>0.8</v>
      </c>
      <c r="D24" s="205">
        <v>0.8</v>
      </c>
      <c r="E24" s="205">
        <v>0.8</v>
      </c>
      <c r="F24" s="205">
        <v>0.8</v>
      </c>
      <c r="G24" s="205">
        <v>0.8</v>
      </c>
    </row>
    <row r="25" spans="1:7" x14ac:dyDescent="0.15">
      <c r="A25">
        <v>24</v>
      </c>
      <c r="B25" s="153" t="s">
        <v>205</v>
      </c>
      <c r="C25" s="205">
        <v>0.8</v>
      </c>
      <c r="D25" s="205">
        <v>0.8</v>
      </c>
      <c r="E25" s="205">
        <v>0.8</v>
      </c>
      <c r="F25" s="205">
        <v>0.8</v>
      </c>
      <c r="G25" s="205">
        <v>0.8</v>
      </c>
    </row>
    <row r="26" spans="1:7" x14ac:dyDescent="0.15">
      <c r="A26">
        <v>25</v>
      </c>
      <c r="B26" s="153" t="s">
        <v>206</v>
      </c>
      <c r="C26" s="205">
        <v>0.8</v>
      </c>
      <c r="D26" s="205">
        <v>0.8</v>
      </c>
      <c r="E26" s="205">
        <v>0.8</v>
      </c>
      <c r="F26" s="205">
        <v>0.8</v>
      </c>
      <c r="G26" s="205">
        <v>0.8</v>
      </c>
    </row>
    <row r="27" spans="1:7" x14ac:dyDescent="0.15">
      <c r="A27">
        <v>26</v>
      </c>
      <c r="B27" s="153" t="s">
        <v>207</v>
      </c>
      <c r="C27" s="205">
        <v>0.8</v>
      </c>
      <c r="D27" s="205">
        <v>0.8</v>
      </c>
      <c r="E27" s="205">
        <v>0.8</v>
      </c>
      <c r="F27" s="205">
        <v>0.8</v>
      </c>
      <c r="G27" s="205">
        <v>0.8</v>
      </c>
    </row>
    <row r="28" spans="1:7" x14ac:dyDescent="0.15">
      <c r="A28">
        <v>27</v>
      </c>
      <c r="B28" s="153" t="s">
        <v>208</v>
      </c>
      <c r="C28" s="205">
        <v>0.8</v>
      </c>
      <c r="D28" s="205">
        <v>0.8</v>
      </c>
      <c r="E28" s="205">
        <v>0.8</v>
      </c>
      <c r="F28" s="205">
        <v>0.8</v>
      </c>
      <c r="G28" s="205">
        <v>0.8</v>
      </c>
    </row>
    <row r="29" spans="1:7" x14ac:dyDescent="0.15">
      <c r="A29">
        <v>28</v>
      </c>
      <c r="B29" s="153" t="s">
        <v>209</v>
      </c>
      <c r="C29" s="205">
        <v>0.8</v>
      </c>
      <c r="D29" s="205">
        <v>0.8</v>
      </c>
      <c r="E29" s="205">
        <v>0.8</v>
      </c>
      <c r="F29" s="205">
        <v>0.8</v>
      </c>
      <c r="G29" s="205">
        <v>0.8</v>
      </c>
    </row>
    <row r="30" spans="1:7" x14ac:dyDescent="0.15">
      <c r="A30">
        <v>29</v>
      </c>
      <c r="B30" s="153" t="s">
        <v>210</v>
      </c>
      <c r="C30" s="205">
        <v>0.8</v>
      </c>
      <c r="D30" s="205">
        <v>0.8</v>
      </c>
      <c r="E30" s="205">
        <v>0.8</v>
      </c>
      <c r="F30" s="205">
        <v>0.8</v>
      </c>
      <c r="G30" s="205">
        <v>0.8</v>
      </c>
    </row>
    <row r="31" spans="1:7" x14ac:dyDescent="0.15">
      <c r="A31">
        <v>30</v>
      </c>
      <c r="B31" s="153" t="s">
        <v>211</v>
      </c>
      <c r="C31" s="205">
        <v>0.8</v>
      </c>
      <c r="D31" s="205">
        <v>0.8</v>
      </c>
      <c r="E31" s="205">
        <v>0.8</v>
      </c>
      <c r="F31" s="205">
        <v>0.8</v>
      </c>
      <c r="G31" s="205">
        <v>0.8</v>
      </c>
    </row>
    <row r="32" spans="1:7" x14ac:dyDescent="0.15">
      <c r="A32">
        <v>31</v>
      </c>
      <c r="B32" s="153" t="s">
        <v>212</v>
      </c>
      <c r="C32" s="205">
        <v>0.8</v>
      </c>
      <c r="D32" s="205">
        <v>0.8</v>
      </c>
      <c r="E32" s="205">
        <v>0.8</v>
      </c>
      <c r="F32" s="205">
        <v>0.8</v>
      </c>
      <c r="G32" s="205">
        <v>0.8</v>
      </c>
    </row>
    <row r="33" spans="1:7" x14ac:dyDescent="0.15">
      <c r="A33">
        <v>32</v>
      </c>
      <c r="B33" s="153" t="s">
        <v>213</v>
      </c>
      <c r="C33" s="205">
        <v>0.8</v>
      </c>
      <c r="D33" s="205">
        <v>0.8</v>
      </c>
      <c r="E33" s="205">
        <v>0.8</v>
      </c>
      <c r="F33" s="205">
        <v>0.8</v>
      </c>
      <c r="G33" s="205">
        <v>0.8</v>
      </c>
    </row>
    <row r="34" spans="1:7" x14ac:dyDescent="0.15">
      <c r="A34">
        <v>33</v>
      </c>
      <c r="B34" s="153" t="s">
        <v>214</v>
      </c>
      <c r="C34" s="205">
        <v>0.8</v>
      </c>
      <c r="D34" s="205">
        <v>0.8</v>
      </c>
      <c r="E34" s="205">
        <v>0.8</v>
      </c>
      <c r="F34" s="205">
        <v>0.8</v>
      </c>
      <c r="G34" s="205">
        <v>0.8</v>
      </c>
    </row>
    <row r="35" spans="1:7" x14ac:dyDescent="0.15">
      <c r="A35">
        <v>34</v>
      </c>
      <c r="B35" s="153" t="s">
        <v>215</v>
      </c>
      <c r="C35" s="205">
        <v>0.8</v>
      </c>
      <c r="D35" s="205">
        <v>0.8</v>
      </c>
      <c r="E35" s="205">
        <v>0.8</v>
      </c>
      <c r="F35" s="205">
        <v>0.8</v>
      </c>
      <c r="G35" s="205">
        <v>0.8</v>
      </c>
    </row>
    <row r="36" spans="1:7" x14ac:dyDescent="0.15">
      <c r="A36">
        <v>35</v>
      </c>
      <c r="B36" s="153" t="s">
        <v>216</v>
      </c>
      <c r="C36" s="205">
        <v>0.8</v>
      </c>
      <c r="D36" s="205">
        <v>0.8</v>
      </c>
      <c r="E36" s="205">
        <v>0.8</v>
      </c>
      <c r="F36" s="205">
        <v>0.8</v>
      </c>
      <c r="G36" s="205">
        <v>0.8</v>
      </c>
    </row>
    <row r="37" spans="1:7" x14ac:dyDescent="0.15">
      <c r="A37">
        <v>36</v>
      </c>
      <c r="B37" s="153" t="s">
        <v>217</v>
      </c>
      <c r="C37" s="205">
        <v>0.8</v>
      </c>
      <c r="D37" s="205">
        <v>0.8</v>
      </c>
      <c r="E37" s="205">
        <v>0.8</v>
      </c>
      <c r="F37" s="205">
        <v>0.8</v>
      </c>
      <c r="G37" s="205">
        <v>0.8</v>
      </c>
    </row>
    <row r="38" spans="1:7" x14ac:dyDescent="0.15">
      <c r="A38">
        <v>37</v>
      </c>
      <c r="B38" s="153" t="s">
        <v>218</v>
      </c>
      <c r="C38" s="205">
        <v>0.8</v>
      </c>
      <c r="D38" s="205">
        <v>0.8</v>
      </c>
      <c r="E38" s="205">
        <v>0.8</v>
      </c>
      <c r="F38" s="205">
        <v>0.8</v>
      </c>
      <c r="G38" s="205">
        <v>0.8</v>
      </c>
    </row>
    <row r="39" spans="1:7" x14ac:dyDescent="0.15">
      <c r="A39">
        <v>38</v>
      </c>
      <c r="B39" s="153" t="s">
        <v>219</v>
      </c>
      <c r="C39" s="205">
        <v>0.8</v>
      </c>
      <c r="D39" s="205">
        <v>0.8</v>
      </c>
      <c r="E39" s="205">
        <v>0.8</v>
      </c>
      <c r="F39" s="205">
        <v>0.8</v>
      </c>
      <c r="G39" s="205">
        <v>0.8</v>
      </c>
    </row>
    <row r="40" spans="1:7" x14ac:dyDescent="0.15">
      <c r="A40">
        <v>39</v>
      </c>
      <c r="B40" s="153" t="s">
        <v>220</v>
      </c>
      <c r="C40" s="205">
        <v>0.8</v>
      </c>
      <c r="D40" s="205">
        <v>0.8</v>
      </c>
      <c r="E40" s="205">
        <v>0.8</v>
      </c>
      <c r="F40" s="205">
        <v>0.8</v>
      </c>
      <c r="G40" s="205">
        <v>0.8</v>
      </c>
    </row>
    <row r="41" spans="1:7" x14ac:dyDescent="0.15">
      <c r="A41">
        <v>40</v>
      </c>
      <c r="B41" s="153" t="s">
        <v>221</v>
      </c>
      <c r="C41" s="205">
        <v>0.8</v>
      </c>
      <c r="D41" s="205">
        <v>0.8</v>
      </c>
      <c r="E41" s="205">
        <v>0.8</v>
      </c>
      <c r="F41" s="205">
        <v>0.8</v>
      </c>
      <c r="G41" s="205">
        <v>0.8</v>
      </c>
    </row>
    <row r="42" spans="1:7" x14ac:dyDescent="0.15">
      <c r="A42">
        <v>41</v>
      </c>
      <c r="B42" s="153" t="s">
        <v>222</v>
      </c>
      <c r="C42" s="205">
        <v>0.8</v>
      </c>
      <c r="D42" s="205">
        <v>0.8</v>
      </c>
      <c r="E42" s="205">
        <v>0.8</v>
      </c>
      <c r="F42" s="205">
        <v>0.8</v>
      </c>
      <c r="G42" s="205">
        <v>0.8</v>
      </c>
    </row>
    <row r="43" spans="1:7" x14ac:dyDescent="0.15">
      <c r="A43">
        <v>42</v>
      </c>
      <c r="B43" s="153" t="s">
        <v>240</v>
      </c>
      <c r="C43" s="205">
        <v>0.8</v>
      </c>
      <c r="D43" s="205">
        <v>0.8</v>
      </c>
      <c r="E43" s="205">
        <v>0.8</v>
      </c>
      <c r="F43" s="205">
        <v>0.8</v>
      </c>
      <c r="G43" s="205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33" activePane="bottomRight" state="frozen"/>
      <selection pane="topRight" activeCell="C1" sqref="C1"/>
      <selection pane="bottomLeft" activeCell="A3" sqref="A3"/>
      <selection pane="bottomRight" activeCell="B53" sqref="B53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99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5" t="s">
        <v>15</v>
      </c>
      <c r="H1" s="1" t="s">
        <v>27</v>
      </c>
      <c r="I1" s="1" t="s">
        <v>25</v>
      </c>
    </row>
    <row r="2" spans="1:10" ht="15" customHeight="1" x14ac:dyDescent="0.15">
      <c r="A2" s="207">
        <v>1</v>
      </c>
      <c r="B2" s="207" t="s">
        <v>182</v>
      </c>
      <c r="C2" s="8">
        <v>4.9550738334655762</v>
      </c>
      <c r="D2" s="9">
        <v>1.9000000320374966E-3</v>
      </c>
      <c r="E2" s="9">
        <v>0.41999998688697815</v>
      </c>
      <c r="F2" s="9">
        <v>1.5</v>
      </c>
      <c r="G2" s="7">
        <v>0.48139098286628723</v>
      </c>
      <c r="H2" s="7">
        <v>0.2800000011920929</v>
      </c>
      <c r="I2">
        <v>3.2774999272078276E-4</v>
      </c>
      <c r="J2"/>
    </row>
    <row r="3" spans="1:10" ht="15" customHeight="1" x14ac:dyDescent="0.15">
      <c r="A3" s="208">
        <v>2</v>
      </c>
      <c r="B3" s="208" t="s">
        <v>183</v>
      </c>
      <c r="C3" s="8">
        <v>5.1541047096252441</v>
      </c>
      <c r="D3" s="9">
        <v>2.0000000949949026E-3</v>
      </c>
      <c r="E3" s="9">
        <v>0.31999999284744263</v>
      </c>
      <c r="F3" s="9">
        <v>2.8199999332427979</v>
      </c>
      <c r="G3" s="7">
        <v>0.26068609952926636</v>
      </c>
      <c r="H3" s="7">
        <v>0.11347518116235733</v>
      </c>
      <c r="I3">
        <v>2.3519998649135232E-5</v>
      </c>
      <c r="J3"/>
    </row>
    <row r="4" spans="1:10" ht="15" customHeight="1" x14ac:dyDescent="0.15">
      <c r="A4" s="209">
        <v>3</v>
      </c>
      <c r="B4" s="209" t="s">
        <v>184</v>
      </c>
      <c r="C4" s="8">
        <v>4.5202150344848633</v>
      </c>
      <c r="D4" s="9">
        <v>1.7999999690800905E-3</v>
      </c>
      <c r="E4" s="9">
        <v>0.34999999403953552</v>
      </c>
      <c r="F4" s="9">
        <v>3.2999999523162842</v>
      </c>
      <c r="G4" s="7">
        <v>0.77206355333328247</v>
      </c>
      <c r="H4" s="7">
        <v>0.10606060922145844</v>
      </c>
      <c r="I4">
        <v>4.0150003042072058E-4</v>
      </c>
      <c r="J4"/>
    </row>
    <row r="5" spans="1:10" ht="15" customHeight="1" x14ac:dyDescent="0.15">
      <c r="A5" s="210">
        <v>4</v>
      </c>
      <c r="B5" s="210" t="s">
        <v>185</v>
      </c>
      <c r="C5" s="8">
        <v>4.9488983154296875</v>
      </c>
      <c r="D5" s="9">
        <v>5.0000002374872565E-4</v>
      </c>
      <c r="E5" s="9">
        <v>0.4699999988079071</v>
      </c>
      <c r="F5" s="9">
        <v>3.7999999523162842</v>
      </c>
      <c r="G5" s="7">
        <v>0.62808507680892944</v>
      </c>
      <c r="H5" s="7">
        <v>0.12368421256542206</v>
      </c>
      <c r="I5">
        <v>6.2699997215531766E-5</v>
      </c>
      <c r="J5"/>
    </row>
    <row r="6" spans="1:10" ht="15" customHeight="1" x14ac:dyDescent="0.15">
      <c r="A6" s="211">
        <v>5</v>
      </c>
      <c r="B6" s="211" t="s">
        <v>186</v>
      </c>
      <c r="C6" s="8">
        <v>4.837317943572998</v>
      </c>
      <c r="D6" s="9">
        <v>6.0000002849847078E-4</v>
      </c>
      <c r="E6" s="9">
        <v>0.4699999988079071</v>
      </c>
      <c r="F6" s="9">
        <v>3.7999999523162842</v>
      </c>
      <c r="G6" s="7">
        <v>0.57872337102890015</v>
      </c>
      <c r="H6" s="7">
        <v>0.12368421256542206</v>
      </c>
      <c r="I6">
        <v>7.8299999586306512E-5</v>
      </c>
      <c r="J6"/>
    </row>
    <row r="7" spans="1:10" ht="15" customHeight="1" x14ac:dyDescent="0.15">
      <c r="A7" s="212">
        <v>6</v>
      </c>
      <c r="B7" s="212" t="s">
        <v>187</v>
      </c>
      <c r="C7" s="8">
        <v>4.7715559005737305</v>
      </c>
      <c r="D7" s="7">
        <v>4.9290125025436282E-4</v>
      </c>
      <c r="E7" s="9">
        <v>0.81000000238418579</v>
      </c>
      <c r="F7" s="9">
        <v>6.070000171661377</v>
      </c>
      <c r="G7" s="9">
        <v>0.40000000596046448</v>
      </c>
      <c r="H7" s="7">
        <v>0.13344316184520721</v>
      </c>
      <c r="I7">
        <v>3.6800000088987872E-5</v>
      </c>
      <c r="J7"/>
    </row>
    <row r="8" spans="1:10" ht="15" customHeight="1" x14ac:dyDescent="0.15">
      <c r="A8" s="213">
        <v>7</v>
      </c>
      <c r="B8" s="213" t="s">
        <v>188</v>
      </c>
      <c r="C8" s="8">
        <v>4.6089353561401367</v>
      </c>
      <c r="D8" s="7">
        <v>6.6275119781494141E-2</v>
      </c>
      <c r="E8" s="9">
        <v>1</v>
      </c>
      <c r="F8" s="9">
        <v>10</v>
      </c>
      <c r="G8" s="9">
        <v>0.60000002384185791</v>
      </c>
      <c r="H8" s="7">
        <v>0.10000000149011612</v>
      </c>
      <c r="I8">
        <v>0</v>
      </c>
      <c r="J8"/>
    </row>
    <row r="9" spans="1:10" ht="15" customHeight="1" x14ac:dyDescent="0.15">
      <c r="A9" s="214">
        <v>8</v>
      </c>
      <c r="B9" s="214" t="s">
        <v>189</v>
      </c>
      <c r="C9" s="8">
        <v>3.7730023860931396</v>
      </c>
      <c r="D9" s="9">
        <v>7.8000001609325409E-2</v>
      </c>
      <c r="E9" s="9">
        <v>7.9999998211860657E-2</v>
      </c>
      <c r="F9" s="9">
        <v>7.4000000953674316</v>
      </c>
      <c r="G9" s="7">
        <v>0</v>
      </c>
      <c r="H9" s="7">
        <v>1.0810810141265392E-2</v>
      </c>
      <c r="I9">
        <v>0</v>
      </c>
      <c r="J9"/>
    </row>
    <row r="10" spans="1:10" ht="15" customHeight="1" x14ac:dyDescent="0.15">
      <c r="A10" s="215">
        <v>9</v>
      </c>
      <c r="B10" s="215" t="s">
        <v>190</v>
      </c>
      <c r="C10" s="8">
        <v>4.6973223686218262</v>
      </c>
      <c r="D10" s="9">
        <v>3.48999984562397E-2</v>
      </c>
      <c r="E10" s="9">
        <v>2.9999999329447746E-2</v>
      </c>
      <c r="F10" s="9">
        <v>13</v>
      </c>
      <c r="G10" s="7">
        <v>0.14055220782756805</v>
      </c>
      <c r="H10" s="7">
        <v>2.3076923098415136E-3</v>
      </c>
      <c r="I10">
        <v>0</v>
      </c>
      <c r="J10"/>
    </row>
    <row r="11" spans="1:10" ht="15" customHeight="1" x14ac:dyDescent="0.15">
      <c r="A11" s="216">
        <v>10</v>
      </c>
      <c r="B11" s="216" t="s">
        <v>191</v>
      </c>
      <c r="C11" s="8">
        <v>4.812863826751709</v>
      </c>
      <c r="D11" s="9">
        <v>4.1000000201165676E-3</v>
      </c>
      <c r="E11" s="9">
        <v>0.5</v>
      </c>
      <c r="F11" s="9">
        <v>8.1999998092651367</v>
      </c>
      <c r="G11" s="7">
        <v>0.30858537554740906</v>
      </c>
      <c r="H11" s="7">
        <v>6.0975611209869385E-2</v>
      </c>
      <c r="I11">
        <v>3.5059999208897352E-4</v>
      </c>
      <c r="J11"/>
    </row>
    <row r="12" spans="1:10" ht="15" customHeight="1" x14ac:dyDescent="0.15">
      <c r="A12" s="217">
        <v>11</v>
      </c>
      <c r="B12" s="217" t="s">
        <v>192</v>
      </c>
      <c r="C12" s="8">
        <v>4.3702645301818848</v>
      </c>
      <c r="D12" s="9">
        <v>3.0000000260770321E-3</v>
      </c>
      <c r="E12" s="9">
        <v>0.60000002384185791</v>
      </c>
      <c r="F12" s="9">
        <v>14.699999809265137</v>
      </c>
      <c r="G12" s="7">
        <v>0.77892667055130005</v>
      </c>
      <c r="H12" s="7">
        <v>4.0816329419612885E-2</v>
      </c>
      <c r="I12">
        <v>6.0000002849847078E-4</v>
      </c>
      <c r="J12"/>
    </row>
    <row r="13" spans="1:10" ht="15" customHeight="1" x14ac:dyDescent="0.15">
      <c r="A13" s="218">
        <v>12</v>
      </c>
      <c r="B13" s="218" t="s">
        <v>193</v>
      </c>
      <c r="C13" s="8">
        <v>4.6191387176513672</v>
      </c>
      <c r="D13" s="9">
        <v>1.9600000232458115E-2</v>
      </c>
      <c r="E13" s="9">
        <v>0.40000000596046448</v>
      </c>
      <c r="F13" s="9">
        <v>10.600000381469727</v>
      </c>
      <c r="G13" s="7">
        <v>0.30939748883247375</v>
      </c>
      <c r="H13" s="7">
        <v>3.7735849618911743E-2</v>
      </c>
      <c r="I13">
        <v>2.0610601641237736E-3</v>
      </c>
      <c r="J13"/>
    </row>
    <row r="14" spans="1:10" ht="15" customHeight="1" x14ac:dyDescent="0.15">
      <c r="A14" s="219">
        <v>13</v>
      </c>
      <c r="B14" s="219" t="s">
        <v>194</v>
      </c>
      <c r="C14" s="8">
        <v>4.1281366348266602</v>
      </c>
      <c r="D14" s="9">
        <v>1.0999999940395355E-3</v>
      </c>
      <c r="E14" s="9">
        <v>0.5</v>
      </c>
      <c r="F14" s="9">
        <v>26.329999923706055</v>
      </c>
      <c r="G14" s="7">
        <v>0.86680006980895996</v>
      </c>
      <c r="H14" s="7">
        <v>1.8989745527505875E-2</v>
      </c>
      <c r="I14">
        <v>3.0000001424923539E-4</v>
      </c>
      <c r="J14"/>
    </row>
    <row r="15" spans="1:10" ht="15" customHeight="1" x14ac:dyDescent="0.15">
      <c r="A15" s="220">
        <v>14</v>
      </c>
      <c r="B15" s="220" t="s">
        <v>195</v>
      </c>
      <c r="C15" s="8">
        <v>4.680875301361084</v>
      </c>
      <c r="D15" s="9">
        <v>1.5200000256299973E-2</v>
      </c>
      <c r="E15" s="9">
        <v>0.40000000596046448</v>
      </c>
      <c r="F15" s="9">
        <v>9.6000003814697266</v>
      </c>
      <c r="G15" s="7">
        <v>0.42851272225379944</v>
      </c>
      <c r="H15" s="7">
        <v>4.1666664183139801E-2</v>
      </c>
      <c r="I15">
        <v>2.0223001483827829E-3</v>
      </c>
      <c r="J15"/>
    </row>
    <row r="16" spans="1:10" ht="15" customHeight="1" x14ac:dyDescent="0.15">
      <c r="A16" s="221">
        <v>15</v>
      </c>
      <c r="B16" s="221" t="s">
        <v>196</v>
      </c>
      <c r="C16" s="8">
        <v>4.0890274047851562</v>
      </c>
      <c r="D16" s="9">
        <v>1.8200000748038292E-2</v>
      </c>
      <c r="E16" s="9">
        <v>0.34999999403953552</v>
      </c>
      <c r="F16" s="9">
        <v>14.920000076293945</v>
      </c>
      <c r="G16" s="7">
        <v>0.74924635887145996</v>
      </c>
      <c r="H16" s="7">
        <v>2.3458445444703102E-2</v>
      </c>
      <c r="I16">
        <v>0</v>
      </c>
      <c r="J16"/>
    </row>
    <row r="17" spans="1:10" ht="15" customHeight="1" x14ac:dyDescent="0.15">
      <c r="A17" s="222">
        <v>16</v>
      </c>
      <c r="B17" s="222" t="s">
        <v>197</v>
      </c>
      <c r="C17" s="8">
        <v>4.3202176094055176</v>
      </c>
      <c r="D17" s="9">
        <v>2.0800000056624413E-2</v>
      </c>
      <c r="E17" s="9">
        <v>1.8999999761581421</v>
      </c>
      <c r="F17" s="9">
        <v>14.090000152587891</v>
      </c>
      <c r="G17" s="7">
        <v>0.1929609626531601</v>
      </c>
      <c r="H17" s="7">
        <v>0.13484740257263184</v>
      </c>
      <c r="I17">
        <v>3.1109999399632215E-3</v>
      </c>
      <c r="J17"/>
    </row>
    <row r="18" spans="1:10" ht="15" customHeight="1" x14ac:dyDescent="0.15">
      <c r="A18" s="223">
        <v>17</v>
      </c>
      <c r="B18" s="223" t="s">
        <v>198</v>
      </c>
      <c r="C18" s="8">
        <v>3.9203002452850342</v>
      </c>
      <c r="D18" s="9">
        <v>6.4300000667572021E-2</v>
      </c>
      <c r="E18" s="9">
        <v>5.5</v>
      </c>
      <c r="F18" s="9">
        <v>30</v>
      </c>
      <c r="G18" s="7">
        <v>0.10676084458827972</v>
      </c>
      <c r="H18" s="7">
        <v>0.18333333730697632</v>
      </c>
      <c r="I18">
        <v>2.0000000949949026E-3</v>
      </c>
      <c r="J18"/>
    </row>
    <row r="19" spans="1:10" ht="15" customHeight="1" x14ac:dyDescent="0.15">
      <c r="A19" s="224">
        <v>18</v>
      </c>
      <c r="B19" s="224" t="s">
        <v>199</v>
      </c>
      <c r="C19" s="8">
        <v>4.6742968559265137</v>
      </c>
      <c r="D19" s="7">
        <v>7.2089202702045441E-2</v>
      </c>
      <c r="E19" s="9">
        <v>1</v>
      </c>
      <c r="F19" s="9">
        <v>8.4799995422363281</v>
      </c>
      <c r="G19" s="9">
        <v>0.80000001192092896</v>
      </c>
      <c r="H19" s="7">
        <v>0.1179245337843895</v>
      </c>
      <c r="I19">
        <v>2.1600000764010474E-5</v>
      </c>
      <c r="J19"/>
    </row>
    <row r="20" spans="1:10" ht="15" customHeight="1" x14ac:dyDescent="0.15">
      <c r="A20" s="225">
        <v>19</v>
      </c>
      <c r="B20" s="225" t="s">
        <v>200</v>
      </c>
      <c r="C20" s="8">
        <v>4.3444561958312988</v>
      </c>
      <c r="D20" s="7">
        <v>0.86988365650177002</v>
      </c>
      <c r="E20" s="9">
        <v>0.4699999988079071</v>
      </c>
      <c r="F20" s="9">
        <v>4</v>
      </c>
      <c r="G20" s="9">
        <v>0.60000002384185791</v>
      </c>
      <c r="H20" s="7">
        <v>0.11749999970197678</v>
      </c>
      <c r="I20">
        <v>3.2000000373955118E-6</v>
      </c>
      <c r="J20"/>
    </row>
    <row r="21" spans="1:10" ht="15" customHeight="1" x14ac:dyDescent="0.15">
      <c r="A21" s="226">
        <v>20</v>
      </c>
      <c r="B21" s="226" t="s">
        <v>201</v>
      </c>
      <c r="C21" s="8">
        <v>4.7222638130187988</v>
      </c>
      <c r="D21" s="7">
        <v>5.0663042813539505E-2</v>
      </c>
      <c r="E21" s="9">
        <v>0.2199999988079071</v>
      </c>
      <c r="F21" s="9">
        <v>3.5</v>
      </c>
      <c r="G21" s="9">
        <v>0.60000002384185791</v>
      </c>
      <c r="H21" s="7">
        <v>6.2857143580913544E-2</v>
      </c>
      <c r="I21">
        <v>3.6100000215810724E-6</v>
      </c>
      <c r="J21"/>
    </row>
    <row r="22" spans="1:10" ht="15" customHeight="1" x14ac:dyDescent="0.15">
      <c r="A22" s="227">
        <v>21</v>
      </c>
      <c r="B22" s="227" t="s">
        <v>202</v>
      </c>
      <c r="C22" s="8">
        <v>4.4586763381958008</v>
      </c>
      <c r="D22" s="7">
        <v>1.0747294425964355</v>
      </c>
      <c r="E22" s="9">
        <v>0.2800000011920929</v>
      </c>
      <c r="F22" s="9">
        <v>3.880000114440918</v>
      </c>
      <c r="G22" s="9">
        <v>0.60000002384185791</v>
      </c>
      <c r="H22" s="7">
        <v>7.2164945304393768E-2</v>
      </c>
      <c r="I22">
        <v>0</v>
      </c>
      <c r="J22"/>
    </row>
    <row r="23" spans="1:10" ht="15" customHeight="1" x14ac:dyDescent="0.15">
      <c r="A23" s="228">
        <v>22</v>
      </c>
      <c r="B23" s="228" t="s">
        <v>203</v>
      </c>
      <c r="C23" s="8">
        <v>4.022005558013916</v>
      </c>
      <c r="D23" s="7">
        <v>2.6787669658660889</v>
      </c>
      <c r="E23" s="9">
        <v>0.60000002384185791</v>
      </c>
      <c r="F23" s="9">
        <v>4.130000114440918</v>
      </c>
      <c r="G23" s="9">
        <v>0.89999997615814209</v>
      </c>
      <c r="H23" s="7">
        <v>0.1452784538269043</v>
      </c>
      <c r="I23">
        <v>0</v>
      </c>
      <c r="J23"/>
    </row>
    <row r="24" spans="1:10" ht="15" customHeight="1" x14ac:dyDescent="0.15">
      <c r="A24" s="229">
        <v>23</v>
      </c>
      <c r="B24" s="229" t="s">
        <v>204</v>
      </c>
      <c r="C24" s="8">
        <v>4.6611104011535645</v>
      </c>
      <c r="D24" s="9">
        <v>3.0000001424923539E-4</v>
      </c>
      <c r="E24" s="9">
        <v>1</v>
      </c>
      <c r="F24" s="9">
        <v>80</v>
      </c>
      <c r="G24" s="7">
        <v>0.2694362998008728</v>
      </c>
      <c r="H24" s="7">
        <v>1.2500000186264515E-2</v>
      </c>
      <c r="I24">
        <v>0</v>
      </c>
      <c r="J24"/>
    </row>
    <row r="25" spans="1:10" ht="15" customHeight="1" x14ac:dyDescent="0.15">
      <c r="A25" s="230">
        <v>24</v>
      </c>
      <c r="B25" s="230" t="s">
        <v>205</v>
      </c>
      <c r="C25" s="8">
        <v>4.6611099243164062</v>
      </c>
      <c r="D25" s="9">
        <v>2.899999963119626E-3</v>
      </c>
      <c r="E25" s="9">
        <v>0.11999999731779099</v>
      </c>
      <c r="F25" s="9">
        <v>19.799999237060547</v>
      </c>
      <c r="G25" s="7">
        <v>0.16206897795200348</v>
      </c>
      <c r="H25" s="7">
        <v>6.0606063343584538E-3</v>
      </c>
      <c r="I25">
        <v>0</v>
      </c>
      <c r="J25"/>
    </row>
    <row r="26" spans="1:10" ht="15" customHeight="1" x14ac:dyDescent="0.15">
      <c r="A26" s="231">
        <v>25</v>
      </c>
      <c r="B26" s="231" t="s">
        <v>206</v>
      </c>
      <c r="C26" s="8">
        <v>3.5254440307617188</v>
      </c>
      <c r="D26" s="9">
        <v>2</v>
      </c>
      <c r="E26" s="9">
        <v>2.4000000953674316</v>
      </c>
      <c r="F26" s="9">
        <v>9</v>
      </c>
      <c r="G26" s="7">
        <v>0.81740909814834595</v>
      </c>
      <c r="H26" s="7">
        <v>0.26666668057441711</v>
      </c>
      <c r="I26">
        <v>0</v>
      </c>
      <c r="J26"/>
    </row>
    <row r="27" spans="1:10" ht="15" customHeight="1" x14ac:dyDescent="0.15">
      <c r="A27" s="232">
        <v>26</v>
      </c>
      <c r="B27" s="232" t="s">
        <v>207</v>
      </c>
      <c r="C27" s="8">
        <v>3.1985971927642822</v>
      </c>
      <c r="D27" s="9">
        <v>5.8000001907348633</v>
      </c>
      <c r="E27" s="9">
        <v>2.0999999046325684</v>
      </c>
      <c r="F27" s="9">
        <v>8</v>
      </c>
      <c r="G27" s="7">
        <v>0.96264606714248657</v>
      </c>
      <c r="H27" s="7">
        <v>0.26249998807907104</v>
      </c>
      <c r="I27">
        <v>0</v>
      </c>
      <c r="J27"/>
    </row>
    <row r="28" spans="1:10" ht="15" customHeight="1" x14ac:dyDescent="0.15">
      <c r="A28" s="233">
        <v>27</v>
      </c>
      <c r="B28" s="233" t="s">
        <v>208</v>
      </c>
      <c r="C28" s="8">
        <v>4.0725698471069336</v>
      </c>
      <c r="D28" s="9">
        <v>3.9000000953674316</v>
      </c>
      <c r="E28" s="9">
        <v>1.7000000476837158</v>
      </c>
      <c r="F28" s="9">
        <v>6</v>
      </c>
      <c r="G28" s="7">
        <v>0.97734969854354858</v>
      </c>
      <c r="H28" s="7">
        <v>0.28333333134651184</v>
      </c>
      <c r="I28">
        <v>0</v>
      </c>
      <c r="J28"/>
    </row>
    <row r="29" spans="1:10" ht="15" customHeight="1" x14ac:dyDescent="0.15">
      <c r="A29" s="234">
        <v>28</v>
      </c>
      <c r="B29" s="234" t="s">
        <v>209</v>
      </c>
      <c r="C29" s="8">
        <v>2.9196317195892334</v>
      </c>
      <c r="D29" s="9">
        <v>2.4951000213623047</v>
      </c>
      <c r="E29" s="9">
        <v>4.8000001907348633</v>
      </c>
      <c r="F29" s="9">
        <v>25</v>
      </c>
      <c r="G29" s="7">
        <v>0.90276652574539185</v>
      </c>
      <c r="H29" s="7">
        <v>0.19200000166893005</v>
      </c>
      <c r="I29">
        <v>0</v>
      </c>
      <c r="J29"/>
    </row>
    <row r="30" spans="1:10" ht="15" customHeight="1" x14ac:dyDescent="0.15">
      <c r="A30" s="235">
        <v>29</v>
      </c>
      <c r="B30" s="235" t="s">
        <v>210</v>
      </c>
      <c r="C30" s="8">
        <v>2.9340007305145264</v>
      </c>
      <c r="D30" s="7">
        <v>3.0264513492584229</v>
      </c>
      <c r="E30" s="9">
        <v>8</v>
      </c>
      <c r="F30" s="9">
        <v>25</v>
      </c>
      <c r="G30" s="9">
        <v>0.94999998807907104</v>
      </c>
      <c r="H30" s="7">
        <v>0.31999999284744263</v>
      </c>
      <c r="I30">
        <v>0</v>
      </c>
      <c r="J30"/>
    </row>
    <row r="31" spans="1:10" ht="15" customHeight="1" x14ac:dyDescent="0.15">
      <c r="A31" s="236">
        <v>30</v>
      </c>
      <c r="B31" s="236" t="s">
        <v>211</v>
      </c>
      <c r="C31" s="8">
        <v>3.4383718967437744</v>
      </c>
      <c r="D31" s="9">
        <v>1.8644000291824341</v>
      </c>
      <c r="E31" s="9">
        <v>5.0100002288818359</v>
      </c>
      <c r="F31" s="9">
        <v>25.049999237060547</v>
      </c>
      <c r="G31" s="7">
        <v>0.68619787693023682</v>
      </c>
      <c r="H31" s="7">
        <v>0.20000001788139343</v>
      </c>
      <c r="I31">
        <v>0</v>
      </c>
      <c r="J31"/>
    </row>
    <row r="32" spans="1:10" ht="15" customHeight="1" x14ac:dyDescent="0.15">
      <c r="A32" s="237">
        <v>31</v>
      </c>
      <c r="B32" s="237" t="s">
        <v>212</v>
      </c>
      <c r="C32" s="8">
        <v>2.108842134475708</v>
      </c>
      <c r="D32" s="9">
        <v>0.91200000047683716</v>
      </c>
      <c r="E32" s="9">
        <v>5.4000000953674316</v>
      </c>
      <c r="F32" s="9">
        <v>20</v>
      </c>
      <c r="G32" s="7">
        <v>0.90803384780883789</v>
      </c>
      <c r="H32" s="7">
        <v>0.27000001072883606</v>
      </c>
      <c r="I32">
        <v>0</v>
      </c>
      <c r="J32"/>
    </row>
    <row r="33" spans="1:10" ht="15" customHeight="1" x14ac:dyDescent="0.15">
      <c r="A33" s="238">
        <v>32</v>
      </c>
      <c r="B33" s="238" t="s">
        <v>213</v>
      </c>
      <c r="C33" s="8">
        <v>4.0730862617492676</v>
      </c>
      <c r="D33" s="9">
        <v>0.89999997615814209</v>
      </c>
      <c r="E33" s="9">
        <v>3.5</v>
      </c>
      <c r="F33" s="9">
        <v>10</v>
      </c>
      <c r="G33" s="7">
        <v>0.94148707389831543</v>
      </c>
      <c r="H33" s="7">
        <v>0.34999999403953552</v>
      </c>
      <c r="I33">
        <v>0</v>
      </c>
      <c r="J33"/>
    </row>
    <row r="34" spans="1:10" ht="15" customHeight="1" x14ac:dyDescent="0.15">
      <c r="A34" s="239">
        <v>33</v>
      </c>
      <c r="B34" s="239" t="s">
        <v>214</v>
      </c>
      <c r="C34" s="8">
        <v>3.2576780319213867</v>
      </c>
      <c r="D34" s="9">
        <v>1.6000000238418579</v>
      </c>
      <c r="E34" s="9">
        <v>4</v>
      </c>
      <c r="F34" s="9">
        <v>10</v>
      </c>
      <c r="G34" s="7">
        <v>0.97932225465774536</v>
      </c>
      <c r="H34" s="7">
        <v>0.40000000596046448</v>
      </c>
      <c r="I34">
        <v>0</v>
      </c>
      <c r="J34"/>
    </row>
    <row r="35" spans="1:10" ht="15" customHeight="1" x14ac:dyDescent="0.15">
      <c r="A35" s="240">
        <v>34</v>
      </c>
      <c r="B35" s="240" t="s">
        <v>215</v>
      </c>
      <c r="C35" s="8">
        <v>3.5931565761566162</v>
      </c>
      <c r="D35" s="9">
        <v>2.9000000953674316</v>
      </c>
      <c r="E35" s="9">
        <v>1.5</v>
      </c>
      <c r="F35" s="9">
        <v>2.4500000476837158</v>
      </c>
      <c r="G35" s="7">
        <v>0.89493894577026367</v>
      </c>
      <c r="H35" s="7">
        <v>0.61224490404129028</v>
      </c>
      <c r="I35">
        <v>0</v>
      </c>
      <c r="J35"/>
    </row>
    <row r="36" spans="1:10" ht="15" customHeight="1" x14ac:dyDescent="0.15">
      <c r="A36" s="241">
        <v>35</v>
      </c>
      <c r="B36" s="241" t="s">
        <v>216</v>
      </c>
      <c r="C36" s="8">
        <v>2.4421052932739258</v>
      </c>
      <c r="D36" s="7">
        <v>8.4697542190551758</v>
      </c>
      <c r="E36" s="9">
        <v>20</v>
      </c>
      <c r="F36" s="9">
        <v>30</v>
      </c>
      <c r="G36" s="9">
        <v>0.97999995946884155</v>
      </c>
      <c r="H36" s="7">
        <v>0.66666668653488159</v>
      </c>
      <c r="I36">
        <v>0</v>
      </c>
      <c r="J36"/>
    </row>
    <row r="37" spans="1:10" ht="15" customHeight="1" x14ac:dyDescent="0.15">
      <c r="A37" s="242">
        <v>36</v>
      </c>
      <c r="B37" s="242" t="s">
        <v>217</v>
      </c>
      <c r="C37" s="8">
        <v>2</v>
      </c>
      <c r="D37" s="9">
        <v>11.130000114440918</v>
      </c>
      <c r="E37" s="9">
        <v>25</v>
      </c>
      <c r="F37" s="9">
        <v>60</v>
      </c>
      <c r="G37" s="7">
        <v>0.44555637240409851</v>
      </c>
      <c r="H37" s="7">
        <v>0.4166666567325592</v>
      </c>
      <c r="I37">
        <v>0</v>
      </c>
      <c r="J37"/>
    </row>
    <row r="38" spans="1:10" ht="15" customHeight="1" x14ac:dyDescent="0.15">
      <c r="A38" s="243">
        <v>37</v>
      </c>
      <c r="B38" s="243" t="s">
        <v>218</v>
      </c>
      <c r="C38" s="8">
        <v>1</v>
      </c>
      <c r="D38" s="9">
        <v>0.23000000417232513</v>
      </c>
      <c r="E38" s="9">
        <v>120</v>
      </c>
      <c r="F38" s="10"/>
      <c r="G38" s="7">
        <v>0.6005280613899231</v>
      </c>
      <c r="H38" s="10"/>
      <c r="I38">
        <v>0</v>
      </c>
      <c r="J38"/>
    </row>
    <row r="39" spans="1:10" ht="15" customHeight="1" x14ac:dyDescent="0.15">
      <c r="A39" s="244">
        <v>38</v>
      </c>
      <c r="B39" s="244" t="s">
        <v>219</v>
      </c>
      <c r="C39" s="8">
        <v>1</v>
      </c>
      <c r="D39" s="9">
        <v>0.40999999642372131</v>
      </c>
      <c r="E39" s="9">
        <v>120</v>
      </c>
      <c r="F39" s="10"/>
      <c r="G39" s="7">
        <v>0.3368816077709198</v>
      </c>
      <c r="H39" s="10"/>
      <c r="I39">
        <v>0</v>
      </c>
      <c r="J39"/>
    </row>
    <row r="40" spans="1:10" ht="15" customHeight="1" x14ac:dyDescent="0.15">
      <c r="A40" s="245">
        <v>39</v>
      </c>
      <c r="B40" s="245" t="s">
        <v>220</v>
      </c>
      <c r="C40" s="8">
        <v>1</v>
      </c>
      <c r="D40" s="9">
        <v>0.49000000953674316</v>
      </c>
      <c r="E40" s="9">
        <v>120</v>
      </c>
      <c r="F40" s="10"/>
      <c r="G40" s="7">
        <v>0.45045217871665955</v>
      </c>
      <c r="H40" s="10"/>
      <c r="I40">
        <v>0</v>
      </c>
      <c r="J40"/>
    </row>
    <row r="41" spans="1:10" ht="15" customHeight="1" x14ac:dyDescent="0.15">
      <c r="A41" s="246">
        <v>40</v>
      </c>
      <c r="B41" s="246" t="s">
        <v>221</v>
      </c>
      <c r="C41" s="8">
        <v>1</v>
      </c>
      <c r="D41" s="9">
        <v>10.939999580383301</v>
      </c>
      <c r="E41" s="9">
        <v>180</v>
      </c>
      <c r="F41" s="10"/>
      <c r="G41" s="7">
        <v>0.34207603335380554</v>
      </c>
      <c r="H41" s="10"/>
      <c r="I41">
        <v>0</v>
      </c>
      <c r="J41"/>
    </row>
    <row r="42" spans="1:10" ht="15" customHeight="1" x14ac:dyDescent="0.15">
      <c r="A42" s="247">
        <v>41</v>
      </c>
      <c r="B42" s="247" t="s">
        <v>222</v>
      </c>
      <c r="C42" s="8">
        <v>1</v>
      </c>
      <c r="D42" s="9">
        <v>100</v>
      </c>
      <c r="E42" s="10"/>
      <c r="F42" s="10"/>
      <c r="G42" s="7">
        <v>9.1424643993377686E-2</v>
      </c>
      <c r="H42" s="10"/>
      <c r="I42">
        <v>0</v>
      </c>
      <c r="J42"/>
    </row>
    <row r="43" spans="1:10" ht="15" customHeight="1" x14ac:dyDescent="0.15">
      <c r="A43" s="248">
        <v>42</v>
      </c>
      <c r="B43" s="248" t="s">
        <v>240</v>
      </c>
      <c r="C43" s="8">
        <v>1</v>
      </c>
      <c r="D43" s="10"/>
      <c r="E43" s="10"/>
      <c r="F43" s="10"/>
      <c r="G43" s="7">
        <v>0</v>
      </c>
      <c r="H43" s="10"/>
      <c r="I43">
        <v>0</v>
      </c>
      <c r="J43"/>
    </row>
    <row r="44" spans="1:10" ht="15" customHeight="1" x14ac:dyDescent="0.15">
      <c r="A44" s="249">
        <v>43</v>
      </c>
      <c r="B44" s="249" t="s">
        <v>227</v>
      </c>
      <c r="C44" s="8">
        <v>5.2911562919616699</v>
      </c>
      <c r="D44" s="10"/>
      <c r="E44" s="10"/>
      <c r="F44" s="10"/>
      <c r="G44" s="10"/>
      <c r="H44" s="10"/>
      <c r="I44">
        <v>7.9000005498528481E-3</v>
      </c>
      <c r="J44"/>
    </row>
    <row r="45" spans="1:10" ht="15" customHeight="1" x14ac:dyDescent="0.15">
      <c r="A45" s="250">
        <v>44</v>
      </c>
      <c r="B45" s="250" t="s">
        <v>228</v>
      </c>
      <c r="C45" s="8">
        <v>5.680875301361084</v>
      </c>
      <c r="D45" s="10"/>
      <c r="E45" s="10"/>
      <c r="F45" s="10"/>
      <c r="G45" s="10"/>
      <c r="H45" s="10"/>
      <c r="I45">
        <v>2.0000000949949026E-3</v>
      </c>
      <c r="J45"/>
    </row>
    <row r="46" spans="1:10" ht="15" customHeight="1" x14ac:dyDescent="0.15">
      <c r="A46" s="251">
        <v>45</v>
      </c>
      <c r="B46" s="251" t="s">
        <v>229</v>
      </c>
      <c r="C46" s="8">
        <v>5.7262401580810547</v>
      </c>
      <c r="D46" s="10"/>
      <c r="E46" s="10"/>
      <c r="F46" s="10"/>
      <c r="G46" s="10"/>
      <c r="H46" s="10"/>
      <c r="I46">
        <v>8.4110005991533399E-4</v>
      </c>
      <c r="J46"/>
    </row>
    <row r="47" spans="1:10" ht="15" customHeight="1" x14ac:dyDescent="0.15">
      <c r="A47" s="252">
        <v>46</v>
      </c>
      <c r="B47" s="252" t="s">
        <v>230</v>
      </c>
      <c r="C47" s="8">
        <v>5.797339916229248</v>
      </c>
      <c r="D47" s="10"/>
      <c r="E47" s="10"/>
      <c r="F47" s="10"/>
      <c r="G47" s="10"/>
      <c r="H47" s="10"/>
      <c r="I47">
        <v>1.2971999240107834E-4</v>
      </c>
      <c r="J47"/>
    </row>
    <row r="48" spans="1:10" ht="15" customHeight="1" x14ac:dyDescent="0.15">
      <c r="A48" s="266">
        <v>47</v>
      </c>
      <c r="B48" s="266" t="s">
        <v>231</v>
      </c>
      <c r="C48" s="8">
        <v>5.7128086090087891</v>
      </c>
      <c r="D48" s="10"/>
      <c r="E48" s="10"/>
      <c r="F48" s="10"/>
      <c r="G48" s="10"/>
      <c r="H48" s="10"/>
      <c r="I48">
        <v>5.3311994997784495E-4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16</v>
      </c>
      <c r="B1" t="s">
        <v>1</v>
      </c>
      <c r="C1" t="s">
        <v>17</v>
      </c>
      <c r="D1" t="s">
        <v>232</v>
      </c>
      <c r="E1" t="s">
        <v>233</v>
      </c>
      <c r="F1" t="s">
        <v>234</v>
      </c>
      <c r="G1" t="s">
        <v>235</v>
      </c>
      <c r="H1" t="s">
        <v>236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  <c r="AK1" t="s">
        <v>210</v>
      </c>
      <c r="AL1" t="s">
        <v>211</v>
      </c>
      <c r="AM1" t="s">
        <v>212</v>
      </c>
      <c r="AN1" t="s">
        <v>213</v>
      </c>
      <c r="AO1" t="s">
        <v>214</v>
      </c>
      <c r="AP1" t="s">
        <v>215</v>
      </c>
      <c r="AQ1" t="s">
        <v>216</v>
      </c>
      <c r="AR1" t="s">
        <v>217</v>
      </c>
      <c r="AS1" t="s">
        <v>218</v>
      </c>
      <c r="AT1" t="s">
        <v>219</v>
      </c>
      <c r="AU1" t="s">
        <v>220</v>
      </c>
      <c r="AV1" t="s">
        <v>221</v>
      </c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182</v>
      </c>
      <c r="B2">
        <v>0.41999998688697815</v>
      </c>
      <c r="C2">
        <v>0.21781578660011292</v>
      </c>
      <c r="D2"/>
      <c r="E2"/>
      <c r="F2" s="257">
        <v>0.11473684012889862</v>
      </c>
      <c r="G2" s="19">
        <v>7.3684211820363998E-3</v>
      </c>
      <c r="H2" s="148">
        <v>5.0394736230373383E-2</v>
      </c>
      <c r="I2"/>
      <c r="J2" s="72">
        <v>2.9684212058782578E-2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183</v>
      </c>
      <c r="B3">
        <v>0.31999999284744263</v>
      </c>
      <c r="C3">
        <v>0.23658044636249542</v>
      </c>
      <c r="D3"/>
      <c r="E3"/>
      <c r="F3" s="21">
        <v>6.0999998822808266E-3</v>
      </c>
      <c r="G3" s="14">
        <v>6.5999996149912477E-4</v>
      </c>
      <c r="H3" s="16">
        <v>4.9999994225800037E-3</v>
      </c>
      <c r="I3" s="70">
        <v>2.8500000014901161E-2</v>
      </c>
      <c r="J3" s="70">
        <v>2.8200000524520874E-2</v>
      </c>
      <c r="K3"/>
      <c r="L3"/>
      <c r="M3"/>
      <c r="N3" s="29">
        <v>1.4959552325308323E-2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184</v>
      </c>
      <c r="B4">
        <v>0.34999999403953552</v>
      </c>
      <c r="C4">
        <v>7.9777754843235016E-2</v>
      </c>
      <c r="D4"/>
      <c r="E4"/>
      <c r="F4" s="258">
        <v>0.1783333420753479</v>
      </c>
      <c r="G4" s="22">
        <v>3.0555557459592819E-3</v>
      </c>
      <c r="H4" s="148">
        <v>4.1666667908430099E-2</v>
      </c>
      <c r="I4" s="156">
        <v>1.5833333134651184E-2</v>
      </c>
      <c r="J4" s="161">
        <v>3.1333334743976593E-2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185</v>
      </c>
      <c r="B5">
        <v>0.4699999988079071</v>
      </c>
      <c r="C5">
        <v>0.17480000853538513</v>
      </c>
      <c r="D5"/>
      <c r="E5"/>
      <c r="F5" s="160">
        <v>9.3599997460842133E-2</v>
      </c>
      <c r="G5" s="12">
        <v>1.7999998526647687E-3</v>
      </c>
      <c r="H5" s="78">
        <v>2.9999997466802597E-2</v>
      </c>
      <c r="I5" s="157">
        <v>5.7000000029802322E-2</v>
      </c>
      <c r="J5" s="163">
        <v>0.1128000020980835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186</v>
      </c>
      <c r="B6">
        <v>0.4699999988079071</v>
      </c>
      <c r="C6">
        <v>0.19800001382827759</v>
      </c>
      <c r="D6"/>
      <c r="E6"/>
      <c r="F6" s="259">
        <v>6.8833336234092712E-2</v>
      </c>
      <c r="G6" s="26">
        <v>1.1666666716337204E-2</v>
      </c>
      <c r="H6" s="107">
        <v>4.9999997019767761E-2</v>
      </c>
      <c r="I6" s="114">
        <v>4.7499999403953552E-2</v>
      </c>
      <c r="J6" s="160">
        <v>9.4000004231929779E-2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187</v>
      </c>
      <c r="B7">
        <v>0.81000000238418579</v>
      </c>
      <c r="C7">
        <v>0.48600000143051147</v>
      </c>
      <c r="D7"/>
      <c r="E7"/>
      <c r="F7" s="180">
        <v>5.944395437836647E-2</v>
      </c>
      <c r="G7" s="17">
        <v>1.1158421635627747E-2</v>
      </c>
      <c r="H7" s="23">
        <v>4.0576080791652203E-3</v>
      </c>
      <c r="I7" s="72">
        <v>5.7820912450551987E-2</v>
      </c>
      <c r="J7" s="79">
        <v>0.11442454904317856</v>
      </c>
      <c r="K7"/>
      <c r="L7" s="260">
        <v>7.7094554901123047E-2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188</v>
      </c>
      <c r="B8">
        <v>1</v>
      </c>
      <c r="C8">
        <v>0.39999997615814209</v>
      </c>
      <c r="D8"/>
      <c r="E8"/>
      <c r="F8"/>
      <c r="G8"/>
      <c r="H8"/>
      <c r="I8" s="11">
        <v>4.300256259739399E-4</v>
      </c>
      <c r="J8" s="11">
        <v>8.5099815623834729E-4</v>
      </c>
      <c r="K8"/>
      <c r="L8" s="11">
        <v>2.8668376035057008E-4</v>
      </c>
      <c r="M8"/>
      <c r="N8"/>
      <c r="O8" s="21">
        <v>1.9999999552965164E-2</v>
      </c>
      <c r="P8"/>
      <c r="Q8"/>
      <c r="R8"/>
      <c r="S8"/>
      <c r="T8"/>
      <c r="U8"/>
      <c r="V8" s="65">
        <v>2.2017313167452812E-2</v>
      </c>
      <c r="W8"/>
      <c r="X8"/>
      <c r="Y8"/>
      <c r="Z8"/>
      <c r="AA8"/>
      <c r="AB8"/>
      <c r="AC8"/>
      <c r="AD8" s="172">
        <v>0.55641502141952515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189</v>
      </c>
      <c r="B9">
        <v>7.9999998211860657E-2</v>
      </c>
      <c r="C9">
        <v>7.9999998211860657E-2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190</v>
      </c>
      <c r="B10">
        <v>2.9999999329447746E-2</v>
      </c>
      <c r="C10">
        <v>2.5783432647585869E-2</v>
      </c>
      <c r="D10"/>
      <c r="E10"/>
      <c r="F10"/>
      <c r="G10"/>
      <c r="H10"/>
      <c r="I10"/>
      <c r="J10" s="159">
        <v>1.6160460654646158E-3</v>
      </c>
      <c r="K10"/>
      <c r="L10"/>
      <c r="M10"/>
      <c r="N10"/>
      <c r="O10"/>
      <c r="P10"/>
      <c r="Q10" s="164">
        <v>2.6005201507359743E-3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191</v>
      </c>
      <c r="B11">
        <v>0.5</v>
      </c>
      <c r="C11">
        <v>0.34570729732513428</v>
      </c>
      <c r="D11"/>
      <c r="E11"/>
      <c r="F11" s="156">
        <v>2.2707317024469376E-2</v>
      </c>
      <c r="G11" s="66">
        <v>2.0121952518820763E-2</v>
      </c>
      <c r="H11" s="164">
        <v>4.2682923376560211E-2</v>
      </c>
      <c r="I11"/>
      <c r="J11" s="166">
        <v>6.8780496716499329E-2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192</v>
      </c>
      <c r="B12">
        <v>0.60000002384185791</v>
      </c>
      <c r="C12">
        <v>0.13264399766921997</v>
      </c>
      <c r="D12" s="253">
        <v>0.20000000298023224</v>
      </c>
      <c r="E12"/>
      <c r="F12"/>
      <c r="G12"/>
      <c r="H12"/>
      <c r="I12" s="16">
        <v>9.4999996945261955E-3</v>
      </c>
      <c r="J12" s="75">
        <v>5.6400008499622345E-2</v>
      </c>
      <c r="K12" s="23">
        <v>3.9599998854100704E-3</v>
      </c>
      <c r="L12" s="65">
        <v>1.2666666880249977E-2</v>
      </c>
      <c r="M12" s="23">
        <v>3.8000000640749931E-3</v>
      </c>
      <c r="N12"/>
      <c r="O12"/>
      <c r="P12"/>
      <c r="Q12"/>
      <c r="R12"/>
      <c r="S12"/>
      <c r="T12"/>
      <c r="U12"/>
      <c r="V12"/>
      <c r="W12" s="167">
        <v>0.18102934956550598</v>
      </c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193</v>
      </c>
      <c r="B13">
        <v>0.40000000596046448</v>
      </c>
      <c r="C13">
        <v>0.2762410044670105</v>
      </c>
      <c r="D13" s="254">
        <v>0.10204081982374191</v>
      </c>
      <c r="E13"/>
      <c r="F13" s="12">
        <v>1.4540816191583872E-3</v>
      </c>
      <c r="G13" s="14">
        <v>4.0816326509229839E-4</v>
      </c>
      <c r="H13" s="12">
        <v>1.2530612293630838E-3</v>
      </c>
      <c r="I13" s="12">
        <v>1.4540816191583872E-3</v>
      </c>
      <c r="J13" s="17">
        <v>5.7551022619009018E-3</v>
      </c>
      <c r="K13"/>
      <c r="L13" s="14">
        <v>9.6938776550814509E-4</v>
      </c>
      <c r="M13" s="14">
        <v>1.1632653186097741E-3</v>
      </c>
      <c r="N13"/>
      <c r="O13"/>
      <c r="P13"/>
      <c r="Q13" s="154">
        <v>9.2610353603959084E-3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194</v>
      </c>
      <c r="B14">
        <v>0.5</v>
      </c>
      <c r="C14">
        <v>6.659996509552002E-2</v>
      </c>
      <c r="D14" s="255">
        <v>0.27272728085517883</v>
      </c>
      <c r="E14"/>
      <c r="F14"/>
      <c r="G14"/>
      <c r="H14"/>
      <c r="I14" s="69">
        <v>2.5909092277288437E-2</v>
      </c>
      <c r="J14" s="165">
        <v>0.10254546254873276</v>
      </c>
      <c r="K14" s="65">
        <v>1.080000028014183E-2</v>
      </c>
      <c r="L14" s="28">
        <v>1.7272727563977242E-2</v>
      </c>
      <c r="M14" s="22">
        <v>4.1454550810158253E-3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195</v>
      </c>
      <c r="B15">
        <v>0.40000000596046448</v>
      </c>
      <c r="C15">
        <v>0.22859491407871246</v>
      </c>
      <c r="D15"/>
      <c r="E15" s="256">
        <v>0.1315789520740509</v>
      </c>
      <c r="F15" s="14">
        <v>6.6447362769395113E-4</v>
      </c>
      <c r="G15" s="11">
        <v>1.4473684132099152E-4</v>
      </c>
      <c r="H15" s="14">
        <v>6.5789470681920648E-4</v>
      </c>
      <c r="I15"/>
      <c r="J15" s="29">
        <v>1.8552634865045547E-2</v>
      </c>
      <c r="K15"/>
      <c r="L15" s="12">
        <v>1.2500000884756446E-3</v>
      </c>
      <c r="M15"/>
      <c r="N15"/>
      <c r="O15"/>
      <c r="P15"/>
      <c r="Q15" s="65">
        <v>8.9563960209488869E-3</v>
      </c>
      <c r="R15"/>
      <c r="S15"/>
      <c r="T15"/>
      <c r="U15"/>
      <c r="V15" s="154">
        <v>9.6000004559755325E-3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196</v>
      </c>
      <c r="B16">
        <v>0.34999999403953552</v>
      </c>
      <c r="C16">
        <v>8.7763771414756775E-2</v>
      </c>
      <c r="D16"/>
      <c r="E16"/>
      <c r="F16"/>
      <c r="G16"/>
      <c r="H16"/>
      <c r="I16" s="12">
        <v>1.5659340424463153E-3</v>
      </c>
      <c r="J16" s="24">
        <v>9.2967040836811066E-3</v>
      </c>
      <c r="K16" s="14">
        <v>6.5274722874164581E-4</v>
      </c>
      <c r="L16" s="12">
        <v>1.0439560282975435E-3</v>
      </c>
      <c r="M16" s="12">
        <v>1.2527472572401166E-3</v>
      </c>
      <c r="N16" s="12">
        <v>1.6439069295302033E-3</v>
      </c>
      <c r="O16"/>
      <c r="P16"/>
      <c r="Q16"/>
      <c r="R16" s="159">
        <v>1.8472526222467422E-2</v>
      </c>
      <c r="S16"/>
      <c r="T16" s="168">
        <v>0.22830767929553986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197</v>
      </c>
      <c r="B17">
        <v>1.8999999761581421</v>
      </c>
      <c r="C17">
        <v>1.5333741903305054</v>
      </c>
      <c r="D17" s="27">
        <v>0.14423076808452606</v>
      </c>
      <c r="E17"/>
      <c r="F17" s="11">
        <v>9.6153846243396401E-4</v>
      </c>
      <c r="G17" s="11">
        <v>4.8076923121698201E-5</v>
      </c>
      <c r="H17" s="14">
        <v>4.3269232846796513E-3</v>
      </c>
      <c r="I17" s="14">
        <v>2.7403845451772213E-3</v>
      </c>
      <c r="J17" s="14">
        <v>5.4230773821473122E-3</v>
      </c>
      <c r="K17" s="11">
        <v>5.7115382514894009E-4</v>
      </c>
      <c r="L17" s="11">
        <v>9.1346155386418104E-4</v>
      </c>
      <c r="M17" s="11">
        <v>1.0961538646370173E-3</v>
      </c>
      <c r="N17"/>
      <c r="O17"/>
      <c r="P17"/>
      <c r="Q17" s="12">
        <v>6.5450589172542095E-3</v>
      </c>
      <c r="R17"/>
      <c r="S17"/>
      <c r="T17" s="107">
        <v>0.19976922869682312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198</v>
      </c>
      <c r="B18">
        <v>5.5</v>
      </c>
      <c r="C18">
        <v>4.9128155708312988</v>
      </c>
      <c r="D18" s="23">
        <v>3.1104199588298798E-2</v>
      </c>
      <c r="E18"/>
      <c r="F18"/>
      <c r="G18"/>
      <c r="H18"/>
      <c r="I18" s="11">
        <v>4.4323483598418534E-4</v>
      </c>
      <c r="J18" s="11">
        <v>4.3856929987668991E-3</v>
      </c>
      <c r="K18" s="11">
        <v>1.8475894466973841E-4</v>
      </c>
      <c r="L18" s="11">
        <v>2.9548988677561283E-3</v>
      </c>
      <c r="M18" s="11">
        <v>3.5458786878734827E-3</v>
      </c>
      <c r="N18" s="14">
        <v>5.8163111098110676E-3</v>
      </c>
      <c r="O18" s="21">
        <v>0.10307171940803528</v>
      </c>
      <c r="P18"/>
      <c r="Q18"/>
      <c r="R18" s="11">
        <v>2.6143079157918692E-3</v>
      </c>
      <c r="S18" s="11">
        <v>3.4292382188141346E-3</v>
      </c>
      <c r="T18" s="18">
        <v>6.4622081816196442E-2</v>
      </c>
      <c r="U18"/>
      <c r="V18" s="22">
        <v>4.5387249439954758E-2</v>
      </c>
      <c r="W18" s="12">
        <v>2.1115396171808243E-2</v>
      </c>
      <c r="X18" s="16">
        <v>9.1157689690589905E-2</v>
      </c>
      <c r="Y18"/>
      <c r="Z18" s="28">
        <v>0.19014507532119751</v>
      </c>
      <c r="AA18"/>
      <c r="AB18"/>
      <c r="AC18"/>
      <c r="AD18" s="12">
        <v>1.7206918448209763E-2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199</v>
      </c>
      <c r="B19">
        <v>1</v>
      </c>
      <c r="C19">
        <v>0.19999998807907104</v>
      </c>
      <c r="D19"/>
      <c r="E19"/>
      <c r="F19" s="11">
        <v>2.6078801602125168E-4</v>
      </c>
      <c r="G19" s="11">
        <v>1.1097362403234001E-5</v>
      </c>
      <c r="H19" s="11">
        <v>2.7743406462832354E-5</v>
      </c>
      <c r="I19" s="14">
        <v>9.883588645607233E-4</v>
      </c>
      <c r="J19" s="12">
        <v>3.9118207059800625E-3</v>
      </c>
      <c r="K19" s="14">
        <v>1.1535707162693143E-3</v>
      </c>
      <c r="L19" s="11">
        <v>7.9068710329011083E-4</v>
      </c>
      <c r="M19" s="11">
        <v>3.1627484713681042E-4</v>
      </c>
      <c r="N19" s="11">
        <v>4.150289751123637E-4</v>
      </c>
      <c r="O19"/>
      <c r="P19"/>
      <c r="Q19" s="21">
        <v>1.9514037296175957E-2</v>
      </c>
      <c r="R19" s="21">
        <v>1.8654666841030121E-2</v>
      </c>
      <c r="S19"/>
      <c r="T19" s="155">
        <v>5.7639699429273605E-2</v>
      </c>
      <c r="U19"/>
      <c r="V19" s="21">
        <v>2.0241590216755867E-2</v>
      </c>
      <c r="W19"/>
      <c r="X19"/>
      <c r="Y19"/>
      <c r="Z19" s="80">
        <v>0.1695999950170517</v>
      </c>
      <c r="AA19"/>
      <c r="AB19"/>
      <c r="AC19"/>
      <c r="AD19" s="171">
        <v>0.50647473335266113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200</v>
      </c>
      <c r="B20">
        <v>0.4699999988079071</v>
      </c>
      <c r="C20">
        <v>0.18799999356269836</v>
      </c>
      <c r="D20"/>
      <c r="E20"/>
      <c r="F20" s="11">
        <v>2.2991580408415757E-6</v>
      </c>
      <c r="G20" s="11">
        <v>1.1495790204207879E-6</v>
      </c>
      <c r="H20" s="11">
        <v>2.299158126106704E-7</v>
      </c>
      <c r="I20" s="11">
        <v>1.6381501336582005E-4</v>
      </c>
      <c r="J20" s="14">
        <v>5.1869009621441364E-4</v>
      </c>
      <c r="K20" s="11">
        <v>2.7313997270539403E-4</v>
      </c>
      <c r="L20" s="11">
        <v>1.0921001376118511E-4</v>
      </c>
      <c r="M20" s="11">
        <v>1.3105201651342213E-4</v>
      </c>
      <c r="N20"/>
      <c r="O20"/>
      <c r="P20"/>
      <c r="Q20"/>
      <c r="R20" s="22">
        <v>3.8648846093565226E-3</v>
      </c>
      <c r="S20"/>
      <c r="T20" s="26">
        <v>1.1941827833652496E-2</v>
      </c>
      <c r="U20"/>
      <c r="V20" s="19">
        <v>8.3873290568590164E-3</v>
      </c>
      <c r="W20"/>
      <c r="X20"/>
      <c r="Y20"/>
      <c r="Z20"/>
      <c r="AA20" s="175">
        <v>0.20006003975868225</v>
      </c>
      <c r="AB20" s="148">
        <v>5.6546349078416824E-2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201</v>
      </c>
      <c r="B21">
        <v>0.2199999988079071</v>
      </c>
      <c r="C21">
        <v>8.7999992072582245E-2</v>
      </c>
      <c r="D21"/>
      <c r="E21"/>
      <c r="F21"/>
      <c r="G21"/>
      <c r="H21" s="11">
        <v>7.1255097282119095E-5</v>
      </c>
      <c r="I21"/>
      <c r="J21" s="23">
        <v>1.1132375802844763E-3</v>
      </c>
      <c r="K21"/>
      <c r="L21"/>
      <c r="M21"/>
      <c r="N21"/>
      <c r="O21" s="169">
        <v>0.13081550598144531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202</v>
      </c>
      <c r="B22">
        <v>0.2800000011920929</v>
      </c>
      <c r="C22">
        <v>0.1119999960064888</v>
      </c>
      <c r="D22"/>
      <c r="E22"/>
      <c r="F22"/>
      <c r="G22"/>
      <c r="H22"/>
      <c r="I22"/>
      <c r="J22" s="11">
        <v>5.2478328143479303E-5</v>
      </c>
      <c r="K22" s="11">
        <v>1.1053944945160765E-5</v>
      </c>
      <c r="L22" s="11">
        <v>8.8394343038089573E-5</v>
      </c>
      <c r="M22" s="11">
        <v>1.0607321019051597E-4</v>
      </c>
      <c r="N22"/>
      <c r="O22" s="20">
        <v>1.2333358637988567E-2</v>
      </c>
      <c r="P22"/>
      <c r="Q22"/>
      <c r="R22" s="23">
        <v>1.5641145873814821E-3</v>
      </c>
      <c r="S22"/>
      <c r="T22" s="17">
        <v>3.8662753067910671E-3</v>
      </c>
      <c r="U22"/>
      <c r="V22" s="15">
        <v>2.7154742274433374E-3</v>
      </c>
      <c r="W22"/>
      <c r="X22"/>
      <c r="Y22"/>
      <c r="Z22" s="157">
        <v>3.4128572791814804E-2</v>
      </c>
      <c r="AA22"/>
      <c r="AB22"/>
      <c r="AC22" s="115">
        <v>0.10476000607013702</v>
      </c>
      <c r="AD22"/>
      <c r="AE22"/>
      <c r="AF22"/>
      <c r="AG22"/>
      <c r="AH22"/>
      <c r="AI22"/>
      <c r="AJ22"/>
      <c r="AK22"/>
      <c r="AL22"/>
      <c r="AM22"/>
      <c r="AN22" s="170">
        <v>8.3742011338472366E-3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203</v>
      </c>
      <c r="B23">
        <v>0.60000002384185791</v>
      </c>
      <c r="C23">
        <v>6.0000017285346985E-2</v>
      </c>
      <c r="D23"/>
      <c r="E23"/>
      <c r="F23"/>
      <c r="G23"/>
      <c r="H23"/>
      <c r="I23" s="11">
        <v>5.3196119552012533E-5</v>
      </c>
      <c r="J23" s="11">
        <v>2.1054464014014229E-5</v>
      </c>
      <c r="K23" s="11">
        <v>8.8697524915914983E-5</v>
      </c>
      <c r="L23" s="11">
        <v>1.4185631698637735E-5</v>
      </c>
      <c r="M23" s="11">
        <v>8.5113788372837007E-6</v>
      </c>
      <c r="N23" s="11">
        <v>1.1168984201503918E-5</v>
      </c>
      <c r="O23"/>
      <c r="P23" s="19">
        <v>1.0771459899842739E-2</v>
      </c>
      <c r="Q23" s="156">
        <v>2.654542587697506E-2</v>
      </c>
      <c r="R23" s="14">
        <v>6.2752753729000688E-4</v>
      </c>
      <c r="S23"/>
      <c r="T23" s="18">
        <v>6.9802273064851761E-3</v>
      </c>
      <c r="U23"/>
      <c r="V23" s="14">
        <v>1.0894564911723137E-3</v>
      </c>
      <c r="W23"/>
      <c r="X23"/>
      <c r="Y23"/>
      <c r="Z23" s="23">
        <v>3.1949139665812254E-3</v>
      </c>
      <c r="AA23" s="108">
        <v>9.4590596854686737E-2</v>
      </c>
      <c r="AB23" s="154">
        <v>1.3636144809424877E-2</v>
      </c>
      <c r="AC23" s="184">
        <v>0.27911052107810974</v>
      </c>
      <c r="AD23" s="110">
        <v>0.10325691103935242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204</v>
      </c>
      <c r="B24">
        <v>1</v>
      </c>
      <c r="C24">
        <v>0.7305637001991272</v>
      </c>
      <c r="D24"/>
      <c r="E24"/>
      <c r="F24"/>
      <c r="G24"/>
      <c r="H24"/>
      <c r="I24"/>
      <c r="J24" s="162">
        <v>0.18800000846385956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154">
        <v>2.4004802107810974E-2</v>
      </c>
      <c r="AF24" s="155">
        <v>5.7431481778621674E-2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205</v>
      </c>
      <c r="B25">
        <v>0.11999999731779099</v>
      </c>
      <c r="C25">
        <v>0.10055171698331833</v>
      </c>
      <c r="D25"/>
      <c r="E25"/>
      <c r="F25"/>
      <c r="G25"/>
      <c r="H25"/>
      <c r="I25"/>
      <c r="J25" s="158">
        <v>1.9448276609182358E-2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206</v>
      </c>
      <c r="B26">
        <v>2.4000000953674316</v>
      </c>
      <c r="C26">
        <v>0.43821817636489868</v>
      </c>
      <c r="D26"/>
      <c r="E26"/>
      <c r="F26"/>
      <c r="G26"/>
      <c r="H26"/>
      <c r="I26" s="11">
        <v>1.4250000822357833E-4</v>
      </c>
      <c r="J26" s="11">
        <v>4.5120003051124513E-4</v>
      </c>
      <c r="K26" s="11">
        <v>2.9699999140575528E-4</v>
      </c>
      <c r="L26" s="11">
        <v>2.8500001644715667E-4</v>
      </c>
      <c r="M26" s="11">
        <v>3.9900001138448715E-4</v>
      </c>
      <c r="N26" s="11">
        <v>7.8537652734667063E-4</v>
      </c>
      <c r="O26" s="176">
        <v>0.11598145961761475</v>
      </c>
      <c r="P26" s="16">
        <v>3.6067787557840347E-2</v>
      </c>
      <c r="Q26" s="12">
        <v>9.0304361656308174E-3</v>
      </c>
      <c r="R26" s="11">
        <v>1.3447999954223633E-3</v>
      </c>
      <c r="S26" s="14">
        <v>6.6150007769465446E-3</v>
      </c>
      <c r="T26" s="18">
        <v>2.8047602623701096E-2</v>
      </c>
      <c r="U26" s="14">
        <v>2.8963000513613224E-3</v>
      </c>
      <c r="V26" s="22">
        <v>1.9699200987815857E-2</v>
      </c>
      <c r="W26" s="16">
        <v>3.8016162812709808E-2</v>
      </c>
      <c r="X26" s="18">
        <v>2.9307201504707336E-2</v>
      </c>
      <c r="Y26" s="173">
        <v>9.6450001001358032E-2</v>
      </c>
      <c r="Z26" s="72">
        <v>0.16811200976371765</v>
      </c>
      <c r="AA26" s="17">
        <v>3.2369382679462433E-2</v>
      </c>
      <c r="AB26" s="11">
        <v>4.4330165110295638E-5</v>
      </c>
      <c r="AC26" s="22">
        <v>2.0849751308560371E-2</v>
      </c>
      <c r="AD26" s="183">
        <v>0.27660119533538818</v>
      </c>
      <c r="AE26" s="11">
        <v>1.9575916230678558E-3</v>
      </c>
      <c r="AF26" s="14">
        <v>4.6835374087095261E-3</v>
      </c>
      <c r="AG26" s="190">
        <v>0.48604857921600342</v>
      </c>
      <c r="AH26"/>
      <c r="AI26"/>
      <c r="AJ26"/>
      <c r="AK26"/>
      <c r="AL26" s="181">
        <v>0.28021931648254395</v>
      </c>
      <c r="AM26"/>
      <c r="AN26" s="75">
        <v>0.22499999403953552</v>
      </c>
      <c r="AO26" s="174">
        <v>8.0080084502696991E-2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207</v>
      </c>
      <c r="B27">
        <v>2.0999999046325684</v>
      </c>
      <c r="C27">
        <v>7.8443259000778198E-2</v>
      </c>
      <c r="D27"/>
      <c r="E27"/>
      <c r="F27"/>
      <c r="G27"/>
      <c r="H27"/>
      <c r="I27" s="11">
        <v>4.9137932364828885E-5</v>
      </c>
      <c r="J27" s="11">
        <v>1.9448276361799799E-5</v>
      </c>
      <c r="K27" s="11">
        <v>3.0724133921467001E-6</v>
      </c>
      <c r="L27"/>
      <c r="M27"/>
      <c r="N27"/>
      <c r="O27"/>
      <c r="P27" s="23">
        <v>1.43077177926898E-2</v>
      </c>
      <c r="Q27" s="12">
        <v>9.623493067920208E-3</v>
      </c>
      <c r="R27" s="11">
        <v>1.4491379261016846E-4</v>
      </c>
      <c r="S27" s="11">
        <v>7.6034484663978219E-5</v>
      </c>
      <c r="T27" s="11">
        <v>7.1641377871856093E-4</v>
      </c>
      <c r="U27"/>
      <c r="V27" s="11">
        <v>7.5475865742191672E-4</v>
      </c>
      <c r="W27" s="11">
        <v>4.6817929251119494E-4</v>
      </c>
      <c r="X27" s="14">
        <v>5.0529656000435352E-3</v>
      </c>
      <c r="Y27"/>
      <c r="Z27" s="14">
        <v>3.1619810033589602E-3</v>
      </c>
      <c r="AA27" s="11">
        <v>8.4013963351026177E-4</v>
      </c>
      <c r="AB27" s="11">
        <v>4.6164513332769275E-4</v>
      </c>
      <c r="AC27" s="19">
        <v>3.5947848111391068E-2</v>
      </c>
      <c r="AD27"/>
      <c r="AE27" s="11">
        <v>2.3590924683958292E-5</v>
      </c>
      <c r="AF27" s="11">
        <v>5.6441283959429711E-5</v>
      </c>
      <c r="AG27"/>
      <c r="AH27"/>
      <c r="AI27" s="201">
        <v>1.6137931346893311</v>
      </c>
      <c r="AJ27" s="26">
        <v>5.3773704916238785E-2</v>
      </c>
      <c r="AK27" s="20">
        <v>9.1306217014789581E-2</v>
      </c>
      <c r="AL27"/>
      <c r="AM27"/>
      <c r="AN27" s="13">
        <v>7.7586203813552856E-2</v>
      </c>
      <c r="AO27" s="17">
        <v>2.7613820508122444E-2</v>
      </c>
      <c r="AP27" s="66">
        <v>8.5775740444660187E-2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208</v>
      </c>
      <c r="B28">
        <v>1.7000000476837158</v>
      </c>
      <c r="C28">
        <v>3.8505513221025467E-2</v>
      </c>
      <c r="D28"/>
      <c r="E28"/>
      <c r="F28"/>
      <c r="G28"/>
      <c r="H28"/>
      <c r="I28" s="11">
        <v>7.3076924309134483E-5</v>
      </c>
      <c r="J28" s="11">
        <v>1.1569230991881341E-4</v>
      </c>
      <c r="K28" s="11">
        <v>6.0923073760932311E-5</v>
      </c>
      <c r="L28" s="11">
        <v>9.7435904535814188E-6</v>
      </c>
      <c r="M28" s="11">
        <v>2.9230768632260151E-5</v>
      </c>
      <c r="N28"/>
      <c r="O28" s="21">
        <v>3.3987239003181458E-2</v>
      </c>
      <c r="P28" s="14">
        <v>2.7818435337394476E-3</v>
      </c>
      <c r="Q28"/>
      <c r="R28" s="14">
        <v>1.7241025343537331E-3</v>
      </c>
      <c r="S28" s="14">
        <v>1.6961540095508099E-3</v>
      </c>
      <c r="T28" s="14">
        <v>2.6635900139808655E-3</v>
      </c>
      <c r="U28" s="11">
        <v>7.4264104478061199E-4</v>
      </c>
      <c r="V28" s="12">
        <v>6.3606156036257744E-3</v>
      </c>
      <c r="W28" s="14">
        <v>2.7850666083395481E-3</v>
      </c>
      <c r="X28" s="11">
        <v>7.5146660674363375E-4</v>
      </c>
      <c r="Y28" s="17">
        <v>2.473076805472374E-2</v>
      </c>
      <c r="Z28" s="11">
        <v>1.5674779424443841E-3</v>
      </c>
      <c r="AA28" s="107">
        <v>0.17849123477935791</v>
      </c>
      <c r="AB28" s="14">
        <v>4.6967235393822193E-3</v>
      </c>
      <c r="AC28" s="69">
        <v>8.5537441074848175E-2</v>
      </c>
      <c r="AD28" s="188">
        <v>0.22695483267307281</v>
      </c>
      <c r="AE28" s="11">
        <v>1.1509994510561228E-4</v>
      </c>
      <c r="AF28" s="11">
        <v>2.7537657297216356E-4</v>
      </c>
      <c r="AG28" s="189">
        <v>0.23079229891300201</v>
      </c>
      <c r="AH28"/>
      <c r="AI28" s="72">
        <v>0.11999999731779099</v>
      </c>
      <c r="AJ28" s="75">
        <v>0.15994229912757874</v>
      </c>
      <c r="AK28" s="155">
        <v>9.6991941332817078E-2</v>
      </c>
      <c r="AL28" s="72">
        <v>0.11975184082984924</v>
      </c>
      <c r="AM28"/>
      <c r="AN28" s="182">
        <v>0.1846153736114502</v>
      </c>
      <c r="AO28" s="176">
        <v>8.2133419811725616E-2</v>
      </c>
      <c r="AP28" s="159">
        <v>9.111708402633667E-2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209</v>
      </c>
      <c r="B29">
        <v>4.8000001907348633</v>
      </c>
      <c r="C29">
        <v>0.46672070026397705</v>
      </c>
      <c r="D29"/>
      <c r="E29"/>
      <c r="F29"/>
      <c r="G29"/>
      <c r="H29"/>
      <c r="I29"/>
      <c r="J29"/>
      <c r="K29" s="11">
        <v>1.1903330232598819E-6</v>
      </c>
      <c r="L29" s="11">
        <v>1.5229850760078989E-5</v>
      </c>
      <c r="M29" s="11">
        <v>9.1379106379463337E-6</v>
      </c>
      <c r="N29"/>
      <c r="O29"/>
      <c r="P29"/>
      <c r="Q29"/>
      <c r="R29" s="11">
        <v>4.7160434769466519E-4</v>
      </c>
      <c r="S29" s="11">
        <v>1.7674644477665424E-3</v>
      </c>
      <c r="T29" s="11">
        <v>2.4980159942060709E-3</v>
      </c>
      <c r="U29" s="11">
        <v>1.4509939355775714E-3</v>
      </c>
      <c r="V29" s="11">
        <v>2.9241314623504877E-3</v>
      </c>
      <c r="W29" s="14">
        <v>5.4415455088019371E-3</v>
      </c>
      <c r="X29" s="11">
        <v>1.1745900847017765E-3</v>
      </c>
      <c r="Y29" s="22">
        <v>3.8655765354633331E-2</v>
      </c>
      <c r="Z29" s="11">
        <v>2.4500678409822285E-4</v>
      </c>
      <c r="AA29" s="11">
        <v>1.9529517740011215E-3</v>
      </c>
      <c r="AB29" s="11">
        <v>4.6904582995921373E-4</v>
      </c>
      <c r="AC29" s="28">
        <v>0.16712558269500732</v>
      </c>
      <c r="AD29" s="27">
        <v>0.36317002773284912</v>
      </c>
      <c r="AE29" s="11">
        <v>1.4046336582396179E-4</v>
      </c>
      <c r="AF29" s="11">
        <v>3.3605855423957109E-4</v>
      </c>
      <c r="AG29" s="197">
        <v>1.0822291374206543</v>
      </c>
      <c r="AH29"/>
      <c r="AI29" s="198">
        <v>1.2538896799087524</v>
      </c>
      <c r="AJ29" s="108">
        <v>0.74999994039535522</v>
      </c>
      <c r="AK29" s="75">
        <v>0.44874957203865051</v>
      </c>
      <c r="AL29"/>
      <c r="AM29"/>
      <c r="AN29" s="170">
        <v>0.14067572355270386</v>
      </c>
      <c r="AO29" s="17">
        <v>6.4189881086349487E-2</v>
      </c>
      <c r="AP29" s="14">
        <v>5.6968722492456436E-3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210</v>
      </c>
      <c r="B30">
        <v>8</v>
      </c>
      <c r="C30">
        <v>0.40000009536743164</v>
      </c>
      <c r="D30"/>
      <c r="E30"/>
      <c r="F30"/>
      <c r="G30"/>
      <c r="H30"/>
      <c r="I30" s="11">
        <v>4.7084849938983098E-5</v>
      </c>
      <c r="J30" s="11">
        <v>3.7271376641001552E-5</v>
      </c>
      <c r="K30" s="11">
        <v>9.8134728432341944E-7</v>
      </c>
      <c r="L30" s="11">
        <v>6.277979991864413E-6</v>
      </c>
      <c r="M30" s="11">
        <v>3.2394378649769351E-5</v>
      </c>
      <c r="N30" s="11">
        <v>9.885870895232074E-6</v>
      </c>
      <c r="O30" s="12">
        <v>2.3650513961911201E-2</v>
      </c>
      <c r="P30" s="11">
        <v>3.5847891122102737E-3</v>
      </c>
      <c r="Q30"/>
      <c r="R30" s="11">
        <v>3.8880520150996745E-4</v>
      </c>
      <c r="S30" s="11">
        <v>3.1328774057328701E-3</v>
      </c>
      <c r="T30" s="14">
        <v>1.3729612343013287E-2</v>
      </c>
      <c r="U30" s="11">
        <v>3.8758313748985529E-3</v>
      </c>
      <c r="V30" s="11">
        <v>3.5679016727954149E-3</v>
      </c>
      <c r="W30" s="12">
        <v>3.6158598959445953E-2</v>
      </c>
      <c r="X30" s="14">
        <v>9.683685377240181E-3</v>
      </c>
      <c r="Y30" s="13">
        <v>0.29638177156448364</v>
      </c>
      <c r="Z30" s="14">
        <v>1.0099557228386402E-2</v>
      </c>
      <c r="AA30" s="25">
        <v>0.25301161408424377</v>
      </c>
      <c r="AB30" s="11">
        <v>4.2653731070458889E-3</v>
      </c>
      <c r="AC30" s="17">
        <v>0.11394694447517395</v>
      </c>
      <c r="AD30" s="156">
        <v>0.36557823419570923</v>
      </c>
      <c r="AE30" s="11">
        <v>4.457596514839679E-4</v>
      </c>
      <c r="AF30" s="11">
        <v>1.0664798319339752E-3</v>
      </c>
      <c r="AG30" s="199">
        <v>1.7844462394714355</v>
      </c>
      <c r="AH30"/>
      <c r="AI30" s="75">
        <v>0.74612134695053101</v>
      </c>
      <c r="AJ30" s="69">
        <v>0.41221544146537781</v>
      </c>
      <c r="AK30" s="25">
        <v>0.24997498095035553</v>
      </c>
      <c r="AL30" s="19">
        <v>0.13888508081436157</v>
      </c>
      <c r="AM30"/>
      <c r="AN30" s="79">
        <v>1.1300362348556519</v>
      </c>
      <c r="AO30" s="151">
        <v>1.9580444097518921</v>
      </c>
      <c r="AP30" s="12">
        <v>3.7573419511318207E-2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211</v>
      </c>
      <c r="B31">
        <v>5.0100002288818359</v>
      </c>
      <c r="C31">
        <v>1.5721486806869507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 s="11">
        <v>3.6065222229808569E-4</v>
      </c>
      <c r="S31" s="11">
        <v>2.3653723474126309E-4</v>
      </c>
      <c r="T31"/>
      <c r="U31" s="11">
        <v>1.5534755948465317E-4</v>
      </c>
      <c r="V31"/>
      <c r="W31"/>
      <c r="X31"/>
      <c r="Y31"/>
      <c r="Z31"/>
      <c r="AA31"/>
      <c r="AB31" s="11">
        <v>5.0407607341185212E-4</v>
      </c>
      <c r="AC31"/>
      <c r="AD31" s="195">
        <v>1.0681874752044678</v>
      </c>
      <c r="AE31" s="11">
        <v>2.7038233383791521E-5</v>
      </c>
      <c r="AF31" s="11">
        <v>6.4688960264902562E-5</v>
      </c>
      <c r="AG31"/>
      <c r="AH31"/>
      <c r="AI31"/>
      <c r="AJ31" s="191">
        <v>0.77955144643783569</v>
      </c>
      <c r="AK31" s="156">
        <v>0.22317926585674286</v>
      </c>
      <c r="AL31" s="194">
        <v>0.87674999237060547</v>
      </c>
      <c r="AM31"/>
      <c r="AN31"/>
      <c r="AO31" s="19">
        <v>8.5904404520988464E-2</v>
      </c>
      <c r="AP31" s="185">
        <v>0.40293064713478088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212</v>
      </c>
      <c r="B32">
        <v>5.4000000953674316</v>
      </c>
      <c r="C32">
        <v>0.49661722779273987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 s="11">
        <v>7.3728070128709078E-4</v>
      </c>
      <c r="S32" s="11">
        <v>4.835526633542031E-4</v>
      </c>
      <c r="T32" s="11">
        <v>2.2780701983720064E-3</v>
      </c>
      <c r="U32" s="11">
        <v>3.1757674878463149E-4</v>
      </c>
      <c r="V32" s="11">
        <v>3.2000001519918442E-3</v>
      </c>
      <c r="W32" s="11">
        <v>2.9774561990052462E-3</v>
      </c>
      <c r="X32" s="11">
        <v>3.2135085202753544E-3</v>
      </c>
      <c r="Y32" s="12">
        <v>2.1151315420866013E-2</v>
      </c>
      <c r="Z32"/>
      <c r="AA32" s="178">
        <v>0.37019318342208862</v>
      </c>
      <c r="AB32" s="14">
        <v>9.3521084636449814E-3</v>
      </c>
      <c r="AC32"/>
      <c r="AD32" s="111">
        <v>1.8197449445724487</v>
      </c>
      <c r="AE32" s="11">
        <v>6.2907318351790309E-4</v>
      </c>
      <c r="AF32" s="11">
        <v>1.5050574438646436E-3</v>
      </c>
      <c r="AG32" s="180">
        <v>0.39477625489234924</v>
      </c>
      <c r="AH32"/>
      <c r="AI32"/>
      <c r="AJ32"/>
      <c r="AK32" s="182">
        <v>0.58067548274993896</v>
      </c>
      <c r="AL32" s="192">
        <v>1.536290168762207</v>
      </c>
      <c r="AM32"/>
      <c r="AN32"/>
      <c r="AO32"/>
      <c r="AP32" s="170">
        <v>0.15585815906524658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213</v>
      </c>
      <c r="B33">
        <v>3.5</v>
      </c>
      <c r="C33">
        <v>0.204795241355896</v>
      </c>
      <c r="D33"/>
      <c r="E33"/>
      <c r="F33"/>
      <c r="G33"/>
      <c r="H33"/>
      <c r="I33" s="11">
        <v>1.1716666631400585E-3</v>
      </c>
      <c r="J33" s="11">
        <v>1.0653334902599454E-3</v>
      </c>
      <c r="K33" s="11">
        <v>6.6000001970678568E-4</v>
      </c>
      <c r="L33" s="11">
        <v>6.3333340222015977E-4</v>
      </c>
      <c r="M33" s="11">
        <v>7.0933339884504676E-4</v>
      </c>
      <c r="N33" s="11">
        <v>9.9730363581329584E-4</v>
      </c>
      <c r="O33" s="66">
        <v>0.14727804064750671</v>
      </c>
      <c r="P33"/>
      <c r="Q33" s="64">
        <v>0.19195348024368286</v>
      </c>
      <c r="R33" s="14">
        <v>4.8562223091721535E-3</v>
      </c>
      <c r="S33" s="14">
        <v>3.6750005092471838E-3</v>
      </c>
      <c r="T33" s="15">
        <v>3.4626670181751251E-2</v>
      </c>
      <c r="U33"/>
      <c r="V33" s="22">
        <v>2.9184004291892052E-2</v>
      </c>
      <c r="W33"/>
      <c r="X33" s="24">
        <v>9.7690671682357788E-2</v>
      </c>
      <c r="Y33"/>
      <c r="Z33" s="173">
        <v>0.13584809005260468</v>
      </c>
      <c r="AA33" s="68">
        <v>0.21656937897205353</v>
      </c>
      <c r="AB33" s="11">
        <v>2.6992144994437695E-3</v>
      </c>
      <c r="AC33" s="187">
        <v>0.9637218713760376</v>
      </c>
      <c r="AD33" s="181">
        <v>0.40936979651451111</v>
      </c>
      <c r="AE33" s="12">
        <v>1.5459092333912849E-2</v>
      </c>
      <c r="AF33" s="15">
        <v>3.6985874176025391E-2</v>
      </c>
      <c r="AG33" s="147">
        <v>0.50005000829696655</v>
      </c>
      <c r="AH33"/>
      <c r="AI33"/>
      <c r="AJ33"/>
      <c r="AK33"/>
      <c r="AL33"/>
      <c r="AM33"/>
      <c r="AN33" s="147">
        <v>0.5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214</v>
      </c>
      <c r="B34">
        <v>4</v>
      </c>
      <c r="C34">
        <v>8.2710981369018555E-2</v>
      </c>
      <c r="D34"/>
      <c r="E34"/>
      <c r="F34"/>
      <c r="G34"/>
      <c r="H34"/>
      <c r="I34" s="11">
        <v>2.6718747903942131E-5</v>
      </c>
      <c r="J34"/>
      <c r="K34" s="11">
        <v>2.2275000810623169E-3</v>
      </c>
      <c r="L34"/>
      <c r="M34"/>
      <c r="N34"/>
      <c r="O34"/>
      <c r="P34" s="14">
        <v>9.0169468894600868E-3</v>
      </c>
      <c r="Q34" s="65">
        <v>8.3752751350402832E-2</v>
      </c>
      <c r="R34" s="11">
        <v>2.1012499928474426E-3</v>
      </c>
      <c r="S34" s="11">
        <v>2.0671878010034561E-3</v>
      </c>
      <c r="T34"/>
      <c r="U34" s="11">
        <v>9.0509373694658279E-4</v>
      </c>
      <c r="V34" s="14">
        <v>5.0160004757344723E-3</v>
      </c>
      <c r="W34" s="14">
        <v>8.4857502952218056E-3</v>
      </c>
      <c r="X34"/>
      <c r="Y34" s="154">
        <v>9.0421877801418304E-2</v>
      </c>
      <c r="Z34" s="14">
        <v>1.1462181806564331E-2</v>
      </c>
      <c r="AA34" s="64">
        <v>0.21753619611263275</v>
      </c>
      <c r="AB34" s="23">
        <v>2.2087505087256432E-2</v>
      </c>
      <c r="AC34" s="67">
        <v>0.23455971479415894</v>
      </c>
      <c r="AD34" s="191">
        <v>0.62235277891159058</v>
      </c>
      <c r="AE34" s="11">
        <v>5.9861975023522973E-4</v>
      </c>
      <c r="AF34" s="11">
        <v>1.4321976341307163E-3</v>
      </c>
      <c r="AG34" s="29">
        <v>0.19126912951469421</v>
      </c>
      <c r="AH34"/>
      <c r="AI34" s="193">
        <v>1.0032749176025391</v>
      </c>
      <c r="AJ34" s="76">
        <v>0.31188753247261047</v>
      </c>
      <c r="AK34" s="170">
        <v>0.11820892989635468</v>
      </c>
      <c r="AL34"/>
      <c r="AM34"/>
      <c r="AN34" s="186">
        <v>0.50624996423721313</v>
      </c>
      <c r="AO34" s="68">
        <v>0.25025027990341187</v>
      </c>
      <c r="AP34" s="64">
        <v>0.22209788858890533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215</v>
      </c>
      <c r="B35">
        <v>1.5</v>
      </c>
      <c r="C35">
        <v>0.15759158134460449</v>
      </c>
      <c r="D35"/>
      <c r="E35"/>
      <c r="F35"/>
      <c r="G35"/>
      <c r="H35"/>
      <c r="I35"/>
      <c r="J35" s="11">
        <v>3.8896552723599598E-5</v>
      </c>
      <c r="K35" s="11">
        <v>1.0241378913633525E-4</v>
      </c>
      <c r="L35"/>
      <c r="M35"/>
      <c r="N35"/>
      <c r="O35"/>
      <c r="P35"/>
      <c r="Q35"/>
      <c r="R35" s="11">
        <v>1.1593103408813477E-3</v>
      </c>
      <c r="S35"/>
      <c r="T35" s="11">
        <v>7.1641377871856093E-4</v>
      </c>
      <c r="U35"/>
      <c r="V35" s="11">
        <v>5.0317239947617054E-4</v>
      </c>
      <c r="W35"/>
      <c r="X35"/>
      <c r="Y35"/>
      <c r="Z35" s="14">
        <v>2.1079876460134983E-3</v>
      </c>
      <c r="AA35" s="109">
        <v>9.9256500601768494E-2</v>
      </c>
      <c r="AB35" s="14">
        <v>1.7793209990486503E-3</v>
      </c>
      <c r="AC35"/>
      <c r="AD35"/>
      <c r="AE35"/>
      <c r="AF35"/>
      <c r="AG35" s="13">
        <v>5.5867645889520645E-2</v>
      </c>
      <c r="AH35"/>
      <c r="AI35" s="196">
        <v>0.89726895093917847</v>
      </c>
      <c r="AJ35"/>
      <c r="AK35"/>
      <c r="AL35"/>
      <c r="AM35"/>
      <c r="AN35" s="179">
        <v>0.12413792312145233</v>
      </c>
      <c r="AO35" s="177">
        <v>0.11045528203248978</v>
      </c>
      <c r="AP35" s="174">
        <v>4.9014702439308167E-2</v>
      </c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216</v>
      </c>
      <c r="B36">
        <v>20</v>
      </c>
      <c r="C36">
        <v>0.40000081062316895</v>
      </c>
      <c r="D36"/>
      <c r="E36"/>
      <c r="F36"/>
      <c r="G36"/>
      <c r="H36"/>
      <c r="I36"/>
      <c r="J36"/>
      <c r="K36"/>
      <c r="L36"/>
      <c r="M36" s="11">
        <v>2.6919317406282062E-6</v>
      </c>
      <c r="N36"/>
      <c r="O36" s="11">
        <v>7.8249163925647736E-3</v>
      </c>
      <c r="P36" s="14">
        <v>3.406737744808197E-2</v>
      </c>
      <c r="Q36"/>
      <c r="R36"/>
      <c r="S36" s="11">
        <v>2.6033815811388195E-4</v>
      </c>
      <c r="T36" s="11">
        <v>4.905927344225347E-4</v>
      </c>
      <c r="U36" s="11">
        <v>3.4195798798464239E-4</v>
      </c>
      <c r="V36" s="11">
        <v>1.7228363140020519E-4</v>
      </c>
      <c r="W36" s="11">
        <v>4.8090657219290733E-3</v>
      </c>
      <c r="X36" s="11">
        <v>8.6505468934774399E-3</v>
      </c>
      <c r="Y36" s="14">
        <v>4.555032029747963E-2</v>
      </c>
      <c r="Z36"/>
      <c r="AA36" s="14">
        <v>4.1012030094861984E-2</v>
      </c>
      <c r="AB36" s="11">
        <v>4.7733509563840926E-4</v>
      </c>
      <c r="AC36" s="12">
        <v>8.3696827292442322E-2</v>
      </c>
      <c r="AD36" s="17">
        <v>0.26126018166542053</v>
      </c>
      <c r="AE36" s="11">
        <v>2.712309651542455E-4</v>
      </c>
      <c r="AF36" s="11">
        <v>6.489199586212635E-4</v>
      </c>
      <c r="AG36" s="18">
        <v>0.22316928207874298</v>
      </c>
      <c r="AH36" s="160">
        <v>3.9887630939483643</v>
      </c>
      <c r="AI36" s="154">
        <v>0.46967124938964844</v>
      </c>
      <c r="AJ36" s="80">
        <v>3.3877782821655273</v>
      </c>
      <c r="AK36" s="204">
        <v>4.5554323196411133</v>
      </c>
      <c r="AL36" s="203">
        <v>4.2072715759277344</v>
      </c>
      <c r="AM36" s="14">
        <v>4.3070908635854721E-2</v>
      </c>
      <c r="AN36" s="18">
        <v>0.23377300798892975</v>
      </c>
      <c r="AO36" s="18">
        <v>0.2363707572221756</v>
      </c>
      <c r="AP36" s="17">
        <v>0.26516163349151611</v>
      </c>
      <c r="AQ36" s="177">
        <v>1.5</v>
      </c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217</v>
      </c>
      <c r="B37">
        <v>25</v>
      </c>
      <c r="C37">
        <v>13.861090660095215</v>
      </c>
      <c r="D37"/>
      <c r="E37"/>
      <c r="F37"/>
      <c r="G37"/>
      <c r="H37"/>
      <c r="I37"/>
      <c r="J37"/>
      <c r="K37"/>
      <c r="L37"/>
      <c r="M37"/>
      <c r="N37"/>
      <c r="O37"/>
      <c r="P37" s="11">
        <v>6.1597167514264584E-3</v>
      </c>
      <c r="Q37"/>
      <c r="R37"/>
      <c r="S37"/>
      <c r="T37"/>
      <c r="U37"/>
      <c r="V37"/>
      <c r="W37"/>
      <c r="X37"/>
      <c r="Y37" s="11">
        <v>8.6657684296369553E-3</v>
      </c>
      <c r="Z37"/>
      <c r="AA37"/>
      <c r="AB37"/>
      <c r="AC37" s="11">
        <v>1.1239758459851146E-3</v>
      </c>
      <c r="AD37"/>
      <c r="AE37"/>
      <c r="AF37"/>
      <c r="AG37" s="12">
        <v>8.895767480134964E-2</v>
      </c>
      <c r="AH37" s="26">
        <v>0.61950051784515381</v>
      </c>
      <c r="AI37"/>
      <c r="AJ37" s="15">
        <v>0.24323302507400513</v>
      </c>
      <c r="AK37" s="26">
        <v>0.63418614864349365</v>
      </c>
      <c r="AL37" s="154">
        <v>0.59165805578231812</v>
      </c>
      <c r="AM37" s="23">
        <v>0.13110512495040894</v>
      </c>
      <c r="AN37"/>
      <c r="AO37" s="23">
        <v>0.14389953017234802</v>
      </c>
      <c r="AP37" s="15">
        <v>0.22349472343921661</v>
      </c>
      <c r="AQ37" s="111">
        <v>8.446925163269043</v>
      </c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218</v>
      </c>
      <c r="B38">
        <v>120</v>
      </c>
      <c r="C38">
        <v>47.936634063720703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 s="23">
        <v>0.64963012933731079</v>
      </c>
      <c r="AH38"/>
      <c r="AI38"/>
      <c r="AJ38"/>
      <c r="AK38"/>
      <c r="AL38"/>
      <c r="AM38" s="183">
        <v>13.878260612487793</v>
      </c>
      <c r="AN38"/>
      <c r="AO38" s="21">
        <v>2.297950267791748</v>
      </c>
      <c r="AP38"/>
      <c r="AQ38" s="112">
        <v>55.237529754638672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219</v>
      </c>
      <c r="B39">
        <v>120</v>
      </c>
      <c r="C39">
        <v>79.574203491210938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 s="12">
        <v>0.36442664265632629</v>
      </c>
      <c r="AH39"/>
      <c r="AI39"/>
      <c r="AJ39"/>
      <c r="AK39"/>
      <c r="AL39"/>
      <c r="AM39" s="78">
        <v>7.7853655815124512</v>
      </c>
      <c r="AN39"/>
      <c r="AO39" s="15">
        <v>1.289094090461731</v>
      </c>
      <c r="AP39"/>
      <c r="AQ39" s="202">
        <v>30.986907958984375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220</v>
      </c>
      <c r="B40">
        <v>120</v>
      </c>
      <c r="C40">
        <v>65.94573974609375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 s="14">
        <v>0.30492842197418213</v>
      </c>
      <c r="AH40" s="26">
        <v>3.1533064842224121</v>
      </c>
      <c r="AI40"/>
      <c r="AJ40" s="200">
        <v>19.09515380859375</v>
      </c>
      <c r="AK40" s="23">
        <v>0.77197664976119995</v>
      </c>
      <c r="AL40"/>
      <c r="AM40" s="25">
        <v>3.7224488258361816</v>
      </c>
      <c r="AN40"/>
      <c r="AO40" s="15">
        <v>1.078629732131958</v>
      </c>
      <c r="AP40"/>
      <c r="AQ40" s="149">
        <v>25.927820205688477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221</v>
      </c>
      <c r="B41">
        <v>180</v>
      </c>
      <c r="C41">
        <v>118.42631530761719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 s="11">
        <v>3.0340168159455061E-3</v>
      </c>
      <c r="AE41"/>
      <c r="AF41"/>
      <c r="AG41"/>
      <c r="AH41" s="11">
        <v>2.8416823595762253E-2</v>
      </c>
      <c r="AI41"/>
      <c r="AJ41"/>
      <c r="AK41"/>
      <c r="AL41"/>
      <c r="AM41" s="14">
        <v>0.5001828670501709</v>
      </c>
      <c r="AN41"/>
      <c r="AO41"/>
      <c r="AP41"/>
      <c r="AQ41"/>
      <c r="AR41" s="150">
        <v>61.042049407958984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222</v>
      </c>
      <c r="B42"/>
      <c r="C42">
        <v>9.1424643993377686E-2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9">
        <v>3.0565820634365082E-3</v>
      </c>
      <c r="AA42"/>
      <c r="AB42"/>
      <c r="AC42"/>
      <c r="AD42"/>
      <c r="AE42"/>
      <c r="AF42"/>
      <c r="AG42" s="9">
        <v>3.420341968536377</v>
      </c>
      <c r="AH42" s="9">
        <v>3.8651206493377686</v>
      </c>
      <c r="AI42"/>
      <c r="AJ42" s="9">
        <v>15.61308765411377</v>
      </c>
      <c r="AK42" s="9">
        <v>25.722263336181641</v>
      </c>
      <c r="AL42"/>
      <c r="AM42" s="9">
        <v>2.7360000610351562</v>
      </c>
      <c r="AN42"/>
      <c r="AO42" s="9">
        <v>3.2032036781311035</v>
      </c>
      <c r="AP42"/>
      <c r="AQ42" s="9">
        <v>109.25983428955078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240</v>
      </c>
      <c r="B43"/>
      <c r="C43">
        <v>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5" workbookViewId="0">
      <selection activeCell="I58" sqref="I58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" bestFit="1" customWidth="1"/>
    <col min="5" max="5" width="13.83203125" bestFit="1" customWidth="1"/>
    <col min="6" max="6" width="10.1640625" bestFit="1" customWidth="1"/>
    <col min="7" max="7" width="15.33203125" bestFit="1" customWidth="1"/>
    <col min="8" max="8" width="31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J1" s="1" t="s">
        <v>132</v>
      </c>
      <c r="K1" s="1" t="s">
        <v>133</v>
      </c>
      <c r="L1" s="62" t="s">
        <v>174</v>
      </c>
    </row>
    <row r="2" spans="1:12" x14ac:dyDescent="0.15">
      <c r="A2" s="1" t="s">
        <v>38</v>
      </c>
      <c r="B2" s="39">
        <v>3</v>
      </c>
      <c r="C2" s="37"/>
      <c r="D2" t="s">
        <v>39</v>
      </c>
      <c r="E2">
        <v>1</v>
      </c>
      <c r="F2">
        <v>1</v>
      </c>
      <c r="G2">
        <v>1</v>
      </c>
      <c r="H2" t="s">
        <v>39</v>
      </c>
      <c r="J2" s="55" t="s">
        <v>175</v>
      </c>
      <c r="K2" s="56" t="s">
        <v>176</v>
      </c>
      <c r="L2" s="62" t="s">
        <v>177</v>
      </c>
    </row>
    <row r="3" spans="1:12" ht="14" thickBot="1" x14ac:dyDescent="0.2">
      <c r="A3" s="1" t="s">
        <v>40</v>
      </c>
      <c r="B3" s="40">
        <v>0</v>
      </c>
      <c r="C3" s="37"/>
      <c r="D3" t="s">
        <v>41</v>
      </c>
      <c r="E3">
        <v>2</v>
      </c>
      <c r="F3">
        <v>1.1000000000000001</v>
      </c>
      <c r="G3">
        <v>2</v>
      </c>
      <c r="H3" t="s">
        <v>41</v>
      </c>
      <c r="J3" s="57"/>
      <c r="K3" s="58"/>
    </row>
    <row r="4" spans="1:12" x14ac:dyDescent="0.15">
      <c r="D4" t="s">
        <v>42</v>
      </c>
      <c r="E4">
        <v>3</v>
      </c>
      <c r="F4">
        <v>1.2</v>
      </c>
      <c r="G4">
        <v>3</v>
      </c>
      <c r="H4" t="s">
        <v>42</v>
      </c>
      <c r="J4" s="57"/>
      <c r="K4" s="58"/>
    </row>
    <row r="5" spans="1:12" x14ac:dyDescent="0.15">
      <c r="D5" t="s">
        <v>182</v>
      </c>
      <c r="E5">
        <v>4</v>
      </c>
      <c r="F5" s="261">
        <v>3</v>
      </c>
      <c r="G5">
        <v>4</v>
      </c>
      <c r="H5" t="s">
        <v>182</v>
      </c>
      <c r="J5" s="57"/>
      <c r="K5" s="58"/>
    </row>
    <row r="6" spans="1:12" ht="14" thickBot="1" x14ac:dyDescent="0.2">
      <c r="A6" s="41" t="s">
        <v>123</v>
      </c>
      <c r="D6" t="s">
        <v>183</v>
      </c>
      <c r="E6">
        <v>5</v>
      </c>
      <c r="F6" s="261">
        <v>3</v>
      </c>
      <c r="G6">
        <v>5</v>
      </c>
      <c r="H6" t="s">
        <v>183</v>
      </c>
      <c r="J6" s="57"/>
      <c r="K6" s="58"/>
    </row>
    <row r="7" spans="1:12" x14ac:dyDescent="0.15">
      <c r="A7" s="36" t="s">
        <v>128</v>
      </c>
      <c r="B7" s="43">
        <v>1</v>
      </c>
      <c r="C7" s="38"/>
      <c r="D7" t="s">
        <v>184</v>
      </c>
      <c r="E7">
        <v>6</v>
      </c>
      <c r="F7" s="261">
        <v>3</v>
      </c>
      <c r="G7">
        <v>6</v>
      </c>
      <c r="H7" t="s">
        <v>184</v>
      </c>
      <c r="J7" s="57"/>
      <c r="K7" s="58"/>
    </row>
    <row r="8" spans="1:12" x14ac:dyDescent="0.15">
      <c r="A8" s="36" t="s">
        <v>39</v>
      </c>
      <c r="B8" s="44">
        <v>1</v>
      </c>
      <c r="C8" s="38"/>
      <c r="D8" t="s">
        <v>185</v>
      </c>
      <c r="E8">
        <v>7</v>
      </c>
      <c r="F8" s="261">
        <v>3</v>
      </c>
      <c r="G8">
        <v>7</v>
      </c>
      <c r="H8" t="s">
        <v>185</v>
      </c>
      <c r="J8" s="57"/>
      <c r="K8" s="58"/>
    </row>
    <row r="9" spans="1:12" x14ac:dyDescent="0.15">
      <c r="A9" s="36" t="s">
        <v>41</v>
      </c>
      <c r="B9" s="44">
        <v>1.1000000000000001</v>
      </c>
      <c r="C9" s="38"/>
      <c r="D9" t="s">
        <v>186</v>
      </c>
      <c r="E9">
        <v>8</v>
      </c>
      <c r="F9" s="261">
        <v>3</v>
      </c>
      <c r="G9">
        <v>8</v>
      </c>
      <c r="H9" t="s">
        <v>186</v>
      </c>
      <c r="J9" s="57"/>
      <c r="K9" s="58"/>
    </row>
    <row r="10" spans="1:12" x14ac:dyDescent="0.15">
      <c r="A10" s="36" t="s">
        <v>42</v>
      </c>
      <c r="B10" s="44">
        <v>1.2</v>
      </c>
      <c r="C10" s="38"/>
      <c r="D10" t="s">
        <v>187</v>
      </c>
      <c r="E10">
        <v>9</v>
      </c>
      <c r="F10" s="261">
        <v>3</v>
      </c>
      <c r="G10">
        <v>9</v>
      </c>
      <c r="H10" t="s">
        <v>187</v>
      </c>
      <c r="J10" s="57"/>
      <c r="K10" s="58"/>
    </row>
    <row r="11" spans="1:12" ht="12" customHeight="1" x14ac:dyDescent="0.15">
      <c r="A11" s="42" t="s">
        <v>129</v>
      </c>
      <c r="B11" s="44">
        <v>2</v>
      </c>
      <c r="C11" s="38"/>
      <c r="D11" t="s">
        <v>188</v>
      </c>
      <c r="E11">
        <v>10</v>
      </c>
      <c r="F11" s="261">
        <v>3</v>
      </c>
      <c r="G11">
        <v>10</v>
      </c>
      <c r="H11" t="s">
        <v>188</v>
      </c>
      <c r="J11" s="57"/>
      <c r="K11" s="58"/>
    </row>
    <row r="12" spans="1:12" x14ac:dyDescent="0.15">
      <c r="A12" s="36" t="s">
        <v>43</v>
      </c>
      <c r="B12" s="44">
        <v>2.1</v>
      </c>
      <c r="C12" s="38"/>
      <c r="D12" t="s">
        <v>189</v>
      </c>
      <c r="E12">
        <v>11</v>
      </c>
      <c r="F12" s="261">
        <v>3</v>
      </c>
      <c r="G12">
        <v>11</v>
      </c>
      <c r="H12" t="s">
        <v>189</v>
      </c>
      <c r="J12" s="57"/>
      <c r="K12" s="58"/>
    </row>
    <row r="13" spans="1:12" x14ac:dyDescent="0.15">
      <c r="A13" s="36" t="s">
        <v>44</v>
      </c>
      <c r="B13" s="44">
        <v>2.2000000000000002</v>
      </c>
      <c r="C13" s="38"/>
      <c r="D13" t="s">
        <v>190</v>
      </c>
      <c r="E13">
        <v>12</v>
      </c>
      <c r="F13" s="261">
        <v>3</v>
      </c>
      <c r="G13">
        <v>12</v>
      </c>
      <c r="H13" t="s">
        <v>190</v>
      </c>
      <c r="J13" s="57"/>
      <c r="K13" s="58"/>
    </row>
    <row r="14" spans="1:12" x14ac:dyDescent="0.15">
      <c r="A14" s="36" t="s">
        <v>69</v>
      </c>
      <c r="B14" s="44">
        <v>2.2999999999999998</v>
      </c>
      <c r="C14" s="38"/>
      <c r="D14" s="153" t="s">
        <v>191</v>
      </c>
      <c r="E14">
        <v>13</v>
      </c>
      <c r="F14" s="261">
        <v>3</v>
      </c>
      <c r="G14">
        <v>13</v>
      </c>
      <c r="H14" s="153" t="s">
        <v>191</v>
      </c>
      <c r="J14" s="57"/>
      <c r="K14" s="58"/>
    </row>
    <row r="15" spans="1:12" x14ac:dyDescent="0.15">
      <c r="A15" s="42" t="s">
        <v>130</v>
      </c>
      <c r="B15" s="44">
        <v>3</v>
      </c>
      <c r="C15" s="38"/>
      <c r="D15" s="153" t="s">
        <v>192</v>
      </c>
      <c r="E15">
        <v>14</v>
      </c>
      <c r="F15" s="261">
        <v>3</v>
      </c>
      <c r="G15">
        <v>14</v>
      </c>
      <c r="H15" s="153" t="s">
        <v>192</v>
      </c>
      <c r="J15" s="57"/>
      <c r="K15" s="58"/>
    </row>
    <row r="16" spans="1:12" x14ac:dyDescent="0.15">
      <c r="A16" s="36" t="s">
        <v>64</v>
      </c>
      <c r="B16" s="44">
        <v>3.11</v>
      </c>
      <c r="C16" s="38"/>
      <c r="D16" s="153" t="s">
        <v>193</v>
      </c>
      <c r="E16">
        <v>15</v>
      </c>
      <c r="F16" s="261">
        <v>3</v>
      </c>
      <c r="G16">
        <v>15</v>
      </c>
      <c r="H16" s="153" t="s">
        <v>193</v>
      </c>
      <c r="J16" s="57"/>
      <c r="K16" s="58"/>
    </row>
    <row r="17" spans="1:12" x14ac:dyDescent="0.15">
      <c r="A17" s="36" t="s">
        <v>63</v>
      </c>
      <c r="B17" s="44">
        <v>3.12</v>
      </c>
      <c r="C17" s="38"/>
      <c r="D17" s="153" t="s">
        <v>194</v>
      </c>
      <c r="E17">
        <v>16</v>
      </c>
      <c r="F17" s="261">
        <v>3</v>
      </c>
      <c r="G17">
        <v>16</v>
      </c>
      <c r="H17" s="153" t="s">
        <v>194</v>
      </c>
      <c r="J17" s="57"/>
      <c r="K17" s="58"/>
    </row>
    <row r="18" spans="1:12" x14ac:dyDescent="0.15">
      <c r="A18" s="36" t="s">
        <v>70</v>
      </c>
      <c r="B18" s="44">
        <v>3.13</v>
      </c>
      <c r="C18" s="38"/>
      <c r="D18" s="153" t="s">
        <v>195</v>
      </c>
      <c r="E18">
        <v>17</v>
      </c>
      <c r="F18" s="261">
        <v>3</v>
      </c>
      <c r="G18">
        <v>17</v>
      </c>
      <c r="H18" s="153" t="s">
        <v>195</v>
      </c>
      <c r="J18" s="57"/>
      <c r="K18" s="58"/>
    </row>
    <row r="19" spans="1:12" x14ac:dyDescent="0.15">
      <c r="A19" s="36" t="s">
        <v>68</v>
      </c>
      <c r="B19" s="44">
        <v>3.21</v>
      </c>
      <c r="C19" s="38"/>
      <c r="D19" s="153" t="s">
        <v>196</v>
      </c>
      <c r="E19">
        <v>18</v>
      </c>
      <c r="F19" s="261">
        <v>3</v>
      </c>
      <c r="G19">
        <v>18</v>
      </c>
      <c r="H19" s="153" t="s">
        <v>196</v>
      </c>
      <c r="J19" s="57"/>
      <c r="K19" s="58"/>
    </row>
    <row r="20" spans="1:12" x14ac:dyDescent="0.15">
      <c r="A20" s="36" t="s">
        <v>65</v>
      </c>
      <c r="B20" s="44">
        <v>3.22</v>
      </c>
      <c r="C20" s="38"/>
      <c r="D20" s="153" t="s">
        <v>197</v>
      </c>
      <c r="E20">
        <v>19</v>
      </c>
      <c r="F20" s="261">
        <v>3</v>
      </c>
      <c r="G20">
        <v>19</v>
      </c>
      <c r="H20" s="153" t="s">
        <v>197</v>
      </c>
      <c r="J20" s="57"/>
      <c r="K20" s="58"/>
    </row>
    <row r="21" spans="1:12" ht="14" thickBot="1" x14ac:dyDescent="0.2">
      <c r="A21" s="36" t="s">
        <v>71</v>
      </c>
      <c r="B21" s="44">
        <v>3.23</v>
      </c>
      <c r="C21" s="38"/>
      <c r="D21" s="153" t="s">
        <v>198</v>
      </c>
      <c r="E21">
        <v>20</v>
      </c>
      <c r="F21" s="261">
        <v>3</v>
      </c>
      <c r="G21">
        <v>20</v>
      </c>
      <c r="H21" s="153" t="s">
        <v>198</v>
      </c>
      <c r="J21" s="59"/>
      <c r="K21" s="60"/>
      <c r="L21" s="62" t="s">
        <v>154</v>
      </c>
    </row>
    <row r="22" spans="1:12" x14ac:dyDescent="0.15">
      <c r="A22" s="36" t="s">
        <v>66</v>
      </c>
      <c r="B22" s="44">
        <v>8</v>
      </c>
      <c r="C22" s="38"/>
      <c r="D22" s="153" t="s">
        <v>199</v>
      </c>
      <c r="E22">
        <v>21</v>
      </c>
      <c r="F22" s="261">
        <v>3</v>
      </c>
      <c r="G22">
        <v>21</v>
      </c>
      <c r="H22" s="153" t="s">
        <v>199</v>
      </c>
    </row>
    <row r="23" spans="1:12" x14ac:dyDescent="0.15">
      <c r="A23" s="36" t="s">
        <v>131</v>
      </c>
      <c r="B23" s="44">
        <v>4</v>
      </c>
      <c r="C23" s="38"/>
      <c r="D23" s="153" t="s">
        <v>200</v>
      </c>
      <c r="E23">
        <v>22</v>
      </c>
      <c r="F23" s="261">
        <v>3</v>
      </c>
      <c r="G23">
        <v>22</v>
      </c>
      <c r="H23" s="153" t="s">
        <v>200</v>
      </c>
    </row>
    <row r="24" spans="1:12" x14ac:dyDescent="0.15">
      <c r="A24" s="36" t="s">
        <v>124</v>
      </c>
      <c r="B24" s="44">
        <v>4.0999999999999996</v>
      </c>
      <c r="C24" s="38"/>
      <c r="D24" s="153" t="s">
        <v>201</v>
      </c>
      <c r="E24">
        <v>23</v>
      </c>
      <c r="F24" s="261">
        <v>3</v>
      </c>
      <c r="G24">
        <v>23</v>
      </c>
      <c r="H24" s="153" t="s">
        <v>201</v>
      </c>
    </row>
    <row r="25" spans="1:12" x14ac:dyDescent="0.15">
      <c r="A25" s="36" t="s">
        <v>72</v>
      </c>
      <c r="B25" s="44">
        <v>4.2</v>
      </c>
      <c r="C25" s="38"/>
      <c r="D25" s="153" t="s">
        <v>202</v>
      </c>
      <c r="E25">
        <v>24</v>
      </c>
      <c r="F25" s="261">
        <v>3</v>
      </c>
      <c r="G25">
        <v>24</v>
      </c>
      <c r="H25" s="153" t="s">
        <v>202</v>
      </c>
    </row>
    <row r="26" spans="1:12" x14ac:dyDescent="0.15">
      <c r="A26" s="36" t="s">
        <v>125</v>
      </c>
      <c r="B26" s="44">
        <v>4.3</v>
      </c>
      <c r="C26" s="38"/>
      <c r="D26" s="153" t="s">
        <v>203</v>
      </c>
      <c r="E26">
        <v>25</v>
      </c>
      <c r="F26" s="261">
        <v>3</v>
      </c>
      <c r="G26">
        <v>25</v>
      </c>
      <c r="H26" s="153" t="s">
        <v>203</v>
      </c>
    </row>
    <row r="27" spans="1:12" x14ac:dyDescent="0.15">
      <c r="A27" s="36" t="s">
        <v>127</v>
      </c>
      <c r="B27" s="44">
        <v>6.1</v>
      </c>
      <c r="D27" s="153" t="s">
        <v>204</v>
      </c>
      <c r="E27">
        <v>26</v>
      </c>
      <c r="F27" s="261">
        <v>3</v>
      </c>
      <c r="G27">
        <v>26</v>
      </c>
      <c r="H27" s="153" t="s">
        <v>204</v>
      </c>
    </row>
    <row r="28" spans="1:12" x14ac:dyDescent="0.15">
      <c r="A28" s="36" t="s">
        <v>126</v>
      </c>
      <c r="B28" s="44">
        <v>6.2</v>
      </c>
      <c r="D28" s="153" t="s">
        <v>205</v>
      </c>
      <c r="E28">
        <v>27</v>
      </c>
      <c r="F28" s="261">
        <v>3</v>
      </c>
      <c r="G28">
        <v>27</v>
      </c>
      <c r="H28" s="153" t="s">
        <v>205</v>
      </c>
    </row>
    <row r="29" spans="1:12" x14ac:dyDescent="0.15">
      <c r="A29" s="36" t="s">
        <v>45</v>
      </c>
      <c r="B29" s="44">
        <v>5</v>
      </c>
      <c r="D29" s="153" t="s">
        <v>206</v>
      </c>
      <c r="E29">
        <v>28</v>
      </c>
      <c r="F29" s="261">
        <v>3</v>
      </c>
      <c r="G29">
        <v>28</v>
      </c>
      <c r="H29" s="153" t="s">
        <v>206</v>
      </c>
    </row>
    <row r="30" spans="1:12" x14ac:dyDescent="0.15">
      <c r="A30" s="36" t="s">
        <v>75</v>
      </c>
      <c r="B30" s="44">
        <v>7</v>
      </c>
      <c r="D30" s="153" t="s">
        <v>207</v>
      </c>
      <c r="E30">
        <v>29</v>
      </c>
      <c r="F30" s="261">
        <v>3</v>
      </c>
      <c r="G30">
        <v>29</v>
      </c>
      <c r="H30" s="153" t="s">
        <v>207</v>
      </c>
    </row>
    <row r="31" spans="1:12" x14ac:dyDescent="0.15">
      <c r="A31" s="36" t="s">
        <v>180</v>
      </c>
      <c r="B31" s="44">
        <v>3.14</v>
      </c>
      <c r="D31" s="153" t="s">
        <v>208</v>
      </c>
      <c r="E31">
        <v>30</v>
      </c>
      <c r="F31" s="261">
        <v>3</v>
      </c>
      <c r="G31">
        <v>30</v>
      </c>
      <c r="H31" s="153" t="s">
        <v>208</v>
      </c>
    </row>
    <row r="32" spans="1:12" ht="12" customHeight="1" thickBot="1" x14ac:dyDescent="0.2">
      <c r="A32" s="42" t="s">
        <v>181</v>
      </c>
      <c r="B32" s="45">
        <v>9</v>
      </c>
      <c r="D32" s="153" t="s">
        <v>209</v>
      </c>
      <c r="E32">
        <v>31</v>
      </c>
      <c r="F32" s="261">
        <v>3</v>
      </c>
      <c r="G32">
        <v>31</v>
      </c>
      <c r="H32" s="153" t="s">
        <v>209</v>
      </c>
    </row>
    <row r="33" spans="4:9" customFormat="1" ht="12" customHeight="1" x14ac:dyDescent="0.15">
      <c r="D33" s="153" t="s">
        <v>210</v>
      </c>
      <c r="E33">
        <v>32</v>
      </c>
      <c r="F33" s="261">
        <v>3</v>
      </c>
      <c r="G33">
        <v>32</v>
      </c>
      <c r="H33" s="153" t="s">
        <v>210</v>
      </c>
    </row>
    <row r="34" spans="4:9" customFormat="1" ht="12" customHeight="1" x14ac:dyDescent="0.15">
      <c r="D34" s="153" t="s">
        <v>211</v>
      </c>
      <c r="E34">
        <v>33</v>
      </c>
      <c r="F34" s="261">
        <v>3</v>
      </c>
      <c r="G34">
        <v>33</v>
      </c>
      <c r="H34" s="153" t="s">
        <v>211</v>
      </c>
    </row>
    <row r="35" spans="4:9" customFormat="1" x14ac:dyDescent="0.15">
      <c r="D35" s="153" t="s">
        <v>212</v>
      </c>
      <c r="E35">
        <v>34</v>
      </c>
      <c r="F35" s="261">
        <v>3</v>
      </c>
      <c r="G35">
        <v>34</v>
      </c>
      <c r="H35" s="153" t="s">
        <v>212</v>
      </c>
    </row>
    <row r="36" spans="4:9" customFormat="1" x14ac:dyDescent="0.15">
      <c r="D36" s="153" t="s">
        <v>213</v>
      </c>
      <c r="E36">
        <v>35</v>
      </c>
      <c r="F36" s="261">
        <v>3</v>
      </c>
      <c r="G36">
        <v>35</v>
      </c>
      <c r="H36" s="153" t="s">
        <v>213</v>
      </c>
    </row>
    <row r="37" spans="4:9" customFormat="1" ht="12" customHeight="1" x14ac:dyDescent="0.15">
      <c r="D37" s="153" t="s">
        <v>214</v>
      </c>
      <c r="E37">
        <v>36</v>
      </c>
      <c r="F37" s="261">
        <v>3</v>
      </c>
      <c r="G37">
        <v>36</v>
      </c>
      <c r="H37" s="153" t="s">
        <v>214</v>
      </c>
    </row>
    <row r="38" spans="4:9" customFormat="1" x14ac:dyDescent="0.15">
      <c r="D38" s="153" t="s">
        <v>215</v>
      </c>
      <c r="E38">
        <v>37</v>
      </c>
      <c r="F38" s="261">
        <v>3</v>
      </c>
      <c r="G38">
        <v>37</v>
      </c>
      <c r="H38" s="153" t="s">
        <v>215</v>
      </c>
    </row>
    <row r="39" spans="4:9" customFormat="1" x14ac:dyDescent="0.15">
      <c r="D39" s="153" t="s">
        <v>216</v>
      </c>
      <c r="E39">
        <v>38</v>
      </c>
      <c r="F39" s="261">
        <v>3</v>
      </c>
      <c r="G39">
        <v>38</v>
      </c>
      <c r="H39" s="153" t="s">
        <v>216</v>
      </c>
    </row>
    <row r="40" spans="4:9" customFormat="1" x14ac:dyDescent="0.15">
      <c r="D40" s="153" t="s">
        <v>217</v>
      </c>
      <c r="E40">
        <v>39</v>
      </c>
      <c r="F40" s="261">
        <v>3</v>
      </c>
      <c r="G40">
        <v>39</v>
      </c>
      <c r="H40" s="153" t="s">
        <v>217</v>
      </c>
    </row>
    <row r="41" spans="4:9" customFormat="1" x14ac:dyDescent="0.15">
      <c r="D41" s="153" t="s">
        <v>218</v>
      </c>
      <c r="E41">
        <v>40</v>
      </c>
      <c r="F41" s="261">
        <v>2</v>
      </c>
      <c r="G41">
        <v>40</v>
      </c>
      <c r="H41" s="153" t="s">
        <v>218</v>
      </c>
    </row>
    <row r="42" spans="4:9" customFormat="1" x14ac:dyDescent="0.15">
      <c r="D42" s="153" t="s">
        <v>219</v>
      </c>
      <c r="E42">
        <v>41</v>
      </c>
      <c r="F42" s="261">
        <v>2</v>
      </c>
      <c r="G42">
        <v>41</v>
      </c>
      <c r="H42" s="153" t="s">
        <v>219</v>
      </c>
    </row>
    <row r="43" spans="4:9" customFormat="1" x14ac:dyDescent="0.15">
      <c r="D43" s="153" t="s">
        <v>220</v>
      </c>
      <c r="E43">
        <v>42</v>
      </c>
      <c r="F43" s="261">
        <v>2</v>
      </c>
      <c r="G43">
        <v>42</v>
      </c>
      <c r="H43" s="153" t="s">
        <v>220</v>
      </c>
    </row>
    <row r="44" spans="4:9" customFormat="1" x14ac:dyDescent="0.15">
      <c r="D44" s="153" t="s">
        <v>221</v>
      </c>
      <c r="E44">
        <v>43</v>
      </c>
      <c r="F44" s="261">
        <v>2</v>
      </c>
      <c r="G44">
        <v>43</v>
      </c>
      <c r="H44" s="153" t="s">
        <v>221</v>
      </c>
    </row>
    <row r="45" spans="4:9" customFormat="1" x14ac:dyDescent="0.15">
      <c r="D45" s="153" t="s">
        <v>222</v>
      </c>
      <c r="E45">
        <v>44</v>
      </c>
      <c r="F45" s="6">
        <v>4.0999999999999996</v>
      </c>
      <c r="G45">
        <v>44</v>
      </c>
      <c r="H45" s="153" t="s">
        <v>222</v>
      </c>
      <c r="I45" s="62" t="s">
        <v>157</v>
      </c>
    </row>
    <row r="46" spans="4:9" customFormat="1" x14ac:dyDescent="0.15">
      <c r="D46" s="262" t="s">
        <v>240</v>
      </c>
      <c r="E46">
        <v>45</v>
      </c>
      <c r="F46" s="6">
        <v>4.3</v>
      </c>
      <c r="G46">
        <v>45</v>
      </c>
      <c r="H46" s="262" t="s">
        <v>240</v>
      </c>
      <c r="I46" s="62" t="s">
        <v>157</v>
      </c>
    </row>
    <row r="47" spans="4:9" customFormat="1" x14ac:dyDescent="0.15">
      <c r="D47" s="153" t="s">
        <v>227</v>
      </c>
      <c r="E47">
        <v>46</v>
      </c>
      <c r="F47" s="6">
        <v>5</v>
      </c>
      <c r="G47">
        <v>46</v>
      </c>
      <c r="H47" s="153" t="s">
        <v>227</v>
      </c>
      <c r="I47" s="62" t="s">
        <v>178</v>
      </c>
    </row>
    <row r="48" spans="4:9" customFormat="1" x14ac:dyDescent="0.15">
      <c r="D48" s="153" t="s">
        <v>228</v>
      </c>
      <c r="E48">
        <v>47</v>
      </c>
      <c r="F48" s="6">
        <v>5</v>
      </c>
      <c r="G48">
        <v>47</v>
      </c>
      <c r="H48" s="153" t="s">
        <v>228</v>
      </c>
      <c r="I48" s="62" t="s">
        <v>178</v>
      </c>
    </row>
    <row r="49" spans="4:9" customFormat="1" x14ac:dyDescent="0.15">
      <c r="D49" s="153" t="s">
        <v>229</v>
      </c>
      <c r="E49">
        <v>48</v>
      </c>
      <c r="F49" s="6">
        <v>5</v>
      </c>
      <c r="G49">
        <v>48</v>
      </c>
      <c r="H49" s="153" t="s">
        <v>229</v>
      </c>
      <c r="I49" s="62" t="s">
        <v>178</v>
      </c>
    </row>
    <row r="50" spans="4:9" customFormat="1" ht="12" customHeight="1" x14ac:dyDescent="0.15">
      <c r="D50" t="s">
        <v>230</v>
      </c>
      <c r="E50">
        <v>49</v>
      </c>
      <c r="F50" s="6">
        <v>5</v>
      </c>
      <c r="G50">
        <v>49</v>
      </c>
      <c r="H50" t="s">
        <v>230</v>
      </c>
      <c r="I50" s="62" t="s">
        <v>178</v>
      </c>
    </row>
    <row r="51" spans="4:9" customFormat="1" x14ac:dyDescent="0.15">
      <c r="D51" t="s">
        <v>231</v>
      </c>
      <c r="E51">
        <v>50</v>
      </c>
      <c r="F51" s="6">
        <v>5</v>
      </c>
      <c r="G51">
        <v>50</v>
      </c>
      <c r="H51" t="s">
        <v>231</v>
      </c>
      <c r="I51" s="62" t="s">
        <v>178</v>
      </c>
    </row>
    <row r="52" spans="4:9" customFormat="1" ht="12" customHeight="1" x14ac:dyDescent="0.15">
      <c r="D52" t="s">
        <v>140</v>
      </c>
      <c r="E52">
        <v>51</v>
      </c>
      <c r="F52" s="6">
        <v>6.1</v>
      </c>
      <c r="G52">
        <v>51</v>
      </c>
      <c r="H52" t="s">
        <v>140</v>
      </c>
      <c r="I52" s="62" t="s">
        <v>158</v>
      </c>
    </row>
    <row r="53" spans="4:9" customFormat="1" x14ac:dyDescent="0.15">
      <c r="D53" t="s">
        <v>46</v>
      </c>
      <c r="E53">
        <v>52</v>
      </c>
      <c r="F53" s="6">
        <v>6.2</v>
      </c>
      <c r="G53">
        <v>52</v>
      </c>
      <c r="H53" t="s">
        <v>46</v>
      </c>
      <c r="I53" s="62" t="s">
        <v>158</v>
      </c>
    </row>
    <row r="54" spans="4:9" customFormat="1" ht="12" customHeight="1" x14ac:dyDescent="0.15"/>
    <row r="55" spans="4:9" customFormat="1" ht="12" customHeight="1" x14ac:dyDescent="0.15"/>
    <row r="56" spans="4:9" customFormat="1" x14ac:dyDescent="0.15"/>
    <row r="57" spans="4:9" customFormat="1" x14ac:dyDescent="0.15"/>
    <row r="58" spans="4:9" customFormat="1" x14ac:dyDescent="0.15"/>
    <row r="59" spans="4:9" customFormat="1" x14ac:dyDescent="0.15"/>
    <row r="60" spans="4:9" customFormat="1" x14ac:dyDescent="0.15"/>
    <row r="61" spans="4:9" customFormat="1" x14ac:dyDescent="0.15"/>
    <row r="62" spans="4:9" customFormat="1" x14ac:dyDescent="0.15"/>
    <row r="63" spans="4:9" customFormat="1" x14ac:dyDescent="0.15"/>
    <row r="64" spans="4:9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D3" sqref="D3"/>
    </sheetView>
  </sheetViews>
  <sheetFormatPr baseColWidth="10" defaultColWidth="11.5" defaultRowHeight="15" customHeight="1" x14ac:dyDescent="0.15"/>
  <cols>
    <col min="1" max="1" width="26.1640625" style="86" bestFit="1" customWidth="1"/>
    <col min="2" max="5" width="16.1640625" style="85" customWidth="1"/>
    <col min="6" max="6" width="45.6640625" style="85" bestFit="1" customWidth="1"/>
    <col min="7" max="9" width="11.5" style="85"/>
    <col min="10" max="10" width="12.1640625" style="85" bestFit="1" customWidth="1"/>
    <col min="11" max="15" width="11.5" style="85"/>
    <col min="16" max="16" width="11.5" style="73"/>
    <col min="17" max="17" width="14.83203125" style="85" customWidth="1"/>
    <col min="18" max="18" width="22.1640625" style="74" customWidth="1"/>
    <col min="19" max="16384" width="11.5" style="85"/>
  </cols>
  <sheetData>
    <row r="1" spans="1:23" ht="15" customHeight="1" thickBot="1" x14ac:dyDescent="0.2">
      <c r="F1" s="1"/>
      <c r="G1" s="71" t="s">
        <v>47</v>
      </c>
      <c r="H1" s="71" t="s">
        <v>48</v>
      </c>
      <c r="I1" s="71" t="s">
        <v>122</v>
      </c>
      <c r="J1" s="71" t="s">
        <v>134</v>
      </c>
      <c r="K1" s="87" t="s">
        <v>49</v>
      </c>
      <c r="L1" s="74"/>
      <c r="M1" s="87" t="s">
        <v>121</v>
      </c>
      <c r="N1" s="74"/>
      <c r="O1" s="87" t="s">
        <v>50</v>
      </c>
      <c r="P1" s="77"/>
      <c r="Q1" s="87" t="s">
        <v>51</v>
      </c>
      <c r="R1" s="71" t="s">
        <v>159</v>
      </c>
    </row>
    <row r="2" spans="1:23" ht="15" customHeight="1" x14ac:dyDescent="0.15">
      <c r="A2" s="87" t="s">
        <v>52</v>
      </c>
      <c r="B2" s="88">
        <v>0.5</v>
      </c>
      <c r="C2" s="86" t="s">
        <v>53</v>
      </c>
      <c r="D2" s="89"/>
      <c r="F2" s="1"/>
      <c r="G2" s="90"/>
      <c r="H2" s="90"/>
      <c r="I2" s="90" t="s">
        <v>135</v>
      </c>
      <c r="J2" s="90" t="s">
        <v>135</v>
      </c>
      <c r="K2" s="90" t="s">
        <v>53</v>
      </c>
      <c r="L2" s="90" t="s">
        <v>54</v>
      </c>
      <c r="M2" s="90" t="s">
        <v>53</v>
      </c>
      <c r="N2" s="90" t="s">
        <v>54</v>
      </c>
      <c r="O2" s="90" t="s">
        <v>53</v>
      </c>
      <c r="P2" s="91" t="s">
        <v>54</v>
      </c>
      <c r="Q2" s="90"/>
      <c r="R2" s="92" t="s">
        <v>160</v>
      </c>
    </row>
    <row r="3" spans="1:23" ht="15" customHeight="1" thickBot="1" x14ac:dyDescent="0.2">
      <c r="A3" s="87" t="s">
        <v>55</v>
      </c>
      <c r="B3" s="93">
        <v>0.5</v>
      </c>
      <c r="C3" s="86" t="s">
        <v>54</v>
      </c>
      <c r="D3" s="89"/>
      <c r="F3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6">
        <v>0</v>
      </c>
      <c r="R3" s="38">
        <v>0</v>
      </c>
    </row>
    <row r="4" spans="1:23" ht="15" customHeight="1" thickBot="1" x14ac:dyDescent="0.2">
      <c r="F4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6">
        <v>0</v>
      </c>
      <c r="R4" s="118">
        <v>0</v>
      </c>
    </row>
    <row r="5" spans="1:23" ht="15" customHeight="1" x14ac:dyDescent="0.15">
      <c r="A5" s="87" t="s">
        <v>56</v>
      </c>
      <c r="B5" s="94">
        <v>0.5</v>
      </c>
      <c r="C5" s="86" t="s">
        <v>53</v>
      </c>
      <c r="D5" s="89"/>
      <c r="F5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6">
        <v>0</v>
      </c>
      <c r="R5" s="118">
        <v>0</v>
      </c>
    </row>
    <row r="6" spans="1:23" ht="15" customHeight="1" thickBot="1" x14ac:dyDescent="0.2">
      <c r="A6" s="87"/>
      <c r="B6" s="95">
        <v>0.5</v>
      </c>
      <c r="C6" s="86" t="s">
        <v>54</v>
      </c>
      <c r="D6" s="89"/>
      <c r="F6" t="s">
        <v>182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1</v>
      </c>
      <c r="N6">
        <v>0</v>
      </c>
      <c r="O6">
        <v>1</v>
      </c>
      <c r="P6">
        <v>0</v>
      </c>
      <c r="Q6">
        <v>0</v>
      </c>
      <c r="R6" s="119">
        <v>1</v>
      </c>
      <c r="T6" s="62" t="s">
        <v>168</v>
      </c>
    </row>
    <row r="7" spans="1:23" ht="15" customHeight="1" thickBot="1" x14ac:dyDescent="0.2">
      <c r="F7" t="s">
        <v>183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1</v>
      </c>
      <c r="P7">
        <v>0</v>
      </c>
      <c r="Q7">
        <v>0</v>
      </c>
      <c r="R7" s="119">
        <v>1</v>
      </c>
      <c r="T7" s="62" t="s">
        <v>168</v>
      </c>
    </row>
    <row r="8" spans="1:23" ht="15" customHeight="1" x14ac:dyDescent="0.15">
      <c r="A8" s="87" t="s">
        <v>57</v>
      </c>
      <c r="B8" s="94">
        <f>E32</f>
        <v>1.3112885535520731E-2</v>
      </c>
      <c r="C8" s="153" t="s">
        <v>218</v>
      </c>
      <c r="D8" s="89" t="s">
        <v>167</v>
      </c>
      <c r="F8" t="s">
        <v>184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0</v>
      </c>
      <c r="R8" s="119">
        <v>1</v>
      </c>
      <c r="W8"/>
    </row>
    <row r="9" spans="1:23" ht="15" customHeight="1" x14ac:dyDescent="0.15">
      <c r="A9" s="135" t="s">
        <v>179</v>
      </c>
      <c r="B9" s="96">
        <f t="shared" ref="B9:B11" si="0">E33</f>
        <v>2.3375143152780303E-2</v>
      </c>
      <c r="C9" s="153" t="s">
        <v>219</v>
      </c>
      <c r="D9" s="89" t="s">
        <v>167</v>
      </c>
      <c r="F9" t="s">
        <v>185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1</v>
      </c>
      <c r="N9">
        <v>0</v>
      </c>
      <c r="O9">
        <v>1</v>
      </c>
      <c r="P9">
        <v>0</v>
      </c>
      <c r="Q9">
        <v>0</v>
      </c>
      <c r="R9" s="119">
        <v>1</v>
      </c>
      <c r="W9"/>
    </row>
    <row r="10" spans="1:23" ht="15" customHeight="1" x14ac:dyDescent="0.15">
      <c r="B10" s="96">
        <f t="shared" si="0"/>
        <v>2.7936147482176914E-2</v>
      </c>
      <c r="C10" s="153" t="s">
        <v>220</v>
      </c>
      <c r="D10" s="89" t="s">
        <v>167</v>
      </c>
      <c r="F10" t="s">
        <v>186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>
        <v>0</v>
      </c>
      <c r="R10" s="119">
        <v>1</v>
      </c>
      <c r="W10"/>
    </row>
    <row r="11" spans="1:23" ht="15" customHeight="1" x14ac:dyDescent="0.15">
      <c r="A11" s="87"/>
      <c r="B11" s="96">
        <f t="shared" si="0"/>
        <v>0.93557582382952209</v>
      </c>
      <c r="C11" s="153" t="s">
        <v>221</v>
      </c>
      <c r="D11" s="89" t="s">
        <v>167</v>
      </c>
      <c r="F11" t="s">
        <v>187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1</v>
      </c>
      <c r="P11">
        <v>0</v>
      </c>
      <c r="Q11">
        <v>0</v>
      </c>
      <c r="R11" s="119">
        <v>1</v>
      </c>
      <c r="W11"/>
    </row>
    <row r="12" spans="1:23" ht="15" customHeight="1" x14ac:dyDescent="0.15">
      <c r="B12" s="96"/>
      <c r="C12" s="264"/>
      <c r="D12" s="89" t="s">
        <v>167</v>
      </c>
      <c r="F12" t="s">
        <v>188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1</v>
      </c>
      <c r="N12">
        <v>0</v>
      </c>
      <c r="O12">
        <v>1</v>
      </c>
      <c r="P12">
        <v>0</v>
      </c>
      <c r="Q12">
        <v>0</v>
      </c>
      <c r="R12" s="119">
        <v>1</v>
      </c>
      <c r="W12"/>
    </row>
    <row r="13" spans="1:23" ht="15" customHeight="1" x14ac:dyDescent="0.15">
      <c r="B13" s="96"/>
      <c r="C13" s="264"/>
      <c r="D13" s="89" t="s">
        <v>167</v>
      </c>
      <c r="F13" t="s">
        <v>189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1</v>
      </c>
      <c r="N13">
        <v>0</v>
      </c>
      <c r="O13">
        <v>1</v>
      </c>
      <c r="P13">
        <v>0</v>
      </c>
      <c r="Q13">
        <v>0</v>
      </c>
      <c r="R13" s="119">
        <v>1</v>
      </c>
      <c r="W13"/>
    </row>
    <row r="14" spans="1:23" ht="15" customHeight="1" x14ac:dyDescent="0.15">
      <c r="B14" s="96"/>
      <c r="C14" s="84"/>
      <c r="D14" s="89" t="s">
        <v>167</v>
      </c>
      <c r="F14" t="s">
        <v>190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 s="119">
        <v>1</v>
      </c>
      <c r="W14"/>
    </row>
    <row r="15" spans="1:23" ht="15" customHeight="1" x14ac:dyDescent="0.15">
      <c r="B15" s="96"/>
      <c r="C15" s="84"/>
      <c r="D15" s="89" t="s">
        <v>167</v>
      </c>
      <c r="F15" s="153" t="s">
        <v>191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1</v>
      </c>
      <c r="N15">
        <v>0</v>
      </c>
      <c r="O15">
        <v>1</v>
      </c>
      <c r="P15">
        <v>0</v>
      </c>
      <c r="Q15">
        <v>0</v>
      </c>
      <c r="R15" s="119">
        <v>1</v>
      </c>
      <c r="W15"/>
    </row>
    <row r="16" spans="1:23" ht="15" customHeight="1" x14ac:dyDescent="0.15">
      <c r="B16" s="96"/>
      <c r="C16" s="84"/>
      <c r="D16" s="89" t="s">
        <v>167</v>
      </c>
      <c r="F16" s="153" t="s">
        <v>192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1</v>
      </c>
      <c r="N16">
        <v>0</v>
      </c>
      <c r="O16">
        <v>1</v>
      </c>
      <c r="P16">
        <v>0</v>
      </c>
      <c r="Q16">
        <v>0</v>
      </c>
      <c r="R16" s="119">
        <v>1</v>
      </c>
    </row>
    <row r="17" spans="1:18" ht="15" customHeight="1" thickBot="1" x14ac:dyDescent="0.2">
      <c r="B17" s="95"/>
      <c r="C17" s="84"/>
      <c r="D17" s="89" t="s">
        <v>167</v>
      </c>
      <c r="F17" s="153" t="s">
        <v>193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1</v>
      </c>
      <c r="N17">
        <v>0</v>
      </c>
      <c r="O17">
        <v>1</v>
      </c>
      <c r="P17">
        <v>0</v>
      </c>
      <c r="Q17">
        <v>0</v>
      </c>
      <c r="R17" s="119">
        <v>1</v>
      </c>
    </row>
    <row r="18" spans="1:18" ht="15" customHeight="1" thickBot="1" x14ac:dyDescent="0.2">
      <c r="B18" s="97"/>
      <c r="F18" s="153" t="s">
        <v>194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1</v>
      </c>
      <c r="N18">
        <v>0</v>
      </c>
      <c r="O18">
        <v>1</v>
      </c>
      <c r="P18">
        <v>0</v>
      </c>
      <c r="Q18">
        <v>0</v>
      </c>
      <c r="R18" s="119">
        <v>1</v>
      </c>
    </row>
    <row r="19" spans="1:18" ht="15" customHeight="1" x14ac:dyDescent="0.15">
      <c r="A19" s="87" t="s">
        <v>58</v>
      </c>
      <c r="B19" s="94">
        <f>E32</f>
        <v>1.3112885535520731E-2</v>
      </c>
      <c r="C19" s="153" t="s">
        <v>218</v>
      </c>
      <c r="D19" s="89" t="s">
        <v>167</v>
      </c>
      <c r="F19" s="153" t="s">
        <v>195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1</v>
      </c>
      <c r="N19">
        <v>0</v>
      </c>
      <c r="O19">
        <v>1</v>
      </c>
      <c r="P19">
        <v>0</v>
      </c>
      <c r="Q19">
        <v>0</v>
      </c>
      <c r="R19" s="119">
        <v>1</v>
      </c>
    </row>
    <row r="20" spans="1:18" ht="15" customHeight="1" x14ac:dyDescent="0.15">
      <c r="A20" s="135" t="s">
        <v>179</v>
      </c>
      <c r="B20" s="96">
        <f t="shared" ref="B20:B21" si="1">E33</f>
        <v>2.3375143152780303E-2</v>
      </c>
      <c r="C20" s="153" t="s">
        <v>219</v>
      </c>
      <c r="D20" s="89" t="s">
        <v>167</v>
      </c>
      <c r="F20" s="153" t="s">
        <v>196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1</v>
      </c>
      <c r="N20">
        <v>0</v>
      </c>
      <c r="O20">
        <v>1</v>
      </c>
      <c r="P20">
        <v>0</v>
      </c>
      <c r="Q20">
        <v>0</v>
      </c>
      <c r="R20" s="119">
        <v>1</v>
      </c>
    </row>
    <row r="21" spans="1:18" ht="15" customHeight="1" x14ac:dyDescent="0.15">
      <c r="B21" s="96">
        <f t="shared" si="1"/>
        <v>2.7936147482176914E-2</v>
      </c>
      <c r="C21" s="153" t="s">
        <v>220</v>
      </c>
      <c r="D21" s="89" t="s">
        <v>167</v>
      </c>
      <c r="F21" s="153" t="s">
        <v>197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1</v>
      </c>
      <c r="N21">
        <v>0</v>
      </c>
      <c r="O21">
        <v>1</v>
      </c>
      <c r="P21">
        <v>0</v>
      </c>
      <c r="Q21">
        <v>0</v>
      </c>
      <c r="R21" s="119">
        <v>1</v>
      </c>
    </row>
    <row r="22" spans="1:18" ht="15" customHeight="1" x14ac:dyDescent="0.15">
      <c r="A22" s="85"/>
      <c r="B22" s="96">
        <f>E35</f>
        <v>0.93557582382952209</v>
      </c>
      <c r="C22" s="153" t="s">
        <v>221</v>
      </c>
      <c r="D22" s="89" t="s">
        <v>167</v>
      </c>
      <c r="F22" s="153" t="s">
        <v>198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1</v>
      </c>
      <c r="N22">
        <v>0</v>
      </c>
      <c r="O22">
        <v>1</v>
      </c>
      <c r="P22">
        <v>0</v>
      </c>
      <c r="Q22">
        <v>0</v>
      </c>
      <c r="R22" s="119">
        <v>1</v>
      </c>
    </row>
    <row r="23" spans="1:18" ht="15" customHeight="1" x14ac:dyDescent="0.15">
      <c r="A23" s="85"/>
      <c r="B23" s="96"/>
      <c r="C23" s="264"/>
      <c r="D23" s="89" t="s">
        <v>167</v>
      </c>
      <c r="F23" s="153" t="s">
        <v>199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 s="119">
        <v>1</v>
      </c>
    </row>
    <row r="24" spans="1:18" ht="15" customHeight="1" x14ac:dyDescent="0.15">
      <c r="A24" s="85"/>
      <c r="B24" s="96"/>
      <c r="C24" s="264"/>
      <c r="D24" s="89" t="s">
        <v>167</v>
      </c>
      <c r="F24" s="153" t="s">
        <v>200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1</v>
      </c>
      <c r="P24">
        <v>0</v>
      </c>
      <c r="Q24">
        <v>0</v>
      </c>
      <c r="R24" s="119">
        <v>1</v>
      </c>
    </row>
    <row r="25" spans="1:18" ht="15" customHeight="1" x14ac:dyDescent="0.15">
      <c r="A25" s="85"/>
      <c r="B25" s="96"/>
      <c r="C25" s="84"/>
      <c r="D25" s="89" t="s">
        <v>167</v>
      </c>
      <c r="F25" s="153" t="s">
        <v>201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</v>
      </c>
      <c r="O25">
        <v>1</v>
      </c>
      <c r="P25">
        <v>0</v>
      </c>
      <c r="Q25">
        <v>0</v>
      </c>
      <c r="R25" s="119">
        <v>1</v>
      </c>
    </row>
    <row r="26" spans="1:18" ht="15" customHeight="1" x14ac:dyDescent="0.15">
      <c r="B26" s="96"/>
      <c r="C26" s="84"/>
      <c r="D26" s="89" t="s">
        <v>167</v>
      </c>
      <c r="F26" s="153" t="s">
        <v>202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1</v>
      </c>
      <c r="N26">
        <v>0</v>
      </c>
      <c r="O26">
        <v>1</v>
      </c>
      <c r="P26">
        <v>0</v>
      </c>
      <c r="Q26">
        <v>0</v>
      </c>
      <c r="R26" s="119">
        <v>1</v>
      </c>
    </row>
    <row r="27" spans="1:18" ht="15" customHeight="1" x14ac:dyDescent="0.15">
      <c r="B27" s="96"/>
      <c r="C27" s="84"/>
      <c r="D27" s="89" t="s">
        <v>167</v>
      </c>
      <c r="F27" s="153" t="s">
        <v>203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1</v>
      </c>
      <c r="N27">
        <v>0</v>
      </c>
      <c r="O27">
        <v>1</v>
      </c>
      <c r="P27">
        <v>0</v>
      </c>
      <c r="Q27">
        <v>0</v>
      </c>
      <c r="R27" s="119">
        <v>1</v>
      </c>
    </row>
    <row r="28" spans="1:18" ht="15" customHeight="1" thickBot="1" x14ac:dyDescent="0.2">
      <c r="B28" s="95"/>
      <c r="C28" s="84"/>
      <c r="D28" s="89" t="s">
        <v>167</v>
      </c>
      <c r="F28" s="153" t="s">
        <v>204</v>
      </c>
      <c r="G28">
        <v>0</v>
      </c>
      <c r="H28">
        <v>0</v>
      </c>
      <c r="I28">
        <v>0</v>
      </c>
      <c r="J28">
        <v>0</v>
      </c>
      <c r="K28">
        <v>1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 s="119">
        <v>1</v>
      </c>
    </row>
    <row r="29" spans="1:18" ht="15" customHeight="1" x14ac:dyDescent="0.15">
      <c r="F29" s="153" t="s">
        <v>205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1</v>
      </c>
      <c r="N29">
        <v>0</v>
      </c>
      <c r="O29">
        <v>1</v>
      </c>
      <c r="P29">
        <v>0</v>
      </c>
      <c r="Q29">
        <v>0</v>
      </c>
      <c r="R29" s="119">
        <v>1</v>
      </c>
    </row>
    <row r="30" spans="1:18" ht="15" customHeight="1" x14ac:dyDescent="0.15">
      <c r="F30" s="153" t="s">
        <v>206</v>
      </c>
      <c r="G30">
        <v>0</v>
      </c>
      <c r="H30">
        <v>0</v>
      </c>
      <c r="I30">
        <v>0</v>
      </c>
      <c r="J30">
        <v>0</v>
      </c>
      <c r="K30">
        <v>1</v>
      </c>
      <c r="L30">
        <v>0</v>
      </c>
      <c r="M30">
        <v>1</v>
      </c>
      <c r="N30">
        <v>0</v>
      </c>
      <c r="O30">
        <v>1</v>
      </c>
      <c r="P30">
        <v>0</v>
      </c>
      <c r="Q30">
        <v>0</v>
      </c>
      <c r="R30" s="119">
        <v>1</v>
      </c>
    </row>
    <row r="31" spans="1:18" ht="15" customHeight="1" x14ac:dyDescent="0.15">
      <c r="A31" s="136"/>
      <c r="B31" s="144" t="s">
        <v>18</v>
      </c>
      <c r="C31" s="144" t="s">
        <v>1</v>
      </c>
      <c r="D31" s="144" t="s">
        <v>169</v>
      </c>
      <c r="E31" s="145" t="s">
        <v>171</v>
      </c>
      <c r="F31" s="153" t="s">
        <v>207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1</v>
      </c>
      <c r="N31">
        <v>0</v>
      </c>
      <c r="O31">
        <v>1</v>
      </c>
      <c r="P31">
        <v>0</v>
      </c>
      <c r="Q31">
        <v>0</v>
      </c>
      <c r="R31" s="119">
        <v>1</v>
      </c>
    </row>
    <row r="32" spans="1:18" ht="15" customHeight="1" x14ac:dyDescent="0.15">
      <c r="A32" s="263" t="s">
        <v>218</v>
      </c>
      <c r="B32" s="97">
        <f>MainOutputs!D38</f>
        <v>0.23000000417232513</v>
      </c>
      <c r="C32" s="97">
        <f>MainOutputs!E38</f>
        <v>120</v>
      </c>
      <c r="D32" s="97">
        <f>B32*C32</f>
        <v>27.600000500679016</v>
      </c>
      <c r="E32" s="137">
        <f>D32/D$42</f>
        <v>1.3112885535520731E-2</v>
      </c>
      <c r="F32" s="153" t="s">
        <v>208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1</v>
      </c>
      <c r="N32">
        <v>0</v>
      </c>
      <c r="O32">
        <v>1</v>
      </c>
      <c r="P32">
        <v>0</v>
      </c>
      <c r="Q32">
        <v>0</v>
      </c>
      <c r="R32" s="119">
        <v>1</v>
      </c>
    </row>
    <row r="33" spans="1:18" ht="15" customHeight="1" x14ac:dyDescent="0.15">
      <c r="A33" s="263" t="s">
        <v>219</v>
      </c>
      <c r="B33" s="97">
        <f>MainOutputs!D39</f>
        <v>0.40999999642372131</v>
      </c>
      <c r="C33" s="97">
        <f>MainOutputs!E39</f>
        <v>120</v>
      </c>
      <c r="D33" s="97">
        <f t="shared" ref="D33:D35" si="2">B33*C33</f>
        <v>49.199999570846558</v>
      </c>
      <c r="E33" s="137">
        <f t="shared" ref="E33:E35" si="3">D33/D$42</f>
        <v>2.3375143152780303E-2</v>
      </c>
      <c r="F33" s="153" t="s">
        <v>209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1</v>
      </c>
      <c r="N33">
        <v>0</v>
      </c>
      <c r="O33">
        <v>1</v>
      </c>
      <c r="P33">
        <v>0</v>
      </c>
      <c r="Q33">
        <v>0</v>
      </c>
      <c r="R33" s="119">
        <v>1</v>
      </c>
    </row>
    <row r="34" spans="1:18" ht="15" customHeight="1" x14ac:dyDescent="0.15">
      <c r="A34" s="263" t="s">
        <v>220</v>
      </c>
      <c r="B34" s="97">
        <f>MainOutputs!D40</f>
        <v>0.49000000953674316</v>
      </c>
      <c r="C34" s="97">
        <f>MainOutputs!E40</f>
        <v>120</v>
      </c>
      <c r="D34" s="97">
        <f t="shared" si="2"/>
        <v>58.80000114440918</v>
      </c>
      <c r="E34" s="137">
        <f t="shared" si="3"/>
        <v>2.7936147482176914E-2</v>
      </c>
      <c r="F34" s="153" t="s">
        <v>210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1</v>
      </c>
      <c r="N34">
        <v>0</v>
      </c>
      <c r="O34">
        <v>1</v>
      </c>
      <c r="P34">
        <v>0</v>
      </c>
      <c r="Q34">
        <v>0</v>
      </c>
      <c r="R34" s="119">
        <v>1</v>
      </c>
    </row>
    <row r="35" spans="1:18" ht="15" customHeight="1" x14ac:dyDescent="0.15">
      <c r="A35" s="263" t="s">
        <v>221</v>
      </c>
      <c r="B35" s="97">
        <f>MainOutputs!D41</f>
        <v>10.939999580383301</v>
      </c>
      <c r="C35" s="97">
        <f>MainOutputs!E41</f>
        <v>180</v>
      </c>
      <c r="D35" s="97">
        <f t="shared" si="2"/>
        <v>1969.1999244689941</v>
      </c>
      <c r="E35" s="137">
        <f t="shared" si="3"/>
        <v>0.93557582382952209</v>
      </c>
      <c r="F35" s="153" t="s">
        <v>211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1</v>
      </c>
      <c r="N35">
        <v>0</v>
      </c>
      <c r="O35">
        <v>1</v>
      </c>
      <c r="P35">
        <v>0</v>
      </c>
      <c r="Q35">
        <v>0</v>
      </c>
      <c r="R35" s="119">
        <v>1</v>
      </c>
    </row>
    <row r="36" spans="1:18" ht="15" customHeight="1" x14ac:dyDescent="0.15">
      <c r="A36" s="138"/>
      <c r="B36" s="97"/>
      <c r="C36" s="97"/>
      <c r="D36" s="97"/>
      <c r="E36" s="137"/>
      <c r="F36" s="153" t="s">
        <v>212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1</v>
      </c>
      <c r="P36">
        <v>0</v>
      </c>
      <c r="Q36">
        <v>0</v>
      </c>
      <c r="R36" s="119">
        <v>1</v>
      </c>
    </row>
    <row r="37" spans="1:18" ht="15" customHeight="1" x14ac:dyDescent="0.15">
      <c r="A37" s="138"/>
      <c r="B37" s="97"/>
      <c r="C37" s="97"/>
      <c r="D37" s="97"/>
      <c r="E37" s="137"/>
      <c r="F37" s="153" t="s">
        <v>213</v>
      </c>
      <c r="G37">
        <v>0</v>
      </c>
      <c r="H37">
        <v>0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1</v>
      </c>
      <c r="P37">
        <v>0</v>
      </c>
      <c r="Q37">
        <v>0</v>
      </c>
      <c r="R37" s="119">
        <v>1</v>
      </c>
    </row>
    <row r="38" spans="1:18" ht="15" customHeight="1" x14ac:dyDescent="0.15">
      <c r="A38" s="139"/>
      <c r="B38" s="97"/>
      <c r="C38" s="97"/>
      <c r="D38" s="97"/>
      <c r="E38" s="137"/>
      <c r="F38" s="153" t="s">
        <v>214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1</v>
      </c>
      <c r="N38">
        <v>0</v>
      </c>
      <c r="O38">
        <v>1</v>
      </c>
      <c r="P38">
        <v>0</v>
      </c>
      <c r="Q38">
        <v>0</v>
      </c>
      <c r="R38" s="119">
        <v>1</v>
      </c>
    </row>
    <row r="39" spans="1:18" ht="15" customHeight="1" x14ac:dyDescent="0.15">
      <c r="A39" s="139"/>
      <c r="B39" s="97"/>
      <c r="C39" s="97"/>
      <c r="D39" s="97"/>
      <c r="E39" s="137"/>
      <c r="F39" s="153" t="s">
        <v>215</v>
      </c>
      <c r="G39">
        <v>0</v>
      </c>
      <c r="H39">
        <v>0</v>
      </c>
      <c r="I39">
        <v>0</v>
      </c>
      <c r="J39">
        <v>0</v>
      </c>
      <c r="K39">
        <v>1</v>
      </c>
      <c r="L39">
        <v>0</v>
      </c>
      <c r="M39">
        <v>1</v>
      </c>
      <c r="N39">
        <v>0</v>
      </c>
      <c r="O39">
        <v>1</v>
      </c>
      <c r="P39">
        <v>0</v>
      </c>
      <c r="Q39">
        <v>0</v>
      </c>
      <c r="R39" s="119">
        <v>1</v>
      </c>
    </row>
    <row r="40" spans="1:18" ht="15" customHeight="1" x14ac:dyDescent="0.15">
      <c r="A40" s="139"/>
      <c r="B40" s="97"/>
      <c r="C40" s="97"/>
      <c r="D40" s="97"/>
      <c r="E40" s="137"/>
      <c r="F40" s="153" t="s">
        <v>216</v>
      </c>
      <c r="G40">
        <v>0</v>
      </c>
      <c r="H40">
        <v>0</v>
      </c>
      <c r="I40">
        <v>0</v>
      </c>
      <c r="J40">
        <v>0</v>
      </c>
      <c r="K40">
        <v>1</v>
      </c>
      <c r="L40">
        <v>0</v>
      </c>
      <c r="M40">
        <v>1</v>
      </c>
      <c r="N40">
        <v>0</v>
      </c>
      <c r="O40">
        <v>1</v>
      </c>
      <c r="P40">
        <v>0</v>
      </c>
      <c r="Q40">
        <v>0</v>
      </c>
      <c r="R40" s="119">
        <v>1</v>
      </c>
    </row>
    <row r="41" spans="1:18" ht="15" customHeight="1" thickBot="1" x14ac:dyDescent="0.2">
      <c r="A41" s="139"/>
      <c r="B41" s="97"/>
      <c r="C41" s="97"/>
      <c r="D41" s="98"/>
      <c r="E41" s="140"/>
      <c r="F41" s="153" t="s">
        <v>217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1</v>
      </c>
      <c r="N41">
        <v>0</v>
      </c>
      <c r="O41">
        <v>1</v>
      </c>
      <c r="P41">
        <v>0</v>
      </c>
      <c r="Q41">
        <v>0</v>
      </c>
      <c r="R41" s="119">
        <v>1</v>
      </c>
    </row>
    <row r="42" spans="1:18" ht="15" customHeight="1" x14ac:dyDescent="0.15">
      <c r="A42" s="141"/>
      <c r="B42" s="142"/>
      <c r="C42" s="142" t="s">
        <v>170</v>
      </c>
      <c r="D42" s="142">
        <f>SUM(D32:D41)</f>
        <v>2104.7999256849289</v>
      </c>
      <c r="E42" s="143">
        <f>SUM(E32:E41)</f>
        <v>1</v>
      </c>
      <c r="F42" s="153" t="s">
        <v>218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0</v>
      </c>
      <c r="R42" s="119">
        <v>1</v>
      </c>
    </row>
    <row r="43" spans="1:18" ht="15" customHeight="1" x14ac:dyDescent="0.15">
      <c r="A43" s="85"/>
      <c r="F43" s="153" t="s">
        <v>219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0</v>
      </c>
      <c r="R43" s="119">
        <v>1</v>
      </c>
    </row>
    <row r="44" spans="1:18" ht="15" customHeight="1" x14ac:dyDescent="0.15">
      <c r="A44" s="85"/>
      <c r="F44" s="153" t="s">
        <v>220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0</v>
      </c>
      <c r="P44">
        <v>0</v>
      </c>
      <c r="Q44">
        <v>0</v>
      </c>
      <c r="R44" s="119">
        <v>1</v>
      </c>
    </row>
    <row r="45" spans="1:18" ht="15" customHeight="1" x14ac:dyDescent="0.15">
      <c r="A45" s="85"/>
      <c r="F45" s="153" t="s">
        <v>221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0</v>
      </c>
      <c r="R45" s="119">
        <v>1</v>
      </c>
    </row>
    <row r="46" spans="1:18" ht="15" customHeight="1" x14ac:dyDescent="0.15">
      <c r="A46" s="85"/>
      <c r="F46" s="153" t="s">
        <v>222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</v>
      </c>
      <c r="P46">
        <v>1</v>
      </c>
      <c r="Q46">
        <v>0</v>
      </c>
      <c r="R46" s="119">
        <v>1</v>
      </c>
    </row>
    <row r="47" spans="1:18" ht="15" customHeight="1" x14ac:dyDescent="0.15">
      <c r="A47" s="85"/>
      <c r="F47" s="262" t="s">
        <v>240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</v>
      </c>
      <c r="P47">
        <v>1</v>
      </c>
      <c r="Q47">
        <v>0</v>
      </c>
      <c r="R47" s="119">
        <v>1</v>
      </c>
    </row>
    <row r="48" spans="1:18" ht="15" customHeight="1" x14ac:dyDescent="0.15">
      <c r="A48" s="85"/>
      <c r="F48" s="153" t="s">
        <v>227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 s="119">
        <v>1</v>
      </c>
    </row>
    <row r="49" spans="6:18" s="85" customFormat="1" ht="15" customHeight="1" x14ac:dyDescent="0.15">
      <c r="F49" s="153" t="s">
        <v>228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 s="119">
        <v>1</v>
      </c>
    </row>
    <row r="50" spans="6:18" s="85" customFormat="1" ht="15" customHeight="1" x14ac:dyDescent="0.15">
      <c r="F50" s="153" t="s">
        <v>229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 s="119">
        <v>1</v>
      </c>
    </row>
    <row r="51" spans="6:18" s="85" customFormat="1" ht="15" customHeight="1" x14ac:dyDescent="0.15">
      <c r="F51" t="s">
        <v>230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 s="119">
        <v>1</v>
      </c>
    </row>
    <row r="52" spans="6:18" s="85" customFormat="1" ht="15" customHeight="1" x14ac:dyDescent="0.15">
      <c r="F52" t="s">
        <v>231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 s="119">
        <v>1</v>
      </c>
    </row>
    <row r="53" spans="6:18" s="8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40" activePane="bottomRight" state="frozen"/>
      <selection pane="topRight" activeCell="B1" sqref="B1"/>
      <selection pane="bottomLeft" activeCell="A2" sqref="A2"/>
      <selection pane="bottomRight" activeCell="A54" sqref="A54"/>
    </sheetView>
  </sheetViews>
  <sheetFormatPr baseColWidth="10" defaultColWidth="8.83203125" defaultRowHeight="13" x14ac:dyDescent="0.15"/>
  <cols>
    <col min="1" max="1" width="40" bestFit="1" customWidth="1"/>
    <col min="2" max="5" width="7.83203125" style="118" customWidth="1"/>
    <col min="6" max="38" width="8.83203125" style="6"/>
    <col min="81" max="81" width="22.1640625" bestFit="1" customWidth="1"/>
  </cols>
  <sheetData>
    <row r="1" spans="1:55" x14ac:dyDescent="0.15">
      <c r="A1" s="4" t="s">
        <v>161</v>
      </c>
      <c r="B1" s="37" t="s">
        <v>162</v>
      </c>
      <c r="C1" s="37" t="s">
        <v>18</v>
      </c>
      <c r="D1" s="37" t="s">
        <v>163</v>
      </c>
      <c r="E1" s="37" t="s">
        <v>164</v>
      </c>
      <c r="F1" s="6" t="s">
        <v>39</v>
      </c>
      <c r="G1" s="6" t="s">
        <v>41</v>
      </c>
      <c r="H1" s="6" t="s">
        <v>42</v>
      </c>
      <c r="I1" s="6" t="s">
        <v>182</v>
      </c>
      <c r="J1" s="6" t="s">
        <v>183</v>
      </c>
      <c r="K1" s="6" t="s">
        <v>184</v>
      </c>
      <c r="L1" s="6" t="s">
        <v>185</v>
      </c>
      <c r="M1" s="6" t="s">
        <v>186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191</v>
      </c>
      <c r="S1" s="6" t="s">
        <v>192</v>
      </c>
      <c r="T1" s="6" t="s">
        <v>193</v>
      </c>
      <c r="U1" s="6" t="s">
        <v>194</v>
      </c>
      <c r="V1" s="6" t="s">
        <v>195</v>
      </c>
      <c r="W1" s="6" t="s">
        <v>196</v>
      </c>
      <c r="X1" s="6" t="s">
        <v>197</v>
      </c>
      <c r="Y1" s="6" t="s">
        <v>198</v>
      </c>
      <c r="Z1" s="6" t="s">
        <v>199</v>
      </c>
      <c r="AA1" s="6" t="s">
        <v>200</v>
      </c>
      <c r="AB1" s="6" t="s">
        <v>201</v>
      </c>
      <c r="AC1" s="6" t="s">
        <v>202</v>
      </c>
      <c r="AD1" s="85" t="s">
        <v>203</v>
      </c>
      <c r="AE1" s="85" t="s">
        <v>204</v>
      </c>
      <c r="AF1" s="85" t="s">
        <v>205</v>
      </c>
      <c r="AG1" s="6" t="s">
        <v>206</v>
      </c>
      <c r="AH1" s="6" t="s">
        <v>207</v>
      </c>
      <c r="AI1" s="6" t="s">
        <v>208</v>
      </c>
      <c r="AJ1" s="6" t="s">
        <v>209</v>
      </c>
      <c r="AK1" s="6" t="s">
        <v>210</v>
      </c>
      <c r="AL1" s="6" t="s">
        <v>211</v>
      </c>
      <c r="AM1" t="s">
        <v>212</v>
      </c>
      <c r="AN1" t="s">
        <v>213</v>
      </c>
      <c r="AO1" t="s">
        <v>214</v>
      </c>
      <c r="AP1" t="s">
        <v>215</v>
      </c>
      <c r="AQ1" t="s">
        <v>216</v>
      </c>
      <c r="AR1" t="s">
        <v>217</v>
      </c>
      <c r="AS1" t="s">
        <v>218</v>
      </c>
      <c r="AT1" t="s">
        <v>219</v>
      </c>
      <c r="AU1" t="s">
        <v>220</v>
      </c>
      <c r="AV1" t="s">
        <v>221</v>
      </c>
      <c r="AW1" t="s">
        <v>222</v>
      </c>
      <c r="AX1" t="s">
        <v>240</v>
      </c>
      <c r="AY1" t="s">
        <v>227</v>
      </c>
      <c r="AZ1" t="s">
        <v>228</v>
      </c>
      <c r="BA1" t="s">
        <v>229</v>
      </c>
      <c r="BB1" t="s">
        <v>230</v>
      </c>
      <c r="BC1" t="s">
        <v>231</v>
      </c>
    </row>
    <row r="2" spans="1:55" x14ac:dyDescent="0.15">
      <c r="A2" t="s">
        <v>39</v>
      </c>
      <c r="B2" s="11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41</v>
      </c>
      <c r="B3" s="11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42</v>
      </c>
      <c r="B4" s="11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t="s">
        <v>182</v>
      </c>
      <c r="B5" s="11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t="s">
        <v>183</v>
      </c>
      <c r="B6" s="11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t="s">
        <v>184</v>
      </c>
      <c r="B7" s="11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t="s">
        <v>185</v>
      </c>
      <c r="B8" s="11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t="s">
        <v>186</v>
      </c>
      <c r="B9" s="11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t="s">
        <v>187</v>
      </c>
      <c r="B10" s="11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t="s">
        <v>188</v>
      </c>
      <c r="B11" s="11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t="s">
        <v>189</v>
      </c>
      <c r="B12" s="11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t="s">
        <v>190</v>
      </c>
      <c r="B13" s="11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153" t="s">
        <v>191</v>
      </c>
      <c r="B14" s="11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153" t="s">
        <v>192</v>
      </c>
      <c r="B15" s="11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153" t="s">
        <v>193</v>
      </c>
      <c r="B16" s="11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3" t="s">
        <v>194</v>
      </c>
      <c r="B17" s="11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3" t="s">
        <v>195</v>
      </c>
      <c r="B18" s="11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53" t="s">
        <v>196</v>
      </c>
      <c r="B19" s="11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53" t="s">
        <v>197</v>
      </c>
      <c r="B20" s="11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53" t="s">
        <v>198</v>
      </c>
      <c r="B21" s="11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53" t="s">
        <v>199</v>
      </c>
      <c r="B22" s="11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53" t="s">
        <v>200</v>
      </c>
      <c r="B23" s="11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53" t="s">
        <v>201</v>
      </c>
      <c r="B24" s="11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53" t="s">
        <v>202</v>
      </c>
      <c r="B25" s="11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53" t="s">
        <v>203</v>
      </c>
      <c r="B26" s="11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53" t="s">
        <v>204</v>
      </c>
      <c r="B27" s="11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53" t="s">
        <v>205</v>
      </c>
      <c r="B28" s="11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53" t="s">
        <v>206</v>
      </c>
      <c r="B29" s="11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53" t="s">
        <v>207</v>
      </c>
      <c r="B30" s="11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53" t="s">
        <v>208</v>
      </c>
      <c r="B31" s="11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53" t="s">
        <v>209</v>
      </c>
      <c r="B32" s="11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53" t="s">
        <v>210</v>
      </c>
      <c r="B33" s="11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53" t="s">
        <v>211</v>
      </c>
      <c r="B34" s="11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53" t="s">
        <v>212</v>
      </c>
      <c r="B35" s="11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53" t="s">
        <v>213</v>
      </c>
      <c r="B36" s="118">
        <v>0</v>
      </c>
    </row>
    <row r="37" spans="1:38" ht="15" customHeight="1" x14ac:dyDescent="0.15">
      <c r="A37" s="153" t="s">
        <v>214</v>
      </c>
      <c r="B37" s="118">
        <v>0</v>
      </c>
    </row>
    <row r="38" spans="1:38" ht="15" customHeight="1" x14ac:dyDescent="0.15">
      <c r="A38" s="153" t="s">
        <v>215</v>
      </c>
      <c r="B38" s="11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53" t="s">
        <v>216</v>
      </c>
      <c r="B39" s="118">
        <v>0</v>
      </c>
    </row>
    <row r="40" spans="1:38" ht="15" customHeight="1" x14ac:dyDescent="0.15">
      <c r="A40" s="153" t="s">
        <v>217</v>
      </c>
      <c r="B40" s="118">
        <v>0</v>
      </c>
    </row>
    <row r="41" spans="1:38" ht="15" customHeight="1" x14ac:dyDescent="0.15">
      <c r="A41" s="153" t="s">
        <v>218</v>
      </c>
      <c r="B41" s="118">
        <v>0</v>
      </c>
    </row>
    <row r="42" spans="1:38" ht="15" customHeight="1" x14ac:dyDescent="0.15">
      <c r="A42" s="153" t="s">
        <v>219</v>
      </c>
      <c r="B42" s="118">
        <v>0</v>
      </c>
    </row>
    <row r="43" spans="1:38" ht="15" customHeight="1" x14ac:dyDescent="0.15">
      <c r="A43" s="153" t="s">
        <v>220</v>
      </c>
      <c r="B43" s="118">
        <v>0</v>
      </c>
    </row>
    <row r="44" spans="1:38" ht="15" customHeight="1" x14ac:dyDescent="0.15">
      <c r="A44" s="153" t="s">
        <v>221</v>
      </c>
      <c r="B44" s="118">
        <v>0</v>
      </c>
    </row>
    <row r="45" spans="1:38" ht="15" customHeight="1" x14ac:dyDescent="0.15">
      <c r="A45" s="153" t="s">
        <v>222</v>
      </c>
      <c r="B45" s="118">
        <v>0</v>
      </c>
    </row>
    <row r="46" spans="1:38" ht="15" customHeight="1" x14ac:dyDescent="0.15">
      <c r="A46" s="262" t="s">
        <v>240</v>
      </c>
      <c r="B46" s="118">
        <v>0</v>
      </c>
    </row>
    <row r="47" spans="1:38" ht="15" customHeight="1" x14ac:dyDescent="0.15">
      <c r="A47" s="153" t="s">
        <v>227</v>
      </c>
      <c r="B47" s="118">
        <v>0</v>
      </c>
    </row>
    <row r="48" spans="1:38" ht="15" customHeight="1" x14ac:dyDescent="0.15">
      <c r="A48" s="153" t="s">
        <v>228</v>
      </c>
      <c r="B48" s="118">
        <v>0</v>
      </c>
    </row>
    <row r="49" spans="1:38" ht="15" customHeight="1" x14ac:dyDescent="0.15">
      <c r="A49" s="153" t="s">
        <v>229</v>
      </c>
      <c r="B49" s="118">
        <v>0</v>
      </c>
    </row>
    <row r="50" spans="1:38" ht="15" customHeight="1" x14ac:dyDescent="0.15">
      <c r="A50" t="s">
        <v>230</v>
      </c>
      <c r="B50" s="118">
        <v>0</v>
      </c>
    </row>
    <row r="51" spans="1:38" ht="15" customHeight="1" x14ac:dyDescent="0.15">
      <c r="A51" t="s">
        <v>231</v>
      </c>
      <c r="B51" s="118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 s="62" t="s">
        <v>165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2023-09-11T05:23:22Z</dcterms:modified>
</cp:coreProperties>
</file>