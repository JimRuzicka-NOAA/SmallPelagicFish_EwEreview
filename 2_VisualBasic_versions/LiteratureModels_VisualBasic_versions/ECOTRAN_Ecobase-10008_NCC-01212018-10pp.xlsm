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ManualEntries/ManualEntries_ECOTRAN_K-path_versions/"/>
    </mc:Choice>
  </mc:AlternateContent>
  <xr:revisionPtr revIDLastSave="0" documentId="13_ncr:1_{F5D7B089-F0EC-F049-9AC0-8F3DEEF44B19}" xr6:coauthVersionLast="45" xr6:coauthVersionMax="45" xr10:uidLastSave="{00000000-0000-0000-0000-000000000000}"/>
  <bookViews>
    <workbookView xWindow="60" yWindow="480" windowWidth="24980" windowHeight="1360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Main!$C$2:$N$101</definedName>
    <definedName name="matDetritus">Detritus!$C$2:$H$101</definedName>
    <definedName name="matDiet">Diets!$B$2:$CA$85</definedName>
    <definedName name="matDiscards">Discards!$C$2:$S$84</definedName>
    <definedName name="matFishery">Fishing!$C$2:$S$84</definedName>
    <definedName name="matFishing">Fishing!#REF!</definedName>
    <definedName name="matMort">Mortalities!$A$1:$CY$84</definedName>
    <definedName name="matOut">MainOutputs!$A$2:$I$101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86" l="1"/>
  <c r="B33" i="86"/>
  <c r="D33" i="86" s="1"/>
  <c r="C32" i="86"/>
  <c r="B32" i="86"/>
  <c r="G102" i="85"/>
  <c r="G103" i="85" s="1"/>
  <c r="G104" i="85" s="1"/>
  <c r="G105" i="85" s="1"/>
  <c r="G106" i="85" s="1"/>
  <c r="E102" i="85"/>
  <c r="E103" i="85" s="1"/>
  <c r="E104" i="85" s="1"/>
  <c r="E105" i="85" s="1"/>
  <c r="E106" i="85" s="1"/>
  <c r="B10" i="87"/>
  <c r="D3" i="87"/>
  <c r="D4" i="87" s="1"/>
  <c r="D5" i="87" s="1"/>
  <c r="D6" i="87" s="1"/>
  <c r="D7" i="87" s="1"/>
  <c r="D8" i="87" s="1"/>
  <c r="D9" i="87" s="1"/>
  <c r="D10" i="87" s="1"/>
  <c r="D11" i="87" s="1"/>
  <c r="D12" i="87" s="1"/>
  <c r="D13" i="87" s="1"/>
  <c r="D14" i="87" s="1"/>
  <c r="D15" i="87" s="1"/>
  <c r="D16" i="87" s="1"/>
  <c r="D17" i="87" s="1"/>
  <c r="D18" i="87" s="1"/>
  <c r="D19" i="87" s="1"/>
  <c r="D20" i="87" s="1"/>
  <c r="D21" i="87" s="1"/>
  <c r="D22" i="87" s="1"/>
  <c r="D23" i="87" s="1"/>
  <c r="D24" i="87" s="1"/>
  <c r="D25" i="87" s="1"/>
  <c r="D26" i="87" s="1"/>
  <c r="D27" i="87" s="1"/>
  <c r="D28" i="87" s="1"/>
  <c r="D29" i="87" s="1"/>
  <c r="D30" i="87" s="1"/>
  <c r="D31" i="87" s="1"/>
  <c r="D32" i="87" s="1"/>
  <c r="D33" i="87" s="1"/>
  <c r="D34" i="87" s="1"/>
  <c r="D35" i="87" s="1"/>
  <c r="D36" i="87" s="1"/>
  <c r="D37" i="87" s="1"/>
  <c r="D38" i="87" s="1"/>
  <c r="D39" i="87" s="1"/>
  <c r="D40" i="87" s="1"/>
  <c r="D41" i="87" s="1"/>
  <c r="D42" i="87" s="1"/>
  <c r="D43" i="87" s="1"/>
  <c r="D44" i="87" s="1"/>
  <c r="D45" i="87" s="1"/>
  <c r="D46" i="87" s="1"/>
  <c r="D47" i="87" s="1"/>
  <c r="D48" i="87" s="1"/>
  <c r="D49" i="87" s="1"/>
  <c r="D50" i="87" s="1"/>
  <c r="D51" i="87" s="1"/>
  <c r="D52" i="87" s="1"/>
  <c r="D53" i="87" s="1"/>
  <c r="D54" i="87" s="1"/>
  <c r="D55" i="87" s="1"/>
  <c r="D56" i="87" s="1"/>
  <c r="D57" i="87" s="1"/>
  <c r="D58" i="87" s="1"/>
  <c r="D59" i="87" s="1"/>
  <c r="D60" i="87" s="1"/>
  <c r="D61" i="87" s="1"/>
  <c r="D62" i="87" s="1"/>
  <c r="D63" i="87" s="1"/>
  <c r="D64" i="87" s="1"/>
  <c r="D65" i="87" s="1"/>
  <c r="D66" i="87" s="1"/>
  <c r="D67" i="87" s="1"/>
  <c r="D68" i="87" s="1"/>
  <c r="D69" i="87" s="1"/>
  <c r="D70" i="87" s="1"/>
  <c r="D71" i="87" s="1"/>
  <c r="D72" i="87" s="1"/>
  <c r="D73" i="87" s="1"/>
  <c r="D74" i="87" s="1"/>
  <c r="D75" i="87" s="1"/>
  <c r="D76" i="87" s="1"/>
  <c r="D77" i="87" s="1"/>
  <c r="D78" i="87" s="1"/>
  <c r="D79" i="87" s="1"/>
  <c r="D80" i="87" s="1"/>
  <c r="D81" i="87" s="1"/>
  <c r="D82" i="87" s="1"/>
  <c r="D83" i="87" s="1"/>
  <c r="D84" i="87" s="1"/>
  <c r="T84" i="3"/>
  <c r="T83" i="3"/>
  <c r="T82" i="3"/>
  <c r="T81" i="3"/>
  <c r="T80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5" i="3"/>
  <c r="T54" i="3"/>
  <c r="T53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T7" i="3"/>
  <c r="T6" i="3"/>
  <c r="T5" i="3"/>
  <c r="T4" i="3"/>
  <c r="T3" i="3"/>
  <c r="T2" i="3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2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A85" i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103" i="78"/>
  <c r="G106" i="78" s="1"/>
  <c r="F103" i="78"/>
  <c r="F105" i="78" s="1"/>
  <c r="E103" i="78"/>
  <c r="E105" i="78" s="1"/>
  <c r="CF93" i="78"/>
  <c r="CE93" i="78"/>
  <c r="CD93" i="78"/>
  <c r="CC93" i="78"/>
  <c r="CB93" i="78"/>
  <c r="CA93" i="78"/>
  <c r="BZ93" i="78"/>
  <c r="BY93" i="78"/>
  <c r="BX93" i="78"/>
  <c r="BW93" i="78"/>
  <c r="BV93" i="78"/>
  <c r="BU93" i="78"/>
  <c r="BT93" i="78"/>
  <c r="BS93" i="78"/>
  <c r="BR93" i="78"/>
  <c r="BQ93" i="78"/>
  <c r="BP93" i="78"/>
  <c r="BO93" i="78"/>
  <c r="BN93" i="78"/>
  <c r="BM93" i="78"/>
  <c r="BL93" i="78"/>
  <c r="BK93" i="78"/>
  <c r="BJ93" i="78"/>
  <c r="BI93" i="78"/>
  <c r="BH93" i="78"/>
  <c r="BG93" i="78"/>
  <c r="BF93" i="78"/>
  <c r="BE93" i="78"/>
  <c r="BD93" i="78"/>
  <c r="BC93" i="78"/>
  <c r="BB93" i="78"/>
  <c r="BA93" i="78"/>
  <c r="AZ93" i="78"/>
  <c r="AY93" i="78"/>
  <c r="AX93" i="78"/>
  <c r="AW93" i="78"/>
  <c r="AV93" i="78"/>
  <c r="AU93" i="78"/>
  <c r="AT93" i="78"/>
  <c r="AS93" i="78"/>
  <c r="AR93" i="78"/>
  <c r="AQ93" i="78"/>
  <c r="AP93" i="78"/>
  <c r="AO93" i="78"/>
  <c r="AN93" i="78"/>
  <c r="AM93" i="78"/>
  <c r="AL93" i="78"/>
  <c r="AK93" i="78"/>
  <c r="AJ93" i="78"/>
  <c r="AI93" i="78"/>
  <c r="AH93" i="78"/>
  <c r="AG93" i="78"/>
  <c r="AF93" i="78"/>
  <c r="AE93" i="78"/>
  <c r="AD93" i="78"/>
  <c r="AC93" i="78"/>
  <c r="AB93" i="78"/>
  <c r="AA93" i="78"/>
  <c r="Z93" i="78"/>
  <c r="Y93" i="78"/>
  <c r="X93" i="78"/>
  <c r="W93" i="78"/>
  <c r="V93" i="78"/>
  <c r="U93" i="78"/>
  <c r="T93" i="78"/>
  <c r="S93" i="78"/>
  <c r="R93" i="78"/>
  <c r="Q93" i="78"/>
  <c r="P93" i="78"/>
  <c r="O93" i="78"/>
  <c r="N93" i="78"/>
  <c r="M93" i="78"/>
  <c r="L93" i="78"/>
  <c r="K93" i="78"/>
  <c r="J93" i="78"/>
  <c r="I93" i="78"/>
  <c r="H93" i="78"/>
  <c r="G93" i="78"/>
  <c r="F93" i="78"/>
  <c r="E93" i="78"/>
  <c r="D93" i="78"/>
  <c r="C93" i="78"/>
  <c r="B93" i="78"/>
  <c r="CF90" i="78"/>
  <c r="CE90" i="78"/>
  <c r="CD90" i="78"/>
  <c r="CC90" i="78"/>
  <c r="CB90" i="78"/>
  <c r="CA90" i="78"/>
  <c r="BZ90" i="78"/>
  <c r="BY90" i="78"/>
  <c r="BX90" i="78"/>
  <c r="BW90" i="78"/>
  <c r="BV90" i="78"/>
  <c r="BU90" i="78"/>
  <c r="BT90" i="78"/>
  <c r="BS90" i="78"/>
  <c r="BR90" i="78"/>
  <c r="BQ90" i="78"/>
  <c r="BP90" i="78"/>
  <c r="BO90" i="78"/>
  <c r="BN90" i="78"/>
  <c r="BM90" i="78"/>
  <c r="BL90" i="78"/>
  <c r="BK90" i="78"/>
  <c r="BJ90" i="78"/>
  <c r="BI90" i="78"/>
  <c r="BH90" i="78"/>
  <c r="BG90" i="78"/>
  <c r="BF90" i="78"/>
  <c r="BE90" i="78"/>
  <c r="BD90" i="78"/>
  <c r="BC90" i="78"/>
  <c r="BB90" i="78"/>
  <c r="BA90" i="78"/>
  <c r="AZ90" i="78"/>
  <c r="AY90" i="78"/>
  <c r="AX90" i="78"/>
  <c r="AW90" i="78"/>
  <c r="AV90" i="78"/>
  <c r="AU90" i="78"/>
  <c r="AT90" i="78"/>
  <c r="AS90" i="78"/>
  <c r="AR90" i="78"/>
  <c r="AQ90" i="78"/>
  <c r="AP90" i="78"/>
  <c r="AO90" i="78"/>
  <c r="AN90" i="78"/>
  <c r="AM90" i="78"/>
  <c r="AL90" i="78"/>
  <c r="AK90" i="78"/>
  <c r="AJ90" i="78"/>
  <c r="AI90" i="78"/>
  <c r="AH90" i="78"/>
  <c r="AG90" i="78"/>
  <c r="AF90" i="78"/>
  <c r="AE90" i="78"/>
  <c r="AD90" i="78"/>
  <c r="AC90" i="78"/>
  <c r="AB90" i="78"/>
  <c r="AA90" i="78"/>
  <c r="Z90" i="78"/>
  <c r="Y90" i="78"/>
  <c r="X90" i="78"/>
  <c r="W90" i="78"/>
  <c r="V90" i="78"/>
  <c r="U90" i="78"/>
  <c r="T90" i="78"/>
  <c r="S90" i="78"/>
  <c r="R90" i="78"/>
  <c r="Q90" i="78"/>
  <c r="P90" i="78"/>
  <c r="O90" i="78"/>
  <c r="N90" i="78"/>
  <c r="M90" i="78"/>
  <c r="L90" i="78"/>
  <c r="K90" i="78"/>
  <c r="J90" i="78"/>
  <c r="I90" i="78"/>
  <c r="H90" i="78"/>
  <c r="G90" i="78"/>
  <c r="F90" i="78"/>
  <c r="E90" i="78"/>
  <c r="D90" i="78"/>
  <c r="C90" i="78"/>
  <c r="B90" i="78"/>
  <c r="R429" i="75"/>
  <c r="M426" i="75"/>
  <c r="N413" i="75"/>
  <c r="N412" i="75"/>
  <c r="N410" i="75"/>
  <c r="N408" i="75"/>
  <c r="N407" i="75"/>
  <c r="N406" i="75"/>
  <c r="N405" i="75"/>
  <c r="N390" i="75"/>
  <c r="M390" i="75"/>
  <c r="L357" i="75"/>
  <c r="L355" i="75"/>
  <c r="H284" i="75"/>
  <c r="H262" i="75"/>
  <c r="H257" i="75"/>
  <c r="H251" i="75"/>
  <c r="AJ197" i="75"/>
  <c r="AI197" i="75" s="1"/>
  <c r="AG197" i="75"/>
  <c r="AD197" i="75"/>
  <c r="AJ196" i="75"/>
  <c r="AI196" i="75" s="1"/>
  <c r="AG196" i="75"/>
  <c r="AD196" i="75"/>
  <c r="AJ195" i="75"/>
  <c r="AI195" i="75" s="1"/>
  <c r="AG195" i="75"/>
  <c r="AD195" i="75"/>
  <c r="AJ194" i="75"/>
  <c r="AI194" i="75" s="1"/>
  <c r="AG194" i="75"/>
  <c r="AD194" i="75"/>
  <c r="AJ193" i="75"/>
  <c r="AI193" i="75" s="1"/>
  <c r="AG193" i="75"/>
  <c r="AD193" i="75"/>
  <c r="AJ192" i="75"/>
  <c r="AI192" i="75" s="1"/>
  <c r="AG192" i="75"/>
  <c r="AD192" i="75"/>
  <c r="AJ191" i="75"/>
  <c r="AI191" i="75" s="1"/>
  <c r="AG191" i="75"/>
  <c r="AD191" i="75"/>
  <c r="AJ190" i="75"/>
  <c r="AI190" i="75" s="1"/>
  <c r="AG190" i="75"/>
  <c r="AD190" i="75"/>
  <c r="AJ189" i="75"/>
  <c r="AI189" i="75" s="1"/>
  <c r="AG189" i="75"/>
  <c r="AD189" i="75"/>
  <c r="AJ188" i="75"/>
  <c r="AI188" i="75" s="1"/>
  <c r="AG188" i="75"/>
  <c r="AD188" i="75"/>
  <c r="F152" i="75"/>
  <c r="C72" i="75"/>
  <c r="C73" i="75" s="1"/>
  <c r="C74" i="75" s="1"/>
  <c r="C75" i="75" s="1"/>
  <c r="C76" i="75" s="1"/>
  <c r="C77" i="75" s="1"/>
  <c r="C78" i="75" s="1"/>
  <c r="C79" i="75" s="1"/>
  <c r="C80" i="75" s="1"/>
  <c r="C81" i="75" s="1"/>
  <c r="C82" i="75" s="1"/>
  <c r="C83" i="75" s="1"/>
  <c r="C84" i="75" s="1"/>
  <c r="C85" i="75" s="1"/>
  <c r="C86" i="75" s="1"/>
  <c r="C87" i="75" s="1"/>
  <c r="C88" i="75" s="1"/>
  <c r="C89" i="75" s="1"/>
  <c r="C90" i="75" s="1"/>
  <c r="C91" i="75" s="1"/>
  <c r="C92" i="75" s="1"/>
  <c r="C93" i="75" s="1"/>
  <c r="C94" i="75" s="1"/>
  <c r="C95" i="75" s="1"/>
  <c r="C96" i="75" s="1"/>
  <c r="C97" i="75" s="1"/>
  <c r="C98" i="75" s="1"/>
  <c r="C99" i="75" s="1"/>
  <c r="C100" i="75" s="1"/>
  <c r="C101" i="75" s="1"/>
  <c r="G39" i="75"/>
  <c r="B8" i="75"/>
  <c r="B7" i="75"/>
  <c r="X6" i="75"/>
  <c r="D32" i="86" l="1"/>
  <c r="D41" i="86" s="1"/>
  <c r="E33" i="86"/>
  <c r="E32" i="86"/>
  <c r="G105" i="78"/>
  <c r="E108" i="78"/>
  <c r="E106" i="78"/>
  <c r="F108" i="78"/>
  <c r="F106" i="78"/>
  <c r="G108" i="78"/>
  <c r="G109" i="78" l="1"/>
  <c r="G110" i="78"/>
  <c r="E109" i="78"/>
  <c r="E110" i="78"/>
  <c r="F110" i="78"/>
  <c r="F109" i="78"/>
  <c r="E41" i="86"/>
  <c r="B8" i="86"/>
  <c r="B19" i="86"/>
  <c r="B9" i="86"/>
  <c r="B20" i="86"/>
</calcChain>
</file>

<file path=xl/sharedStrings.xml><?xml version="1.0" encoding="utf-8"?>
<sst xmlns="http://schemas.openxmlformats.org/spreadsheetml/2006/main" count="2673" uniqueCount="554">
  <si>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</si>
  <si>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</si>
  <si>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</si>
  <si>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</si>
  <si>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</si>
  <si>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</si>
  <si>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</si>
  <si>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</si>
  <si>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</si>
  <si>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</si>
  <si>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</si>
  <si>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</si>
  <si>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TOTAL</t>
  </si>
  <si>
    <t xml:space="preserve">  </t>
  </si>
  <si>
    <t>TL</t>
  </si>
  <si>
    <t>Biomass</t>
  </si>
  <si>
    <t>EE</t>
  </si>
  <si>
    <t>Mortalities</t>
  </si>
  <si>
    <t>M0</t>
  </si>
  <si>
    <t>B</t>
  </si>
  <si>
    <t>MAIN INPUTS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</si>
  <si>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</si>
  <si>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</si>
  <si>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</si>
  <si>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</si>
  <si>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</si>
  <si>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</si>
  <si>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</si>
  <si>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</si>
  <si>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</si>
  <si>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</si>
  <si>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</si>
  <si>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</si>
  <si>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</si>
  <si>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</si>
  <si>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</si>
  <si>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</si>
  <si>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</si>
  <si>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</si>
  <si>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</si>
  <si>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</si>
  <si>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</si>
  <si>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</si>
  <si>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</si>
  <si>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</si>
  <si>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</si>
  <si>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</si>
  <si>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</si>
  <si>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</si>
  <si>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</si>
  <si>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</si>
  <si>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</si>
  <si>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</si>
  <si>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</si>
  <si>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</si>
  <si>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</si>
  <si>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</si>
  <si>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</si>
  <si>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</si>
  <si>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</si>
  <si>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</si>
  <si>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</si>
  <si>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sum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</si>
  <si>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</si>
  <si>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</si>
  <si>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</si>
  <si>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</si>
  <si>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</si>
  <si>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</si>
  <si>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</si>
  <si>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</si>
  <si>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</si>
  <si>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</si>
  <si>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</si>
  <si>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</si>
  <si>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</si>
  <si>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</si>
  <si>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</si>
  <si>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</si>
  <si>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</si>
  <si>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</si>
  <si>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</si>
  <si>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</si>
  <si>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</si>
  <si>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</si>
  <si>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</si>
  <si>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</si>
  <si>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</si>
  <si>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</si>
  <si>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</si>
  <si>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</si>
  <si>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</si>
  <si>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</si>
  <si>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</si>
  <si>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</si>
  <si>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</si>
  <si>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</si>
  <si>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</si>
  <si>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</si>
  <si>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</si>
  <si>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</si>
  <si>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</si>
  <si>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</si>
  <si>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</si>
  <si>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</si>
  <si>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</si>
  <si>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</si>
  <si>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</si>
  <si>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</si>
  <si>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</si>
  <si>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</si>
  <si>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</si>
  <si>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</si>
  <si>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</si>
  <si>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</si>
  <si>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</si>
  <si>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</si>
  <si>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</si>
  <si>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</si>
  <si>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</si>
  <si>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</si>
  <si>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</si>
  <si>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</si>
  <si>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</si>
  <si>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</si>
  <si>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</si>
  <si>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</si>
  <si>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</si>
  <si>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</si>
  <si>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</si>
  <si>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</si>
  <si>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</si>
  <si>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</si>
  <si>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</si>
  <si>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</si>
  <si>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</si>
  <si>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</si>
  <si>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</si>
  <si>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</si>
  <si>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</si>
  <si>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</si>
  <si>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</si>
  <si>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</si>
  <si>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</si>
  <si>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</si>
  <si>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</si>
  <si>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</si>
  <si>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</si>
  <si>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</si>
  <si>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</si>
  <si>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</si>
  <si>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</si>
  <si>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</si>
  <si>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</si>
  <si>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use AggregationCode numbers</t>
  </si>
  <si>
    <t>&lt;-- don't make more prey guilds than this</t>
  </si>
  <si>
    <t>export</t>
  </si>
  <si>
    <t>&lt;-NOTE: every model must have a terminal pelagic &amp; benthic detritus group</t>
  </si>
  <si>
    <t>NOTE: "ExcretionFate" of detritus groups is really used to define the fate of excretion by bacteria that metabolise detritus</t>
  </si>
  <si>
    <t>RetentionScaler</t>
  </si>
  <si>
    <t>( 0 = more advection &lt;--&gt; less advection =1)</t>
  </si>
  <si>
    <t>Functional Response</t>
  </si>
  <si>
    <t>A</t>
  </si>
  <si>
    <t>C</t>
  </si>
  <si>
    <t>D</t>
  </si>
  <si>
    <t>NOTE: "EL"; linear = 0; non-linear =1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</si>
  <si>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</si>
  <si>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</si>
  <si>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</si>
  <si>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</si>
  <si>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</si>
  <si>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</si>
  <si>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DEFUNCT IN REVISED CODE; DO NOT USE PREY GUILDS</t>
  </si>
  <si>
    <t>micrograzers</t>
  </si>
  <si>
    <t>bacteria</t>
  </si>
  <si>
    <t>&lt;--NOTE change in group type def</t>
  </si>
  <si>
    <t>P1: large phytoplankton</t>
  </si>
  <si>
    <t>P2: small phytoplankton</t>
  </si>
  <si>
    <t>MZ: micro-zooplankton</t>
  </si>
  <si>
    <t>Z1ai: copepods (large &gt;= 0.025mg C)</t>
  </si>
  <si>
    <t>Z1aii: copepods (small &lt; 0.025mg C)</t>
  </si>
  <si>
    <t>Z1b: small invertebrate larvae</t>
  </si>
  <si>
    <t>Z1d: pteropods</t>
  </si>
  <si>
    <t>Z2a: pelagic amphipods</t>
  </si>
  <si>
    <t>Z2b: pelagic shrimp (Sergestidae Panaeidae)</t>
  </si>
  <si>
    <t>Z2c: other macro-zooplankton</t>
  </si>
  <si>
    <t>Z2g: small jellyfish (net-feeders)</t>
  </si>
  <si>
    <t>Z2e: small jellyfish (carnivores)</t>
  </si>
  <si>
    <t>Z2f: large jellyfish</t>
  </si>
  <si>
    <t>Z3a: E. pacifica (adult &amp; juveniles)</t>
  </si>
  <si>
    <t>Z3b: T. spinifera (adult &amp; juveniles)</t>
  </si>
  <si>
    <t>Ca: small cephalopod aggregate</t>
  </si>
  <si>
    <t>Cb: cephalopod humboldt</t>
  </si>
  <si>
    <t>PlnkF1a: smelt aggregate</t>
  </si>
  <si>
    <t>PlnkF1b: shad</t>
  </si>
  <si>
    <t>PlnkF1c: sardine</t>
  </si>
  <si>
    <t>PlnkF1d: herring</t>
  </si>
  <si>
    <t>PlnkF1e: anchovy</t>
  </si>
  <si>
    <t>PlnkF1f: saury</t>
  </si>
  <si>
    <t>PlnkF2c: other juvenile salmon</t>
  </si>
  <si>
    <t>PlnkF3: mesopelagic fish aggregate</t>
  </si>
  <si>
    <t>PlnkF4: planktivorous rockfish</t>
  </si>
  <si>
    <t>PiscF1a: coho</t>
  </si>
  <si>
    <t>PiscF1b: Chinook</t>
  </si>
  <si>
    <t>PiscF1c: other salmon aggregate</t>
  </si>
  <si>
    <t>PiscF2: shark aggregate</t>
  </si>
  <si>
    <t>PiscF3a: jack mackerel</t>
  </si>
  <si>
    <t>PiscF3b: Pacific mackerel</t>
  </si>
  <si>
    <t>PiscF4: piscivorous rockfish</t>
  </si>
  <si>
    <t>PiscF5: dogfish aggregate</t>
  </si>
  <si>
    <t>PiscF6: hake</t>
  </si>
  <si>
    <t>PiscF10: tuna aggregate</t>
  </si>
  <si>
    <t>PiscF7: sablefish</t>
  </si>
  <si>
    <t>PiscF8: Hexagrammidae (lingcod greenling)</t>
  </si>
  <si>
    <t>PiscF9: flatfish (water-column feeders)</t>
  </si>
  <si>
    <t>BnthF1: skates &amp; rays</t>
  </si>
  <si>
    <t>BnthF2: misc. small benthic fishes</t>
  </si>
  <si>
    <t>BnthF3: benthivorous rockfish</t>
  </si>
  <si>
    <t>BnthF4: Gadidae (cod haddock pollock)</t>
  </si>
  <si>
    <t>BnthF5: flatfish (benthic feeders)</t>
  </si>
  <si>
    <t>BnthF6: flatfish (small)</t>
  </si>
  <si>
    <t>BnthF7: grenadier</t>
  </si>
  <si>
    <t>JuvF1: juvenile rockfish</t>
  </si>
  <si>
    <t>JuvF2: juvenile fish (other)</t>
  </si>
  <si>
    <t>JuvF3: juvenile fish (chondrichthys)</t>
  </si>
  <si>
    <t>DepB1: infauna</t>
  </si>
  <si>
    <t>DepB2a: Pandalus spp.</t>
  </si>
  <si>
    <t>DepB2b: other epibenthic shrimp (Caridea)</t>
  </si>
  <si>
    <t>DepB3: mysids</t>
  </si>
  <si>
    <t>DepB4: echinoderms</t>
  </si>
  <si>
    <t>DepB5: benthic amphipods isopods and cumaceans</t>
  </si>
  <si>
    <t>SspB2: bivalves</t>
  </si>
  <si>
    <t>SspB3: misc. epifauna (suspension feeders)</t>
  </si>
  <si>
    <t>CrnB1: Dungeness crab</t>
  </si>
  <si>
    <t>CrnB2: Tanner crab</t>
  </si>
  <si>
    <t>CrnB3: misc. epifauna (carnivorous)</t>
  </si>
  <si>
    <t>SB1: sooty shearwaters</t>
  </si>
  <si>
    <t>SB2: common murre</t>
  </si>
  <si>
    <t>SB3: gulls &amp; terns</t>
  </si>
  <si>
    <t>SB4: alcids</t>
  </si>
  <si>
    <t>SB5: large pelagic seabirds</t>
  </si>
  <si>
    <t>SB6: other pelagic seabirds</t>
  </si>
  <si>
    <t>SB7: coastal seabirds (divers)</t>
  </si>
  <si>
    <t>SB8: storm-petrels</t>
  </si>
  <si>
    <t>PlnkMM1: gray whales</t>
  </si>
  <si>
    <t>PlnkMM2: baleen whales</t>
  </si>
  <si>
    <t>PiscMM1: small pinnipeds</t>
  </si>
  <si>
    <t>PiscMM2: large pinnipeds</t>
  </si>
  <si>
    <t>PiscMM3: small toothed whales</t>
  </si>
  <si>
    <t>PiscMM4: large toothed whales</t>
  </si>
  <si>
    <t>PiscMM5: killer whales</t>
  </si>
  <si>
    <t>Z1c: invertebrate eggs</t>
  </si>
  <si>
    <t>Z2d: fish eggs</t>
  </si>
  <si>
    <t>D1: pelagic detritus</t>
  </si>
  <si>
    <t>D2: fishery offal</t>
  </si>
  <si>
    <t>D3: benthic detritus</t>
  </si>
  <si>
    <t>FshryA1: longline</t>
  </si>
  <si>
    <t>FshryA2: troll gear</t>
  </si>
  <si>
    <t>FshryA3: bottomfish troll gear</t>
  </si>
  <si>
    <t>FshryA4: hook &amp; line (except troll)</t>
  </si>
  <si>
    <t>FshryA4b: offshore hook &amp; line (except troll)</t>
  </si>
  <si>
    <t>FshryB1: trawls (except shrimp trawls)</t>
  </si>
  <si>
    <t>FshryB2: shrimp trawls</t>
  </si>
  <si>
    <t>FshryC1: pelagic net gear (except trawls)</t>
  </si>
  <si>
    <t>FshryC2: mid-water trawls</t>
  </si>
  <si>
    <t>FshryC3: gill nets</t>
  </si>
  <si>
    <t>FshryC4: seine</t>
  </si>
  <si>
    <t>FshryD1: fish pot</t>
  </si>
  <si>
    <t>FshryD2: crab and lobster pot</t>
  </si>
  <si>
    <t>FshryD3: other pot and trap gear</t>
  </si>
  <si>
    <t>FshryE1: diving</t>
  </si>
  <si>
    <t>FshryF1: other known gear</t>
  </si>
  <si>
    <t>FshryR1: recreational fishery</t>
  </si>
  <si>
    <t>PlnkF2a: coho yearling</t>
  </si>
  <si>
    <t>Import</t>
  </si>
  <si>
    <t>ADD REC</t>
  </si>
  <si>
    <t>NOTE: listed as "BnthF: benthivorous fishes" in query results</t>
  </si>
  <si>
    <t xml:space="preserve"> large phytoplankton</t>
  </si>
  <si>
    <t xml:space="preserve"> small phytoplankton</t>
  </si>
  <si>
    <t xml:space="preserve"> micro-zooplankton</t>
  </si>
  <si>
    <t>large copepods</t>
  </si>
  <si>
    <t>small copepods</t>
  </si>
  <si>
    <t xml:space="preserve"> small invertebrate larvae</t>
  </si>
  <si>
    <t xml:space="preserve"> pteropods</t>
  </si>
  <si>
    <t xml:space="preserve"> pelagic amphipods</t>
  </si>
  <si>
    <t xml:space="preserve"> pelagic shrimp (Sergestidae Panaeidae)</t>
  </si>
  <si>
    <t>macro-zooplankton</t>
  </si>
  <si>
    <t xml:space="preserve"> small jellyfish (net-feeders)</t>
  </si>
  <si>
    <t xml:space="preserve"> small jellyfish (carnivores)</t>
  </si>
  <si>
    <t>large jellyfish</t>
  </si>
  <si>
    <t xml:space="preserve"> E. pacifica (adult &amp; juveniles)</t>
  </si>
  <si>
    <t xml:space="preserve"> T. spinifera (adult &amp; juveniles)</t>
  </si>
  <si>
    <t>small squid</t>
  </si>
  <si>
    <t xml:space="preserve"> cephalopod humboldt</t>
  </si>
  <si>
    <t>smelts</t>
  </si>
  <si>
    <t>shad</t>
  </si>
  <si>
    <t>sardine</t>
  </si>
  <si>
    <t>herring</t>
  </si>
  <si>
    <t>anchovy</t>
  </si>
  <si>
    <t xml:space="preserve"> saury</t>
  </si>
  <si>
    <t xml:space="preserve"> other juvenile salmon</t>
  </si>
  <si>
    <t xml:space="preserve"> mesopelagic fish aggregate</t>
  </si>
  <si>
    <t xml:space="preserve"> planktivorous rockfish</t>
  </si>
  <si>
    <t xml:space="preserve"> coho</t>
  </si>
  <si>
    <t xml:space="preserve"> Chinook</t>
  </si>
  <si>
    <t xml:space="preserve"> other salmon aggregate</t>
  </si>
  <si>
    <t xml:space="preserve"> shark aggregate</t>
  </si>
  <si>
    <t xml:space="preserve"> jack mackerel</t>
  </si>
  <si>
    <t xml:space="preserve"> Pacific mackerel</t>
  </si>
  <si>
    <t xml:space="preserve"> piscivorous rockfish</t>
  </si>
  <si>
    <t xml:space="preserve"> dogfish aggregate</t>
  </si>
  <si>
    <t xml:space="preserve"> hake</t>
  </si>
  <si>
    <t xml:space="preserve"> tuna aggregate</t>
  </si>
  <si>
    <t xml:space="preserve"> sablefish</t>
  </si>
  <si>
    <t xml:space="preserve"> Hexagrammidae (lingcod greenling)</t>
  </si>
  <si>
    <t xml:space="preserve"> flatfish (water-column feeders)</t>
  </si>
  <si>
    <t xml:space="preserve"> skates &amp; rays</t>
  </si>
  <si>
    <t xml:space="preserve"> misc. small benthic fishes</t>
  </si>
  <si>
    <t xml:space="preserve"> benthivorous rockfish</t>
  </si>
  <si>
    <t xml:space="preserve"> Gadidae (cod haddock pollock)</t>
  </si>
  <si>
    <t xml:space="preserve"> flatfish (benthic feeders)</t>
  </si>
  <si>
    <t xml:space="preserve"> flatfish (small)</t>
  </si>
  <si>
    <t xml:space="preserve"> grenadier</t>
  </si>
  <si>
    <t xml:space="preserve"> juvenile rockfish</t>
  </si>
  <si>
    <t xml:space="preserve"> juvenile fish (other)</t>
  </si>
  <si>
    <t xml:space="preserve"> juvenile fish (chondrichthys)</t>
  </si>
  <si>
    <t xml:space="preserve"> infauna</t>
  </si>
  <si>
    <t xml:space="preserve"> Pandalus spp.</t>
  </si>
  <si>
    <t xml:space="preserve"> other epibenthic shrimp (Caridea)</t>
  </si>
  <si>
    <t xml:space="preserve"> mysids</t>
  </si>
  <si>
    <t xml:space="preserve"> echinoderms</t>
  </si>
  <si>
    <t xml:space="preserve"> benthic amphipods isopods and cumaceans</t>
  </si>
  <si>
    <t xml:space="preserve"> bivalves</t>
  </si>
  <si>
    <t xml:space="preserve"> misc. epifauna (suspension feeders)</t>
  </si>
  <si>
    <t xml:space="preserve"> Dungeness crab</t>
  </si>
  <si>
    <t xml:space="preserve"> Tanner crab</t>
  </si>
  <si>
    <t xml:space="preserve"> misc. epifauna (carnivorous)</t>
  </si>
  <si>
    <t>sooty shearwaters</t>
  </si>
  <si>
    <t xml:space="preserve"> common murre</t>
  </si>
  <si>
    <t xml:space="preserve"> gulls &amp; terns</t>
  </si>
  <si>
    <t xml:space="preserve"> alcids</t>
  </si>
  <si>
    <t xml:space="preserve"> large pelagic seabirds</t>
  </si>
  <si>
    <t xml:space="preserve"> other pelagic seabirds</t>
  </si>
  <si>
    <t xml:space="preserve"> coastal seabirds (divers)</t>
  </si>
  <si>
    <t xml:space="preserve"> storm-petrels</t>
  </si>
  <si>
    <t xml:space="preserve"> gray whales</t>
  </si>
  <si>
    <t xml:space="preserve"> baleen whales</t>
  </si>
  <si>
    <t xml:space="preserve"> small pinnipeds</t>
  </si>
  <si>
    <t>large pinnipeds</t>
  </si>
  <si>
    <t xml:space="preserve"> small toothed whales</t>
  </si>
  <si>
    <t xml:space="preserve"> large toothed whales</t>
  </si>
  <si>
    <t xml:space="preserve"> killer whales</t>
  </si>
  <si>
    <t xml:space="preserve"> invertebrate eggs</t>
  </si>
  <si>
    <t xml:space="preserve"> fish eggs</t>
  </si>
  <si>
    <t xml:space="preserve"> pelagic detritus</t>
  </si>
  <si>
    <t xml:space="preserve"> fishery offal</t>
  </si>
  <si>
    <t xml:space="preserve"> benthic detritus</t>
  </si>
  <si>
    <t xml:space="preserve"> longline</t>
  </si>
  <si>
    <t xml:space="preserve"> troll gear</t>
  </si>
  <si>
    <t xml:space="preserve"> bottomfish troll gear</t>
  </si>
  <si>
    <t xml:space="preserve"> hook &amp; line (except troll)</t>
  </si>
  <si>
    <t xml:space="preserve"> offshore hook &amp; line (except troll)</t>
  </si>
  <si>
    <t xml:space="preserve"> trawls (except shrimp trawls)</t>
  </si>
  <si>
    <t xml:space="preserve"> shrimp trawls</t>
  </si>
  <si>
    <t xml:space="preserve"> pelagic net gear (except trawls)</t>
  </si>
  <si>
    <t xml:space="preserve"> mid-water trawls</t>
  </si>
  <si>
    <t xml:space="preserve"> gill nets</t>
  </si>
  <si>
    <t xml:space="preserve"> seine</t>
  </si>
  <si>
    <t xml:space="preserve"> fish pot</t>
  </si>
  <si>
    <t xml:space="preserve"> crab and lobster pot</t>
  </si>
  <si>
    <t xml:space="preserve"> other pot and trap gear</t>
  </si>
  <si>
    <t xml:space="preserve"> diving</t>
  </si>
  <si>
    <t xml:space="preserve"> other known gear</t>
  </si>
  <si>
    <t xml:space="preserve"> recreational fishery</t>
  </si>
  <si>
    <t>NOTE: PreyGuilds are NOT necessary</t>
  </si>
  <si>
    <t>F FshryA1: longline</t>
  </si>
  <si>
    <t>F FshryA2: troll gear</t>
  </si>
  <si>
    <t>F FshryA3: bottomfish troll gear</t>
  </si>
  <si>
    <t>F FshryA4: hook &amp; line (except troll)</t>
  </si>
  <si>
    <t>F FshryA4b: offshore hook &amp; line (except troll)</t>
  </si>
  <si>
    <t>F FshryB1: trawls (except shrimp trawls)</t>
  </si>
  <si>
    <t>F FshryB2: shrimp trawls</t>
  </si>
  <si>
    <t>F FshryC1: pelagic net gear (except trawls)</t>
  </si>
  <si>
    <t>F FshryC2: mid-water trawls</t>
  </si>
  <si>
    <t>F FshryC3: gill nets</t>
  </si>
  <si>
    <t>F FshryC4: seine</t>
  </si>
  <si>
    <t>F FshryD1: fish pot</t>
  </si>
  <si>
    <t>F FshryD2: crab and lobster pot</t>
  </si>
  <si>
    <t>F FshryD3: other pot and trap gear</t>
  </si>
  <si>
    <t>F FshryE1: diving</t>
  </si>
  <si>
    <t>F FshryF1: other known gear</t>
  </si>
  <si>
    <t>F FshryR1: recreational fishery</t>
  </si>
  <si>
    <t>primary production fractions</t>
  </si>
  <si>
    <t>&lt;&lt;--place-holder assumption</t>
  </si>
  <si>
    <t xml:space="preserve"> </t>
  </si>
  <si>
    <t>DIETS</t>
  </si>
  <si>
    <t>&lt;&lt;--new group def; check this as cause if there are errors in Step 1</t>
  </si>
  <si>
    <t>6) on EcotranRecycling page; fishery discards are assigned as "DetritusFate_feces"</t>
  </si>
  <si>
    <t>PlnkF2bi: Chinook subyearling</t>
  </si>
  <si>
    <t>PlnkF2bii: Chinook yearling</t>
  </si>
  <si>
    <t>balancing act:</t>
  </si>
  <si>
    <t>NCCprs_1</t>
  </si>
  <si>
    <t>base model</t>
  </si>
  <si>
    <t>begins with physiological params from NCCprs_n of April2011 model</t>
  </si>
  <si>
    <t>the mods from that balanced model are all marked as yellow here</t>
  </si>
  <si>
    <t>diet is from excel file: diet_work_7-17-2011.xls and starts with NCCprs_a from April2011 model</t>
  </si>
  <si>
    <t xml:space="preserve">biomasses are MEAN values from file: </t>
  </si>
  <si>
    <t>NCCprs_2</t>
  </si>
  <si>
    <t>diet set to NCCprs_n from April2011 model</t>
  </si>
  <si>
    <t>NCCprs_3</t>
  </si>
  <si>
    <t>adjust biomasses to use same scaling factors as NCCprs_n April2011 model:</t>
  </si>
  <si>
    <t>change scaling factor to 1X (from 2X), this now matches treatment of NCCprs_a April2011</t>
  </si>
  <si>
    <t>change scaling factor to 4X (from 2X), this now matches treatment of NCCprs_a April2011</t>
  </si>
  <si>
    <t>change scaling factor to 8X (from 15X), as in NCCprs_a April2011 (this put B on same scale as NCCprs_n April2011, needed here because mean values now used are greater than median values of NCCprs_n April2011)</t>
  </si>
  <si>
    <t>change scaling factor to 1.25X (from 1.75X), this now matches treatment of NCCprs_a April2011</t>
  </si>
  <si>
    <t>ALSO adjust diet preference with these new B values</t>
  </si>
  <si>
    <t>NCCprs_4</t>
  </si>
  <si>
    <t>adjust biomasses</t>
  </si>
  <si>
    <t>to match NCCprs_n April2011</t>
  </si>
  <si>
    <t>scale X1.5 as done in NCCprs_n April2011</t>
  </si>
  <si>
    <t>NCCprs_5</t>
  </si>
  <si>
    <t>cut commercial fishing on tuna to 1/3; as in NCCprs_n April2011 (most fishing is probably off shelf)</t>
  </si>
  <si>
    <t>adjust diets to bring down EE on:</t>
  </si>
  <si>
    <t>reduce ---</t>
  </si>
  <si>
    <t xml:space="preserve">   PiscF9  in dogfish diet</t>
  </si>
  <si>
    <t>put onto ---</t>
  </si>
  <si>
    <t>all rockfishes</t>
  </si>
  <si>
    <t>NCCprs_6</t>
  </si>
  <si>
    <t>correct error to large toothed whales (sperm whales never got added in)</t>
  </si>
  <si>
    <t>&lt;&lt;--&amp; sperm whales</t>
  </si>
  <si>
    <t>&lt;&lt;--should be this</t>
  </si>
  <si>
    <t>ALSO fixed in Synthesis .mdb 7-17-2011</t>
  </si>
  <si>
    <t>NCCprs_7</t>
  </si>
  <si>
    <t>adjust killer whale diet to take pressure off mammals and some birds</t>
  </si>
  <si>
    <t>put onto  ---</t>
  </si>
  <si>
    <t>sharks</t>
  </si>
  <si>
    <t>adult salmon</t>
  </si>
  <si>
    <t>baleen whale</t>
  </si>
  <si>
    <t>skates &amp; rays</t>
  </si>
  <si>
    <t>mackerel</t>
  </si>
  <si>
    <t>dogfish</t>
  </si>
  <si>
    <t>pelagic fish -- add very little more</t>
  </si>
  <si>
    <t>adjust detritus fate to feed into invert 7 fish eggs</t>
  </si>
  <si>
    <t>NCCprs_8</t>
  </si>
  <si>
    <t>adjust planktivore fish P/B down and Biomass up</t>
  </si>
  <si>
    <t>for NCCprs_8</t>
  </si>
  <si>
    <t>keep overall production of these groups constant</t>
  </si>
  <si>
    <t>adjust coho P/B down and Biomass stay the same</t>
  </si>
  <si>
    <t>original</t>
  </si>
  <si>
    <t>B scaler--&gt;&gt;</t>
  </si>
  <si>
    <t>new</t>
  </si>
  <si>
    <t>remove erroneous detritus input, add more detritus flow to fish eggs</t>
  </si>
  <si>
    <t>P/B</t>
  </si>
  <si>
    <t>NCCprs_9</t>
  </si>
  <si>
    <t>fix high EE groups</t>
  </si>
  <si>
    <t>pinnipeds</t>
  </si>
  <si>
    <t>seabirds</t>
  </si>
  <si>
    <t>lowered killer whale biomass: reduced assumed fraction of transient/offshore group in NCC slightly(file: Mammal_Biomass_Step1_7-31-2011.xls)</t>
  </si>
  <si>
    <t>dogfish diet</t>
  </si>
  <si>
    <t>piscivorous rockfish diet</t>
  </si>
  <si>
    <t>raise their biomasses</t>
  </si>
  <si>
    <t>forage fishes</t>
  </si>
  <si>
    <t>reduce in hake diet (by total of 3%)</t>
  </si>
  <si>
    <t>salmon</t>
  </si>
  <si>
    <t>reduce in diet of large pinnipeds</t>
  </si>
  <si>
    <t>11-18-2011 version</t>
  </si>
  <si>
    <t>added pedigree info from file "NCCprs_FullResAgg_pedigree_11-13-2011.xls"</t>
  </si>
  <si>
    <t>11-13-2012 version</t>
  </si>
  <si>
    <t>modified baleen whale diet; see file "MammalDiet_Update_11-4-2012.xlsx"</t>
  </si>
  <si>
    <t>Apply new fisheries info</t>
  </si>
  <si>
    <t>NCC_IEA1</t>
  </si>
  <si>
    <t>5/31/2013 version</t>
  </si>
  <si>
    <t>re-entered biomass values to be the mean and VC of 1999.5 - 2010.5</t>
  </si>
  <si>
    <t xml:space="preserve">    (Used NCCshelf_Biomass_crosstab_5-31-2013.xls)</t>
  </si>
  <si>
    <t>NCC_IEA2</t>
  </si>
  <si>
    <t>scale up hake biomass</t>
  </si>
  <si>
    <t>(it's the hake fishery that causes imbalance)</t>
  </si>
  <si>
    <t>old</t>
  </si>
  <si>
    <t>NCC_IEA3</t>
  </si>
  <si>
    <t>fix fishery offal</t>
  </si>
  <si>
    <t>(forgaot to assign offal fates of fisheries)</t>
  </si>
  <si>
    <t>fix birds</t>
  </si>
  <si>
    <t>lowered killer whale biomass: reduced assumed fraction of transient/offshore group in NCC slightly (file: Mammal_Biomass_Step1_7-31-2011.xls); put back to same biomass as NCCprs_9</t>
  </si>
  <si>
    <t>NCC_IEA4</t>
  </si>
  <si>
    <t>fix BnthF6: flatfish (small)</t>
  </si>
  <si>
    <t>NCC_IEA5</t>
  </si>
  <si>
    <t>fix BnthF3: benthivorous rockfish</t>
  </si>
  <si>
    <t>NCC_IEA6</t>
  </si>
  <si>
    <t>fix PiscF8: Hexagrammidae (lingcod greenling)</t>
  </si>
  <si>
    <t>SB2: common murre diet</t>
  </si>
  <si>
    <t>PiscMM2: large pinnipeds diet</t>
  </si>
  <si>
    <t>NCC_IEA7</t>
  </si>
  <si>
    <t>PiscMM2: large pinnipeds diets</t>
  </si>
  <si>
    <t>return large pinniped biomass to NCCprs_9 value</t>
  </si>
  <si>
    <t>was</t>
  </si>
  <si>
    <t>NCCprs_9 values</t>
  </si>
  <si>
    <t>cut fishing</t>
  </si>
  <si>
    <t>X100%</t>
  </si>
  <si>
    <t>X50%</t>
  </si>
  <si>
    <t>X10%</t>
  </si>
  <si>
    <t>adjust diets</t>
  </si>
  <si>
    <t>NCC_IEA8</t>
  </si>
  <si>
    <t>fix all small pelagics</t>
  </si>
  <si>
    <t>hake are the main problem</t>
  </si>
  <si>
    <t>adjust diets hake</t>
  </si>
  <si>
    <t>small pelagics</t>
  </si>
  <si>
    <t>NCC_IEA9</t>
  </si>
  <si>
    <t>take detritus out of diets</t>
  </si>
  <si>
    <t>A) adjust diet of</t>
  </si>
  <si>
    <t>hake</t>
  </si>
  <si>
    <t>set to</t>
  </si>
  <si>
    <t>put onto</t>
  </si>
  <si>
    <t>B) adjust diet of</t>
  </si>
  <si>
    <t>C) adjust diet of</t>
  </si>
  <si>
    <t>D) adjust diet of</t>
  </si>
  <si>
    <t>add this</t>
  </si>
  <si>
    <t>E) adjust diet of</t>
  </si>
  <si>
    <t>NCC_IEA10</t>
  </si>
  <si>
    <t>polishng</t>
  </si>
  <si>
    <t>A)</t>
  </si>
  <si>
    <t>pull down tuna biomass to raise EE</t>
  </si>
  <si>
    <t>was 0.3</t>
  </si>
  <si>
    <t>now 0.2</t>
  </si>
  <si>
    <t>B)</t>
  </si>
  <si>
    <t>adjust hake down in diets</t>
  </si>
  <si>
    <t>hake fraction</t>
  </si>
  <si>
    <t>put onto..</t>
  </si>
  <si>
    <t>C)</t>
  </si>
  <si>
    <t>adjust these down in diets</t>
  </si>
  <si>
    <t>WAS</t>
  </si>
  <si>
    <t>NEW</t>
  </si>
  <si>
    <t>NCC_10252013</t>
  </si>
  <si>
    <t>same as NCC_IEA10, but in updated VisualBasic file</t>
  </si>
  <si>
    <t>NCC_07142014</t>
  </si>
  <si>
    <t>increased micro-zoop in diets of meso-zooplankton groups and took from phyto</t>
  </si>
  <si>
    <t>increased EE of micro-zoop to 0.9</t>
  </si>
  <si>
    <t>NCC_01212018_10pp</t>
  </si>
  <si>
    <t>based on NCC_01212018bact2</t>
  </si>
  <si>
    <t>converted to 10pp xlsm format</t>
  </si>
  <si>
    <t>sum salmon</t>
  </si>
  <si>
    <t>original MLZ in diet</t>
  </si>
  <si>
    <t>new MLZ in diet</t>
  </si>
  <si>
    <t>original lrge phyto</t>
  </si>
  <si>
    <t>original small phyto</t>
  </si>
  <si>
    <t>original total phyto</t>
  </si>
  <si>
    <t>proportion large phyto</t>
  </si>
  <si>
    <t>proportion small phyto</t>
  </si>
  <si>
    <t>new total phyto</t>
  </si>
  <si>
    <t>new large phyto</t>
  </si>
  <si>
    <t>new small phyto</t>
  </si>
  <si>
    <t>&lt;-NOTE: fisheries FOLLOW terminal detritus groups</t>
  </si>
  <si>
    <t>&lt;-NOTE: BA &amp; EM at very end</t>
  </si>
  <si>
    <t>&lt;&lt;-QQQ ERROR here in ECOTRAN code, this retention scaler doesn't move with terminal pelagic detritus to end of list; offal was no retention in the ODE as consequence</t>
  </si>
  <si>
    <t>NOTE: fishery discards are defined as "feces"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</si>
</sst>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8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1"/>
      <color rgb="FF000000"/>
      <name val="Calibri"/>
      <family val="2"/>
    </font>
    <font>
      <b/>
      <sz val="10"/>
      <name val="Verdana"/>
      <family val="2"/>
    </font>
    <font>
      <sz val="10"/>
      <color indexed="10"/>
      <name val="Verdana"/>
      <family val="2"/>
    </font>
    <font>
      <sz val="12"/>
      <color rgb="FF000000"/>
      <name val="Calibri"/>
      <family val="2"/>
    </font>
    <font>
      <sz val="12"/>
      <name val="Verdana"/>
      <family val="2"/>
    </font>
    <font>
      <sz val="12"/>
      <name val="Arial"/>
      <family val="2"/>
    </font>
  </fonts>
  <fills count="26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B3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3366FF"/>
        <bgColor rgb="FF000000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E700"/>
        <bgColor indexed="64"/>
      </patternFill>
    </fill>
    <fill>
      <patternFill patternType="solid">
        <fgColor rgb="FFD2FF00"/>
        <bgColor indexed="64"/>
      </patternFill>
    </fill>
    <fill>
      <patternFill patternType="solid">
        <fgColor rgb="FFFF98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FF7D00"/>
        <bgColor indexed="64"/>
      </patternFill>
    </fill>
    <fill>
      <patternFill patternType="solid">
        <fgColor rgb="FFFFBC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FFDB00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FFEB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FFF3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B9FF00"/>
        <bgColor indexed="64"/>
      </patternFill>
    </fill>
    <fill>
      <patternFill patternType="solid">
        <fgColor rgb="FFDE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FFCB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FFDC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  <fill>
      <patternFill patternType="solid">
        <fgColor rgb="FF69B12E"/>
        <bgColor indexed="64"/>
      </patternFill>
    </fill>
    <fill>
      <patternFill patternType="solid">
        <fgColor rgb="FF6C8BD0"/>
        <bgColor indexed="64"/>
      </patternFill>
    </fill>
    <fill>
      <patternFill patternType="solid">
        <fgColor rgb="FF8A6D82"/>
        <bgColor indexed="64"/>
      </patternFill>
    </fill>
    <fill>
      <patternFill patternType="solid">
        <fgColor rgb="FF3A9E7D"/>
        <bgColor indexed="64"/>
      </patternFill>
    </fill>
    <fill>
      <patternFill patternType="solid">
        <fgColor rgb="FFAEE25E"/>
        <bgColor indexed="64"/>
      </patternFill>
    </fill>
    <fill>
      <patternFill patternType="solid">
        <fgColor rgb="FF4D4B26"/>
        <bgColor indexed="64"/>
      </patternFill>
    </fill>
    <fill>
      <patternFill patternType="solid">
        <fgColor rgb="FF873995"/>
        <bgColor indexed="64"/>
      </patternFill>
    </fill>
    <fill>
      <patternFill patternType="solid">
        <fgColor rgb="FF5DDF7A"/>
        <bgColor indexed="64"/>
      </patternFill>
    </fill>
    <fill>
      <patternFill patternType="solid">
        <fgColor rgb="FF31AEBF"/>
        <bgColor indexed="64"/>
      </patternFill>
    </fill>
    <fill>
      <patternFill patternType="solid">
        <fgColor rgb="FF9DC729"/>
        <bgColor indexed="64"/>
      </patternFill>
    </fill>
    <fill>
      <patternFill patternType="solid">
        <fgColor rgb="FFCE34F4"/>
        <bgColor indexed="64"/>
      </patternFill>
    </fill>
    <fill>
      <patternFill patternType="solid">
        <fgColor rgb="FF1110CA"/>
        <bgColor indexed="64"/>
      </patternFill>
    </fill>
    <fill>
      <patternFill patternType="solid">
        <fgColor rgb="FF61761E"/>
        <bgColor indexed="64"/>
      </patternFill>
    </fill>
    <fill>
      <patternFill patternType="solid">
        <fgColor rgb="FF1D2C0C"/>
        <bgColor indexed="64"/>
      </patternFill>
    </fill>
    <fill>
      <patternFill patternType="solid">
        <fgColor rgb="FFB6888F"/>
        <bgColor indexed="64"/>
      </patternFill>
    </fill>
    <fill>
      <patternFill patternType="solid">
        <fgColor rgb="FF3777BE"/>
        <bgColor indexed="64"/>
      </patternFill>
    </fill>
    <fill>
      <patternFill patternType="solid">
        <fgColor rgb="FFC066E6"/>
        <bgColor indexed="64"/>
      </patternFill>
    </fill>
    <fill>
      <patternFill patternType="solid">
        <fgColor rgb="FFBE17A2"/>
        <bgColor indexed="64"/>
      </patternFill>
    </fill>
    <fill>
      <patternFill patternType="solid">
        <fgColor rgb="FFB6046E"/>
        <bgColor indexed="64"/>
      </patternFill>
    </fill>
    <fill>
      <patternFill patternType="solid">
        <fgColor rgb="FF6746FB"/>
        <bgColor indexed="64"/>
      </patternFill>
    </fill>
    <fill>
      <patternFill patternType="solid">
        <fgColor rgb="FFCDB26A"/>
        <bgColor indexed="64"/>
      </patternFill>
    </fill>
    <fill>
      <patternFill patternType="solid">
        <fgColor rgb="FFBB475B"/>
        <bgColor indexed="64"/>
      </patternFill>
    </fill>
    <fill>
      <patternFill patternType="solid">
        <fgColor rgb="FF6FF11F"/>
        <bgColor indexed="64"/>
      </patternFill>
    </fill>
    <fill>
      <patternFill patternType="solid">
        <fgColor rgb="FFA5591B"/>
        <bgColor indexed="64"/>
      </patternFill>
    </fill>
    <fill>
      <patternFill patternType="solid">
        <fgColor rgb="FF2F146E"/>
        <bgColor indexed="64"/>
      </patternFill>
    </fill>
    <fill>
      <patternFill patternType="solid">
        <fgColor rgb="FFF58A7E"/>
        <bgColor indexed="64"/>
      </patternFill>
    </fill>
    <fill>
      <patternFill patternType="solid">
        <fgColor rgb="FFF83861"/>
        <bgColor indexed="64"/>
      </patternFill>
    </fill>
    <fill>
      <patternFill patternType="solid">
        <fgColor rgb="FF654880"/>
        <bgColor indexed="64"/>
      </patternFill>
    </fill>
    <fill>
      <patternFill patternType="solid">
        <fgColor rgb="FF2384F6"/>
        <bgColor indexed="64"/>
      </patternFill>
    </fill>
    <fill>
      <patternFill patternType="solid">
        <fgColor rgb="FF8EE8A8"/>
        <bgColor indexed="64"/>
      </patternFill>
    </fill>
    <fill>
      <patternFill patternType="solid">
        <fgColor rgb="FF70B110"/>
        <bgColor indexed="64"/>
      </patternFill>
    </fill>
    <fill>
      <patternFill patternType="solid">
        <fgColor rgb="FFC1B37F"/>
        <bgColor indexed="64"/>
      </patternFill>
    </fill>
    <fill>
      <patternFill patternType="solid">
        <fgColor rgb="FF283953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</borders>
  <cellStyleXfs count="5110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81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4" borderId="0" xfId="0" applyFill="1"/>
    <xf numFmtId="2" fontId="0" fillId="4" borderId="0" xfId="0" applyNumberForma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0" borderId="0" xfId="0" applyAlignment="1">
      <alignment horizontal="left"/>
    </xf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0" fontId="1" fillId="0" borderId="0" xfId="0" applyFont="1" applyAlignment="1">
      <alignment horizontal="right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0" borderId="0" xfId="0" applyFont="1" applyFill="1"/>
    <xf numFmtId="0" fontId="1" fillId="0" borderId="0" xfId="0" applyFont="1" applyAlignment="1"/>
    <xf numFmtId="0" fontId="1" fillId="0" borderId="0" xfId="0" applyFont="1" applyFill="1" applyAlignment="1"/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5" borderId="2" xfId="0" applyNumberFormat="1" applyFont="1" applyFill="1" applyBorder="1"/>
    <xf numFmtId="0" fontId="10" fillId="0" borderId="0" xfId="0" applyFont="1"/>
    <xf numFmtId="0" fontId="0" fillId="35" borderId="3" xfId="0" applyNumberFormat="1" applyFont="1" applyFill="1" applyBorder="1"/>
    <xf numFmtId="0" fontId="0" fillId="35" borderId="2" xfId="0" applyFont="1" applyFill="1" applyBorder="1"/>
    <xf numFmtId="0" fontId="0" fillId="35" borderId="3" xfId="0" applyFont="1" applyFill="1" applyBorder="1"/>
    <xf numFmtId="0" fontId="0" fillId="35" borderId="4" xfId="0" applyFont="1" applyFill="1" applyBorder="1"/>
    <xf numFmtId="0" fontId="0" fillId="0" borderId="0" xfId="0" applyFont="1" applyBorder="1"/>
    <xf numFmtId="0" fontId="0" fillId="0" borderId="8" xfId="0" applyFont="1" applyBorder="1"/>
    <xf numFmtId="0" fontId="0" fillId="0" borderId="11" xfId="0" applyFont="1" applyBorder="1"/>
    <xf numFmtId="0" fontId="0" fillId="0" borderId="0" xfId="0" applyAlignment="1">
      <alignment horizontal="center"/>
    </xf>
    <xf numFmtId="0" fontId="0" fillId="36" borderId="0" xfId="0" applyFill="1"/>
    <xf numFmtId="0" fontId="0" fillId="37" borderId="0" xfId="0" applyFill="1"/>
    <xf numFmtId="0" fontId="0" fillId="0" borderId="0" xfId="0" applyBorder="1"/>
    <xf numFmtId="0" fontId="9" fillId="36" borderId="0" xfId="0" applyFont="1" applyFill="1"/>
    <xf numFmtId="0" fontId="11" fillId="0" borderId="0" xfId="0" applyFont="1"/>
    <xf numFmtId="0" fontId="0" fillId="39" borderId="0" xfId="0" applyFill="1"/>
    <xf numFmtId="0" fontId="0" fillId="40" borderId="0" xfId="0" applyFill="1"/>
    <xf numFmtId="1" fontId="1" fillId="0" borderId="0" xfId="0" applyNumberFormat="1" applyFont="1"/>
    <xf numFmtId="1" fontId="0" fillId="0" borderId="0" xfId="0" applyNumberFormat="1" applyFont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1" fillId="0" borderId="0" xfId="0" applyFont="1" applyFill="1" applyBorder="1"/>
    <xf numFmtId="0" fontId="4" fillId="0" borderId="0" xfId="0" applyFont="1"/>
    <xf numFmtId="0" fontId="0" fillId="0" borderId="0" xfId="0" applyAlignment="1">
      <alignment wrapText="1"/>
    </xf>
    <xf numFmtId="0" fontId="0" fillId="3" borderId="0" xfId="0" applyFill="1"/>
    <xf numFmtId="0" fontId="13" fillId="0" borderId="0" xfId="0" applyFont="1" applyAlignment="1">
      <alignment horizontal="center"/>
    </xf>
    <xf numFmtId="0" fontId="13" fillId="29" borderId="0" xfId="0" applyFont="1" applyFill="1" applyAlignment="1">
      <alignment horizontal="center"/>
    </xf>
    <xf numFmtId="0" fontId="13" fillId="27" borderId="0" xfId="0" applyFont="1" applyFill="1" applyAlignment="1">
      <alignment horizontal="center"/>
    </xf>
    <xf numFmtId="0" fontId="13" fillId="28" borderId="0" xfId="0" applyFont="1" applyFill="1" applyAlignment="1">
      <alignment horizontal="center"/>
    </xf>
    <xf numFmtId="0" fontId="13" fillId="25" borderId="0" xfId="0" applyFont="1" applyFill="1" applyAlignment="1">
      <alignment horizontal="center"/>
    </xf>
    <xf numFmtId="0" fontId="13" fillId="26" borderId="0" xfId="0" applyFont="1" applyFill="1" applyAlignment="1">
      <alignment horizontal="center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0" fillId="68" borderId="0" xfId="0" applyFill="1" applyAlignment="1">
      <alignment horizontal="center"/>
    </xf>
    <xf numFmtId="0" fontId="0" fillId="38" borderId="13" xfId="0" applyFill="1" applyBorder="1"/>
    <xf numFmtId="0" fontId="0" fillId="38" borderId="14" xfId="0" applyFill="1" applyBorder="1"/>
    <xf numFmtId="0" fontId="0" fillId="69" borderId="5" xfId="0" applyFill="1" applyBorder="1"/>
    <xf numFmtId="0" fontId="0" fillId="69" borderId="6" xfId="0" applyFill="1" applyBorder="1"/>
    <xf numFmtId="0" fontId="0" fillId="69" borderId="7" xfId="0" applyFill="1" applyBorder="1"/>
    <xf numFmtId="0" fontId="0" fillId="69" borderId="8" xfId="0" applyFill="1" applyBorder="1"/>
    <xf numFmtId="0" fontId="0" fillId="69" borderId="9" xfId="0" applyFill="1" applyBorder="1"/>
    <xf numFmtId="0" fontId="0" fillId="69" borderId="11" xfId="0" applyFill="1" applyBorder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0" borderId="9" xfId="0" applyFont="1" applyBorder="1"/>
    <xf numFmtId="0" fontId="0" fillId="0" borderId="10" xfId="0" applyFont="1" applyBorder="1"/>
    <xf numFmtId="0" fontId="1" fillId="0" borderId="13" xfId="0" applyFont="1" applyBorder="1"/>
    <xf numFmtId="0" fontId="1" fillId="0" borderId="16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4" fillId="0" borderId="0" xfId="0" applyFont="1"/>
    <xf numFmtId="0" fontId="7" fillId="0" borderId="0" xfId="0" applyFont="1"/>
    <xf numFmtId="0" fontId="1" fillId="0" borderId="0" xfId="0" applyFont="1" applyFill="1" applyBorder="1" applyAlignment="1"/>
    <xf numFmtId="0" fontId="11" fillId="0" borderId="0" xfId="0" applyFont="1" applyFill="1" applyBorder="1"/>
    <xf numFmtId="0" fontId="0" fillId="92" borderId="0" xfId="0" applyFill="1"/>
    <xf numFmtId="0" fontId="11" fillId="0" borderId="0" xfId="0" applyFont="1" applyFill="1"/>
    <xf numFmtId="2" fontId="1" fillId="0" borderId="0" xfId="0" applyNumberFormat="1" applyFont="1" applyFill="1" applyBorder="1" applyAlignment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11" fillId="0" borderId="0" xfId="0" applyFont="1" applyAlignment="1"/>
    <xf numFmtId="2" fontId="11" fillId="0" borderId="0" xfId="0" applyNumberFormat="1" applyFont="1" applyFill="1" applyBorder="1"/>
    <xf numFmtId="0" fontId="11" fillId="0" borderId="8" xfId="0" applyFont="1" applyBorder="1"/>
    <xf numFmtId="0" fontId="11" fillId="0" borderId="14" xfId="0" applyFont="1" applyBorder="1"/>
    <xf numFmtId="0" fontId="11" fillId="0" borderId="7" xfId="0" applyFont="1" applyBorder="1" applyAlignment="1">
      <alignment horizontal="right"/>
    </xf>
    <xf numFmtId="0" fontId="11" fillId="0" borderId="9" xfId="0" applyFont="1" applyBorder="1" applyAlignment="1">
      <alignment horizontal="right"/>
    </xf>
    <xf numFmtId="0" fontId="11" fillId="0" borderId="11" xfId="0" applyFont="1" applyBorder="1"/>
    <xf numFmtId="0" fontId="11" fillId="0" borderId="7" xfId="0" applyFont="1" applyFill="1" applyBorder="1" applyAlignment="1">
      <alignment horizontal="left"/>
    </xf>
    <xf numFmtId="0" fontId="0" fillId="99" borderId="0" xfId="0" applyFill="1"/>
    <xf numFmtId="0" fontId="0" fillId="100" borderId="0" xfId="0" applyFill="1"/>
    <xf numFmtId="0" fontId="0" fillId="93" borderId="0" xfId="0" applyFill="1"/>
    <xf numFmtId="0" fontId="0" fillId="101" borderId="0" xfId="0" applyFill="1"/>
    <xf numFmtId="0" fontId="0" fillId="102" borderId="0" xfId="0" applyFill="1"/>
    <xf numFmtId="0" fontId="0" fillId="25" borderId="0" xfId="0" applyFill="1"/>
    <xf numFmtId="0" fontId="0" fillId="103" borderId="0" xfId="0" applyFill="1"/>
    <xf numFmtId="0" fontId="0" fillId="2" borderId="0" xfId="0" applyFill="1"/>
    <xf numFmtId="11" fontId="0" fillId="0" borderId="0" xfId="0" applyNumberFormat="1"/>
    <xf numFmtId="0" fontId="15" fillId="104" borderId="0" xfId="0" applyFont="1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0" borderId="5" xfId="0" applyBorder="1"/>
    <xf numFmtId="0" fontId="0" fillId="0" borderId="17" xfId="0" applyBorder="1"/>
    <xf numFmtId="164" fontId="0" fillId="0" borderId="17" xfId="0" applyNumberFormat="1" applyBorder="1"/>
    <xf numFmtId="0" fontId="1" fillId="0" borderId="17" xfId="0" applyFont="1" applyBorder="1"/>
    <xf numFmtId="0" fontId="0" fillId="111" borderId="0" xfId="0" applyFill="1"/>
    <xf numFmtId="164" fontId="0" fillId="0" borderId="6" xfId="0" applyNumberFormat="1" applyBorder="1"/>
    <xf numFmtId="164" fontId="0" fillId="0" borderId="0" xfId="0" applyNumberFormat="1"/>
    <xf numFmtId="164" fontId="0" fillId="0" borderId="8" xfId="0" applyNumberFormat="1" applyBorder="1"/>
    <xf numFmtId="0" fontId="0" fillId="102" borderId="7" xfId="0" applyFill="1" applyBorder="1"/>
    <xf numFmtId="0" fontId="0" fillId="102" borderId="9" xfId="0" applyFill="1" applyBorder="1"/>
    <xf numFmtId="0" fontId="0" fillId="0" borderId="10" xfId="0" applyBorder="1"/>
    <xf numFmtId="164" fontId="0" fillId="0" borderId="11" xfId="0" applyNumberFormat="1" applyBorder="1"/>
    <xf numFmtId="0" fontId="0" fillId="0" borderId="9" xfId="0" applyBorder="1"/>
    <xf numFmtId="164" fontId="0" fillId="0" borderId="10" xfId="0" applyNumberFormat="1" applyBorder="1"/>
    <xf numFmtId="0" fontId="4" fillId="92" borderId="0" xfId="0" applyFont="1" applyFill="1"/>
    <xf numFmtId="0" fontId="4" fillId="26" borderId="0" xfId="0" applyFont="1" applyFill="1"/>
    <xf numFmtId="164" fontId="16" fillId="0" borderId="0" xfId="0" applyNumberFormat="1" applyFont="1"/>
    <xf numFmtId="0" fontId="17" fillId="0" borderId="0" xfId="0" applyFont="1"/>
    <xf numFmtId="164" fontId="11" fillId="92" borderId="0" xfId="0" applyNumberFormat="1" applyFont="1" applyFill="1"/>
    <xf numFmtId="11" fontId="4" fillId="92" borderId="0" xfId="0" applyNumberFormat="1" applyFont="1" applyFill="1"/>
    <xf numFmtId="0" fontId="4" fillId="102" borderId="0" xfId="0" applyFont="1" applyFill="1"/>
    <xf numFmtId="0" fontId="4" fillId="112" borderId="0" xfId="0" applyFont="1" applyFill="1"/>
    <xf numFmtId="11" fontId="4" fillId="0" borderId="0" xfId="0" applyNumberFormat="1" applyFont="1"/>
    <xf numFmtId="11" fontId="4" fillId="102" borderId="0" xfId="0" applyNumberFormat="1" applyFont="1" applyFill="1"/>
    <xf numFmtId="0" fontId="12" fillId="0" borderId="0" xfId="0" applyFont="1" applyAlignment="1">
      <alignment horizontal="center" vertical="center"/>
    </xf>
    <xf numFmtId="0" fontId="12" fillId="67" borderId="15" xfId="0" applyFont="1" applyFill="1" applyBorder="1" applyAlignment="1">
      <alignment horizontal="center" vertical="center"/>
    </xf>
    <xf numFmtId="0" fontId="12" fillId="67" borderId="0" xfId="0" applyFont="1" applyFill="1" applyAlignment="1">
      <alignment horizontal="center" vertical="center"/>
    </xf>
    <xf numFmtId="0" fontId="13" fillId="0" borderId="0" xfId="0" applyFont="1" applyAlignment="1">
      <alignment horizontal="right"/>
    </xf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13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</cellXfs>
  <cellStyles count="511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Followed Hyperlink" xfId="3903" builtinId="9" hidden="1"/>
    <cellStyle name="Followed Hyperlink" xfId="3905" builtinId="9" hidden="1"/>
    <cellStyle name="Followed Hyperlink" xfId="3907" builtinId="9" hidden="1"/>
    <cellStyle name="Followed Hyperlink" xfId="3909" builtinId="9" hidden="1"/>
    <cellStyle name="Followed Hyperlink" xfId="3911" builtinId="9" hidden="1"/>
    <cellStyle name="Followed Hyperlink" xfId="3913" builtinId="9" hidden="1"/>
    <cellStyle name="Followed Hyperlink" xfId="3915" builtinId="9" hidden="1"/>
    <cellStyle name="Followed Hyperlink" xfId="3917" builtinId="9" hidden="1"/>
    <cellStyle name="Followed Hyperlink" xfId="3919" builtinId="9" hidden="1"/>
    <cellStyle name="Followed Hyperlink" xfId="3921" builtinId="9" hidden="1"/>
    <cellStyle name="Followed Hyperlink" xfId="3923" builtinId="9" hidden="1"/>
    <cellStyle name="Followed Hyperlink" xfId="3925" builtinId="9" hidden="1"/>
    <cellStyle name="Followed Hyperlink" xfId="3927" builtinId="9" hidden="1"/>
    <cellStyle name="Followed Hyperlink" xfId="3929" builtinId="9" hidden="1"/>
    <cellStyle name="Followed Hyperlink" xfId="3931" builtinId="9" hidden="1"/>
    <cellStyle name="Followed Hyperlink" xfId="3933" builtinId="9" hidden="1"/>
    <cellStyle name="Followed Hyperlink" xfId="3935" builtinId="9" hidden="1"/>
    <cellStyle name="Followed Hyperlink" xfId="3937" builtinId="9" hidden="1"/>
    <cellStyle name="Followed Hyperlink" xfId="3939" builtinId="9" hidden="1"/>
    <cellStyle name="Followed Hyperlink" xfId="3941" builtinId="9" hidden="1"/>
    <cellStyle name="Followed Hyperlink" xfId="3943" builtinId="9" hidden="1"/>
    <cellStyle name="Followed Hyperlink" xfId="3945" builtinId="9" hidden="1"/>
    <cellStyle name="Followed Hyperlink" xfId="3947" builtinId="9" hidden="1"/>
    <cellStyle name="Followed Hyperlink" xfId="3949" builtinId="9" hidden="1"/>
    <cellStyle name="Followed Hyperlink" xfId="3951" builtinId="9" hidden="1"/>
    <cellStyle name="Followed Hyperlink" xfId="3953" builtinId="9" hidden="1"/>
    <cellStyle name="Followed Hyperlink" xfId="3955" builtinId="9" hidden="1"/>
    <cellStyle name="Followed Hyperlink" xfId="3957" builtinId="9" hidden="1"/>
    <cellStyle name="Followed Hyperlink" xfId="3959" builtinId="9" hidden="1"/>
    <cellStyle name="Followed Hyperlink" xfId="3961" builtinId="9" hidden="1"/>
    <cellStyle name="Followed Hyperlink" xfId="3963" builtinId="9" hidden="1"/>
    <cellStyle name="Followed Hyperlink" xfId="3965" builtinId="9" hidden="1"/>
    <cellStyle name="Followed Hyperlink" xfId="3967" builtinId="9" hidden="1"/>
    <cellStyle name="Followed Hyperlink" xfId="3969" builtinId="9" hidden="1"/>
    <cellStyle name="Followed Hyperlink" xfId="3971" builtinId="9" hidden="1"/>
    <cellStyle name="Followed Hyperlink" xfId="3973" builtinId="9" hidden="1"/>
    <cellStyle name="Followed Hyperlink" xfId="3975" builtinId="9" hidden="1"/>
    <cellStyle name="Followed Hyperlink" xfId="3977" builtinId="9" hidden="1"/>
    <cellStyle name="Followed Hyperlink" xfId="3979" builtinId="9" hidden="1"/>
    <cellStyle name="Followed Hyperlink" xfId="3981" builtinId="9" hidden="1"/>
    <cellStyle name="Followed Hyperlink" xfId="3983" builtinId="9" hidden="1"/>
    <cellStyle name="Followed Hyperlink" xfId="3985" builtinId="9" hidden="1"/>
    <cellStyle name="Followed Hyperlink" xfId="3987" builtinId="9" hidden="1"/>
    <cellStyle name="Followed Hyperlink" xfId="3989" builtinId="9" hidden="1"/>
    <cellStyle name="Followed Hyperlink" xfId="3991" builtinId="9" hidden="1"/>
    <cellStyle name="Followed Hyperlink" xfId="3993" builtinId="9" hidden="1"/>
    <cellStyle name="Followed Hyperlink" xfId="3995" builtinId="9" hidden="1"/>
    <cellStyle name="Followed Hyperlink" xfId="3997" builtinId="9" hidden="1"/>
    <cellStyle name="Followed Hyperlink" xfId="3999" builtinId="9" hidden="1"/>
    <cellStyle name="Followed Hyperlink" xfId="4001" builtinId="9" hidden="1"/>
    <cellStyle name="Followed Hyperlink" xfId="4003" builtinId="9" hidden="1"/>
    <cellStyle name="Followed Hyperlink" xfId="4005" builtinId="9" hidden="1"/>
    <cellStyle name="Followed Hyperlink" xfId="4007" builtinId="9" hidden="1"/>
    <cellStyle name="Followed Hyperlink" xfId="4009" builtinId="9" hidden="1"/>
    <cellStyle name="Followed Hyperlink" xfId="4011" builtinId="9" hidden="1"/>
    <cellStyle name="Followed Hyperlink" xfId="4013" builtinId="9" hidden="1"/>
    <cellStyle name="Followed Hyperlink" xfId="4015" builtinId="9" hidden="1"/>
    <cellStyle name="Followed Hyperlink" xfId="4017" builtinId="9" hidden="1"/>
    <cellStyle name="Followed Hyperlink" xfId="4019" builtinId="9" hidden="1"/>
    <cellStyle name="Followed Hyperlink" xfId="4021" builtinId="9" hidden="1"/>
    <cellStyle name="Followed Hyperlink" xfId="4023" builtinId="9" hidden="1"/>
    <cellStyle name="Followed Hyperlink" xfId="4025" builtinId="9" hidden="1"/>
    <cellStyle name="Followed Hyperlink" xfId="4027" builtinId="9" hidden="1"/>
    <cellStyle name="Followed Hyperlink" xfId="4029" builtinId="9" hidden="1"/>
    <cellStyle name="Followed Hyperlink" xfId="4031" builtinId="9" hidden="1"/>
    <cellStyle name="Followed Hyperlink" xfId="4033" builtinId="9" hidden="1"/>
    <cellStyle name="Followed Hyperlink" xfId="4035" builtinId="9" hidden="1"/>
    <cellStyle name="Followed Hyperlink" xfId="4037" builtinId="9" hidden="1"/>
    <cellStyle name="Followed Hyperlink" xfId="4039" builtinId="9" hidden="1"/>
    <cellStyle name="Followed Hyperlink" xfId="4041" builtinId="9" hidden="1"/>
    <cellStyle name="Followed Hyperlink" xfId="4043" builtinId="9" hidden="1"/>
    <cellStyle name="Followed Hyperlink" xfId="4045" builtinId="9" hidden="1"/>
    <cellStyle name="Followed Hyperlink" xfId="4047" builtinId="9" hidden="1"/>
    <cellStyle name="Followed Hyperlink" xfId="4049" builtinId="9" hidden="1"/>
    <cellStyle name="Followed Hyperlink" xfId="4051" builtinId="9" hidden="1"/>
    <cellStyle name="Followed Hyperlink" xfId="4053" builtinId="9" hidden="1"/>
    <cellStyle name="Followed Hyperlink" xfId="4055" builtinId="9" hidden="1"/>
    <cellStyle name="Followed Hyperlink" xfId="4057" builtinId="9" hidden="1"/>
    <cellStyle name="Followed Hyperlink" xfId="4059" builtinId="9" hidden="1"/>
    <cellStyle name="Followed Hyperlink" xfId="4061" builtinId="9" hidden="1"/>
    <cellStyle name="Followed Hyperlink" xfId="4063" builtinId="9" hidden="1"/>
    <cellStyle name="Followed Hyperlink" xfId="4065" builtinId="9" hidden="1"/>
    <cellStyle name="Followed Hyperlink" xfId="4067" builtinId="9" hidden="1"/>
    <cellStyle name="Followed Hyperlink" xfId="4069" builtinId="9" hidden="1"/>
    <cellStyle name="Followed Hyperlink" xfId="4071" builtinId="9" hidden="1"/>
    <cellStyle name="Followed Hyperlink" xfId="4073" builtinId="9" hidden="1"/>
    <cellStyle name="Followed Hyperlink" xfId="4075" builtinId="9" hidden="1"/>
    <cellStyle name="Followed Hyperlink" xfId="4077" builtinId="9" hidden="1"/>
    <cellStyle name="Followed Hyperlink" xfId="4079" builtinId="9" hidden="1"/>
    <cellStyle name="Followed Hyperlink" xfId="4081" builtinId="9" hidden="1"/>
    <cellStyle name="Followed Hyperlink" xfId="4083" builtinId="9" hidden="1"/>
    <cellStyle name="Followed Hyperlink" xfId="4085" builtinId="9" hidden="1"/>
    <cellStyle name="Followed Hyperlink" xfId="4087" builtinId="9" hidden="1"/>
    <cellStyle name="Followed Hyperlink" xfId="4089" builtinId="9" hidden="1"/>
    <cellStyle name="Followed Hyperlink" xfId="4091" builtinId="9" hidden="1"/>
    <cellStyle name="Followed Hyperlink" xfId="4093" builtinId="9" hidden="1"/>
    <cellStyle name="Followed Hyperlink" xfId="4095" builtinId="9" hidden="1"/>
    <cellStyle name="Followed Hyperlink" xfId="4097" builtinId="9" hidden="1"/>
    <cellStyle name="Followed Hyperlink" xfId="4099" builtinId="9" hidden="1"/>
    <cellStyle name="Followed Hyperlink" xfId="4101" builtinId="9" hidden="1"/>
    <cellStyle name="Followed Hyperlink" xfId="4103" builtinId="9" hidden="1"/>
    <cellStyle name="Followed Hyperlink" xfId="4105" builtinId="9" hidden="1"/>
    <cellStyle name="Followed Hyperlink" xfId="4107" builtinId="9" hidden="1"/>
    <cellStyle name="Followed Hyperlink" xfId="4109" builtinId="9" hidden="1"/>
    <cellStyle name="Followed Hyperlink" xfId="4111" builtinId="9" hidden="1"/>
    <cellStyle name="Followed Hyperlink" xfId="4113" builtinId="9" hidden="1"/>
    <cellStyle name="Followed Hyperlink" xfId="4115" builtinId="9" hidden="1"/>
    <cellStyle name="Followed Hyperlink" xfId="4117" builtinId="9" hidden="1"/>
    <cellStyle name="Followed Hyperlink" xfId="4119" builtinId="9" hidden="1"/>
    <cellStyle name="Followed Hyperlink" xfId="4121" builtinId="9" hidden="1"/>
    <cellStyle name="Followed Hyperlink" xfId="4123" builtinId="9" hidden="1"/>
    <cellStyle name="Followed Hyperlink" xfId="4125" builtinId="9" hidden="1"/>
    <cellStyle name="Followed Hyperlink" xfId="4127" builtinId="9" hidden="1"/>
    <cellStyle name="Followed Hyperlink" xfId="4129" builtinId="9" hidden="1"/>
    <cellStyle name="Followed Hyperlink" xfId="4131" builtinId="9" hidden="1"/>
    <cellStyle name="Followed Hyperlink" xfId="4133" builtinId="9" hidden="1"/>
    <cellStyle name="Followed Hyperlink" xfId="4135" builtinId="9" hidden="1"/>
    <cellStyle name="Followed Hyperlink" xfId="4137" builtinId="9" hidden="1"/>
    <cellStyle name="Followed Hyperlink" xfId="4139" builtinId="9" hidden="1"/>
    <cellStyle name="Followed Hyperlink" xfId="4141" builtinId="9" hidden="1"/>
    <cellStyle name="Followed Hyperlink" xfId="4143" builtinId="9" hidden="1"/>
    <cellStyle name="Followed Hyperlink" xfId="4145" builtinId="9" hidden="1"/>
    <cellStyle name="Followed Hyperlink" xfId="4147" builtinId="9" hidden="1"/>
    <cellStyle name="Followed Hyperlink" xfId="4149" builtinId="9" hidden="1"/>
    <cellStyle name="Followed Hyperlink" xfId="4151" builtinId="9" hidden="1"/>
    <cellStyle name="Followed Hyperlink" xfId="4153" builtinId="9" hidden="1"/>
    <cellStyle name="Followed Hyperlink" xfId="4155" builtinId="9" hidden="1"/>
    <cellStyle name="Followed Hyperlink" xfId="4157" builtinId="9" hidden="1"/>
    <cellStyle name="Followed Hyperlink" xfId="4159" builtinId="9" hidden="1"/>
    <cellStyle name="Followed Hyperlink" xfId="4161" builtinId="9" hidden="1"/>
    <cellStyle name="Followed Hyperlink" xfId="4163" builtinId="9" hidden="1"/>
    <cellStyle name="Followed Hyperlink" xfId="4165" builtinId="9" hidden="1"/>
    <cellStyle name="Followed Hyperlink" xfId="4167" builtinId="9" hidden="1"/>
    <cellStyle name="Followed Hyperlink" xfId="4169" builtinId="9" hidden="1"/>
    <cellStyle name="Followed Hyperlink" xfId="4171" builtinId="9" hidden="1"/>
    <cellStyle name="Followed Hyperlink" xfId="4173" builtinId="9" hidden="1"/>
    <cellStyle name="Followed Hyperlink" xfId="4175" builtinId="9" hidden="1"/>
    <cellStyle name="Followed Hyperlink" xfId="4177" builtinId="9" hidden="1"/>
    <cellStyle name="Followed Hyperlink" xfId="4179" builtinId="9" hidden="1"/>
    <cellStyle name="Followed Hyperlink" xfId="4181" builtinId="9" hidden="1"/>
    <cellStyle name="Followed Hyperlink" xfId="4183" builtinId="9" hidden="1"/>
    <cellStyle name="Followed Hyperlink" xfId="4185" builtinId="9" hidden="1"/>
    <cellStyle name="Followed Hyperlink" xfId="4187" builtinId="9" hidden="1"/>
    <cellStyle name="Followed Hyperlink" xfId="4189" builtinId="9" hidden="1"/>
    <cellStyle name="Followed Hyperlink" xfId="4191" builtinId="9" hidden="1"/>
    <cellStyle name="Followed Hyperlink" xfId="4193" builtinId="9" hidden="1"/>
    <cellStyle name="Followed Hyperlink" xfId="4195" builtinId="9" hidden="1"/>
    <cellStyle name="Followed Hyperlink" xfId="4197" builtinId="9" hidden="1"/>
    <cellStyle name="Followed Hyperlink" xfId="4199" builtinId="9" hidden="1"/>
    <cellStyle name="Followed Hyperlink" xfId="4201" builtinId="9" hidden="1"/>
    <cellStyle name="Followed Hyperlink" xfId="4203" builtinId="9" hidden="1"/>
    <cellStyle name="Followed Hyperlink" xfId="4205" builtinId="9" hidden="1"/>
    <cellStyle name="Followed Hyperlink" xfId="4207" builtinId="9" hidden="1"/>
    <cellStyle name="Followed Hyperlink" xfId="4209" builtinId="9" hidden="1"/>
    <cellStyle name="Followed Hyperlink" xfId="4211" builtinId="9" hidden="1"/>
    <cellStyle name="Followed Hyperlink" xfId="4213" builtinId="9" hidden="1"/>
    <cellStyle name="Followed Hyperlink" xfId="4215" builtinId="9" hidden="1"/>
    <cellStyle name="Followed Hyperlink" xfId="4217" builtinId="9" hidden="1"/>
    <cellStyle name="Followed Hyperlink" xfId="4219" builtinId="9" hidden="1"/>
    <cellStyle name="Followed Hyperlink" xfId="4221" builtinId="9" hidden="1"/>
    <cellStyle name="Followed Hyperlink" xfId="4223" builtinId="9" hidden="1"/>
    <cellStyle name="Followed Hyperlink" xfId="4225" builtinId="9" hidden="1"/>
    <cellStyle name="Followed Hyperlink" xfId="4227" builtinId="9" hidden="1"/>
    <cellStyle name="Followed Hyperlink" xfId="4229" builtinId="9" hidden="1"/>
    <cellStyle name="Followed Hyperlink" xfId="4231" builtinId="9" hidden="1"/>
    <cellStyle name="Followed Hyperlink" xfId="4233" builtinId="9" hidden="1"/>
    <cellStyle name="Followed Hyperlink" xfId="4235" builtinId="9" hidden="1"/>
    <cellStyle name="Followed Hyperlink" xfId="4237" builtinId="9" hidden="1"/>
    <cellStyle name="Followed Hyperlink" xfId="4239" builtinId="9" hidden="1"/>
    <cellStyle name="Followed Hyperlink" xfId="4241" builtinId="9" hidden="1"/>
    <cellStyle name="Followed Hyperlink" xfId="4243" builtinId="9" hidden="1"/>
    <cellStyle name="Followed Hyperlink" xfId="4245" builtinId="9" hidden="1"/>
    <cellStyle name="Followed Hyperlink" xfId="4247" builtinId="9" hidden="1"/>
    <cellStyle name="Followed Hyperlink" xfId="4249" builtinId="9" hidden="1"/>
    <cellStyle name="Followed Hyperlink" xfId="4251" builtinId="9" hidden="1"/>
    <cellStyle name="Followed Hyperlink" xfId="4253" builtinId="9" hidden="1"/>
    <cellStyle name="Followed Hyperlink" xfId="4255" builtinId="9" hidden="1"/>
    <cellStyle name="Followed Hyperlink" xfId="4257" builtinId="9" hidden="1"/>
    <cellStyle name="Followed Hyperlink" xfId="4259" builtinId="9" hidden="1"/>
    <cellStyle name="Followed Hyperlink" xfId="4261" builtinId="9" hidden="1"/>
    <cellStyle name="Followed Hyperlink" xfId="4263" builtinId="9" hidden="1"/>
    <cellStyle name="Followed Hyperlink" xfId="4265" builtinId="9" hidden="1"/>
    <cellStyle name="Followed Hyperlink" xfId="4267" builtinId="9" hidden="1"/>
    <cellStyle name="Followed Hyperlink" xfId="4269" builtinId="9" hidden="1"/>
    <cellStyle name="Followed Hyperlink" xfId="4271" builtinId="9" hidden="1"/>
    <cellStyle name="Followed Hyperlink" xfId="4273" builtinId="9" hidden="1"/>
    <cellStyle name="Followed Hyperlink" xfId="4275" builtinId="9" hidden="1"/>
    <cellStyle name="Followed Hyperlink" xfId="4277" builtinId="9" hidden="1"/>
    <cellStyle name="Followed Hyperlink" xfId="4279" builtinId="9" hidden="1"/>
    <cellStyle name="Followed Hyperlink" xfId="4281" builtinId="9" hidden="1"/>
    <cellStyle name="Followed Hyperlink" xfId="4283" builtinId="9" hidden="1"/>
    <cellStyle name="Followed Hyperlink" xfId="4285" builtinId="9" hidden="1"/>
    <cellStyle name="Followed Hyperlink" xfId="4287" builtinId="9" hidden="1"/>
    <cellStyle name="Followed Hyperlink" xfId="4289" builtinId="9" hidden="1"/>
    <cellStyle name="Followed Hyperlink" xfId="4291" builtinId="9" hidden="1"/>
    <cellStyle name="Followed Hyperlink" xfId="4293" builtinId="9" hidden="1"/>
    <cellStyle name="Followed Hyperlink" xfId="4295" builtinId="9" hidden="1"/>
    <cellStyle name="Followed Hyperlink" xfId="4297" builtinId="9" hidden="1"/>
    <cellStyle name="Followed Hyperlink" xfId="4299" builtinId="9" hidden="1"/>
    <cellStyle name="Followed Hyperlink" xfId="4301" builtinId="9" hidden="1"/>
    <cellStyle name="Followed Hyperlink" xfId="4303" builtinId="9" hidden="1"/>
    <cellStyle name="Followed Hyperlink" xfId="4305" builtinId="9" hidden="1"/>
    <cellStyle name="Followed Hyperlink" xfId="4307" builtinId="9" hidden="1"/>
    <cellStyle name="Followed Hyperlink" xfId="4309" builtinId="9" hidden="1"/>
    <cellStyle name="Followed Hyperlink" xfId="4311" builtinId="9" hidden="1"/>
    <cellStyle name="Followed Hyperlink" xfId="4313" builtinId="9" hidden="1"/>
    <cellStyle name="Followed Hyperlink" xfId="4315" builtinId="9" hidden="1"/>
    <cellStyle name="Followed Hyperlink" xfId="4317" builtinId="9" hidden="1"/>
    <cellStyle name="Followed Hyperlink" xfId="4319" builtinId="9" hidden="1"/>
    <cellStyle name="Followed Hyperlink" xfId="4321" builtinId="9" hidden="1"/>
    <cellStyle name="Followed Hyperlink" xfId="4323" builtinId="9" hidden="1"/>
    <cellStyle name="Followed Hyperlink" xfId="4325" builtinId="9" hidden="1"/>
    <cellStyle name="Followed Hyperlink" xfId="4327" builtinId="9" hidden="1"/>
    <cellStyle name="Followed Hyperlink" xfId="4329" builtinId="9" hidden="1"/>
    <cellStyle name="Followed Hyperlink" xfId="4331" builtinId="9" hidden="1"/>
    <cellStyle name="Followed Hyperlink" xfId="4333" builtinId="9" hidden="1"/>
    <cellStyle name="Followed Hyperlink" xfId="4335" builtinId="9" hidden="1"/>
    <cellStyle name="Followed Hyperlink" xfId="4337" builtinId="9" hidden="1"/>
    <cellStyle name="Followed Hyperlink" xfId="4339" builtinId="9" hidden="1"/>
    <cellStyle name="Followed Hyperlink" xfId="4341" builtinId="9" hidden="1"/>
    <cellStyle name="Followed Hyperlink" xfId="4343" builtinId="9" hidden="1"/>
    <cellStyle name="Followed Hyperlink" xfId="4345" builtinId="9" hidden="1"/>
    <cellStyle name="Followed Hyperlink" xfId="4347" builtinId="9" hidden="1"/>
    <cellStyle name="Followed Hyperlink" xfId="4349" builtinId="9" hidden="1"/>
    <cellStyle name="Followed Hyperlink" xfId="4351" builtinId="9" hidden="1"/>
    <cellStyle name="Followed Hyperlink" xfId="4353" builtinId="9" hidden="1"/>
    <cellStyle name="Followed Hyperlink" xfId="4355" builtinId="9" hidden="1"/>
    <cellStyle name="Followed Hyperlink" xfId="4357" builtinId="9" hidden="1"/>
    <cellStyle name="Followed Hyperlink" xfId="4359" builtinId="9" hidden="1"/>
    <cellStyle name="Followed Hyperlink" xfId="4361" builtinId="9" hidden="1"/>
    <cellStyle name="Followed Hyperlink" xfId="4363" builtinId="9" hidden="1"/>
    <cellStyle name="Followed Hyperlink" xfId="4365" builtinId="9" hidden="1"/>
    <cellStyle name="Followed Hyperlink" xfId="4367" builtinId="9" hidden="1"/>
    <cellStyle name="Followed Hyperlink" xfId="4369" builtinId="9" hidden="1"/>
    <cellStyle name="Followed Hyperlink" xfId="4371" builtinId="9" hidden="1"/>
    <cellStyle name="Followed Hyperlink" xfId="4373" builtinId="9" hidden="1"/>
    <cellStyle name="Followed Hyperlink" xfId="4375" builtinId="9" hidden="1"/>
    <cellStyle name="Followed Hyperlink" xfId="4377" builtinId="9" hidden="1"/>
    <cellStyle name="Followed Hyperlink" xfId="4379" builtinId="9" hidden="1"/>
    <cellStyle name="Followed Hyperlink" xfId="4381" builtinId="9" hidden="1"/>
    <cellStyle name="Followed Hyperlink" xfId="4383" builtinId="9" hidden="1"/>
    <cellStyle name="Followed Hyperlink" xfId="4385" builtinId="9" hidden="1"/>
    <cellStyle name="Followed Hyperlink" xfId="4387" builtinId="9" hidden="1"/>
    <cellStyle name="Followed Hyperlink" xfId="4389" builtinId="9" hidden="1"/>
    <cellStyle name="Followed Hyperlink" xfId="4391" builtinId="9" hidden="1"/>
    <cellStyle name="Followed Hyperlink" xfId="4393" builtinId="9" hidden="1"/>
    <cellStyle name="Followed Hyperlink" xfId="4395" builtinId="9" hidden="1"/>
    <cellStyle name="Followed Hyperlink" xfId="4397" builtinId="9" hidden="1"/>
    <cellStyle name="Followed Hyperlink" xfId="4399" builtinId="9" hidden="1"/>
    <cellStyle name="Followed Hyperlink" xfId="4401" builtinId="9" hidden="1"/>
    <cellStyle name="Followed Hyperlink" xfId="4403" builtinId="9" hidden="1"/>
    <cellStyle name="Followed Hyperlink" xfId="4405" builtinId="9" hidden="1"/>
    <cellStyle name="Followed Hyperlink" xfId="4407" builtinId="9" hidden="1"/>
    <cellStyle name="Followed Hyperlink" xfId="4409" builtinId="9" hidden="1"/>
    <cellStyle name="Followed Hyperlink" xfId="4411" builtinId="9" hidden="1"/>
    <cellStyle name="Followed Hyperlink" xfId="4413" builtinId="9" hidden="1"/>
    <cellStyle name="Followed Hyperlink" xfId="4415" builtinId="9" hidden="1"/>
    <cellStyle name="Followed Hyperlink" xfId="4417" builtinId="9" hidden="1"/>
    <cellStyle name="Followed Hyperlink" xfId="4419" builtinId="9" hidden="1"/>
    <cellStyle name="Followed Hyperlink" xfId="4421" builtinId="9" hidden="1"/>
    <cellStyle name="Followed Hyperlink" xfId="4423" builtinId="9" hidden="1"/>
    <cellStyle name="Followed Hyperlink" xfId="4425" builtinId="9" hidden="1"/>
    <cellStyle name="Followed Hyperlink" xfId="4427" builtinId="9" hidden="1"/>
    <cellStyle name="Followed Hyperlink" xfId="4429" builtinId="9" hidden="1"/>
    <cellStyle name="Followed Hyperlink" xfId="4431" builtinId="9" hidden="1"/>
    <cellStyle name="Followed Hyperlink" xfId="4433" builtinId="9" hidden="1"/>
    <cellStyle name="Followed Hyperlink" xfId="4435" builtinId="9" hidden="1"/>
    <cellStyle name="Followed Hyperlink" xfId="4437" builtinId="9" hidden="1"/>
    <cellStyle name="Followed Hyperlink" xfId="4439" builtinId="9" hidden="1"/>
    <cellStyle name="Followed Hyperlink" xfId="4441" builtinId="9" hidden="1"/>
    <cellStyle name="Followed Hyperlink" xfId="4443" builtinId="9" hidden="1"/>
    <cellStyle name="Followed Hyperlink" xfId="4445" builtinId="9" hidden="1"/>
    <cellStyle name="Followed Hyperlink" xfId="4447" builtinId="9" hidden="1"/>
    <cellStyle name="Followed Hyperlink" xfId="4449" builtinId="9" hidden="1"/>
    <cellStyle name="Followed Hyperlink" xfId="4451" builtinId="9" hidden="1"/>
    <cellStyle name="Followed Hyperlink" xfId="4453" builtinId="9" hidden="1"/>
    <cellStyle name="Followed Hyperlink" xfId="4455" builtinId="9" hidden="1"/>
    <cellStyle name="Followed Hyperlink" xfId="4457" builtinId="9" hidden="1"/>
    <cellStyle name="Followed Hyperlink" xfId="4459" builtinId="9" hidden="1"/>
    <cellStyle name="Followed Hyperlink" xfId="4461" builtinId="9" hidden="1"/>
    <cellStyle name="Followed Hyperlink" xfId="4463" builtinId="9" hidden="1"/>
    <cellStyle name="Followed Hyperlink" xfId="4465" builtinId="9" hidden="1"/>
    <cellStyle name="Followed Hyperlink" xfId="4467" builtinId="9" hidden="1"/>
    <cellStyle name="Followed Hyperlink" xfId="4469" builtinId="9" hidden="1"/>
    <cellStyle name="Followed Hyperlink" xfId="4471" builtinId="9" hidden="1"/>
    <cellStyle name="Followed Hyperlink" xfId="4473" builtinId="9" hidden="1"/>
    <cellStyle name="Followed Hyperlink" xfId="4475" builtinId="9" hidden="1"/>
    <cellStyle name="Followed Hyperlink" xfId="4477" builtinId="9" hidden="1"/>
    <cellStyle name="Followed Hyperlink" xfId="4479" builtinId="9" hidden="1"/>
    <cellStyle name="Followed Hyperlink" xfId="4481" builtinId="9" hidden="1"/>
    <cellStyle name="Followed Hyperlink" xfId="4483" builtinId="9" hidden="1"/>
    <cellStyle name="Followed Hyperlink" xfId="4485" builtinId="9" hidden="1"/>
    <cellStyle name="Followed Hyperlink" xfId="4487" builtinId="9" hidden="1"/>
    <cellStyle name="Followed Hyperlink" xfId="4489" builtinId="9" hidden="1"/>
    <cellStyle name="Followed Hyperlink" xfId="4491" builtinId="9" hidden="1"/>
    <cellStyle name="Followed Hyperlink" xfId="4493" builtinId="9" hidden="1"/>
    <cellStyle name="Followed Hyperlink" xfId="4495" builtinId="9" hidden="1"/>
    <cellStyle name="Followed Hyperlink" xfId="4497" builtinId="9" hidden="1"/>
    <cellStyle name="Followed Hyperlink" xfId="4499" builtinId="9" hidden="1"/>
    <cellStyle name="Followed Hyperlink" xfId="4501" builtinId="9" hidden="1"/>
    <cellStyle name="Followed Hyperlink" xfId="4503" builtinId="9" hidden="1"/>
    <cellStyle name="Followed Hyperlink" xfId="4505" builtinId="9" hidden="1"/>
    <cellStyle name="Followed Hyperlink" xfId="4507" builtinId="9" hidden="1"/>
    <cellStyle name="Followed Hyperlink" xfId="4509" builtinId="9" hidden="1"/>
    <cellStyle name="Followed Hyperlink" xfId="4511" builtinId="9" hidden="1"/>
    <cellStyle name="Followed Hyperlink" xfId="4513" builtinId="9" hidden="1"/>
    <cellStyle name="Followed Hyperlink" xfId="4515" builtinId="9" hidden="1"/>
    <cellStyle name="Followed Hyperlink" xfId="4517" builtinId="9" hidden="1"/>
    <cellStyle name="Followed Hyperlink" xfId="4519" builtinId="9" hidden="1"/>
    <cellStyle name="Followed Hyperlink" xfId="4521" builtinId="9" hidden="1"/>
    <cellStyle name="Followed Hyperlink" xfId="4523" builtinId="9" hidden="1"/>
    <cellStyle name="Followed Hyperlink" xfId="4525" builtinId="9" hidden="1"/>
    <cellStyle name="Followed Hyperlink" xfId="4527" builtinId="9" hidden="1"/>
    <cellStyle name="Followed Hyperlink" xfId="4529" builtinId="9" hidden="1"/>
    <cellStyle name="Followed Hyperlink" xfId="4531" builtinId="9" hidden="1"/>
    <cellStyle name="Followed Hyperlink" xfId="4533" builtinId="9" hidden="1"/>
    <cellStyle name="Followed Hyperlink" xfId="4535" builtinId="9" hidden="1"/>
    <cellStyle name="Followed Hyperlink" xfId="4537" builtinId="9" hidden="1"/>
    <cellStyle name="Followed Hyperlink" xfId="4539" builtinId="9" hidden="1"/>
    <cellStyle name="Followed Hyperlink" xfId="4541" builtinId="9" hidden="1"/>
    <cellStyle name="Followed Hyperlink" xfId="4543" builtinId="9" hidden="1"/>
    <cellStyle name="Followed Hyperlink" xfId="4545" builtinId="9" hidden="1"/>
    <cellStyle name="Followed Hyperlink" xfId="4547" builtinId="9" hidden="1"/>
    <cellStyle name="Followed Hyperlink" xfId="4549" builtinId="9" hidden="1"/>
    <cellStyle name="Followed Hyperlink" xfId="4551" builtinId="9" hidden="1"/>
    <cellStyle name="Followed Hyperlink" xfId="4553" builtinId="9" hidden="1"/>
    <cellStyle name="Followed Hyperlink" xfId="4555" builtinId="9" hidden="1"/>
    <cellStyle name="Followed Hyperlink" xfId="4557" builtinId="9" hidden="1"/>
    <cellStyle name="Followed Hyperlink" xfId="4559" builtinId="9" hidden="1"/>
    <cellStyle name="Followed Hyperlink" xfId="4561" builtinId="9" hidden="1"/>
    <cellStyle name="Followed Hyperlink" xfId="4563" builtinId="9" hidden="1"/>
    <cellStyle name="Followed Hyperlink" xfId="4565" builtinId="9" hidden="1"/>
    <cellStyle name="Followed Hyperlink" xfId="4567" builtinId="9" hidden="1"/>
    <cellStyle name="Followed Hyperlink" xfId="4569" builtinId="9" hidden="1"/>
    <cellStyle name="Followed Hyperlink" xfId="4571" builtinId="9" hidden="1"/>
    <cellStyle name="Followed Hyperlink" xfId="4573" builtinId="9" hidden="1"/>
    <cellStyle name="Followed Hyperlink" xfId="4575" builtinId="9" hidden="1"/>
    <cellStyle name="Followed Hyperlink" xfId="4577" builtinId="9" hidden="1"/>
    <cellStyle name="Followed Hyperlink" xfId="4579" builtinId="9" hidden="1"/>
    <cellStyle name="Followed Hyperlink" xfId="4581" builtinId="9" hidden="1"/>
    <cellStyle name="Followed Hyperlink" xfId="4583" builtinId="9" hidden="1"/>
    <cellStyle name="Followed Hyperlink" xfId="4585" builtinId="9" hidden="1"/>
    <cellStyle name="Followed Hyperlink" xfId="4587" builtinId="9" hidden="1"/>
    <cellStyle name="Followed Hyperlink" xfId="4589" builtinId="9" hidden="1"/>
    <cellStyle name="Followed Hyperlink" xfId="4591" builtinId="9" hidden="1"/>
    <cellStyle name="Followed Hyperlink" xfId="4593" builtinId="9" hidden="1"/>
    <cellStyle name="Followed Hyperlink" xfId="4595" builtinId="9" hidden="1"/>
    <cellStyle name="Followed Hyperlink" xfId="4597" builtinId="9" hidden="1"/>
    <cellStyle name="Followed Hyperlink" xfId="4599" builtinId="9" hidden="1"/>
    <cellStyle name="Followed Hyperlink" xfId="4601" builtinId="9" hidden="1"/>
    <cellStyle name="Followed Hyperlink" xfId="4603" builtinId="9" hidden="1"/>
    <cellStyle name="Followed Hyperlink" xfId="4605" builtinId="9" hidden="1"/>
    <cellStyle name="Followed Hyperlink" xfId="4607" builtinId="9" hidden="1"/>
    <cellStyle name="Followed Hyperlink" xfId="4609" builtinId="9" hidden="1"/>
    <cellStyle name="Followed Hyperlink" xfId="4611" builtinId="9" hidden="1"/>
    <cellStyle name="Followed Hyperlink" xfId="4613" builtinId="9" hidden="1"/>
    <cellStyle name="Followed Hyperlink" xfId="4615" builtinId="9" hidden="1"/>
    <cellStyle name="Followed Hyperlink" xfId="4617" builtinId="9" hidden="1"/>
    <cellStyle name="Followed Hyperlink" xfId="4619" builtinId="9" hidden="1"/>
    <cellStyle name="Followed Hyperlink" xfId="4621" builtinId="9" hidden="1"/>
    <cellStyle name="Followed Hyperlink" xfId="4623" builtinId="9" hidden="1"/>
    <cellStyle name="Followed Hyperlink" xfId="4625" builtinId="9" hidden="1"/>
    <cellStyle name="Followed Hyperlink" xfId="4627" builtinId="9" hidden="1"/>
    <cellStyle name="Followed Hyperlink" xfId="4629" builtinId="9" hidden="1"/>
    <cellStyle name="Followed Hyperlink" xfId="4631" builtinId="9" hidden="1"/>
    <cellStyle name="Followed Hyperlink" xfId="4633" builtinId="9" hidden="1"/>
    <cellStyle name="Followed Hyperlink" xfId="4635" builtinId="9" hidden="1"/>
    <cellStyle name="Followed Hyperlink" xfId="4637" builtinId="9" hidden="1"/>
    <cellStyle name="Followed Hyperlink" xfId="4639" builtinId="9" hidden="1"/>
    <cellStyle name="Followed Hyperlink" xfId="4641" builtinId="9" hidden="1"/>
    <cellStyle name="Followed Hyperlink" xfId="4643" builtinId="9" hidden="1"/>
    <cellStyle name="Followed Hyperlink" xfId="4645" builtinId="9" hidden="1"/>
    <cellStyle name="Followed Hyperlink" xfId="4647" builtinId="9" hidden="1"/>
    <cellStyle name="Followed Hyperlink" xfId="4649" builtinId="9" hidden="1"/>
    <cellStyle name="Followed Hyperlink" xfId="4651" builtinId="9" hidden="1"/>
    <cellStyle name="Followed Hyperlink" xfId="4653" builtinId="9" hidden="1"/>
    <cellStyle name="Followed Hyperlink" xfId="4655" builtinId="9" hidden="1"/>
    <cellStyle name="Followed Hyperlink" xfId="4657" builtinId="9" hidden="1"/>
    <cellStyle name="Followed Hyperlink" xfId="4659" builtinId="9" hidden="1"/>
    <cellStyle name="Followed Hyperlink" xfId="4661" builtinId="9" hidden="1"/>
    <cellStyle name="Followed Hyperlink" xfId="4663" builtinId="9" hidden="1"/>
    <cellStyle name="Followed Hyperlink" xfId="4665" builtinId="9" hidden="1"/>
    <cellStyle name="Followed Hyperlink" xfId="4667" builtinId="9" hidden="1"/>
    <cellStyle name="Followed Hyperlink" xfId="4669" builtinId="9" hidden="1"/>
    <cellStyle name="Followed Hyperlink" xfId="4671" builtinId="9" hidden="1"/>
    <cellStyle name="Followed Hyperlink" xfId="4673" builtinId="9" hidden="1"/>
    <cellStyle name="Followed Hyperlink" xfId="4675" builtinId="9" hidden="1"/>
    <cellStyle name="Followed Hyperlink" xfId="4677" builtinId="9" hidden="1"/>
    <cellStyle name="Followed Hyperlink" xfId="4679" builtinId="9" hidden="1"/>
    <cellStyle name="Followed Hyperlink" xfId="4681" builtinId="9" hidden="1"/>
    <cellStyle name="Followed Hyperlink" xfId="4683" builtinId="9" hidden="1"/>
    <cellStyle name="Followed Hyperlink" xfId="4685" builtinId="9" hidden="1"/>
    <cellStyle name="Followed Hyperlink" xfId="4687" builtinId="9" hidden="1"/>
    <cellStyle name="Followed Hyperlink" xfId="4689" builtinId="9" hidden="1"/>
    <cellStyle name="Followed Hyperlink" xfId="4691" builtinId="9" hidden="1"/>
    <cellStyle name="Followed Hyperlink" xfId="4693" builtinId="9" hidden="1"/>
    <cellStyle name="Followed Hyperlink" xfId="4695" builtinId="9" hidden="1"/>
    <cellStyle name="Followed Hyperlink" xfId="4697" builtinId="9" hidden="1"/>
    <cellStyle name="Followed Hyperlink" xfId="4699" builtinId="9" hidden="1"/>
    <cellStyle name="Followed Hyperlink" xfId="4701" builtinId="9" hidden="1"/>
    <cellStyle name="Followed Hyperlink" xfId="4703" builtinId="9" hidden="1"/>
    <cellStyle name="Followed Hyperlink" xfId="4705" builtinId="9" hidden="1"/>
    <cellStyle name="Followed Hyperlink" xfId="4707" builtinId="9" hidden="1"/>
    <cellStyle name="Followed Hyperlink" xfId="4709" builtinId="9" hidden="1"/>
    <cellStyle name="Followed Hyperlink" xfId="4711" builtinId="9" hidden="1"/>
    <cellStyle name="Followed Hyperlink" xfId="4713" builtinId="9" hidden="1"/>
    <cellStyle name="Followed Hyperlink" xfId="4715" builtinId="9" hidden="1"/>
    <cellStyle name="Followed Hyperlink" xfId="4717" builtinId="9" hidden="1"/>
    <cellStyle name="Followed Hyperlink" xfId="4719" builtinId="9" hidden="1"/>
    <cellStyle name="Followed Hyperlink" xfId="4721" builtinId="9" hidden="1"/>
    <cellStyle name="Followed Hyperlink" xfId="4723" builtinId="9" hidden="1"/>
    <cellStyle name="Followed Hyperlink" xfId="4725" builtinId="9" hidden="1"/>
    <cellStyle name="Followed Hyperlink" xfId="4727" builtinId="9" hidden="1"/>
    <cellStyle name="Followed Hyperlink" xfId="4729" builtinId="9" hidden="1"/>
    <cellStyle name="Followed Hyperlink" xfId="4731" builtinId="9" hidden="1"/>
    <cellStyle name="Followed Hyperlink" xfId="4733" builtinId="9" hidden="1"/>
    <cellStyle name="Followed Hyperlink" xfId="4735" builtinId="9" hidden="1"/>
    <cellStyle name="Followed Hyperlink" xfId="4737" builtinId="9" hidden="1"/>
    <cellStyle name="Followed Hyperlink" xfId="4739" builtinId="9" hidden="1"/>
    <cellStyle name="Followed Hyperlink" xfId="4741" builtinId="9" hidden="1"/>
    <cellStyle name="Followed Hyperlink" xfId="4743" builtinId="9" hidden="1"/>
    <cellStyle name="Followed Hyperlink" xfId="4745" builtinId="9" hidden="1"/>
    <cellStyle name="Followed Hyperlink" xfId="4747" builtinId="9" hidden="1"/>
    <cellStyle name="Followed Hyperlink" xfId="4749" builtinId="9" hidden="1"/>
    <cellStyle name="Followed Hyperlink" xfId="4751" builtinId="9" hidden="1"/>
    <cellStyle name="Followed Hyperlink" xfId="4753" builtinId="9" hidden="1"/>
    <cellStyle name="Followed Hyperlink" xfId="4755" builtinId="9" hidden="1"/>
    <cellStyle name="Followed Hyperlink" xfId="4757" builtinId="9" hidden="1"/>
    <cellStyle name="Followed Hyperlink" xfId="4759" builtinId="9" hidden="1"/>
    <cellStyle name="Followed Hyperlink" xfId="4761" builtinId="9" hidden="1"/>
    <cellStyle name="Followed Hyperlink" xfId="4763" builtinId="9" hidden="1"/>
    <cellStyle name="Followed Hyperlink" xfId="4765" builtinId="9" hidden="1"/>
    <cellStyle name="Followed Hyperlink" xfId="4767" builtinId="9" hidden="1"/>
    <cellStyle name="Followed Hyperlink" xfId="4769" builtinId="9" hidden="1"/>
    <cellStyle name="Followed Hyperlink" xfId="4771" builtinId="9" hidden="1"/>
    <cellStyle name="Followed Hyperlink" xfId="4773" builtinId="9" hidden="1"/>
    <cellStyle name="Followed Hyperlink" xfId="4775" builtinId="9" hidden="1"/>
    <cellStyle name="Followed Hyperlink" xfId="4777" builtinId="9" hidden="1"/>
    <cellStyle name="Followed Hyperlink" xfId="4779" builtinId="9" hidden="1"/>
    <cellStyle name="Followed Hyperlink" xfId="4781" builtinId="9" hidden="1"/>
    <cellStyle name="Followed Hyperlink" xfId="4783" builtinId="9" hidden="1"/>
    <cellStyle name="Followed Hyperlink" xfId="4785" builtinId="9" hidden="1"/>
    <cellStyle name="Followed Hyperlink" xfId="4787" builtinId="9" hidden="1"/>
    <cellStyle name="Followed Hyperlink" xfId="4789" builtinId="9" hidden="1"/>
    <cellStyle name="Followed Hyperlink" xfId="4791" builtinId="9" hidden="1"/>
    <cellStyle name="Followed Hyperlink" xfId="4793" builtinId="9" hidden="1"/>
    <cellStyle name="Followed Hyperlink" xfId="4795" builtinId="9" hidden="1"/>
    <cellStyle name="Followed Hyperlink" xfId="4797" builtinId="9" hidden="1"/>
    <cellStyle name="Followed Hyperlink" xfId="4799" builtinId="9" hidden="1"/>
    <cellStyle name="Followed Hyperlink" xfId="4801" builtinId="9" hidden="1"/>
    <cellStyle name="Followed Hyperlink" xfId="4803" builtinId="9" hidden="1"/>
    <cellStyle name="Followed Hyperlink" xfId="4805" builtinId="9" hidden="1"/>
    <cellStyle name="Followed Hyperlink" xfId="4807" builtinId="9" hidden="1"/>
    <cellStyle name="Followed Hyperlink" xfId="4809" builtinId="9" hidden="1"/>
    <cellStyle name="Followed Hyperlink" xfId="4811" builtinId="9" hidden="1"/>
    <cellStyle name="Followed Hyperlink" xfId="4813" builtinId="9" hidden="1"/>
    <cellStyle name="Followed Hyperlink" xfId="4815" builtinId="9" hidden="1"/>
    <cellStyle name="Followed Hyperlink" xfId="4817" builtinId="9" hidden="1"/>
    <cellStyle name="Followed Hyperlink" xfId="4819" builtinId="9" hidden="1"/>
    <cellStyle name="Followed Hyperlink" xfId="4821" builtinId="9" hidden="1"/>
    <cellStyle name="Followed Hyperlink" xfId="4823" builtinId="9" hidden="1"/>
    <cellStyle name="Followed Hyperlink" xfId="4825" builtinId="9" hidden="1"/>
    <cellStyle name="Followed Hyperlink" xfId="4827" builtinId="9" hidden="1"/>
    <cellStyle name="Followed Hyperlink" xfId="4829" builtinId="9" hidden="1"/>
    <cellStyle name="Followed Hyperlink" xfId="4831" builtinId="9" hidden="1"/>
    <cellStyle name="Followed Hyperlink" xfId="4833" builtinId="9" hidden="1"/>
    <cellStyle name="Followed Hyperlink" xfId="4835" builtinId="9" hidden="1"/>
    <cellStyle name="Followed Hyperlink" xfId="4837" builtinId="9" hidden="1"/>
    <cellStyle name="Followed Hyperlink" xfId="4839" builtinId="9" hidden="1"/>
    <cellStyle name="Followed Hyperlink" xfId="4841" builtinId="9" hidden="1"/>
    <cellStyle name="Followed Hyperlink" xfId="4843" builtinId="9" hidden="1"/>
    <cellStyle name="Followed Hyperlink" xfId="4845" builtinId="9" hidden="1"/>
    <cellStyle name="Followed Hyperlink" xfId="4847" builtinId="9" hidden="1"/>
    <cellStyle name="Followed Hyperlink" xfId="4849" builtinId="9" hidden="1"/>
    <cellStyle name="Followed Hyperlink" xfId="4851" builtinId="9" hidden="1"/>
    <cellStyle name="Followed Hyperlink" xfId="4853" builtinId="9" hidden="1"/>
    <cellStyle name="Followed Hyperlink" xfId="4855" builtinId="9" hidden="1"/>
    <cellStyle name="Followed Hyperlink" xfId="4857" builtinId="9" hidden="1"/>
    <cellStyle name="Followed Hyperlink" xfId="4859" builtinId="9" hidden="1"/>
    <cellStyle name="Followed Hyperlink" xfId="4861" builtinId="9" hidden="1"/>
    <cellStyle name="Followed Hyperlink" xfId="4863" builtinId="9" hidden="1"/>
    <cellStyle name="Followed Hyperlink" xfId="4865" builtinId="9" hidden="1"/>
    <cellStyle name="Followed Hyperlink" xfId="4867" builtinId="9" hidden="1"/>
    <cellStyle name="Followed Hyperlink" xfId="4869" builtinId="9" hidden="1"/>
    <cellStyle name="Followed Hyperlink" xfId="4871" builtinId="9" hidden="1"/>
    <cellStyle name="Followed Hyperlink" xfId="4873" builtinId="9" hidden="1"/>
    <cellStyle name="Followed Hyperlink" xfId="4875" builtinId="9" hidden="1"/>
    <cellStyle name="Followed Hyperlink" xfId="4877" builtinId="9" hidden="1"/>
    <cellStyle name="Followed Hyperlink" xfId="4879" builtinId="9" hidden="1"/>
    <cellStyle name="Followed Hyperlink" xfId="4881" builtinId="9" hidden="1"/>
    <cellStyle name="Followed Hyperlink" xfId="4883" builtinId="9" hidden="1"/>
    <cellStyle name="Followed Hyperlink" xfId="4885" builtinId="9" hidden="1"/>
    <cellStyle name="Followed Hyperlink" xfId="4887" builtinId="9" hidden="1"/>
    <cellStyle name="Followed Hyperlink" xfId="4889" builtinId="9" hidden="1"/>
    <cellStyle name="Followed Hyperlink" xfId="4891" builtinId="9" hidden="1"/>
    <cellStyle name="Followed Hyperlink" xfId="4893" builtinId="9" hidden="1"/>
    <cellStyle name="Followed Hyperlink" xfId="4895" builtinId="9" hidden="1"/>
    <cellStyle name="Followed Hyperlink" xfId="4897" builtinId="9" hidden="1"/>
    <cellStyle name="Followed Hyperlink" xfId="4899" builtinId="9" hidden="1"/>
    <cellStyle name="Followed Hyperlink" xfId="4901" builtinId="9" hidden="1"/>
    <cellStyle name="Followed Hyperlink" xfId="4903" builtinId="9" hidden="1"/>
    <cellStyle name="Followed Hyperlink" xfId="4905" builtinId="9" hidden="1"/>
    <cellStyle name="Followed Hyperlink" xfId="4907" builtinId="9" hidden="1"/>
    <cellStyle name="Followed Hyperlink" xfId="4909" builtinId="9" hidden="1"/>
    <cellStyle name="Followed Hyperlink" xfId="4911" builtinId="9" hidden="1"/>
    <cellStyle name="Followed Hyperlink" xfId="4913" builtinId="9" hidden="1"/>
    <cellStyle name="Followed Hyperlink" xfId="4915" builtinId="9" hidden="1"/>
    <cellStyle name="Followed Hyperlink" xfId="4917" builtinId="9" hidden="1"/>
    <cellStyle name="Followed Hyperlink" xfId="4919" builtinId="9" hidden="1"/>
    <cellStyle name="Followed Hyperlink" xfId="4921" builtinId="9" hidden="1"/>
    <cellStyle name="Followed Hyperlink" xfId="4923" builtinId="9" hidden="1"/>
    <cellStyle name="Followed Hyperlink" xfId="4925" builtinId="9" hidden="1"/>
    <cellStyle name="Followed Hyperlink" xfId="4927" builtinId="9" hidden="1"/>
    <cellStyle name="Followed Hyperlink" xfId="4929" builtinId="9" hidden="1"/>
    <cellStyle name="Followed Hyperlink" xfId="4931" builtinId="9" hidden="1"/>
    <cellStyle name="Followed Hyperlink" xfId="4933" builtinId="9" hidden="1"/>
    <cellStyle name="Followed Hyperlink" xfId="4935" builtinId="9" hidden="1"/>
    <cellStyle name="Followed Hyperlink" xfId="4937" builtinId="9" hidden="1"/>
    <cellStyle name="Followed Hyperlink" xfId="4939" builtinId="9" hidden="1"/>
    <cellStyle name="Followed Hyperlink" xfId="4941" builtinId="9" hidden="1"/>
    <cellStyle name="Followed Hyperlink" xfId="4943" builtinId="9" hidden="1"/>
    <cellStyle name="Followed Hyperlink" xfId="4945" builtinId="9" hidden="1"/>
    <cellStyle name="Followed Hyperlink" xfId="4947" builtinId="9" hidden="1"/>
    <cellStyle name="Followed Hyperlink" xfId="4949" builtinId="9" hidden="1"/>
    <cellStyle name="Followed Hyperlink" xfId="4951" builtinId="9" hidden="1"/>
    <cellStyle name="Followed Hyperlink" xfId="4953" builtinId="9" hidden="1"/>
    <cellStyle name="Followed Hyperlink" xfId="4955" builtinId="9" hidden="1"/>
    <cellStyle name="Followed Hyperlink" xfId="4957" builtinId="9" hidden="1"/>
    <cellStyle name="Followed Hyperlink" xfId="4959" builtinId="9" hidden="1"/>
    <cellStyle name="Followed Hyperlink" xfId="4961" builtinId="9" hidden="1"/>
    <cellStyle name="Followed Hyperlink" xfId="4963" builtinId="9" hidden="1"/>
    <cellStyle name="Followed Hyperlink" xfId="4965" builtinId="9" hidden="1"/>
    <cellStyle name="Followed Hyperlink" xfId="4967" builtinId="9" hidden="1"/>
    <cellStyle name="Followed Hyperlink" xfId="4969" builtinId="9" hidden="1"/>
    <cellStyle name="Followed Hyperlink" xfId="4971" builtinId="9" hidden="1"/>
    <cellStyle name="Followed Hyperlink" xfId="4973" builtinId="9" hidden="1"/>
    <cellStyle name="Followed Hyperlink" xfId="4975" builtinId="9" hidden="1"/>
    <cellStyle name="Followed Hyperlink" xfId="4977" builtinId="9" hidden="1"/>
    <cellStyle name="Followed Hyperlink" xfId="4979" builtinId="9" hidden="1"/>
    <cellStyle name="Followed Hyperlink" xfId="4981" builtinId="9" hidden="1"/>
    <cellStyle name="Followed Hyperlink" xfId="4983" builtinId="9" hidden="1"/>
    <cellStyle name="Followed Hyperlink" xfId="4985" builtinId="9" hidden="1"/>
    <cellStyle name="Followed Hyperlink" xfId="4987" builtinId="9" hidden="1"/>
    <cellStyle name="Followed Hyperlink" xfId="4989" builtinId="9" hidden="1"/>
    <cellStyle name="Followed Hyperlink" xfId="4991" builtinId="9" hidden="1"/>
    <cellStyle name="Followed Hyperlink" xfId="4993" builtinId="9" hidden="1"/>
    <cellStyle name="Followed Hyperlink" xfId="4995" builtinId="9" hidden="1"/>
    <cellStyle name="Followed Hyperlink" xfId="4997" builtinId="9" hidden="1"/>
    <cellStyle name="Followed Hyperlink" xfId="4999" builtinId="9" hidden="1"/>
    <cellStyle name="Followed Hyperlink" xfId="5001" builtinId="9" hidden="1"/>
    <cellStyle name="Followed Hyperlink" xfId="5003" builtinId="9" hidden="1"/>
    <cellStyle name="Followed Hyperlink" xfId="5005" builtinId="9" hidden="1"/>
    <cellStyle name="Followed Hyperlink" xfId="5007" builtinId="9" hidden="1"/>
    <cellStyle name="Followed Hyperlink" xfId="5009" builtinId="9" hidden="1"/>
    <cellStyle name="Followed Hyperlink" xfId="5011" builtinId="9" hidden="1"/>
    <cellStyle name="Followed Hyperlink" xfId="5013" builtinId="9" hidden="1"/>
    <cellStyle name="Followed Hyperlink" xfId="5015" builtinId="9" hidden="1"/>
    <cellStyle name="Followed Hyperlink" xfId="5017" builtinId="9" hidden="1"/>
    <cellStyle name="Followed Hyperlink" xfId="5019" builtinId="9" hidden="1"/>
    <cellStyle name="Followed Hyperlink" xfId="5021" builtinId="9" hidden="1"/>
    <cellStyle name="Followed Hyperlink" xfId="5023" builtinId="9" hidden="1"/>
    <cellStyle name="Followed Hyperlink" xfId="5025" builtinId="9" hidden="1"/>
    <cellStyle name="Followed Hyperlink" xfId="5027" builtinId="9" hidden="1"/>
    <cellStyle name="Followed Hyperlink" xfId="5029" builtinId="9" hidden="1"/>
    <cellStyle name="Followed Hyperlink" xfId="5031" builtinId="9" hidden="1"/>
    <cellStyle name="Followed Hyperlink" xfId="5033" builtinId="9" hidden="1"/>
    <cellStyle name="Followed Hyperlink" xfId="5035" builtinId="9" hidden="1"/>
    <cellStyle name="Followed Hyperlink" xfId="5037" builtinId="9" hidden="1"/>
    <cellStyle name="Followed Hyperlink" xfId="5039" builtinId="9" hidden="1"/>
    <cellStyle name="Followed Hyperlink" xfId="5041" builtinId="9" hidden="1"/>
    <cellStyle name="Followed Hyperlink" xfId="5043" builtinId="9" hidden="1"/>
    <cellStyle name="Followed Hyperlink" xfId="5045" builtinId="9" hidden="1"/>
    <cellStyle name="Followed Hyperlink" xfId="5047" builtinId="9" hidden="1"/>
    <cellStyle name="Followed Hyperlink" xfId="5049" builtinId="9" hidden="1"/>
    <cellStyle name="Followed Hyperlink" xfId="5051" builtinId="9" hidden="1"/>
    <cellStyle name="Followed Hyperlink" xfId="5053" builtinId="9" hidden="1"/>
    <cellStyle name="Followed Hyperlink" xfId="5055" builtinId="9" hidden="1"/>
    <cellStyle name="Followed Hyperlink" xfId="5057" builtinId="9" hidden="1"/>
    <cellStyle name="Followed Hyperlink" xfId="5059" builtinId="9" hidden="1"/>
    <cellStyle name="Followed Hyperlink" xfId="5061" builtinId="9" hidden="1"/>
    <cellStyle name="Followed Hyperlink" xfId="5063" builtinId="9" hidden="1"/>
    <cellStyle name="Followed Hyperlink" xfId="5065" builtinId="9" hidden="1"/>
    <cellStyle name="Followed Hyperlink" xfId="5067" builtinId="9" hidden="1"/>
    <cellStyle name="Followed Hyperlink" xfId="5069" builtinId="9" hidden="1"/>
    <cellStyle name="Followed Hyperlink" xfId="5071" builtinId="9" hidden="1"/>
    <cellStyle name="Followed Hyperlink" xfId="5073" builtinId="9" hidden="1"/>
    <cellStyle name="Followed Hyperlink" xfId="5075" builtinId="9" hidden="1"/>
    <cellStyle name="Followed Hyperlink" xfId="5077" builtinId="9" hidden="1"/>
    <cellStyle name="Followed Hyperlink" xfId="5079" builtinId="9" hidden="1"/>
    <cellStyle name="Followed Hyperlink" xfId="5081" builtinId="9" hidden="1"/>
    <cellStyle name="Followed Hyperlink" xfId="5083" builtinId="9" hidden="1"/>
    <cellStyle name="Followed Hyperlink" xfId="5085" builtinId="9" hidden="1"/>
    <cellStyle name="Followed Hyperlink" xfId="5087" builtinId="9" hidden="1"/>
    <cellStyle name="Followed Hyperlink" xfId="5089" builtinId="9" hidden="1"/>
    <cellStyle name="Followed Hyperlink" xfId="5091" builtinId="9" hidden="1"/>
    <cellStyle name="Followed Hyperlink" xfId="5093" builtinId="9" hidden="1"/>
    <cellStyle name="Followed Hyperlink" xfId="5095" builtinId="9" hidden="1"/>
    <cellStyle name="Followed Hyperlink" xfId="5097" builtinId="9" hidden="1"/>
    <cellStyle name="Followed Hyperlink" xfId="5099" builtinId="9" hidden="1"/>
    <cellStyle name="Followed Hyperlink" xfId="5101" builtinId="9" hidden="1"/>
    <cellStyle name="Followed Hyperlink" xfId="5103" builtinId="9" hidden="1"/>
    <cellStyle name="Followed Hyperlink" xfId="5105" builtinId="9" hidden="1"/>
    <cellStyle name="Followed Hyperlink" xfId="5107" builtinId="9" hidden="1"/>
    <cellStyle name="Followed Hyperlink" xfId="510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Hyperlink" xfId="3948" builtinId="8" hidden="1"/>
    <cellStyle name="Hyperlink" xfId="3950" builtinId="8" hidden="1"/>
    <cellStyle name="Hyperlink" xfId="3952" builtinId="8" hidden="1"/>
    <cellStyle name="Hyperlink" xfId="3954" builtinId="8" hidden="1"/>
    <cellStyle name="Hyperlink" xfId="3956" builtinId="8" hidden="1"/>
    <cellStyle name="Hyperlink" xfId="3958" builtinId="8" hidden="1"/>
    <cellStyle name="Hyperlink" xfId="3960" builtinId="8" hidden="1"/>
    <cellStyle name="Hyperlink" xfId="3962" builtinId="8" hidden="1"/>
    <cellStyle name="Hyperlink" xfId="3964" builtinId="8" hidden="1"/>
    <cellStyle name="Hyperlink" xfId="3966" builtinId="8" hidden="1"/>
    <cellStyle name="Hyperlink" xfId="3968" builtinId="8" hidden="1"/>
    <cellStyle name="Hyperlink" xfId="3970" builtinId="8" hidden="1"/>
    <cellStyle name="Hyperlink" xfId="3972" builtinId="8" hidden="1"/>
    <cellStyle name="Hyperlink" xfId="3974" builtinId="8" hidden="1"/>
    <cellStyle name="Hyperlink" xfId="3976" builtinId="8" hidden="1"/>
    <cellStyle name="Hyperlink" xfId="3978" builtinId="8" hidden="1"/>
    <cellStyle name="Hyperlink" xfId="3980" builtinId="8" hidden="1"/>
    <cellStyle name="Hyperlink" xfId="3982" builtinId="8" hidden="1"/>
    <cellStyle name="Hyperlink" xfId="3984" builtinId="8" hidden="1"/>
    <cellStyle name="Hyperlink" xfId="3986" builtinId="8" hidden="1"/>
    <cellStyle name="Hyperlink" xfId="3988" builtinId="8" hidden="1"/>
    <cellStyle name="Hyperlink" xfId="3990" builtinId="8" hidden="1"/>
    <cellStyle name="Hyperlink" xfId="3992" builtinId="8" hidden="1"/>
    <cellStyle name="Hyperlink" xfId="3994" builtinId="8" hidden="1"/>
    <cellStyle name="Hyperlink" xfId="3996" builtinId="8" hidden="1"/>
    <cellStyle name="Hyperlink" xfId="3998" builtinId="8" hidden="1"/>
    <cellStyle name="Hyperlink" xfId="4000" builtinId="8" hidden="1"/>
    <cellStyle name="Hyperlink" xfId="4002" builtinId="8" hidden="1"/>
    <cellStyle name="Hyperlink" xfId="4004" builtinId="8" hidden="1"/>
    <cellStyle name="Hyperlink" xfId="4006" builtinId="8" hidden="1"/>
    <cellStyle name="Hyperlink" xfId="4008" builtinId="8" hidden="1"/>
    <cellStyle name="Hyperlink" xfId="4010" builtinId="8" hidden="1"/>
    <cellStyle name="Hyperlink" xfId="4012" builtinId="8" hidden="1"/>
    <cellStyle name="Hyperlink" xfId="4014" builtinId="8" hidden="1"/>
    <cellStyle name="Hyperlink" xfId="4016" builtinId="8" hidden="1"/>
    <cellStyle name="Hyperlink" xfId="4018" builtinId="8" hidden="1"/>
    <cellStyle name="Hyperlink" xfId="4020" builtinId="8" hidden="1"/>
    <cellStyle name="Hyperlink" xfId="4022" builtinId="8" hidden="1"/>
    <cellStyle name="Hyperlink" xfId="4024" builtinId="8" hidden="1"/>
    <cellStyle name="Hyperlink" xfId="4026" builtinId="8" hidden="1"/>
    <cellStyle name="Hyperlink" xfId="4028" builtinId="8" hidden="1"/>
    <cellStyle name="Hyperlink" xfId="4030" builtinId="8" hidden="1"/>
    <cellStyle name="Hyperlink" xfId="4032" builtinId="8" hidden="1"/>
    <cellStyle name="Hyperlink" xfId="4034" builtinId="8" hidden="1"/>
    <cellStyle name="Hyperlink" xfId="4036" builtinId="8" hidden="1"/>
    <cellStyle name="Hyperlink" xfId="4038" builtinId="8" hidden="1"/>
    <cellStyle name="Hyperlink" xfId="4040" builtinId="8" hidden="1"/>
    <cellStyle name="Hyperlink" xfId="4042" builtinId="8" hidden="1"/>
    <cellStyle name="Hyperlink" xfId="4044" builtinId="8" hidden="1"/>
    <cellStyle name="Hyperlink" xfId="4046" builtinId="8" hidden="1"/>
    <cellStyle name="Hyperlink" xfId="4048" builtinId="8" hidden="1"/>
    <cellStyle name="Hyperlink" xfId="4050" builtinId="8" hidden="1"/>
    <cellStyle name="Hyperlink" xfId="4052" builtinId="8" hidden="1"/>
    <cellStyle name="Hyperlink" xfId="4054" builtinId="8" hidden="1"/>
    <cellStyle name="Hyperlink" xfId="4056" builtinId="8" hidden="1"/>
    <cellStyle name="Hyperlink" xfId="4058" builtinId="8" hidden="1"/>
    <cellStyle name="Hyperlink" xfId="4060" builtinId="8" hidden="1"/>
    <cellStyle name="Hyperlink" xfId="4062" builtinId="8" hidden="1"/>
    <cellStyle name="Hyperlink" xfId="4064" builtinId="8" hidden="1"/>
    <cellStyle name="Hyperlink" xfId="4066" builtinId="8" hidden="1"/>
    <cellStyle name="Hyperlink" xfId="4068" builtinId="8" hidden="1"/>
    <cellStyle name="Hyperlink" xfId="4070" builtinId="8" hidden="1"/>
    <cellStyle name="Hyperlink" xfId="4072" builtinId="8" hidden="1"/>
    <cellStyle name="Hyperlink" xfId="4074" builtinId="8" hidden="1"/>
    <cellStyle name="Hyperlink" xfId="4076" builtinId="8" hidden="1"/>
    <cellStyle name="Hyperlink" xfId="4078" builtinId="8" hidden="1"/>
    <cellStyle name="Hyperlink" xfId="4080" builtinId="8" hidden="1"/>
    <cellStyle name="Hyperlink" xfId="4082" builtinId="8" hidden="1"/>
    <cellStyle name="Hyperlink" xfId="4084" builtinId="8" hidden="1"/>
    <cellStyle name="Hyperlink" xfId="4086" builtinId="8" hidden="1"/>
    <cellStyle name="Hyperlink" xfId="4088" builtinId="8" hidden="1"/>
    <cellStyle name="Hyperlink" xfId="4090" builtinId="8" hidden="1"/>
    <cellStyle name="Hyperlink" xfId="4092" builtinId="8" hidden="1"/>
    <cellStyle name="Hyperlink" xfId="4094" builtinId="8" hidden="1"/>
    <cellStyle name="Hyperlink" xfId="4096" builtinId="8" hidden="1"/>
    <cellStyle name="Hyperlink" xfId="4098" builtinId="8" hidden="1"/>
    <cellStyle name="Hyperlink" xfId="4100" builtinId="8" hidden="1"/>
    <cellStyle name="Hyperlink" xfId="4102" builtinId="8" hidden="1"/>
    <cellStyle name="Hyperlink" xfId="4104" builtinId="8" hidden="1"/>
    <cellStyle name="Hyperlink" xfId="4106" builtinId="8" hidden="1"/>
    <cellStyle name="Hyperlink" xfId="4108" builtinId="8" hidden="1"/>
    <cellStyle name="Hyperlink" xfId="4110" builtinId="8" hidden="1"/>
    <cellStyle name="Hyperlink" xfId="4112" builtinId="8" hidden="1"/>
    <cellStyle name="Hyperlink" xfId="4114" builtinId="8" hidden="1"/>
    <cellStyle name="Hyperlink" xfId="4116" builtinId="8" hidden="1"/>
    <cellStyle name="Hyperlink" xfId="4118" builtinId="8" hidden="1"/>
    <cellStyle name="Hyperlink" xfId="4120" builtinId="8" hidden="1"/>
    <cellStyle name="Hyperlink" xfId="4122" builtinId="8" hidden="1"/>
    <cellStyle name="Hyperlink" xfId="4124" builtinId="8" hidden="1"/>
    <cellStyle name="Hyperlink" xfId="4126" builtinId="8" hidden="1"/>
    <cellStyle name="Hyperlink" xfId="4128" builtinId="8" hidden="1"/>
    <cellStyle name="Hyperlink" xfId="4130" builtinId="8" hidden="1"/>
    <cellStyle name="Hyperlink" xfId="4132" builtinId="8" hidden="1"/>
    <cellStyle name="Hyperlink" xfId="4134" builtinId="8" hidden="1"/>
    <cellStyle name="Hyperlink" xfId="4136" builtinId="8" hidden="1"/>
    <cellStyle name="Hyperlink" xfId="4138" builtinId="8" hidden="1"/>
    <cellStyle name="Hyperlink" xfId="4140" builtinId="8" hidden="1"/>
    <cellStyle name="Hyperlink" xfId="4142" builtinId="8" hidden="1"/>
    <cellStyle name="Hyperlink" xfId="4144" builtinId="8" hidden="1"/>
    <cellStyle name="Hyperlink" xfId="4146" builtinId="8" hidden="1"/>
    <cellStyle name="Hyperlink" xfId="4148" builtinId="8" hidden="1"/>
    <cellStyle name="Hyperlink" xfId="4150" builtinId="8" hidden="1"/>
    <cellStyle name="Hyperlink" xfId="4152" builtinId="8" hidden="1"/>
    <cellStyle name="Hyperlink" xfId="4154" builtinId="8" hidden="1"/>
    <cellStyle name="Hyperlink" xfId="4156" builtinId="8" hidden="1"/>
    <cellStyle name="Hyperlink" xfId="4158" builtinId="8" hidden="1"/>
    <cellStyle name="Hyperlink" xfId="4160" builtinId="8" hidden="1"/>
    <cellStyle name="Hyperlink" xfId="4162" builtinId="8" hidden="1"/>
    <cellStyle name="Hyperlink" xfId="4164" builtinId="8" hidden="1"/>
    <cellStyle name="Hyperlink" xfId="4166" builtinId="8" hidden="1"/>
    <cellStyle name="Hyperlink" xfId="4168" builtinId="8" hidden="1"/>
    <cellStyle name="Hyperlink" xfId="4170" builtinId="8" hidden="1"/>
    <cellStyle name="Hyperlink" xfId="4172" builtinId="8" hidden="1"/>
    <cellStyle name="Hyperlink" xfId="4174" builtinId="8" hidden="1"/>
    <cellStyle name="Hyperlink" xfId="4176" builtinId="8" hidden="1"/>
    <cellStyle name="Hyperlink" xfId="4178" builtinId="8" hidden="1"/>
    <cellStyle name="Hyperlink" xfId="4180" builtinId="8" hidden="1"/>
    <cellStyle name="Hyperlink" xfId="4182" builtinId="8" hidden="1"/>
    <cellStyle name="Hyperlink" xfId="4184" builtinId="8" hidden="1"/>
    <cellStyle name="Hyperlink" xfId="4186" builtinId="8" hidden="1"/>
    <cellStyle name="Hyperlink" xfId="4188" builtinId="8" hidden="1"/>
    <cellStyle name="Hyperlink" xfId="4190" builtinId="8" hidden="1"/>
    <cellStyle name="Hyperlink" xfId="4192" builtinId="8" hidden="1"/>
    <cellStyle name="Hyperlink" xfId="4194" builtinId="8" hidden="1"/>
    <cellStyle name="Hyperlink" xfId="4196" builtinId="8" hidden="1"/>
    <cellStyle name="Hyperlink" xfId="4198" builtinId="8" hidden="1"/>
    <cellStyle name="Hyperlink" xfId="4200" builtinId="8" hidden="1"/>
    <cellStyle name="Hyperlink" xfId="4202" builtinId="8" hidden="1"/>
    <cellStyle name="Hyperlink" xfId="4204" builtinId="8" hidden="1"/>
    <cellStyle name="Hyperlink" xfId="4206" builtinId="8" hidden="1"/>
    <cellStyle name="Hyperlink" xfId="4208" builtinId="8" hidden="1"/>
    <cellStyle name="Hyperlink" xfId="4210" builtinId="8" hidden="1"/>
    <cellStyle name="Hyperlink" xfId="4212" builtinId="8" hidden="1"/>
    <cellStyle name="Hyperlink" xfId="4214" builtinId="8" hidden="1"/>
    <cellStyle name="Hyperlink" xfId="4216" builtinId="8" hidden="1"/>
    <cellStyle name="Hyperlink" xfId="4218" builtinId="8" hidden="1"/>
    <cellStyle name="Hyperlink" xfId="4220" builtinId="8" hidden="1"/>
    <cellStyle name="Hyperlink" xfId="4222" builtinId="8" hidden="1"/>
    <cellStyle name="Hyperlink" xfId="4224" builtinId="8" hidden="1"/>
    <cellStyle name="Hyperlink" xfId="4226" builtinId="8" hidden="1"/>
    <cellStyle name="Hyperlink" xfId="4228" builtinId="8" hidden="1"/>
    <cellStyle name="Hyperlink" xfId="4230" builtinId="8" hidden="1"/>
    <cellStyle name="Hyperlink" xfId="4232" builtinId="8" hidden="1"/>
    <cellStyle name="Hyperlink" xfId="4234" builtinId="8" hidden="1"/>
    <cellStyle name="Hyperlink" xfId="4236" builtinId="8" hidden="1"/>
    <cellStyle name="Hyperlink" xfId="4238" builtinId="8" hidden="1"/>
    <cellStyle name="Hyperlink" xfId="4240" builtinId="8" hidden="1"/>
    <cellStyle name="Hyperlink" xfId="4242" builtinId="8" hidden="1"/>
    <cellStyle name="Hyperlink" xfId="4244" builtinId="8" hidden="1"/>
    <cellStyle name="Hyperlink" xfId="4246" builtinId="8" hidden="1"/>
    <cellStyle name="Hyperlink" xfId="4248" builtinId="8" hidden="1"/>
    <cellStyle name="Hyperlink" xfId="4250" builtinId="8" hidden="1"/>
    <cellStyle name="Hyperlink" xfId="4252" builtinId="8" hidden="1"/>
    <cellStyle name="Hyperlink" xfId="4254" builtinId="8" hidden="1"/>
    <cellStyle name="Hyperlink" xfId="4256" builtinId="8" hidden="1"/>
    <cellStyle name="Hyperlink" xfId="4258" builtinId="8" hidden="1"/>
    <cellStyle name="Hyperlink" xfId="4260" builtinId="8" hidden="1"/>
    <cellStyle name="Hyperlink" xfId="4262" builtinId="8" hidden="1"/>
    <cellStyle name="Hyperlink" xfId="4264" builtinId="8" hidden="1"/>
    <cellStyle name="Hyperlink" xfId="4266" builtinId="8" hidden="1"/>
    <cellStyle name="Hyperlink" xfId="4268" builtinId="8" hidden="1"/>
    <cellStyle name="Hyperlink" xfId="4270" builtinId="8" hidden="1"/>
    <cellStyle name="Hyperlink" xfId="4272" builtinId="8" hidden="1"/>
    <cellStyle name="Hyperlink" xfId="4274" builtinId="8" hidden="1"/>
    <cellStyle name="Hyperlink" xfId="4276" builtinId="8" hidden="1"/>
    <cellStyle name="Hyperlink" xfId="4278" builtinId="8" hidden="1"/>
    <cellStyle name="Hyperlink" xfId="4280" builtinId="8" hidden="1"/>
    <cellStyle name="Hyperlink" xfId="4282" builtinId="8" hidden="1"/>
    <cellStyle name="Hyperlink" xfId="4284" builtinId="8" hidden="1"/>
    <cellStyle name="Hyperlink" xfId="4286" builtinId="8" hidden="1"/>
    <cellStyle name="Hyperlink" xfId="4288" builtinId="8" hidden="1"/>
    <cellStyle name="Hyperlink" xfId="4290" builtinId="8" hidden="1"/>
    <cellStyle name="Hyperlink" xfId="4292" builtinId="8" hidden="1"/>
    <cellStyle name="Hyperlink" xfId="4294" builtinId="8" hidden="1"/>
    <cellStyle name="Hyperlink" xfId="4296" builtinId="8" hidden="1"/>
    <cellStyle name="Hyperlink" xfId="4298" builtinId="8" hidden="1"/>
    <cellStyle name="Hyperlink" xfId="4300" builtinId="8" hidden="1"/>
    <cellStyle name="Hyperlink" xfId="4302" builtinId="8" hidden="1"/>
    <cellStyle name="Hyperlink" xfId="4304" builtinId="8" hidden="1"/>
    <cellStyle name="Hyperlink" xfId="4306" builtinId="8" hidden="1"/>
    <cellStyle name="Hyperlink" xfId="4308" builtinId="8" hidden="1"/>
    <cellStyle name="Hyperlink" xfId="4310" builtinId="8" hidden="1"/>
    <cellStyle name="Hyperlink" xfId="4312" builtinId="8" hidden="1"/>
    <cellStyle name="Hyperlink" xfId="4314" builtinId="8" hidden="1"/>
    <cellStyle name="Hyperlink" xfId="4316" builtinId="8" hidden="1"/>
    <cellStyle name="Hyperlink" xfId="4318" builtinId="8" hidden="1"/>
    <cellStyle name="Hyperlink" xfId="4320" builtinId="8" hidden="1"/>
    <cellStyle name="Hyperlink" xfId="4322" builtinId="8" hidden="1"/>
    <cellStyle name="Hyperlink" xfId="4324" builtinId="8" hidden="1"/>
    <cellStyle name="Hyperlink" xfId="4326" builtinId="8" hidden="1"/>
    <cellStyle name="Hyperlink" xfId="4328" builtinId="8" hidden="1"/>
    <cellStyle name="Hyperlink" xfId="4330" builtinId="8" hidden="1"/>
    <cellStyle name="Hyperlink" xfId="4332" builtinId="8" hidden="1"/>
    <cellStyle name="Hyperlink" xfId="4334" builtinId="8" hidden="1"/>
    <cellStyle name="Hyperlink" xfId="4336" builtinId="8" hidden="1"/>
    <cellStyle name="Hyperlink" xfId="4338" builtinId="8" hidden="1"/>
    <cellStyle name="Hyperlink" xfId="4340" builtinId="8" hidden="1"/>
    <cellStyle name="Hyperlink" xfId="4342" builtinId="8" hidden="1"/>
    <cellStyle name="Hyperlink" xfId="4344" builtinId="8" hidden="1"/>
    <cellStyle name="Hyperlink" xfId="4346" builtinId="8" hidden="1"/>
    <cellStyle name="Hyperlink" xfId="4348" builtinId="8" hidden="1"/>
    <cellStyle name="Hyperlink" xfId="4350" builtinId="8" hidden="1"/>
    <cellStyle name="Hyperlink" xfId="4352" builtinId="8" hidden="1"/>
    <cellStyle name="Hyperlink" xfId="4354" builtinId="8" hidden="1"/>
    <cellStyle name="Hyperlink" xfId="4356" builtinId="8" hidden="1"/>
    <cellStyle name="Hyperlink" xfId="4358" builtinId="8" hidden="1"/>
    <cellStyle name="Hyperlink" xfId="4360" builtinId="8" hidden="1"/>
    <cellStyle name="Hyperlink" xfId="4362" builtinId="8" hidden="1"/>
    <cellStyle name="Hyperlink" xfId="4364" builtinId="8" hidden="1"/>
    <cellStyle name="Hyperlink" xfId="4366" builtinId="8" hidden="1"/>
    <cellStyle name="Hyperlink" xfId="4368" builtinId="8" hidden="1"/>
    <cellStyle name="Hyperlink" xfId="4370" builtinId="8" hidden="1"/>
    <cellStyle name="Hyperlink" xfId="4372" builtinId="8" hidden="1"/>
    <cellStyle name="Hyperlink" xfId="4374" builtinId="8" hidden="1"/>
    <cellStyle name="Hyperlink" xfId="4376" builtinId="8" hidden="1"/>
    <cellStyle name="Hyperlink" xfId="4378" builtinId="8" hidden="1"/>
    <cellStyle name="Hyperlink" xfId="4380" builtinId="8" hidden="1"/>
    <cellStyle name="Hyperlink" xfId="4382" builtinId="8" hidden="1"/>
    <cellStyle name="Hyperlink" xfId="4384" builtinId="8" hidden="1"/>
    <cellStyle name="Hyperlink" xfId="4386" builtinId="8" hidden="1"/>
    <cellStyle name="Hyperlink" xfId="4388" builtinId="8" hidden="1"/>
    <cellStyle name="Hyperlink" xfId="4390" builtinId="8" hidden="1"/>
    <cellStyle name="Hyperlink" xfId="4392" builtinId="8" hidden="1"/>
    <cellStyle name="Hyperlink" xfId="4394" builtinId="8" hidden="1"/>
    <cellStyle name="Hyperlink" xfId="4396" builtinId="8" hidden="1"/>
    <cellStyle name="Hyperlink" xfId="4398" builtinId="8" hidden="1"/>
    <cellStyle name="Hyperlink" xfId="4400" builtinId="8" hidden="1"/>
    <cellStyle name="Hyperlink" xfId="4402" builtinId="8" hidden="1"/>
    <cellStyle name="Hyperlink" xfId="4404" builtinId="8" hidden="1"/>
    <cellStyle name="Hyperlink" xfId="4406" builtinId="8" hidden="1"/>
    <cellStyle name="Hyperlink" xfId="4408" builtinId="8" hidden="1"/>
    <cellStyle name="Hyperlink" xfId="4410" builtinId="8" hidden="1"/>
    <cellStyle name="Hyperlink" xfId="4412" builtinId="8" hidden="1"/>
    <cellStyle name="Hyperlink" xfId="4414" builtinId="8" hidden="1"/>
    <cellStyle name="Hyperlink" xfId="4416" builtinId="8" hidden="1"/>
    <cellStyle name="Hyperlink" xfId="4418" builtinId="8" hidden="1"/>
    <cellStyle name="Hyperlink" xfId="4420" builtinId="8" hidden="1"/>
    <cellStyle name="Hyperlink" xfId="4422" builtinId="8" hidden="1"/>
    <cellStyle name="Hyperlink" xfId="4424" builtinId="8" hidden="1"/>
    <cellStyle name="Hyperlink" xfId="4426" builtinId="8" hidden="1"/>
    <cellStyle name="Hyperlink" xfId="4428" builtinId="8" hidden="1"/>
    <cellStyle name="Hyperlink" xfId="4430" builtinId="8" hidden="1"/>
    <cellStyle name="Hyperlink" xfId="4432" builtinId="8" hidden="1"/>
    <cellStyle name="Hyperlink" xfId="4434" builtinId="8" hidden="1"/>
    <cellStyle name="Hyperlink" xfId="4436" builtinId="8" hidden="1"/>
    <cellStyle name="Hyperlink" xfId="4438" builtinId="8" hidden="1"/>
    <cellStyle name="Hyperlink" xfId="4440" builtinId="8" hidden="1"/>
    <cellStyle name="Hyperlink" xfId="4442" builtinId="8" hidden="1"/>
    <cellStyle name="Hyperlink" xfId="4444" builtinId="8" hidden="1"/>
    <cellStyle name="Hyperlink" xfId="4446" builtinId="8" hidden="1"/>
    <cellStyle name="Hyperlink" xfId="4448" builtinId="8" hidden="1"/>
    <cellStyle name="Hyperlink" xfId="4450" builtinId="8" hidden="1"/>
    <cellStyle name="Hyperlink" xfId="4452" builtinId="8" hidden="1"/>
    <cellStyle name="Hyperlink" xfId="4454" builtinId="8" hidden="1"/>
    <cellStyle name="Hyperlink" xfId="4456" builtinId="8" hidden="1"/>
    <cellStyle name="Hyperlink" xfId="4458" builtinId="8" hidden="1"/>
    <cellStyle name="Hyperlink" xfId="4460" builtinId="8" hidden="1"/>
    <cellStyle name="Hyperlink" xfId="4462" builtinId="8" hidden="1"/>
    <cellStyle name="Hyperlink" xfId="4464" builtinId="8" hidden="1"/>
    <cellStyle name="Hyperlink" xfId="4466" builtinId="8" hidden="1"/>
    <cellStyle name="Hyperlink" xfId="4468" builtinId="8" hidden="1"/>
    <cellStyle name="Hyperlink" xfId="4470" builtinId="8" hidden="1"/>
    <cellStyle name="Hyperlink" xfId="4472" builtinId="8" hidden="1"/>
    <cellStyle name="Hyperlink" xfId="4474" builtinId="8" hidden="1"/>
    <cellStyle name="Hyperlink" xfId="4476" builtinId="8" hidden="1"/>
    <cellStyle name="Hyperlink" xfId="4478" builtinId="8" hidden="1"/>
    <cellStyle name="Hyperlink" xfId="4480" builtinId="8" hidden="1"/>
    <cellStyle name="Hyperlink" xfId="4482" builtinId="8" hidden="1"/>
    <cellStyle name="Hyperlink" xfId="4484" builtinId="8" hidden="1"/>
    <cellStyle name="Hyperlink" xfId="4486" builtinId="8" hidden="1"/>
    <cellStyle name="Hyperlink" xfId="4488" builtinId="8" hidden="1"/>
    <cellStyle name="Hyperlink" xfId="4490" builtinId="8" hidden="1"/>
    <cellStyle name="Hyperlink" xfId="4492" builtinId="8" hidden="1"/>
    <cellStyle name="Hyperlink" xfId="4494" builtinId="8" hidden="1"/>
    <cellStyle name="Hyperlink" xfId="4496" builtinId="8" hidden="1"/>
    <cellStyle name="Hyperlink" xfId="4498" builtinId="8" hidden="1"/>
    <cellStyle name="Hyperlink" xfId="4500" builtinId="8" hidden="1"/>
    <cellStyle name="Hyperlink" xfId="4502" builtinId="8" hidden="1"/>
    <cellStyle name="Hyperlink" xfId="4504" builtinId="8" hidden="1"/>
    <cellStyle name="Hyperlink" xfId="4506" builtinId="8" hidden="1"/>
    <cellStyle name="Hyperlink" xfId="4508" builtinId="8" hidden="1"/>
    <cellStyle name="Hyperlink" xfId="4510" builtinId="8" hidden="1"/>
    <cellStyle name="Hyperlink" xfId="4512" builtinId="8" hidden="1"/>
    <cellStyle name="Hyperlink" xfId="4514" builtinId="8" hidden="1"/>
    <cellStyle name="Hyperlink" xfId="4516" builtinId="8" hidden="1"/>
    <cellStyle name="Hyperlink" xfId="4518" builtinId="8" hidden="1"/>
    <cellStyle name="Hyperlink" xfId="4520" builtinId="8" hidden="1"/>
    <cellStyle name="Hyperlink" xfId="4522" builtinId="8" hidden="1"/>
    <cellStyle name="Hyperlink" xfId="4524" builtinId="8" hidden="1"/>
    <cellStyle name="Hyperlink" xfId="4526" builtinId="8" hidden="1"/>
    <cellStyle name="Hyperlink" xfId="4528" builtinId="8" hidden="1"/>
    <cellStyle name="Hyperlink" xfId="4530" builtinId="8" hidden="1"/>
    <cellStyle name="Hyperlink" xfId="4532" builtinId="8" hidden="1"/>
    <cellStyle name="Hyperlink" xfId="4534" builtinId="8" hidden="1"/>
    <cellStyle name="Hyperlink" xfId="4536" builtinId="8" hidden="1"/>
    <cellStyle name="Hyperlink" xfId="4538" builtinId="8" hidden="1"/>
    <cellStyle name="Hyperlink" xfId="4540" builtinId="8" hidden="1"/>
    <cellStyle name="Hyperlink" xfId="4542" builtinId="8" hidden="1"/>
    <cellStyle name="Hyperlink" xfId="4544" builtinId="8" hidden="1"/>
    <cellStyle name="Hyperlink" xfId="4546" builtinId="8" hidden="1"/>
    <cellStyle name="Hyperlink" xfId="4548" builtinId="8" hidden="1"/>
    <cellStyle name="Hyperlink" xfId="4550" builtinId="8" hidden="1"/>
    <cellStyle name="Hyperlink" xfId="4552" builtinId="8" hidden="1"/>
    <cellStyle name="Hyperlink" xfId="4554" builtinId="8" hidden="1"/>
    <cellStyle name="Hyperlink" xfId="4556" builtinId="8" hidden="1"/>
    <cellStyle name="Hyperlink" xfId="4558" builtinId="8" hidden="1"/>
    <cellStyle name="Hyperlink" xfId="4560" builtinId="8" hidden="1"/>
    <cellStyle name="Hyperlink" xfId="4562" builtinId="8" hidden="1"/>
    <cellStyle name="Hyperlink" xfId="4564" builtinId="8" hidden="1"/>
    <cellStyle name="Hyperlink" xfId="4566" builtinId="8" hidden="1"/>
    <cellStyle name="Hyperlink" xfId="4568" builtinId="8" hidden="1"/>
    <cellStyle name="Hyperlink" xfId="4570" builtinId="8" hidden="1"/>
    <cellStyle name="Hyperlink" xfId="4572" builtinId="8" hidden="1"/>
    <cellStyle name="Hyperlink" xfId="4574" builtinId="8" hidden="1"/>
    <cellStyle name="Hyperlink" xfId="4576" builtinId="8" hidden="1"/>
    <cellStyle name="Hyperlink" xfId="4578" builtinId="8" hidden="1"/>
    <cellStyle name="Hyperlink" xfId="4580" builtinId="8" hidden="1"/>
    <cellStyle name="Hyperlink" xfId="4582" builtinId="8" hidden="1"/>
    <cellStyle name="Hyperlink" xfId="4584" builtinId="8" hidden="1"/>
    <cellStyle name="Hyperlink" xfId="4586" builtinId="8" hidden="1"/>
    <cellStyle name="Hyperlink" xfId="4588" builtinId="8" hidden="1"/>
    <cellStyle name="Hyperlink" xfId="4590" builtinId="8" hidden="1"/>
    <cellStyle name="Hyperlink" xfId="4592" builtinId="8" hidden="1"/>
    <cellStyle name="Hyperlink" xfId="4594" builtinId="8" hidden="1"/>
    <cellStyle name="Hyperlink" xfId="4596" builtinId="8" hidden="1"/>
    <cellStyle name="Hyperlink" xfId="4598" builtinId="8" hidden="1"/>
    <cellStyle name="Hyperlink" xfId="4600" builtinId="8" hidden="1"/>
    <cellStyle name="Hyperlink" xfId="4602" builtinId="8" hidden="1"/>
    <cellStyle name="Hyperlink" xfId="4604" builtinId="8" hidden="1"/>
    <cellStyle name="Hyperlink" xfId="4606" builtinId="8" hidden="1"/>
    <cellStyle name="Hyperlink" xfId="4608" builtinId="8" hidden="1"/>
    <cellStyle name="Hyperlink" xfId="4610" builtinId="8" hidden="1"/>
    <cellStyle name="Hyperlink" xfId="4612" builtinId="8" hidden="1"/>
    <cellStyle name="Hyperlink" xfId="4614" builtinId="8" hidden="1"/>
    <cellStyle name="Hyperlink" xfId="4616" builtinId="8" hidden="1"/>
    <cellStyle name="Hyperlink" xfId="4618" builtinId="8" hidden="1"/>
    <cellStyle name="Hyperlink" xfId="4620" builtinId="8" hidden="1"/>
    <cellStyle name="Hyperlink" xfId="4622" builtinId="8" hidden="1"/>
    <cellStyle name="Hyperlink" xfId="4624" builtinId="8" hidden="1"/>
    <cellStyle name="Hyperlink" xfId="4626" builtinId="8" hidden="1"/>
    <cellStyle name="Hyperlink" xfId="4628" builtinId="8" hidden="1"/>
    <cellStyle name="Hyperlink" xfId="4630" builtinId="8" hidden="1"/>
    <cellStyle name="Hyperlink" xfId="4632" builtinId="8" hidden="1"/>
    <cellStyle name="Hyperlink" xfId="4634" builtinId="8" hidden="1"/>
    <cellStyle name="Hyperlink" xfId="4636" builtinId="8" hidden="1"/>
    <cellStyle name="Hyperlink" xfId="4638" builtinId="8" hidden="1"/>
    <cellStyle name="Hyperlink" xfId="4640" builtinId="8" hidden="1"/>
    <cellStyle name="Hyperlink" xfId="4642" builtinId="8" hidden="1"/>
    <cellStyle name="Hyperlink" xfId="4644" builtinId="8" hidden="1"/>
    <cellStyle name="Hyperlink" xfId="4646" builtinId="8" hidden="1"/>
    <cellStyle name="Hyperlink" xfId="4648" builtinId="8" hidden="1"/>
    <cellStyle name="Hyperlink" xfId="4650" builtinId="8" hidden="1"/>
    <cellStyle name="Hyperlink" xfId="4652" builtinId="8" hidden="1"/>
    <cellStyle name="Hyperlink" xfId="4654" builtinId="8" hidden="1"/>
    <cellStyle name="Hyperlink" xfId="4656" builtinId="8" hidden="1"/>
    <cellStyle name="Hyperlink" xfId="4658" builtinId="8" hidden="1"/>
    <cellStyle name="Hyperlink" xfId="4660" builtinId="8" hidden="1"/>
    <cellStyle name="Hyperlink" xfId="4662" builtinId="8" hidden="1"/>
    <cellStyle name="Hyperlink" xfId="4664" builtinId="8" hidden="1"/>
    <cellStyle name="Hyperlink" xfId="4666" builtinId="8" hidden="1"/>
    <cellStyle name="Hyperlink" xfId="4668" builtinId="8" hidden="1"/>
    <cellStyle name="Hyperlink" xfId="4670" builtinId="8" hidden="1"/>
    <cellStyle name="Hyperlink" xfId="4672" builtinId="8" hidden="1"/>
    <cellStyle name="Hyperlink" xfId="4674" builtinId="8" hidden="1"/>
    <cellStyle name="Hyperlink" xfId="4676" builtinId="8" hidden="1"/>
    <cellStyle name="Hyperlink" xfId="4678" builtinId="8" hidden="1"/>
    <cellStyle name="Hyperlink" xfId="4680" builtinId="8" hidden="1"/>
    <cellStyle name="Hyperlink" xfId="4682" builtinId="8" hidden="1"/>
    <cellStyle name="Hyperlink" xfId="4684" builtinId="8" hidden="1"/>
    <cellStyle name="Hyperlink" xfId="4686" builtinId="8" hidden="1"/>
    <cellStyle name="Hyperlink" xfId="4688" builtinId="8" hidden="1"/>
    <cellStyle name="Hyperlink" xfId="4690" builtinId="8" hidden="1"/>
    <cellStyle name="Hyperlink" xfId="4692" builtinId="8" hidden="1"/>
    <cellStyle name="Hyperlink" xfId="4694" builtinId="8" hidden="1"/>
    <cellStyle name="Hyperlink" xfId="4696" builtinId="8" hidden="1"/>
    <cellStyle name="Hyperlink" xfId="4698" builtinId="8" hidden="1"/>
    <cellStyle name="Hyperlink" xfId="4700" builtinId="8" hidden="1"/>
    <cellStyle name="Hyperlink" xfId="4702" builtinId="8" hidden="1"/>
    <cellStyle name="Hyperlink" xfId="4704" builtinId="8" hidden="1"/>
    <cellStyle name="Hyperlink" xfId="4706" builtinId="8" hidden="1"/>
    <cellStyle name="Hyperlink" xfId="4708" builtinId="8" hidden="1"/>
    <cellStyle name="Hyperlink" xfId="4710" builtinId="8" hidden="1"/>
    <cellStyle name="Hyperlink" xfId="4712" builtinId="8" hidden="1"/>
    <cellStyle name="Hyperlink" xfId="4714" builtinId="8" hidden="1"/>
    <cellStyle name="Hyperlink" xfId="4716" builtinId="8" hidden="1"/>
    <cellStyle name="Hyperlink" xfId="4718" builtinId="8" hidden="1"/>
    <cellStyle name="Hyperlink" xfId="4720" builtinId="8" hidden="1"/>
    <cellStyle name="Hyperlink" xfId="4722" builtinId="8" hidden="1"/>
    <cellStyle name="Hyperlink" xfId="4724" builtinId="8" hidden="1"/>
    <cellStyle name="Hyperlink" xfId="4726" builtinId="8" hidden="1"/>
    <cellStyle name="Hyperlink" xfId="4728" builtinId="8" hidden="1"/>
    <cellStyle name="Hyperlink" xfId="4730" builtinId="8" hidden="1"/>
    <cellStyle name="Hyperlink" xfId="4732" builtinId="8" hidden="1"/>
    <cellStyle name="Hyperlink" xfId="4734" builtinId="8" hidden="1"/>
    <cellStyle name="Hyperlink" xfId="4736" builtinId="8" hidden="1"/>
    <cellStyle name="Hyperlink" xfId="4738" builtinId="8" hidden="1"/>
    <cellStyle name="Hyperlink" xfId="4740" builtinId="8" hidden="1"/>
    <cellStyle name="Hyperlink" xfId="4742" builtinId="8" hidden="1"/>
    <cellStyle name="Hyperlink" xfId="4744" builtinId="8" hidden="1"/>
    <cellStyle name="Hyperlink" xfId="4746" builtinId="8" hidden="1"/>
    <cellStyle name="Hyperlink" xfId="4748" builtinId="8" hidden="1"/>
    <cellStyle name="Hyperlink" xfId="4750" builtinId="8" hidden="1"/>
    <cellStyle name="Hyperlink" xfId="4752" builtinId="8" hidden="1"/>
    <cellStyle name="Hyperlink" xfId="4754" builtinId="8" hidden="1"/>
    <cellStyle name="Hyperlink" xfId="4756" builtinId="8" hidden="1"/>
    <cellStyle name="Hyperlink" xfId="4758" builtinId="8" hidden="1"/>
    <cellStyle name="Hyperlink" xfId="4760" builtinId="8" hidden="1"/>
    <cellStyle name="Hyperlink" xfId="4762" builtinId="8" hidden="1"/>
    <cellStyle name="Hyperlink" xfId="4764" builtinId="8" hidden="1"/>
    <cellStyle name="Hyperlink" xfId="4766" builtinId="8" hidden="1"/>
    <cellStyle name="Hyperlink" xfId="4768" builtinId="8" hidden="1"/>
    <cellStyle name="Hyperlink" xfId="4770" builtinId="8" hidden="1"/>
    <cellStyle name="Hyperlink" xfId="4772" builtinId="8" hidden="1"/>
    <cellStyle name="Hyperlink" xfId="4774" builtinId="8" hidden="1"/>
    <cellStyle name="Hyperlink" xfId="4776" builtinId="8" hidden="1"/>
    <cellStyle name="Hyperlink" xfId="4778" builtinId="8" hidden="1"/>
    <cellStyle name="Hyperlink" xfId="4780" builtinId="8" hidden="1"/>
    <cellStyle name="Hyperlink" xfId="4782" builtinId="8" hidden="1"/>
    <cellStyle name="Hyperlink" xfId="4784" builtinId="8" hidden="1"/>
    <cellStyle name="Hyperlink" xfId="4786" builtinId="8" hidden="1"/>
    <cellStyle name="Hyperlink" xfId="4788" builtinId="8" hidden="1"/>
    <cellStyle name="Hyperlink" xfId="4790" builtinId="8" hidden="1"/>
    <cellStyle name="Hyperlink" xfId="4792" builtinId="8" hidden="1"/>
    <cellStyle name="Hyperlink" xfId="4794" builtinId="8" hidden="1"/>
    <cellStyle name="Hyperlink" xfId="4796" builtinId="8" hidden="1"/>
    <cellStyle name="Hyperlink" xfId="4798" builtinId="8" hidden="1"/>
    <cellStyle name="Hyperlink" xfId="4800" builtinId="8" hidden="1"/>
    <cellStyle name="Hyperlink" xfId="4802" builtinId="8" hidden="1"/>
    <cellStyle name="Hyperlink" xfId="4804" builtinId="8" hidden="1"/>
    <cellStyle name="Hyperlink" xfId="4806" builtinId="8" hidden="1"/>
    <cellStyle name="Hyperlink" xfId="4808" builtinId="8" hidden="1"/>
    <cellStyle name="Hyperlink" xfId="4810" builtinId="8" hidden="1"/>
    <cellStyle name="Hyperlink" xfId="4812" builtinId="8" hidden="1"/>
    <cellStyle name="Hyperlink" xfId="4814" builtinId="8" hidden="1"/>
    <cellStyle name="Hyperlink" xfId="4816" builtinId="8" hidden="1"/>
    <cellStyle name="Hyperlink" xfId="4818" builtinId="8" hidden="1"/>
    <cellStyle name="Hyperlink" xfId="4820" builtinId="8" hidden="1"/>
    <cellStyle name="Hyperlink" xfId="4822" builtinId="8" hidden="1"/>
    <cellStyle name="Hyperlink" xfId="4824" builtinId="8" hidden="1"/>
    <cellStyle name="Hyperlink" xfId="4826" builtinId="8" hidden="1"/>
    <cellStyle name="Hyperlink" xfId="4828" builtinId="8" hidden="1"/>
    <cellStyle name="Hyperlink" xfId="4830" builtinId="8" hidden="1"/>
    <cellStyle name="Hyperlink" xfId="4832" builtinId="8" hidden="1"/>
    <cellStyle name="Hyperlink" xfId="4834" builtinId="8" hidden="1"/>
    <cellStyle name="Hyperlink" xfId="4836" builtinId="8" hidden="1"/>
    <cellStyle name="Hyperlink" xfId="4838" builtinId="8" hidden="1"/>
    <cellStyle name="Hyperlink" xfId="4840" builtinId="8" hidden="1"/>
    <cellStyle name="Hyperlink" xfId="4842" builtinId="8" hidden="1"/>
    <cellStyle name="Hyperlink" xfId="4844" builtinId="8" hidden="1"/>
    <cellStyle name="Hyperlink" xfId="4846" builtinId="8" hidden="1"/>
    <cellStyle name="Hyperlink" xfId="4848" builtinId="8" hidden="1"/>
    <cellStyle name="Hyperlink" xfId="4850" builtinId="8" hidden="1"/>
    <cellStyle name="Hyperlink" xfId="4852" builtinId="8" hidden="1"/>
    <cellStyle name="Hyperlink" xfId="4854" builtinId="8" hidden="1"/>
    <cellStyle name="Hyperlink" xfId="4856" builtinId="8" hidden="1"/>
    <cellStyle name="Hyperlink" xfId="4858" builtinId="8" hidden="1"/>
    <cellStyle name="Hyperlink" xfId="4860" builtinId="8" hidden="1"/>
    <cellStyle name="Hyperlink" xfId="4862" builtinId="8" hidden="1"/>
    <cellStyle name="Hyperlink" xfId="4864" builtinId="8" hidden="1"/>
    <cellStyle name="Hyperlink" xfId="4866" builtinId="8" hidden="1"/>
    <cellStyle name="Hyperlink" xfId="4868" builtinId="8" hidden="1"/>
    <cellStyle name="Hyperlink" xfId="4870" builtinId="8" hidden="1"/>
    <cellStyle name="Hyperlink" xfId="4872" builtinId="8" hidden="1"/>
    <cellStyle name="Hyperlink" xfId="4874" builtinId="8" hidden="1"/>
    <cellStyle name="Hyperlink" xfId="4876" builtinId="8" hidden="1"/>
    <cellStyle name="Hyperlink" xfId="4878" builtinId="8" hidden="1"/>
    <cellStyle name="Hyperlink" xfId="4880" builtinId="8" hidden="1"/>
    <cellStyle name="Hyperlink" xfId="4882" builtinId="8" hidden="1"/>
    <cellStyle name="Hyperlink" xfId="4884" builtinId="8" hidden="1"/>
    <cellStyle name="Hyperlink" xfId="4886" builtinId="8" hidden="1"/>
    <cellStyle name="Hyperlink" xfId="4888" builtinId="8" hidden="1"/>
    <cellStyle name="Hyperlink" xfId="4890" builtinId="8" hidden="1"/>
    <cellStyle name="Hyperlink" xfId="4892" builtinId="8" hidden="1"/>
    <cellStyle name="Hyperlink" xfId="4894" builtinId="8" hidden="1"/>
    <cellStyle name="Hyperlink" xfId="4896" builtinId="8" hidden="1"/>
    <cellStyle name="Hyperlink" xfId="4898" builtinId="8" hidden="1"/>
    <cellStyle name="Hyperlink" xfId="4900" builtinId="8" hidden="1"/>
    <cellStyle name="Hyperlink" xfId="4902" builtinId="8" hidden="1"/>
    <cellStyle name="Hyperlink" xfId="4904" builtinId="8" hidden="1"/>
    <cellStyle name="Hyperlink" xfId="4906" builtinId="8" hidden="1"/>
    <cellStyle name="Hyperlink" xfId="4908" builtinId="8" hidden="1"/>
    <cellStyle name="Hyperlink" xfId="4910" builtinId="8" hidden="1"/>
    <cellStyle name="Hyperlink" xfId="4912" builtinId="8" hidden="1"/>
    <cellStyle name="Hyperlink" xfId="4914" builtinId="8" hidden="1"/>
    <cellStyle name="Hyperlink" xfId="4916" builtinId="8" hidden="1"/>
    <cellStyle name="Hyperlink" xfId="4918" builtinId="8" hidden="1"/>
    <cellStyle name="Hyperlink" xfId="4920" builtinId="8" hidden="1"/>
    <cellStyle name="Hyperlink" xfId="4922" builtinId="8" hidden="1"/>
    <cellStyle name="Hyperlink" xfId="4924" builtinId="8" hidden="1"/>
    <cellStyle name="Hyperlink" xfId="4926" builtinId="8" hidden="1"/>
    <cellStyle name="Hyperlink" xfId="4928" builtinId="8" hidden="1"/>
    <cellStyle name="Hyperlink" xfId="4930" builtinId="8" hidden="1"/>
    <cellStyle name="Hyperlink" xfId="4932" builtinId="8" hidden="1"/>
    <cellStyle name="Hyperlink" xfId="4934" builtinId="8" hidden="1"/>
    <cellStyle name="Hyperlink" xfId="4936" builtinId="8" hidden="1"/>
    <cellStyle name="Hyperlink" xfId="4938" builtinId="8" hidden="1"/>
    <cellStyle name="Hyperlink" xfId="4940" builtinId="8" hidden="1"/>
    <cellStyle name="Hyperlink" xfId="4942" builtinId="8" hidden="1"/>
    <cellStyle name="Hyperlink" xfId="4944" builtinId="8" hidden="1"/>
    <cellStyle name="Hyperlink" xfId="4946" builtinId="8" hidden="1"/>
    <cellStyle name="Hyperlink" xfId="4948" builtinId="8" hidden="1"/>
    <cellStyle name="Hyperlink" xfId="4950" builtinId="8" hidden="1"/>
    <cellStyle name="Hyperlink" xfId="4952" builtinId="8" hidden="1"/>
    <cellStyle name="Hyperlink" xfId="4954" builtinId="8" hidden="1"/>
    <cellStyle name="Hyperlink" xfId="4956" builtinId="8" hidden="1"/>
    <cellStyle name="Hyperlink" xfId="4958" builtinId="8" hidden="1"/>
    <cellStyle name="Hyperlink" xfId="4960" builtinId="8" hidden="1"/>
    <cellStyle name="Hyperlink" xfId="4962" builtinId="8" hidden="1"/>
    <cellStyle name="Hyperlink" xfId="4964" builtinId="8" hidden="1"/>
    <cellStyle name="Hyperlink" xfId="4966" builtinId="8" hidden="1"/>
    <cellStyle name="Hyperlink" xfId="4968" builtinId="8" hidden="1"/>
    <cellStyle name="Hyperlink" xfId="4970" builtinId="8" hidden="1"/>
    <cellStyle name="Hyperlink" xfId="4972" builtinId="8" hidden="1"/>
    <cellStyle name="Hyperlink" xfId="4974" builtinId="8" hidden="1"/>
    <cellStyle name="Hyperlink" xfId="4976" builtinId="8" hidden="1"/>
    <cellStyle name="Hyperlink" xfId="4978" builtinId="8" hidden="1"/>
    <cellStyle name="Hyperlink" xfId="4980" builtinId="8" hidden="1"/>
    <cellStyle name="Hyperlink" xfId="4982" builtinId="8" hidden="1"/>
    <cellStyle name="Hyperlink" xfId="4984" builtinId="8" hidden="1"/>
    <cellStyle name="Hyperlink" xfId="4986" builtinId="8" hidden="1"/>
    <cellStyle name="Hyperlink" xfId="4988" builtinId="8" hidden="1"/>
    <cellStyle name="Hyperlink" xfId="4990" builtinId="8" hidden="1"/>
    <cellStyle name="Hyperlink" xfId="4992" builtinId="8" hidden="1"/>
    <cellStyle name="Hyperlink" xfId="4994" builtinId="8" hidden="1"/>
    <cellStyle name="Hyperlink" xfId="4996" builtinId="8" hidden="1"/>
    <cellStyle name="Hyperlink" xfId="4998" builtinId="8" hidden="1"/>
    <cellStyle name="Hyperlink" xfId="5000" builtinId="8" hidden="1"/>
    <cellStyle name="Hyperlink" xfId="5002" builtinId="8" hidden="1"/>
    <cellStyle name="Hyperlink" xfId="5004" builtinId="8" hidden="1"/>
    <cellStyle name="Hyperlink" xfId="5006" builtinId="8" hidden="1"/>
    <cellStyle name="Hyperlink" xfId="5008" builtinId="8" hidden="1"/>
    <cellStyle name="Hyperlink" xfId="5010" builtinId="8" hidden="1"/>
    <cellStyle name="Hyperlink" xfId="5012" builtinId="8" hidden="1"/>
    <cellStyle name="Hyperlink" xfId="5014" builtinId="8" hidden="1"/>
    <cellStyle name="Hyperlink" xfId="5016" builtinId="8" hidden="1"/>
    <cellStyle name="Hyperlink" xfId="5018" builtinId="8" hidden="1"/>
    <cellStyle name="Hyperlink" xfId="5020" builtinId="8" hidden="1"/>
    <cellStyle name="Hyperlink" xfId="5022" builtinId="8" hidden="1"/>
    <cellStyle name="Hyperlink" xfId="5024" builtinId="8" hidden="1"/>
    <cellStyle name="Hyperlink" xfId="5026" builtinId="8" hidden="1"/>
    <cellStyle name="Hyperlink" xfId="5028" builtinId="8" hidden="1"/>
    <cellStyle name="Hyperlink" xfId="5030" builtinId="8" hidden="1"/>
    <cellStyle name="Hyperlink" xfId="5032" builtinId="8" hidden="1"/>
    <cellStyle name="Hyperlink" xfId="5034" builtinId="8" hidden="1"/>
    <cellStyle name="Hyperlink" xfId="5036" builtinId="8" hidden="1"/>
    <cellStyle name="Hyperlink" xfId="5038" builtinId="8" hidden="1"/>
    <cellStyle name="Hyperlink" xfId="5040" builtinId="8" hidden="1"/>
    <cellStyle name="Hyperlink" xfId="5042" builtinId="8" hidden="1"/>
    <cellStyle name="Hyperlink" xfId="5044" builtinId="8" hidden="1"/>
    <cellStyle name="Hyperlink" xfId="5046" builtinId="8" hidden="1"/>
    <cellStyle name="Hyperlink" xfId="5048" builtinId="8" hidden="1"/>
    <cellStyle name="Hyperlink" xfId="5050" builtinId="8" hidden="1"/>
    <cellStyle name="Hyperlink" xfId="5052" builtinId="8" hidden="1"/>
    <cellStyle name="Hyperlink" xfId="5054" builtinId="8" hidden="1"/>
    <cellStyle name="Hyperlink" xfId="5056" builtinId="8" hidden="1"/>
    <cellStyle name="Hyperlink" xfId="5058" builtinId="8" hidden="1"/>
    <cellStyle name="Hyperlink" xfId="5060" builtinId="8" hidden="1"/>
    <cellStyle name="Hyperlink" xfId="5062" builtinId="8" hidden="1"/>
    <cellStyle name="Hyperlink" xfId="5064" builtinId="8" hidden="1"/>
    <cellStyle name="Hyperlink" xfId="5066" builtinId="8" hidden="1"/>
    <cellStyle name="Hyperlink" xfId="5068" builtinId="8" hidden="1"/>
    <cellStyle name="Hyperlink" xfId="5070" builtinId="8" hidden="1"/>
    <cellStyle name="Hyperlink" xfId="5072" builtinId="8" hidden="1"/>
    <cellStyle name="Hyperlink" xfId="5074" builtinId="8" hidden="1"/>
    <cellStyle name="Hyperlink" xfId="5076" builtinId="8" hidden="1"/>
    <cellStyle name="Hyperlink" xfId="5078" builtinId="8" hidden="1"/>
    <cellStyle name="Hyperlink" xfId="5080" builtinId="8" hidden="1"/>
    <cellStyle name="Hyperlink" xfId="5082" builtinId="8" hidden="1"/>
    <cellStyle name="Hyperlink" xfId="5084" builtinId="8" hidden="1"/>
    <cellStyle name="Hyperlink" xfId="5086" builtinId="8" hidden="1"/>
    <cellStyle name="Hyperlink" xfId="5088" builtinId="8" hidden="1"/>
    <cellStyle name="Hyperlink" xfId="5090" builtinId="8" hidden="1"/>
    <cellStyle name="Hyperlink" xfId="5092" builtinId="8" hidden="1"/>
    <cellStyle name="Hyperlink" xfId="5094" builtinId="8" hidden="1"/>
    <cellStyle name="Hyperlink" xfId="5096" builtinId="8" hidden="1"/>
    <cellStyle name="Hyperlink" xfId="5098" builtinId="8" hidden="1"/>
    <cellStyle name="Hyperlink" xfId="5100" builtinId="8" hidden="1"/>
    <cellStyle name="Hyperlink" xfId="5102" builtinId="8" hidden="1"/>
    <cellStyle name="Hyperlink" xfId="5104" builtinId="8" hidden="1"/>
    <cellStyle name="Hyperlink" xfId="5106" builtinId="8" hidden="1"/>
    <cellStyle name="Hyperlink" xfId="5108" builtinId="8" hidden="1"/>
    <cellStyle name="Normal" xfId="0" builtinId="0"/>
    <cellStyle name="Normal 2" xfId="971" xr:uid="{00000000-0005-0000-0000-0000F5130000}"/>
  </cellStyles>
  <dxfs count="1">
    <dxf>
      <font>
        <color theme="0" tint="-0.49995422223578601"/>
      </font>
      <numFmt numFmtId="1" formatCode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16</xdr:row>
      <xdr:rowOff>63472</xdr:rowOff>
    </xdr:from>
    <xdr:to>
      <xdr:col>20</xdr:col>
      <xdr:colOff>581268</xdr:colOff>
      <xdr:row>25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51"/>
  <sheetViews>
    <sheetView topLeftCell="A10" zoomScale="125" zoomScaleNormal="125" zoomScalePageLayoutView="125" workbookViewId="0">
      <selection activeCell="B12" sqref="B12"/>
    </sheetView>
  </sheetViews>
  <sheetFormatPr baseColWidth="10" defaultColWidth="8.83203125" defaultRowHeight="13" x14ac:dyDescent="0.15"/>
  <cols>
    <col min="2" max="2" width="34.83203125" customWidth="1"/>
  </cols>
  <sheetData>
    <row r="2" spans="2:4" x14ac:dyDescent="0.15">
      <c r="B2" t="s">
        <v>147</v>
      </c>
    </row>
    <row r="3" spans="2:4" x14ac:dyDescent="0.15">
      <c r="B3" t="s">
        <v>148</v>
      </c>
    </row>
    <row r="4" spans="2:4" x14ac:dyDescent="0.15">
      <c r="B4" s="58" t="s">
        <v>170</v>
      </c>
    </row>
    <row r="6" spans="2:4" ht="14" thickBot="1" x14ac:dyDescent="0.2">
      <c r="B6" s="42" t="s">
        <v>143</v>
      </c>
    </row>
    <row r="7" spans="2:4" x14ac:dyDescent="0.15">
      <c r="B7" s="58" t="s">
        <v>145</v>
      </c>
    </row>
    <row r="8" spans="2:4" x14ac:dyDescent="0.15">
      <c r="B8" s="58" t="s">
        <v>144</v>
      </c>
    </row>
    <row r="9" spans="2:4" x14ac:dyDescent="0.15">
      <c r="B9" s="58" t="s">
        <v>146</v>
      </c>
    </row>
    <row r="10" spans="2:4" x14ac:dyDescent="0.15">
      <c r="B10" s="58" t="s">
        <v>149</v>
      </c>
    </row>
    <row r="11" spans="2:4" x14ac:dyDescent="0.15">
      <c r="B11" s="58" t="s">
        <v>153</v>
      </c>
    </row>
    <row r="12" spans="2:4" x14ac:dyDescent="0.15">
      <c r="B12" s="58" t="s">
        <v>397</v>
      </c>
    </row>
    <row r="13" spans="2:4" x14ac:dyDescent="0.15">
      <c r="B13" s="58" t="s">
        <v>171</v>
      </c>
    </row>
    <row r="15" spans="2:4" ht="14" thickBot="1" x14ac:dyDescent="0.2"/>
    <row r="16" spans="2:4" ht="14" thickBot="1" x14ac:dyDescent="0.2">
      <c r="B16" s="43" t="s">
        <v>139</v>
      </c>
      <c r="C16" s="44"/>
      <c r="D16" s="29">
        <v>41373</v>
      </c>
    </row>
    <row r="17" spans="2:4" x14ac:dyDescent="0.15">
      <c r="B17" s="45" t="s">
        <v>59</v>
      </c>
      <c r="C17" s="32">
        <v>0</v>
      </c>
    </row>
    <row r="18" spans="2:4" x14ac:dyDescent="0.15">
      <c r="B18" s="45" t="s">
        <v>60</v>
      </c>
      <c r="C18" s="32">
        <v>1</v>
      </c>
    </row>
    <row r="19" spans="2:4" x14ac:dyDescent="0.15">
      <c r="B19" s="45" t="s">
        <v>61</v>
      </c>
      <c r="C19" s="32">
        <v>2</v>
      </c>
    </row>
    <row r="20" spans="2:4" ht="14" thickBot="1" x14ac:dyDescent="0.2">
      <c r="B20" s="46" t="s">
        <v>45</v>
      </c>
      <c r="C20" s="33">
        <v>3</v>
      </c>
    </row>
    <row r="21" spans="2:4" x14ac:dyDescent="0.15">
      <c r="B21" s="47" t="s">
        <v>142</v>
      </c>
    </row>
    <row r="22" spans="2:4" ht="14" thickBot="1" x14ac:dyDescent="0.2"/>
    <row r="23" spans="2:4" ht="14" thickBot="1" x14ac:dyDescent="0.2">
      <c r="B23" s="43" t="s">
        <v>67</v>
      </c>
      <c r="C23" s="44"/>
      <c r="D23" s="29" t="s">
        <v>150</v>
      </c>
    </row>
    <row r="24" spans="2:4" x14ac:dyDescent="0.15">
      <c r="B24" s="49" t="s">
        <v>39</v>
      </c>
      <c r="C24" s="30">
        <v>1</v>
      </c>
    </row>
    <row r="25" spans="2:4" x14ac:dyDescent="0.15">
      <c r="B25" s="45" t="s">
        <v>41</v>
      </c>
      <c r="C25" s="32">
        <v>1.1000000000000001</v>
      </c>
    </row>
    <row r="26" spans="2:4" x14ac:dyDescent="0.15">
      <c r="B26" s="45" t="s">
        <v>42</v>
      </c>
      <c r="C26" s="32">
        <v>1.2</v>
      </c>
    </row>
    <row r="27" spans="2:4" x14ac:dyDescent="0.15">
      <c r="B27" s="45"/>
      <c r="C27" s="32"/>
    </row>
    <row r="28" spans="2:4" x14ac:dyDescent="0.15">
      <c r="B28" s="45" t="s">
        <v>43</v>
      </c>
      <c r="C28" s="32">
        <v>2.1</v>
      </c>
    </row>
    <row r="29" spans="2:4" x14ac:dyDescent="0.15">
      <c r="B29" s="45" t="s">
        <v>44</v>
      </c>
      <c r="C29" s="32">
        <v>2.2000000000000002</v>
      </c>
    </row>
    <row r="30" spans="2:4" x14ac:dyDescent="0.15">
      <c r="B30" s="45" t="s">
        <v>69</v>
      </c>
      <c r="C30" s="32">
        <v>2.2999999999999998</v>
      </c>
    </row>
    <row r="31" spans="2:4" x14ac:dyDescent="0.15">
      <c r="B31" s="45"/>
      <c r="C31" s="32"/>
    </row>
    <row r="32" spans="2:4" x14ac:dyDescent="0.15">
      <c r="B32" s="45" t="s">
        <v>64</v>
      </c>
      <c r="C32" s="32">
        <v>3.11</v>
      </c>
    </row>
    <row r="33" spans="2:3" x14ac:dyDescent="0.15">
      <c r="B33" s="45" t="s">
        <v>63</v>
      </c>
      <c r="C33" s="32">
        <v>3.12</v>
      </c>
    </row>
    <row r="34" spans="2:3" x14ac:dyDescent="0.15">
      <c r="B34" s="45" t="s">
        <v>70</v>
      </c>
      <c r="C34" s="32">
        <v>3.13</v>
      </c>
    </row>
    <row r="35" spans="2:3" x14ac:dyDescent="0.15">
      <c r="B35" s="45"/>
      <c r="C35" s="32"/>
    </row>
    <row r="36" spans="2:3" x14ac:dyDescent="0.15">
      <c r="B36" s="45" t="s">
        <v>68</v>
      </c>
      <c r="C36" s="32">
        <v>3.21</v>
      </c>
    </row>
    <row r="37" spans="2:3" x14ac:dyDescent="0.15">
      <c r="B37" s="45" t="s">
        <v>65</v>
      </c>
      <c r="C37" s="32">
        <v>3.22</v>
      </c>
    </row>
    <row r="38" spans="2:3" x14ac:dyDescent="0.15">
      <c r="B38" s="45" t="s">
        <v>71</v>
      </c>
      <c r="C38" s="32">
        <v>3.23</v>
      </c>
    </row>
    <row r="39" spans="2:3" x14ac:dyDescent="0.15">
      <c r="B39" s="45"/>
      <c r="C39" s="32"/>
    </row>
    <row r="40" spans="2:3" x14ac:dyDescent="0.15">
      <c r="B40" s="45" t="s">
        <v>66</v>
      </c>
      <c r="C40" s="32">
        <v>8</v>
      </c>
    </row>
    <row r="41" spans="2:3" x14ac:dyDescent="0.15">
      <c r="B41" s="45"/>
      <c r="C41" s="32"/>
    </row>
    <row r="42" spans="2:3" x14ac:dyDescent="0.15">
      <c r="B42" s="45" t="s">
        <v>73</v>
      </c>
      <c r="C42" s="32">
        <v>4.0999999999999996</v>
      </c>
    </row>
    <row r="43" spans="2:3" x14ac:dyDescent="0.15">
      <c r="B43" s="45" t="s">
        <v>72</v>
      </c>
      <c r="C43" s="32">
        <v>4.2</v>
      </c>
    </row>
    <row r="44" spans="2:3" x14ac:dyDescent="0.15">
      <c r="B44" s="45" t="s">
        <v>74</v>
      </c>
      <c r="C44" s="32">
        <v>4.3</v>
      </c>
    </row>
    <row r="45" spans="2:3" x14ac:dyDescent="0.15">
      <c r="B45" s="31"/>
      <c r="C45" s="32"/>
    </row>
    <row r="46" spans="2:3" x14ac:dyDescent="0.15">
      <c r="B46" s="45" t="s">
        <v>140</v>
      </c>
      <c r="C46" s="32">
        <v>6.1</v>
      </c>
    </row>
    <row r="47" spans="2:3" x14ac:dyDescent="0.15">
      <c r="B47" s="45" t="s">
        <v>46</v>
      </c>
      <c r="C47" s="32">
        <v>6.2</v>
      </c>
    </row>
    <row r="48" spans="2:3" x14ac:dyDescent="0.15">
      <c r="B48" s="45"/>
      <c r="C48" s="32"/>
    </row>
    <row r="49" spans="2:3" x14ac:dyDescent="0.15">
      <c r="B49" s="45" t="s">
        <v>45</v>
      </c>
      <c r="C49" s="32">
        <v>5</v>
      </c>
    </row>
    <row r="50" spans="2:3" x14ac:dyDescent="0.15">
      <c r="B50" s="45"/>
      <c r="C50" s="32"/>
    </row>
    <row r="51" spans="2:3" ht="14" thickBot="1" x14ac:dyDescent="0.2">
      <c r="B51" s="46" t="s">
        <v>75</v>
      </c>
      <c r="C51" s="33">
        <v>7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BR528"/>
  <sheetViews>
    <sheetView zoomScaleNormal="100" workbookViewId="0">
      <pane xSplit="5" ySplit="1" topLeftCell="M2" activePane="bottomRight" state="frozen"/>
      <selection pane="topRight" activeCell="F1" sqref="F1"/>
      <selection pane="bottomLeft" activeCell="A2" sqref="A2"/>
      <selection pane="bottomRight" activeCell="Q10" sqref="Q10"/>
    </sheetView>
  </sheetViews>
  <sheetFormatPr baseColWidth="10" defaultColWidth="8.83203125" defaultRowHeight="15" customHeight="1" x14ac:dyDescent="0.15"/>
  <cols>
    <col min="1" max="1" width="22.5" style="86" customWidth="1"/>
    <col min="2" max="2" width="7.6640625" style="86" customWidth="1"/>
    <col min="3" max="3" width="8.83203125" style="86"/>
    <col min="4" max="4" width="14.33203125" style="86" customWidth="1"/>
    <col min="5" max="5" width="28.33203125" style="86" customWidth="1"/>
    <col min="6" max="6" width="9.5" style="86" bestFit="1" customWidth="1"/>
    <col min="7" max="7" width="12.33203125" style="179" bestFit="1" customWidth="1"/>
    <col min="8" max="12" width="8.83203125" style="169"/>
    <col min="13" max="25" width="8.83203125" style="86"/>
    <col min="26" max="27" width="8.83203125" customWidth="1"/>
    <col min="30" max="30" width="57.83203125" customWidth="1"/>
    <col min="32" max="32" width="34.83203125" customWidth="1"/>
    <col min="33" max="33" width="19.1640625" customWidth="1"/>
    <col min="34" max="34" width="14.6640625" customWidth="1"/>
    <col min="41" max="41" width="12.33203125" bestFit="1" customWidth="1"/>
    <col min="43" max="47" width="8.83203125" style="86"/>
    <col min="51" max="51" width="13" customWidth="1"/>
    <col min="71" max="16384" width="8.83203125" style="86"/>
  </cols>
  <sheetData>
    <row r="1" spans="1:70" s="178" customFormat="1" ht="15" customHeight="1" x14ac:dyDescent="0.15">
      <c r="A1" s="67" t="s">
        <v>20</v>
      </c>
      <c r="C1" s="68" t="s">
        <v>8</v>
      </c>
      <c r="D1" s="67" t="s">
        <v>24</v>
      </c>
      <c r="E1" s="67" t="s">
        <v>0</v>
      </c>
      <c r="F1" s="67" t="s">
        <v>7</v>
      </c>
      <c r="G1" s="172" t="s">
        <v>15</v>
      </c>
      <c r="H1" s="168" t="s">
        <v>1</v>
      </c>
      <c r="I1" s="168" t="s">
        <v>2</v>
      </c>
      <c r="J1" s="168" t="s">
        <v>16</v>
      </c>
      <c r="K1" s="168" t="s">
        <v>3</v>
      </c>
      <c r="L1" s="168" t="s">
        <v>4</v>
      </c>
      <c r="M1" s="67" t="s">
        <v>5</v>
      </c>
      <c r="N1" s="67" t="s">
        <v>6</v>
      </c>
      <c r="O1"/>
      <c r="P1"/>
      <c r="Q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 s="86"/>
      <c r="AR1" s="86"/>
      <c r="AS1" s="86"/>
      <c r="AT1" s="86"/>
      <c r="AU1" s="86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</row>
    <row r="2" spans="1:70" ht="15" customHeight="1" x14ac:dyDescent="0.15">
      <c r="C2">
        <v>1</v>
      </c>
      <c r="D2"/>
      <c r="E2" t="s">
        <v>176</v>
      </c>
      <c r="F2">
        <v>1</v>
      </c>
      <c r="G2">
        <v>34.937687888888888</v>
      </c>
      <c r="H2">
        <v>215</v>
      </c>
      <c r="I2"/>
      <c r="J2"/>
      <c r="K2"/>
      <c r="L2">
        <v>0</v>
      </c>
      <c r="M2">
        <v>0</v>
      </c>
      <c r="N2">
        <v>0</v>
      </c>
      <c r="O2"/>
      <c r="P2"/>
      <c r="Q2"/>
    </row>
    <row r="3" spans="1:70" ht="15" customHeight="1" x14ac:dyDescent="0.15">
      <c r="A3" s="1" t="s">
        <v>9</v>
      </c>
      <c r="B3" s="4">
        <v>78</v>
      </c>
      <c r="C3">
        <v>2</v>
      </c>
      <c r="D3"/>
      <c r="E3" t="s">
        <v>177</v>
      </c>
      <c r="F3">
        <v>1</v>
      </c>
      <c r="G3">
        <v>4.7573362222222224</v>
      </c>
      <c r="H3">
        <v>215</v>
      </c>
      <c r="I3"/>
      <c r="J3"/>
      <c r="K3"/>
      <c r="L3">
        <v>0</v>
      </c>
      <c r="M3">
        <v>0</v>
      </c>
      <c r="N3">
        <v>0</v>
      </c>
      <c r="O3"/>
      <c r="P3"/>
      <c r="Q3"/>
    </row>
    <row r="4" spans="1:70" ht="15" customHeight="1" x14ac:dyDescent="0.15">
      <c r="A4" s="1" t="s">
        <v>10</v>
      </c>
      <c r="B4" s="4">
        <v>5</v>
      </c>
      <c r="C4">
        <v>3</v>
      </c>
      <c r="D4"/>
      <c r="E4" t="s">
        <v>178</v>
      </c>
      <c r="F4">
        <v>0</v>
      </c>
      <c r="G4"/>
      <c r="H4">
        <v>150</v>
      </c>
      <c r="I4"/>
      <c r="J4" s="188">
        <v>0.9</v>
      </c>
      <c r="K4">
        <v>0.35</v>
      </c>
      <c r="L4">
        <v>0</v>
      </c>
      <c r="M4">
        <v>0.2</v>
      </c>
      <c r="N4">
        <v>0</v>
      </c>
      <c r="O4"/>
      <c r="P4"/>
      <c r="Q4"/>
      <c r="V4" s="1" t="s">
        <v>30</v>
      </c>
    </row>
    <row r="5" spans="1:70" ht="15" customHeight="1" thickBot="1" x14ac:dyDescent="0.2">
      <c r="A5" s="1" t="s">
        <v>11</v>
      </c>
      <c r="B5" s="4">
        <v>17</v>
      </c>
      <c r="C5">
        <v>4</v>
      </c>
      <c r="D5"/>
      <c r="E5" t="s">
        <v>179</v>
      </c>
      <c r="F5">
        <v>0</v>
      </c>
      <c r="G5">
        <v>2.8335572999999998</v>
      </c>
      <c r="H5">
        <v>15</v>
      </c>
      <c r="I5"/>
      <c r="J5"/>
      <c r="K5">
        <v>0.25</v>
      </c>
      <c r="L5">
        <v>0</v>
      </c>
      <c r="M5">
        <v>0.2</v>
      </c>
      <c r="N5">
        <v>0</v>
      </c>
      <c r="O5"/>
      <c r="P5"/>
      <c r="Q5"/>
      <c r="R5" s="171"/>
    </row>
    <row r="6" spans="1:70" ht="15" customHeight="1" thickBot="1" x14ac:dyDescent="0.2">
      <c r="B6" s="1"/>
      <c r="C6">
        <v>5</v>
      </c>
      <c r="D6"/>
      <c r="E6" t="s">
        <v>180</v>
      </c>
      <c r="F6">
        <v>0</v>
      </c>
      <c r="G6">
        <v>8.3254698999999981</v>
      </c>
      <c r="H6" s="190">
        <v>37</v>
      </c>
      <c r="I6"/>
      <c r="J6"/>
      <c r="K6">
        <v>0.25</v>
      </c>
      <c r="L6">
        <v>0</v>
      </c>
      <c r="M6">
        <v>0.2</v>
      </c>
      <c r="N6">
        <v>0</v>
      </c>
      <c r="O6"/>
      <c r="P6"/>
      <c r="Q6"/>
      <c r="R6" s="171"/>
      <c r="W6" s="34" t="s">
        <v>32</v>
      </c>
      <c r="X6" s="48">
        <f>MAX(MainOutputs!G:G)</f>
        <v>0.95055705308914185</v>
      </c>
    </row>
    <row r="7" spans="1:70" ht="15" customHeight="1" x14ac:dyDescent="0.15">
      <c r="A7" s="2" t="s">
        <v>28</v>
      </c>
      <c r="B7" s="86">
        <f ca="1">COUNTIF(OFFSET(cornerDiets,1,1,NumLiving+NumDead+1,NumLiving+NumDead),"&gt;0")+NumLiving+NumDead+1</f>
        <v>1623</v>
      </c>
      <c r="C7">
        <v>6</v>
      </c>
      <c r="D7"/>
      <c r="E7" t="s">
        <v>181</v>
      </c>
      <c r="F7">
        <v>0</v>
      </c>
      <c r="G7">
        <v>8.1779706000000001</v>
      </c>
      <c r="H7" s="190">
        <v>37</v>
      </c>
      <c r="I7"/>
      <c r="J7"/>
      <c r="K7">
        <v>0.25</v>
      </c>
      <c r="L7">
        <v>0</v>
      </c>
      <c r="M7">
        <v>0.2</v>
      </c>
      <c r="N7">
        <v>0</v>
      </c>
      <c r="O7"/>
      <c r="P7"/>
      <c r="Q7"/>
      <c r="R7" s="171"/>
    </row>
    <row r="8" spans="1:70" ht="15" customHeight="1" x14ac:dyDescent="0.15">
      <c r="A8" s="2" t="s">
        <v>29</v>
      </c>
      <c r="B8" s="86">
        <f ca="1">COUNTIF(OFFSET(cornerFishing,1,2,NumLiving+NumDead,NumGears),"&gt;0")+NumDead*COUNTIF(OFFSET(cornerDiscards,1,2,NumLiving+NumDead,NumGears),"&gt;0")+NumLiving+NumDead+1</f>
        <v>1349</v>
      </c>
      <c r="C8">
        <v>7</v>
      </c>
      <c r="D8"/>
      <c r="E8" t="s">
        <v>182</v>
      </c>
      <c r="F8">
        <v>0</v>
      </c>
      <c r="G8">
        <v>2.9289513999999999</v>
      </c>
      <c r="H8">
        <v>15</v>
      </c>
      <c r="I8"/>
      <c r="J8"/>
      <c r="K8" s="190">
        <v>0.3</v>
      </c>
      <c r="L8">
        <v>0</v>
      </c>
      <c r="M8">
        <v>0.2</v>
      </c>
      <c r="N8">
        <v>0</v>
      </c>
      <c r="O8"/>
      <c r="P8"/>
      <c r="Q8"/>
      <c r="R8" s="171"/>
    </row>
    <row r="9" spans="1:70" ht="15" customHeight="1" x14ac:dyDescent="0.15">
      <c r="B9" s="1"/>
      <c r="C9">
        <v>8</v>
      </c>
      <c r="D9"/>
      <c r="E9" t="s">
        <v>183</v>
      </c>
      <c r="F9">
        <v>0</v>
      </c>
      <c r="G9"/>
      <c r="H9" s="190">
        <v>14</v>
      </c>
      <c r="I9"/>
      <c r="J9" s="190">
        <v>0.85</v>
      </c>
      <c r="K9">
        <v>0.25</v>
      </c>
      <c r="L9">
        <v>0</v>
      </c>
      <c r="M9">
        <v>0.2</v>
      </c>
      <c r="N9">
        <v>0</v>
      </c>
      <c r="O9"/>
      <c r="P9"/>
      <c r="Q9"/>
      <c r="R9" s="171"/>
    </row>
    <row r="10" spans="1:70" ht="15" customHeight="1" x14ac:dyDescent="0.15">
      <c r="B10" s="1"/>
      <c r="C10">
        <v>9</v>
      </c>
      <c r="D10"/>
      <c r="E10" t="s">
        <v>184</v>
      </c>
      <c r="F10">
        <v>0</v>
      </c>
      <c r="G10"/>
      <c r="H10">
        <v>3</v>
      </c>
      <c r="I10"/>
      <c r="J10">
        <v>0.85</v>
      </c>
      <c r="K10">
        <v>0.25</v>
      </c>
      <c r="L10">
        <v>0</v>
      </c>
      <c r="M10">
        <v>0.2</v>
      </c>
      <c r="N10">
        <v>0</v>
      </c>
      <c r="O10"/>
      <c r="P10"/>
      <c r="Q10"/>
    </row>
    <row r="11" spans="1:70" ht="15" customHeight="1" x14ac:dyDescent="0.15">
      <c r="C11">
        <v>10</v>
      </c>
      <c r="D11"/>
      <c r="E11" t="s">
        <v>185</v>
      </c>
      <c r="F11">
        <v>0</v>
      </c>
      <c r="G11">
        <v>6.1281359999999996</v>
      </c>
      <c r="H11">
        <v>10</v>
      </c>
      <c r="I11"/>
      <c r="J11"/>
      <c r="K11">
        <v>0.25</v>
      </c>
      <c r="L11">
        <v>0</v>
      </c>
      <c r="M11">
        <v>0.2</v>
      </c>
      <c r="N11">
        <v>0</v>
      </c>
      <c r="O11"/>
      <c r="P11"/>
      <c r="Q11"/>
    </row>
    <row r="12" spans="1:70" ht="15" customHeight="1" x14ac:dyDescent="0.15">
      <c r="C12">
        <v>11</v>
      </c>
      <c r="D12"/>
      <c r="E12" t="s">
        <v>186</v>
      </c>
      <c r="F12">
        <v>0</v>
      </c>
      <c r="G12">
        <v>2.8181009218396671</v>
      </c>
      <c r="H12" s="190">
        <v>45</v>
      </c>
      <c r="I12"/>
      <c r="J12"/>
      <c r="K12" s="190">
        <v>0.3</v>
      </c>
      <c r="L12">
        <v>0</v>
      </c>
      <c r="M12">
        <v>0.2</v>
      </c>
      <c r="N12">
        <v>0</v>
      </c>
      <c r="O12"/>
      <c r="P12"/>
      <c r="Q12"/>
    </row>
    <row r="13" spans="1:70" ht="15" customHeight="1" x14ac:dyDescent="0.15">
      <c r="C13">
        <v>12</v>
      </c>
      <c r="D13"/>
      <c r="E13" t="s">
        <v>187</v>
      </c>
      <c r="F13">
        <v>0</v>
      </c>
      <c r="G13">
        <v>1.9096363540410006</v>
      </c>
      <c r="H13" s="190">
        <v>20</v>
      </c>
      <c r="I13"/>
      <c r="J13"/>
      <c r="K13" s="190">
        <v>0.3</v>
      </c>
      <c r="L13">
        <v>0</v>
      </c>
      <c r="M13">
        <v>0.2</v>
      </c>
      <c r="N13">
        <v>0</v>
      </c>
      <c r="O13"/>
      <c r="P13"/>
      <c r="Q13"/>
    </row>
    <row r="14" spans="1:70" ht="15" customHeight="1" x14ac:dyDescent="0.15">
      <c r="C14">
        <v>13</v>
      </c>
      <c r="D14"/>
      <c r="E14" t="s">
        <v>188</v>
      </c>
      <c r="F14">
        <v>0</v>
      </c>
      <c r="G14">
        <v>3.7481212429596251</v>
      </c>
      <c r="H14">
        <v>15</v>
      </c>
      <c r="I14"/>
      <c r="J14"/>
      <c r="K14">
        <v>0.25</v>
      </c>
      <c r="L14">
        <v>0</v>
      </c>
      <c r="M14">
        <v>0.2</v>
      </c>
      <c r="N14">
        <v>0</v>
      </c>
      <c r="O14"/>
      <c r="P14"/>
      <c r="Q14"/>
    </row>
    <row r="15" spans="1:70" ht="15" customHeight="1" x14ac:dyDescent="0.15">
      <c r="C15">
        <v>14</v>
      </c>
      <c r="D15"/>
      <c r="E15" t="s">
        <v>189</v>
      </c>
      <c r="F15">
        <v>0</v>
      </c>
      <c r="G15" s="191">
        <v>25</v>
      </c>
      <c r="H15">
        <v>6</v>
      </c>
      <c r="I15"/>
      <c r="J15"/>
      <c r="K15">
        <v>0.25</v>
      </c>
      <c r="L15">
        <v>0</v>
      </c>
      <c r="M15">
        <v>0.2</v>
      </c>
      <c r="N15">
        <v>0</v>
      </c>
      <c r="O15"/>
      <c r="P15"/>
      <c r="Q15"/>
    </row>
    <row r="16" spans="1:70" ht="15" customHeight="1" x14ac:dyDescent="0.15">
      <c r="C16">
        <v>15</v>
      </c>
      <c r="D16"/>
      <c r="E16" t="s">
        <v>190</v>
      </c>
      <c r="F16">
        <v>0</v>
      </c>
      <c r="G16" s="191">
        <v>10</v>
      </c>
      <c r="H16">
        <v>7</v>
      </c>
      <c r="I16"/>
      <c r="J16"/>
      <c r="K16">
        <v>0.25</v>
      </c>
      <c r="L16">
        <v>0</v>
      </c>
      <c r="M16">
        <v>0.2</v>
      </c>
      <c r="N16">
        <v>0</v>
      </c>
      <c r="O16"/>
      <c r="P16"/>
      <c r="Q16"/>
    </row>
    <row r="17" spans="1:25" ht="15" customHeight="1" x14ac:dyDescent="0.15">
      <c r="C17">
        <v>16</v>
      </c>
      <c r="D17"/>
      <c r="E17" t="s">
        <v>191</v>
      </c>
      <c r="F17">
        <v>0</v>
      </c>
      <c r="G17"/>
      <c r="H17">
        <v>3</v>
      </c>
      <c r="I17"/>
      <c r="J17">
        <v>0.85</v>
      </c>
      <c r="K17">
        <v>0.25</v>
      </c>
      <c r="L17">
        <v>0</v>
      </c>
      <c r="M17">
        <v>0.2</v>
      </c>
      <c r="N17">
        <v>0</v>
      </c>
      <c r="O17"/>
      <c r="P17"/>
      <c r="Q17"/>
    </row>
    <row r="18" spans="1:25" ht="15" customHeight="1" x14ac:dyDescent="0.15">
      <c r="C18">
        <v>17</v>
      </c>
      <c r="D18"/>
      <c r="E18" t="s">
        <v>192</v>
      </c>
      <c r="F18">
        <v>0</v>
      </c>
      <c r="G18" s="192">
        <v>5.0000000000000001E-3</v>
      </c>
      <c r="H18" s="190">
        <v>2.75</v>
      </c>
      <c r="I18"/>
      <c r="J18"/>
      <c r="K18">
        <v>0.25</v>
      </c>
      <c r="L18">
        <v>0</v>
      </c>
      <c r="M18">
        <v>0.2</v>
      </c>
      <c r="N18">
        <v>0</v>
      </c>
      <c r="O18"/>
      <c r="P18"/>
      <c r="Q18"/>
      <c r="V18" s="1" t="s">
        <v>31</v>
      </c>
    </row>
    <row r="19" spans="1:25" ht="15" customHeight="1" x14ac:dyDescent="0.15">
      <c r="C19">
        <v>18</v>
      </c>
      <c r="D19"/>
      <c r="E19" t="s">
        <v>193</v>
      </c>
      <c r="F19">
        <v>0</v>
      </c>
      <c r="G19">
        <v>1.8458200000000002</v>
      </c>
      <c r="H19" s="193">
        <v>1.8</v>
      </c>
      <c r="I19"/>
      <c r="J19"/>
      <c r="K19">
        <v>0.25</v>
      </c>
      <c r="L19">
        <v>0</v>
      </c>
      <c r="M19">
        <v>0.2</v>
      </c>
      <c r="N19">
        <v>0</v>
      </c>
      <c r="O19"/>
      <c r="P19"/>
      <c r="Q19"/>
      <c r="V19" s="1"/>
    </row>
    <row r="20" spans="1:25" ht="15" customHeight="1" x14ac:dyDescent="0.15">
      <c r="C20">
        <v>19</v>
      </c>
      <c r="D20"/>
      <c r="E20" t="s">
        <v>194</v>
      </c>
      <c r="F20">
        <v>0</v>
      </c>
      <c r="G20">
        <v>0.10212600000000002</v>
      </c>
      <c r="H20" s="193">
        <v>1.1333333333333333</v>
      </c>
      <c r="I20"/>
      <c r="J20"/>
      <c r="K20">
        <v>0.25</v>
      </c>
      <c r="L20">
        <v>0</v>
      </c>
      <c r="M20">
        <v>0.2</v>
      </c>
      <c r="N20">
        <v>0</v>
      </c>
      <c r="O20"/>
      <c r="P20"/>
      <c r="Q20"/>
    </row>
    <row r="21" spans="1:25" ht="15" customHeight="1" thickBot="1" x14ac:dyDescent="0.2">
      <c r="C21">
        <v>20</v>
      </c>
      <c r="D21"/>
      <c r="E21" t="s">
        <v>195</v>
      </c>
      <c r="F21">
        <v>0</v>
      </c>
      <c r="G21">
        <v>15.202891000000001</v>
      </c>
      <c r="H21" s="193">
        <v>1.1333333333333333</v>
      </c>
      <c r="I21"/>
      <c r="J21"/>
      <c r="K21">
        <v>0.25</v>
      </c>
      <c r="L21">
        <v>0</v>
      </c>
      <c r="M21">
        <v>0.2</v>
      </c>
      <c r="N21">
        <v>0</v>
      </c>
      <c r="O21"/>
      <c r="P21"/>
      <c r="Q21"/>
    </row>
    <row r="22" spans="1:25" ht="15" customHeight="1" thickBot="1" x14ac:dyDescent="0.2">
      <c r="A22" s="43" t="s">
        <v>139</v>
      </c>
      <c r="B22" s="181"/>
      <c r="C22">
        <v>21</v>
      </c>
      <c r="D22"/>
      <c r="E22" t="s">
        <v>196</v>
      </c>
      <c r="F22">
        <v>0</v>
      </c>
      <c r="G22">
        <v>2.6130220000000004</v>
      </c>
      <c r="H22" s="193">
        <v>1.8</v>
      </c>
      <c r="I22"/>
      <c r="J22"/>
      <c r="K22">
        <v>0.25</v>
      </c>
      <c r="L22">
        <v>0</v>
      </c>
      <c r="M22">
        <v>0.2</v>
      </c>
      <c r="N22">
        <v>0</v>
      </c>
      <c r="O22"/>
      <c r="P22"/>
      <c r="Q22"/>
    </row>
    <row r="23" spans="1:25" ht="15" customHeight="1" x14ac:dyDescent="0.15">
      <c r="A23" s="182" t="s">
        <v>59</v>
      </c>
      <c r="B23" s="180">
        <v>0</v>
      </c>
      <c r="C23">
        <v>22</v>
      </c>
      <c r="D23"/>
      <c r="E23" t="s">
        <v>197</v>
      </c>
      <c r="F23">
        <v>0</v>
      </c>
      <c r="G23">
        <v>4.3387170000000008</v>
      </c>
      <c r="H23" s="193">
        <v>1.8</v>
      </c>
      <c r="I23"/>
      <c r="J23"/>
      <c r="K23">
        <v>0.25</v>
      </c>
      <c r="L23">
        <v>0</v>
      </c>
      <c r="M23">
        <v>0.2</v>
      </c>
      <c r="N23">
        <v>0</v>
      </c>
      <c r="O23"/>
      <c r="P23"/>
      <c r="Q23"/>
      <c r="X23" s="117"/>
      <c r="Y23" s="169"/>
    </row>
    <row r="24" spans="1:25" ht="15" customHeight="1" x14ac:dyDescent="0.15">
      <c r="A24" s="182" t="s">
        <v>60</v>
      </c>
      <c r="B24" s="180">
        <v>1</v>
      </c>
      <c r="C24">
        <v>23</v>
      </c>
      <c r="D24"/>
      <c r="E24" t="s">
        <v>198</v>
      </c>
      <c r="F24">
        <v>0</v>
      </c>
      <c r="G24">
        <v>3.2486000000000001E-2</v>
      </c>
      <c r="H24" s="193">
        <v>1.1333333333333333</v>
      </c>
      <c r="I24"/>
      <c r="J24"/>
      <c r="K24">
        <v>0.25</v>
      </c>
      <c r="L24">
        <v>0</v>
      </c>
      <c r="M24">
        <v>0.2</v>
      </c>
      <c r="N24">
        <v>0</v>
      </c>
      <c r="O24"/>
      <c r="P24"/>
      <c r="Q24"/>
      <c r="W24" s="169"/>
      <c r="X24" s="169"/>
      <c r="Y24" s="169"/>
    </row>
    <row r="25" spans="1:25" ht="15" customHeight="1" x14ac:dyDescent="0.15">
      <c r="A25" s="182" t="s">
        <v>61</v>
      </c>
      <c r="B25" s="180">
        <v>2</v>
      </c>
      <c r="C25">
        <v>24</v>
      </c>
      <c r="D25"/>
      <c r="E25" t="s">
        <v>273</v>
      </c>
      <c r="F25">
        <v>0</v>
      </c>
      <c r="G25">
        <v>5.9715000000000004E-2</v>
      </c>
      <c r="H25" s="193">
        <v>1.8</v>
      </c>
      <c r="I25"/>
      <c r="J25"/>
      <c r="K25">
        <v>0.25</v>
      </c>
      <c r="L25">
        <v>0</v>
      </c>
      <c r="M25">
        <v>0.2</v>
      </c>
      <c r="N25">
        <v>0</v>
      </c>
      <c r="O25"/>
      <c r="P25"/>
      <c r="Q25"/>
      <c r="W25" s="169"/>
      <c r="X25" s="117"/>
      <c r="Y25" s="117"/>
    </row>
    <row r="26" spans="1:25" ht="15" customHeight="1" thickBot="1" x14ac:dyDescent="0.2">
      <c r="A26" s="183" t="s">
        <v>45</v>
      </c>
      <c r="B26" s="184">
        <v>3</v>
      </c>
      <c r="C26">
        <v>25</v>
      </c>
      <c r="D26"/>
      <c r="E26" t="s">
        <v>398</v>
      </c>
      <c r="F26">
        <v>0</v>
      </c>
      <c r="G26">
        <v>3.5101E-2</v>
      </c>
      <c r="H26" s="193">
        <v>1.8</v>
      </c>
      <c r="I26"/>
      <c r="J26"/>
      <c r="K26">
        <v>0.25</v>
      </c>
      <c r="L26">
        <v>0</v>
      </c>
      <c r="M26">
        <v>0.2</v>
      </c>
      <c r="N26">
        <v>0</v>
      </c>
      <c r="O26"/>
      <c r="P26"/>
      <c r="Q26"/>
      <c r="W26" s="169"/>
      <c r="X26" s="117"/>
      <c r="Y26" s="117"/>
    </row>
    <row r="27" spans="1:25" ht="15" customHeight="1" x14ac:dyDescent="0.15">
      <c r="A27" s="185" t="s">
        <v>142</v>
      </c>
      <c r="C27">
        <v>26</v>
      </c>
      <c r="D27"/>
      <c r="E27" t="s">
        <v>399</v>
      </c>
      <c r="F27">
        <v>0</v>
      </c>
      <c r="G27">
        <v>8.0462999999999993E-2</v>
      </c>
      <c r="H27" s="193">
        <v>1.1333333333333333</v>
      </c>
      <c r="I27"/>
      <c r="J27"/>
      <c r="K27">
        <v>0.25</v>
      </c>
      <c r="L27">
        <v>0</v>
      </c>
      <c r="M27">
        <v>0.2</v>
      </c>
      <c r="N27">
        <v>0</v>
      </c>
      <c r="O27"/>
      <c r="P27"/>
      <c r="Q27"/>
      <c r="W27" s="169"/>
      <c r="X27" s="117"/>
      <c r="Y27" s="117"/>
    </row>
    <row r="28" spans="1:25" ht="15" customHeight="1" x14ac:dyDescent="0.15">
      <c r="C28">
        <v>27</v>
      </c>
      <c r="D28"/>
      <c r="E28" t="s">
        <v>199</v>
      </c>
      <c r="F28">
        <v>0</v>
      </c>
      <c r="G28">
        <v>1.1345000000000001E-2</v>
      </c>
      <c r="H28" s="193">
        <v>1.8</v>
      </c>
      <c r="I28"/>
      <c r="J28"/>
      <c r="K28">
        <v>0.25</v>
      </c>
      <c r="L28">
        <v>0</v>
      </c>
      <c r="M28">
        <v>0.2</v>
      </c>
      <c r="N28">
        <v>0</v>
      </c>
      <c r="O28"/>
      <c r="P28"/>
      <c r="Q28"/>
      <c r="W28" s="169"/>
      <c r="X28" s="117"/>
      <c r="Y28" s="117"/>
    </row>
    <row r="29" spans="1:25" ht="15" customHeight="1" x14ac:dyDescent="0.15">
      <c r="C29">
        <v>28</v>
      </c>
      <c r="D29"/>
      <c r="E29" t="s">
        <v>200</v>
      </c>
      <c r="F29">
        <v>0</v>
      </c>
      <c r="G29" s="191">
        <v>1</v>
      </c>
      <c r="H29" s="190">
        <v>1.75</v>
      </c>
      <c r="I29"/>
      <c r="J29"/>
      <c r="K29" s="190">
        <v>0.25</v>
      </c>
      <c r="L29">
        <v>0</v>
      </c>
      <c r="M29">
        <v>0.2</v>
      </c>
      <c r="N29">
        <v>0</v>
      </c>
      <c r="O29"/>
      <c r="P29"/>
      <c r="Q29"/>
      <c r="W29" s="169"/>
      <c r="X29" s="117"/>
      <c r="Y29" s="117"/>
    </row>
    <row r="30" spans="1:25" ht="15" customHeight="1" x14ac:dyDescent="0.15">
      <c r="C30">
        <v>29</v>
      </c>
      <c r="D30"/>
      <c r="E30" t="s">
        <v>201</v>
      </c>
      <c r="F30">
        <v>0</v>
      </c>
      <c r="G30">
        <v>3.1517049999999998</v>
      </c>
      <c r="H30">
        <v>0.125</v>
      </c>
      <c r="I30"/>
      <c r="J30"/>
      <c r="K30">
        <v>0.1</v>
      </c>
      <c r="L30">
        <v>0</v>
      </c>
      <c r="M30">
        <v>0.2</v>
      </c>
      <c r="N30">
        <v>0</v>
      </c>
      <c r="O30"/>
      <c r="P30"/>
      <c r="Q30"/>
      <c r="W30" s="169"/>
      <c r="X30" s="117"/>
      <c r="Y30" s="117"/>
    </row>
    <row r="31" spans="1:25" ht="15" customHeight="1" x14ac:dyDescent="0.15">
      <c r="C31">
        <v>30</v>
      </c>
      <c r="D31"/>
      <c r="E31" t="s">
        <v>202</v>
      </c>
      <c r="F31">
        <v>0</v>
      </c>
      <c r="G31" s="116">
        <v>0.23972299999999999</v>
      </c>
      <c r="H31" s="193">
        <v>1.8</v>
      </c>
      <c r="I31"/>
      <c r="J31"/>
      <c r="K31">
        <v>0.17</v>
      </c>
      <c r="L31">
        <v>0</v>
      </c>
      <c r="M31">
        <v>0.2</v>
      </c>
      <c r="N31">
        <v>0</v>
      </c>
      <c r="O31"/>
      <c r="P31"/>
      <c r="Q31"/>
      <c r="W31" s="169"/>
      <c r="X31" s="117"/>
      <c r="Y31" s="117"/>
    </row>
    <row r="32" spans="1:25" ht="15" customHeight="1" x14ac:dyDescent="0.15">
      <c r="C32">
        <v>31</v>
      </c>
      <c r="D32"/>
      <c r="E32" t="s">
        <v>203</v>
      </c>
      <c r="F32">
        <v>0</v>
      </c>
      <c r="G32" s="116">
        <v>0.13780200000000001</v>
      </c>
      <c r="H32">
        <v>0.75</v>
      </c>
      <c r="I32"/>
      <c r="J32"/>
      <c r="K32">
        <v>0.17</v>
      </c>
      <c r="L32">
        <v>0</v>
      </c>
      <c r="M32">
        <v>0.2</v>
      </c>
      <c r="N32">
        <v>0</v>
      </c>
      <c r="O32"/>
      <c r="P32"/>
      <c r="Q32"/>
      <c r="W32" s="169"/>
      <c r="X32" s="117"/>
      <c r="Y32" s="117"/>
    </row>
    <row r="33" spans="2:25" ht="15" customHeight="1" x14ac:dyDescent="0.15">
      <c r="C33">
        <v>32</v>
      </c>
      <c r="D33"/>
      <c r="E33" t="s">
        <v>204</v>
      </c>
      <c r="F33">
        <v>0</v>
      </c>
      <c r="G33" s="116">
        <v>1.7913999999999999E-2</v>
      </c>
      <c r="H33">
        <v>1.9</v>
      </c>
      <c r="I33"/>
      <c r="J33"/>
      <c r="K33">
        <v>0.17</v>
      </c>
      <c r="L33">
        <v>0</v>
      </c>
      <c r="M33">
        <v>0.2</v>
      </c>
      <c r="N33">
        <v>0</v>
      </c>
      <c r="O33"/>
      <c r="P33"/>
      <c r="Q33"/>
      <c r="W33" s="169"/>
      <c r="X33" s="169"/>
      <c r="Y33" s="169"/>
    </row>
    <row r="34" spans="2:25" ht="15" customHeight="1" x14ac:dyDescent="0.15">
      <c r="C34">
        <v>33</v>
      </c>
      <c r="D34"/>
      <c r="E34" t="s">
        <v>205</v>
      </c>
      <c r="F34">
        <v>0</v>
      </c>
      <c r="G34">
        <v>3.6782666666666672E-2</v>
      </c>
      <c r="H34">
        <v>0.2</v>
      </c>
      <c r="I34"/>
      <c r="J34"/>
      <c r="K34">
        <v>0.06</v>
      </c>
      <c r="L34">
        <v>0</v>
      </c>
      <c r="M34">
        <v>0.2</v>
      </c>
      <c r="N34">
        <v>0</v>
      </c>
      <c r="O34"/>
      <c r="P34"/>
      <c r="Q34"/>
    </row>
    <row r="35" spans="2:25" ht="15" customHeight="1" x14ac:dyDescent="0.15">
      <c r="C35">
        <v>34</v>
      </c>
      <c r="D35"/>
      <c r="E35" t="s">
        <v>206</v>
      </c>
      <c r="F35">
        <v>0</v>
      </c>
      <c r="G35">
        <v>1.3888226666666668</v>
      </c>
      <c r="H35">
        <v>0.23</v>
      </c>
      <c r="I35"/>
      <c r="J35"/>
      <c r="K35" s="190">
        <v>0.1</v>
      </c>
      <c r="L35">
        <v>0</v>
      </c>
      <c r="M35">
        <v>0.2</v>
      </c>
      <c r="N35">
        <v>0</v>
      </c>
      <c r="O35"/>
      <c r="P35"/>
      <c r="Q35"/>
    </row>
    <row r="36" spans="2:25" ht="15" customHeight="1" x14ac:dyDescent="0.15">
      <c r="B36" s="86" t="s">
        <v>13</v>
      </c>
      <c r="C36">
        <v>35</v>
      </c>
      <c r="D36"/>
      <c r="E36" t="s">
        <v>207</v>
      </c>
      <c r="F36">
        <v>0</v>
      </c>
      <c r="G36">
        <v>0.43563999999999997</v>
      </c>
      <c r="H36">
        <v>0.76</v>
      </c>
      <c r="I36"/>
      <c r="J36"/>
      <c r="K36" s="190">
        <v>0.1</v>
      </c>
      <c r="L36">
        <v>0</v>
      </c>
      <c r="M36">
        <v>0.2</v>
      </c>
      <c r="N36">
        <v>0</v>
      </c>
      <c r="O36"/>
      <c r="P36"/>
      <c r="Q36"/>
    </row>
    <row r="37" spans="2:25" ht="15" customHeight="1" x14ac:dyDescent="0.15">
      <c r="C37">
        <v>36</v>
      </c>
      <c r="D37"/>
      <c r="E37" t="s">
        <v>208</v>
      </c>
      <c r="F37">
        <v>0</v>
      </c>
      <c r="G37">
        <v>3.3977743999999994</v>
      </c>
      <c r="H37">
        <v>0.1719</v>
      </c>
      <c r="I37"/>
      <c r="J37"/>
      <c r="K37">
        <v>0.1</v>
      </c>
      <c r="L37">
        <v>0</v>
      </c>
      <c r="M37">
        <v>0.2</v>
      </c>
      <c r="N37">
        <v>0</v>
      </c>
      <c r="O37"/>
      <c r="P37"/>
      <c r="Q37"/>
    </row>
    <row r="38" spans="2:25" ht="15" customHeight="1" x14ac:dyDescent="0.15">
      <c r="B38" s="86" t="s">
        <v>13</v>
      </c>
      <c r="C38">
        <v>37</v>
      </c>
      <c r="D38"/>
      <c r="E38" t="s">
        <v>209</v>
      </c>
      <c r="F38">
        <v>0</v>
      </c>
      <c r="G38">
        <v>2.3299861249999991</v>
      </c>
      <c r="H38">
        <v>0.2</v>
      </c>
      <c r="I38">
        <v>2.5</v>
      </c>
      <c r="J38"/>
      <c r="K38"/>
      <c r="L38">
        <v>0</v>
      </c>
      <c r="M38">
        <v>0.2</v>
      </c>
      <c r="N38">
        <v>0</v>
      </c>
      <c r="O38"/>
      <c r="P38"/>
      <c r="Q38"/>
    </row>
    <row r="39" spans="2:25" ht="15" customHeight="1" x14ac:dyDescent="0.15">
      <c r="B39" s="86" t="s">
        <v>13</v>
      </c>
      <c r="C39">
        <v>38</v>
      </c>
      <c r="D39"/>
      <c r="E39" t="s">
        <v>210</v>
      </c>
      <c r="F39">
        <v>0</v>
      </c>
      <c r="G39" s="116">
        <f>14.5386403*1.5</f>
        <v>21.807960450000003</v>
      </c>
      <c r="H39">
        <v>0.35399999999999998</v>
      </c>
      <c r="I39"/>
      <c r="J39"/>
      <c r="K39" s="190">
        <v>0.1</v>
      </c>
      <c r="L39">
        <v>0</v>
      </c>
      <c r="M39">
        <v>0.2</v>
      </c>
      <c r="N39">
        <v>0</v>
      </c>
      <c r="O39"/>
      <c r="P39"/>
      <c r="Q39"/>
    </row>
    <row r="40" spans="2:25" ht="15" customHeight="1" x14ac:dyDescent="0.15">
      <c r="B40" s="86" t="s">
        <v>13</v>
      </c>
      <c r="C40">
        <v>39</v>
      </c>
      <c r="D40"/>
      <c r="E40" t="s">
        <v>211</v>
      </c>
      <c r="F40">
        <v>0</v>
      </c>
      <c r="G40" s="192">
        <v>0.2</v>
      </c>
      <c r="H40">
        <v>0.3</v>
      </c>
      <c r="I40"/>
      <c r="J40"/>
      <c r="K40" s="190">
        <v>0.1</v>
      </c>
      <c r="L40">
        <v>0</v>
      </c>
      <c r="M40">
        <v>0.2</v>
      </c>
      <c r="N40">
        <v>0</v>
      </c>
      <c r="O40"/>
      <c r="P40"/>
      <c r="Q40"/>
    </row>
    <row r="41" spans="2:25" ht="15" customHeight="1" x14ac:dyDescent="0.15">
      <c r="B41" s="86" t="s">
        <v>13</v>
      </c>
      <c r="C41">
        <v>40</v>
      </c>
      <c r="D41"/>
      <c r="E41" t="s">
        <v>212</v>
      </c>
      <c r="F41">
        <v>0</v>
      </c>
      <c r="G41">
        <v>1.3582447</v>
      </c>
      <c r="H41" s="190">
        <v>0.23</v>
      </c>
      <c r="I41"/>
      <c r="J41"/>
      <c r="K41" s="190">
        <v>0.1</v>
      </c>
      <c r="L41">
        <v>0</v>
      </c>
      <c r="M41">
        <v>0.2</v>
      </c>
      <c r="N41">
        <v>0</v>
      </c>
      <c r="O41"/>
      <c r="P41"/>
      <c r="Q41"/>
    </row>
    <row r="42" spans="2:25" ht="15" customHeight="1" x14ac:dyDescent="0.15">
      <c r="B42" s="86" t="s">
        <v>13</v>
      </c>
      <c r="C42">
        <v>41</v>
      </c>
      <c r="D42"/>
      <c r="E42" t="s">
        <v>213</v>
      </c>
      <c r="F42">
        <v>0</v>
      </c>
      <c r="G42">
        <v>0.68783800000000006</v>
      </c>
      <c r="H42">
        <v>0.3</v>
      </c>
      <c r="I42"/>
      <c r="J42"/>
      <c r="K42" s="190">
        <v>0.1</v>
      </c>
      <c r="L42">
        <v>0</v>
      </c>
      <c r="M42">
        <v>0.2</v>
      </c>
      <c r="N42">
        <v>0</v>
      </c>
      <c r="O42"/>
      <c r="P42"/>
      <c r="Q42"/>
    </row>
    <row r="43" spans="2:25" ht="15" customHeight="1" x14ac:dyDescent="0.15">
      <c r="B43" s="86" t="s">
        <v>13</v>
      </c>
      <c r="C43">
        <v>42</v>
      </c>
      <c r="D43"/>
      <c r="E43" t="s">
        <v>214</v>
      </c>
      <c r="F43">
        <v>0</v>
      </c>
      <c r="G43">
        <v>2.83292842</v>
      </c>
      <c r="H43">
        <v>0.27500000000000002</v>
      </c>
      <c r="I43"/>
      <c r="J43"/>
      <c r="K43">
        <v>0.2</v>
      </c>
      <c r="L43">
        <v>0</v>
      </c>
      <c r="M43">
        <v>0.2</v>
      </c>
      <c r="N43">
        <v>0</v>
      </c>
      <c r="O43"/>
      <c r="P43"/>
      <c r="Q43"/>
    </row>
    <row r="44" spans="2:25" ht="15" customHeight="1" x14ac:dyDescent="0.15">
      <c r="B44" s="86" t="s">
        <v>13</v>
      </c>
      <c r="C44">
        <v>43</v>
      </c>
      <c r="D44"/>
      <c r="E44" t="s">
        <v>215</v>
      </c>
      <c r="F44">
        <v>0</v>
      </c>
      <c r="G44">
        <v>1.0169210339999999</v>
      </c>
      <c r="H44">
        <v>0.23</v>
      </c>
      <c r="I44"/>
      <c r="J44"/>
      <c r="K44" s="190">
        <v>0.1</v>
      </c>
      <c r="L44">
        <v>0</v>
      </c>
      <c r="M44">
        <v>0.2</v>
      </c>
      <c r="N44">
        <v>0</v>
      </c>
      <c r="O44"/>
      <c r="P44"/>
      <c r="Q44"/>
    </row>
    <row r="45" spans="2:25" ht="15" customHeight="1" x14ac:dyDescent="0.15">
      <c r="C45">
        <v>44</v>
      </c>
      <c r="D45"/>
      <c r="E45" t="s">
        <v>216</v>
      </c>
      <c r="F45">
        <v>0</v>
      </c>
      <c r="G45"/>
      <c r="H45">
        <v>0.4</v>
      </c>
      <c r="I45"/>
      <c r="J45">
        <v>0.85</v>
      </c>
      <c r="K45">
        <v>0.1</v>
      </c>
      <c r="L45">
        <v>0</v>
      </c>
      <c r="M45">
        <v>0.2</v>
      </c>
      <c r="N45">
        <v>0</v>
      </c>
      <c r="O45"/>
      <c r="P45"/>
      <c r="Q45"/>
    </row>
    <row r="46" spans="2:25" ht="15" customHeight="1" x14ac:dyDescent="0.15">
      <c r="C46">
        <v>45</v>
      </c>
      <c r="D46"/>
      <c r="E46" t="s">
        <v>217</v>
      </c>
      <c r="F46">
        <v>0</v>
      </c>
      <c r="G46">
        <v>2.8452968000000003</v>
      </c>
      <c r="H46">
        <v>7.0000000000000007E-2</v>
      </c>
      <c r="I46"/>
      <c r="J46"/>
      <c r="K46">
        <v>0.1</v>
      </c>
      <c r="L46">
        <v>0</v>
      </c>
      <c r="M46">
        <v>0.2</v>
      </c>
      <c r="N46">
        <v>0</v>
      </c>
      <c r="O46"/>
      <c r="P46"/>
      <c r="Q46"/>
    </row>
    <row r="47" spans="2:25" ht="15" customHeight="1" x14ac:dyDescent="0.15">
      <c r="C47">
        <v>46</v>
      </c>
      <c r="D47"/>
      <c r="E47" t="s">
        <v>218</v>
      </c>
      <c r="F47">
        <v>0</v>
      </c>
      <c r="G47"/>
      <c r="H47">
        <v>0.35</v>
      </c>
      <c r="I47"/>
      <c r="J47">
        <v>0.85</v>
      </c>
      <c r="K47">
        <v>0.1</v>
      </c>
      <c r="L47">
        <v>0</v>
      </c>
      <c r="M47">
        <v>0.2</v>
      </c>
      <c r="N47">
        <v>0</v>
      </c>
      <c r="O47"/>
      <c r="P47"/>
      <c r="Q47"/>
    </row>
    <row r="48" spans="2:25" ht="15" customHeight="1" x14ac:dyDescent="0.15">
      <c r="C48">
        <v>47</v>
      </c>
      <c r="D48"/>
      <c r="E48" t="s">
        <v>219</v>
      </c>
      <c r="F48">
        <v>0</v>
      </c>
      <c r="G48">
        <v>4.1881980399999996</v>
      </c>
      <c r="H48">
        <v>0.3</v>
      </c>
      <c r="I48"/>
      <c r="J48"/>
      <c r="K48">
        <v>0.1</v>
      </c>
      <c r="L48">
        <v>0</v>
      </c>
      <c r="M48">
        <v>0.2</v>
      </c>
      <c r="N48">
        <v>0</v>
      </c>
      <c r="O48"/>
      <c r="P48"/>
      <c r="Q48"/>
    </row>
    <row r="49" spans="3:17" ht="15" customHeight="1" x14ac:dyDescent="0.15">
      <c r="C49">
        <v>48</v>
      </c>
      <c r="D49"/>
      <c r="E49" t="s">
        <v>220</v>
      </c>
      <c r="F49">
        <v>0</v>
      </c>
      <c r="G49">
        <v>3.0802163599999997</v>
      </c>
      <c r="H49">
        <v>0.38</v>
      </c>
      <c r="I49"/>
      <c r="J49"/>
      <c r="K49">
        <v>0.2</v>
      </c>
      <c r="L49">
        <v>0</v>
      </c>
      <c r="M49">
        <v>0.2</v>
      </c>
      <c r="N49">
        <v>0</v>
      </c>
      <c r="O49"/>
      <c r="P49"/>
      <c r="Q49"/>
    </row>
    <row r="50" spans="3:17" ht="15" customHeight="1" x14ac:dyDescent="0.15">
      <c r="C50">
        <v>49</v>
      </c>
      <c r="D50"/>
      <c r="E50" t="s">
        <v>221</v>
      </c>
      <c r="F50">
        <v>0</v>
      </c>
      <c r="G50">
        <v>0.27692119999999998</v>
      </c>
      <c r="H50">
        <v>0.2</v>
      </c>
      <c r="I50">
        <v>1</v>
      </c>
      <c r="J50"/>
      <c r="K50"/>
      <c r="L50">
        <v>0</v>
      </c>
      <c r="M50">
        <v>0.2</v>
      </c>
      <c r="N50">
        <v>0</v>
      </c>
      <c r="O50"/>
      <c r="P50"/>
      <c r="Q50"/>
    </row>
    <row r="51" spans="3:17" ht="15" customHeight="1" x14ac:dyDescent="0.15">
      <c r="C51">
        <v>50</v>
      </c>
      <c r="D51"/>
      <c r="E51" t="s">
        <v>222</v>
      </c>
      <c r="F51">
        <v>0</v>
      </c>
      <c r="G51"/>
      <c r="H51" s="190">
        <v>2.7</v>
      </c>
      <c r="I51"/>
      <c r="J51">
        <v>0.85</v>
      </c>
      <c r="K51">
        <v>0.25</v>
      </c>
      <c r="L51">
        <v>0</v>
      </c>
      <c r="M51">
        <v>0.2</v>
      </c>
      <c r="N51">
        <v>0</v>
      </c>
      <c r="O51"/>
      <c r="P51"/>
      <c r="Q51"/>
    </row>
    <row r="52" spans="3:17" ht="15" customHeight="1" x14ac:dyDescent="0.15">
      <c r="C52">
        <v>51</v>
      </c>
      <c r="D52"/>
      <c r="E52" t="s">
        <v>223</v>
      </c>
      <c r="F52">
        <v>0</v>
      </c>
      <c r="G52"/>
      <c r="H52" s="190">
        <v>2.7</v>
      </c>
      <c r="I52"/>
      <c r="J52">
        <v>0.85</v>
      </c>
      <c r="K52">
        <v>0.25</v>
      </c>
      <c r="L52">
        <v>0</v>
      </c>
      <c r="M52">
        <v>0.2</v>
      </c>
      <c r="N52">
        <v>0</v>
      </c>
      <c r="O52"/>
      <c r="P52"/>
      <c r="Q52"/>
    </row>
    <row r="53" spans="3:17" ht="15" customHeight="1" x14ac:dyDescent="0.15">
      <c r="C53">
        <v>52</v>
      </c>
      <c r="D53"/>
      <c r="E53" t="s">
        <v>224</v>
      </c>
      <c r="F53">
        <v>0</v>
      </c>
      <c r="G53"/>
      <c r="H53" s="190">
        <v>2.7</v>
      </c>
      <c r="I53"/>
      <c r="J53" s="190">
        <v>0.85</v>
      </c>
      <c r="K53">
        <v>0.25</v>
      </c>
      <c r="L53">
        <v>0</v>
      </c>
      <c r="M53">
        <v>0.2</v>
      </c>
      <c r="N53">
        <v>0</v>
      </c>
      <c r="O53"/>
      <c r="P53"/>
      <c r="Q53"/>
    </row>
    <row r="54" spans="3:17" ht="15" customHeight="1" x14ac:dyDescent="0.15">
      <c r="C54">
        <v>53</v>
      </c>
      <c r="D54"/>
      <c r="E54" t="s">
        <v>225</v>
      </c>
      <c r="F54">
        <v>0</v>
      </c>
      <c r="G54" s="191">
        <v>80</v>
      </c>
      <c r="H54">
        <v>4.5</v>
      </c>
      <c r="I54"/>
      <c r="J54"/>
      <c r="K54">
        <v>0.25</v>
      </c>
      <c r="L54">
        <v>0</v>
      </c>
      <c r="M54">
        <v>0.2</v>
      </c>
      <c r="N54">
        <v>0</v>
      </c>
      <c r="O54"/>
      <c r="P54"/>
      <c r="Q54"/>
    </row>
    <row r="55" spans="3:17" ht="15" customHeight="1" x14ac:dyDescent="0.15">
      <c r="C55">
        <v>54</v>
      </c>
      <c r="D55"/>
      <c r="E55" t="s">
        <v>226</v>
      </c>
      <c r="F55">
        <v>0</v>
      </c>
      <c r="G55"/>
      <c r="H55">
        <v>3</v>
      </c>
      <c r="I55"/>
      <c r="J55">
        <v>0.85</v>
      </c>
      <c r="K55">
        <v>0.25</v>
      </c>
      <c r="L55">
        <v>0</v>
      </c>
      <c r="M55">
        <v>0.2</v>
      </c>
      <c r="N55">
        <v>0</v>
      </c>
      <c r="O55"/>
      <c r="P55"/>
      <c r="Q55"/>
    </row>
    <row r="56" spans="3:17" ht="15" customHeight="1" x14ac:dyDescent="0.15">
      <c r="C56">
        <v>55</v>
      </c>
      <c r="D56"/>
      <c r="E56" t="s">
        <v>227</v>
      </c>
      <c r="F56">
        <v>0</v>
      </c>
      <c r="G56"/>
      <c r="H56">
        <v>4.2</v>
      </c>
      <c r="I56"/>
      <c r="J56">
        <v>0.85</v>
      </c>
      <c r="K56">
        <v>0.25</v>
      </c>
      <c r="L56">
        <v>0</v>
      </c>
      <c r="M56">
        <v>0.2</v>
      </c>
      <c r="N56">
        <v>0</v>
      </c>
      <c r="O56"/>
      <c r="P56"/>
      <c r="Q56"/>
    </row>
    <row r="57" spans="3:17" ht="15" customHeight="1" x14ac:dyDescent="0.15">
      <c r="C57">
        <v>56</v>
      </c>
      <c r="D57"/>
      <c r="E57" t="s">
        <v>228</v>
      </c>
      <c r="F57">
        <v>0</v>
      </c>
      <c r="G57"/>
      <c r="H57">
        <v>22</v>
      </c>
      <c r="I57"/>
      <c r="J57">
        <v>0.85</v>
      </c>
      <c r="K57">
        <v>0.2</v>
      </c>
      <c r="L57">
        <v>0</v>
      </c>
      <c r="M57">
        <v>0.2</v>
      </c>
      <c r="N57">
        <v>0</v>
      </c>
      <c r="O57"/>
      <c r="P57"/>
      <c r="Q57"/>
    </row>
    <row r="58" spans="3:17" ht="15" customHeight="1" x14ac:dyDescent="0.15">
      <c r="C58">
        <v>57</v>
      </c>
      <c r="D58"/>
      <c r="E58" t="s">
        <v>229</v>
      </c>
      <c r="F58">
        <v>0</v>
      </c>
      <c r="G58"/>
      <c r="H58">
        <v>1.21</v>
      </c>
      <c r="I58"/>
      <c r="J58">
        <v>0.85</v>
      </c>
      <c r="K58">
        <v>0.2</v>
      </c>
      <c r="L58">
        <v>0</v>
      </c>
      <c r="M58">
        <v>0.2</v>
      </c>
      <c r="N58">
        <v>0</v>
      </c>
      <c r="O58"/>
      <c r="P58"/>
      <c r="Q58"/>
    </row>
    <row r="59" spans="3:17" ht="15" customHeight="1" x14ac:dyDescent="0.15">
      <c r="C59">
        <v>58</v>
      </c>
      <c r="D59"/>
      <c r="E59" t="s">
        <v>230</v>
      </c>
      <c r="F59">
        <v>0</v>
      </c>
      <c r="G59"/>
      <c r="H59">
        <v>21.5</v>
      </c>
      <c r="I59"/>
      <c r="J59">
        <v>0.85</v>
      </c>
      <c r="K59">
        <v>0.2</v>
      </c>
      <c r="L59">
        <v>0</v>
      </c>
      <c r="M59">
        <v>0.2</v>
      </c>
      <c r="N59">
        <v>0</v>
      </c>
      <c r="O59"/>
      <c r="P59"/>
      <c r="Q59"/>
    </row>
    <row r="60" spans="3:17" ht="15" customHeight="1" x14ac:dyDescent="0.15">
      <c r="C60">
        <v>59</v>
      </c>
      <c r="D60"/>
      <c r="E60" t="s">
        <v>231</v>
      </c>
      <c r="F60">
        <v>0</v>
      </c>
      <c r="G60"/>
      <c r="H60">
        <v>1.3</v>
      </c>
      <c r="I60"/>
      <c r="J60">
        <v>0.85</v>
      </c>
      <c r="K60">
        <v>0.2</v>
      </c>
      <c r="L60">
        <v>0</v>
      </c>
      <c r="M60">
        <v>0.2</v>
      </c>
      <c r="N60">
        <v>0</v>
      </c>
      <c r="O60"/>
      <c r="P60"/>
      <c r="Q60"/>
    </row>
    <row r="61" spans="3:17" ht="15" customHeight="1" x14ac:dyDescent="0.15">
      <c r="C61">
        <v>60</v>
      </c>
      <c r="D61"/>
      <c r="E61" t="s">
        <v>232</v>
      </c>
      <c r="F61">
        <v>0</v>
      </c>
      <c r="G61"/>
      <c r="H61">
        <v>7.4</v>
      </c>
      <c r="I61"/>
      <c r="J61">
        <v>0.85</v>
      </c>
      <c r="K61">
        <v>0.2</v>
      </c>
      <c r="L61">
        <v>0</v>
      </c>
      <c r="M61">
        <v>0.2</v>
      </c>
      <c r="N61">
        <v>0</v>
      </c>
      <c r="O61"/>
      <c r="P61"/>
      <c r="Q61"/>
    </row>
    <row r="62" spans="3:17" ht="15" customHeight="1" x14ac:dyDescent="0.15">
      <c r="C62">
        <v>61</v>
      </c>
      <c r="D62"/>
      <c r="E62" t="s">
        <v>233</v>
      </c>
      <c r="F62">
        <v>0</v>
      </c>
      <c r="G62">
        <v>1.0165349999999997</v>
      </c>
      <c r="H62">
        <v>1.5</v>
      </c>
      <c r="I62"/>
      <c r="J62"/>
      <c r="K62">
        <v>0.25</v>
      </c>
      <c r="L62">
        <v>0</v>
      </c>
      <c r="M62">
        <v>0.2</v>
      </c>
      <c r="N62">
        <v>0</v>
      </c>
      <c r="O62"/>
      <c r="P62"/>
      <c r="Q62"/>
    </row>
    <row r="63" spans="3:17" ht="15" customHeight="1" x14ac:dyDescent="0.15">
      <c r="C63">
        <v>62</v>
      </c>
      <c r="D63"/>
      <c r="E63" t="s">
        <v>234</v>
      </c>
      <c r="F63">
        <v>0</v>
      </c>
      <c r="G63">
        <v>0.27042375000000002</v>
      </c>
      <c r="H63">
        <v>1</v>
      </c>
      <c r="I63"/>
      <c r="J63"/>
      <c r="K63">
        <v>0.25</v>
      </c>
      <c r="L63">
        <v>0</v>
      </c>
      <c r="M63">
        <v>0.2</v>
      </c>
      <c r="N63">
        <v>0</v>
      </c>
      <c r="O63"/>
      <c r="P63"/>
      <c r="Q63"/>
    </row>
    <row r="64" spans="3:17" ht="15" customHeight="1" x14ac:dyDescent="0.15">
      <c r="C64">
        <v>63</v>
      </c>
      <c r="D64"/>
      <c r="E64" t="s">
        <v>235</v>
      </c>
      <c r="F64">
        <v>0</v>
      </c>
      <c r="G64"/>
      <c r="H64">
        <v>3</v>
      </c>
      <c r="I64"/>
      <c r="J64">
        <v>0.85</v>
      </c>
      <c r="K64">
        <v>0.2</v>
      </c>
      <c r="L64">
        <v>0</v>
      </c>
      <c r="M64">
        <v>0.2</v>
      </c>
      <c r="N64">
        <v>0</v>
      </c>
      <c r="O64"/>
      <c r="P64"/>
      <c r="Q64"/>
    </row>
    <row r="65" spans="3:70" ht="15" customHeight="1" x14ac:dyDescent="0.15">
      <c r="C65">
        <v>64</v>
      </c>
      <c r="D65"/>
      <c r="E65" t="s">
        <v>236</v>
      </c>
      <c r="F65">
        <v>0</v>
      </c>
      <c r="G65">
        <v>3.8770374999999996E-2</v>
      </c>
      <c r="H65">
        <v>0.1</v>
      </c>
      <c r="I65">
        <v>73</v>
      </c>
      <c r="J65"/>
      <c r="K65"/>
      <c r="L65">
        <v>0</v>
      </c>
      <c r="M65">
        <v>0.2</v>
      </c>
      <c r="N65">
        <v>0</v>
      </c>
      <c r="O65"/>
      <c r="P65"/>
      <c r="Q65"/>
    </row>
    <row r="66" spans="3:70" ht="15" customHeight="1" x14ac:dyDescent="0.15">
      <c r="C66">
        <v>65</v>
      </c>
      <c r="D66"/>
      <c r="E66" t="s">
        <v>237</v>
      </c>
      <c r="F66">
        <v>0</v>
      </c>
      <c r="G66">
        <v>4.0909000000000001E-2</v>
      </c>
      <c r="H66">
        <v>0.16900000000000001</v>
      </c>
      <c r="I66">
        <v>72</v>
      </c>
      <c r="J66"/>
      <c r="K66"/>
      <c r="L66">
        <v>0</v>
      </c>
      <c r="M66">
        <v>0.2</v>
      </c>
      <c r="N66">
        <v>0</v>
      </c>
      <c r="O66"/>
      <c r="P66"/>
      <c r="Q66"/>
    </row>
    <row r="67" spans="3:70" ht="15" customHeight="1" x14ac:dyDescent="0.15">
      <c r="C67">
        <v>66</v>
      </c>
      <c r="D67"/>
      <c r="E67" t="s">
        <v>238</v>
      </c>
      <c r="F67">
        <v>0</v>
      </c>
      <c r="G67">
        <v>4.5374999999999999E-3</v>
      </c>
      <c r="H67">
        <v>0.16600000000000001</v>
      </c>
      <c r="I67">
        <v>73</v>
      </c>
      <c r="J67"/>
      <c r="K67"/>
      <c r="L67">
        <v>0</v>
      </c>
      <c r="M67">
        <v>0.2</v>
      </c>
      <c r="N67">
        <v>0</v>
      </c>
      <c r="O67"/>
      <c r="P67"/>
      <c r="Q67"/>
    </row>
    <row r="68" spans="3:70" ht="15" customHeight="1" x14ac:dyDescent="0.15">
      <c r="C68">
        <v>67</v>
      </c>
      <c r="D68"/>
      <c r="E68" t="s">
        <v>239</v>
      </c>
      <c r="F68">
        <v>0</v>
      </c>
      <c r="G68">
        <v>9.4724999999999996E-4</v>
      </c>
      <c r="H68">
        <v>0.16900000000000001</v>
      </c>
      <c r="I68">
        <v>110</v>
      </c>
      <c r="J68"/>
      <c r="K68"/>
      <c r="L68">
        <v>0</v>
      </c>
      <c r="M68">
        <v>0.2</v>
      </c>
      <c r="N68">
        <v>0</v>
      </c>
      <c r="O68"/>
      <c r="P68"/>
      <c r="Q68"/>
    </row>
    <row r="69" spans="3:70" ht="15" customHeight="1" x14ac:dyDescent="0.15">
      <c r="C69">
        <v>68</v>
      </c>
      <c r="D69"/>
      <c r="E69" t="s">
        <v>240</v>
      </c>
      <c r="F69">
        <v>0</v>
      </c>
      <c r="G69">
        <v>3.1999999999999997E-3</v>
      </c>
      <c r="H69">
        <v>6.7599999999999993E-2</v>
      </c>
      <c r="I69">
        <v>75</v>
      </c>
      <c r="J69"/>
      <c r="K69"/>
      <c r="L69">
        <v>0</v>
      </c>
      <c r="M69">
        <v>0.2</v>
      </c>
      <c r="N69">
        <v>0</v>
      </c>
      <c r="O69"/>
      <c r="P69"/>
      <c r="Q69"/>
    </row>
    <row r="70" spans="3:70" s="171" customFormat="1" ht="15" customHeight="1" x14ac:dyDescent="0.15">
      <c r="C70">
        <v>69</v>
      </c>
      <c r="D70"/>
      <c r="E70" t="s">
        <v>241</v>
      </c>
      <c r="F70">
        <v>0</v>
      </c>
      <c r="G70">
        <v>1.1615E-3</v>
      </c>
      <c r="H70">
        <v>0.1</v>
      </c>
      <c r="I70">
        <v>73</v>
      </c>
      <c r="J70"/>
      <c r="K70"/>
      <c r="L70">
        <v>0</v>
      </c>
      <c r="M70">
        <v>0.2</v>
      </c>
      <c r="N70">
        <v>0</v>
      </c>
      <c r="O70"/>
      <c r="P70"/>
      <c r="Q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</row>
    <row r="71" spans="3:70" s="171" customFormat="1" ht="15" customHeight="1" x14ac:dyDescent="0.15">
      <c r="C71">
        <v>70</v>
      </c>
      <c r="D71"/>
      <c r="E71" t="s">
        <v>242</v>
      </c>
      <c r="F71">
        <v>0</v>
      </c>
      <c r="G71">
        <v>1.3896250000000002E-3</v>
      </c>
      <c r="H71">
        <v>0.159</v>
      </c>
      <c r="I71">
        <v>73</v>
      </c>
      <c r="J71"/>
      <c r="K71"/>
      <c r="L71">
        <v>0</v>
      </c>
      <c r="M71">
        <v>0.2</v>
      </c>
      <c r="N71">
        <v>0</v>
      </c>
      <c r="O71"/>
      <c r="P71"/>
      <c r="Q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</row>
    <row r="72" spans="3:70" s="171" customFormat="1" ht="15" customHeight="1" x14ac:dyDescent="0.15">
      <c r="C72">
        <f>C71+1</f>
        <v>71</v>
      </c>
      <c r="D72"/>
      <c r="E72" t="s">
        <v>243</v>
      </c>
      <c r="F72">
        <v>0</v>
      </c>
      <c r="G72" s="194">
        <v>5.3000000000000001E-5</v>
      </c>
      <c r="H72">
        <v>0.12</v>
      </c>
      <c r="I72">
        <v>144</v>
      </c>
      <c r="J72"/>
      <c r="K72"/>
      <c r="L72">
        <v>0</v>
      </c>
      <c r="M72">
        <v>0.2</v>
      </c>
      <c r="N72">
        <v>0</v>
      </c>
      <c r="O72"/>
      <c r="P72"/>
      <c r="Q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</row>
    <row r="73" spans="3:70" s="171" customFormat="1" ht="15" customHeight="1" x14ac:dyDescent="0.15">
      <c r="C73">
        <f t="shared" ref="C73:C101" si="0">C72+1</f>
        <v>72</v>
      </c>
      <c r="D73"/>
      <c r="E73" t="s">
        <v>244</v>
      </c>
      <c r="F73">
        <v>0</v>
      </c>
      <c r="G73">
        <v>0.14598191666666671</v>
      </c>
      <c r="H73">
        <v>6.3E-2</v>
      </c>
      <c r="I73">
        <v>8.9</v>
      </c>
      <c r="J73"/>
      <c r="K73"/>
      <c r="L73">
        <v>0</v>
      </c>
      <c r="M73">
        <v>0.2</v>
      </c>
      <c r="N73">
        <v>0</v>
      </c>
      <c r="O73"/>
      <c r="P73"/>
      <c r="Q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</row>
    <row r="74" spans="3:70" s="171" customFormat="1" ht="15" customHeight="1" x14ac:dyDescent="0.15">
      <c r="C74">
        <f t="shared" si="0"/>
        <v>73</v>
      </c>
      <c r="D74"/>
      <c r="E74" t="s">
        <v>245</v>
      </c>
      <c r="F74">
        <v>0</v>
      </c>
      <c r="G74">
        <v>0.57161200000000001</v>
      </c>
      <c r="H74">
        <v>0.04</v>
      </c>
      <c r="I74">
        <v>7.6</v>
      </c>
      <c r="J74"/>
      <c r="K74"/>
      <c r="L74">
        <v>0</v>
      </c>
      <c r="M74">
        <v>0.2</v>
      </c>
      <c r="N74">
        <v>0</v>
      </c>
      <c r="O74"/>
      <c r="P74"/>
      <c r="Q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</row>
    <row r="75" spans="3:70" s="171" customFormat="1" ht="15" customHeight="1" x14ac:dyDescent="0.15">
      <c r="C75">
        <f t="shared" si="0"/>
        <v>74</v>
      </c>
      <c r="D75"/>
      <c r="E75" t="s">
        <v>246</v>
      </c>
      <c r="F75">
        <v>0</v>
      </c>
      <c r="G75">
        <v>2.3328166666666667E-2</v>
      </c>
      <c r="H75">
        <v>8.3000000000000004E-2</v>
      </c>
      <c r="I75">
        <v>8.3000000000000007</v>
      </c>
      <c r="J75"/>
      <c r="K75"/>
      <c r="L75">
        <v>0</v>
      </c>
      <c r="M75">
        <v>0.2</v>
      </c>
      <c r="N75">
        <v>0</v>
      </c>
      <c r="O75"/>
      <c r="P75"/>
      <c r="Q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</row>
    <row r="76" spans="3:70" s="171" customFormat="1" ht="15" customHeight="1" x14ac:dyDescent="0.2">
      <c r="C76">
        <f t="shared" si="0"/>
        <v>75</v>
      </c>
      <c r="D76"/>
      <c r="E76" t="s">
        <v>247</v>
      </c>
      <c r="F76">
        <v>0</v>
      </c>
      <c r="G76" s="195">
        <v>0.104952872</v>
      </c>
      <c r="H76">
        <v>7.0000000000000007E-2</v>
      </c>
      <c r="I76">
        <v>24</v>
      </c>
      <c r="J76"/>
      <c r="K76"/>
      <c r="L76">
        <v>0</v>
      </c>
      <c r="M76">
        <v>0.2</v>
      </c>
      <c r="N76">
        <v>0</v>
      </c>
      <c r="O76"/>
      <c r="P76"/>
      <c r="Q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</row>
    <row r="77" spans="3:70" s="171" customFormat="1" ht="15" customHeight="1" x14ac:dyDescent="0.15">
      <c r="C77">
        <f t="shared" si="0"/>
        <v>76</v>
      </c>
      <c r="D77"/>
      <c r="E77" t="s">
        <v>248</v>
      </c>
      <c r="F77">
        <v>0</v>
      </c>
      <c r="G77">
        <v>7.1590999999999988E-2</v>
      </c>
      <c r="H77">
        <v>0.1</v>
      </c>
      <c r="I77">
        <v>25.8</v>
      </c>
      <c r="J77"/>
      <c r="K77"/>
      <c r="L77">
        <v>0</v>
      </c>
      <c r="M77">
        <v>0.2</v>
      </c>
      <c r="N77">
        <v>0</v>
      </c>
      <c r="O77"/>
      <c r="P77"/>
      <c r="Q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</row>
    <row r="78" spans="3:70" ht="15" customHeight="1" x14ac:dyDescent="0.15">
      <c r="C78">
        <f t="shared" si="0"/>
        <v>77</v>
      </c>
      <c r="D78"/>
      <c r="E78" t="s">
        <v>249</v>
      </c>
      <c r="F78">
        <v>0</v>
      </c>
      <c r="G78">
        <v>6.7212000000000022E-2</v>
      </c>
      <c r="H78">
        <v>4.7E-2</v>
      </c>
      <c r="I78">
        <v>6.61</v>
      </c>
      <c r="J78"/>
      <c r="K78"/>
      <c r="L78">
        <v>0</v>
      </c>
      <c r="M78">
        <v>0.2</v>
      </c>
      <c r="N78">
        <v>0</v>
      </c>
      <c r="O78"/>
      <c r="P78"/>
      <c r="Q78"/>
    </row>
    <row r="79" spans="3:70" ht="15" customHeight="1" x14ac:dyDescent="0.15">
      <c r="C79">
        <f t="shared" si="0"/>
        <v>78</v>
      </c>
      <c r="D79"/>
      <c r="E79" t="s">
        <v>250</v>
      </c>
      <c r="F79">
        <v>0</v>
      </c>
      <c r="G79" s="116">
        <v>7.310988E-3</v>
      </c>
      <c r="H79">
        <v>2.5000000000000001E-2</v>
      </c>
      <c r="I79">
        <v>11.157</v>
      </c>
      <c r="J79"/>
      <c r="K79"/>
      <c r="L79">
        <v>0</v>
      </c>
      <c r="M79">
        <v>0.2</v>
      </c>
      <c r="N79">
        <v>0</v>
      </c>
      <c r="O79"/>
      <c r="P79"/>
      <c r="Q79"/>
    </row>
    <row r="80" spans="3:70" ht="15" customHeight="1" x14ac:dyDescent="0.15">
      <c r="C80">
        <f t="shared" si="0"/>
        <v>79</v>
      </c>
      <c r="D80"/>
      <c r="E80" t="s">
        <v>251</v>
      </c>
      <c r="F80">
        <v>2</v>
      </c>
      <c r="G80">
        <v>0.30124899999999999</v>
      </c>
      <c r="H80"/>
      <c r="I80"/>
      <c r="J80"/>
      <c r="K80"/>
      <c r="L80">
        <v>0</v>
      </c>
      <c r="M80"/>
      <c r="N80">
        <v>0</v>
      </c>
      <c r="O80"/>
      <c r="P80"/>
      <c r="Q80"/>
    </row>
    <row r="81" spans="3:17" ht="15" customHeight="1" x14ac:dyDescent="0.15">
      <c r="C81">
        <f t="shared" si="0"/>
        <v>80</v>
      </c>
      <c r="D81"/>
      <c r="E81" t="s">
        <v>252</v>
      </c>
      <c r="F81">
        <v>2</v>
      </c>
      <c r="G81">
        <v>0.23398190000000002</v>
      </c>
      <c r="H81"/>
      <c r="I81"/>
      <c r="J81"/>
      <c r="K81"/>
      <c r="L81">
        <v>0</v>
      </c>
      <c r="M81"/>
      <c r="N81">
        <v>0</v>
      </c>
      <c r="O81"/>
      <c r="P81"/>
      <c r="Q81"/>
    </row>
    <row r="82" spans="3:17" ht="15" customHeight="1" x14ac:dyDescent="0.15">
      <c r="C82">
        <f t="shared" si="0"/>
        <v>81</v>
      </c>
      <c r="D82"/>
      <c r="E82" t="s">
        <v>253</v>
      </c>
      <c r="F82">
        <v>2</v>
      </c>
      <c r="G82" s="191">
        <v>10</v>
      </c>
      <c r="H82"/>
      <c r="I82"/>
      <c r="J82"/>
      <c r="K82"/>
      <c r="L82">
        <v>0</v>
      </c>
      <c r="M82"/>
      <c r="N82">
        <v>0</v>
      </c>
      <c r="O82"/>
      <c r="P82"/>
      <c r="Q82"/>
    </row>
    <row r="83" spans="3:17" ht="15" customHeight="1" x14ac:dyDescent="0.15">
      <c r="C83">
        <f t="shared" si="0"/>
        <v>82</v>
      </c>
      <c r="D83"/>
      <c r="E83" t="s">
        <v>254</v>
      </c>
      <c r="F83">
        <v>2</v>
      </c>
      <c r="G83" s="191">
        <v>5</v>
      </c>
      <c r="H83"/>
      <c r="I83"/>
      <c r="J83"/>
      <c r="K83"/>
      <c r="L83">
        <v>0</v>
      </c>
      <c r="M83"/>
      <c r="N83">
        <v>0</v>
      </c>
      <c r="O83"/>
      <c r="P83"/>
      <c r="Q83"/>
    </row>
    <row r="84" spans="3:17" ht="15" customHeight="1" x14ac:dyDescent="0.15">
      <c r="C84">
        <f t="shared" si="0"/>
        <v>83</v>
      </c>
      <c r="D84"/>
      <c r="E84" t="s">
        <v>255</v>
      </c>
      <c r="F84">
        <v>2</v>
      </c>
      <c r="G84" s="191">
        <v>10</v>
      </c>
      <c r="H84"/>
      <c r="I84"/>
      <c r="J84"/>
      <c r="K84"/>
      <c r="L84">
        <v>0</v>
      </c>
      <c r="M84"/>
      <c r="N84">
        <v>0</v>
      </c>
      <c r="O84"/>
      <c r="P84"/>
      <c r="Q84"/>
    </row>
    <row r="85" spans="3:17" ht="15" customHeight="1" x14ac:dyDescent="0.15">
      <c r="C85">
        <f t="shared" si="0"/>
        <v>84</v>
      </c>
      <c r="D85"/>
      <c r="E85" t="s">
        <v>256</v>
      </c>
      <c r="F85">
        <v>3</v>
      </c>
      <c r="G85"/>
      <c r="H85"/>
      <c r="I85"/>
      <c r="J85"/>
      <c r="K85"/>
      <c r="L85">
        <v>0</v>
      </c>
      <c r="M85"/>
      <c r="N85">
        <v>0</v>
      </c>
      <c r="O85"/>
      <c r="P85"/>
      <c r="Q85"/>
    </row>
    <row r="86" spans="3:17" ht="15" customHeight="1" x14ac:dyDescent="0.15">
      <c r="C86">
        <f t="shared" si="0"/>
        <v>85</v>
      </c>
      <c r="D86"/>
      <c r="E86" t="s">
        <v>257</v>
      </c>
      <c r="F86">
        <v>3</v>
      </c>
      <c r="G86"/>
      <c r="H86"/>
      <c r="I86"/>
      <c r="J86"/>
      <c r="K86"/>
      <c r="L86">
        <v>0</v>
      </c>
      <c r="M86"/>
      <c r="N86">
        <v>0</v>
      </c>
      <c r="O86"/>
      <c r="P86"/>
      <c r="Q86"/>
    </row>
    <row r="87" spans="3:17" ht="15" customHeight="1" x14ac:dyDescent="0.15">
      <c r="C87">
        <f t="shared" si="0"/>
        <v>86</v>
      </c>
      <c r="D87"/>
      <c r="E87" t="s">
        <v>258</v>
      </c>
      <c r="F87">
        <v>3</v>
      </c>
      <c r="G87"/>
      <c r="H87"/>
      <c r="I87"/>
      <c r="J87"/>
      <c r="K87"/>
      <c r="L87">
        <v>0</v>
      </c>
      <c r="M87"/>
      <c r="N87">
        <v>0</v>
      </c>
      <c r="O87"/>
      <c r="P87"/>
      <c r="Q87"/>
    </row>
    <row r="88" spans="3:17" ht="15" customHeight="1" x14ac:dyDescent="0.15">
      <c r="C88">
        <f t="shared" si="0"/>
        <v>87</v>
      </c>
      <c r="D88"/>
      <c r="E88" t="s">
        <v>259</v>
      </c>
      <c r="F88">
        <v>3</v>
      </c>
      <c r="G88"/>
      <c r="H88"/>
      <c r="I88"/>
      <c r="J88"/>
      <c r="K88"/>
      <c r="L88">
        <v>0</v>
      </c>
      <c r="M88"/>
      <c r="N88">
        <v>0</v>
      </c>
      <c r="O88"/>
      <c r="P88"/>
      <c r="Q88"/>
    </row>
    <row r="89" spans="3:17" ht="15" customHeight="1" x14ac:dyDescent="0.15">
      <c r="C89">
        <f t="shared" si="0"/>
        <v>88</v>
      </c>
      <c r="D89"/>
      <c r="E89" t="s">
        <v>260</v>
      </c>
      <c r="F89">
        <v>3</v>
      </c>
      <c r="G89"/>
      <c r="H89"/>
      <c r="I89"/>
      <c r="J89"/>
      <c r="K89"/>
      <c r="L89">
        <v>0</v>
      </c>
      <c r="M89"/>
      <c r="N89">
        <v>0</v>
      </c>
      <c r="O89"/>
      <c r="P89"/>
      <c r="Q89"/>
    </row>
    <row r="90" spans="3:17" ht="15" customHeight="1" x14ac:dyDescent="0.15">
      <c r="C90">
        <f t="shared" si="0"/>
        <v>89</v>
      </c>
      <c r="D90"/>
      <c r="E90" t="s">
        <v>261</v>
      </c>
      <c r="F90">
        <v>3</v>
      </c>
      <c r="G90"/>
      <c r="H90"/>
      <c r="I90"/>
      <c r="J90"/>
      <c r="K90"/>
      <c r="L90">
        <v>0</v>
      </c>
      <c r="M90"/>
      <c r="N90">
        <v>0</v>
      </c>
      <c r="O90"/>
      <c r="P90"/>
      <c r="Q90"/>
    </row>
    <row r="91" spans="3:17" ht="15" customHeight="1" x14ac:dyDescent="0.15">
      <c r="C91">
        <f t="shared" si="0"/>
        <v>90</v>
      </c>
      <c r="D91"/>
      <c r="E91" t="s">
        <v>262</v>
      </c>
      <c r="F91">
        <v>3</v>
      </c>
      <c r="G91"/>
      <c r="H91"/>
      <c r="I91"/>
      <c r="J91"/>
      <c r="K91"/>
      <c r="L91">
        <v>0</v>
      </c>
      <c r="M91"/>
      <c r="N91">
        <v>0</v>
      </c>
      <c r="O91"/>
      <c r="P91"/>
      <c r="Q91"/>
    </row>
    <row r="92" spans="3:17" ht="15" customHeight="1" x14ac:dyDescent="0.15">
      <c r="C92">
        <f t="shared" si="0"/>
        <v>91</v>
      </c>
      <c r="D92"/>
      <c r="E92" t="s">
        <v>263</v>
      </c>
      <c r="F92">
        <v>3</v>
      </c>
      <c r="G92"/>
      <c r="H92"/>
      <c r="I92"/>
      <c r="J92"/>
      <c r="K92"/>
      <c r="L92">
        <v>0</v>
      </c>
      <c r="M92"/>
      <c r="N92">
        <v>0</v>
      </c>
      <c r="O92"/>
      <c r="P92"/>
      <c r="Q92"/>
    </row>
    <row r="93" spans="3:17" ht="15" customHeight="1" x14ac:dyDescent="0.15">
      <c r="C93">
        <f t="shared" si="0"/>
        <v>92</v>
      </c>
      <c r="D93"/>
      <c r="E93" t="s">
        <v>264</v>
      </c>
      <c r="F93">
        <v>3</v>
      </c>
      <c r="G93"/>
      <c r="H93"/>
      <c r="I93"/>
      <c r="J93"/>
      <c r="K93"/>
      <c r="L93">
        <v>0</v>
      </c>
      <c r="M93"/>
      <c r="N93">
        <v>0</v>
      </c>
      <c r="O93"/>
      <c r="P93"/>
      <c r="Q93"/>
    </row>
    <row r="94" spans="3:17" ht="15" customHeight="1" x14ac:dyDescent="0.15">
      <c r="C94">
        <f t="shared" si="0"/>
        <v>93</v>
      </c>
      <c r="D94"/>
      <c r="E94" t="s">
        <v>265</v>
      </c>
      <c r="F94">
        <v>3</v>
      </c>
      <c r="G94"/>
      <c r="H94"/>
      <c r="I94"/>
      <c r="J94"/>
      <c r="K94"/>
      <c r="L94">
        <v>0</v>
      </c>
      <c r="M94"/>
      <c r="N94">
        <v>0</v>
      </c>
      <c r="O94"/>
      <c r="P94"/>
      <c r="Q94"/>
    </row>
    <row r="95" spans="3:17" ht="15" customHeight="1" x14ac:dyDescent="0.15">
      <c r="C95">
        <f t="shared" si="0"/>
        <v>94</v>
      </c>
      <c r="D95"/>
      <c r="E95" t="s">
        <v>266</v>
      </c>
      <c r="F95">
        <v>3</v>
      </c>
      <c r="G95"/>
      <c r="H95"/>
      <c r="I95"/>
      <c r="J95"/>
      <c r="K95"/>
      <c r="L95">
        <v>0</v>
      </c>
      <c r="M95"/>
      <c r="N95">
        <v>0</v>
      </c>
      <c r="O95"/>
      <c r="P95"/>
      <c r="Q95"/>
    </row>
    <row r="96" spans="3:17" ht="15" customHeight="1" x14ac:dyDescent="0.15">
      <c r="C96">
        <f t="shared" si="0"/>
        <v>95</v>
      </c>
      <c r="D96"/>
      <c r="E96" t="s">
        <v>267</v>
      </c>
      <c r="F96">
        <v>3</v>
      </c>
      <c r="G96"/>
      <c r="H96"/>
      <c r="I96"/>
      <c r="J96"/>
      <c r="K96"/>
      <c r="L96">
        <v>0</v>
      </c>
      <c r="M96"/>
      <c r="N96">
        <v>0</v>
      </c>
      <c r="O96"/>
      <c r="P96"/>
      <c r="Q96"/>
    </row>
    <row r="97" spans="3:17" ht="15" customHeight="1" x14ac:dyDescent="0.15">
      <c r="C97">
        <f t="shared" si="0"/>
        <v>96</v>
      </c>
      <c r="D97"/>
      <c r="E97" t="s">
        <v>268</v>
      </c>
      <c r="F97">
        <v>3</v>
      </c>
      <c r="G97"/>
      <c r="H97"/>
      <c r="I97"/>
      <c r="J97"/>
      <c r="K97"/>
      <c r="L97">
        <v>0</v>
      </c>
      <c r="M97"/>
      <c r="N97">
        <v>0</v>
      </c>
      <c r="O97"/>
      <c r="P97"/>
      <c r="Q97"/>
    </row>
    <row r="98" spans="3:17" ht="15" customHeight="1" x14ac:dyDescent="0.15">
      <c r="C98">
        <f t="shared" si="0"/>
        <v>97</v>
      </c>
      <c r="D98"/>
      <c r="E98" t="s">
        <v>269</v>
      </c>
      <c r="F98">
        <v>3</v>
      </c>
      <c r="G98"/>
      <c r="H98"/>
      <c r="I98"/>
      <c r="J98"/>
      <c r="K98"/>
      <c r="L98">
        <v>0</v>
      </c>
      <c r="M98"/>
      <c r="N98">
        <v>0</v>
      </c>
      <c r="O98"/>
      <c r="P98"/>
      <c r="Q98"/>
    </row>
    <row r="99" spans="3:17" ht="15" customHeight="1" x14ac:dyDescent="0.15">
      <c r="C99">
        <f t="shared" si="0"/>
        <v>98</v>
      </c>
      <c r="D99"/>
      <c r="E99" t="s">
        <v>270</v>
      </c>
      <c r="F99">
        <v>3</v>
      </c>
      <c r="G99"/>
      <c r="H99"/>
      <c r="I99"/>
      <c r="J99"/>
      <c r="K99"/>
      <c r="L99">
        <v>0</v>
      </c>
      <c r="M99"/>
      <c r="N99">
        <v>0</v>
      </c>
      <c r="O99"/>
      <c r="P99"/>
      <c r="Q99"/>
    </row>
    <row r="100" spans="3:17" ht="15" customHeight="1" x14ac:dyDescent="0.15">
      <c r="C100">
        <f t="shared" si="0"/>
        <v>99</v>
      </c>
      <c r="D100"/>
      <c r="E100" t="s">
        <v>271</v>
      </c>
      <c r="F100">
        <v>3</v>
      </c>
      <c r="G100"/>
      <c r="H100"/>
      <c r="I100"/>
      <c r="J100"/>
      <c r="K100"/>
      <c r="L100">
        <v>0</v>
      </c>
      <c r="M100"/>
      <c r="N100">
        <v>0</v>
      </c>
      <c r="O100"/>
      <c r="P100"/>
      <c r="Q100"/>
    </row>
    <row r="101" spans="3:17" ht="15" customHeight="1" x14ac:dyDescent="0.15">
      <c r="C101">
        <f t="shared" si="0"/>
        <v>100</v>
      </c>
      <c r="D101"/>
      <c r="E101" t="s">
        <v>272</v>
      </c>
      <c r="F101">
        <v>3</v>
      </c>
      <c r="G101"/>
      <c r="H101"/>
      <c r="I101"/>
      <c r="J101"/>
      <c r="K101"/>
      <c r="L101">
        <v>0</v>
      </c>
      <c r="M101"/>
      <c r="N101">
        <v>0</v>
      </c>
      <c r="O101"/>
      <c r="P101"/>
      <c r="Q101"/>
    </row>
    <row r="102" spans="3:17" ht="15" customHeight="1" x14ac:dyDescent="0.15"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3:17" customFormat="1" ht="15" customHeight="1" x14ac:dyDescent="0.15"/>
    <row r="104" spans="3:17" customFormat="1" ht="15" customHeight="1" x14ac:dyDescent="0.15"/>
    <row r="105" spans="3:17" customFormat="1" ht="13" x14ac:dyDescent="0.15">
      <c r="D105" s="167" t="s">
        <v>400</v>
      </c>
    </row>
    <row r="106" spans="3:17" customFormat="1" ht="13" x14ac:dyDescent="0.15"/>
    <row r="107" spans="3:17" customFormat="1" ht="13" x14ac:dyDescent="0.15">
      <c r="D107" t="s">
        <v>401</v>
      </c>
      <c r="E107" t="s">
        <v>402</v>
      </c>
    </row>
    <row r="108" spans="3:17" customFormat="1" ht="13" x14ac:dyDescent="0.15">
      <c r="E108" t="s">
        <v>403</v>
      </c>
      <c r="H108" s="190" t="s">
        <v>404</v>
      </c>
      <c r="I108" s="190"/>
      <c r="J108" s="190"/>
      <c r="K108" s="190"/>
      <c r="L108" s="190"/>
      <c r="M108" s="190"/>
      <c r="N108" s="190"/>
    </row>
    <row r="109" spans="3:17" customFormat="1" ht="13" x14ac:dyDescent="0.15">
      <c r="E109" t="s">
        <v>405</v>
      </c>
    </row>
    <row r="110" spans="3:17" customFormat="1" ht="13" x14ac:dyDescent="0.15">
      <c r="E110" t="s">
        <v>406</v>
      </c>
    </row>
    <row r="111" spans="3:17" customFormat="1" ht="13" x14ac:dyDescent="0.15"/>
    <row r="112" spans="3:17" customFormat="1" ht="13" x14ac:dyDescent="0.15">
      <c r="D112" t="s">
        <v>407</v>
      </c>
      <c r="E112" t="s">
        <v>408</v>
      </c>
    </row>
    <row r="113" spans="4:7" customFormat="1" ht="13" x14ac:dyDescent="0.15"/>
    <row r="114" spans="4:7" customFormat="1" ht="13" x14ac:dyDescent="0.15">
      <c r="D114" t="s">
        <v>409</v>
      </c>
      <c r="E114" t="s">
        <v>410</v>
      </c>
    </row>
    <row r="115" spans="4:7" customFormat="1" ht="13" x14ac:dyDescent="0.15">
      <c r="E115" s="196" t="s">
        <v>179</v>
      </c>
      <c r="G115" t="s">
        <v>411</v>
      </c>
    </row>
    <row r="116" spans="4:7" customFormat="1" ht="13" x14ac:dyDescent="0.15">
      <c r="E116" s="196" t="s">
        <v>180</v>
      </c>
      <c r="G116" t="s">
        <v>411</v>
      </c>
    </row>
    <row r="117" spans="4:7" customFormat="1" ht="13" x14ac:dyDescent="0.15">
      <c r="E117" s="196" t="s">
        <v>181</v>
      </c>
      <c r="G117" t="s">
        <v>411</v>
      </c>
    </row>
    <row r="118" spans="4:7" customFormat="1" ht="13" x14ac:dyDescent="0.15">
      <c r="E118" s="196" t="s">
        <v>185</v>
      </c>
      <c r="G118" t="s">
        <v>412</v>
      </c>
    </row>
    <row r="119" spans="4:7" customFormat="1" ht="13" x14ac:dyDescent="0.15"/>
    <row r="120" spans="4:7" customFormat="1" ht="13" x14ac:dyDescent="0.15">
      <c r="E120" s="196" t="s">
        <v>193</v>
      </c>
      <c r="G120" t="s">
        <v>413</v>
      </c>
    </row>
    <row r="121" spans="4:7" customFormat="1" ht="13" x14ac:dyDescent="0.15">
      <c r="E121" s="196" t="s">
        <v>194</v>
      </c>
      <c r="G121" t="s">
        <v>413</v>
      </c>
    </row>
    <row r="122" spans="4:7" customFormat="1" ht="13" x14ac:dyDescent="0.15">
      <c r="E122" s="196" t="s">
        <v>195</v>
      </c>
      <c r="G122" t="s">
        <v>413</v>
      </c>
    </row>
    <row r="123" spans="4:7" customFormat="1" ht="13" x14ac:dyDescent="0.15">
      <c r="E123" s="196" t="s">
        <v>196</v>
      </c>
      <c r="G123" t="s">
        <v>413</v>
      </c>
    </row>
    <row r="124" spans="4:7" customFormat="1" ht="13" x14ac:dyDescent="0.15">
      <c r="E124" s="196" t="s">
        <v>197</v>
      </c>
      <c r="G124" t="s">
        <v>413</v>
      </c>
    </row>
    <row r="125" spans="4:7" customFormat="1" ht="13" x14ac:dyDescent="0.15">
      <c r="E125" s="196" t="s">
        <v>198</v>
      </c>
      <c r="G125" t="s">
        <v>413</v>
      </c>
    </row>
    <row r="126" spans="4:7" customFormat="1" ht="13" x14ac:dyDescent="0.15"/>
    <row r="127" spans="4:7" customFormat="1" ht="13" x14ac:dyDescent="0.15">
      <c r="E127" s="196" t="s">
        <v>233</v>
      </c>
      <c r="G127" t="s">
        <v>414</v>
      </c>
    </row>
    <row r="128" spans="4:7" customFormat="1" ht="13" x14ac:dyDescent="0.15">
      <c r="E128" s="196" t="s">
        <v>234</v>
      </c>
      <c r="G128" t="s">
        <v>414</v>
      </c>
    </row>
    <row r="129" spans="4:7" customFormat="1" ht="13" x14ac:dyDescent="0.15"/>
    <row r="130" spans="4:7" customFormat="1" ht="13" x14ac:dyDescent="0.15">
      <c r="E130" t="s">
        <v>415</v>
      </c>
    </row>
    <row r="131" spans="4:7" customFormat="1" ht="13" x14ac:dyDescent="0.15"/>
    <row r="132" spans="4:7" customFormat="1" ht="13" x14ac:dyDescent="0.15">
      <c r="D132" t="s">
        <v>416</v>
      </c>
      <c r="E132" t="s">
        <v>417</v>
      </c>
    </row>
    <row r="133" spans="4:7" customFormat="1" ht="13" x14ac:dyDescent="0.15">
      <c r="E133" s="192" t="s">
        <v>192</v>
      </c>
      <c r="G133" t="s">
        <v>418</v>
      </c>
    </row>
    <row r="134" spans="4:7" customFormat="1" ht="13" x14ac:dyDescent="0.15">
      <c r="E134" s="192" t="s">
        <v>200</v>
      </c>
      <c r="G134" t="s">
        <v>418</v>
      </c>
    </row>
    <row r="135" spans="4:7" customFormat="1" ht="13" x14ac:dyDescent="0.15">
      <c r="E135" s="192" t="s">
        <v>210</v>
      </c>
      <c r="G135" t="s">
        <v>419</v>
      </c>
    </row>
    <row r="136" spans="4:7" customFormat="1" ht="13" x14ac:dyDescent="0.15">
      <c r="E136" s="192" t="s">
        <v>211</v>
      </c>
      <c r="G136" t="s">
        <v>418</v>
      </c>
    </row>
    <row r="137" spans="4:7" customFormat="1" ht="13" x14ac:dyDescent="0.15"/>
    <row r="138" spans="4:7" customFormat="1" ht="13" x14ac:dyDescent="0.15">
      <c r="D138" t="s">
        <v>420</v>
      </c>
      <c r="E138" t="s">
        <v>421</v>
      </c>
    </row>
    <row r="139" spans="4:7" customFormat="1" ht="13" x14ac:dyDescent="0.15">
      <c r="E139" s="197" t="s">
        <v>211</v>
      </c>
    </row>
    <row r="140" spans="4:7" customFormat="1" ht="13" x14ac:dyDescent="0.15"/>
    <row r="141" spans="4:7" customFormat="1" ht="13" x14ac:dyDescent="0.15">
      <c r="E141" t="s">
        <v>422</v>
      </c>
    </row>
    <row r="142" spans="4:7" customFormat="1" ht="13" x14ac:dyDescent="0.15">
      <c r="E142" s="198" t="s">
        <v>214</v>
      </c>
    </row>
    <row r="143" spans="4:7" customFormat="1" ht="13" x14ac:dyDescent="0.15">
      <c r="F143" t="s">
        <v>423</v>
      </c>
    </row>
    <row r="144" spans="4:7" customFormat="1" ht="13" x14ac:dyDescent="0.15">
      <c r="G144" s="198" t="s">
        <v>424</v>
      </c>
    </row>
    <row r="145" spans="4:7" customFormat="1" ht="13" x14ac:dyDescent="0.15">
      <c r="F145" t="s">
        <v>425</v>
      </c>
    </row>
    <row r="146" spans="4:7" customFormat="1" ht="13" x14ac:dyDescent="0.15">
      <c r="G146" s="198" t="s">
        <v>229</v>
      </c>
    </row>
    <row r="147" spans="4:7" customFormat="1" ht="13" x14ac:dyDescent="0.15">
      <c r="G147" s="198" t="s">
        <v>426</v>
      </c>
    </row>
    <row r="148" spans="4:7" customFormat="1" ht="13" x14ac:dyDescent="0.15"/>
    <row r="149" spans="4:7" customFormat="1" ht="13" x14ac:dyDescent="0.15">
      <c r="D149" t="s">
        <v>427</v>
      </c>
      <c r="E149" t="s">
        <v>428</v>
      </c>
    </row>
    <row r="150" spans="4:7" customFormat="1" ht="13" x14ac:dyDescent="0.15">
      <c r="E150" s="199" t="s">
        <v>249</v>
      </c>
      <c r="F150">
        <v>2.8879999999999999E-3</v>
      </c>
    </row>
    <row r="151" spans="4:7" customFormat="1" ht="13" x14ac:dyDescent="0.15">
      <c r="F151">
        <v>6.4323660000000005E-2</v>
      </c>
      <c r="G151" t="s">
        <v>429</v>
      </c>
    </row>
    <row r="152" spans="4:7" customFormat="1" ht="13" x14ac:dyDescent="0.15">
      <c r="F152" s="199">
        <f>F150+F151</f>
        <v>6.7211660000000006E-2</v>
      </c>
      <c r="G152" t="s">
        <v>430</v>
      </c>
    </row>
    <row r="153" spans="4:7" customFormat="1" ht="13" x14ac:dyDescent="0.15">
      <c r="E153" s="200" t="s">
        <v>431</v>
      </c>
    </row>
    <row r="154" spans="4:7" customFormat="1" ht="13" x14ac:dyDescent="0.15"/>
    <row r="155" spans="4:7" customFormat="1" ht="13" x14ac:dyDescent="0.15">
      <c r="D155" t="s">
        <v>432</v>
      </c>
      <c r="E155" t="s">
        <v>433</v>
      </c>
    </row>
    <row r="156" spans="4:7" customFormat="1" ht="13" x14ac:dyDescent="0.15"/>
    <row r="157" spans="4:7" customFormat="1" ht="13" x14ac:dyDescent="0.15">
      <c r="E157" t="s">
        <v>434</v>
      </c>
    </row>
    <row r="158" spans="4:7" customFormat="1" ht="13" x14ac:dyDescent="0.15">
      <c r="G158" s="201" t="s">
        <v>435</v>
      </c>
    </row>
    <row r="159" spans="4:7" customFormat="1" ht="13" x14ac:dyDescent="0.15">
      <c r="G159" s="201" t="s">
        <v>436</v>
      </c>
    </row>
    <row r="160" spans="4:7" customFormat="1" ht="13" x14ac:dyDescent="0.15">
      <c r="G160" s="201" t="s">
        <v>437</v>
      </c>
    </row>
    <row r="161" spans="7:7" customFormat="1" ht="13" x14ac:dyDescent="0.15">
      <c r="G161" s="201" t="s">
        <v>438</v>
      </c>
    </row>
    <row r="162" spans="7:7" customFormat="1" ht="13" x14ac:dyDescent="0.15">
      <c r="G162" s="201" t="s">
        <v>439</v>
      </c>
    </row>
    <row r="163" spans="7:7" customFormat="1" ht="13" x14ac:dyDescent="0.15">
      <c r="G163" s="201" t="s">
        <v>440</v>
      </c>
    </row>
    <row r="164" spans="7:7" customFormat="1" ht="13" x14ac:dyDescent="0.15">
      <c r="G164" s="201" t="s">
        <v>441</v>
      </c>
    </row>
    <row r="165" spans="7:7" customFormat="1" ht="13" x14ac:dyDescent="0.15">
      <c r="G165" s="201" t="s">
        <v>240</v>
      </c>
    </row>
    <row r="166" spans="7:7" customFormat="1" ht="13" x14ac:dyDescent="0.15">
      <c r="G166" s="201" t="s">
        <v>214</v>
      </c>
    </row>
    <row r="167" spans="7:7" customFormat="1" ht="13" x14ac:dyDescent="0.15">
      <c r="G167" s="201" t="s">
        <v>212</v>
      </c>
    </row>
    <row r="168" spans="7:7" customFormat="1" ht="13" x14ac:dyDescent="0.15">
      <c r="G168" s="201" t="s">
        <v>213</v>
      </c>
    </row>
    <row r="169" spans="7:7" customFormat="1" ht="13" x14ac:dyDescent="0.15">
      <c r="G169" s="201" t="s">
        <v>211</v>
      </c>
    </row>
    <row r="170" spans="7:7" customFormat="1" ht="13" x14ac:dyDescent="0.15">
      <c r="G170" s="201" t="s">
        <v>210</v>
      </c>
    </row>
    <row r="171" spans="7:7" customFormat="1" ht="13" x14ac:dyDescent="0.15">
      <c r="G171" s="201" t="s">
        <v>236</v>
      </c>
    </row>
    <row r="172" spans="7:7" customFormat="1" ht="13" x14ac:dyDescent="0.15">
      <c r="G172" s="201" t="s">
        <v>241</v>
      </c>
    </row>
    <row r="173" spans="7:7" customFormat="1" ht="13" x14ac:dyDescent="0.15">
      <c r="G173" s="201" t="s">
        <v>221</v>
      </c>
    </row>
    <row r="174" spans="7:7" customFormat="1" ht="13" x14ac:dyDescent="0.15">
      <c r="G174" s="201" t="s">
        <v>218</v>
      </c>
    </row>
    <row r="175" spans="7:7" customFormat="1" ht="13" x14ac:dyDescent="0.15">
      <c r="G175" s="201" t="s">
        <v>244</v>
      </c>
    </row>
    <row r="176" spans="7:7" customFormat="1" ht="13" x14ac:dyDescent="0.15">
      <c r="G176" s="201" t="s">
        <v>249</v>
      </c>
    </row>
    <row r="177" spans="4:37" customFormat="1" ht="13" x14ac:dyDescent="0.15">
      <c r="G177" s="201" t="s">
        <v>242</v>
      </c>
    </row>
    <row r="178" spans="4:37" customFormat="1" ht="13" x14ac:dyDescent="0.15">
      <c r="G178" s="201" t="s">
        <v>237</v>
      </c>
    </row>
    <row r="179" spans="4:37" customFormat="1" ht="13" x14ac:dyDescent="0.15"/>
    <row r="180" spans="4:37" customFormat="1" ht="13" x14ac:dyDescent="0.15">
      <c r="E180" t="s">
        <v>442</v>
      </c>
    </row>
    <row r="181" spans="4:37" customFormat="1" ht="13" x14ac:dyDescent="0.15"/>
    <row r="182" spans="4:37" customFormat="1" ht="14" thickBot="1" x14ac:dyDescent="0.2">
      <c r="T182" s="1" t="s">
        <v>0</v>
      </c>
      <c r="U182" s="1" t="s">
        <v>7</v>
      </c>
      <c r="V182" s="1" t="s">
        <v>15</v>
      </c>
      <c r="W182" s="1" t="s">
        <v>1</v>
      </c>
      <c r="X182" s="1" t="s">
        <v>2</v>
      </c>
      <c r="Y182" s="1" t="s">
        <v>16</v>
      </c>
      <c r="Z182" s="1" t="s">
        <v>3</v>
      </c>
      <c r="AA182" s="1" t="s">
        <v>4</v>
      </c>
      <c r="AB182" s="1" t="s">
        <v>5</v>
      </c>
      <c r="AC182" s="1" t="s">
        <v>6</v>
      </c>
    </row>
    <row r="183" spans="4:37" customFormat="1" ht="13" x14ac:dyDescent="0.15">
      <c r="D183" t="s">
        <v>443</v>
      </c>
      <c r="E183" s="193" t="s">
        <v>444</v>
      </c>
      <c r="T183" t="s">
        <v>188</v>
      </c>
      <c r="U183">
        <v>0</v>
      </c>
      <c r="V183">
        <v>4.9567999189999998</v>
      </c>
      <c r="W183">
        <v>15</v>
      </c>
      <c r="Z183">
        <v>0.25</v>
      </c>
      <c r="AB183">
        <v>0.2</v>
      </c>
      <c r="AC183">
        <v>0</v>
      </c>
      <c r="AE183" s="202"/>
      <c r="AF183" s="203"/>
      <c r="AG183" s="204"/>
      <c r="AH183" s="205" t="s">
        <v>445</v>
      </c>
      <c r="AI183" s="203"/>
      <c r="AJ183" s="203"/>
      <c r="AK183" s="30"/>
    </row>
    <row r="184" spans="4:37" customFormat="1" ht="14" thickBot="1" x14ac:dyDescent="0.2">
      <c r="F184" t="s">
        <v>446</v>
      </c>
      <c r="T184" t="s">
        <v>189</v>
      </c>
      <c r="U184">
        <v>0</v>
      </c>
      <c r="V184" s="206">
        <v>27</v>
      </c>
      <c r="W184">
        <v>6</v>
      </c>
      <c r="Z184">
        <v>0.25</v>
      </c>
      <c r="AB184">
        <v>0.2</v>
      </c>
      <c r="AC184">
        <v>0</v>
      </c>
      <c r="AE184" s="31"/>
      <c r="AK184" s="32"/>
    </row>
    <row r="185" spans="4:37" customFormat="1" ht="13" x14ac:dyDescent="0.15">
      <c r="E185" s="193" t="s">
        <v>447</v>
      </c>
      <c r="T185" t="s">
        <v>190</v>
      </c>
      <c r="U185">
        <v>0</v>
      </c>
      <c r="V185" s="206">
        <v>11</v>
      </c>
      <c r="W185">
        <v>7</v>
      </c>
      <c r="Z185">
        <v>0.25</v>
      </c>
      <c r="AB185">
        <v>0.2</v>
      </c>
      <c r="AC185">
        <v>0</v>
      </c>
      <c r="AE185" s="202" t="s">
        <v>448</v>
      </c>
      <c r="AF185" s="203" t="s">
        <v>449</v>
      </c>
      <c r="AG185" s="207">
        <v>8</v>
      </c>
      <c r="AH185" s="208"/>
      <c r="AI185" s="202" t="s">
        <v>450</v>
      </c>
      <c r="AJ185" s="203" t="s">
        <v>449</v>
      </c>
      <c r="AK185" s="30">
        <v>12</v>
      </c>
    </row>
    <row r="186" spans="4:37" customFormat="1" ht="13" x14ac:dyDescent="0.15">
      <c r="T186" t="s">
        <v>191</v>
      </c>
      <c r="U186">
        <v>0</v>
      </c>
      <c r="W186">
        <v>3</v>
      </c>
      <c r="Y186">
        <v>0.85</v>
      </c>
      <c r="Z186">
        <v>0.25</v>
      </c>
      <c r="AB186">
        <v>0.2</v>
      </c>
      <c r="AC186">
        <v>0</v>
      </c>
      <c r="AE186" s="31"/>
      <c r="AG186" s="32"/>
      <c r="AH186" s="208"/>
      <c r="AI186" s="31"/>
      <c r="AK186" s="32"/>
    </row>
    <row r="187" spans="4:37" customFormat="1" ht="13" x14ac:dyDescent="0.15">
      <c r="E187" s="193" t="s">
        <v>451</v>
      </c>
      <c r="T187" t="s">
        <v>192</v>
      </c>
      <c r="U187">
        <v>0</v>
      </c>
      <c r="V187" s="192">
        <v>5.0000000000000001E-3</v>
      </c>
      <c r="W187" s="190">
        <v>2.75</v>
      </c>
      <c r="Z187">
        <v>0.25</v>
      </c>
      <c r="AB187">
        <v>0.2</v>
      </c>
      <c r="AC187">
        <v>0</v>
      </c>
      <c r="AE187" s="31" t="s">
        <v>452</v>
      </c>
      <c r="AF187" t="s">
        <v>19</v>
      </c>
      <c r="AG187" s="209" t="s">
        <v>167</v>
      </c>
      <c r="AH187" s="208"/>
      <c r="AI187" s="31" t="s">
        <v>452</v>
      </c>
      <c r="AJ187" t="s">
        <v>19</v>
      </c>
      <c r="AK187" s="209" t="s">
        <v>167</v>
      </c>
    </row>
    <row r="188" spans="4:37" customFormat="1" ht="13" x14ac:dyDescent="0.15">
      <c r="T188" t="s">
        <v>193</v>
      </c>
      <c r="U188">
        <v>0</v>
      </c>
      <c r="V188" s="193">
        <v>1.9506704999999998</v>
      </c>
      <c r="W188" s="193">
        <v>1.8</v>
      </c>
      <c r="Z188">
        <v>0.25</v>
      </c>
      <c r="AB188">
        <v>0.2</v>
      </c>
      <c r="AC188">
        <v>0</v>
      </c>
      <c r="AD188">
        <f>W188/AE188</f>
        <v>0.66666666666666663</v>
      </c>
      <c r="AE188" s="210">
        <v>2.7</v>
      </c>
      <c r="AF188" s="196">
        <v>1.3004469999999999</v>
      </c>
      <c r="AG188" s="209">
        <f t="shared" ref="AG188:AG197" si="1">AE188*AF188</f>
        <v>3.5112068999999999</v>
      </c>
      <c r="AH188" s="208"/>
      <c r="AI188" s="31">
        <f>AK188/AJ188</f>
        <v>420.12393656128557</v>
      </c>
      <c r="AJ188">
        <f>(AF188/8)*$AK$195</f>
        <v>8.3575502237250004E-3</v>
      </c>
      <c r="AK188" s="32">
        <v>3.5112068999999999</v>
      </c>
    </row>
    <row r="189" spans="4:37" customFormat="1" ht="13" x14ac:dyDescent="0.15">
      <c r="D189" t="s">
        <v>453</v>
      </c>
      <c r="E189" t="s">
        <v>454</v>
      </c>
      <c r="T189" t="s">
        <v>194</v>
      </c>
      <c r="U189">
        <v>0</v>
      </c>
      <c r="V189" s="193">
        <v>0.10723049999999999</v>
      </c>
      <c r="W189" s="193">
        <v>1.1333333333333333</v>
      </c>
      <c r="Z189">
        <v>0.25</v>
      </c>
      <c r="AB189">
        <v>0.2</v>
      </c>
      <c r="AC189">
        <v>0</v>
      </c>
      <c r="AD189">
        <f t="shared" ref="AD189:AD197" si="2">W189/AE189</f>
        <v>0.66666666666666663</v>
      </c>
      <c r="AE189" s="210">
        <v>1.7</v>
      </c>
      <c r="AF189" s="196">
        <v>7.1486999999999995E-2</v>
      </c>
      <c r="AG189" s="209">
        <f t="shared" si="1"/>
        <v>0.12152789999999999</v>
      </c>
      <c r="AH189" s="208"/>
      <c r="AI189" s="31">
        <f t="shared" ref="AI189:AI197" si="3">AK189/AJ189</f>
        <v>264.52247857562423</v>
      </c>
      <c r="AJ189">
        <f t="shared" ref="AJ189:AJ197" si="4">(AF189/8)*$AK$195</f>
        <v>4.5942371572500003E-4</v>
      </c>
      <c r="AK189" s="32">
        <v>0.12152789999999999</v>
      </c>
    </row>
    <row r="190" spans="4:37" customFormat="1" ht="13" x14ac:dyDescent="0.15">
      <c r="F190" t="s">
        <v>455</v>
      </c>
      <c r="T190" t="s">
        <v>195</v>
      </c>
      <c r="U190">
        <v>0</v>
      </c>
      <c r="V190" s="193">
        <v>20.883696</v>
      </c>
      <c r="W190" s="193">
        <v>1.1333333333333333</v>
      </c>
      <c r="Z190">
        <v>0.25</v>
      </c>
      <c r="AB190">
        <v>0.2</v>
      </c>
      <c r="AC190">
        <v>0</v>
      </c>
      <c r="AD190">
        <f t="shared" si="2"/>
        <v>0.66666666666666663</v>
      </c>
      <c r="AE190" s="210">
        <v>1.7</v>
      </c>
      <c r="AF190" s="196">
        <v>13.922464</v>
      </c>
      <c r="AG190" s="209">
        <f t="shared" si="1"/>
        <v>23.668188799999999</v>
      </c>
      <c r="AH190" s="208"/>
      <c r="AI190" s="31">
        <f t="shared" si="3"/>
        <v>264.52247857562423</v>
      </c>
      <c r="AJ190">
        <f t="shared" si="4"/>
        <v>8.9475151327200006E-2</v>
      </c>
      <c r="AK190" s="32">
        <v>23.668188799999999</v>
      </c>
    </row>
    <row r="191" spans="4:37" customFormat="1" ht="13" x14ac:dyDescent="0.15">
      <c r="F191" t="s">
        <v>456</v>
      </c>
      <c r="T191" t="s">
        <v>196</v>
      </c>
      <c r="U191">
        <v>0</v>
      </c>
      <c r="V191" s="193">
        <v>3.5435399999999997</v>
      </c>
      <c r="W191" s="193">
        <v>1.8</v>
      </c>
      <c r="Z191">
        <v>0.25</v>
      </c>
      <c r="AB191">
        <v>0.2</v>
      </c>
      <c r="AC191">
        <v>0</v>
      </c>
      <c r="AD191">
        <f t="shared" si="2"/>
        <v>0.66666666666666663</v>
      </c>
      <c r="AE191" s="210">
        <v>2.7</v>
      </c>
      <c r="AF191" s="196">
        <v>2.3623599999999998</v>
      </c>
      <c r="AG191" s="209">
        <f t="shared" si="1"/>
        <v>6.3783719999999997</v>
      </c>
      <c r="AH191" s="208"/>
      <c r="AI191" s="31">
        <f t="shared" si="3"/>
        <v>420.12393656128552</v>
      </c>
      <c r="AJ191">
        <f t="shared" si="4"/>
        <v>1.5182119953000001E-2</v>
      </c>
      <c r="AK191" s="32">
        <v>6.3783719999999997</v>
      </c>
    </row>
    <row r="192" spans="4:37" customFormat="1" ht="13" x14ac:dyDescent="0.15">
      <c r="G192" s="206" t="s">
        <v>457</v>
      </c>
      <c r="T192" t="s">
        <v>197</v>
      </c>
      <c r="U192">
        <v>0</v>
      </c>
      <c r="V192" s="193">
        <v>6.0302640000000007</v>
      </c>
      <c r="W192" s="193">
        <v>1.8</v>
      </c>
      <c r="Z192">
        <v>0.25</v>
      </c>
      <c r="AB192">
        <v>0.2</v>
      </c>
      <c r="AC192">
        <v>0</v>
      </c>
      <c r="AD192">
        <f t="shared" si="2"/>
        <v>0.66666666666666663</v>
      </c>
      <c r="AE192" s="210">
        <v>2.7</v>
      </c>
      <c r="AF192" s="196">
        <v>4.0201760000000002</v>
      </c>
      <c r="AG192" s="209">
        <f t="shared" si="1"/>
        <v>10.854475200000001</v>
      </c>
      <c r="AH192" s="208"/>
      <c r="AI192" s="31">
        <f t="shared" si="3"/>
        <v>420.12393656128557</v>
      </c>
      <c r="AJ192">
        <f t="shared" si="4"/>
        <v>2.5836364594800005E-2</v>
      </c>
      <c r="AK192" s="32">
        <v>10.854475200000001</v>
      </c>
    </row>
    <row r="193" spans="6:37" customFormat="1" ht="13" x14ac:dyDescent="0.15">
      <c r="F193" t="s">
        <v>219</v>
      </c>
      <c r="T193" t="s">
        <v>198</v>
      </c>
      <c r="U193">
        <v>0</v>
      </c>
      <c r="V193" s="193">
        <v>2.7709499999999998E-2</v>
      </c>
      <c r="W193" s="193">
        <v>1.1333333333333333</v>
      </c>
      <c r="Z193">
        <v>0.25</v>
      </c>
      <c r="AB193">
        <v>0.2</v>
      </c>
      <c r="AC193">
        <v>0</v>
      </c>
      <c r="AD193">
        <f t="shared" si="2"/>
        <v>0.66666666666666663</v>
      </c>
      <c r="AE193" s="210">
        <v>1.7</v>
      </c>
      <c r="AF193" s="196">
        <v>1.8473E-2</v>
      </c>
      <c r="AG193" s="209">
        <f t="shared" si="1"/>
        <v>3.1404099999999997E-2</v>
      </c>
      <c r="AH193" s="208"/>
      <c r="AI193" s="31">
        <f t="shared" si="3"/>
        <v>264.52247857562423</v>
      </c>
      <c r="AJ193">
        <f t="shared" si="4"/>
        <v>1.1871996727500001E-4</v>
      </c>
      <c r="AK193" s="32">
        <v>3.1404099999999997E-2</v>
      </c>
    </row>
    <row r="194" spans="6:37" customFormat="1" ht="13" x14ac:dyDescent="0.15">
      <c r="G194" t="s">
        <v>458</v>
      </c>
      <c r="T194" t="s">
        <v>273</v>
      </c>
      <c r="U194">
        <v>0</v>
      </c>
      <c r="V194" s="193">
        <v>5.8871999999999994E-2</v>
      </c>
      <c r="W194" s="193">
        <v>1.8</v>
      </c>
      <c r="Z194">
        <v>0.25</v>
      </c>
      <c r="AB194">
        <v>0.2</v>
      </c>
      <c r="AC194">
        <v>0</v>
      </c>
      <c r="AD194">
        <f t="shared" si="2"/>
        <v>0.66666666666666663</v>
      </c>
      <c r="AE194" s="210">
        <v>2.7</v>
      </c>
      <c r="AF194">
        <v>3.9247999999999998E-2</v>
      </c>
      <c r="AG194" s="209">
        <f t="shared" si="1"/>
        <v>0.1059696</v>
      </c>
      <c r="AH194" s="208"/>
      <c r="AI194" s="31">
        <f t="shared" si="3"/>
        <v>420.12393656128557</v>
      </c>
      <c r="AJ194">
        <f t="shared" si="4"/>
        <v>2.522341404E-4</v>
      </c>
      <c r="AK194" s="32">
        <v>0.1059696</v>
      </c>
    </row>
    <row r="195" spans="6:37" customFormat="1" ht="13" x14ac:dyDescent="0.15">
      <c r="T195" t="s">
        <v>398</v>
      </c>
      <c r="U195">
        <v>0</v>
      </c>
      <c r="V195" s="193">
        <v>2.8562999999999998E-2</v>
      </c>
      <c r="W195" s="193">
        <v>1.8</v>
      </c>
      <c r="Z195">
        <v>0.25</v>
      </c>
      <c r="AB195">
        <v>0.2</v>
      </c>
      <c r="AC195">
        <v>0</v>
      </c>
      <c r="AD195">
        <f t="shared" si="2"/>
        <v>0.66666666666666663</v>
      </c>
      <c r="AE195" s="210">
        <v>2.7</v>
      </c>
      <c r="AF195">
        <v>1.9042E-2</v>
      </c>
      <c r="AG195" s="209">
        <f t="shared" si="1"/>
        <v>5.1413400000000005E-2</v>
      </c>
      <c r="AH195" s="208"/>
      <c r="AI195" s="31">
        <f t="shared" si="3"/>
        <v>420.12393656128563</v>
      </c>
      <c r="AJ195">
        <f t="shared" si="4"/>
        <v>1.2237674535E-4</v>
      </c>
      <c r="AK195" s="32">
        <v>5.1413400000000005E-2</v>
      </c>
    </row>
    <row r="196" spans="6:37" customFormat="1" ht="13" x14ac:dyDescent="0.15">
      <c r="F196" t="s">
        <v>217</v>
      </c>
      <c r="T196" t="s">
        <v>399</v>
      </c>
      <c r="U196">
        <v>0</v>
      </c>
      <c r="V196" s="193">
        <v>8.4506999999999999E-2</v>
      </c>
      <c r="W196" s="193">
        <v>1.1333333333333333</v>
      </c>
      <c r="Z196">
        <v>0.25</v>
      </c>
      <c r="AB196">
        <v>0.2</v>
      </c>
      <c r="AC196">
        <v>0</v>
      </c>
      <c r="AD196">
        <f t="shared" si="2"/>
        <v>0.66666666666666663</v>
      </c>
      <c r="AE196" s="210">
        <v>1.7</v>
      </c>
      <c r="AF196">
        <v>5.6337999999999999E-2</v>
      </c>
      <c r="AG196" s="209">
        <f t="shared" si="1"/>
        <v>9.5774600000000001E-2</v>
      </c>
      <c r="AH196" s="208"/>
      <c r="AI196" s="31">
        <f t="shared" si="3"/>
        <v>264.52247857562423</v>
      </c>
      <c r="AJ196">
        <f t="shared" si="4"/>
        <v>3.6206601615000004E-4</v>
      </c>
      <c r="AK196" s="32">
        <v>9.5774600000000001E-2</v>
      </c>
    </row>
    <row r="197" spans="6:37" customFormat="1" ht="14" thickBot="1" x14ac:dyDescent="0.2">
      <c r="G197" t="s">
        <v>459</v>
      </c>
      <c r="T197" t="s">
        <v>199</v>
      </c>
      <c r="U197">
        <v>0</v>
      </c>
      <c r="V197" s="193">
        <v>8.6040000000000005E-3</v>
      </c>
      <c r="W197" s="193">
        <v>1.8</v>
      </c>
      <c r="Z197">
        <v>0.25</v>
      </c>
      <c r="AB197">
        <v>0.2</v>
      </c>
      <c r="AC197">
        <v>0</v>
      </c>
      <c r="AD197">
        <f t="shared" si="2"/>
        <v>0.66666666666666663</v>
      </c>
      <c r="AE197" s="211">
        <v>2.7</v>
      </c>
      <c r="AF197" s="212">
        <v>5.7359999999999998E-3</v>
      </c>
      <c r="AG197" s="213">
        <f t="shared" si="1"/>
        <v>1.54872E-2</v>
      </c>
      <c r="AH197" s="208"/>
      <c r="AI197" s="214">
        <f t="shared" si="3"/>
        <v>420.12393656128552</v>
      </c>
      <c r="AJ197">
        <f t="shared" si="4"/>
        <v>3.6863407800000002E-5</v>
      </c>
      <c r="AK197" s="33">
        <v>1.54872E-2</v>
      </c>
    </row>
    <row r="198" spans="6:37" customFormat="1" ht="14" thickBot="1" x14ac:dyDescent="0.2">
      <c r="G198" t="s">
        <v>458</v>
      </c>
      <c r="T198" t="s">
        <v>200</v>
      </c>
      <c r="U198">
        <v>0</v>
      </c>
      <c r="V198" s="192">
        <v>1</v>
      </c>
      <c r="W198" s="190">
        <v>1.75</v>
      </c>
      <c r="Z198" s="190">
        <v>0.25</v>
      </c>
      <c r="AB198">
        <v>0.2</v>
      </c>
      <c r="AC198">
        <v>0</v>
      </c>
      <c r="AE198" s="214"/>
      <c r="AF198" s="212"/>
      <c r="AG198" s="215"/>
      <c r="AH198" s="215"/>
      <c r="AI198" s="212"/>
      <c r="AJ198" s="212"/>
      <c r="AK198" s="33"/>
    </row>
    <row r="199" spans="6:37" customFormat="1" ht="13" x14ac:dyDescent="0.15">
      <c r="Y199" s="208"/>
      <c r="Z199" s="208"/>
    </row>
    <row r="200" spans="6:37" customFormat="1" ht="13" x14ac:dyDescent="0.15">
      <c r="F200" t="s">
        <v>189</v>
      </c>
      <c r="W200">
        <v>2.5</v>
      </c>
      <c r="Y200" s="208"/>
      <c r="Z200" s="208"/>
    </row>
    <row r="201" spans="6:37" customFormat="1" ht="13" x14ac:dyDescent="0.15">
      <c r="F201" t="s">
        <v>190</v>
      </c>
    </row>
    <row r="202" spans="6:37" customFormat="1" ht="13" x14ac:dyDescent="0.15">
      <c r="G202" s="206" t="s">
        <v>460</v>
      </c>
    </row>
    <row r="203" spans="6:37" customFormat="1" ht="13" x14ac:dyDescent="0.15"/>
    <row r="204" spans="6:37" customFormat="1" ht="13" x14ac:dyDescent="0.15">
      <c r="F204" t="s">
        <v>461</v>
      </c>
    </row>
    <row r="205" spans="6:37" customFormat="1" ht="13" x14ac:dyDescent="0.15">
      <c r="G205" t="s">
        <v>462</v>
      </c>
    </row>
    <row r="206" spans="6:37" customFormat="1" ht="13" x14ac:dyDescent="0.15"/>
    <row r="207" spans="6:37" customFormat="1" ht="13" x14ac:dyDescent="0.15">
      <c r="F207" t="s">
        <v>208</v>
      </c>
    </row>
    <row r="208" spans="6:37" customFormat="1" ht="13" x14ac:dyDescent="0.15">
      <c r="G208" t="s">
        <v>208</v>
      </c>
    </row>
    <row r="209" spans="4:7" customFormat="1" ht="13" x14ac:dyDescent="0.15"/>
    <row r="210" spans="4:7" customFormat="1" ht="13" x14ac:dyDescent="0.15">
      <c r="F210" t="s">
        <v>201</v>
      </c>
    </row>
    <row r="211" spans="4:7" customFormat="1" ht="13" x14ac:dyDescent="0.15">
      <c r="G211" t="s">
        <v>208</v>
      </c>
    </row>
    <row r="212" spans="4:7" customFormat="1" ht="13" x14ac:dyDescent="0.15"/>
    <row r="213" spans="4:7" customFormat="1" ht="13" x14ac:dyDescent="0.15">
      <c r="F213" t="s">
        <v>463</v>
      </c>
    </row>
    <row r="214" spans="4:7" customFormat="1" ht="13" x14ac:dyDescent="0.15">
      <c r="G214" t="s">
        <v>464</v>
      </c>
    </row>
    <row r="215" spans="4:7" customFormat="1" ht="13" x14ac:dyDescent="0.15"/>
    <row r="216" spans="4:7" customFormat="1" ht="13" x14ac:dyDescent="0.15"/>
    <row r="217" spans="4:7" customFormat="1" ht="13" x14ac:dyDescent="0.15">
      <c r="D217" t="s">
        <v>453</v>
      </c>
      <c r="E217" t="s">
        <v>465</v>
      </c>
    </row>
    <row r="218" spans="4:7" customFormat="1" ht="13" x14ac:dyDescent="0.15">
      <c r="E218" t="s">
        <v>466</v>
      </c>
    </row>
    <row r="219" spans="4:7" customFormat="1" ht="13" x14ac:dyDescent="0.15"/>
    <row r="220" spans="4:7" customFormat="1" ht="13" x14ac:dyDescent="0.15"/>
    <row r="221" spans="4:7" customFormat="1" ht="13" x14ac:dyDescent="0.15"/>
    <row r="222" spans="4:7" customFormat="1" ht="13" x14ac:dyDescent="0.15"/>
    <row r="223" spans="4:7" customFormat="1" ht="13" x14ac:dyDescent="0.15">
      <c r="D223" t="s">
        <v>453</v>
      </c>
      <c r="E223" t="s">
        <v>467</v>
      </c>
    </row>
    <row r="224" spans="4:7" customFormat="1" ht="13" x14ac:dyDescent="0.15">
      <c r="E224" t="s">
        <v>468</v>
      </c>
    </row>
    <row r="225" spans="3:8" customFormat="1" ht="13" x14ac:dyDescent="0.15"/>
    <row r="226" spans="3:8" customFormat="1" ht="13" x14ac:dyDescent="0.15"/>
    <row r="227" spans="3:8" customFormat="1" ht="13" x14ac:dyDescent="0.15"/>
    <row r="228" spans="3:8" customFormat="1" ht="13" x14ac:dyDescent="0.15">
      <c r="C228" s="1" t="s">
        <v>469</v>
      </c>
    </row>
    <row r="229" spans="3:8" customFormat="1" ht="13" x14ac:dyDescent="0.15"/>
    <row r="230" spans="3:8" customFormat="1" ht="13" x14ac:dyDescent="0.15"/>
    <row r="231" spans="3:8" customFormat="1" ht="13" x14ac:dyDescent="0.15">
      <c r="D231" t="s">
        <v>470</v>
      </c>
      <c r="E231" s="29" t="s">
        <v>471</v>
      </c>
    </row>
    <row r="232" spans="3:8" customFormat="1" ht="13" x14ac:dyDescent="0.15">
      <c r="E232" t="s">
        <v>472</v>
      </c>
    </row>
    <row r="233" spans="3:8" customFormat="1" ht="13" x14ac:dyDescent="0.15">
      <c r="E233" t="s">
        <v>473</v>
      </c>
    </row>
    <row r="234" spans="3:8" customFormat="1" ht="13" x14ac:dyDescent="0.15"/>
    <row r="235" spans="3:8" customFormat="1" ht="13" x14ac:dyDescent="0.15">
      <c r="D235" t="s">
        <v>474</v>
      </c>
      <c r="E235" t="s">
        <v>475</v>
      </c>
      <c r="F235" t="s">
        <v>476</v>
      </c>
    </row>
    <row r="236" spans="3:8" customFormat="1" ht="13" x14ac:dyDescent="0.15"/>
    <row r="237" spans="3:8" customFormat="1" ht="13" x14ac:dyDescent="0.15">
      <c r="F237" t="s">
        <v>458</v>
      </c>
    </row>
    <row r="238" spans="3:8" customFormat="1" ht="13" x14ac:dyDescent="0.15">
      <c r="G238" t="s">
        <v>477</v>
      </c>
      <c r="H238" t="s">
        <v>450</v>
      </c>
    </row>
    <row r="239" spans="3:8" customFormat="1" ht="13" x14ac:dyDescent="0.15">
      <c r="F239" t="s">
        <v>210</v>
      </c>
      <c r="G239" s="118">
        <v>0.25750000000000001</v>
      </c>
      <c r="H239">
        <v>0.1</v>
      </c>
    </row>
    <row r="240" spans="3:8" customFormat="1" ht="13" x14ac:dyDescent="0.15">
      <c r="F240" t="s">
        <v>255</v>
      </c>
      <c r="G240">
        <v>5.0000000000000001E-3</v>
      </c>
      <c r="H240">
        <v>0.16245999999999999</v>
      </c>
    </row>
    <row r="241" spans="4:8" customFormat="1" ht="13" x14ac:dyDescent="0.15"/>
    <row r="242" spans="4:8" customFormat="1" ht="13" x14ac:dyDescent="0.15"/>
    <row r="243" spans="4:8" customFormat="1" ht="13" x14ac:dyDescent="0.15">
      <c r="D243" t="s">
        <v>478</v>
      </c>
      <c r="E243" t="s">
        <v>479</v>
      </c>
      <c r="F243" t="s">
        <v>480</v>
      </c>
    </row>
    <row r="244" spans="4:8" customFormat="1" ht="13" x14ac:dyDescent="0.15">
      <c r="E244" t="s">
        <v>481</v>
      </c>
      <c r="F244" t="s">
        <v>482</v>
      </c>
    </row>
    <row r="245" spans="4:8" customFormat="1" ht="13" x14ac:dyDescent="0.15"/>
    <row r="246" spans="4:8" customFormat="1" ht="13" x14ac:dyDescent="0.15">
      <c r="D246" t="s">
        <v>483</v>
      </c>
      <c r="E246" t="s">
        <v>484</v>
      </c>
    </row>
    <row r="247" spans="4:8" customFormat="1" ht="13" x14ac:dyDescent="0.15"/>
    <row r="248" spans="4:8" customFormat="1" ht="13" x14ac:dyDescent="0.15">
      <c r="F248" t="s">
        <v>458</v>
      </c>
    </row>
    <row r="249" spans="4:8" customFormat="1" ht="13" x14ac:dyDescent="0.15">
      <c r="G249" t="s">
        <v>477</v>
      </c>
      <c r="H249" t="s">
        <v>450</v>
      </c>
    </row>
    <row r="250" spans="4:8" customFormat="1" ht="13" x14ac:dyDescent="0.15">
      <c r="F250" t="s">
        <v>220</v>
      </c>
      <c r="G250" s="118">
        <v>2.0601052885477901E-2</v>
      </c>
      <c r="H250">
        <v>0.01</v>
      </c>
    </row>
    <row r="251" spans="4:8" customFormat="1" ht="13" x14ac:dyDescent="0.15">
      <c r="F251" t="s">
        <v>255</v>
      </c>
      <c r="G251">
        <v>0.16245999999999999</v>
      </c>
      <c r="H251">
        <f>G250-H250+G251</f>
        <v>0.17306105288547791</v>
      </c>
    </row>
    <row r="252" spans="4:8" customFormat="1" ht="13" x14ac:dyDescent="0.15"/>
    <row r="253" spans="4:8" customFormat="1" ht="13" x14ac:dyDescent="0.15">
      <c r="D253" t="s">
        <v>485</v>
      </c>
      <c r="E253" t="s">
        <v>486</v>
      </c>
    </row>
    <row r="254" spans="4:8" customFormat="1" ht="13" x14ac:dyDescent="0.15">
      <c r="F254" t="s">
        <v>458</v>
      </c>
    </row>
    <row r="255" spans="4:8" customFormat="1" ht="13" x14ac:dyDescent="0.15">
      <c r="G255" t="s">
        <v>477</v>
      </c>
      <c r="H255" t="s">
        <v>450</v>
      </c>
    </row>
    <row r="256" spans="4:8" customFormat="1" ht="13" x14ac:dyDescent="0.15">
      <c r="F256" t="s">
        <v>217</v>
      </c>
      <c r="G256" s="118">
        <v>5.5646999803120158E-3</v>
      </c>
      <c r="H256">
        <v>4.0000000000000001E-3</v>
      </c>
    </row>
    <row r="257" spans="4:8" customFormat="1" ht="13" x14ac:dyDescent="0.15">
      <c r="F257" t="s">
        <v>255</v>
      </c>
      <c r="G257">
        <v>0.17306105288547799</v>
      </c>
      <c r="H257">
        <f>G257+(G256-H256)</f>
        <v>0.17462575286579002</v>
      </c>
    </row>
    <row r="258" spans="4:8" customFormat="1" ht="13" x14ac:dyDescent="0.15"/>
    <row r="259" spans="4:8" customFormat="1" ht="13" x14ac:dyDescent="0.15">
      <c r="F259" t="s">
        <v>459</v>
      </c>
    </row>
    <row r="260" spans="4:8" customFormat="1" ht="13" x14ac:dyDescent="0.15">
      <c r="G260" t="s">
        <v>477</v>
      </c>
      <c r="H260" t="s">
        <v>450</v>
      </c>
    </row>
    <row r="261" spans="4:8" customFormat="1" ht="13" x14ac:dyDescent="0.15">
      <c r="F261" t="s">
        <v>217</v>
      </c>
      <c r="G261" s="118">
        <v>8.4569908515380182E-3</v>
      </c>
      <c r="H261">
        <v>5.0000000000000001E-3</v>
      </c>
    </row>
    <row r="262" spans="4:8" customFormat="1" ht="13" x14ac:dyDescent="0.15">
      <c r="F262" t="s">
        <v>255</v>
      </c>
      <c r="G262">
        <v>0</v>
      </c>
      <c r="H262">
        <f>G262+(G261-H261)</f>
        <v>3.4569908515380181E-3</v>
      </c>
    </row>
    <row r="263" spans="4:8" customFormat="1" ht="13" x14ac:dyDescent="0.15"/>
    <row r="264" spans="4:8" customFormat="1" ht="13" x14ac:dyDescent="0.15"/>
    <row r="265" spans="4:8" customFormat="1" ht="13" x14ac:dyDescent="0.15">
      <c r="D265" t="s">
        <v>487</v>
      </c>
      <c r="E265" t="s">
        <v>488</v>
      </c>
    </row>
    <row r="266" spans="4:8" customFormat="1" ht="13" x14ac:dyDescent="0.15">
      <c r="F266" t="s">
        <v>489</v>
      </c>
    </row>
    <row r="267" spans="4:8" customFormat="1" ht="13" x14ac:dyDescent="0.15">
      <c r="G267" t="s">
        <v>477</v>
      </c>
      <c r="H267" t="s">
        <v>450</v>
      </c>
    </row>
    <row r="268" spans="4:8" customFormat="1" ht="13" x14ac:dyDescent="0.15">
      <c r="F268" t="s">
        <v>213</v>
      </c>
      <c r="G268" s="216">
        <v>0.02</v>
      </c>
      <c r="H268">
        <v>1.4999999999999999E-2</v>
      </c>
    </row>
    <row r="269" spans="4:8" customFormat="1" ht="13" x14ac:dyDescent="0.15">
      <c r="F269" t="s">
        <v>255</v>
      </c>
      <c r="G269" s="217">
        <v>0</v>
      </c>
      <c r="H269">
        <v>5.0000000000000001E-3</v>
      </c>
    </row>
    <row r="270" spans="4:8" customFormat="1" ht="13" x14ac:dyDescent="0.15"/>
    <row r="271" spans="4:8" customFormat="1" ht="13" x14ac:dyDescent="0.15">
      <c r="F271" t="s">
        <v>490</v>
      </c>
    </row>
    <row r="272" spans="4:8" customFormat="1" ht="13" x14ac:dyDescent="0.15">
      <c r="G272" t="s">
        <v>477</v>
      </c>
      <c r="H272" t="s">
        <v>450</v>
      </c>
    </row>
    <row r="273" spans="4:8" customFormat="1" ht="13" x14ac:dyDescent="0.15">
      <c r="F273" t="s">
        <v>213</v>
      </c>
      <c r="G273" s="216">
        <v>0.02</v>
      </c>
      <c r="H273">
        <v>1.4999999999999999E-2</v>
      </c>
    </row>
    <row r="274" spans="4:8" customFormat="1" ht="13" x14ac:dyDescent="0.15">
      <c r="F274" t="s">
        <v>255</v>
      </c>
      <c r="G274" s="217">
        <v>0</v>
      </c>
      <c r="H274">
        <v>5.0000000000000001E-3</v>
      </c>
    </row>
    <row r="275" spans="4:8" customFormat="1" ht="13" x14ac:dyDescent="0.15"/>
    <row r="276" spans="4:8" customFormat="1" ht="13" x14ac:dyDescent="0.15">
      <c r="D276" t="s">
        <v>491</v>
      </c>
      <c r="E276" t="s">
        <v>202</v>
      </c>
    </row>
    <row r="277" spans="4:8" customFormat="1" ht="13" x14ac:dyDescent="0.15">
      <c r="E277" t="s">
        <v>203</v>
      </c>
    </row>
    <row r="278" spans="4:8" customFormat="1" ht="13" x14ac:dyDescent="0.15">
      <c r="E278" t="s">
        <v>204</v>
      </c>
    </row>
    <row r="279" spans="4:8" customFormat="1" ht="13" x14ac:dyDescent="0.15">
      <c r="F279" t="s">
        <v>492</v>
      </c>
    </row>
    <row r="280" spans="4:8" customFormat="1" ht="13" x14ac:dyDescent="0.15">
      <c r="G280" t="s">
        <v>477</v>
      </c>
      <c r="H280" t="s">
        <v>450</v>
      </c>
    </row>
    <row r="281" spans="4:8" customFormat="1" ht="13" x14ac:dyDescent="0.15">
      <c r="F281" t="s">
        <v>202</v>
      </c>
      <c r="G281" s="216">
        <v>6.8633925174516247E-2</v>
      </c>
      <c r="H281" s="216">
        <v>5.3381941802401536E-2</v>
      </c>
    </row>
    <row r="282" spans="4:8" customFormat="1" ht="13" x14ac:dyDescent="0.15">
      <c r="F282" t="s">
        <v>203</v>
      </c>
      <c r="G282" s="216">
        <v>1.6168022929733593E-2</v>
      </c>
      <c r="H282" s="216">
        <v>1.2575128945348351E-2</v>
      </c>
    </row>
    <row r="283" spans="4:8" customFormat="1" ht="13" x14ac:dyDescent="0.15">
      <c r="F283" t="s">
        <v>204</v>
      </c>
      <c r="G283" s="216">
        <v>5.1980518957501507E-3</v>
      </c>
      <c r="H283" s="216">
        <v>4.0429292522501173E-3</v>
      </c>
    </row>
    <row r="284" spans="4:8" customFormat="1" ht="13" x14ac:dyDescent="0.15">
      <c r="F284" t="s">
        <v>255</v>
      </c>
      <c r="G284">
        <v>5.0000000000000001E-3</v>
      </c>
      <c r="H284">
        <f>G284+(G281-H281+G282-H282+G283-H283)</f>
        <v>2.4999999999999984E-2</v>
      </c>
    </row>
    <row r="285" spans="4:8" customFormat="1" ht="13" x14ac:dyDescent="0.15"/>
    <row r="286" spans="4:8" customFormat="1" ht="13" x14ac:dyDescent="0.15">
      <c r="F286" t="s">
        <v>493</v>
      </c>
    </row>
    <row r="287" spans="4:8" customFormat="1" ht="13" x14ac:dyDescent="0.15"/>
    <row r="288" spans="4:8" customFormat="1" ht="13" x14ac:dyDescent="0.15"/>
    <row r="289" spans="6:9" customFormat="1" ht="13" x14ac:dyDescent="0.15">
      <c r="H289" t="s">
        <v>494</v>
      </c>
      <c r="I289" t="s">
        <v>495</v>
      </c>
    </row>
    <row r="290" spans="6:9" customFormat="1" ht="13" x14ac:dyDescent="0.15">
      <c r="G290" t="s">
        <v>202</v>
      </c>
      <c r="H290">
        <v>0.20842800000000003</v>
      </c>
      <c r="I290" s="170">
        <v>0.23972299999999999</v>
      </c>
    </row>
    <row r="291" spans="6:9" customFormat="1" ht="13" x14ac:dyDescent="0.15">
      <c r="G291" t="s">
        <v>203</v>
      </c>
      <c r="H291">
        <v>0.117838</v>
      </c>
      <c r="I291" s="170">
        <v>0.13780200000000001</v>
      </c>
    </row>
    <row r="292" spans="6:9" customFormat="1" ht="13" x14ac:dyDescent="0.15">
      <c r="G292" t="s">
        <v>204</v>
      </c>
      <c r="H292">
        <v>1.4954666666666666E-2</v>
      </c>
      <c r="I292" s="170">
        <v>1.7913999999999999E-2</v>
      </c>
    </row>
    <row r="293" spans="6:9" customFormat="1" ht="13" x14ac:dyDescent="0.15"/>
    <row r="294" spans="6:9" customFormat="1" ht="13" x14ac:dyDescent="0.15">
      <c r="F294" t="s">
        <v>496</v>
      </c>
    </row>
    <row r="295" spans="6:9" customFormat="1" ht="13" x14ac:dyDescent="0.15">
      <c r="G295" t="s">
        <v>202</v>
      </c>
      <c r="H295" t="s">
        <v>497</v>
      </c>
    </row>
    <row r="296" spans="6:9" customFormat="1" ht="13" x14ac:dyDescent="0.15">
      <c r="G296" t="s">
        <v>203</v>
      </c>
      <c r="H296" t="s">
        <v>498</v>
      </c>
    </row>
    <row r="297" spans="6:9" customFormat="1" ht="13" x14ac:dyDescent="0.15">
      <c r="G297" t="s">
        <v>204</v>
      </c>
      <c r="H297" t="s">
        <v>499</v>
      </c>
    </row>
    <row r="298" spans="6:9" customFormat="1" ht="13" x14ac:dyDescent="0.15"/>
    <row r="299" spans="6:9" customFormat="1" ht="13" x14ac:dyDescent="0.15">
      <c r="F299" t="s">
        <v>500</v>
      </c>
    </row>
    <row r="300" spans="6:9" customFormat="1" ht="13" x14ac:dyDescent="0.15"/>
    <row r="301" spans="6:9" customFormat="1" ht="13" x14ac:dyDescent="0.15">
      <c r="H301" t="s">
        <v>494</v>
      </c>
      <c r="I301" t="s">
        <v>450</v>
      </c>
    </row>
    <row r="302" spans="6:9" customFormat="1" ht="13" x14ac:dyDescent="0.15">
      <c r="G302" t="s">
        <v>202</v>
      </c>
      <c r="H302" s="216">
        <v>5.3094841832776643E-2</v>
      </c>
      <c r="I302">
        <v>4.5509864428094259E-2</v>
      </c>
    </row>
    <row r="303" spans="6:9" customFormat="1" ht="13" x14ac:dyDescent="0.15">
      <c r="G303" t="s">
        <v>203</v>
      </c>
      <c r="H303" s="216">
        <v>1.2717065450263234E-2</v>
      </c>
      <c r="I303">
        <v>1.0900341814511341E-2</v>
      </c>
    </row>
    <row r="304" spans="6:9" customFormat="1" ht="13" x14ac:dyDescent="0.15">
      <c r="G304" t="s">
        <v>204</v>
      </c>
      <c r="H304" s="216">
        <v>4.1880927169601337E-3</v>
      </c>
      <c r="I304">
        <v>3.5897937573943998E-3</v>
      </c>
    </row>
    <row r="305" spans="4:9" customFormat="1" ht="13" x14ac:dyDescent="0.15"/>
    <row r="306" spans="4:9" customFormat="1" ht="13" x14ac:dyDescent="0.15">
      <c r="F306" t="s">
        <v>500</v>
      </c>
    </row>
    <row r="307" spans="4:9" customFormat="1" ht="13" x14ac:dyDescent="0.15"/>
    <row r="308" spans="4:9" customFormat="1" ht="13" x14ac:dyDescent="0.15">
      <c r="H308" t="s">
        <v>494</v>
      </c>
      <c r="I308" t="s">
        <v>450</v>
      </c>
    </row>
    <row r="309" spans="4:9" customFormat="1" ht="13" x14ac:dyDescent="0.15">
      <c r="G309" t="s">
        <v>202</v>
      </c>
      <c r="H309" s="216">
        <v>4.5509864428094259E-2</v>
      </c>
      <c r="I309">
        <v>0.06</v>
      </c>
    </row>
    <row r="310" spans="4:9" customFormat="1" ht="13" x14ac:dyDescent="0.15">
      <c r="G310" t="s">
        <v>203</v>
      </c>
      <c r="H310" s="216">
        <v>1.0900341814511341E-2</v>
      </c>
      <c r="I310">
        <v>1.0900341814511341E-2</v>
      </c>
    </row>
    <row r="311" spans="4:9" customFormat="1" ht="13" x14ac:dyDescent="0.15">
      <c r="G311" t="s">
        <v>204</v>
      </c>
      <c r="H311" s="216">
        <v>3.5897937573943998E-3</v>
      </c>
      <c r="I311">
        <v>3.5897937573943998E-3</v>
      </c>
    </row>
    <row r="312" spans="4:9" customFormat="1" ht="13" x14ac:dyDescent="0.15"/>
    <row r="313" spans="4:9" customFormat="1" ht="13" x14ac:dyDescent="0.15">
      <c r="D313" t="s">
        <v>501</v>
      </c>
      <c r="E313" t="s">
        <v>502</v>
      </c>
      <c r="F313" t="s">
        <v>503</v>
      </c>
    </row>
    <row r="314" spans="4:9" customFormat="1" ht="13" x14ac:dyDescent="0.15"/>
    <row r="315" spans="4:9" customFormat="1" ht="13" x14ac:dyDescent="0.15"/>
    <row r="316" spans="4:9" customFormat="1" ht="13" x14ac:dyDescent="0.15">
      <c r="F316" t="s">
        <v>504</v>
      </c>
      <c r="H316" t="s">
        <v>494</v>
      </c>
      <c r="I316" t="s">
        <v>450</v>
      </c>
    </row>
    <row r="317" spans="4:9" customFormat="1" ht="13" x14ac:dyDescent="0.15">
      <c r="G317" t="s">
        <v>505</v>
      </c>
      <c r="H317">
        <v>0.3</v>
      </c>
      <c r="I317">
        <v>0.15</v>
      </c>
    </row>
    <row r="318" spans="4:9" customFormat="1" ht="13" x14ac:dyDescent="0.15">
      <c r="G318" t="s">
        <v>255</v>
      </c>
      <c r="H318">
        <v>0</v>
      </c>
      <c r="I318">
        <v>0.15</v>
      </c>
    </row>
    <row r="319" spans="4:9" customFormat="1" ht="13" x14ac:dyDescent="0.15"/>
    <row r="320" spans="4:9" customFormat="1" ht="13" x14ac:dyDescent="0.15"/>
    <row r="321" spans="4:13" customFormat="1" ht="13" x14ac:dyDescent="0.15"/>
    <row r="322" spans="4:13" customFormat="1" ht="13" x14ac:dyDescent="0.15">
      <c r="D322" t="s">
        <v>506</v>
      </c>
      <c r="E322" t="s">
        <v>507</v>
      </c>
    </row>
    <row r="323" spans="4:13" customFormat="1" ht="13" x14ac:dyDescent="0.15">
      <c r="G323" t="s">
        <v>508</v>
      </c>
      <c r="H323" t="s">
        <v>509</v>
      </c>
    </row>
    <row r="324" spans="4:13" customFormat="1" ht="13" x14ac:dyDescent="0.15">
      <c r="I324" t="s">
        <v>510</v>
      </c>
      <c r="K324" t="s">
        <v>494</v>
      </c>
      <c r="L324" t="s">
        <v>450</v>
      </c>
      <c r="M324" t="s">
        <v>511</v>
      </c>
    </row>
    <row r="325" spans="4:13" customFormat="1" ht="16" x14ac:dyDescent="0.2">
      <c r="H325" t="s">
        <v>255</v>
      </c>
      <c r="I325">
        <v>0</v>
      </c>
      <c r="K325" s="170">
        <v>1.0999999999999999E-2</v>
      </c>
      <c r="L325" s="188">
        <v>0.03</v>
      </c>
      <c r="M325" s="218" t="s">
        <v>186</v>
      </c>
    </row>
    <row r="326" spans="4:13" customFormat="1" ht="16" x14ac:dyDescent="0.2">
      <c r="K326" s="170"/>
      <c r="L326" s="188"/>
      <c r="M326" s="218" t="s">
        <v>187</v>
      </c>
    </row>
    <row r="327" spans="4:13" customFormat="1" ht="16" x14ac:dyDescent="0.2">
      <c r="K327" s="170">
        <v>1.0999999999999999E-2</v>
      </c>
      <c r="L327">
        <v>3.5000000000000003E-2</v>
      </c>
      <c r="M327" s="219" t="s">
        <v>185</v>
      </c>
    </row>
    <row r="328" spans="4:13" customFormat="1" ht="16" x14ac:dyDescent="0.2">
      <c r="K328" s="220">
        <v>8.0661740802532959E-3</v>
      </c>
      <c r="L328">
        <v>2.2499999999999999E-2</v>
      </c>
      <c r="M328" s="218" t="s">
        <v>222</v>
      </c>
    </row>
    <row r="329" spans="4:13" customFormat="1" ht="16" x14ac:dyDescent="0.2">
      <c r="K329" s="220">
        <v>1.4999999999999999E-2</v>
      </c>
      <c r="L329">
        <v>3.4866000000000001E-2</v>
      </c>
      <c r="M329" s="218" t="s">
        <v>223</v>
      </c>
    </row>
    <row r="330" spans="4:13" customFormat="1" ht="16" x14ac:dyDescent="0.2">
      <c r="K330" s="220">
        <v>2E-3</v>
      </c>
      <c r="L330">
        <v>5.0000000000000001E-3</v>
      </c>
      <c r="M330" s="218" t="s">
        <v>224</v>
      </c>
    </row>
    <row r="331" spans="4:13" customFormat="1" ht="16" x14ac:dyDescent="0.2">
      <c r="K331" s="220">
        <v>1.8100000000000002E-2</v>
      </c>
      <c r="L331">
        <v>0.05</v>
      </c>
      <c r="M331" s="219" t="s">
        <v>226</v>
      </c>
    </row>
    <row r="332" spans="4:13" customFormat="1" ht="16" x14ac:dyDescent="0.2">
      <c r="K332" s="220">
        <v>1.12E-2</v>
      </c>
      <c r="L332">
        <v>0.04</v>
      </c>
      <c r="M332" s="219" t="s">
        <v>227</v>
      </c>
    </row>
    <row r="333" spans="4:13" customFormat="1" ht="16" x14ac:dyDescent="0.2">
      <c r="K333" s="220">
        <v>1E-3</v>
      </c>
      <c r="L333">
        <v>5.0000000000000001E-3</v>
      </c>
      <c r="M333" s="219" t="s">
        <v>228</v>
      </c>
    </row>
    <row r="334" spans="4:13" customFormat="1" ht="16" x14ac:dyDescent="0.2">
      <c r="K334" s="220">
        <v>0</v>
      </c>
      <c r="L334">
        <v>5.0000000000000001E-3</v>
      </c>
      <c r="M334" s="219" t="s">
        <v>184</v>
      </c>
    </row>
    <row r="335" spans="4:13" customFormat="1" ht="13" x14ac:dyDescent="0.15"/>
    <row r="336" spans="4:13" customFormat="1" ht="13" x14ac:dyDescent="0.15">
      <c r="G336" t="s">
        <v>512</v>
      </c>
      <c r="H336" t="s">
        <v>247</v>
      </c>
    </row>
    <row r="337" spans="7:13" customFormat="1" ht="13" x14ac:dyDescent="0.15"/>
    <row r="338" spans="7:13" customFormat="1" ht="13" x14ac:dyDescent="0.15">
      <c r="I338" t="s">
        <v>510</v>
      </c>
      <c r="K338" t="s">
        <v>494</v>
      </c>
      <c r="L338" t="s">
        <v>450</v>
      </c>
    </row>
    <row r="339" spans="7:13" customFormat="1" ht="16" x14ac:dyDescent="0.2">
      <c r="H339" t="s">
        <v>255</v>
      </c>
      <c r="I339">
        <v>0</v>
      </c>
      <c r="K339" s="170">
        <v>0.02</v>
      </c>
      <c r="L339">
        <v>2.5000000000000001E-2</v>
      </c>
      <c r="M339" s="218" t="s">
        <v>235</v>
      </c>
    </row>
    <row r="340" spans="7:13" customFormat="1" ht="13" x14ac:dyDescent="0.15">
      <c r="K340" s="170">
        <v>0.11</v>
      </c>
      <c r="L340" s="188">
        <v>0.12</v>
      </c>
      <c r="M340" t="s">
        <v>233</v>
      </c>
    </row>
    <row r="341" spans="7:13" customFormat="1" ht="13" x14ac:dyDescent="0.15">
      <c r="K341" s="170"/>
      <c r="L341" s="188"/>
      <c r="M341" t="s">
        <v>234</v>
      </c>
    </row>
    <row r="342" spans="7:13" customFormat="1" ht="13" x14ac:dyDescent="0.15">
      <c r="K342" s="216">
        <v>4.3400000000000001E-2</v>
      </c>
      <c r="L342">
        <v>4.8862999999999997E-2</v>
      </c>
      <c r="M342" t="s">
        <v>229</v>
      </c>
    </row>
    <row r="343" spans="7:13" customFormat="1" ht="13" x14ac:dyDescent="0.15"/>
    <row r="344" spans="7:13" customFormat="1" ht="13" x14ac:dyDescent="0.15">
      <c r="G344" t="s">
        <v>513</v>
      </c>
      <c r="H344" t="s">
        <v>489</v>
      </c>
    </row>
    <row r="345" spans="7:13" customFormat="1" ht="13" x14ac:dyDescent="0.15"/>
    <row r="346" spans="7:13" customFormat="1" ht="13" x14ac:dyDescent="0.15">
      <c r="I346" t="s">
        <v>510</v>
      </c>
      <c r="K346" t="s">
        <v>494</v>
      </c>
      <c r="L346" t="s">
        <v>450</v>
      </c>
    </row>
    <row r="347" spans="7:13" customFormat="1" ht="13" x14ac:dyDescent="0.15">
      <c r="H347" t="s">
        <v>255</v>
      </c>
      <c r="I347">
        <v>0</v>
      </c>
      <c r="K347" s="170">
        <v>1.4999999999999999E-2</v>
      </c>
      <c r="L347">
        <v>0.02</v>
      </c>
      <c r="M347" t="s">
        <v>185</v>
      </c>
    </row>
    <row r="348" spans="7:13" customFormat="1" ht="13" x14ac:dyDescent="0.15"/>
    <row r="349" spans="7:13" customFormat="1" ht="13" x14ac:dyDescent="0.15"/>
    <row r="350" spans="7:13" customFormat="1" ht="13" x14ac:dyDescent="0.15">
      <c r="G350" t="s">
        <v>514</v>
      </c>
      <c r="H350" t="s">
        <v>209</v>
      </c>
    </row>
    <row r="351" spans="7:13" customFormat="1" ht="13" x14ac:dyDescent="0.15"/>
    <row r="352" spans="7:13" customFormat="1" ht="13" x14ac:dyDescent="0.15">
      <c r="I352" t="s">
        <v>510</v>
      </c>
      <c r="K352" t="s">
        <v>494</v>
      </c>
      <c r="L352" t="s">
        <v>450</v>
      </c>
    </row>
    <row r="353" spans="8:13" customFormat="1" ht="13" x14ac:dyDescent="0.15">
      <c r="H353" t="s">
        <v>255</v>
      </c>
      <c r="I353">
        <v>5.0000000000000001E-3</v>
      </c>
      <c r="K353" s="216">
        <v>1.5450789664108414E-2</v>
      </c>
      <c r="L353" s="118">
        <v>3.1E-2</v>
      </c>
      <c r="M353" t="s">
        <v>222</v>
      </c>
    </row>
    <row r="354" spans="8:13" customFormat="1" ht="13" x14ac:dyDescent="0.15">
      <c r="K354" s="216">
        <v>1.0901579328216801E-2</v>
      </c>
      <c r="L354" s="118">
        <v>2.2387000000000001E-2</v>
      </c>
      <c r="M354" t="s">
        <v>223</v>
      </c>
    </row>
    <row r="355" spans="8:13" customFormat="1" ht="13" x14ac:dyDescent="0.15">
      <c r="K355" s="216">
        <v>0.02</v>
      </c>
      <c r="L355" s="118">
        <f t="shared" ref="L355:L357" si="5">K355*2</f>
        <v>0.04</v>
      </c>
      <c r="M355" t="s">
        <v>224</v>
      </c>
    </row>
    <row r="356" spans="8:13" customFormat="1" ht="13" x14ac:dyDescent="0.15">
      <c r="I356" t="s">
        <v>515</v>
      </c>
      <c r="J356">
        <v>0.16962597309104532</v>
      </c>
      <c r="K356" s="216">
        <v>5.1502632213694714E-2</v>
      </c>
      <c r="L356" s="118">
        <v>0.105</v>
      </c>
      <c r="M356" t="s">
        <v>225</v>
      </c>
    </row>
    <row r="357" spans="8:13" customFormat="1" ht="13" x14ac:dyDescent="0.15">
      <c r="K357" s="216">
        <v>0.01</v>
      </c>
      <c r="L357" s="118">
        <f t="shared" si="5"/>
        <v>0.02</v>
      </c>
      <c r="M357" t="s">
        <v>229</v>
      </c>
    </row>
    <row r="358" spans="8:13" customFormat="1" ht="13" x14ac:dyDescent="0.15">
      <c r="K358" s="216">
        <v>2.5899999999999999E-2</v>
      </c>
      <c r="L358" s="118">
        <v>5.1999999999999998E-2</v>
      </c>
      <c r="M358" t="s">
        <v>235</v>
      </c>
    </row>
    <row r="359" spans="8:13" customFormat="1" ht="13" x14ac:dyDescent="0.15">
      <c r="K359" s="216">
        <v>1E-3</v>
      </c>
      <c r="L359" s="118">
        <v>5.0000000000000001E-3</v>
      </c>
      <c r="M359" t="s">
        <v>254</v>
      </c>
    </row>
    <row r="360" spans="8:13" customFormat="1" ht="13" x14ac:dyDescent="0.15">
      <c r="L360" s="118"/>
    </row>
    <row r="361" spans="8:13" customFormat="1" ht="13" x14ac:dyDescent="0.15">
      <c r="K361" s="216">
        <v>1.6938932503540673E-3</v>
      </c>
      <c r="L361" s="118">
        <v>5.0000000000000001E-3</v>
      </c>
      <c r="M361" t="s">
        <v>182</v>
      </c>
    </row>
    <row r="362" spans="8:13" customFormat="1" ht="13" x14ac:dyDescent="0.15">
      <c r="K362" s="221">
        <v>1.1433935696961205E-3</v>
      </c>
      <c r="L362" s="118">
        <v>3.0000000000000001E-3</v>
      </c>
      <c r="M362" t="s">
        <v>183</v>
      </c>
    </row>
    <row r="363" spans="8:13" customFormat="1" ht="13" x14ac:dyDescent="0.15">
      <c r="K363" s="216">
        <v>1.03E-2</v>
      </c>
      <c r="L363" s="118">
        <v>2.5000000000000001E-2</v>
      </c>
      <c r="M363" t="s">
        <v>184</v>
      </c>
    </row>
    <row r="364" spans="8:13" customFormat="1" ht="13" x14ac:dyDescent="0.15">
      <c r="K364" s="216">
        <v>2.3627131799498122E-3</v>
      </c>
      <c r="L364" s="118">
        <v>5.0000000000000001E-3</v>
      </c>
      <c r="M364" t="s">
        <v>185</v>
      </c>
    </row>
    <row r="365" spans="8:13" customFormat="1" ht="13" x14ac:dyDescent="0.15">
      <c r="K365" s="216">
        <v>2.4995898935919339E-3</v>
      </c>
      <c r="M365" t="s">
        <v>186</v>
      </c>
    </row>
    <row r="366" spans="8:13" customFormat="1" ht="13" x14ac:dyDescent="0.15">
      <c r="K366" s="216">
        <v>7.5280133070288662E-4</v>
      </c>
      <c r="M366" t="s">
        <v>187</v>
      </c>
    </row>
    <row r="367" spans="8:13" customFormat="1" ht="13" x14ac:dyDescent="0.15">
      <c r="K367" s="216">
        <v>2.7468070513970511E-3</v>
      </c>
      <c r="M367" t="s">
        <v>188</v>
      </c>
    </row>
    <row r="368" spans="8:13" customFormat="1" ht="13" x14ac:dyDescent="0.15"/>
    <row r="369" spans="4:14" customFormat="1" ht="13" x14ac:dyDescent="0.15">
      <c r="G369" t="s">
        <v>516</v>
      </c>
      <c r="H369" t="s">
        <v>208</v>
      </c>
    </row>
    <row r="370" spans="4:14" customFormat="1" ht="13" x14ac:dyDescent="0.15"/>
    <row r="371" spans="4:14" customFormat="1" ht="13" x14ac:dyDescent="0.15">
      <c r="I371" t="s">
        <v>510</v>
      </c>
      <c r="K371" t="s">
        <v>494</v>
      </c>
      <c r="L371" t="s">
        <v>450</v>
      </c>
    </row>
    <row r="372" spans="4:14" customFormat="1" ht="13" x14ac:dyDescent="0.15">
      <c r="H372" t="s">
        <v>255</v>
      </c>
      <c r="I372">
        <v>0</v>
      </c>
      <c r="K372" s="216">
        <v>9.9951799376630547E-3</v>
      </c>
      <c r="L372">
        <v>1.1452E-2</v>
      </c>
      <c r="M372" t="s">
        <v>222</v>
      </c>
    </row>
    <row r="373" spans="4:14" customFormat="1" ht="13" x14ac:dyDescent="0.15">
      <c r="K373" s="216">
        <v>3.0000000000000001E-3</v>
      </c>
      <c r="L373">
        <v>5.0000000000000001E-3</v>
      </c>
      <c r="M373" t="s">
        <v>223</v>
      </c>
    </row>
    <row r="374" spans="4:14" customFormat="1" ht="13" x14ac:dyDescent="0.15"/>
    <row r="375" spans="4:14" customFormat="1" ht="13" x14ac:dyDescent="0.15"/>
    <row r="376" spans="4:14" customFormat="1" ht="13" x14ac:dyDescent="0.15">
      <c r="D376" t="s">
        <v>517</v>
      </c>
      <c r="E376" t="s">
        <v>518</v>
      </c>
      <c r="G376" t="s">
        <v>519</v>
      </c>
      <c r="H376" t="s">
        <v>520</v>
      </c>
    </row>
    <row r="377" spans="4:14" customFormat="1" ht="13" x14ac:dyDescent="0.15">
      <c r="I377" t="s">
        <v>521</v>
      </c>
    </row>
    <row r="378" spans="4:14" customFormat="1" ht="13" x14ac:dyDescent="0.15">
      <c r="I378" t="s">
        <v>522</v>
      </c>
    </row>
    <row r="379" spans="4:14" customFormat="1" ht="13" x14ac:dyDescent="0.15"/>
    <row r="380" spans="4:14" customFormat="1" ht="13" x14ac:dyDescent="0.15"/>
    <row r="381" spans="4:14" customFormat="1" ht="13" x14ac:dyDescent="0.15">
      <c r="G381" t="s">
        <v>523</v>
      </c>
      <c r="H381" t="s">
        <v>524</v>
      </c>
      <c r="K381" t="s">
        <v>525</v>
      </c>
      <c r="M381" t="s">
        <v>526</v>
      </c>
    </row>
    <row r="382" spans="4:14" customFormat="1" ht="13" x14ac:dyDescent="0.15">
      <c r="K382" t="s">
        <v>494</v>
      </c>
      <c r="L382" t="s">
        <v>450</v>
      </c>
    </row>
    <row r="383" spans="4:14" customFormat="1" ht="13" x14ac:dyDescent="0.15">
      <c r="H383" t="s">
        <v>209</v>
      </c>
      <c r="K383" s="170">
        <v>0.1</v>
      </c>
      <c r="L383">
        <v>0.08</v>
      </c>
      <c r="M383" t="s">
        <v>494</v>
      </c>
      <c r="N383" t="s">
        <v>450</v>
      </c>
    </row>
    <row r="384" spans="4:14" customFormat="1" ht="13" x14ac:dyDescent="0.15">
      <c r="M384" s="216">
        <v>4.9991797871838679E-3</v>
      </c>
      <c r="N384">
        <v>7.0000000000000001E-3</v>
      </c>
    </row>
    <row r="385" spans="8:14" customFormat="1" ht="13" x14ac:dyDescent="0.15">
      <c r="M385" s="216">
        <v>2E-3</v>
      </c>
      <c r="N385">
        <v>4.4999999999999997E-3</v>
      </c>
    </row>
    <row r="386" spans="8:14" customFormat="1" ht="13" x14ac:dyDescent="0.15">
      <c r="M386" s="216">
        <v>5.4936141027941022E-3</v>
      </c>
      <c r="N386">
        <v>6.0000000000000001E-3</v>
      </c>
    </row>
    <row r="387" spans="8:14" customFormat="1" ht="13" x14ac:dyDescent="0.15">
      <c r="M387" s="170">
        <v>0.02</v>
      </c>
      <c r="N387" s="118">
        <v>0.03</v>
      </c>
    </row>
    <row r="388" spans="8:14" customFormat="1" ht="13" x14ac:dyDescent="0.15">
      <c r="M388" s="216">
        <v>5.0000000000000001E-3</v>
      </c>
      <c r="N388">
        <v>9.9900000000000006E-3</v>
      </c>
    </row>
    <row r="389" spans="8:14" customFormat="1" ht="13" x14ac:dyDescent="0.15"/>
    <row r="390" spans="8:14" customFormat="1" ht="13" x14ac:dyDescent="0.15">
      <c r="M390">
        <f>SUM(M384:M388)+0.02</f>
        <v>5.7492793889977967E-2</v>
      </c>
      <c r="N390">
        <f>SUM(N384:N388)</f>
        <v>5.7489999999999999E-2</v>
      </c>
    </row>
    <row r="391" spans="8:14" customFormat="1" ht="13" x14ac:dyDescent="0.15"/>
    <row r="392" spans="8:14" customFormat="1" ht="13" x14ac:dyDescent="0.15">
      <c r="K392" t="s">
        <v>525</v>
      </c>
      <c r="M392" t="s">
        <v>526</v>
      </c>
    </row>
    <row r="393" spans="8:14" customFormat="1" ht="13" x14ac:dyDescent="0.15">
      <c r="K393" t="s">
        <v>494</v>
      </c>
      <c r="L393" t="s">
        <v>450</v>
      </c>
    </row>
    <row r="394" spans="8:14" customFormat="1" ht="13" x14ac:dyDescent="0.15">
      <c r="H394" t="s">
        <v>212</v>
      </c>
      <c r="K394" s="216">
        <v>0.1384</v>
      </c>
      <c r="L394">
        <v>0.1</v>
      </c>
      <c r="M394" t="s">
        <v>494</v>
      </c>
      <c r="N394" t="s">
        <v>450</v>
      </c>
    </row>
    <row r="395" spans="8:14" customFormat="1" ht="13" x14ac:dyDescent="0.15">
      <c r="M395" s="170">
        <v>1E-3</v>
      </c>
      <c r="N395">
        <v>5.0000000000000001E-3</v>
      </c>
    </row>
    <row r="396" spans="8:14" customFormat="1" ht="13" x14ac:dyDescent="0.15">
      <c r="M396" s="216">
        <v>5.4048990004540103E-2</v>
      </c>
      <c r="N396" s="118">
        <v>0.06</v>
      </c>
    </row>
    <row r="397" spans="8:14" customFormat="1" ht="13" x14ac:dyDescent="0.15">
      <c r="M397" s="216">
        <v>2.5000000000000001E-2</v>
      </c>
      <c r="N397" s="118">
        <v>0.04</v>
      </c>
    </row>
    <row r="398" spans="8:14" customFormat="1" ht="13" x14ac:dyDescent="0.15">
      <c r="M398" s="216">
        <v>2.1600000000000001E-2</v>
      </c>
      <c r="N398" s="118">
        <v>3.27E-2</v>
      </c>
    </row>
    <row r="399" spans="8:14" customFormat="1" ht="13" x14ac:dyDescent="0.15">
      <c r="M399" s="216">
        <v>4.4999999999999997E-3</v>
      </c>
      <c r="N399" s="118">
        <v>6.8500000000000002E-3</v>
      </c>
    </row>
    <row r="400" spans="8:14" customFormat="1" ht="13" x14ac:dyDescent="0.15"/>
    <row r="401" spans="8:14" customFormat="1" ht="13" x14ac:dyDescent="0.15"/>
    <row r="402" spans="8:14" customFormat="1" ht="13" x14ac:dyDescent="0.15">
      <c r="K402" t="s">
        <v>525</v>
      </c>
      <c r="M402" t="s">
        <v>526</v>
      </c>
    </row>
    <row r="403" spans="8:14" customFormat="1" ht="13" x14ac:dyDescent="0.15">
      <c r="K403" t="s">
        <v>494</v>
      </c>
      <c r="L403" t="s">
        <v>450</v>
      </c>
    </row>
    <row r="404" spans="8:14" customFormat="1" ht="13" x14ac:dyDescent="0.15">
      <c r="H404" t="s">
        <v>214</v>
      </c>
      <c r="K404" s="216">
        <v>0.25</v>
      </c>
      <c r="L404">
        <v>0.22</v>
      </c>
    </row>
    <row r="405" spans="8:14" customFormat="1" ht="13" x14ac:dyDescent="0.15">
      <c r="M405" s="216">
        <v>3.257487019911668E-4</v>
      </c>
      <c r="N405">
        <f>M405*2</f>
        <v>6.514974039823336E-4</v>
      </c>
    </row>
    <row r="406" spans="8:14" customFormat="1" ht="13" x14ac:dyDescent="0.15">
      <c r="M406" s="221">
        <v>2.198833787877155E-4</v>
      </c>
      <c r="N406">
        <f t="shared" ref="N406:N408" si="6">M406*2</f>
        <v>4.3976675757543101E-4</v>
      </c>
    </row>
    <row r="407" spans="8:14" customFormat="1" ht="13" x14ac:dyDescent="0.15">
      <c r="M407" s="216">
        <v>1E-3</v>
      </c>
      <c r="N407">
        <f t="shared" si="6"/>
        <v>2E-3</v>
      </c>
    </row>
    <row r="408" spans="8:14" customFormat="1" ht="13" x14ac:dyDescent="0.15">
      <c r="M408" s="216">
        <v>4.5436791922111774E-4</v>
      </c>
      <c r="N408">
        <f t="shared" si="6"/>
        <v>9.0873583844223549E-4</v>
      </c>
    </row>
    <row r="409" spans="8:14" customFormat="1" ht="13" x14ac:dyDescent="0.15"/>
    <row r="410" spans="8:14" customFormat="1" ht="13" x14ac:dyDescent="0.15">
      <c r="M410" s="216">
        <v>5.0000000000000001E-3</v>
      </c>
      <c r="N410">
        <f>M410*2</f>
        <v>0.01</v>
      </c>
    </row>
    <row r="411" spans="8:14" customFormat="1" ht="13" x14ac:dyDescent="0.15">
      <c r="M411" s="216">
        <v>6.0021266400300966E-3</v>
      </c>
      <c r="N411">
        <v>1.7999999999999999E-2</v>
      </c>
    </row>
    <row r="412" spans="8:14" customFormat="1" ht="13" x14ac:dyDescent="0.15">
      <c r="M412" s="216">
        <v>0.01</v>
      </c>
      <c r="N412">
        <f t="shared" ref="N412:N413" si="7">M412*2</f>
        <v>0.02</v>
      </c>
    </row>
    <row r="413" spans="8:14" customFormat="1" ht="13" x14ac:dyDescent="0.15">
      <c r="M413" s="216">
        <v>1E-3</v>
      </c>
      <c r="N413">
        <f t="shared" si="7"/>
        <v>2E-3</v>
      </c>
    </row>
    <row r="414" spans="8:14" customFormat="1" ht="13" x14ac:dyDescent="0.15"/>
    <row r="415" spans="8:14" customFormat="1" ht="13" x14ac:dyDescent="0.15"/>
    <row r="416" spans="8:14" customFormat="1" ht="13" x14ac:dyDescent="0.15"/>
    <row r="417" spans="7:22" customFormat="1" ht="13" x14ac:dyDescent="0.15"/>
    <row r="418" spans="7:22" customFormat="1" ht="13" x14ac:dyDescent="0.15"/>
    <row r="419" spans="7:22" customFormat="1" ht="13" x14ac:dyDescent="0.15">
      <c r="G419" t="s">
        <v>527</v>
      </c>
      <c r="H419" t="s">
        <v>528</v>
      </c>
      <c r="L419" t="s">
        <v>529</v>
      </c>
    </row>
    <row r="420" spans="7:22" customFormat="1" ht="13" x14ac:dyDescent="0.15">
      <c r="L420" t="s">
        <v>208</v>
      </c>
      <c r="M420" t="s">
        <v>209</v>
      </c>
      <c r="N420" t="s">
        <v>210</v>
      </c>
      <c r="R420" t="s">
        <v>215</v>
      </c>
      <c r="S420" t="s">
        <v>216</v>
      </c>
    </row>
    <row r="421" spans="7:22" customFormat="1" ht="13" x14ac:dyDescent="0.15">
      <c r="K421" t="s">
        <v>219</v>
      </c>
      <c r="L421" s="118">
        <v>2.3514546692180803E-2</v>
      </c>
      <c r="M421" s="118">
        <v>7.2103685099172601E-2</v>
      </c>
      <c r="N421" s="118">
        <v>1E-3</v>
      </c>
      <c r="R421" s="118">
        <v>5.8999999999999997E-2</v>
      </c>
      <c r="S421" s="118">
        <v>0</v>
      </c>
    </row>
    <row r="422" spans="7:22" customFormat="1" ht="13" x14ac:dyDescent="0.15">
      <c r="K422" t="s">
        <v>220</v>
      </c>
      <c r="L422" s="118">
        <v>2.1905489805238904E-2</v>
      </c>
      <c r="M422" s="118">
        <v>0.01</v>
      </c>
      <c r="N422" s="118">
        <v>2E-3</v>
      </c>
      <c r="R422" s="118">
        <v>0.05</v>
      </c>
      <c r="S422" s="118">
        <v>2E-3</v>
      </c>
    </row>
    <row r="423" spans="7:22" customFormat="1" ht="13" x14ac:dyDescent="0.15"/>
    <row r="424" spans="7:22" customFormat="1" ht="13" x14ac:dyDescent="0.15">
      <c r="L424" t="s">
        <v>530</v>
      </c>
    </row>
    <row r="425" spans="7:22" customFormat="1" ht="13" x14ac:dyDescent="0.15">
      <c r="L425" t="s">
        <v>208</v>
      </c>
      <c r="M425" t="s">
        <v>209</v>
      </c>
      <c r="N425" t="s">
        <v>210</v>
      </c>
      <c r="R425" t="s">
        <v>215</v>
      </c>
      <c r="S425" t="s">
        <v>216</v>
      </c>
    </row>
    <row r="426" spans="7:22" customFormat="1" ht="13" x14ac:dyDescent="0.15">
      <c r="K426" t="s">
        <v>219</v>
      </c>
      <c r="L426" s="118">
        <v>2.3514546692180803E-2</v>
      </c>
      <c r="M426" s="216">
        <f>0.0721036850991726-0.01</f>
        <v>6.2103685099172599E-2</v>
      </c>
      <c r="N426" s="118">
        <v>1E-3</v>
      </c>
      <c r="R426" s="216">
        <v>5.5E-2</v>
      </c>
      <c r="S426" s="118">
        <v>0</v>
      </c>
    </row>
    <row r="427" spans="7:22" customFormat="1" ht="13" x14ac:dyDescent="0.15">
      <c r="K427" t="s">
        <v>220</v>
      </c>
      <c r="L427" s="118">
        <v>2.1905489805238904E-2</v>
      </c>
      <c r="M427" s="118">
        <v>0.01</v>
      </c>
      <c r="N427" s="118">
        <v>2E-3</v>
      </c>
      <c r="R427" s="216">
        <v>4.3999999999999997E-2</v>
      </c>
      <c r="S427" s="118">
        <v>2E-3</v>
      </c>
    </row>
    <row r="428" spans="7:22" customFormat="1" ht="13" x14ac:dyDescent="0.15"/>
    <row r="429" spans="7:22" customFormat="1" ht="13" x14ac:dyDescent="0.15">
      <c r="R429">
        <f>SUM(R421:R422)-SUM(R426:R427)</f>
        <v>9.999999999999995E-3</v>
      </c>
    </row>
    <row r="430" spans="7:22" customFormat="1" ht="13" x14ac:dyDescent="0.15">
      <c r="L430" t="s">
        <v>529</v>
      </c>
    </row>
    <row r="431" spans="7:22" customFormat="1" ht="13" x14ac:dyDescent="0.15">
      <c r="L431" t="s">
        <v>208</v>
      </c>
      <c r="M431" t="s">
        <v>209</v>
      </c>
      <c r="N431" t="s">
        <v>210</v>
      </c>
      <c r="R431" t="s">
        <v>215</v>
      </c>
      <c r="S431" t="s">
        <v>216</v>
      </c>
    </row>
    <row r="432" spans="7:22" customFormat="1" ht="13" x14ac:dyDescent="0.15">
      <c r="L432" s="118">
        <v>0</v>
      </c>
      <c r="M432" s="118">
        <v>0</v>
      </c>
      <c r="N432" s="118">
        <v>0</v>
      </c>
      <c r="R432" s="118">
        <v>0</v>
      </c>
      <c r="S432" s="118">
        <v>0</v>
      </c>
      <c r="V432" t="s">
        <v>206</v>
      </c>
    </row>
    <row r="433" spans="12:22" customFormat="1" ht="13" x14ac:dyDescent="0.15">
      <c r="L433" s="118">
        <v>0</v>
      </c>
      <c r="M433" s="118">
        <v>0</v>
      </c>
      <c r="N433" s="118">
        <v>0</v>
      </c>
      <c r="R433" s="118">
        <v>0</v>
      </c>
      <c r="S433" s="118">
        <v>0</v>
      </c>
      <c r="V433" t="s">
        <v>207</v>
      </c>
    </row>
    <row r="434" spans="12:22" customFormat="1" ht="13" x14ac:dyDescent="0.15">
      <c r="L434">
        <v>0</v>
      </c>
      <c r="M434">
        <v>0</v>
      </c>
      <c r="N434">
        <v>0</v>
      </c>
      <c r="R434">
        <v>0</v>
      </c>
      <c r="S434">
        <v>0</v>
      </c>
      <c r="V434" t="s">
        <v>209</v>
      </c>
    </row>
    <row r="435" spans="12:22" customFormat="1" ht="13" x14ac:dyDescent="0.15">
      <c r="L435" s="118">
        <v>0</v>
      </c>
      <c r="M435" s="118">
        <v>0</v>
      </c>
      <c r="N435" s="118">
        <v>0</v>
      </c>
      <c r="R435" s="118">
        <v>0</v>
      </c>
      <c r="S435" s="118">
        <v>0</v>
      </c>
      <c r="V435" t="s">
        <v>215</v>
      </c>
    </row>
    <row r="436" spans="12:22" customFormat="1" ht="13" x14ac:dyDescent="0.15">
      <c r="L436" s="118">
        <v>0</v>
      </c>
      <c r="M436" s="118">
        <v>0</v>
      </c>
      <c r="N436" s="118">
        <v>0</v>
      </c>
      <c r="R436" s="118">
        <v>0</v>
      </c>
      <c r="S436" s="118">
        <v>0</v>
      </c>
      <c r="V436" t="s">
        <v>221</v>
      </c>
    </row>
    <row r="437" spans="12:22" customFormat="1" ht="13" x14ac:dyDescent="0.15">
      <c r="L437" s="118">
        <v>0</v>
      </c>
      <c r="M437" s="118">
        <v>0.105</v>
      </c>
      <c r="N437" s="118">
        <v>0</v>
      </c>
      <c r="R437" s="118">
        <v>2.9000000000000001E-2</v>
      </c>
      <c r="S437" s="118">
        <v>0.35</v>
      </c>
      <c r="V437" t="s">
        <v>225</v>
      </c>
    </row>
    <row r="438" spans="12:22" customFormat="1" ht="13" x14ac:dyDescent="0.15"/>
    <row r="439" spans="12:22" customFormat="1" ht="13" x14ac:dyDescent="0.15"/>
    <row r="440" spans="12:22" customFormat="1" ht="13" x14ac:dyDescent="0.15">
      <c r="L440" t="s">
        <v>530</v>
      </c>
    </row>
    <row r="441" spans="12:22" customFormat="1" ht="13" x14ac:dyDescent="0.15">
      <c r="L441" t="s">
        <v>208</v>
      </c>
      <c r="M441" t="s">
        <v>209</v>
      </c>
      <c r="N441" t="s">
        <v>210</v>
      </c>
      <c r="R441" t="s">
        <v>215</v>
      </c>
      <c r="S441" t="s">
        <v>216</v>
      </c>
    </row>
    <row r="442" spans="12:22" customFormat="1" ht="13" x14ac:dyDescent="0.15">
      <c r="L442" s="118">
        <v>0</v>
      </c>
      <c r="M442" s="118">
        <v>0</v>
      </c>
      <c r="N442" s="118">
        <v>0</v>
      </c>
      <c r="R442" s="118">
        <v>0</v>
      </c>
      <c r="S442" s="118">
        <v>0</v>
      </c>
      <c r="V442" t="s">
        <v>206</v>
      </c>
    </row>
    <row r="443" spans="12:22" customFormat="1" ht="13" x14ac:dyDescent="0.15">
      <c r="L443" s="118">
        <v>0</v>
      </c>
      <c r="M443" s="118">
        <v>0</v>
      </c>
      <c r="N443" s="118">
        <v>0</v>
      </c>
      <c r="R443" s="118">
        <v>0</v>
      </c>
      <c r="S443" s="118">
        <v>0</v>
      </c>
      <c r="V443" t="s">
        <v>207</v>
      </c>
    </row>
    <row r="444" spans="12:22" customFormat="1" ht="13" x14ac:dyDescent="0.15">
      <c r="L444">
        <v>0</v>
      </c>
      <c r="M444">
        <v>0</v>
      </c>
      <c r="N444">
        <v>0</v>
      </c>
      <c r="R444">
        <v>0</v>
      </c>
      <c r="S444">
        <v>0</v>
      </c>
      <c r="V444" t="s">
        <v>209</v>
      </c>
    </row>
    <row r="445" spans="12:22" customFormat="1" ht="13" x14ac:dyDescent="0.15">
      <c r="L445" s="118">
        <v>0</v>
      </c>
      <c r="M445" s="118">
        <v>0</v>
      </c>
      <c r="N445" s="118">
        <v>0</v>
      </c>
      <c r="R445" s="118">
        <v>0</v>
      </c>
      <c r="S445" s="118">
        <v>0</v>
      </c>
      <c r="V445" t="s">
        <v>215</v>
      </c>
    </row>
    <row r="446" spans="12:22" customFormat="1" ht="13" x14ac:dyDescent="0.15">
      <c r="L446" s="118">
        <v>0</v>
      </c>
      <c r="M446" s="118">
        <v>0</v>
      </c>
      <c r="N446" s="118">
        <v>0</v>
      </c>
      <c r="R446" s="118">
        <v>0</v>
      </c>
      <c r="S446" s="118">
        <v>0</v>
      </c>
      <c r="V446" t="s">
        <v>221</v>
      </c>
    </row>
    <row r="447" spans="12:22" customFormat="1" ht="13" x14ac:dyDescent="0.15">
      <c r="L447" s="118">
        <v>0</v>
      </c>
      <c r="M447" s="216">
        <v>0.115</v>
      </c>
      <c r="N447" s="118">
        <v>0</v>
      </c>
      <c r="R447" s="216">
        <v>3.9E-2</v>
      </c>
      <c r="S447" s="118">
        <v>0.35</v>
      </c>
      <c r="V447" t="s">
        <v>225</v>
      </c>
    </row>
    <row r="448" spans="12:22" customFormat="1" ht="13" x14ac:dyDescent="0.15"/>
    <row r="449" spans="4:15" customFormat="1" ht="13" x14ac:dyDescent="0.15"/>
    <row r="450" spans="4:15" customFormat="1" ht="13" x14ac:dyDescent="0.15"/>
    <row r="451" spans="4:15" customFormat="1" ht="13" x14ac:dyDescent="0.15">
      <c r="D451" t="s">
        <v>531</v>
      </c>
      <c r="E451" t="s">
        <v>532</v>
      </c>
    </row>
    <row r="452" spans="4:15" customFormat="1" ht="13" x14ac:dyDescent="0.15"/>
    <row r="453" spans="4:15" customFormat="1" ht="13" x14ac:dyDescent="0.15"/>
    <row r="454" spans="4:15" customFormat="1" ht="13" x14ac:dyDescent="0.15">
      <c r="D454" t="s">
        <v>533</v>
      </c>
      <c r="E454" t="s">
        <v>534</v>
      </c>
      <c r="L454" t="s">
        <v>529</v>
      </c>
    </row>
    <row r="455" spans="4:15" customFormat="1" ht="13" x14ac:dyDescent="0.15">
      <c r="L455" t="s">
        <v>179</v>
      </c>
      <c r="M455" t="s">
        <v>180</v>
      </c>
    </row>
    <row r="456" spans="4:15" customFormat="1" ht="13" x14ac:dyDescent="0.15">
      <c r="L456" s="118">
        <v>0.61610698165473554</v>
      </c>
      <c r="M456" s="118">
        <v>0.52809169856120197</v>
      </c>
      <c r="N456" s="118"/>
      <c r="O456" t="s">
        <v>176</v>
      </c>
    </row>
    <row r="457" spans="4:15" customFormat="1" ht="13" x14ac:dyDescent="0.15">
      <c r="L457" s="118">
        <v>8.3893018345264428E-2</v>
      </c>
      <c r="M457" s="118">
        <v>7.1908301438798075E-2</v>
      </c>
      <c r="N457" s="118"/>
      <c r="O457" t="s">
        <v>177</v>
      </c>
    </row>
    <row r="458" spans="4:15" customFormat="1" ht="13" x14ac:dyDescent="0.15">
      <c r="L458" s="118">
        <v>0.3</v>
      </c>
      <c r="M458" s="118">
        <v>0.4</v>
      </c>
      <c r="N458" s="118"/>
      <c r="O458" t="s">
        <v>178</v>
      </c>
    </row>
    <row r="459" spans="4:15" customFormat="1" ht="13" x14ac:dyDescent="0.15"/>
    <row r="460" spans="4:15" customFormat="1" ht="13" x14ac:dyDescent="0.15">
      <c r="L460" t="s">
        <v>530</v>
      </c>
    </row>
    <row r="461" spans="4:15" customFormat="1" ht="13" x14ac:dyDescent="0.15">
      <c r="L461" t="s">
        <v>179</v>
      </c>
      <c r="M461" t="s">
        <v>180</v>
      </c>
    </row>
    <row r="462" spans="4:15" customFormat="1" ht="13" x14ac:dyDescent="0.15">
      <c r="L462" s="118">
        <v>0.35206113237413461</v>
      </c>
      <c r="M462" s="118">
        <v>0.35206113237413472</v>
      </c>
      <c r="N462" s="118"/>
      <c r="O462" t="s">
        <v>176</v>
      </c>
    </row>
    <row r="463" spans="4:15" customFormat="1" ht="13" x14ac:dyDescent="0.15">
      <c r="L463" s="118">
        <v>4.7938867625865383E-2</v>
      </c>
      <c r="M463" s="118">
        <v>4.7938867625865397E-2</v>
      </c>
      <c r="N463" s="118"/>
      <c r="O463" t="s">
        <v>177</v>
      </c>
    </row>
    <row r="464" spans="4:15" customFormat="1" ht="13" x14ac:dyDescent="0.15">
      <c r="L464" s="118">
        <v>0.6</v>
      </c>
      <c r="M464" s="118">
        <v>0.6</v>
      </c>
      <c r="N464" s="118"/>
      <c r="O464" t="s">
        <v>178</v>
      </c>
    </row>
    <row r="465" spans="3:25" customFormat="1" ht="13" x14ac:dyDescent="0.15"/>
    <row r="466" spans="3:25" customFormat="1" ht="13" x14ac:dyDescent="0.15">
      <c r="E466" t="s">
        <v>535</v>
      </c>
    </row>
    <row r="467" spans="3:25" customFormat="1" ht="13" x14ac:dyDescent="0.15"/>
    <row r="468" spans="3:25" customFormat="1" ht="13" x14ac:dyDescent="0.15"/>
    <row r="469" spans="3:25" customFormat="1" ht="13" x14ac:dyDescent="0.15">
      <c r="D469" s="86" t="s">
        <v>536</v>
      </c>
    </row>
    <row r="470" spans="3:25" ht="15" customHeight="1" x14ac:dyDescent="0.15">
      <c r="C470" s="169"/>
      <c r="D470" s="169"/>
      <c r="E470" s="169" t="s">
        <v>537</v>
      </c>
      <c r="F470" s="169"/>
      <c r="M470" s="169"/>
      <c r="N470" s="169"/>
      <c r="O470" s="169"/>
      <c r="P470" s="169"/>
      <c r="Q470" s="169"/>
      <c r="R470" s="169"/>
      <c r="S470" s="169"/>
      <c r="T470" s="169"/>
      <c r="U470" s="169"/>
      <c r="V470" s="169"/>
      <c r="W470" s="169"/>
      <c r="X470" s="169"/>
      <c r="Y470" s="169"/>
    </row>
    <row r="471" spans="3:25" ht="15" customHeight="1" x14ac:dyDescent="0.15">
      <c r="C471" s="169"/>
      <c r="D471" s="169"/>
      <c r="E471" s="169" t="s">
        <v>538</v>
      </c>
      <c r="F471" s="169"/>
      <c r="M471" s="169"/>
      <c r="N471" s="169"/>
      <c r="O471" s="169"/>
      <c r="P471" s="169"/>
      <c r="Q471" s="169"/>
      <c r="R471" s="169"/>
      <c r="S471" s="169"/>
      <c r="T471" s="169"/>
      <c r="U471" s="169"/>
      <c r="V471" s="169"/>
      <c r="W471" s="169"/>
      <c r="X471" s="169"/>
      <c r="Y471" s="169"/>
    </row>
    <row r="472" spans="3:25" ht="15" customHeight="1" x14ac:dyDescent="0.15">
      <c r="C472" s="169"/>
      <c r="D472" s="169"/>
      <c r="E472" s="169"/>
      <c r="F472" s="169"/>
      <c r="M472" s="169"/>
      <c r="N472" s="169"/>
      <c r="O472" s="169"/>
      <c r="P472" s="169"/>
      <c r="Q472" s="169"/>
      <c r="R472" s="169"/>
      <c r="S472" s="169"/>
      <c r="T472" s="169"/>
      <c r="U472" s="169"/>
      <c r="V472" s="169"/>
      <c r="W472" s="169"/>
      <c r="X472" s="169"/>
      <c r="Y472" s="169"/>
    </row>
    <row r="473" spans="3:25" ht="15" customHeight="1" x14ac:dyDescent="0.15">
      <c r="C473" s="169"/>
      <c r="D473" s="169"/>
      <c r="E473" s="169"/>
      <c r="F473" s="169"/>
      <c r="M473" s="169"/>
      <c r="N473" s="169"/>
      <c r="O473" s="169"/>
      <c r="P473" s="169"/>
      <c r="Q473" s="169"/>
      <c r="R473" s="169"/>
      <c r="S473" s="169"/>
      <c r="T473" s="169"/>
      <c r="U473" s="169"/>
      <c r="V473" s="169"/>
      <c r="W473" s="169"/>
      <c r="X473" s="169"/>
      <c r="Y473" s="169"/>
    </row>
    <row r="474" spans="3:25" ht="15" customHeight="1" x14ac:dyDescent="0.15">
      <c r="C474" s="169"/>
      <c r="D474" s="169"/>
      <c r="E474" s="169"/>
      <c r="F474" s="169"/>
      <c r="M474" s="169"/>
      <c r="N474" s="169"/>
      <c r="O474" s="169"/>
      <c r="P474" s="169"/>
      <c r="Q474" s="169"/>
      <c r="R474" s="169"/>
      <c r="S474" s="169"/>
      <c r="T474" s="169"/>
      <c r="U474" s="169"/>
      <c r="V474" s="169"/>
      <c r="W474" s="169"/>
      <c r="X474" s="169"/>
      <c r="Y474" s="169"/>
    </row>
    <row r="475" spans="3:25" ht="15" customHeight="1" x14ac:dyDescent="0.15">
      <c r="C475" s="169"/>
      <c r="D475" s="169"/>
      <c r="E475" s="169"/>
      <c r="F475" s="169"/>
      <c r="M475" s="169"/>
      <c r="N475" s="169"/>
      <c r="O475" s="169"/>
      <c r="P475" s="169"/>
      <c r="Q475" s="169"/>
      <c r="R475" s="169"/>
      <c r="S475" s="169"/>
      <c r="T475" s="169"/>
      <c r="U475" s="169"/>
      <c r="V475" s="169"/>
      <c r="W475" s="169"/>
      <c r="X475" s="169"/>
      <c r="Y475" s="169"/>
    </row>
    <row r="476" spans="3:25" ht="15" customHeight="1" x14ac:dyDescent="0.15">
      <c r="C476" s="169"/>
      <c r="D476" s="169"/>
      <c r="E476" s="169"/>
      <c r="F476" s="169"/>
      <c r="M476" s="169"/>
      <c r="N476" s="169"/>
      <c r="O476" s="169"/>
      <c r="P476" s="169"/>
      <c r="Q476" s="169"/>
      <c r="R476" s="169"/>
      <c r="S476" s="169"/>
      <c r="T476" s="169"/>
      <c r="U476" s="169"/>
      <c r="V476" s="169"/>
      <c r="W476" s="169"/>
      <c r="X476" s="169"/>
      <c r="Y476" s="169"/>
    </row>
    <row r="477" spans="3:25" ht="15" customHeight="1" x14ac:dyDescent="0.15">
      <c r="C477" s="169"/>
      <c r="D477" s="169"/>
      <c r="E477" s="169"/>
      <c r="F477" s="169"/>
      <c r="M477" s="169"/>
      <c r="N477" s="169"/>
      <c r="O477" s="169"/>
      <c r="P477" s="169"/>
      <c r="Q477" s="169"/>
      <c r="R477" s="169"/>
      <c r="S477" s="169"/>
      <c r="T477" s="169"/>
      <c r="U477" s="169"/>
      <c r="V477" s="169"/>
      <c r="W477" s="169"/>
      <c r="X477" s="169"/>
      <c r="Y477" s="169"/>
    </row>
    <row r="478" spans="3:25" ht="15" customHeight="1" x14ac:dyDescent="0.15">
      <c r="C478" s="169"/>
      <c r="D478" s="169"/>
      <c r="E478" s="169"/>
      <c r="F478" s="169"/>
      <c r="M478" s="169"/>
      <c r="N478" s="169"/>
      <c r="O478" s="169"/>
      <c r="P478" s="169"/>
      <c r="Q478" s="169"/>
      <c r="R478" s="169"/>
      <c r="S478" s="169"/>
      <c r="T478" s="169"/>
      <c r="U478" s="169"/>
      <c r="V478" s="169"/>
      <c r="W478" s="169"/>
      <c r="X478" s="169"/>
      <c r="Y478" s="169"/>
    </row>
    <row r="479" spans="3:25" ht="15" customHeight="1" x14ac:dyDescent="0.15">
      <c r="C479" s="169"/>
      <c r="D479" s="169"/>
      <c r="E479" s="169"/>
      <c r="F479" s="169"/>
      <c r="M479" s="169"/>
      <c r="N479" s="169"/>
      <c r="O479" s="169"/>
      <c r="P479" s="169"/>
      <c r="Q479" s="169"/>
      <c r="R479" s="169"/>
      <c r="S479" s="169"/>
      <c r="T479" s="169"/>
      <c r="U479" s="169"/>
      <c r="V479" s="169"/>
      <c r="W479" s="169"/>
      <c r="X479" s="169"/>
      <c r="Y479" s="169"/>
    </row>
    <row r="480" spans="3:25" ht="15" customHeight="1" x14ac:dyDescent="0.15">
      <c r="C480" s="169"/>
      <c r="D480" s="169"/>
      <c r="E480" s="169"/>
      <c r="F480" s="169"/>
      <c r="M480" s="169"/>
      <c r="N480" s="169"/>
      <c r="O480" s="169"/>
      <c r="P480" s="169"/>
      <c r="Q480" s="169"/>
      <c r="R480" s="169"/>
      <c r="S480" s="169"/>
      <c r="T480" s="169"/>
      <c r="U480" s="169"/>
      <c r="V480" s="169"/>
      <c r="W480" s="169"/>
      <c r="X480" s="169"/>
      <c r="Y480" s="169"/>
    </row>
    <row r="481" spans="3:25" ht="15" customHeight="1" x14ac:dyDescent="0.15">
      <c r="C481" s="169"/>
      <c r="D481" s="169"/>
      <c r="E481" s="169"/>
      <c r="F481" s="169"/>
      <c r="M481" s="169"/>
      <c r="N481" s="169"/>
      <c r="O481" s="169"/>
      <c r="P481" s="169"/>
      <c r="Q481" s="169"/>
      <c r="R481" s="169"/>
      <c r="S481" s="169"/>
      <c r="T481" s="169"/>
      <c r="U481" s="169"/>
      <c r="V481" s="169"/>
      <c r="W481" s="169"/>
      <c r="X481" s="169"/>
      <c r="Y481" s="169"/>
    </row>
    <row r="482" spans="3:25" ht="15" customHeight="1" x14ac:dyDescent="0.15">
      <c r="C482" s="169"/>
      <c r="D482" s="169"/>
      <c r="E482" s="169"/>
      <c r="F482" s="169"/>
      <c r="M482" s="169"/>
      <c r="N482" s="169"/>
      <c r="O482" s="169"/>
      <c r="P482" s="169"/>
      <c r="Q482" s="169"/>
      <c r="R482" s="169"/>
      <c r="S482" s="169"/>
      <c r="T482" s="169"/>
      <c r="U482" s="169"/>
      <c r="V482" s="169"/>
      <c r="W482" s="169"/>
      <c r="X482" s="169"/>
      <c r="Y482" s="169"/>
    </row>
    <row r="483" spans="3:25" ht="15" customHeight="1" x14ac:dyDescent="0.15">
      <c r="C483" s="169"/>
      <c r="D483" s="169"/>
      <c r="E483" s="169"/>
      <c r="F483" s="169"/>
      <c r="M483" s="169"/>
      <c r="N483" s="169"/>
      <c r="O483" s="169"/>
      <c r="P483" s="169"/>
      <c r="Q483" s="169"/>
      <c r="R483" s="169"/>
      <c r="S483" s="169"/>
      <c r="T483" s="169"/>
      <c r="U483" s="169"/>
      <c r="V483" s="169"/>
      <c r="W483" s="169"/>
      <c r="X483" s="169"/>
      <c r="Y483" s="169"/>
    </row>
    <row r="484" spans="3:25" ht="15" customHeight="1" x14ac:dyDescent="0.15">
      <c r="C484" s="169"/>
      <c r="D484" s="169"/>
      <c r="E484" s="169"/>
      <c r="F484" s="169"/>
      <c r="M484" s="169"/>
      <c r="N484" s="169"/>
      <c r="O484" s="169"/>
      <c r="P484" s="169"/>
      <c r="Q484" s="169"/>
      <c r="R484" s="169"/>
      <c r="S484" s="169"/>
      <c r="T484" s="169"/>
      <c r="U484" s="169"/>
      <c r="V484" s="169"/>
      <c r="W484" s="169"/>
      <c r="X484" s="169"/>
      <c r="Y484" s="169"/>
    </row>
    <row r="485" spans="3:25" ht="15" customHeight="1" x14ac:dyDescent="0.15">
      <c r="C485" s="169"/>
      <c r="D485" s="169"/>
      <c r="E485" s="169"/>
      <c r="F485" s="169"/>
      <c r="M485" s="169"/>
      <c r="N485" s="169"/>
      <c r="O485" s="169"/>
      <c r="P485" s="169"/>
      <c r="Q485" s="169"/>
      <c r="R485" s="169"/>
      <c r="S485" s="169"/>
      <c r="T485" s="169"/>
      <c r="U485" s="169"/>
      <c r="V485" s="169"/>
      <c r="W485" s="169"/>
      <c r="X485" s="169"/>
      <c r="Y485" s="169"/>
    </row>
    <row r="486" spans="3:25" ht="15" customHeight="1" x14ac:dyDescent="0.15">
      <c r="C486" s="169"/>
      <c r="D486" s="169"/>
      <c r="E486" s="169"/>
      <c r="F486" s="169"/>
      <c r="M486" s="169"/>
      <c r="N486" s="169"/>
      <c r="O486" s="169"/>
      <c r="P486" s="169"/>
      <c r="Q486" s="169"/>
      <c r="R486" s="169"/>
      <c r="S486" s="169"/>
      <c r="T486" s="169"/>
      <c r="U486" s="169"/>
      <c r="V486" s="169"/>
      <c r="W486" s="169"/>
      <c r="X486" s="169"/>
      <c r="Y486" s="169"/>
    </row>
    <row r="487" spans="3:25" ht="15" customHeight="1" x14ac:dyDescent="0.15">
      <c r="C487" s="169"/>
      <c r="D487" s="169"/>
      <c r="E487" s="169"/>
      <c r="F487" s="169"/>
      <c r="M487" s="169"/>
      <c r="N487" s="169"/>
      <c r="O487" s="169"/>
      <c r="P487" s="169"/>
      <c r="Q487" s="169"/>
      <c r="R487" s="169"/>
      <c r="S487" s="169"/>
      <c r="T487" s="169"/>
      <c r="U487" s="169"/>
      <c r="V487" s="169"/>
      <c r="W487" s="169"/>
      <c r="X487" s="169"/>
      <c r="Y487" s="169"/>
    </row>
    <row r="488" spans="3:25" ht="15" customHeight="1" x14ac:dyDescent="0.15">
      <c r="C488" s="169"/>
      <c r="D488" s="169"/>
      <c r="E488" s="169"/>
      <c r="F488" s="169"/>
      <c r="M488" s="169"/>
      <c r="N488" s="169"/>
      <c r="O488" s="169"/>
      <c r="P488" s="169"/>
      <c r="Q488" s="169"/>
      <c r="R488" s="169"/>
      <c r="S488" s="169"/>
      <c r="T488" s="169"/>
      <c r="U488" s="169"/>
      <c r="V488" s="169"/>
      <c r="W488" s="169"/>
      <c r="X488" s="169"/>
      <c r="Y488" s="169"/>
    </row>
    <row r="489" spans="3:25" ht="15" customHeight="1" x14ac:dyDescent="0.15">
      <c r="C489" s="169"/>
      <c r="D489" s="169"/>
      <c r="E489" s="169"/>
      <c r="F489" s="169"/>
      <c r="M489" s="169"/>
      <c r="N489" s="169"/>
      <c r="O489" s="169"/>
      <c r="P489" s="169"/>
      <c r="Q489" s="169"/>
      <c r="R489" s="169"/>
      <c r="S489" s="169"/>
      <c r="T489" s="169"/>
      <c r="U489" s="169"/>
      <c r="V489" s="169"/>
      <c r="W489" s="169"/>
      <c r="X489" s="169"/>
      <c r="Y489" s="169"/>
    </row>
    <row r="490" spans="3:25" ht="15" customHeight="1" x14ac:dyDescent="0.15">
      <c r="C490" s="169"/>
      <c r="D490" s="169"/>
      <c r="E490" s="169"/>
      <c r="F490" s="169"/>
      <c r="M490" s="169"/>
      <c r="N490" s="169"/>
      <c r="O490" s="169"/>
      <c r="P490" s="169"/>
      <c r="Q490" s="169"/>
      <c r="R490" s="169"/>
      <c r="S490" s="169"/>
      <c r="T490" s="169"/>
      <c r="U490" s="169"/>
      <c r="V490" s="169"/>
      <c r="W490" s="169"/>
      <c r="X490" s="169"/>
      <c r="Y490" s="169"/>
    </row>
    <row r="491" spans="3:25" ht="15" customHeight="1" x14ac:dyDescent="0.15">
      <c r="C491" s="169"/>
      <c r="D491" s="169"/>
      <c r="E491" s="169"/>
      <c r="F491" s="169"/>
      <c r="M491" s="169"/>
      <c r="N491" s="169"/>
      <c r="O491" s="169"/>
      <c r="P491" s="169"/>
      <c r="Q491" s="169"/>
      <c r="R491" s="169"/>
      <c r="S491" s="169"/>
      <c r="T491" s="169"/>
      <c r="U491" s="169"/>
      <c r="V491" s="169"/>
      <c r="W491" s="169"/>
      <c r="X491" s="169"/>
      <c r="Y491" s="169"/>
    </row>
    <row r="492" spans="3:25" ht="15" customHeight="1" x14ac:dyDescent="0.15">
      <c r="C492" s="169"/>
      <c r="D492" s="169"/>
      <c r="E492" s="169"/>
      <c r="F492" s="169"/>
      <c r="M492" s="169"/>
      <c r="N492" s="169"/>
      <c r="O492" s="169"/>
      <c r="P492" s="169"/>
      <c r="Q492" s="169"/>
      <c r="R492" s="169"/>
      <c r="S492" s="169"/>
      <c r="T492" s="169"/>
      <c r="U492" s="169"/>
      <c r="V492" s="169"/>
      <c r="W492" s="169"/>
      <c r="X492" s="169"/>
      <c r="Y492" s="169"/>
    </row>
    <row r="493" spans="3:25" ht="15" customHeight="1" x14ac:dyDescent="0.15">
      <c r="C493" s="169"/>
      <c r="D493" s="169"/>
      <c r="E493" s="169"/>
      <c r="F493" s="169"/>
      <c r="M493" s="169"/>
      <c r="N493" s="169"/>
      <c r="O493" s="169"/>
      <c r="P493" s="169"/>
      <c r="Q493" s="169"/>
      <c r="R493" s="169"/>
      <c r="S493" s="169"/>
      <c r="T493" s="169"/>
      <c r="U493" s="169"/>
      <c r="V493" s="169"/>
      <c r="W493" s="169"/>
      <c r="X493" s="169"/>
      <c r="Y493" s="169"/>
    </row>
    <row r="494" spans="3:25" ht="15" customHeight="1" x14ac:dyDescent="0.15">
      <c r="C494" s="169"/>
      <c r="D494" s="169"/>
      <c r="E494" s="169"/>
      <c r="F494" s="169"/>
      <c r="M494" s="169"/>
      <c r="N494" s="169"/>
      <c r="O494" s="169"/>
      <c r="P494" s="169"/>
      <c r="Q494" s="169"/>
      <c r="R494" s="169"/>
      <c r="S494" s="169"/>
      <c r="T494" s="169"/>
      <c r="U494" s="169"/>
      <c r="V494" s="169"/>
      <c r="W494" s="169"/>
      <c r="X494" s="169"/>
      <c r="Y494" s="169"/>
    </row>
    <row r="495" spans="3:25" ht="15" customHeight="1" x14ac:dyDescent="0.15">
      <c r="C495" s="169"/>
      <c r="D495" s="169"/>
      <c r="E495" s="169"/>
      <c r="F495" s="169"/>
      <c r="M495" s="169"/>
      <c r="N495" s="169"/>
      <c r="O495" s="169"/>
      <c r="P495" s="169"/>
      <c r="Q495" s="169"/>
      <c r="R495" s="169"/>
      <c r="S495" s="169"/>
      <c r="T495" s="169"/>
      <c r="U495" s="169"/>
      <c r="V495" s="169"/>
      <c r="W495" s="169"/>
      <c r="X495" s="169"/>
      <c r="Y495" s="169"/>
    </row>
    <row r="496" spans="3:25" ht="15" customHeight="1" x14ac:dyDescent="0.15">
      <c r="C496" s="169"/>
      <c r="D496" s="169"/>
      <c r="E496" s="169"/>
      <c r="F496" s="169"/>
      <c r="M496" s="169"/>
      <c r="N496" s="169"/>
      <c r="O496" s="169"/>
      <c r="P496" s="169"/>
      <c r="Q496" s="169"/>
      <c r="R496" s="169"/>
      <c r="S496" s="169"/>
      <c r="T496" s="169"/>
      <c r="U496" s="169"/>
      <c r="V496" s="169"/>
      <c r="W496" s="169"/>
      <c r="X496" s="169"/>
      <c r="Y496" s="169"/>
    </row>
    <row r="497" spans="3:25" ht="15" customHeight="1" x14ac:dyDescent="0.15">
      <c r="C497" s="169"/>
      <c r="D497" s="169"/>
      <c r="E497" s="169"/>
      <c r="F497" s="169"/>
      <c r="M497" s="169"/>
      <c r="N497" s="169"/>
      <c r="O497" s="169"/>
      <c r="P497" s="169"/>
      <c r="Q497" s="169"/>
      <c r="R497" s="169"/>
      <c r="S497" s="169"/>
      <c r="T497" s="169"/>
      <c r="U497" s="169"/>
      <c r="V497" s="169"/>
      <c r="W497" s="169"/>
      <c r="X497" s="169"/>
      <c r="Y497" s="169"/>
    </row>
    <row r="498" spans="3:25" ht="15" customHeight="1" x14ac:dyDescent="0.15">
      <c r="C498" s="169"/>
      <c r="D498" s="169"/>
      <c r="E498" s="169"/>
      <c r="F498" s="169"/>
      <c r="M498" s="169"/>
      <c r="N498" s="169"/>
      <c r="O498" s="169"/>
      <c r="P498" s="169"/>
      <c r="Q498" s="169"/>
      <c r="R498" s="169"/>
      <c r="S498" s="169"/>
      <c r="T498" s="169"/>
      <c r="U498" s="169"/>
      <c r="V498" s="169"/>
      <c r="W498" s="169"/>
      <c r="X498" s="169"/>
      <c r="Y498" s="169"/>
    </row>
    <row r="499" spans="3:25" ht="15" customHeight="1" x14ac:dyDescent="0.15">
      <c r="C499" s="169"/>
      <c r="D499" s="169"/>
      <c r="E499" s="169"/>
      <c r="F499" s="169"/>
      <c r="M499" s="169"/>
      <c r="N499" s="169"/>
      <c r="O499" s="169"/>
      <c r="P499" s="169"/>
      <c r="Q499" s="169"/>
      <c r="R499" s="169"/>
      <c r="S499" s="169"/>
      <c r="T499" s="169"/>
      <c r="U499" s="169"/>
      <c r="V499" s="169"/>
      <c r="W499" s="169"/>
      <c r="X499" s="169"/>
      <c r="Y499" s="169"/>
    </row>
    <row r="500" spans="3:25" ht="15" customHeight="1" x14ac:dyDescent="0.15">
      <c r="C500" s="169"/>
      <c r="D500" s="169"/>
      <c r="E500" s="169"/>
      <c r="F500" s="169"/>
      <c r="M500" s="169"/>
      <c r="N500" s="169"/>
      <c r="O500" s="169"/>
      <c r="P500" s="169"/>
      <c r="Q500" s="169"/>
      <c r="R500" s="169"/>
      <c r="S500" s="169"/>
      <c r="T500" s="169"/>
      <c r="U500" s="169"/>
      <c r="V500" s="169"/>
      <c r="W500" s="169"/>
      <c r="X500" s="169"/>
      <c r="Y500" s="169"/>
    </row>
    <row r="501" spans="3:25" ht="15" customHeight="1" x14ac:dyDescent="0.15">
      <c r="C501" s="169"/>
      <c r="D501" s="169"/>
      <c r="E501" s="169"/>
      <c r="F501" s="169"/>
      <c r="M501" s="169"/>
      <c r="N501" s="169"/>
      <c r="O501" s="169"/>
      <c r="P501" s="169"/>
      <c r="Q501" s="169"/>
      <c r="R501" s="169"/>
      <c r="S501" s="169"/>
      <c r="T501" s="169"/>
      <c r="U501" s="169"/>
      <c r="V501" s="169"/>
      <c r="W501" s="169"/>
      <c r="X501" s="169"/>
      <c r="Y501" s="169"/>
    </row>
    <row r="502" spans="3:25" ht="15" customHeight="1" x14ac:dyDescent="0.15">
      <c r="C502" s="169"/>
      <c r="D502" s="169"/>
      <c r="E502" s="169"/>
      <c r="F502" s="169"/>
      <c r="M502" s="169"/>
      <c r="N502" s="169"/>
      <c r="O502" s="169"/>
      <c r="P502" s="169"/>
      <c r="Q502" s="169"/>
      <c r="R502" s="169"/>
      <c r="S502" s="169"/>
      <c r="T502" s="169"/>
      <c r="U502" s="169"/>
      <c r="V502" s="169"/>
      <c r="W502" s="169"/>
      <c r="X502" s="169"/>
      <c r="Y502" s="169"/>
    </row>
    <row r="503" spans="3:25" ht="15" customHeight="1" x14ac:dyDescent="0.15">
      <c r="C503" s="169"/>
      <c r="D503" s="169"/>
      <c r="E503" s="169"/>
      <c r="F503" s="169"/>
      <c r="M503" s="169"/>
      <c r="N503" s="169"/>
      <c r="O503" s="169"/>
      <c r="P503" s="169"/>
      <c r="Q503" s="169"/>
      <c r="R503" s="169"/>
      <c r="S503" s="169"/>
      <c r="T503" s="169"/>
      <c r="U503" s="169"/>
      <c r="V503" s="169"/>
      <c r="W503" s="169"/>
      <c r="X503" s="169"/>
      <c r="Y503" s="169"/>
    </row>
    <row r="504" spans="3:25" ht="15" customHeight="1" x14ac:dyDescent="0.15">
      <c r="C504" s="169"/>
      <c r="D504" s="169"/>
      <c r="E504" s="169"/>
      <c r="F504" s="169"/>
      <c r="M504" s="169"/>
      <c r="N504" s="169"/>
      <c r="O504" s="169"/>
      <c r="P504" s="169"/>
      <c r="Q504" s="169"/>
      <c r="R504" s="169"/>
      <c r="S504" s="169"/>
      <c r="T504" s="169"/>
      <c r="U504" s="169"/>
      <c r="V504" s="169"/>
      <c r="W504" s="169"/>
      <c r="X504" s="169"/>
      <c r="Y504" s="169"/>
    </row>
    <row r="505" spans="3:25" ht="15" customHeight="1" x14ac:dyDescent="0.15">
      <c r="C505" s="169"/>
      <c r="D505" s="169"/>
      <c r="E505" s="169"/>
      <c r="F505" s="169"/>
      <c r="M505" s="169"/>
      <c r="N505" s="169"/>
      <c r="O505" s="169"/>
      <c r="P505" s="169"/>
      <c r="Q505" s="169"/>
      <c r="R505" s="169"/>
      <c r="S505" s="169"/>
      <c r="T505" s="169"/>
      <c r="U505" s="169"/>
      <c r="V505" s="169"/>
      <c r="W505" s="169"/>
      <c r="X505" s="169"/>
      <c r="Y505" s="169"/>
    </row>
    <row r="506" spans="3:25" ht="15" customHeight="1" x14ac:dyDescent="0.15">
      <c r="C506" s="169"/>
      <c r="D506" s="169"/>
      <c r="E506" s="169"/>
      <c r="F506" s="169"/>
      <c r="M506" s="169"/>
      <c r="N506" s="169"/>
      <c r="O506" s="169"/>
      <c r="P506" s="169"/>
      <c r="Q506" s="169"/>
      <c r="R506" s="169"/>
      <c r="S506" s="169"/>
      <c r="T506" s="169"/>
      <c r="U506" s="169"/>
      <c r="V506" s="169"/>
      <c r="W506" s="169"/>
      <c r="X506" s="169"/>
      <c r="Y506" s="169"/>
    </row>
    <row r="507" spans="3:25" ht="15" customHeight="1" x14ac:dyDescent="0.15">
      <c r="C507" s="169"/>
      <c r="D507" s="169"/>
      <c r="E507" s="169"/>
      <c r="F507" s="169"/>
      <c r="M507" s="169"/>
      <c r="N507" s="169"/>
      <c r="O507" s="169"/>
      <c r="P507" s="169"/>
      <c r="Q507" s="169"/>
      <c r="R507" s="169"/>
      <c r="S507" s="169"/>
      <c r="T507" s="169"/>
      <c r="U507" s="169"/>
      <c r="V507" s="169"/>
      <c r="W507" s="169"/>
      <c r="X507" s="169"/>
      <c r="Y507" s="169"/>
    </row>
    <row r="508" spans="3:25" ht="15" customHeight="1" x14ac:dyDescent="0.15">
      <c r="C508" s="169"/>
      <c r="D508" s="169"/>
      <c r="E508" s="169"/>
      <c r="F508" s="169"/>
      <c r="M508" s="169"/>
      <c r="N508" s="169"/>
      <c r="O508" s="169"/>
      <c r="P508" s="169"/>
      <c r="Q508" s="169"/>
      <c r="R508" s="169"/>
      <c r="S508" s="169"/>
      <c r="T508" s="169"/>
      <c r="U508" s="169"/>
      <c r="V508" s="169"/>
      <c r="W508" s="169"/>
      <c r="X508" s="169"/>
      <c r="Y508" s="169"/>
    </row>
    <row r="509" spans="3:25" ht="15" customHeight="1" x14ac:dyDescent="0.15">
      <c r="C509" s="169"/>
      <c r="D509" s="169"/>
      <c r="E509" s="169"/>
      <c r="F509" s="169"/>
      <c r="M509" s="169"/>
      <c r="N509" s="169"/>
      <c r="O509" s="169"/>
      <c r="P509" s="169"/>
      <c r="Q509" s="169"/>
      <c r="R509" s="169"/>
      <c r="S509" s="169"/>
      <c r="T509" s="169"/>
      <c r="U509" s="169"/>
      <c r="V509" s="169"/>
      <c r="W509" s="169"/>
      <c r="X509" s="169"/>
      <c r="Y509" s="169"/>
    </row>
    <row r="510" spans="3:25" ht="15" customHeight="1" x14ac:dyDescent="0.15">
      <c r="C510" s="169"/>
      <c r="D510" s="169"/>
      <c r="E510" s="169"/>
      <c r="F510" s="169"/>
      <c r="M510" s="169"/>
      <c r="N510" s="169"/>
      <c r="O510" s="169"/>
      <c r="P510" s="169"/>
      <c r="Q510" s="169"/>
      <c r="R510" s="169"/>
      <c r="S510" s="169"/>
      <c r="T510" s="169"/>
      <c r="U510" s="169"/>
      <c r="V510" s="169"/>
      <c r="W510" s="169"/>
      <c r="X510" s="169"/>
      <c r="Y510" s="169"/>
    </row>
    <row r="511" spans="3:25" ht="15" customHeight="1" x14ac:dyDescent="0.15">
      <c r="C511" s="169"/>
      <c r="D511" s="169"/>
      <c r="E511" s="169"/>
      <c r="F511" s="169"/>
      <c r="M511" s="169"/>
      <c r="N511" s="169"/>
      <c r="O511" s="169"/>
      <c r="P511" s="169"/>
      <c r="Q511" s="169"/>
      <c r="R511" s="169"/>
      <c r="S511" s="169"/>
      <c r="T511" s="169"/>
      <c r="U511" s="169"/>
      <c r="V511" s="169"/>
      <c r="W511" s="169"/>
      <c r="X511" s="169"/>
      <c r="Y511" s="169"/>
    </row>
    <row r="512" spans="3:25" ht="15" customHeight="1" x14ac:dyDescent="0.15">
      <c r="C512" s="169"/>
      <c r="D512" s="169"/>
      <c r="E512" s="169"/>
      <c r="F512" s="169"/>
      <c r="M512" s="169"/>
      <c r="N512" s="169"/>
      <c r="O512" s="169"/>
      <c r="P512" s="169"/>
      <c r="Q512" s="169"/>
      <c r="R512" s="169"/>
      <c r="S512" s="169"/>
      <c r="T512" s="169"/>
      <c r="U512" s="169"/>
      <c r="V512" s="169"/>
      <c r="W512" s="169"/>
      <c r="X512" s="169"/>
      <c r="Y512" s="169"/>
    </row>
    <row r="513" spans="3:25" ht="15" customHeight="1" x14ac:dyDescent="0.15">
      <c r="C513" s="169"/>
      <c r="D513" s="169"/>
      <c r="E513" s="169"/>
      <c r="F513" s="169"/>
      <c r="M513" s="169"/>
      <c r="N513" s="169"/>
      <c r="O513" s="169"/>
      <c r="P513" s="169"/>
      <c r="Q513" s="169"/>
      <c r="R513" s="169"/>
      <c r="S513" s="169"/>
      <c r="T513" s="169"/>
      <c r="U513" s="169"/>
      <c r="V513" s="169"/>
      <c r="W513" s="169"/>
      <c r="X513" s="169"/>
      <c r="Y513" s="169"/>
    </row>
    <row r="514" spans="3:25" ht="15" customHeight="1" x14ac:dyDescent="0.15">
      <c r="C514" s="169"/>
      <c r="D514" s="169"/>
      <c r="E514" s="169"/>
      <c r="F514" s="169"/>
      <c r="M514" s="169"/>
      <c r="N514" s="169"/>
      <c r="O514" s="169"/>
      <c r="P514" s="169"/>
      <c r="Q514" s="169"/>
      <c r="R514" s="169"/>
      <c r="S514" s="169"/>
      <c r="T514" s="169"/>
      <c r="U514" s="169"/>
      <c r="V514" s="169"/>
      <c r="W514" s="169"/>
      <c r="X514" s="169"/>
      <c r="Y514" s="169"/>
    </row>
    <row r="515" spans="3:25" ht="15" customHeight="1" x14ac:dyDescent="0.15">
      <c r="C515" s="169"/>
      <c r="D515" s="169"/>
      <c r="E515" s="169"/>
      <c r="F515" s="169"/>
      <c r="M515" s="169"/>
      <c r="N515" s="169"/>
      <c r="O515" s="169"/>
      <c r="P515" s="169"/>
      <c r="Q515" s="169"/>
      <c r="R515" s="169"/>
      <c r="S515" s="169"/>
      <c r="T515" s="169"/>
      <c r="U515" s="169"/>
      <c r="V515" s="169"/>
      <c r="W515" s="169"/>
      <c r="X515" s="169"/>
      <c r="Y515" s="169"/>
    </row>
    <row r="516" spans="3:25" ht="15" customHeight="1" x14ac:dyDescent="0.15">
      <c r="C516" s="169"/>
      <c r="D516" s="169"/>
      <c r="E516" s="169"/>
      <c r="F516" s="169"/>
      <c r="M516" s="169"/>
      <c r="N516" s="169"/>
      <c r="O516" s="169"/>
      <c r="P516" s="169"/>
      <c r="Q516" s="169"/>
      <c r="R516" s="169"/>
      <c r="S516" s="169"/>
      <c r="T516" s="169"/>
      <c r="U516" s="169"/>
      <c r="V516" s="169"/>
      <c r="W516" s="169"/>
      <c r="X516" s="169"/>
      <c r="Y516" s="169"/>
    </row>
    <row r="517" spans="3:25" ht="15" customHeight="1" x14ac:dyDescent="0.15">
      <c r="C517" s="169"/>
      <c r="D517" s="169"/>
      <c r="E517" s="169"/>
      <c r="F517" s="169"/>
      <c r="M517" s="169"/>
      <c r="N517" s="169"/>
      <c r="O517" s="169"/>
      <c r="P517" s="169"/>
      <c r="Q517" s="169"/>
      <c r="R517" s="169"/>
      <c r="S517" s="169"/>
      <c r="T517" s="169"/>
      <c r="U517" s="169"/>
      <c r="V517" s="169"/>
      <c r="W517" s="169"/>
      <c r="X517" s="169"/>
      <c r="Y517" s="169"/>
    </row>
    <row r="518" spans="3:25" ht="15" customHeight="1" x14ac:dyDescent="0.15">
      <c r="C518" s="169"/>
      <c r="D518" s="169"/>
      <c r="E518" s="169"/>
      <c r="F518" s="169"/>
      <c r="M518" s="169"/>
      <c r="N518" s="169"/>
      <c r="O518" s="169"/>
      <c r="P518" s="169"/>
      <c r="Q518" s="169"/>
      <c r="R518" s="169"/>
      <c r="S518" s="169"/>
      <c r="T518" s="169"/>
      <c r="U518" s="169"/>
      <c r="V518" s="169"/>
      <c r="W518" s="169"/>
      <c r="X518" s="169"/>
      <c r="Y518" s="169"/>
    </row>
    <row r="519" spans="3:25" ht="15" customHeight="1" x14ac:dyDescent="0.15">
      <c r="C519" s="169"/>
      <c r="D519" s="169"/>
      <c r="E519" s="169"/>
      <c r="F519" s="169"/>
      <c r="M519" s="169"/>
      <c r="N519" s="169"/>
      <c r="O519" s="169"/>
      <c r="P519" s="169"/>
      <c r="Q519" s="169"/>
      <c r="R519" s="169"/>
      <c r="S519" s="169"/>
      <c r="T519" s="169"/>
      <c r="U519" s="169"/>
      <c r="V519" s="169"/>
      <c r="W519" s="169"/>
      <c r="X519" s="169"/>
      <c r="Y519" s="169"/>
    </row>
    <row r="520" spans="3:25" ht="15" customHeight="1" x14ac:dyDescent="0.15">
      <c r="C520" s="169"/>
      <c r="D520" s="169"/>
      <c r="E520" s="169"/>
      <c r="F520" s="169"/>
      <c r="M520" s="169"/>
      <c r="N520" s="169"/>
      <c r="O520" s="169"/>
      <c r="P520" s="169"/>
      <c r="Q520" s="169"/>
      <c r="R520" s="169"/>
      <c r="S520" s="169"/>
      <c r="T520" s="169"/>
      <c r="U520" s="169"/>
      <c r="V520" s="169"/>
      <c r="W520" s="169"/>
      <c r="X520" s="169"/>
      <c r="Y520" s="169"/>
    </row>
    <row r="521" spans="3:25" ht="15" customHeight="1" x14ac:dyDescent="0.15">
      <c r="C521" s="169"/>
      <c r="D521" s="169"/>
      <c r="E521" s="169"/>
      <c r="F521" s="169"/>
      <c r="M521" s="169"/>
      <c r="N521" s="169"/>
      <c r="O521" s="169"/>
      <c r="P521" s="169"/>
      <c r="Q521" s="169"/>
      <c r="R521" s="169"/>
      <c r="S521" s="169"/>
      <c r="T521" s="169"/>
      <c r="U521" s="169"/>
      <c r="V521" s="169"/>
      <c r="W521" s="169"/>
      <c r="X521" s="169"/>
      <c r="Y521" s="169"/>
    </row>
    <row r="522" spans="3:25" ht="15" customHeight="1" x14ac:dyDescent="0.15">
      <c r="C522" s="169"/>
      <c r="D522" s="169"/>
      <c r="E522" s="169"/>
      <c r="F522" s="169"/>
      <c r="M522" s="169"/>
      <c r="N522" s="169"/>
      <c r="O522" s="169"/>
      <c r="P522" s="169"/>
      <c r="Q522" s="169"/>
      <c r="R522" s="169"/>
      <c r="S522" s="169"/>
      <c r="T522" s="169"/>
      <c r="U522" s="169"/>
      <c r="V522" s="169"/>
      <c r="W522" s="169"/>
      <c r="X522" s="169"/>
      <c r="Y522" s="169"/>
    </row>
    <row r="523" spans="3:25" ht="15" customHeight="1" x14ac:dyDescent="0.15">
      <c r="C523" s="169"/>
      <c r="D523" s="169"/>
      <c r="E523" s="169"/>
      <c r="F523" s="169"/>
      <c r="M523" s="169"/>
      <c r="N523" s="169"/>
      <c r="O523" s="169"/>
      <c r="P523" s="169"/>
      <c r="Q523" s="169"/>
      <c r="R523" s="169"/>
      <c r="S523" s="169"/>
      <c r="T523" s="169"/>
      <c r="U523" s="169"/>
      <c r="V523" s="169"/>
      <c r="W523" s="169"/>
      <c r="X523" s="169"/>
      <c r="Y523" s="169"/>
    </row>
    <row r="524" spans="3:25" ht="15" customHeight="1" x14ac:dyDescent="0.15">
      <c r="C524" s="169"/>
      <c r="D524" s="169"/>
      <c r="E524" s="169"/>
      <c r="F524" s="169"/>
      <c r="M524" s="169"/>
      <c r="N524" s="169"/>
      <c r="O524" s="169"/>
      <c r="P524" s="169"/>
      <c r="Q524" s="169"/>
      <c r="R524" s="169"/>
      <c r="S524" s="169"/>
      <c r="T524" s="169"/>
      <c r="U524" s="169"/>
      <c r="V524" s="169"/>
      <c r="W524" s="169"/>
      <c r="X524" s="169"/>
      <c r="Y524" s="169"/>
    </row>
    <row r="525" spans="3:25" ht="15" customHeight="1" x14ac:dyDescent="0.15">
      <c r="C525" s="169"/>
      <c r="D525" s="169"/>
      <c r="E525" s="169"/>
      <c r="F525" s="169"/>
      <c r="M525" s="169"/>
      <c r="N525" s="169"/>
      <c r="O525" s="169"/>
      <c r="P525" s="169"/>
      <c r="Q525" s="169"/>
      <c r="R525" s="169"/>
      <c r="S525" s="169"/>
      <c r="T525" s="169"/>
      <c r="U525" s="169"/>
      <c r="V525" s="169"/>
      <c r="W525" s="169"/>
      <c r="X525" s="169"/>
      <c r="Y525" s="169"/>
    </row>
    <row r="526" spans="3:25" ht="15" customHeight="1" x14ac:dyDescent="0.15">
      <c r="C526" s="169"/>
      <c r="D526" s="169"/>
      <c r="E526" s="169"/>
      <c r="F526" s="169"/>
      <c r="M526" s="169"/>
      <c r="N526" s="169"/>
      <c r="O526" s="169"/>
      <c r="Q526" s="169"/>
      <c r="R526" s="169"/>
      <c r="S526" s="169"/>
      <c r="T526" s="169"/>
      <c r="U526" s="169"/>
      <c r="V526" s="169"/>
      <c r="W526" s="169"/>
      <c r="X526" s="169"/>
      <c r="Y526" s="169"/>
    </row>
    <row r="527" spans="3:25" ht="15" customHeight="1" x14ac:dyDescent="0.15">
      <c r="C527" s="169"/>
      <c r="D527" s="169"/>
      <c r="E527" s="169"/>
      <c r="F527" s="169"/>
      <c r="M527" s="169"/>
      <c r="N527" s="169"/>
      <c r="O527" s="169"/>
      <c r="Q527" s="169"/>
      <c r="R527" s="169"/>
      <c r="S527" s="169"/>
      <c r="T527" s="169"/>
      <c r="U527" s="169"/>
      <c r="V527" s="169"/>
      <c r="W527" s="169"/>
      <c r="X527" s="169"/>
      <c r="Y527" s="169"/>
    </row>
    <row r="528" spans="3:25" ht="15" customHeight="1" x14ac:dyDescent="0.15">
      <c r="C528" s="169"/>
      <c r="D528" s="169"/>
      <c r="E528" s="169"/>
      <c r="F528" s="169"/>
      <c r="M528" s="169"/>
      <c r="N528" s="169"/>
      <c r="O528" s="169"/>
      <c r="Q528" s="169"/>
      <c r="R528" s="169"/>
      <c r="S528" s="169"/>
      <c r="T528" s="169"/>
      <c r="U528" s="169"/>
      <c r="V528" s="169"/>
      <c r="W528" s="169"/>
      <c r="X528" s="169"/>
      <c r="Y528" s="169"/>
    </row>
  </sheetData>
  <phoneticPr fontId="2" type="noConversion"/>
  <pageMargins left="0.75" right="0.75" top="1" bottom="1" header="0.5" footer="0.5"/>
  <pageSetup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CF174"/>
  <sheetViews>
    <sheetView zoomScale="145" zoomScaleNormal="145" workbookViewId="0">
      <pane xSplit="1" ySplit="1" topLeftCell="B70" activePane="bottomRight" state="frozen"/>
      <selection pane="topRight" activeCell="B1" sqref="B1"/>
      <selection pane="bottomLeft" activeCell="A2" sqref="A2"/>
      <selection pane="bottomRight" activeCell="A88" sqref="A88"/>
    </sheetView>
  </sheetViews>
  <sheetFormatPr baseColWidth="10" defaultColWidth="8.83203125" defaultRowHeight="13" x14ac:dyDescent="0.15"/>
  <cols>
    <col min="1" max="1" width="40" bestFit="1" customWidth="1"/>
    <col min="74" max="74" width="22.1640625" bestFit="1" customWidth="1"/>
  </cols>
  <sheetData>
    <row r="1" spans="1:84" x14ac:dyDescent="0.15">
      <c r="A1" s="4" t="s">
        <v>395</v>
      </c>
      <c r="B1" t="s">
        <v>176</v>
      </c>
      <c r="C1" t="s">
        <v>177</v>
      </c>
      <c r="D1" t="s">
        <v>178</v>
      </c>
      <c r="E1" t="s">
        <v>179</v>
      </c>
      <c r="F1" t="s">
        <v>180</v>
      </c>
      <c r="G1" t="s">
        <v>181</v>
      </c>
      <c r="H1" t="s">
        <v>182</v>
      </c>
      <c r="I1" t="s">
        <v>183</v>
      </c>
      <c r="J1" t="s">
        <v>184</v>
      </c>
      <c r="K1" t="s">
        <v>185</v>
      </c>
      <c r="L1" t="s">
        <v>186</v>
      </c>
      <c r="M1" t="s">
        <v>187</v>
      </c>
      <c r="N1" t="s">
        <v>188</v>
      </c>
      <c r="O1" t="s">
        <v>189</v>
      </c>
      <c r="P1" t="s">
        <v>190</v>
      </c>
      <c r="Q1" t="s">
        <v>191</v>
      </c>
      <c r="R1" t="s">
        <v>192</v>
      </c>
      <c r="S1" t="s">
        <v>193</v>
      </c>
      <c r="T1" t="s">
        <v>194</v>
      </c>
      <c r="U1" t="s">
        <v>195</v>
      </c>
      <c r="V1" t="s">
        <v>196</v>
      </c>
      <c r="W1" t="s">
        <v>197</v>
      </c>
      <c r="X1" t="s">
        <v>198</v>
      </c>
      <c r="Y1" t="s">
        <v>273</v>
      </c>
      <c r="Z1" t="s">
        <v>398</v>
      </c>
      <c r="AA1" t="s">
        <v>399</v>
      </c>
      <c r="AB1" t="s">
        <v>199</v>
      </c>
      <c r="AC1" t="s">
        <v>200</v>
      </c>
      <c r="AD1" t="s">
        <v>201</v>
      </c>
      <c r="AE1" t="s">
        <v>202</v>
      </c>
      <c r="AF1" t="s">
        <v>203</v>
      </c>
      <c r="AG1" t="s">
        <v>204</v>
      </c>
      <c r="AH1" t="s">
        <v>205</v>
      </c>
      <c r="AI1" t="s">
        <v>206</v>
      </c>
      <c r="AJ1" t="s">
        <v>207</v>
      </c>
      <c r="AK1" t="s">
        <v>208</v>
      </c>
      <c r="AL1" t="s">
        <v>209</v>
      </c>
      <c r="AM1" t="s">
        <v>210</v>
      </c>
      <c r="AN1" t="s">
        <v>211</v>
      </c>
      <c r="AO1" t="s">
        <v>212</v>
      </c>
      <c r="AP1" t="s">
        <v>213</v>
      </c>
      <c r="AQ1" t="s">
        <v>214</v>
      </c>
      <c r="AR1" t="s">
        <v>215</v>
      </c>
      <c r="AS1" t="s">
        <v>216</v>
      </c>
      <c r="AT1" t="s">
        <v>217</v>
      </c>
      <c r="AU1" t="s">
        <v>218</v>
      </c>
      <c r="AV1" t="s">
        <v>219</v>
      </c>
      <c r="AW1" t="s">
        <v>220</v>
      </c>
      <c r="AX1" t="s">
        <v>221</v>
      </c>
      <c r="AY1" t="s">
        <v>222</v>
      </c>
      <c r="AZ1" t="s">
        <v>223</v>
      </c>
      <c r="BA1" t="s">
        <v>224</v>
      </c>
      <c r="BB1" t="s">
        <v>225</v>
      </c>
      <c r="BC1" t="s">
        <v>226</v>
      </c>
      <c r="BD1" t="s">
        <v>227</v>
      </c>
      <c r="BE1" t="s">
        <v>228</v>
      </c>
      <c r="BF1" t="s">
        <v>229</v>
      </c>
      <c r="BG1" t="s">
        <v>230</v>
      </c>
      <c r="BH1" t="s">
        <v>231</v>
      </c>
      <c r="BI1" t="s">
        <v>232</v>
      </c>
      <c r="BJ1" t="s">
        <v>233</v>
      </c>
      <c r="BK1" t="s">
        <v>234</v>
      </c>
      <c r="BL1" t="s">
        <v>235</v>
      </c>
      <c r="BM1" t="s">
        <v>236</v>
      </c>
      <c r="BN1" t="s">
        <v>237</v>
      </c>
      <c r="BO1" t="s">
        <v>238</v>
      </c>
      <c r="BP1" t="s">
        <v>239</v>
      </c>
      <c r="BQ1" t="s">
        <v>240</v>
      </c>
      <c r="BR1" t="s">
        <v>241</v>
      </c>
      <c r="BS1" t="s">
        <v>242</v>
      </c>
      <c r="BT1" t="s">
        <v>243</v>
      </c>
      <c r="BU1" t="s">
        <v>244</v>
      </c>
      <c r="BV1" t="s">
        <v>245</v>
      </c>
      <c r="BW1" t="s">
        <v>246</v>
      </c>
      <c r="BX1" t="s">
        <v>247</v>
      </c>
      <c r="BY1" t="s">
        <v>248</v>
      </c>
      <c r="BZ1" t="s">
        <v>249</v>
      </c>
      <c r="CA1" t="s">
        <v>250</v>
      </c>
      <c r="CB1" t="s">
        <v>251</v>
      </c>
      <c r="CC1" t="s">
        <v>252</v>
      </c>
      <c r="CD1" t="s">
        <v>253</v>
      </c>
      <c r="CE1" t="s">
        <v>254</v>
      </c>
      <c r="CF1" t="s">
        <v>255</v>
      </c>
    </row>
    <row r="2" spans="1:84" x14ac:dyDescent="0.15">
      <c r="A2" t="s">
        <v>176</v>
      </c>
      <c r="B2" s="222">
        <v>0</v>
      </c>
      <c r="C2" s="118">
        <v>0</v>
      </c>
      <c r="D2" s="118">
        <v>0.74812990629503606</v>
      </c>
      <c r="E2" s="223">
        <v>0.35206113237413461</v>
      </c>
      <c r="F2" s="223">
        <v>0.35206113237413472</v>
      </c>
      <c r="G2" s="118">
        <v>0.52809169856120197</v>
      </c>
      <c r="H2" s="118">
        <v>0.51929017025184854</v>
      </c>
      <c r="I2" s="118">
        <v>0.44007641546766829</v>
      </c>
      <c r="J2" s="118">
        <v>0.17603056618706733</v>
      </c>
      <c r="K2" s="118">
        <v>0.29045043420866107</v>
      </c>
      <c r="L2" s="118">
        <v>0.56769857595329209</v>
      </c>
      <c r="M2" s="118">
        <v>0</v>
      </c>
      <c r="N2" s="118">
        <v>0</v>
      </c>
      <c r="O2" s="118">
        <v>0.5368932268705553</v>
      </c>
      <c r="P2" s="118">
        <v>0.40487030223025483</v>
      </c>
      <c r="Q2" s="118">
        <v>0</v>
      </c>
      <c r="R2" s="118">
        <v>0</v>
      </c>
      <c r="S2" s="118">
        <v>0</v>
      </c>
      <c r="T2" s="118">
        <v>0</v>
      </c>
      <c r="U2" s="118">
        <v>0.32669999999999999</v>
      </c>
      <c r="V2" s="118">
        <v>0.29045043420866107</v>
      </c>
      <c r="W2" s="118">
        <v>0.1</v>
      </c>
      <c r="X2" s="118">
        <v>0</v>
      </c>
      <c r="Y2" s="118">
        <v>0</v>
      </c>
      <c r="Z2" s="118">
        <v>0</v>
      </c>
      <c r="AA2" s="118">
        <v>0</v>
      </c>
      <c r="AB2" s="118">
        <v>0</v>
      </c>
      <c r="AC2" s="118">
        <v>0</v>
      </c>
      <c r="AD2" s="118">
        <v>0</v>
      </c>
      <c r="AE2" s="118">
        <v>0</v>
      </c>
      <c r="AF2" s="118">
        <v>0</v>
      </c>
      <c r="AG2" s="118">
        <v>0</v>
      </c>
      <c r="AH2" s="118">
        <v>0</v>
      </c>
      <c r="AI2" s="118">
        <v>0</v>
      </c>
      <c r="AJ2" s="118">
        <v>0</v>
      </c>
      <c r="AK2" s="118">
        <v>0</v>
      </c>
      <c r="AL2" s="118">
        <v>0</v>
      </c>
      <c r="AM2" s="118">
        <v>0</v>
      </c>
      <c r="AN2" s="118">
        <v>0</v>
      </c>
      <c r="AO2" s="118">
        <v>0</v>
      </c>
      <c r="AP2" s="118">
        <v>0</v>
      </c>
      <c r="AQ2" s="118">
        <v>0</v>
      </c>
      <c r="AR2" s="118">
        <v>0</v>
      </c>
      <c r="AS2" s="118">
        <v>0</v>
      </c>
      <c r="AT2" s="118">
        <v>0</v>
      </c>
      <c r="AU2" s="118">
        <v>0</v>
      </c>
      <c r="AV2" s="118">
        <v>0</v>
      </c>
      <c r="AW2" s="118">
        <v>0</v>
      </c>
      <c r="AX2" s="118">
        <v>0</v>
      </c>
      <c r="AY2" s="118">
        <v>0</v>
      </c>
      <c r="AZ2" s="118">
        <v>9.0655741586339669E-2</v>
      </c>
      <c r="BA2" s="118">
        <v>0</v>
      </c>
      <c r="BB2" s="118">
        <v>0</v>
      </c>
      <c r="BC2" s="118">
        <v>0</v>
      </c>
      <c r="BD2" s="118">
        <v>0</v>
      </c>
      <c r="BE2" s="118">
        <v>0</v>
      </c>
      <c r="BF2" s="118">
        <v>8.8015283093533667E-2</v>
      </c>
      <c r="BG2" s="118">
        <v>0</v>
      </c>
      <c r="BH2" s="118">
        <v>1.7603056618706731E-2</v>
      </c>
      <c r="BI2" s="118">
        <v>8.8015283093533653E-3</v>
      </c>
      <c r="BJ2" s="118">
        <v>0</v>
      </c>
      <c r="BK2" s="118">
        <v>0</v>
      </c>
      <c r="BL2" s="118">
        <v>0</v>
      </c>
      <c r="BM2" s="118">
        <v>0</v>
      </c>
      <c r="BN2" s="118">
        <v>0</v>
      </c>
      <c r="BO2" s="118">
        <v>0</v>
      </c>
      <c r="BP2" s="118">
        <v>0</v>
      </c>
      <c r="BQ2" s="118">
        <v>0</v>
      </c>
      <c r="BR2" s="118">
        <v>0</v>
      </c>
      <c r="BS2" s="118">
        <v>0</v>
      </c>
      <c r="BT2" s="118">
        <v>0</v>
      </c>
      <c r="BU2" s="118">
        <v>0</v>
      </c>
      <c r="BV2" s="118">
        <v>0</v>
      </c>
      <c r="BW2" s="118">
        <v>0</v>
      </c>
      <c r="BX2" s="118">
        <v>0</v>
      </c>
      <c r="BY2" s="118">
        <v>0</v>
      </c>
      <c r="BZ2" s="118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</row>
    <row r="3" spans="1:84" x14ac:dyDescent="0.15">
      <c r="A3" t="s">
        <v>177</v>
      </c>
      <c r="B3" s="118">
        <v>0</v>
      </c>
      <c r="C3" s="222">
        <v>0</v>
      </c>
      <c r="D3" s="118">
        <v>0.10187009370496394</v>
      </c>
      <c r="E3" s="223">
        <v>4.7938867625865383E-2</v>
      </c>
      <c r="F3" s="223">
        <v>4.7938867625865397E-2</v>
      </c>
      <c r="G3" s="118">
        <v>7.1908301438798075E-2</v>
      </c>
      <c r="H3" s="118">
        <v>7.0709829748151445E-2</v>
      </c>
      <c r="I3" s="118">
        <v>5.9923584532331736E-2</v>
      </c>
      <c r="J3" s="118">
        <v>2.3969433812932695E-2</v>
      </c>
      <c r="K3" s="118">
        <v>3.9549565791338948E-2</v>
      </c>
      <c r="L3" s="118">
        <v>7.7301424046707937E-2</v>
      </c>
      <c r="M3" s="118">
        <v>0</v>
      </c>
      <c r="N3" s="118">
        <v>0</v>
      </c>
      <c r="O3" s="118">
        <v>7.3106773129444719E-2</v>
      </c>
      <c r="P3" s="118">
        <v>5.5129697769745196E-2</v>
      </c>
      <c r="Q3" s="118">
        <v>0</v>
      </c>
      <c r="R3" s="118">
        <v>0</v>
      </c>
      <c r="S3" s="118">
        <v>0</v>
      </c>
      <c r="T3" s="118">
        <v>0</v>
      </c>
      <c r="U3" s="118">
        <v>3.3000000000000251E-3</v>
      </c>
      <c r="V3" s="118">
        <v>3.9549565791338948E-2</v>
      </c>
      <c r="W3" s="118">
        <v>5.0000000000000001E-3</v>
      </c>
      <c r="X3" s="118">
        <v>0</v>
      </c>
      <c r="Y3" s="118">
        <v>0</v>
      </c>
      <c r="Z3" s="118">
        <v>0</v>
      </c>
      <c r="AA3" s="118">
        <v>0</v>
      </c>
      <c r="AB3" s="118">
        <v>0</v>
      </c>
      <c r="AC3" s="118">
        <v>0</v>
      </c>
      <c r="AD3" s="118">
        <v>0</v>
      </c>
      <c r="AE3" s="118">
        <v>0</v>
      </c>
      <c r="AF3" s="118">
        <v>0</v>
      </c>
      <c r="AG3" s="118">
        <v>0</v>
      </c>
      <c r="AH3" s="118">
        <v>0</v>
      </c>
      <c r="AI3" s="118">
        <v>0</v>
      </c>
      <c r="AJ3" s="118">
        <v>0</v>
      </c>
      <c r="AK3" s="118">
        <v>0</v>
      </c>
      <c r="AL3" s="118">
        <v>0</v>
      </c>
      <c r="AM3" s="118">
        <v>0</v>
      </c>
      <c r="AN3" s="118">
        <v>0</v>
      </c>
      <c r="AO3" s="118">
        <v>0</v>
      </c>
      <c r="AP3" s="118">
        <v>0</v>
      </c>
      <c r="AQ3" s="118">
        <v>0</v>
      </c>
      <c r="AR3" s="118">
        <v>0</v>
      </c>
      <c r="AS3" s="118">
        <v>0</v>
      </c>
      <c r="AT3" s="118">
        <v>0</v>
      </c>
      <c r="AU3" s="118">
        <v>0</v>
      </c>
      <c r="AV3" s="118">
        <v>0</v>
      </c>
      <c r="AW3" s="118">
        <v>0</v>
      </c>
      <c r="AX3" s="118">
        <v>0</v>
      </c>
      <c r="AY3" s="118">
        <v>0</v>
      </c>
      <c r="AZ3" s="118">
        <v>1.2344258413660337E-2</v>
      </c>
      <c r="BA3" s="118">
        <v>0</v>
      </c>
      <c r="BB3" s="118">
        <v>0</v>
      </c>
      <c r="BC3" s="118">
        <v>0</v>
      </c>
      <c r="BD3" s="118">
        <v>0</v>
      </c>
      <c r="BE3" s="118">
        <v>0</v>
      </c>
      <c r="BF3" s="118">
        <v>1.1984716906466348E-2</v>
      </c>
      <c r="BG3" s="118">
        <v>0</v>
      </c>
      <c r="BH3" s="118">
        <v>2.3969433812932694E-3</v>
      </c>
      <c r="BI3" s="118">
        <v>1.1984716906466347E-3</v>
      </c>
      <c r="BJ3" s="118">
        <v>0</v>
      </c>
      <c r="BK3" s="118">
        <v>0</v>
      </c>
      <c r="BL3" s="118">
        <v>0</v>
      </c>
      <c r="BM3" s="118">
        <v>0</v>
      </c>
      <c r="BN3" s="118">
        <v>0</v>
      </c>
      <c r="BO3" s="118">
        <v>0</v>
      </c>
      <c r="BP3" s="118">
        <v>0</v>
      </c>
      <c r="BQ3" s="118">
        <v>0</v>
      </c>
      <c r="BR3" s="118">
        <v>0</v>
      </c>
      <c r="BS3" s="118">
        <v>0</v>
      </c>
      <c r="BT3" s="118">
        <v>0</v>
      </c>
      <c r="BU3" s="118">
        <v>0</v>
      </c>
      <c r="BV3" s="118">
        <v>0</v>
      </c>
      <c r="BW3" s="118">
        <v>0</v>
      </c>
      <c r="BX3" s="118">
        <v>0</v>
      </c>
      <c r="BY3" s="118">
        <v>0</v>
      </c>
      <c r="BZ3" s="118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</row>
    <row r="4" spans="1:84" x14ac:dyDescent="0.15">
      <c r="A4" t="s">
        <v>178</v>
      </c>
      <c r="B4" s="118">
        <v>0</v>
      </c>
      <c r="C4" s="118">
        <v>0</v>
      </c>
      <c r="D4" s="222">
        <v>0</v>
      </c>
      <c r="E4" s="217">
        <v>0.6</v>
      </c>
      <c r="F4" s="217">
        <v>0.6</v>
      </c>
      <c r="G4" s="118">
        <v>0.4</v>
      </c>
      <c r="H4" s="118">
        <v>0.15</v>
      </c>
      <c r="I4" s="118">
        <v>0.25835832232439815</v>
      </c>
      <c r="J4" s="118">
        <v>5.0799999999999998E-2</v>
      </c>
      <c r="K4" s="118">
        <v>0.15185695749523759</v>
      </c>
      <c r="L4" s="118">
        <v>0.25</v>
      </c>
      <c r="M4" s="118">
        <v>0</v>
      </c>
      <c r="N4" s="118">
        <v>0</v>
      </c>
      <c r="O4" s="118">
        <v>0.3</v>
      </c>
      <c r="P4" s="118">
        <v>0.3</v>
      </c>
      <c r="Q4" s="118">
        <v>0</v>
      </c>
      <c r="R4" s="118">
        <v>0</v>
      </c>
      <c r="S4" s="118">
        <v>0</v>
      </c>
      <c r="T4" s="118">
        <v>0</v>
      </c>
      <c r="U4" s="118">
        <v>0</v>
      </c>
      <c r="V4" s="118">
        <v>0</v>
      </c>
      <c r="W4" s="118">
        <v>0</v>
      </c>
      <c r="X4" s="118">
        <v>0</v>
      </c>
      <c r="Y4" s="118">
        <v>0</v>
      </c>
      <c r="Z4" s="118">
        <v>0</v>
      </c>
      <c r="AA4" s="118">
        <v>0</v>
      </c>
      <c r="AB4" s="118">
        <v>0</v>
      </c>
      <c r="AC4" s="118">
        <v>0</v>
      </c>
      <c r="AD4" s="118">
        <v>0</v>
      </c>
      <c r="AE4" s="118">
        <v>0</v>
      </c>
      <c r="AF4" s="118">
        <v>0</v>
      </c>
      <c r="AG4" s="118">
        <v>0</v>
      </c>
      <c r="AH4" s="118">
        <v>0</v>
      </c>
      <c r="AI4" s="118">
        <v>0</v>
      </c>
      <c r="AJ4" s="118">
        <v>0</v>
      </c>
      <c r="AK4" s="118">
        <v>0</v>
      </c>
      <c r="AL4" s="118">
        <v>0</v>
      </c>
      <c r="AM4" s="118">
        <v>0</v>
      </c>
      <c r="AN4" s="118">
        <v>0</v>
      </c>
      <c r="AO4" s="118">
        <v>0</v>
      </c>
      <c r="AP4" s="118">
        <v>0</v>
      </c>
      <c r="AQ4" s="118">
        <v>0</v>
      </c>
      <c r="AR4" s="118">
        <v>0</v>
      </c>
      <c r="AS4" s="118">
        <v>0</v>
      </c>
      <c r="AT4" s="118">
        <v>0</v>
      </c>
      <c r="AU4" s="118">
        <v>0</v>
      </c>
      <c r="AV4" s="118">
        <v>0</v>
      </c>
      <c r="AW4" s="118">
        <v>0</v>
      </c>
      <c r="AX4" s="118">
        <v>0</v>
      </c>
      <c r="AY4" s="118">
        <v>0</v>
      </c>
      <c r="AZ4" s="118">
        <v>0</v>
      </c>
      <c r="BA4" s="118">
        <v>0</v>
      </c>
      <c r="BB4" s="118">
        <v>0</v>
      </c>
      <c r="BC4" s="118">
        <v>0</v>
      </c>
      <c r="BD4" s="118">
        <v>0</v>
      </c>
      <c r="BE4" s="118">
        <v>0</v>
      </c>
      <c r="BF4" s="118">
        <v>0</v>
      </c>
      <c r="BG4" s="118">
        <v>0</v>
      </c>
      <c r="BH4" s="118">
        <v>0.03</v>
      </c>
      <c r="BI4" s="118">
        <v>0.01</v>
      </c>
      <c r="BJ4" s="118">
        <v>0</v>
      </c>
      <c r="BK4" s="118">
        <v>0</v>
      </c>
      <c r="BL4" s="118">
        <v>0</v>
      </c>
      <c r="BM4" s="118">
        <v>0</v>
      </c>
      <c r="BN4" s="118">
        <v>0</v>
      </c>
      <c r="BO4" s="118">
        <v>0</v>
      </c>
      <c r="BP4" s="118">
        <v>0</v>
      </c>
      <c r="BQ4" s="118">
        <v>0</v>
      </c>
      <c r="BR4" s="118">
        <v>0</v>
      </c>
      <c r="BS4" s="118">
        <v>0</v>
      </c>
      <c r="BT4" s="118">
        <v>0</v>
      </c>
      <c r="BU4" s="118">
        <v>0</v>
      </c>
      <c r="BV4" s="118">
        <v>0</v>
      </c>
      <c r="BW4" s="118">
        <v>0</v>
      </c>
      <c r="BX4" s="118">
        <v>0</v>
      </c>
      <c r="BY4" s="118">
        <v>0</v>
      </c>
      <c r="BZ4" s="118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</row>
    <row r="5" spans="1:84" x14ac:dyDescent="0.15">
      <c r="A5" t="s">
        <v>179</v>
      </c>
      <c r="B5" s="118">
        <v>0</v>
      </c>
      <c r="C5" s="118">
        <v>0</v>
      </c>
      <c r="D5" s="118">
        <v>0</v>
      </c>
      <c r="E5" s="222">
        <v>0</v>
      </c>
      <c r="F5" s="118">
        <v>0</v>
      </c>
      <c r="G5" s="118">
        <v>0</v>
      </c>
      <c r="H5" s="118">
        <v>1.5618324106189484E-2</v>
      </c>
      <c r="I5" s="118">
        <v>1.0106357223713445E-2</v>
      </c>
      <c r="J5" s="118">
        <v>2.2158497325656334E-2</v>
      </c>
      <c r="K5" s="118">
        <v>2.2210558406010297E-2</v>
      </c>
      <c r="L5" s="118">
        <v>4.5553445309719333E-3</v>
      </c>
      <c r="M5" s="118">
        <v>3.5791992743350903E-2</v>
      </c>
      <c r="N5" s="118">
        <v>3.5000000000000003E-2</v>
      </c>
      <c r="O5" s="118">
        <v>4.2299627787596526E-3</v>
      </c>
      <c r="P5" s="118">
        <v>4.2299627787596526E-3</v>
      </c>
      <c r="Q5" s="118">
        <v>4.5553445309719333E-3</v>
      </c>
      <c r="R5" s="118">
        <v>0</v>
      </c>
      <c r="S5" s="118">
        <v>1.4030461155393555E-2</v>
      </c>
      <c r="T5" s="118">
        <v>2.8178059741583529E-2</v>
      </c>
      <c r="U5" s="118">
        <v>1.1062979575217553E-2</v>
      </c>
      <c r="V5" s="118">
        <v>1.177881943008457E-2</v>
      </c>
      <c r="W5" s="118">
        <v>2.2516417253089838E-2</v>
      </c>
      <c r="X5" s="118">
        <v>9.0130745362801828E-3</v>
      </c>
      <c r="Y5" s="118">
        <v>0</v>
      </c>
      <c r="Z5" s="118">
        <v>1E-3</v>
      </c>
      <c r="AA5" s="118">
        <v>0</v>
      </c>
      <c r="AB5" s="118">
        <v>0.1016</v>
      </c>
      <c r="AC5" s="118">
        <v>4.0282260923880375E-3</v>
      </c>
      <c r="AD5" s="118">
        <v>1.9653057833621769E-3</v>
      </c>
      <c r="AE5" s="118">
        <v>0</v>
      </c>
      <c r="AF5" s="118">
        <v>0</v>
      </c>
      <c r="AG5" s="118">
        <v>7.7440857026522857E-3</v>
      </c>
      <c r="AH5" s="118">
        <v>0</v>
      </c>
      <c r="AI5" s="224">
        <v>1.3015270088491239E-4</v>
      </c>
      <c r="AJ5" s="118">
        <v>5.4013370867238642E-3</v>
      </c>
      <c r="AK5" s="224">
        <v>6.5076350442456194E-5</v>
      </c>
      <c r="AL5" s="118">
        <v>0</v>
      </c>
      <c r="AM5" s="118">
        <v>0</v>
      </c>
      <c r="AN5" s="118">
        <v>0</v>
      </c>
      <c r="AO5" s="118">
        <v>0</v>
      </c>
      <c r="AP5" s="118">
        <v>0</v>
      </c>
      <c r="AQ5" s="118">
        <v>0</v>
      </c>
      <c r="AR5" s="118">
        <v>0</v>
      </c>
      <c r="AS5" s="118">
        <v>0</v>
      </c>
      <c r="AT5" s="118">
        <v>9.1757654123863228E-4</v>
      </c>
      <c r="AU5" s="118">
        <v>1.334065184070352E-3</v>
      </c>
      <c r="AV5" s="118">
        <v>1.3066851484727199E-3</v>
      </c>
      <c r="AW5" s="118">
        <v>4.5943903412374067E-3</v>
      </c>
      <c r="AX5" s="118">
        <v>0</v>
      </c>
      <c r="AY5" s="118">
        <v>3.5525179706536833E-2</v>
      </c>
      <c r="AZ5" s="118">
        <v>4.166187955326045E-2</v>
      </c>
      <c r="BA5" s="118">
        <v>6.5076350442456188E-3</v>
      </c>
      <c r="BB5" s="118">
        <v>0</v>
      </c>
      <c r="BC5" s="118">
        <v>7.1583985486701803E-3</v>
      </c>
      <c r="BD5" s="118">
        <v>0</v>
      </c>
      <c r="BE5" s="118">
        <v>9.4360708141561465E-3</v>
      </c>
      <c r="BF5" s="118">
        <v>0</v>
      </c>
      <c r="BG5" s="118">
        <v>0</v>
      </c>
      <c r="BH5" s="118">
        <v>0</v>
      </c>
      <c r="BI5" s="118">
        <v>3.2538175221228093E-4</v>
      </c>
      <c r="BJ5" s="118">
        <v>0</v>
      </c>
      <c r="BK5" s="118">
        <v>0</v>
      </c>
      <c r="BL5" s="118">
        <v>0</v>
      </c>
      <c r="BM5" s="118">
        <v>0</v>
      </c>
      <c r="BN5" s="118">
        <v>0</v>
      </c>
      <c r="BO5" s="118">
        <v>0</v>
      </c>
      <c r="BP5" s="118">
        <v>0.15197568389057753</v>
      </c>
      <c r="BQ5" s="118">
        <v>0</v>
      </c>
      <c r="BR5" s="118">
        <v>0.01</v>
      </c>
      <c r="BS5" s="118">
        <v>0</v>
      </c>
      <c r="BT5" s="118">
        <v>0.2082194633143333</v>
      </c>
      <c r="BU5" s="118">
        <v>0</v>
      </c>
      <c r="BV5" s="118">
        <v>6.5727113946880745E-4</v>
      </c>
      <c r="BW5" s="118">
        <v>0</v>
      </c>
      <c r="BX5" s="118">
        <v>0</v>
      </c>
      <c r="BY5" s="118">
        <v>0</v>
      </c>
      <c r="BZ5" s="118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</row>
    <row r="6" spans="1:84" x14ac:dyDescent="0.15">
      <c r="A6" t="s">
        <v>180</v>
      </c>
      <c r="B6" s="118">
        <v>0</v>
      </c>
      <c r="C6" s="118">
        <v>0</v>
      </c>
      <c r="D6" s="118">
        <v>0</v>
      </c>
      <c r="E6" s="118">
        <v>0</v>
      </c>
      <c r="F6" s="222">
        <v>0</v>
      </c>
      <c r="G6" s="118">
        <v>0</v>
      </c>
      <c r="H6" s="118">
        <v>0.11319354071821469</v>
      </c>
      <c r="I6" s="118">
        <v>7.3245653639744751E-2</v>
      </c>
      <c r="J6" s="118">
        <v>0.1605933358939671</v>
      </c>
      <c r="K6" s="118">
        <v>0.16097064769636113</v>
      </c>
      <c r="L6" s="118">
        <v>3.3014782709479287E-2</v>
      </c>
      <c r="M6" s="118">
        <v>0.25940186414590871</v>
      </c>
      <c r="N6" s="118">
        <v>0.32</v>
      </c>
      <c r="O6" s="118">
        <v>3.065658394451648E-2</v>
      </c>
      <c r="P6" s="118">
        <v>3.065658394451648E-2</v>
      </c>
      <c r="Q6" s="118">
        <v>3.3014782709479287E-2</v>
      </c>
      <c r="R6" s="118">
        <v>0</v>
      </c>
      <c r="S6" s="118">
        <v>0.10168553074519621</v>
      </c>
      <c r="T6" s="118">
        <v>0.204220013045779</v>
      </c>
      <c r="U6" s="118">
        <v>8.0178758008735418E-2</v>
      </c>
      <c r="V6" s="118">
        <v>8.5366795291653585E-2</v>
      </c>
      <c r="W6" s="118">
        <v>0.16318735453542618</v>
      </c>
      <c r="X6" s="118">
        <v>6.5322105789469731E-2</v>
      </c>
      <c r="Y6" s="118">
        <v>1E-3</v>
      </c>
      <c r="Z6" s="118">
        <v>3.0000000000000001E-3</v>
      </c>
      <c r="AA6" s="118">
        <v>1E-3</v>
      </c>
      <c r="AB6" s="118">
        <v>3.39E-2</v>
      </c>
      <c r="AC6" s="118">
        <v>2.9194500710239539E-2</v>
      </c>
      <c r="AD6" s="118">
        <v>1.4243520540375349E-2</v>
      </c>
      <c r="AE6" s="118">
        <v>0</v>
      </c>
      <c r="AF6" s="118">
        <v>0</v>
      </c>
      <c r="AG6" s="118">
        <v>5.6125130606114786E-2</v>
      </c>
      <c r="AH6" s="118">
        <v>0</v>
      </c>
      <c r="AI6" s="118">
        <v>9.432795059851225E-4</v>
      </c>
      <c r="AJ6" s="118">
        <v>3.9146099498382582E-2</v>
      </c>
      <c r="AK6" s="118">
        <v>4.7163975299256125E-4</v>
      </c>
      <c r="AL6" s="118">
        <v>0</v>
      </c>
      <c r="AM6" s="118">
        <v>0</v>
      </c>
      <c r="AN6" s="118">
        <v>0</v>
      </c>
      <c r="AO6" s="118">
        <v>0</v>
      </c>
      <c r="AP6" s="118">
        <v>0</v>
      </c>
      <c r="AQ6" s="118">
        <v>0</v>
      </c>
      <c r="AR6" s="118">
        <v>0</v>
      </c>
      <c r="AS6" s="118">
        <v>0</v>
      </c>
      <c r="AT6" s="118">
        <v>6.6501205171951129E-3</v>
      </c>
      <c r="AU6" s="118">
        <v>9.6686149363475055E-3</v>
      </c>
      <c r="AV6" s="118">
        <v>9.4701785898345971E-3</v>
      </c>
      <c r="AW6" s="118">
        <v>3.3297766561274818E-2</v>
      </c>
      <c r="AX6" s="118">
        <v>0</v>
      </c>
      <c r="AY6" s="118">
        <v>0.2574681411586392</v>
      </c>
      <c r="AZ6" s="118">
        <v>0.30194376986583771</v>
      </c>
      <c r="BA6" s="118">
        <v>4.7163975299256124E-2</v>
      </c>
      <c r="BB6" s="118">
        <v>0</v>
      </c>
      <c r="BC6" s="118">
        <v>5.1880372829181738E-2</v>
      </c>
      <c r="BD6" s="118">
        <v>0</v>
      </c>
      <c r="BE6" s="118">
        <v>6.8387764183921368E-2</v>
      </c>
      <c r="BF6" s="118">
        <v>0</v>
      </c>
      <c r="BG6" s="118">
        <v>0</v>
      </c>
      <c r="BH6" s="118">
        <v>0</v>
      </c>
      <c r="BI6" s="118">
        <v>2.3581987649628064E-3</v>
      </c>
      <c r="BJ6" s="118">
        <v>0</v>
      </c>
      <c r="BK6" s="118">
        <v>0</v>
      </c>
      <c r="BL6" s="118">
        <v>0</v>
      </c>
      <c r="BM6" s="118">
        <v>0</v>
      </c>
      <c r="BN6" s="118">
        <v>0</v>
      </c>
      <c r="BO6" s="118">
        <v>0</v>
      </c>
      <c r="BP6" s="118">
        <v>0</v>
      </c>
      <c r="BQ6" s="118">
        <v>0</v>
      </c>
      <c r="BR6" s="118">
        <v>0</v>
      </c>
      <c r="BS6" s="118">
        <v>0</v>
      </c>
      <c r="BT6" s="118">
        <v>0</v>
      </c>
      <c r="BU6" s="118">
        <v>0</v>
      </c>
      <c r="BV6" s="118">
        <v>4.7635615052248684E-3</v>
      </c>
      <c r="BW6" s="118">
        <v>0</v>
      </c>
      <c r="BX6" s="118">
        <v>0</v>
      </c>
      <c r="BY6" s="118">
        <v>0</v>
      </c>
      <c r="BZ6" s="118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</row>
    <row r="7" spans="1:84" x14ac:dyDescent="0.15">
      <c r="A7" t="s">
        <v>181</v>
      </c>
      <c r="B7" s="118">
        <v>0</v>
      </c>
      <c r="C7" s="118">
        <v>0</v>
      </c>
      <c r="D7" s="118">
        <v>0</v>
      </c>
      <c r="E7" s="118">
        <v>0</v>
      </c>
      <c r="F7" s="118">
        <v>0</v>
      </c>
      <c r="G7" s="222">
        <v>0</v>
      </c>
      <c r="H7" s="118">
        <v>0.11118813517559582</v>
      </c>
      <c r="I7" s="118">
        <v>7.1947989136541796E-2</v>
      </c>
      <c r="J7" s="118">
        <v>0.15774816678037659</v>
      </c>
      <c r="K7" s="118">
        <v>0.15811879389762856</v>
      </c>
      <c r="L7" s="118">
        <v>3.2429872759548783E-2</v>
      </c>
      <c r="M7" s="118">
        <v>0.25480614311074046</v>
      </c>
      <c r="N7" s="118">
        <v>0.06</v>
      </c>
      <c r="O7" s="118">
        <v>3.0113453276723868E-2</v>
      </c>
      <c r="P7" s="118">
        <v>3.0113453276723868E-2</v>
      </c>
      <c r="Q7" s="118">
        <v>3.2429872759548783E-2</v>
      </c>
      <c r="R7" s="118">
        <v>0</v>
      </c>
      <c r="S7" s="118">
        <v>9.9884008099410254E-2</v>
      </c>
      <c r="T7" s="118">
        <v>0.20060192721263745</v>
      </c>
      <c r="U7" s="118">
        <v>7.875826241604704E-2</v>
      </c>
      <c r="V7" s="118">
        <v>8.3854385278261848E-2</v>
      </c>
      <c r="W7" s="118">
        <v>0.16029622821148395</v>
      </c>
      <c r="X7" s="118">
        <v>6.4164819674250098E-2</v>
      </c>
      <c r="Y7" s="118">
        <v>0</v>
      </c>
      <c r="Z7" s="118">
        <v>1.7000000000000001E-2</v>
      </c>
      <c r="AA7" s="118">
        <v>4.0063259887362151E-3</v>
      </c>
      <c r="AB7" s="118">
        <v>7.0015160540810667E-2</v>
      </c>
      <c r="AC7" s="118">
        <v>2.867727319737242E-2</v>
      </c>
      <c r="AD7" s="118">
        <v>1.3991173676262474E-2</v>
      </c>
      <c r="AE7" s="118">
        <v>0</v>
      </c>
      <c r="AF7" s="118">
        <v>0</v>
      </c>
      <c r="AG7" s="118">
        <v>5.5130783691232928E-2</v>
      </c>
      <c r="AH7" s="118">
        <v>0</v>
      </c>
      <c r="AI7" s="118">
        <v>9.2656779312996524E-4</v>
      </c>
      <c r="AJ7" s="118">
        <v>3.8452563414893559E-2</v>
      </c>
      <c r="AK7" s="118">
        <v>4.6328389656498262E-4</v>
      </c>
      <c r="AL7" s="118">
        <v>0</v>
      </c>
      <c r="AM7" s="118">
        <v>0</v>
      </c>
      <c r="AN7" s="118">
        <v>0</v>
      </c>
      <c r="AO7" s="118">
        <v>0</v>
      </c>
      <c r="AP7" s="118">
        <v>0</v>
      </c>
      <c r="AQ7" s="118">
        <v>0</v>
      </c>
      <c r="AR7" s="118">
        <v>0</v>
      </c>
      <c r="AS7" s="118">
        <v>0</v>
      </c>
      <c r="AT7" s="118">
        <v>6.532302941566254E-3</v>
      </c>
      <c r="AU7" s="118">
        <v>9.4973198795821438E-3</v>
      </c>
      <c r="AV7" s="118">
        <v>9.3023991519519834E-3</v>
      </c>
      <c r="AW7" s="118">
        <v>3.2707843097487768E-2</v>
      </c>
      <c r="AX7" s="118">
        <v>0</v>
      </c>
      <c r="AY7" s="118">
        <v>0.25290667913482401</v>
      </c>
      <c r="AZ7" s="118">
        <v>0.29659435058090183</v>
      </c>
      <c r="BA7" s="118">
        <v>4.6328389656498263E-2</v>
      </c>
      <c r="BB7" s="118">
        <v>0</v>
      </c>
      <c r="BC7" s="118">
        <v>5.0961228622148087E-2</v>
      </c>
      <c r="BD7" s="118">
        <v>0</v>
      </c>
      <c r="BE7" s="118">
        <v>6.7176165001922472E-2</v>
      </c>
      <c r="BF7" s="118">
        <v>0</v>
      </c>
      <c r="BG7" s="118">
        <v>0</v>
      </c>
      <c r="BH7" s="118">
        <v>0</v>
      </c>
      <c r="BI7" s="118">
        <v>2.316419482824913E-3</v>
      </c>
      <c r="BJ7" s="118">
        <v>0</v>
      </c>
      <c r="BK7" s="118">
        <v>0</v>
      </c>
      <c r="BL7" s="118">
        <v>0</v>
      </c>
      <c r="BM7" s="118">
        <v>0</v>
      </c>
      <c r="BN7" s="118">
        <v>0</v>
      </c>
      <c r="BO7" s="118">
        <v>0</v>
      </c>
      <c r="BP7" s="118">
        <v>0</v>
      </c>
      <c r="BQ7" s="118">
        <v>0</v>
      </c>
      <c r="BR7" s="118">
        <v>5.0000000000000001E-3</v>
      </c>
      <c r="BS7" s="118">
        <v>0</v>
      </c>
      <c r="BT7" s="118">
        <v>2.6027432914291663E-2</v>
      </c>
      <c r="BU7" s="118">
        <v>0</v>
      </c>
      <c r="BV7" s="118">
        <v>4.679167355306324E-3</v>
      </c>
      <c r="BW7" s="118">
        <v>0</v>
      </c>
      <c r="BX7" s="118">
        <v>0</v>
      </c>
      <c r="BY7" s="118">
        <v>0</v>
      </c>
      <c r="BZ7" s="118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</row>
    <row r="8" spans="1:84" x14ac:dyDescent="0.15">
      <c r="A8" t="s">
        <v>182</v>
      </c>
      <c r="B8" s="118">
        <v>0</v>
      </c>
      <c r="C8" s="118">
        <v>0</v>
      </c>
      <c r="D8" s="118">
        <v>0</v>
      </c>
      <c r="E8" s="118">
        <v>0</v>
      </c>
      <c r="F8" s="118">
        <v>0</v>
      </c>
      <c r="G8" s="118">
        <v>0</v>
      </c>
      <c r="H8" s="222">
        <v>0</v>
      </c>
      <c r="I8" s="118">
        <v>0</v>
      </c>
      <c r="J8" s="118">
        <v>1.628743509955834E-2</v>
      </c>
      <c r="K8" s="118">
        <v>6.5149740398233362E-3</v>
      </c>
      <c r="L8" s="118">
        <v>3.2574870199116681E-3</v>
      </c>
      <c r="M8" s="118">
        <v>4.8862305298675017E-2</v>
      </c>
      <c r="N8" s="118">
        <v>0.03</v>
      </c>
      <c r="O8" s="118">
        <v>0</v>
      </c>
      <c r="P8" s="118">
        <v>0</v>
      </c>
      <c r="Q8" s="118">
        <v>0.11303479959093486</v>
      </c>
      <c r="R8" s="118">
        <v>3.9741341642922347E-2</v>
      </c>
      <c r="S8" s="118">
        <v>1.7015001559708476E-2</v>
      </c>
      <c r="T8" s="118">
        <v>0</v>
      </c>
      <c r="U8" s="118">
        <v>1.01E-2</v>
      </c>
      <c r="V8" s="118">
        <v>2.3453906543364007E-2</v>
      </c>
      <c r="W8" s="118">
        <v>3.4855111113054845E-3</v>
      </c>
      <c r="X8" s="118">
        <v>2.5603847976505712E-2</v>
      </c>
      <c r="Y8" s="118">
        <v>0</v>
      </c>
      <c r="Z8" s="118">
        <v>0</v>
      </c>
      <c r="AA8" s="118">
        <v>0</v>
      </c>
      <c r="AB8" s="118">
        <v>0</v>
      </c>
      <c r="AC8" s="118">
        <v>4.0067090344913514E-2</v>
      </c>
      <c r="AD8" s="118">
        <v>4.299882866283402E-2</v>
      </c>
      <c r="AE8" s="118">
        <v>4.0970383534002864E-3</v>
      </c>
      <c r="AF8" s="118">
        <v>5.0000000000000001E-3</v>
      </c>
      <c r="AG8" s="118">
        <v>7.4922201457968365E-2</v>
      </c>
      <c r="AH8" s="118">
        <v>0</v>
      </c>
      <c r="AI8" s="118">
        <v>1.4788991070398973E-2</v>
      </c>
      <c r="AJ8" s="118">
        <v>5.0491048808630852E-3</v>
      </c>
      <c r="AK8" s="118">
        <v>0</v>
      </c>
      <c r="AL8" s="216">
        <v>5.0000000000000001E-3</v>
      </c>
      <c r="AM8" s="118">
        <v>0</v>
      </c>
      <c r="AN8" s="118">
        <v>9.7073113193367703E-3</v>
      </c>
      <c r="AO8" s="118">
        <v>3.876409553694885E-3</v>
      </c>
      <c r="AP8" s="118">
        <v>0</v>
      </c>
      <c r="AQ8" s="216">
        <v>6.514974039823336E-4</v>
      </c>
      <c r="AR8" s="118">
        <v>0</v>
      </c>
      <c r="AS8" s="118">
        <v>0</v>
      </c>
      <c r="AT8" s="118">
        <v>4.9839551404648515E-3</v>
      </c>
      <c r="AU8" s="118">
        <v>1.0010257612188555E-3</v>
      </c>
      <c r="AV8" s="118">
        <v>0</v>
      </c>
      <c r="AW8" s="118">
        <v>4.6003515412336941E-3</v>
      </c>
      <c r="AX8" s="118">
        <v>0</v>
      </c>
      <c r="AY8" s="118">
        <v>7.182758878905228E-2</v>
      </c>
      <c r="AZ8" s="118">
        <v>2.6906842784470378E-2</v>
      </c>
      <c r="BA8" s="118">
        <v>3.257487019911668E-2</v>
      </c>
      <c r="BB8" s="118">
        <v>0</v>
      </c>
      <c r="BC8" s="118">
        <v>1.3029948079646672E-2</v>
      </c>
      <c r="BD8" s="118">
        <v>0</v>
      </c>
      <c r="BE8" s="118">
        <v>9.772461059735003E-3</v>
      </c>
      <c r="BF8" s="118">
        <v>0</v>
      </c>
      <c r="BG8" s="118">
        <v>0</v>
      </c>
      <c r="BH8" s="118">
        <v>0</v>
      </c>
      <c r="BI8" s="118">
        <v>0</v>
      </c>
      <c r="BJ8" s="118">
        <v>0</v>
      </c>
      <c r="BK8" s="118">
        <v>0</v>
      </c>
      <c r="BL8" s="118">
        <v>0</v>
      </c>
      <c r="BM8" s="118">
        <v>0</v>
      </c>
      <c r="BN8" s="118">
        <v>0.01</v>
      </c>
      <c r="BO8" s="118">
        <v>0</v>
      </c>
      <c r="BP8" s="118">
        <v>0</v>
      </c>
      <c r="BQ8" s="118">
        <v>0</v>
      </c>
      <c r="BR8" s="118">
        <v>0</v>
      </c>
      <c r="BS8" s="118">
        <v>0</v>
      </c>
      <c r="BT8" s="118">
        <v>0</v>
      </c>
      <c r="BU8" s="118">
        <v>0</v>
      </c>
      <c r="BV8" s="118">
        <v>1.628743509955834E-2</v>
      </c>
      <c r="BW8" s="118">
        <v>0</v>
      </c>
      <c r="BX8" s="118">
        <v>0</v>
      </c>
      <c r="BY8" s="118">
        <v>0</v>
      </c>
      <c r="BZ8" s="11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</row>
    <row r="9" spans="1:84" x14ac:dyDescent="0.15">
      <c r="A9" t="s">
        <v>183</v>
      </c>
      <c r="B9" s="118">
        <v>0</v>
      </c>
      <c r="C9" s="118">
        <v>0</v>
      </c>
      <c r="D9" s="118">
        <v>0</v>
      </c>
      <c r="E9" s="118">
        <v>0</v>
      </c>
      <c r="F9" s="118">
        <v>0</v>
      </c>
      <c r="G9" s="118">
        <v>0</v>
      </c>
      <c r="H9" s="118">
        <v>0</v>
      </c>
      <c r="I9" s="222">
        <v>0</v>
      </c>
      <c r="J9" s="118">
        <v>1.0994168939385776E-2</v>
      </c>
      <c r="K9" s="118">
        <v>4.3976675757543097E-3</v>
      </c>
      <c r="L9" s="118">
        <v>2.1988337878771549E-3</v>
      </c>
      <c r="M9" s="118">
        <v>3.2982506818157321E-2</v>
      </c>
      <c r="N9" s="118">
        <v>4.4999999999999998E-2</v>
      </c>
      <c r="O9" s="118">
        <v>0</v>
      </c>
      <c r="P9" s="118">
        <v>0</v>
      </c>
      <c r="Q9" s="118">
        <v>7.6299532439337264E-2</v>
      </c>
      <c r="R9" s="118">
        <v>2.6825772212101289E-2</v>
      </c>
      <c r="S9" s="118">
        <v>0.17015001559708476</v>
      </c>
      <c r="T9" s="118">
        <v>8.0000000000000002E-3</v>
      </c>
      <c r="U9" s="118">
        <v>5.0000000000000001E-3</v>
      </c>
      <c r="V9" s="118">
        <v>1.5831603272715513E-2</v>
      </c>
      <c r="W9" s="118">
        <v>2.3527521530285556E-3</v>
      </c>
      <c r="X9" s="118">
        <v>1.7282833572714439E-2</v>
      </c>
      <c r="Y9" s="118">
        <v>1E-3</v>
      </c>
      <c r="Z9" s="118">
        <v>3.5000000000000003E-2</v>
      </c>
      <c r="AA9" s="118">
        <v>8.0000000000000002E-3</v>
      </c>
      <c r="AB9" s="118">
        <v>1.129276782916301E-2</v>
      </c>
      <c r="AC9" s="118">
        <v>2.7045655590889006E-2</v>
      </c>
      <c r="AD9" s="118">
        <v>2.9024605999978446E-2</v>
      </c>
      <c r="AE9" s="118">
        <v>0</v>
      </c>
      <c r="AF9" s="118">
        <v>0</v>
      </c>
      <c r="AG9" s="118">
        <v>5.0573177121174567E-2</v>
      </c>
      <c r="AH9" s="118">
        <v>0</v>
      </c>
      <c r="AI9" s="118">
        <v>9.9827053969622839E-3</v>
      </c>
      <c r="AJ9" s="118">
        <v>3.40819237120959E-3</v>
      </c>
      <c r="AK9" s="118">
        <v>0</v>
      </c>
      <c r="AL9" s="221">
        <v>3.0000000000000001E-3</v>
      </c>
      <c r="AM9" s="118">
        <v>1E-3</v>
      </c>
      <c r="AN9" s="118">
        <v>6.5525246878739216E-3</v>
      </c>
      <c r="AO9" s="118">
        <v>2.6166122075738144E-3</v>
      </c>
      <c r="AP9" s="118">
        <v>0</v>
      </c>
      <c r="AQ9" s="221">
        <v>4.3976675757543101E-4</v>
      </c>
      <c r="AR9" s="118">
        <v>0</v>
      </c>
      <c r="AS9" s="118">
        <v>0</v>
      </c>
      <c r="AT9" s="118">
        <v>3.3642156954520469E-3</v>
      </c>
      <c r="AU9" s="224">
        <v>6.7570162301464976E-4</v>
      </c>
      <c r="AV9" s="118">
        <v>0</v>
      </c>
      <c r="AW9" s="118">
        <v>3.1052797273315572E-3</v>
      </c>
      <c r="AX9" s="118">
        <v>0</v>
      </c>
      <c r="AY9" s="118">
        <v>4.8484285022691267E-2</v>
      </c>
      <c r="AZ9" s="118">
        <v>1.8162367087865301E-2</v>
      </c>
      <c r="BA9" s="118">
        <v>2.1988337878771552E-2</v>
      </c>
      <c r="BB9" s="118">
        <v>0</v>
      </c>
      <c r="BC9" s="118">
        <v>8.7953351515086195E-3</v>
      </c>
      <c r="BD9" s="118">
        <v>0</v>
      </c>
      <c r="BE9" s="118">
        <v>6.5965013636314646E-3</v>
      </c>
      <c r="BF9" s="118">
        <v>0</v>
      </c>
      <c r="BG9" s="118">
        <v>0</v>
      </c>
      <c r="BH9" s="118">
        <v>0</v>
      </c>
      <c r="BI9" s="118">
        <v>0</v>
      </c>
      <c r="BJ9" s="118">
        <v>0</v>
      </c>
      <c r="BK9" s="118">
        <v>0</v>
      </c>
      <c r="BL9" s="118">
        <v>0</v>
      </c>
      <c r="BM9" s="118">
        <v>1.4999999999999999E-2</v>
      </c>
      <c r="BN9" s="118">
        <v>5.0000000000000001E-3</v>
      </c>
      <c r="BO9" s="118">
        <v>5.0000000000000001E-3</v>
      </c>
      <c r="BP9" s="118">
        <v>1.52E-2</v>
      </c>
      <c r="BQ9" s="118">
        <v>1.21E-2</v>
      </c>
      <c r="BR9" s="118">
        <v>1.4999999999999999E-2</v>
      </c>
      <c r="BS9" s="118">
        <v>0</v>
      </c>
      <c r="BT9" s="118">
        <v>3.1232919497149993E-2</v>
      </c>
      <c r="BU9" s="118">
        <v>0</v>
      </c>
      <c r="BV9" s="118">
        <v>1.0994168939385776E-2</v>
      </c>
      <c r="BW9" s="118">
        <v>0</v>
      </c>
      <c r="BX9" s="118">
        <v>0</v>
      </c>
      <c r="BY9" s="118">
        <v>0</v>
      </c>
      <c r="BZ9" s="118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</row>
    <row r="10" spans="1:84" x14ac:dyDescent="0.15">
      <c r="A10" t="s">
        <v>184</v>
      </c>
      <c r="B10" s="118">
        <v>0</v>
      </c>
      <c r="C10" s="118">
        <v>0</v>
      </c>
      <c r="D10" s="118">
        <v>0</v>
      </c>
      <c r="E10" s="118">
        <v>0</v>
      </c>
      <c r="F10" s="118">
        <v>0</v>
      </c>
      <c r="G10" s="118">
        <v>0</v>
      </c>
      <c r="H10" s="118">
        <v>0</v>
      </c>
      <c r="I10" s="118">
        <v>0</v>
      </c>
      <c r="J10" s="222">
        <v>5.0000000000000001E-3</v>
      </c>
      <c r="K10" s="118">
        <v>5.1000000000000004E-3</v>
      </c>
      <c r="L10" s="118">
        <v>0</v>
      </c>
      <c r="M10" s="118">
        <v>0.05</v>
      </c>
      <c r="N10" s="118">
        <v>0</v>
      </c>
      <c r="O10" s="118">
        <v>0</v>
      </c>
      <c r="P10" s="118">
        <v>0</v>
      </c>
      <c r="Q10" s="118">
        <v>1.9430070250512094E-2</v>
      </c>
      <c r="R10" s="118">
        <v>0.04</v>
      </c>
      <c r="S10" s="118">
        <v>0.1021</v>
      </c>
      <c r="T10" s="118">
        <v>0</v>
      </c>
      <c r="U10" s="118">
        <v>2.5000000000000001E-2</v>
      </c>
      <c r="V10" s="118">
        <v>3.2000000000000001E-2</v>
      </c>
      <c r="W10" s="118">
        <v>2.8400000000000002E-2</v>
      </c>
      <c r="X10" s="118">
        <v>5.4300000000000001E-2</v>
      </c>
      <c r="Y10" s="118">
        <v>0</v>
      </c>
      <c r="Z10" s="118">
        <v>0</v>
      </c>
      <c r="AA10" s="118">
        <v>0</v>
      </c>
      <c r="AB10" s="118">
        <v>0</v>
      </c>
      <c r="AC10" s="118">
        <v>0</v>
      </c>
      <c r="AD10" s="118">
        <v>0.2218</v>
      </c>
      <c r="AE10" s="118">
        <v>5.8400000000000001E-2</v>
      </c>
      <c r="AF10" s="118">
        <v>0.01</v>
      </c>
      <c r="AG10" s="118">
        <v>1.32E-2</v>
      </c>
      <c r="AH10" s="118">
        <v>0</v>
      </c>
      <c r="AI10" s="118">
        <v>0.1008</v>
      </c>
      <c r="AJ10" s="118">
        <v>1.04E-2</v>
      </c>
      <c r="AK10" s="118">
        <v>1E-3</v>
      </c>
      <c r="AL10" s="216">
        <v>2.5000000000000001E-2</v>
      </c>
      <c r="AM10" s="216">
        <v>5.0000000000000001E-3</v>
      </c>
      <c r="AN10" s="118">
        <v>1.1895961377864547E-2</v>
      </c>
      <c r="AO10" s="118">
        <v>0</v>
      </c>
      <c r="AP10" s="118">
        <v>0</v>
      </c>
      <c r="AQ10" s="216">
        <v>2E-3</v>
      </c>
      <c r="AR10" s="118">
        <v>0</v>
      </c>
      <c r="AS10" s="118">
        <v>0</v>
      </c>
      <c r="AT10" s="118">
        <v>6.5500000000000003E-2</v>
      </c>
      <c r="AU10" s="118">
        <v>0</v>
      </c>
      <c r="AV10" s="118">
        <v>0</v>
      </c>
      <c r="AW10" s="118">
        <v>5.0000000000000001E-3</v>
      </c>
      <c r="AX10" s="118">
        <v>0</v>
      </c>
      <c r="AY10" s="118">
        <v>0.105</v>
      </c>
      <c r="AZ10" s="118">
        <v>3.1E-2</v>
      </c>
      <c r="BA10" s="118">
        <v>3.1E-2</v>
      </c>
      <c r="BB10" s="118">
        <v>0</v>
      </c>
      <c r="BC10" s="118">
        <v>0.01</v>
      </c>
      <c r="BD10" s="118">
        <v>0</v>
      </c>
      <c r="BE10" s="118">
        <v>0</v>
      </c>
      <c r="BF10" s="118">
        <v>0</v>
      </c>
      <c r="BG10" s="118">
        <v>0</v>
      </c>
      <c r="BH10" s="118">
        <v>0</v>
      </c>
      <c r="BI10" s="118">
        <v>0</v>
      </c>
      <c r="BJ10" s="118">
        <v>0</v>
      </c>
      <c r="BK10" s="118">
        <v>0</v>
      </c>
      <c r="BL10" s="118">
        <v>0</v>
      </c>
      <c r="BM10" s="118">
        <v>0.02</v>
      </c>
      <c r="BN10" s="118">
        <v>0.01</v>
      </c>
      <c r="BO10" s="118">
        <v>5.0000000000000001E-3</v>
      </c>
      <c r="BP10" s="118">
        <v>1.52E-2</v>
      </c>
      <c r="BQ10" s="118">
        <v>1.0999999999999999E-2</v>
      </c>
      <c r="BR10" s="118">
        <v>0.02</v>
      </c>
      <c r="BS10" s="118">
        <v>0.01</v>
      </c>
      <c r="BT10" s="118">
        <v>3.1199999999999999E-2</v>
      </c>
      <c r="BU10" s="118">
        <v>0</v>
      </c>
      <c r="BV10" s="118">
        <v>2.3199999999999998E-2</v>
      </c>
      <c r="BW10" s="118">
        <v>0</v>
      </c>
      <c r="BX10" s="118">
        <v>0</v>
      </c>
      <c r="BY10" s="118">
        <v>0</v>
      </c>
      <c r="BZ10" s="118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</row>
    <row r="11" spans="1:84" x14ac:dyDescent="0.15">
      <c r="A11" t="s">
        <v>185</v>
      </c>
      <c r="B11" s="118">
        <v>0</v>
      </c>
      <c r="C11" s="118">
        <v>0</v>
      </c>
      <c r="D11" s="118">
        <v>0</v>
      </c>
      <c r="E11" s="118">
        <v>0</v>
      </c>
      <c r="F11" s="118">
        <v>0</v>
      </c>
      <c r="G11" s="118">
        <v>0</v>
      </c>
      <c r="H11" s="118">
        <v>0</v>
      </c>
      <c r="I11" s="118">
        <v>0</v>
      </c>
      <c r="J11" s="118">
        <v>2.271839596105589E-2</v>
      </c>
      <c r="K11" s="222">
        <v>9.0873583844223553E-3</v>
      </c>
      <c r="L11" s="118">
        <v>4.5436791922111777E-3</v>
      </c>
      <c r="M11" s="118">
        <v>6.8155187883167656E-2</v>
      </c>
      <c r="N11" s="118">
        <v>0.05</v>
      </c>
      <c r="O11" s="118">
        <v>0</v>
      </c>
      <c r="P11" s="118">
        <v>0</v>
      </c>
      <c r="Q11" s="118">
        <v>0.15766566796972784</v>
      </c>
      <c r="R11" s="118">
        <v>5.5432886144976365E-2</v>
      </c>
      <c r="S11" s="118">
        <v>0.15086634716274849</v>
      </c>
      <c r="T11" s="118">
        <v>2E-3</v>
      </c>
      <c r="U11" s="118">
        <v>0.04</v>
      </c>
      <c r="V11" s="118">
        <v>3.2714490183920475E-2</v>
      </c>
      <c r="W11" s="118">
        <v>4.8617367356659598E-3</v>
      </c>
      <c r="X11" s="118">
        <v>3.5713318450779859E-2</v>
      </c>
      <c r="Y11" s="118">
        <v>0.15</v>
      </c>
      <c r="Z11" s="118">
        <v>0.11700000000000001</v>
      </c>
      <c r="AA11" s="118">
        <v>0.1022</v>
      </c>
      <c r="AB11" s="118">
        <v>0.10389346402829969</v>
      </c>
      <c r="AC11" s="118">
        <v>5.5887254064197485E-2</v>
      </c>
      <c r="AD11" s="118">
        <v>5.9976565337187544E-2</v>
      </c>
      <c r="AE11" s="118">
        <v>5.5310017770903858E-2</v>
      </c>
      <c r="AF11" s="118">
        <v>0.01</v>
      </c>
      <c r="AG11" s="118">
        <v>0.10450462142085709</v>
      </c>
      <c r="AH11" s="118">
        <v>5.0000000000000001E-3</v>
      </c>
      <c r="AI11" s="118">
        <v>2.0628303532638746E-2</v>
      </c>
      <c r="AJ11" s="118">
        <v>7.0427027479273248E-3</v>
      </c>
      <c r="AK11" s="118">
        <v>0.09</v>
      </c>
      <c r="AL11" s="216">
        <v>9.9900000000000006E-3</v>
      </c>
      <c r="AM11" s="216">
        <v>3.5000000000000003E-2</v>
      </c>
      <c r="AN11" s="118">
        <v>1.3540163992789308E-2</v>
      </c>
      <c r="AO11" s="118">
        <v>5.4069782387313019E-3</v>
      </c>
      <c r="AP11" s="118">
        <v>0</v>
      </c>
      <c r="AQ11" s="216">
        <v>9.0873583844223549E-4</v>
      </c>
      <c r="AR11" s="118">
        <v>0</v>
      </c>
      <c r="AS11" s="118">
        <v>0</v>
      </c>
      <c r="AT11" s="118">
        <v>6.9518291640831009E-3</v>
      </c>
      <c r="AU11" s="118">
        <v>1.3962726157664949E-3</v>
      </c>
      <c r="AV11" s="118">
        <v>0</v>
      </c>
      <c r="AW11" s="118">
        <v>6.4167628134791342E-3</v>
      </c>
      <c r="AX11" s="118">
        <v>0</v>
      </c>
      <c r="AY11" s="118">
        <v>0.10018812618825647</v>
      </c>
      <c r="AZ11" s="118">
        <v>3.7530790127664332E-2</v>
      </c>
      <c r="BA11" s="118">
        <v>4.543679192211178E-2</v>
      </c>
      <c r="BB11" s="118">
        <v>0</v>
      </c>
      <c r="BC11" s="118">
        <v>1.8174716768844711E-2</v>
      </c>
      <c r="BD11" s="118">
        <v>0</v>
      </c>
      <c r="BE11" s="118">
        <v>1.3631037576633531E-2</v>
      </c>
      <c r="BF11" s="118">
        <v>0</v>
      </c>
      <c r="BG11" s="118">
        <v>0</v>
      </c>
      <c r="BH11" s="118">
        <v>0</v>
      </c>
      <c r="BI11" s="118">
        <v>0</v>
      </c>
      <c r="BJ11" s="118">
        <v>0</v>
      </c>
      <c r="BK11" s="118">
        <v>0</v>
      </c>
      <c r="BL11" s="118">
        <v>0</v>
      </c>
      <c r="BM11" s="118">
        <v>0.04</v>
      </c>
      <c r="BN11" s="216">
        <v>0.02</v>
      </c>
      <c r="BO11" s="118">
        <v>0.01</v>
      </c>
      <c r="BP11" s="118">
        <v>3.1399999999999997E-2</v>
      </c>
      <c r="BQ11" s="118">
        <v>2.5100000000000001E-2</v>
      </c>
      <c r="BR11" s="118">
        <v>0.05</v>
      </c>
      <c r="BS11" s="118">
        <v>0.02</v>
      </c>
      <c r="BT11" s="118">
        <v>0.10931521824002498</v>
      </c>
      <c r="BU11" s="118">
        <v>0.12</v>
      </c>
      <c r="BV11" s="118">
        <v>2.271839596105589E-2</v>
      </c>
      <c r="BW11" s="118">
        <v>0</v>
      </c>
      <c r="BX11" s="118">
        <v>0</v>
      </c>
      <c r="BY11" s="118">
        <v>0</v>
      </c>
      <c r="BZ11" s="118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</row>
    <row r="12" spans="1:84" x14ac:dyDescent="0.15">
      <c r="A12" t="s">
        <v>186</v>
      </c>
      <c r="B12" s="118">
        <v>0</v>
      </c>
      <c r="C12" s="118">
        <v>0</v>
      </c>
      <c r="D12" s="118">
        <v>0</v>
      </c>
      <c r="E12" s="118">
        <v>0</v>
      </c>
      <c r="F12" s="118">
        <v>0</v>
      </c>
      <c r="G12" s="118">
        <v>0</v>
      </c>
      <c r="H12" s="118">
        <v>0</v>
      </c>
      <c r="I12" s="118">
        <v>3.8426956064209219E-2</v>
      </c>
      <c r="J12" s="118">
        <v>3.8426956064209219E-2</v>
      </c>
      <c r="K12" s="118">
        <v>3.8426956064209219E-2</v>
      </c>
      <c r="L12" s="222">
        <v>0</v>
      </c>
      <c r="M12" s="118">
        <v>3.8426956064209219E-2</v>
      </c>
      <c r="N12" s="118">
        <v>0.16907860668252056</v>
      </c>
      <c r="O12" s="118">
        <v>0</v>
      </c>
      <c r="P12" s="118">
        <v>0</v>
      </c>
      <c r="Q12" s="118">
        <v>0</v>
      </c>
      <c r="R12" s="118">
        <v>1.5370782425683687E-3</v>
      </c>
      <c r="S12" s="118">
        <v>2.7526441601166234E-2</v>
      </c>
      <c r="T12" s="118">
        <v>0</v>
      </c>
      <c r="U12" s="118">
        <v>4.1501112549345957E-3</v>
      </c>
      <c r="V12" s="118">
        <v>0</v>
      </c>
      <c r="W12" s="118">
        <v>2.7526441601166227E-2</v>
      </c>
      <c r="X12" s="118">
        <v>1.7564462844614385E-2</v>
      </c>
      <c r="Y12" s="118">
        <v>0</v>
      </c>
      <c r="Z12" s="118">
        <v>0</v>
      </c>
      <c r="AA12" s="118">
        <v>3.2406667133467912E-4</v>
      </c>
      <c r="AB12" s="118">
        <v>2.6490275887282953E-2</v>
      </c>
      <c r="AC12" s="118">
        <v>2.1444997242381744E-2</v>
      </c>
      <c r="AD12" s="118">
        <v>1.630648822758889E-3</v>
      </c>
      <c r="AE12" s="118">
        <v>4.9710642066439865E-3</v>
      </c>
      <c r="AF12" s="118">
        <v>0</v>
      </c>
      <c r="AG12" s="118">
        <v>4.1542541233806775E-2</v>
      </c>
      <c r="AH12" s="118">
        <v>1.5370782425683687E-3</v>
      </c>
      <c r="AI12" s="118">
        <v>1.630648822758889E-3</v>
      </c>
      <c r="AJ12" s="118">
        <v>7.5481538627223035E-3</v>
      </c>
      <c r="AK12" s="118">
        <v>0</v>
      </c>
      <c r="AL12" s="216">
        <v>7.0000000000000001E-3</v>
      </c>
      <c r="AM12" s="216">
        <v>2.305617363852553E-2</v>
      </c>
      <c r="AN12" s="118">
        <v>0</v>
      </c>
      <c r="AO12" s="118">
        <v>7.6853912128418437E-3</v>
      </c>
      <c r="AP12" s="118">
        <v>0</v>
      </c>
      <c r="AQ12" s="118">
        <v>0</v>
      </c>
      <c r="AR12" s="118">
        <v>0</v>
      </c>
      <c r="AS12" s="118">
        <v>0</v>
      </c>
      <c r="AT12" s="118">
        <v>1.6306488227588894E-3</v>
      </c>
      <c r="AU12" s="118">
        <v>4.9710642066439856E-3</v>
      </c>
      <c r="AV12" s="118">
        <v>8.1209316291220007E-4</v>
      </c>
      <c r="AW12" s="118">
        <v>0</v>
      </c>
      <c r="AX12" s="118">
        <v>0</v>
      </c>
      <c r="AY12" s="118">
        <v>1.0189317050501502E-2</v>
      </c>
      <c r="AZ12" s="118">
        <v>6.6821207752966998E-3</v>
      </c>
      <c r="BA12" s="118">
        <v>0</v>
      </c>
      <c r="BB12" s="118">
        <v>0</v>
      </c>
      <c r="BC12" s="118">
        <v>0</v>
      </c>
      <c r="BD12" s="118">
        <v>0</v>
      </c>
      <c r="BE12" s="118">
        <v>0</v>
      </c>
      <c r="BF12" s="118">
        <v>0</v>
      </c>
      <c r="BG12" s="118">
        <v>0</v>
      </c>
      <c r="BH12" s="118">
        <v>0</v>
      </c>
      <c r="BI12" s="118">
        <v>0</v>
      </c>
      <c r="BJ12" s="118">
        <v>0</v>
      </c>
      <c r="BK12" s="118">
        <v>0</v>
      </c>
      <c r="BL12" s="118">
        <v>0</v>
      </c>
      <c r="BM12" s="118">
        <v>0</v>
      </c>
      <c r="BN12" s="118">
        <v>0</v>
      </c>
      <c r="BO12" s="118">
        <v>0</v>
      </c>
      <c r="BP12" s="118">
        <v>0</v>
      </c>
      <c r="BQ12" s="118">
        <v>0</v>
      </c>
      <c r="BR12" s="118">
        <v>0</v>
      </c>
      <c r="BS12" s="118">
        <v>0</v>
      </c>
      <c r="BT12" s="118">
        <v>8.421305277338996E-3</v>
      </c>
      <c r="BU12" s="118">
        <v>0</v>
      </c>
      <c r="BV12" s="118">
        <v>1.5370782425683687E-2</v>
      </c>
      <c r="BW12" s="118">
        <v>0</v>
      </c>
      <c r="BX12" s="118">
        <v>0</v>
      </c>
      <c r="BY12" s="118">
        <v>0</v>
      </c>
      <c r="BZ12" s="118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</row>
    <row r="13" spans="1:84" x14ac:dyDescent="0.15">
      <c r="A13" t="s">
        <v>187</v>
      </c>
      <c r="B13" s="118">
        <v>0</v>
      </c>
      <c r="C13" s="118">
        <v>0</v>
      </c>
      <c r="D13" s="118">
        <v>0</v>
      </c>
      <c r="E13" s="118">
        <v>0</v>
      </c>
      <c r="F13" s="118">
        <v>0</v>
      </c>
      <c r="G13" s="118">
        <v>0</v>
      </c>
      <c r="H13" s="118">
        <v>0</v>
      </c>
      <c r="I13" s="118">
        <v>1.1573043935790782E-2</v>
      </c>
      <c r="J13" s="118">
        <v>1.1573043935790782E-2</v>
      </c>
      <c r="K13" s="118">
        <v>1.1573043935790782E-2</v>
      </c>
      <c r="L13" s="118">
        <v>0</v>
      </c>
      <c r="M13" s="222">
        <v>1.1573043935790782E-2</v>
      </c>
      <c r="N13" s="118">
        <v>5.0921393317479434E-2</v>
      </c>
      <c r="O13" s="118">
        <v>0</v>
      </c>
      <c r="P13" s="118">
        <v>0</v>
      </c>
      <c r="Q13" s="118">
        <v>0</v>
      </c>
      <c r="R13" s="118">
        <v>4.6292175743163123E-4</v>
      </c>
      <c r="S13" s="118">
        <v>8.2901366820201088E-3</v>
      </c>
      <c r="T13" s="118">
        <v>0</v>
      </c>
      <c r="U13" s="118">
        <v>1.2498887450654043E-3</v>
      </c>
      <c r="V13" s="118">
        <v>0</v>
      </c>
      <c r="W13" s="118">
        <v>8.2901366820201088E-3</v>
      </c>
      <c r="X13" s="118">
        <v>5.2898881678170766E-3</v>
      </c>
      <c r="Y13" s="118">
        <v>0</v>
      </c>
      <c r="Z13" s="118">
        <v>0</v>
      </c>
      <c r="AA13" s="118">
        <v>9.7599138979807492E-5</v>
      </c>
      <c r="AB13" s="118">
        <v>7.9780747192798405E-3</v>
      </c>
      <c r="AC13" s="118">
        <v>6.4585884678009658E-3</v>
      </c>
      <c r="AD13" s="118">
        <v>4.911024031698174E-4</v>
      </c>
      <c r="AE13" s="118">
        <v>1.497135093786714E-3</v>
      </c>
      <c r="AF13" s="118">
        <v>0</v>
      </c>
      <c r="AG13" s="118">
        <v>1.2511364524941841E-2</v>
      </c>
      <c r="AH13" s="118">
        <v>4.6292175743163123E-4</v>
      </c>
      <c r="AI13" s="118">
        <v>4.911024031698174E-4</v>
      </c>
      <c r="AJ13" s="118">
        <v>2.2732770230727817E-3</v>
      </c>
      <c r="AK13" s="118">
        <v>0</v>
      </c>
      <c r="AL13" s="216">
        <v>4.4999999999999997E-3</v>
      </c>
      <c r="AM13" s="216">
        <v>6.9438263614744677E-3</v>
      </c>
      <c r="AN13" s="118">
        <v>0</v>
      </c>
      <c r="AO13" s="118">
        <v>2.314608787158156E-3</v>
      </c>
      <c r="AP13" s="118">
        <v>0</v>
      </c>
      <c r="AQ13" s="118">
        <v>0</v>
      </c>
      <c r="AR13" s="118">
        <v>0</v>
      </c>
      <c r="AS13" s="118">
        <v>0</v>
      </c>
      <c r="AT13" s="118">
        <v>4.9110240316981751E-4</v>
      </c>
      <c r="AU13" s="118">
        <v>1.4971350937867136E-3</v>
      </c>
      <c r="AV13" s="118">
        <v>2.4457804668769566E-4</v>
      </c>
      <c r="AW13" s="118">
        <v>0</v>
      </c>
      <c r="AX13" s="118">
        <v>0</v>
      </c>
      <c r="AY13" s="118">
        <v>3.068715973862623E-3</v>
      </c>
      <c r="AZ13" s="118">
        <v>2.0124538927192405E-3</v>
      </c>
      <c r="BA13" s="118">
        <v>0</v>
      </c>
      <c r="BB13" s="118">
        <v>0</v>
      </c>
      <c r="BC13" s="118">
        <v>0</v>
      </c>
      <c r="BD13" s="118">
        <v>0</v>
      </c>
      <c r="BE13" s="118">
        <v>0</v>
      </c>
      <c r="BF13" s="118">
        <v>0</v>
      </c>
      <c r="BG13" s="118">
        <v>0</v>
      </c>
      <c r="BH13" s="118">
        <v>0</v>
      </c>
      <c r="BI13" s="118">
        <v>0</v>
      </c>
      <c r="BJ13" s="118">
        <v>0</v>
      </c>
      <c r="BK13" s="118">
        <v>0</v>
      </c>
      <c r="BL13" s="118">
        <v>0</v>
      </c>
      <c r="BM13" s="118">
        <v>0</v>
      </c>
      <c r="BN13" s="118">
        <v>0</v>
      </c>
      <c r="BO13" s="118">
        <v>0</v>
      </c>
      <c r="BP13" s="118">
        <v>0</v>
      </c>
      <c r="BQ13" s="118">
        <v>0</v>
      </c>
      <c r="BR13" s="118">
        <v>0</v>
      </c>
      <c r="BS13" s="118">
        <v>0</v>
      </c>
      <c r="BT13" s="118">
        <v>2.5362439795777922E-3</v>
      </c>
      <c r="BU13" s="118">
        <v>0</v>
      </c>
      <c r="BV13" s="118">
        <v>4.6292175743163121E-3</v>
      </c>
      <c r="BW13" s="118">
        <v>0</v>
      </c>
      <c r="BX13" s="118">
        <v>0</v>
      </c>
      <c r="BY13" s="118">
        <v>0</v>
      </c>
      <c r="BZ13" s="118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</row>
    <row r="14" spans="1:84" x14ac:dyDescent="0.15">
      <c r="A14" t="s">
        <v>188</v>
      </c>
      <c r="B14" s="118">
        <v>0</v>
      </c>
      <c r="C14" s="118">
        <v>0</v>
      </c>
      <c r="D14" s="118">
        <v>0</v>
      </c>
      <c r="E14" s="118">
        <v>0</v>
      </c>
      <c r="F14" s="118">
        <v>0</v>
      </c>
      <c r="G14" s="118">
        <v>0</v>
      </c>
      <c r="H14" s="118">
        <v>0</v>
      </c>
      <c r="I14" s="118">
        <v>1.3779110523967899E-3</v>
      </c>
      <c r="J14" s="118">
        <v>1.3667597202242853E-3</v>
      </c>
      <c r="K14" s="118">
        <v>6.7491981108994484E-4</v>
      </c>
      <c r="L14" s="118">
        <v>0</v>
      </c>
      <c r="M14" s="118">
        <v>0</v>
      </c>
      <c r="N14" s="222">
        <v>0</v>
      </c>
      <c r="O14" s="118">
        <v>0</v>
      </c>
      <c r="P14" s="118">
        <v>0</v>
      </c>
      <c r="Q14" s="118">
        <v>0</v>
      </c>
      <c r="R14" s="118">
        <v>1E-3</v>
      </c>
      <c r="S14" s="118">
        <v>0</v>
      </c>
      <c r="T14" s="118">
        <v>0</v>
      </c>
      <c r="U14" s="118">
        <v>0</v>
      </c>
      <c r="V14" s="118">
        <v>0</v>
      </c>
      <c r="W14" s="118">
        <v>0</v>
      </c>
      <c r="X14" s="118">
        <v>0</v>
      </c>
      <c r="Y14" s="118">
        <v>0</v>
      </c>
      <c r="Z14" s="118">
        <v>0</v>
      </c>
      <c r="AA14" s="118">
        <v>0</v>
      </c>
      <c r="AB14" s="118">
        <v>0</v>
      </c>
      <c r="AC14" s="118">
        <v>0</v>
      </c>
      <c r="AD14" s="118">
        <v>0</v>
      </c>
      <c r="AE14" s="118">
        <v>0</v>
      </c>
      <c r="AF14" s="118">
        <v>1.3344898912390739E-4</v>
      </c>
      <c r="AG14" s="118">
        <v>1.7558164162250603E-2</v>
      </c>
      <c r="AH14" s="118">
        <v>2E-3</v>
      </c>
      <c r="AI14" s="118">
        <v>0</v>
      </c>
      <c r="AJ14" s="118">
        <v>0</v>
      </c>
      <c r="AK14" s="118">
        <v>0</v>
      </c>
      <c r="AL14" s="216">
        <v>6.0000000000000001E-3</v>
      </c>
      <c r="AM14" s="118">
        <v>5.0000000000000001E-3</v>
      </c>
      <c r="AN14" s="118">
        <v>1E-3</v>
      </c>
      <c r="AO14" s="118">
        <v>7.4999999999999997E-3</v>
      </c>
      <c r="AP14" s="118">
        <v>0</v>
      </c>
      <c r="AQ14" s="118">
        <v>0</v>
      </c>
      <c r="AR14" s="118">
        <v>0</v>
      </c>
      <c r="AS14" s="118">
        <v>0</v>
      </c>
      <c r="AT14" s="118">
        <v>0</v>
      </c>
      <c r="AU14" s="118">
        <v>0</v>
      </c>
      <c r="AV14" s="118">
        <v>0</v>
      </c>
      <c r="AW14" s="118">
        <v>1.3449899125756554E-3</v>
      </c>
      <c r="AX14" s="118">
        <v>0</v>
      </c>
      <c r="AY14" s="118">
        <v>0</v>
      </c>
      <c r="AZ14" s="118">
        <v>0</v>
      </c>
      <c r="BA14" s="118">
        <v>0</v>
      </c>
      <c r="BB14" s="118">
        <v>0</v>
      </c>
      <c r="BC14" s="118">
        <v>0</v>
      </c>
      <c r="BD14" s="118">
        <v>0</v>
      </c>
      <c r="BE14" s="118">
        <v>0</v>
      </c>
      <c r="BF14" s="118">
        <v>0</v>
      </c>
      <c r="BG14" s="118">
        <v>0</v>
      </c>
      <c r="BH14" s="118">
        <v>0</v>
      </c>
      <c r="BI14" s="118">
        <v>0</v>
      </c>
      <c r="BJ14" s="118">
        <v>0</v>
      </c>
      <c r="BK14" s="118">
        <v>0</v>
      </c>
      <c r="BL14" s="118">
        <v>0</v>
      </c>
      <c r="BM14" s="118">
        <v>0</v>
      </c>
      <c r="BN14" s="118">
        <v>0</v>
      </c>
      <c r="BO14" s="118">
        <v>0</v>
      </c>
      <c r="BP14" s="118">
        <v>2.0263424518743673E-3</v>
      </c>
      <c r="BQ14" s="118">
        <v>6.6956812855708072E-4</v>
      </c>
      <c r="BR14" s="118">
        <v>0</v>
      </c>
      <c r="BS14" s="118">
        <v>0</v>
      </c>
      <c r="BT14" s="118">
        <v>0</v>
      </c>
      <c r="BU14" s="118">
        <v>0</v>
      </c>
      <c r="BV14" s="118">
        <v>2.1999999999999999E-2</v>
      </c>
      <c r="BW14" s="118">
        <v>0</v>
      </c>
      <c r="BX14" s="118">
        <v>0</v>
      </c>
      <c r="BY14" s="118">
        <v>0.1</v>
      </c>
      <c r="BZ14" s="118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</row>
    <row r="15" spans="1:84" x14ac:dyDescent="0.15">
      <c r="A15" t="s">
        <v>189</v>
      </c>
      <c r="B15" s="118">
        <v>0</v>
      </c>
      <c r="C15" s="118">
        <v>0</v>
      </c>
      <c r="D15" s="118">
        <v>0</v>
      </c>
      <c r="E15" s="118">
        <v>0</v>
      </c>
      <c r="F15" s="118">
        <v>0</v>
      </c>
      <c r="G15" s="118">
        <v>0</v>
      </c>
      <c r="H15" s="118">
        <v>0</v>
      </c>
      <c r="I15" s="118">
        <v>0</v>
      </c>
      <c r="J15" s="118">
        <v>0.17474999999999996</v>
      </c>
      <c r="K15" s="118">
        <v>3.4568181818181817E-2</v>
      </c>
      <c r="L15" s="118">
        <v>0</v>
      </c>
      <c r="M15" s="118">
        <v>3.4090909090909088E-2</v>
      </c>
      <c r="N15" s="118">
        <v>0</v>
      </c>
      <c r="O15" s="222">
        <v>0</v>
      </c>
      <c r="P15" s="118">
        <v>0</v>
      </c>
      <c r="Q15" s="118">
        <v>0.30681818181818182</v>
      </c>
      <c r="R15" s="118">
        <v>6.1363636363636356E-2</v>
      </c>
      <c r="S15" s="118">
        <v>0.20106818181818181</v>
      </c>
      <c r="T15" s="118">
        <v>0.375</v>
      </c>
      <c r="U15" s="118">
        <v>0.27443181818181817</v>
      </c>
      <c r="V15" s="118">
        <v>0.25227272727272726</v>
      </c>
      <c r="W15" s="118">
        <v>0.30934090909090906</v>
      </c>
      <c r="X15" s="118">
        <v>0.18511363636363637</v>
      </c>
      <c r="Y15" s="118">
        <v>3.0000000000000001E-3</v>
      </c>
      <c r="Z15" s="118">
        <v>7.8E-2</v>
      </c>
      <c r="AA15" s="118">
        <v>3.0000000000000001E-3</v>
      </c>
      <c r="AB15" s="118">
        <v>0.16939151743744515</v>
      </c>
      <c r="AC15" s="118">
        <v>0.77325851136690016</v>
      </c>
      <c r="AD15" s="118">
        <v>0.25636363636363635</v>
      </c>
      <c r="AE15" s="118">
        <v>0.10472727272727271</v>
      </c>
      <c r="AF15" s="118">
        <v>0.16656818181818181</v>
      </c>
      <c r="AG15" s="118">
        <v>5.3863636363636364E-2</v>
      </c>
      <c r="AH15" s="118">
        <v>6.8181818181818179E-3</v>
      </c>
      <c r="AI15" s="118">
        <v>0.41236363636363632</v>
      </c>
      <c r="AJ15" s="118">
        <v>0.42074999999999996</v>
      </c>
      <c r="AK15" s="118">
        <v>0.27620454545454542</v>
      </c>
      <c r="AL15" s="118">
        <v>0.14045454545454544</v>
      </c>
      <c r="AM15" s="118">
        <v>0.37799999999999995</v>
      </c>
      <c r="AN15" s="118">
        <v>1.3636363636363636E-2</v>
      </c>
      <c r="AO15" s="118">
        <v>4.4249999999999998E-2</v>
      </c>
      <c r="AP15" s="118">
        <v>0</v>
      </c>
      <c r="AQ15" s="118">
        <v>3.4090909090909088E-2</v>
      </c>
      <c r="AR15" s="118">
        <v>0</v>
      </c>
      <c r="AS15" s="118">
        <v>0</v>
      </c>
      <c r="AT15" s="118">
        <v>2.7272727272727271E-3</v>
      </c>
      <c r="AU15" s="118">
        <v>0.20952272727272728</v>
      </c>
      <c r="AV15" s="118">
        <v>0</v>
      </c>
      <c r="AW15" s="118">
        <v>6.8795454545454549E-2</v>
      </c>
      <c r="AX15" s="118">
        <v>0</v>
      </c>
      <c r="AY15" s="118">
        <v>5.7272727272727274E-2</v>
      </c>
      <c r="AZ15" s="118">
        <v>2.8159090909090908E-2</v>
      </c>
      <c r="BA15" s="118">
        <v>6.8181818181818177E-2</v>
      </c>
      <c r="BB15" s="118">
        <v>0</v>
      </c>
      <c r="BC15" s="118">
        <v>0.13636363636363635</v>
      </c>
      <c r="BD15" s="118">
        <v>3.4090909090909088E-2</v>
      </c>
      <c r="BE15" s="118">
        <v>6.8999999999999992E-2</v>
      </c>
      <c r="BF15" s="118">
        <v>0</v>
      </c>
      <c r="BG15" s="118">
        <v>0</v>
      </c>
      <c r="BH15" s="118">
        <v>0</v>
      </c>
      <c r="BI15" s="118">
        <v>3.4090909090909089E-3</v>
      </c>
      <c r="BJ15" s="118">
        <v>1.3636363636363636E-2</v>
      </c>
      <c r="BK15" s="118">
        <v>0</v>
      </c>
      <c r="BL15" s="118">
        <v>0</v>
      </c>
      <c r="BM15" s="118">
        <v>1.3636363636363636E-2</v>
      </c>
      <c r="BN15" s="118">
        <v>1.0227272727272725E-2</v>
      </c>
      <c r="BO15" s="118">
        <v>6.8181818181818179E-3</v>
      </c>
      <c r="BP15" s="118">
        <v>0.17270454545454547</v>
      </c>
      <c r="BQ15" s="118">
        <v>2.7391423440971483E-2</v>
      </c>
      <c r="BR15" s="118">
        <v>1.7045454545454544E-2</v>
      </c>
      <c r="BS15" s="118">
        <v>6.8181818181818179E-3</v>
      </c>
      <c r="BT15" s="118">
        <v>0.10643181818181817</v>
      </c>
      <c r="BU15" s="118">
        <v>3.4090909090909088E-2</v>
      </c>
      <c r="BV15" s="118">
        <v>0.27272727272727271</v>
      </c>
      <c r="BW15" s="118">
        <v>0</v>
      </c>
      <c r="BX15" s="118">
        <v>0</v>
      </c>
      <c r="BY15" s="118">
        <v>0</v>
      </c>
      <c r="BZ15" s="118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</row>
    <row r="16" spans="1:84" x14ac:dyDescent="0.15">
      <c r="A16" t="s">
        <v>190</v>
      </c>
      <c r="B16" s="118">
        <v>0</v>
      </c>
      <c r="C16" s="118">
        <v>0</v>
      </c>
      <c r="D16" s="118">
        <v>0</v>
      </c>
      <c r="E16" s="118">
        <v>0</v>
      </c>
      <c r="F16" s="118">
        <v>0</v>
      </c>
      <c r="G16" s="118">
        <v>0</v>
      </c>
      <c r="H16" s="118">
        <v>0</v>
      </c>
      <c r="I16" s="118">
        <v>0</v>
      </c>
      <c r="J16" s="118">
        <v>8.1549999999999984E-2</v>
      </c>
      <c r="K16" s="118">
        <v>1.6131818181818181E-2</v>
      </c>
      <c r="L16" s="118">
        <v>0</v>
      </c>
      <c r="M16" s="118">
        <v>1.5909090909090911E-2</v>
      </c>
      <c r="N16" s="118">
        <v>0</v>
      </c>
      <c r="O16" s="118">
        <v>0</v>
      </c>
      <c r="P16" s="222">
        <v>0</v>
      </c>
      <c r="Q16" s="118">
        <v>0.14318181818181819</v>
      </c>
      <c r="R16" s="118">
        <v>2.8636363636363633E-2</v>
      </c>
      <c r="S16" s="118">
        <v>9.3831818181818183E-2</v>
      </c>
      <c r="T16" s="118">
        <v>0.17500000000000002</v>
      </c>
      <c r="U16" s="118">
        <v>0.12806818181818183</v>
      </c>
      <c r="V16" s="118">
        <v>0.11772727272727272</v>
      </c>
      <c r="W16" s="118">
        <v>0.14435909090909091</v>
      </c>
      <c r="X16" s="118">
        <v>8.6386363636363636E-2</v>
      </c>
      <c r="Y16" s="118">
        <v>1E-3</v>
      </c>
      <c r="Z16" s="118">
        <v>0</v>
      </c>
      <c r="AA16" s="118">
        <v>0</v>
      </c>
      <c r="AB16" s="118">
        <v>0.14228887464745393</v>
      </c>
      <c r="AC16" s="118">
        <v>7.7325851136690014E-3</v>
      </c>
      <c r="AD16" s="118">
        <v>0.11963636363636364</v>
      </c>
      <c r="AE16" s="118">
        <v>4.8872727272727269E-2</v>
      </c>
      <c r="AF16" s="118">
        <v>7.773181818181818E-2</v>
      </c>
      <c r="AG16" s="118">
        <v>2.5136363636363637E-2</v>
      </c>
      <c r="AH16" s="118">
        <v>3.1818181818181819E-3</v>
      </c>
      <c r="AI16" s="118">
        <v>0.19243636363636363</v>
      </c>
      <c r="AJ16" s="118">
        <v>0.19635</v>
      </c>
      <c r="AK16" s="118">
        <v>0.12889545454545454</v>
      </c>
      <c r="AL16" s="118">
        <v>6.5545454545454546E-2</v>
      </c>
      <c r="AM16" s="118">
        <v>0.1764</v>
      </c>
      <c r="AN16" s="118">
        <v>6.3636363636363638E-3</v>
      </c>
      <c r="AO16" s="118">
        <v>2.0649999999999998E-2</v>
      </c>
      <c r="AP16" s="118">
        <v>0</v>
      </c>
      <c r="AQ16" s="118">
        <v>1.5909090909090911E-2</v>
      </c>
      <c r="AR16" s="118">
        <v>0</v>
      </c>
      <c r="AS16" s="118">
        <v>0</v>
      </c>
      <c r="AT16" s="118">
        <v>1.2727272727272728E-3</v>
      </c>
      <c r="AU16" s="118">
        <v>9.7777272727272727E-2</v>
      </c>
      <c r="AV16" s="118">
        <v>0</v>
      </c>
      <c r="AW16" s="118">
        <v>3.2104545454545455E-2</v>
      </c>
      <c r="AX16" s="118">
        <v>0</v>
      </c>
      <c r="AY16" s="118">
        <v>2.6727272727272728E-2</v>
      </c>
      <c r="AZ16" s="118">
        <v>1.3140909090909092E-2</v>
      </c>
      <c r="BA16" s="118">
        <v>3.1818181818181822E-2</v>
      </c>
      <c r="BB16" s="118">
        <v>0</v>
      </c>
      <c r="BC16" s="118">
        <v>6.3636363636363644E-2</v>
      </c>
      <c r="BD16" s="118">
        <v>1.5909090909090911E-2</v>
      </c>
      <c r="BE16" s="118">
        <v>3.2199999999999999E-2</v>
      </c>
      <c r="BF16" s="118">
        <v>0</v>
      </c>
      <c r="BG16" s="118">
        <v>0</v>
      </c>
      <c r="BH16" s="118">
        <v>0</v>
      </c>
      <c r="BI16" s="118">
        <v>1.590909090909091E-3</v>
      </c>
      <c r="BJ16" s="118">
        <v>6.3636363636363638E-3</v>
      </c>
      <c r="BK16" s="118">
        <v>0</v>
      </c>
      <c r="BL16" s="118">
        <v>0</v>
      </c>
      <c r="BM16" s="118">
        <v>6.3636363636363638E-3</v>
      </c>
      <c r="BN16" s="118">
        <v>4.7727272727272722E-3</v>
      </c>
      <c r="BO16" s="118">
        <v>3.1818181818181819E-3</v>
      </c>
      <c r="BP16" s="118">
        <v>8.0595454545454553E-2</v>
      </c>
      <c r="BQ16" s="118">
        <v>1.2782664272453359E-2</v>
      </c>
      <c r="BR16" s="118">
        <v>7.9545454545454555E-3</v>
      </c>
      <c r="BS16" s="118">
        <v>3.1818181818181819E-3</v>
      </c>
      <c r="BT16" s="118">
        <v>4.9668181818181813E-2</v>
      </c>
      <c r="BU16" s="118">
        <v>1.5909090909090911E-2</v>
      </c>
      <c r="BV16" s="118">
        <v>0.12727272727272729</v>
      </c>
      <c r="BW16" s="118">
        <v>0</v>
      </c>
      <c r="BX16" s="118">
        <v>0</v>
      </c>
      <c r="BY16" s="118">
        <v>0</v>
      </c>
      <c r="BZ16" s="118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</row>
    <row r="17" spans="1:84" x14ac:dyDescent="0.15">
      <c r="A17" t="s">
        <v>191</v>
      </c>
      <c r="B17" s="118">
        <v>0</v>
      </c>
      <c r="C17" s="118">
        <v>0</v>
      </c>
      <c r="D17" s="118">
        <v>0</v>
      </c>
      <c r="E17" s="118">
        <v>0</v>
      </c>
      <c r="F17" s="118">
        <v>0</v>
      </c>
      <c r="G17" s="118">
        <v>0</v>
      </c>
      <c r="H17" s="118">
        <v>0</v>
      </c>
      <c r="I17" s="118">
        <v>0</v>
      </c>
      <c r="J17" s="118">
        <v>0</v>
      </c>
      <c r="K17" s="118">
        <v>0</v>
      </c>
      <c r="L17" s="118">
        <v>0</v>
      </c>
      <c r="M17" s="118">
        <v>0</v>
      </c>
      <c r="N17" s="118">
        <v>0</v>
      </c>
      <c r="O17" s="118">
        <v>0</v>
      </c>
      <c r="P17" s="118">
        <v>0</v>
      </c>
      <c r="Q17" s="222">
        <v>1.0000000000000002E-3</v>
      </c>
      <c r="R17" s="118">
        <v>0.12</v>
      </c>
      <c r="S17" s="118">
        <v>0</v>
      </c>
      <c r="T17" s="118">
        <v>7.0000000000000001E-3</v>
      </c>
      <c r="U17" s="118">
        <v>0</v>
      </c>
      <c r="V17" s="118">
        <v>0</v>
      </c>
      <c r="W17" s="118">
        <v>2.2686668746277967E-3</v>
      </c>
      <c r="X17" s="118">
        <v>0</v>
      </c>
      <c r="Y17" s="118">
        <v>1E-3</v>
      </c>
      <c r="Z17" s="118">
        <v>6.0000000000000001E-3</v>
      </c>
      <c r="AA17" s="118">
        <v>6.4101215819779442E-2</v>
      </c>
      <c r="AB17" s="118">
        <v>0</v>
      </c>
      <c r="AC17" s="118">
        <v>0</v>
      </c>
      <c r="AD17" s="118">
        <v>1.5119367405667742E-2</v>
      </c>
      <c r="AE17" s="118">
        <v>8.1940767068005724E-2</v>
      </c>
      <c r="AF17" s="118">
        <v>5.0043370921465276E-3</v>
      </c>
      <c r="AG17" s="118">
        <v>0.13168623121687953</v>
      </c>
      <c r="AH17" s="118">
        <v>2.1999999999999999E-2</v>
      </c>
      <c r="AI17" s="118">
        <v>6.0477469622670964E-3</v>
      </c>
      <c r="AJ17" s="118">
        <v>8.2946895842027649E-2</v>
      </c>
      <c r="AK17" s="118">
        <v>9.9951799376630547E-4</v>
      </c>
      <c r="AL17" s="118">
        <v>1.5450789664108414E-2</v>
      </c>
      <c r="AM17" s="118">
        <v>2.5206794000791552E-2</v>
      </c>
      <c r="AN17" s="118">
        <v>3.6299999999999999E-2</v>
      </c>
      <c r="AO17" s="118">
        <v>5.4048990004540103E-2</v>
      </c>
      <c r="AP17" s="118">
        <v>0.15</v>
      </c>
      <c r="AQ17" s="216">
        <v>0.01</v>
      </c>
      <c r="AR17" s="118">
        <v>0.01</v>
      </c>
      <c r="AS17" s="118">
        <v>1E-3</v>
      </c>
      <c r="AT17" s="118">
        <v>1.0079578270445165E-3</v>
      </c>
      <c r="AU17" s="118">
        <v>2.0485191767001427E-2</v>
      </c>
      <c r="AV17" s="118">
        <v>0</v>
      </c>
      <c r="AW17" s="118">
        <v>5.0437121721587088E-3</v>
      </c>
      <c r="AX17" s="118">
        <v>0.3</v>
      </c>
      <c r="AY17" s="118">
        <v>0</v>
      </c>
      <c r="AZ17" s="118">
        <v>0</v>
      </c>
      <c r="BA17" s="118">
        <v>0</v>
      </c>
      <c r="BB17" s="118">
        <v>0</v>
      </c>
      <c r="BC17" s="118">
        <v>0</v>
      </c>
      <c r="BD17" s="118">
        <v>0</v>
      </c>
      <c r="BE17" s="118">
        <v>0</v>
      </c>
      <c r="BF17" s="118">
        <v>0</v>
      </c>
      <c r="BG17" s="118">
        <v>0</v>
      </c>
      <c r="BH17" s="118">
        <v>0</v>
      </c>
      <c r="BI17" s="118">
        <v>0</v>
      </c>
      <c r="BJ17" s="118">
        <v>0.01</v>
      </c>
      <c r="BK17" s="118">
        <v>0</v>
      </c>
      <c r="BL17" s="118">
        <v>0</v>
      </c>
      <c r="BM17" s="118">
        <v>0.15</v>
      </c>
      <c r="BN17" s="118">
        <v>0.2</v>
      </c>
      <c r="BO17" s="118">
        <v>0.05</v>
      </c>
      <c r="BP17" s="118">
        <v>5.0658561296859179E-3</v>
      </c>
      <c r="BQ17" s="118">
        <v>0.5523937060595917</v>
      </c>
      <c r="BR17" s="118">
        <v>0.15</v>
      </c>
      <c r="BS17" s="118">
        <v>1.4999999999999999E-2</v>
      </c>
      <c r="BT17" s="118">
        <v>1.0410973165716665E-2</v>
      </c>
      <c r="BU17" s="118">
        <v>0</v>
      </c>
      <c r="BV17" s="118">
        <v>0.02</v>
      </c>
      <c r="BW17" s="118">
        <v>0.01</v>
      </c>
      <c r="BX17" s="118">
        <v>1.1994196962572611E-2</v>
      </c>
      <c r="BY17" s="118">
        <v>0.15245</v>
      </c>
      <c r="BZ17" s="118">
        <v>0.4</v>
      </c>
      <c r="CA17">
        <v>9.6000000000000002E-2</v>
      </c>
      <c r="CB17">
        <v>0</v>
      </c>
      <c r="CC17">
        <v>0</v>
      </c>
      <c r="CD17">
        <v>0</v>
      </c>
      <c r="CE17">
        <v>0</v>
      </c>
      <c r="CF17">
        <v>0</v>
      </c>
    </row>
    <row r="18" spans="1:84" x14ac:dyDescent="0.15">
      <c r="A18" t="s">
        <v>192</v>
      </c>
      <c r="B18" s="118">
        <v>0</v>
      </c>
      <c r="C18" s="118">
        <v>0</v>
      </c>
      <c r="D18" s="118">
        <v>0</v>
      </c>
      <c r="E18" s="118">
        <v>0</v>
      </c>
      <c r="F18" s="118">
        <v>0</v>
      </c>
      <c r="G18" s="118">
        <v>0</v>
      </c>
      <c r="H18" s="118">
        <v>0</v>
      </c>
      <c r="I18" s="118">
        <v>0</v>
      </c>
      <c r="J18" s="118">
        <v>0</v>
      </c>
      <c r="K18" s="118">
        <v>0</v>
      </c>
      <c r="L18" s="118">
        <v>0</v>
      </c>
      <c r="M18" s="118">
        <v>0</v>
      </c>
      <c r="N18" s="118">
        <v>0</v>
      </c>
      <c r="O18" s="118">
        <v>0</v>
      </c>
      <c r="P18" s="118">
        <v>0</v>
      </c>
      <c r="Q18" s="118">
        <v>0</v>
      </c>
      <c r="R18" s="222">
        <v>5.0000000000000001E-3</v>
      </c>
      <c r="S18" s="118">
        <v>0</v>
      </c>
      <c r="T18" s="118">
        <v>0</v>
      </c>
      <c r="U18" s="118">
        <v>0</v>
      </c>
      <c r="V18" s="118">
        <v>0</v>
      </c>
      <c r="W18" s="118">
        <v>0</v>
      </c>
      <c r="X18" s="118">
        <v>0</v>
      </c>
      <c r="Y18" s="118">
        <v>0</v>
      </c>
      <c r="Z18" s="118">
        <v>0</v>
      </c>
      <c r="AA18" s="118">
        <v>0</v>
      </c>
      <c r="AB18" s="118">
        <v>0</v>
      </c>
      <c r="AC18" s="118">
        <v>0</v>
      </c>
      <c r="AD18" s="118">
        <v>0</v>
      </c>
      <c r="AE18" s="118">
        <v>0</v>
      </c>
      <c r="AF18" s="118">
        <v>0</v>
      </c>
      <c r="AG18" s="118">
        <v>0</v>
      </c>
      <c r="AH18" s="118">
        <v>1E-3</v>
      </c>
      <c r="AI18" s="118">
        <v>0</v>
      </c>
      <c r="AJ18" s="118">
        <v>0</v>
      </c>
      <c r="AK18" s="118">
        <v>0</v>
      </c>
      <c r="AL18" s="118">
        <v>0</v>
      </c>
      <c r="AM18" s="118">
        <v>0</v>
      </c>
      <c r="AN18" s="118">
        <v>0</v>
      </c>
      <c r="AO18" s="118">
        <v>0</v>
      </c>
      <c r="AP18" s="118">
        <v>0</v>
      </c>
      <c r="AQ18" s="118">
        <v>1E-3</v>
      </c>
      <c r="AR18" s="118">
        <v>0</v>
      </c>
      <c r="AS18" s="118">
        <v>0</v>
      </c>
      <c r="AT18" s="118">
        <v>0</v>
      </c>
      <c r="AU18" s="118">
        <v>0</v>
      </c>
      <c r="AV18" s="118">
        <v>0</v>
      </c>
      <c r="AW18" s="118">
        <v>0</v>
      </c>
      <c r="AX18" s="118">
        <v>0</v>
      </c>
      <c r="AY18" s="118">
        <v>0</v>
      </c>
      <c r="AZ18" s="118">
        <v>0</v>
      </c>
      <c r="BA18" s="118">
        <v>0</v>
      </c>
      <c r="BB18" s="118">
        <v>0</v>
      </c>
      <c r="BC18" s="118">
        <v>0</v>
      </c>
      <c r="BD18" s="118">
        <v>0</v>
      </c>
      <c r="BE18" s="118">
        <v>0</v>
      </c>
      <c r="BF18" s="118">
        <v>0</v>
      </c>
      <c r="BG18" s="118">
        <v>0</v>
      </c>
      <c r="BH18" s="118">
        <v>0</v>
      </c>
      <c r="BI18" s="118">
        <v>0</v>
      </c>
      <c r="BJ18" s="118">
        <v>0</v>
      </c>
      <c r="BK18" s="118">
        <v>0</v>
      </c>
      <c r="BL18" s="118">
        <v>0</v>
      </c>
      <c r="BM18" s="118">
        <v>0</v>
      </c>
      <c r="BN18" s="118">
        <v>0</v>
      </c>
      <c r="BO18" s="118">
        <v>0</v>
      </c>
      <c r="BP18" s="118">
        <v>0</v>
      </c>
      <c r="BQ18" s="118">
        <v>0</v>
      </c>
      <c r="BR18" s="118">
        <v>0</v>
      </c>
      <c r="BS18" s="118">
        <v>0</v>
      </c>
      <c r="BT18" s="118">
        <v>0</v>
      </c>
      <c r="BU18" s="118">
        <v>0</v>
      </c>
      <c r="BV18" s="118">
        <v>0</v>
      </c>
      <c r="BW18" s="118">
        <v>1E-3</v>
      </c>
      <c r="BX18" s="118">
        <v>1E-3</v>
      </c>
      <c r="BY18" s="118">
        <v>1E-3</v>
      </c>
      <c r="BZ18" s="118">
        <v>4.0000000000000001E-3</v>
      </c>
      <c r="CA18">
        <v>2E-3</v>
      </c>
      <c r="CB18">
        <v>0</v>
      </c>
      <c r="CC18">
        <v>0</v>
      </c>
      <c r="CD18">
        <v>0</v>
      </c>
      <c r="CE18">
        <v>0</v>
      </c>
      <c r="CF18">
        <v>0</v>
      </c>
    </row>
    <row r="19" spans="1:84" x14ac:dyDescent="0.15">
      <c r="A19" t="s">
        <v>193</v>
      </c>
      <c r="B19" s="118">
        <v>0</v>
      </c>
      <c r="C19" s="118">
        <v>0</v>
      </c>
      <c r="D19" s="118">
        <v>0</v>
      </c>
      <c r="E19" s="118">
        <v>0</v>
      </c>
      <c r="F19" s="118">
        <v>0</v>
      </c>
      <c r="G19" s="118">
        <v>0</v>
      </c>
      <c r="H19" s="118">
        <v>0</v>
      </c>
      <c r="I19" s="118">
        <v>0</v>
      </c>
      <c r="J19" s="118">
        <v>0</v>
      </c>
      <c r="K19" s="118">
        <v>0</v>
      </c>
      <c r="L19" s="118">
        <v>0</v>
      </c>
      <c r="M19" s="118">
        <v>0</v>
      </c>
      <c r="N19" s="118">
        <v>0</v>
      </c>
      <c r="O19" s="118">
        <v>0</v>
      </c>
      <c r="P19" s="118">
        <v>0</v>
      </c>
      <c r="Q19" s="118">
        <v>7.0485008678617261E-3</v>
      </c>
      <c r="R19" s="118">
        <v>8.2923539621902673E-3</v>
      </c>
      <c r="S19" s="222">
        <v>0</v>
      </c>
      <c r="T19" s="118">
        <v>0</v>
      </c>
      <c r="U19" s="118">
        <v>0</v>
      </c>
      <c r="V19" s="118">
        <v>0</v>
      </c>
      <c r="W19" s="118">
        <v>0</v>
      </c>
      <c r="X19" s="118">
        <v>0</v>
      </c>
      <c r="Y19" s="118">
        <v>1.6999325622490048E-2</v>
      </c>
      <c r="Z19" s="118">
        <v>1.6170090226271021E-2</v>
      </c>
      <c r="AA19" s="118">
        <v>1.5154276865902714E-2</v>
      </c>
      <c r="AB19" s="118">
        <v>3.7730210527965719E-3</v>
      </c>
      <c r="AC19" s="118">
        <v>0</v>
      </c>
      <c r="AD19" s="118">
        <v>0</v>
      </c>
      <c r="AE19" s="118">
        <v>5.8911272996182283E-2</v>
      </c>
      <c r="AF19" s="118">
        <v>6.054769724607624E-2</v>
      </c>
      <c r="AG19" s="118">
        <v>2.7422503339131991E-2</v>
      </c>
      <c r="AH19" s="118">
        <v>3.0496997384387294E-2</v>
      </c>
      <c r="AI19" s="118">
        <v>1.7990749026106846E-2</v>
      </c>
      <c r="AJ19" s="118">
        <v>7.2002666995333899E-3</v>
      </c>
      <c r="AK19" s="118">
        <v>2.9743250457163414E-2</v>
      </c>
      <c r="AL19" s="118">
        <v>1.5322881612643372E-2</v>
      </c>
      <c r="AM19" s="216">
        <v>1.487658408994502E-2</v>
      </c>
      <c r="AN19" s="118">
        <v>8.1077383290200367E-2</v>
      </c>
      <c r="AO19" s="118">
        <v>2.6797686807354299E-2</v>
      </c>
      <c r="AP19" s="118">
        <v>1.0413608862961514E-2</v>
      </c>
      <c r="AQ19" s="118">
        <v>2.0628863271390428E-2</v>
      </c>
      <c r="AR19" s="118">
        <v>1.0909494999293014E-3</v>
      </c>
      <c r="AS19" s="118">
        <v>1.3820589936983777E-3</v>
      </c>
      <c r="AT19" s="118">
        <v>4.9588613633150074E-4</v>
      </c>
      <c r="AU19" s="118">
        <v>6.6052033359355897E-3</v>
      </c>
      <c r="AV19" s="118">
        <v>0</v>
      </c>
      <c r="AW19" s="118">
        <v>6.9655773282398239E-3</v>
      </c>
      <c r="AX19" s="118">
        <v>0</v>
      </c>
      <c r="AY19" s="118">
        <v>0</v>
      </c>
      <c r="AZ19" s="118">
        <v>0</v>
      </c>
      <c r="BA19" s="118">
        <v>0</v>
      </c>
      <c r="BB19" s="118">
        <v>0</v>
      </c>
      <c r="BC19" s="118">
        <v>0</v>
      </c>
      <c r="BD19" s="118">
        <v>0</v>
      </c>
      <c r="BE19" s="118">
        <v>0</v>
      </c>
      <c r="BF19" s="118">
        <v>0</v>
      </c>
      <c r="BG19" s="118">
        <v>0</v>
      </c>
      <c r="BH19" s="118">
        <v>0</v>
      </c>
      <c r="BI19" s="118">
        <v>0</v>
      </c>
      <c r="BJ19" s="118">
        <v>5.1827212263689179E-3</v>
      </c>
      <c r="BK19" s="118">
        <v>0</v>
      </c>
      <c r="BL19" s="118">
        <v>0</v>
      </c>
      <c r="BM19" s="118">
        <v>7.438292044972511E-2</v>
      </c>
      <c r="BN19" s="118">
        <v>5.9506336359780081E-2</v>
      </c>
      <c r="BO19" s="118">
        <v>4.7605069087824067E-2</v>
      </c>
      <c r="BP19" s="118">
        <v>0.10502266293113975</v>
      </c>
      <c r="BQ19" s="118">
        <v>2.4902216421066325E-2</v>
      </c>
      <c r="BR19" s="118">
        <v>7.1407603631736094E-2</v>
      </c>
      <c r="BS19" s="118">
        <v>6.218412149597019E-2</v>
      </c>
      <c r="BT19" s="118">
        <v>7.5543344595553341E-2</v>
      </c>
      <c r="BU19" s="118">
        <v>0</v>
      </c>
      <c r="BV19" s="118">
        <v>3.9670890906520061E-2</v>
      </c>
      <c r="BW19" s="118">
        <v>3.0889018509158744E-2</v>
      </c>
      <c r="BX19" s="118">
        <v>1.6107897571554595E-2</v>
      </c>
      <c r="BY19" s="118">
        <v>4.1803201292745507E-2</v>
      </c>
      <c r="BZ19" s="118">
        <v>2.2810762271249032E-2</v>
      </c>
      <c r="CA19">
        <v>1.487658408994502E-2</v>
      </c>
      <c r="CB19">
        <v>0</v>
      </c>
      <c r="CC19">
        <v>0</v>
      </c>
      <c r="CD19">
        <v>0</v>
      </c>
      <c r="CE19">
        <v>0</v>
      </c>
      <c r="CF19">
        <v>0</v>
      </c>
    </row>
    <row r="20" spans="1:84" x14ac:dyDescent="0.15">
      <c r="A20" t="s">
        <v>194</v>
      </c>
      <c r="B20" s="118">
        <v>0</v>
      </c>
      <c r="C20" s="118">
        <v>0</v>
      </c>
      <c r="D20" s="118">
        <v>0</v>
      </c>
      <c r="E20" s="118">
        <v>0</v>
      </c>
      <c r="F20" s="118">
        <v>0</v>
      </c>
      <c r="G20" s="118">
        <v>0</v>
      </c>
      <c r="H20" s="118">
        <v>0</v>
      </c>
      <c r="I20" s="118">
        <v>0</v>
      </c>
      <c r="J20" s="118">
        <v>0</v>
      </c>
      <c r="K20" s="118">
        <v>0</v>
      </c>
      <c r="L20" s="118">
        <v>0</v>
      </c>
      <c r="M20" s="118">
        <v>0</v>
      </c>
      <c r="N20" s="118">
        <v>0</v>
      </c>
      <c r="O20" s="118">
        <v>0</v>
      </c>
      <c r="P20" s="118">
        <v>0</v>
      </c>
      <c r="Q20" s="224">
        <v>1.1260512572050058E-4</v>
      </c>
      <c r="R20" s="118">
        <v>3.3119154623676648E-4</v>
      </c>
      <c r="S20" s="118">
        <v>0</v>
      </c>
      <c r="T20" s="222">
        <v>0</v>
      </c>
      <c r="U20" s="118">
        <v>0</v>
      </c>
      <c r="V20" s="118">
        <v>0</v>
      </c>
      <c r="W20" s="118">
        <v>0</v>
      </c>
      <c r="X20" s="118">
        <v>0</v>
      </c>
      <c r="Y20" s="118">
        <v>0</v>
      </c>
      <c r="Z20" s="118">
        <v>0</v>
      </c>
      <c r="AA20" s="118">
        <v>0</v>
      </c>
      <c r="AB20" s="118">
        <v>0</v>
      </c>
      <c r="AC20" s="118">
        <v>0</v>
      </c>
      <c r="AD20" s="118">
        <v>0</v>
      </c>
      <c r="AE20" s="118">
        <v>2.0522513952699536E-3</v>
      </c>
      <c r="AF20" s="118">
        <v>2.1092583784718968E-3</v>
      </c>
      <c r="AG20" s="118">
        <v>9.552988397174111E-4</v>
      </c>
      <c r="AH20" s="118">
        <v>1.0624028687634861E-3</v>
      </c>
      <c r="AI20" s="118">
        <v>6.2673131835348415E-4</v>
      </c>
      <c r="AJ20" s="118">
        <v>2.5083072608854986E-4</v>
      </c>
      <c r="AK20" s="118">
        <v>1.0361451068038032E-3</v>
      </c>
      <c r="AL20" s="118">
        <v>5.3379266089092223E-4</v>
      </c>
      <c r="AM20" s="216">
        <v>5.1824530183584687E-4</v>
      </c>
      <c r="AN20" s="118">
        <v>2.8244368950053654E-3</v>
      </c>
      <c r="AO20" s="118">
        <v>9.335325370403055E-4</v>
      </c>
      <c r="AP20" s="118">
        <v>3.627717112850928E-4</v>
      </c>
      <c r="AQ20" s="118">
        <v>7.1863348521237428E-4</v>
      </c>
      <c r="AR20" s="224">
        <v>3.8004655467962104E-5</v>
      </c>
      <c r="AS20" s="224">
        <v>2.2079436415784427E-5</v>
      </c>
      <c r="AT20" s="224">
        <v>1.7274843394528228E-5</v>
      </c>
      <c r="AU20" s="118">
        <v>2.3010091401511604E-4</v>
      </c>
      <c r="AV20" s="118">
        <v>0</v>
      </c>
      <c r="AW20" s="224">
        <v>1.1128035953555352E-4</v>
      </c>
      <c r="AX20" s="118">
        <v>0</v>
      </c>
      <c r="AY20" s="118">
        <v>0</v>
      </c>
      <c r="AZ20" s="118">
        <v>0</v>
      </c>
      <c r="BA20" s="118">
        <v>0</v>
      </c>
      <c r="BB20" s="118">
        <v>0</v>
      </c>
      <c r="BC20" s="118">
        <v>0</v>
      </c>
      <c r="BD20" s="118">
        <v>0</v>
      </c>
      <c r="BE20" s="118">
        <v>0</v>
      </c>
      <c r="BF20" s="118">
        <v>0</v>
      </c>
      <c r="BG20" s="118">
        <v>0</v>
      </c>
      <c r="BH20" s="118">
        <v>0</v>
      </c>
      <c r="BI20" s="118">
        <v>0</v>
      </c>
      <c r="BJ20" s="118">
        <v>0</v>
      </c>
      <c r="BK20" s="118">
        <v>0</v>
      </c>
      <c r="BL20" s="118">
        <v>0</v>
      </c>
      <c r="BM20" s="118">
        <v>2.5912265091792342E-3</v>
      </c>
      <c r="BN20" s="118">
        <v>2.0729812073433875E-3</v>
      </c>
      <c r="BO20" s="118">
        <v>1.65838496587471E-3</v>
      </c>
      <c r="BP20" s="118">
        <v>0</v>
      </c>
      <c r="BQ20" s="118">
        <v>8.6750134220931862E-4</v>
      </c>
      <c r="BR20" s="118">
        <v>2.4875774488120647E-3</v>
      </c>
      <c r="BS20" s="118">
        <v>2.1662653616738399E-3</v>
      </c>
      <c r="BT20" s="118">
        <v>0</v>
      </c>
      <c r="BU20" s="118">
        <v>0</v>
      </c>
      <c r="BV20" s="118">
        <v>1.3819874715622583E-3</v>
      </c>
      <c r="BW20" s="118">
        <v>6.6238309247353296E-4</v>
      </c>
      <c r="BX20" s="118">
        <v>5.3627197549749696E-4</v>
      </c>
      <c r="BY20" s="118">
        <v>1.4562692981587297E-3</v>
      </c>
      <c r="BZ20" s="118">
        <v>7.9464279614829857E-4</v>
      </c>
      <c r="CA20">
        <v>5.1824530183584687E-4</v>
      </c>
      <c r="CB20">
        <v>0</v>
      </c>
      <c r="CC20">
        <v>0</v>
      </c>
      <c r="CD20">
        <v>0</v>
      </c>
      <c r="CE20">
        <v>0</v>
      </c>
      <c r="CF20">
        <v>0</v>
      </c>
    </row>
    <row r="21" spans="1:84" x14ac:dyDescent="0.15">
      <c r="A21" t="s">
        <v>195</v>
      </c>
      <c r="B21" s="118">
        <v>0</v>
      </c>
      <c r="C21" s="118">
        <v>0</v>
      </c>
      <c r="D21" s="118">
        <v>0</v>
      </c>
      <c r="E21" s="118">
        <v>0</v>
      </c>
      <c r="F21" s="118">
        <v>0</v>
      </c>
      <c r="G21" s="118">
        <v>0</v>
      </c>
      <c r="H21" s="118">
        <v>0</v>
      </c>
      <c r="I21" s="118">
        <v>0</v>
      </c>
      <c r="J21" s="118">
        <v>0</v>
      </c>
      <c r="K21" s="118">
        <v>0</v>
      </c>
      <c r="L21" s="118">
        <v>0</v>
      </c>
      <c r="M21" s="118">
        <v>0</v>
      </c>
      <c r="N21" s="118">
        <v>0</v>
      </c>
      <c r="O21" s="118">
        <v>0</v>
      </c>
      <c r="P21" s="118">
        <v>0</v>
      </c>
      <c r="Q21" s="118">
        <v>1.6762856207113645E-2</v>
      </c>
      <c r="R21" s="118">
        <v>4.9302518256216621E-2</v>
      </c>
      <c r="S21" s="118">
        <v>0</v>
      </c>
      <c r="T21" s="118">
        <v>0</v>
      </c>
      <c r="U21" s="222">
        <v>0</v>
      </c>
      <c r="V21" s="118">
        <v>0</v>
      </c>
      <c r="W21" s="118">
        <v>0</v>
      </c>
      <c r="X21" s="118">
        <v>0</v>
      </c>
      <c r="Y21" s="118">
        <v>0</v>
      </c>
      <c r="Z21" s="118">
        <v>0</v>
      </c>
      <c r="AA21" s="118">
        <v>0</v>
      </c>
      <c r="AB21" s="118">
        <v>0</v>
      </c>
      <c r="AC21" s="118">
        <v>0</v>
      </c>
      <c r="AD21" s="118">
        <v>0</v>
      </c>
      <c r="AE21" s="118">
        <v>0.30550647512394302</v>
      </c>
      <c r="AF21" s="118">
        <v>0.31399276609960813</v>
      </c>
      <c r="AG21" s="118">
        <v>0.14220966392553916</v>
      </c>
      <c r="AH21" s="118">
        <v>0.15815360454648567</v>
      </c>
      <c r="AI21" s="118">
        <v>9.3297768665796754E-2</v>
      </c>
      <c r="AJ21" s="118">
        <v>3.7339680292926371E-2</v>
      </c>
      <c r="AK21" s="118">
        <v>0.15424476749102781</v>
      </c>
      <c r="AL21" s="118">
        <v>7.9462542772136699E-2</v>
      </c>
      <c r="AM21" s="216">
        <v>7.7148099778773488E-2</v>
      </c>
      <c r="AN21" s="118">
        <v>0.42045714379431554</v>
      </c>
      <c r="AO21" s="118">
        <v>0.13896944373483064</v>
      </c>
      <c r="AP21" s="118">
        <v>5.400366984514144E-2</v>
      </c>
      <c r="AQ21" s="118">
        <v>0.10697869835989923</v>
      </c>
      <c r="AR21" s="118">
        <v>5.657527317110056E-3</v>
      </c>
      <c r="AS21" s="118">
        <v>3.2868345504144408E-3</v>
      </c>
      <c r="AT21" s="118">
        <v>2.5716033259591165E-3</v>
      </c>
      <c r="AU21" s="118">
        <v>3.4253756301775434E-2</v>
      </c>
      <c r="AV21" s="118">
        <v>0</v>
      </c>
      <c r="AW21" s="118">
        <v>1.6565646134088782E-2</v>
      </c>
      <c r="AX21" s="118">
        <v>0</v>
      </c>
      <c r="AY21" s="118">
        <v>0</v>
      </c>
      <c r="AZ21" s="118">
        <v>0</v>
      </c>
      <c r="BA21" s="118">
        <v>0</v>
      </c>
      <c r="BB21" s="118">
        <v>0</v>
      </c>
      <c r="BC21" s="118">
        <v>0</v>
      </c>
      <c r="BD21" s="118">
        <v>0</v>
      </c>
      <c r="BE21" s="118">
        <v>0</v>
      </c>
      <c r="BF21" s="118">
        <v>0</v>
      </c>
      <c r="BG21" s="118">
        <v>0</v>
      </c>
      <c r="BH21" s="118">
        <v>0</v>
      </c>
      <c r="BI21" s="118">
        <v>0</v>
      </c>
      <c r="BJ21" s="118">
        <v>0</v>
      </c>
      <c r="BK21" s="118">
        <v>0</v>
      </c>
      <c r="BL21" s="118">
        <v>0</v>
      </c>
      <c r="BM21" s="118">
        <v>0.38574049889386747</v>
      </c>
      <c r="BN21" s="118">
        <v>0.30859239911509395</v>
      </c>
      <c r="BO21" s="118">
        <v>0.24687391929207517</v>
      </c>
      <c r="BP21" s="118">
        <v>0</v>
      </c>
      <c r="BQ21" s="118">
        <v>0.12913977197652077</v>
      </c>
      <c r="BR21" s="118">
        <v>0.37031087893811276</v>
      </c>
      <c r="BS21" s="118">
        <v>0.32247905707527319</v>
      </c>
      <c r="BT21" s="118">
        <v>0</v>
      </c>
      <c r="BU21" s="118">
        <v>0</v>
      </c>
      <c r="BV21" s="118">
        <v>0.20572826607672934</v>
      </c>
      <c r="BW21" s="118">
        <v>9.8605036512433242E-2</v>
      </c>
      <c r="BX21" s="118">
        <v>7.9831623610831071E-2</v>
      </c>
      <c r="BY21" s="118">
        <v>0.21678616037835352</v>
      </c>
      <c r="BZ21" s="118">
        <v>0.11829375299411936</v>
      </c>
      <c r="CA21">
        <v>7.7148099778773488E-2</v>
      </c>
      <c r="CB21">
        <v>0</v>
      </c>
      <c r="CC21">
        <v>0</v>
      </c>
      <c r="CD21">
        <v>0</v>
      </c>
      <c r="CE21">
        <v>0</v>
      </c>
      <c r="CF21">
        <v>0</v>
      </c>
    </row>
    <row r="22" spans="1:84" x14ac:dyDescent="0.15">
      <c r="A22" t="s">
        <v>196</v>
      </c>
      <c r="B22" s="118">
        <v>0</v>
      </c>
      <c r="C22" s="118">
        <v>0</v>
      </c>
      <c r="D22" s="118">
        <v>0</v>
      </c>
      <c r="E22" s="118">
        <v>0</v>
      </c>
      <c r="F22" s="118">
        <v>0</v>
      </c>
      <c r="G22" s="118">
        <v>0</v>
      </c>
      <c r="H22" s="118">
        <v>0</v>
      </c>
      <c r="I22" s="118">
        <v>0</v>
      </c>
      <c r="J22" s="118">
        <v>0</v>
      </c>
      <c r="K22" s="118">
        <v>0</v>
      </c>
      <c r="L22" s="118">
        <v>0</v>
      </c>
      <c r="M22" s="118">
        <v>0</v>
      </c>
      <c r="N22" s="118">
        <v>0</v>
      </c>
      <c r="O22" s="118">
        <v>0</v>
      </c>
      <c r="P22" s="118">
        <v>0</v>
      </c>
      <c r="Q22" s="118">
        <v>9.9781609040767317E-3</v>
      </c>
      <c r="R22" s="118">
        <v>1.1739012828325568E-2</v>
      </c>
      <c r="S22" s="118">
        <v>0</v>
      </c>
      <c r="T22" s="118">
        <v>0</v>
      </c>
      <c r="U22" s="118">
        <v>0</v>
      </c>
      <c r="V22" s="222">
        <v>0</v>
      </c>
      <c r="W22" s="118">
        <v>0</v>
      </c>
      <c r="X22" s="118">
        <v>0</v>
      </c>
      <c r="Y22" s="118">
        <v>2.4064976298067416E-2</v>
      </c>
      <c r="Z22" s="118">
        <v>2.2891075015234859E-2</v>
      </c>
      <c r="AA22" s="118">
        <v>2.1453045943764976E-2</v>
      </c>
      <c r="AB22" s="118">
        <v>5.341250836888134E-3</v>
      </c>
      <c r="AC22" s="118">
        <v>0</v>
      </c>
      <c r="AD22" s="118">
        <v>0</v>
      </c>
      <c r="AE22" s="118">
        <v>8.3397331154507412E-2</v>
      </c>
      <c r="AF22" s="118">
        <v>8.571392368657707E-2</v>
      </c>
      <c r="AG22" s="118">
        <v>3.8820474855591418E-2</v>
      </c>
      <c r="AH22" s="118">
        <v>4.3172860824934392E-2</v>
      </c>
      <c r="AI22" s="118">
        <v>2.5468477898026341E-2</v>
      </c>
      <c r="AJ22" s="118">
        <v>1.0193007141106462E-2</v>
      </c>
      <c r="AK22" s="118">
        <v>4.2105824264708373E-2</v>
      </c>
      <c r="AL22" s="118">
        <v>2.1691730073015818E-2</v>
      </c>
      <c r="AM22" s="216">
        <v>2.1059932109724094E-2</v>
      </c>
      <c r="AN22" s="118">
        <v>0.11477662999799632</v>
      </c>
      <c r="AO22" s="118">
        <v>3.7935957706982999E-2</v>
      </c>
      <c r="AP22" s="118">
        <v>1.4741952476806866E-2</v>
      </c>
      <c r="AQ22" s="118">
        <v>2.920310585881741E-2</v>
      </c>
      <c r="AR22" s="118">
        <v>1.5443950213797669E-3</v>
      </c>
      <c r="AS22" s="118">
        <v>1.9565021380542613E-3</v>
      </c>
      <c r="AT22" s="118">
        <v>7.0199773699080312E-4</v>
      </c>
      <c r="AU22" s="118">
        <v>9.3506098567174983E-3</v>
      </c>
      <c r="AV22" s="118">
        <v>0</v>
      </c>
      <c r="AW22" s="118">
        <v>9.8607707757934759E-3</v>
      </c>
      <c r="AX22" s="118">
        <v>0</v>
      </c>
      <c r="AY22" s="118">
        <v>0</v>
      </c>
      <c r="AZ22" s="118">
        <v>0</v>
      </c>
      <c r="BA22" s="118">
        <v>0</v>
      </c>
      <c r="BB22" s="118">
        <v>0</v>
      </c>
      <c r="BC22" s="118">
        <v>0</v>
      </c>
      <c r="BD22" s="118">
        <v>0</v>
      </c>
      <c r="BE22" s="118">
        <v>0</v>
      </c>
      <c r="BF22" s="118">
        <v>0</v>
      </c>
      <c r="BG22" s="118">
        <v>0</v>
      </c>
      <c r="BH22" s="118">
        <v>0</v>
      </c>
      <c r="BI22" s="118">
        <v>0</v>
      </c>
      <c r="BJ22" s="118">
        <v>7.3368830177034799E-3</v>
      </c>
      <c r="BK22" s="118">
        <v>0</v>
      </c>
      <c r="BL22" s="118">
        <v>0</v>
      </c>
      <c r="BM22" s="118">
        <v>0.10529966054862047</v>
      </c>
      <c r="BN22" s="118">
        <v>8.4239728438896377E-2</v>
      </c>
      <c r="BO22" s="118">
        <v>6.7391782751117096E-2</v>
      </c>
      <c r="BP22" s="118">
        <v>0.14867459747074332</v>
      </c>
      <c r="BQ22" s="118">
        <v>3.5252648325617843E-2</v>
      </c>
      <c r="BR22" s="118">
        <v>0.10108767412667564</v>
      </c>
      <c r="BS22" s="118">
        <v>8.8030516218646715E-2</v>
      </c>
      <c r="BT22" s="118">
        <v>0.10694240686604592</v>
      </c>
      <c r="BU22" s="118">
        <v>0</v>
      </c>
      <c r="BV22" s="118">
        <v>5.6159818959264252E-2</v>
      </c>
      <c r="BW22" s="118">
        <v>4.3727822785512738E-2</v>
      </c>
      <c r="BX22" s="118">
        <v>2.2803032419022418E-2</v>
      </c>
      <c r="BY22" s="118">
        <v>5.9178409228324701E-2</v>
      </c>
      <c r="BZ22" s="118">
        <v>3.2291895901576946E-2</v>
      </c>
      <c r="CA22">
        <v>2.1059932109724094E-2</v>
      </c>
      <c r="CB22">
        <v>0</v>
      </c>
      <c r="CC22">
        <v>0</v>
      </c>
      <c r="CD22">
        <v>0</v>
      </c>
      <c r="CE22">
        <v>0</v>
      </c>
      <c r="CF22">
        <v>0</v>
      </c>
    </row>
    <row r="23" spans="1:84" x14ac:dyDescent="0.15">
      <c r="A23" t="s">
        <v>197</v>
      </c>
      <c r="B23" s="118">
        <v>0</v>
      </c>
      <c r="C23" s="118">
        <v>0</v>
      </c>
      <c r="D23" s="118">
        <v>0</v>
      </c>
      <c r="E23" s="118">
        <v>0</v>
      </c>
      <c r="F23" s="118">
        <v>0</v>
      </c>
      <c r="G23" s="118">
        <v>0</v>
      </c>
      <c r="H23" s="118">
        <v>0</v>
      </c>
      <c r="I23" s="118">
        <v>0</v>
      </c>
      <c r="J23" s="118">
        <v>0</v>
      </c>
      <c r="K23" s="118">
        <v>0</v>
      </c>
      <c r="L23" s="118">
        <v>0</v>
      </c>
      <c r="M23" s="118">
        <v>0</v>
      </c>
      <c r="N23" s="118">
        <v>0</v>
      </c>
      <c r="O23" s="118">
        <v>0</v>
      </c>
      <c r="P23" s="118">
        <v>0</v>
      </c>
      <c r="Q23" s="118">
        <v>1.6567948799105545E-2</v>
      </c>
      <c r="R23" s="118">
        <v>1.9491704469535936E-2</v>
      </c>
      <c r="S23" s="118">
        <v>0</v>
      </c>
      <c r="T23" s="118">
        <v>0</v>
      </c>
      <c r="U23" s="118">
        <v>0</v>
      </c>
      <c r="V23" s="118">
        <v>0</v>
      </c>
      <c r="W23" s="222">
        <v>0</v>
      </c>
      <c r="X23" s="118">
        <v>0</v>
      </c>
      <c r="Y23" s="118">
        <v>3.9957994162548673E-2</v>
      </c>
      <c r="Z23" s="118">
        <v>3.800882371559508E-2</v>
      </c>
      <c r="AA23" s="118">
        <v>3.5621089918076929E-2</v>
      </c>
      <c r="AB23" s="118">
        <v>8.8687255336388528E-3</v>
      </c>
      <c r="AC23" s="118">
        <v>0</v>
      </c>
      <c r="AD23" s="118">
        <v>0</v>
      </c>
      <c r="AE23" s="118">
        <v>0.13847468745321642</v>
      </c>
      <c r="AF23" s="118">
        <v>0.1423212065491391</v>
      </c>
      <c r="AG23" s="118">
        <v>6.4458335152886098E-2</v>
      </c>
      <c r="AH23" s="118">
        <v>7.1685128605831733E-2</v>
      </c>
      <c r="AI23" s="118">
        <v>4.2288397818204475E-2</v>
      </c>
      <c r="AJ23" s="118">
        <v>1.6924684022059783E-2</v>
      </c>
      <c r="AK23" s="118">
        <v>6.9913398598012794E-2</v>
      </c>
      <c r="AL23" s="118">
        <v>3.6017406080003256E-2</v>
      </c>
      <c r="AM23" s="216">
        <v>3.4968355417478891E-2</v>
      </c>
      <c r="AN23" s="118">
        <v>0.19057753702525998</v>
      </c>
      <c r="AO23" s="118">
        <v>6.2989664225351974E-2</v>
      </c>
      <c r="AP23" s="118">
        <v>2.4477848792235225E-2</v>
      </c>
      <c r="AQ23" s="118">
        <v>4.8489452845570727E-2</v>
      </c>
      <c r="AR23" s="118">
        <v>2.5643460639484519E-3</v>
      </c>
      <c r="AS23" s="118">
        <v>3.2486174115893226E-3</v>
      </c>
      <c r="AT23" s="118">
        <v>1.1656118472492965E-3</v>
      </c>
      <c r="AU23" s="118">
        <v>1.552594980536063E-2</v>
      </c>
      <c r="AV23" s="118">
        <v>0</v>
      </c>
      <c r="AW23" s="118">
        <v>1.6373031754410187E-2</v>
      </c>
      <c r="AX23" s="118">
        <v>0</v>
      </c>
      <c r="AY23" s="118">
        <v>0</v>
      </c>
      <c r="AZ23" s="118">
        <v>0</v>
      </c>
      <c r="BA23" s="118">
        <v>0</v>
      </c>
      <c r="BB23" s="118">
        <v>0</v>
      </c>
      <c r="BC23" s="118">
        <v>0</v>
      </c>
      <c r="BD23" s="118">
        <v>0</v>
      </c>
      <c r="BE23" s="118">
        <v>0</v>
      </c>
      <c r="BF23" s="118">
        <v>0</v>
      </c>
      <c r="BG23" s="118">
        <v>0</v>
      </c>
      <c r="BH23" s="118">
        <v>0</v>
      </c>
      <c r="BI23" s="118">
        <v>0</v>
      </c>
      <c r="BJ23" s="118">
        <v>1.2182315293459962E-2</v>
      </c>
      <c r="BK23" s="118">
        <v>0</v>
      </c>
      <c r="BL23" s="118">
        <v>0</v>
      </c>
      <c r="BM23" s="118">
        <v>0.17484177708739446</v>
      </c>
      <c r="BN23" s="118">
        <v>0.13987342166991557</v>
      </c>
      <c r="BO23" s="118">
        <v>0.11189873733593245</v>
      </c>
      <c r="BP23" s="118">
        <v>0.24686243710667266</v>
      </c>
      <c r="BQ23" s="118">
        <v>5.8534240739000501E-2</v>
      </c>
      <c r="BR23" s="118">
        <v>0.16784810600389868</v>
      </c>
      <c r="BS23" s="118">
        <v>0.14616772564506178</v>
      </c>
      <c r="BT23" s="118">
        <v>0.17756942771747239</v>
      </c>
      <c r="BU23" s="118">
        <v>0</v>
      </c>
      <c r="BV23" s="118">
        <v>9.3248947779943719E-2</v>
      </c>
      <c r="BW23" s="118">
        <v>7.2606599149021359E-2</v>
      </c>
      <c r="BX23" s="118">
        <v>3.7862635932073563E-2</v>
      </c>
      <c r="BY23" s="118">
        <v>9.826107872311568E-2</v>
      </c>
      <c r="BZ23" s="118">
        <v>5.3618144973467639E-2</v>
      </c>
      <c r="CA23">
        <v>3.4968355417478891E-2</v>
      </c>
      <c r="CB23">
        <v>0</v>
      </c>
      <c r="CC23">
        <v>0</v>
      </c>
      <c r="CD23">
        <v>0</v>
      </c>
      <c r="CE23">
        <v>0</v>
      </c>
      <c r="CF23">
        <v>0</v>
      </c>
    </row>
    <row r="24" spans="1:84" x14ac:dyDescent="0.15">
      <c r="A24" t="s">
        <v>198</v>
      </c>
      <c r="B24" s="118">
        <v>0</v>
      </c>
      <c r="C24" s="118">
        <v>0</v>
      </c>
      <c r="D24" s="118">
        <v>0</v>
      </c>
      <c r="E24" s="118">
        <v>0</v>
      </c>
      <c r="F24" s="118">
        <v>0</v>
      </c>
      <c r="G24" s="118">
        <v>0</v>
      </c>
      <c r="H24" s="118">
        <v>0</v>
      </c>
      <c r="I24" s="118">
        <v>0</v>
      </c>
      <c r="J24" s="118">
        <v>0</v>
      </c>
      <c r="K24" s="118">
        <v>0</v>
      </c>
      <c r="L24" s="118">
        <v>0</v>
      </c>
      <c r="M24" s="118">
        <v>0</v>
      </c>
      <c r="N24" s="118">
        <v>0</v>
      </c>
      <c r="O24" s="118">
        <v>0</v>
      </c>
      <c r="P24" s="118">
        <v>0</v>
      </c>
      <c r="Q24" s="224">
        <v>3.5819379370075512E-5</v>
      </c>
      <c r="R24" s="224">
        <v>1.0535111579433976E-4</v>
      </c>
      <c r="S24" s="118">
        <v>0</v>
      </c>
      <c r="T24" s="118">
        <v>0</v>
      </c>
      <c r="U24" s="118">
        <v>0</v>
      </c>
      <c r="V24" s="118">
        <v>0</v>
      </c>
      <c r="W24" s="118">
        <v>0</v>
      </c>
      <c r="X24" s="222">
        <v>0</v>
      </c>
      <c r="Y24" s="118">
        <v>0</v>
      </c>
      <c r="Z24" s="118">
        <v>0</v>
      </c>
      <c r="AA24" s="118">
        <v>0</v>
      </c>
      <c r="AB24" s="118">
        <v>0</v>
      </c>
      <c r="AC24" s="118">
        <v>0</v>
      </c>
      <c r="AD24" s="118">
        <v>0</v>
      </c>
      <c r="AE24" s="118">
        <v>6.52815498580436E-4</v>
      </c>
      <c r="AF24" s="118">
        <v>6.709492624298926E-4</v>
      </c>
      <c r="AG24" s="224">
        <v>3.0387792147725684E-4</v>
      </c>
      <c r="AH24" s="224">
        <v>3.3794741719441758E-4</v>
      </c>
      <c r="AI24" s="224">
        <v>1.9936150074493451E-4</v>
      </c>
      <c r="AJ24" s="224">
        <v>7.9788560937608838E-5</v>
      </c>
      <c r="AK24" s="224">
        <v>3.2959489566375882E-4</v>
      </c>
      <c r="AL24" s="224">
        <v>1.6979797059036593E-4</v>
      </c>
      <c r="AM24" s="221">
        <v>1.6485239863142323E-4</v>
      </c>
      <c r="AN24" s="118">
        <v>8.9844557254125659E-4</v>
      </c>
      <c r="AO24" s="224">
        <v>2.9695412073473703E-4</v>
      </c>
      <c r="AP24" s="224">
        <v>1.1539667904199625E-4</v>
      </c>
      <c r="AQ24" s="224">
        <v>2.2859532610224018E-4</v>
      </c>
      <c r="AR24" s="224">
        <v>1.2089175899637702E-5</v>
      </c>
      <c r="AS24" s="224">
        <v>7.0234077196226498E-6</v>
      </c>
      <c r="AT24" s="224">
        <v>5.4950799543807744E-6</v>
      </c>
      <c r="AU24" s="224">
        <v>7.3194464992351919E-5</v>
      </c>
      <c r="AV24" s="118">
        <v>0</v>
      </c>
      <c r="AW24" s="224">
        <v>3.5397974906898157E-5</v>
      </c>
      <c r="AX24" s="118">
        <v>0</v>
      </c>
      <c r="AY24" s="118">
        <v>0</v>
      </c>
      <c r="AZ24" s="118">
        <v>0</v>
      </c>
      <c r="BA24" s="118">
        <v>0</v>
      </c>
      <c r="BB24" s="118">
        <v>0</v>
      </c>
      <c r="BC24" s="118">
        <v>0</v>
      </c>
      <c r="BD24" s="118">
        <v>0</v>
      </c>
      <c r="BE24" s="118">
        <v>0</v>
      </c>
      <c r="BF24" s="118">
        <v>0</v>
      </c>
      <c r="BG24" s="118">
        <v>0</v>
      </c>
      <c r="BH24" s="118">
        <v>0</v>
      </c>
      <c r="BI24" s="118">
        <v>0</v>
      </c>
      <c r="BJ24" s="118">
        <v>0</v>
      </c>
      <c r="BK24" s="118">
        <v>0</v>
      </c>
      <c r="BL24" s="118">
        <v>0</v>
      </c>
      <c r="BM24" s="118">
        <v>8.2426199315711619E-4</v>
      </c>
      <c r="BN24" s="118">
        <v>6.5940959452569291E-4</v>
      </c>
      <c r="BO24" s="118">
        <v>5.2752767562055426E-4</v>
      </c>
      <c r="BP24" s="118">
        <v>0</v>
      </c>
      <c r="BQ24" s="224">
        <v>2.7594978009946977E-4</v>
      </c>
      <c r="BR24" s="118">
        <v>7.9129151343083144E-4</v>
      </c>
      <c r="BS24" s="118">
        <v>6.8908302627934909E-4</v>
      </c>
      <c r="BT24" s="118">
        <v>0</v>
      </c>
      <c r="BU24" s="118">
        <v>0</v>
      </c>
      <c r="BV24" s="224">
        <v>4.3960639635046194E-4</v>
      </c>
      <c r="BW24" s="224">
        <v>2.1070223158867952E-4</v>
      </c>
      <c r="BX24" s="224">
        <v>1.7058663371651082E-4</v>
      </c>
      <c r="BY24" s="224">
        <v>4.6323524015429927E-4</v>
      </c>
      <c r="BZ24" s="224">
        <v>2.527736779015156E-4</v>
      </c>
      <c r="CA24">
        <v>1.6485239863142323E-4</v>
      </c>
      <c r="CB24">
        <v>0</v>
      </c>
      <c r="CC24">
        <v>0</v>
      </c>
      <c r="CD24">
        <v>0</v>
      </c>
      <c r="CE24">
        <v>0</v>
      </c>
      <c r="CF24">
        <v>0</v>
      </c>
    </row>
    <row r="25" spans="1:84" x14ac:dyDescent="0.15">
      <c r="A25" t="s">
        <v>273</v>
      </c>
      <c r="B25" s="118">
        <v>0</v>
      </c>
      <c r="C25" s="118">
        <v>0</v>
      </c>
      <c r="D25" s="118">
        <v>0</v>
      </c>
      <c r="E25" s="118">
        <v>0</v>
      </c>
      <c r="F25" s="118">
        <v>0</v>
      </c>
      <c r="G25" s="118">
        <v>0</v>
      </c>
      <c r="H25" s="118">
        <v>0</v>
      </c>
      <c r="I25" s="118">
        <v>0</v>
      </c>
      <c r="J25" s="118">
        <v>0</v>
      </c>
      <c r="K25" s="118">
        <v>0</v>
      </c>
      <c r="L25" s="118">
        <v>0</v>
      </c>
      <c r="M25" s="118">
        <v>0</v>
      </c>
      <c r="N25" s="118">
        <v>0</v>
      </c>
      <c r="O25" s="118">
        <v>0</v>
      </c>
      <c r="P25" s="118">
        <v>0</v>
      </c>
      <c r="Q25" s="118">
        <v>2.2802940373677069E-4</v>
      </c>
      <c r="R25" s="118">
        <v>2.6826988674914207E-4</v>
      </c>
      <c r="S25" s="118">
        <v>0</v>
      </c>
      <c r="T25" s="118">
        <v>0</v>
      </c>
      <c r="U25" s="118">
        <v>0</v>
      </c>
      <c r="V25" s="118">
        <v>0</v>
      </c>
      <c r="W25" s="118">
        <v>0</v>
      </c>
      <c r="X25" s="118">
        <v>0</v>
      </c>
      <c r="Y25" s="222">
        <v>5.4995326783574116E-4</v>
      </c>
      <c r="Z25" s="118">
        <v>5.23126279160827E-4</v>
      </c>
      <c r="AA25" s="118">
        <v>4.9026321803405707E-4</v>
      </c>
      <c r="AB25" s="118">
        <v>1.2206279847085963E-4</v>
      </c>
      <c r="AC25" s="118">
        <v>0</v>
      </c>
      <c r="AD25" s="118">
        <v>0</v>
      </c>
      <c r="AE25" s="118">
        <v>1.9058666100113331E-3</v>
      </c>
      <c r="AF25" s="118">
        <v>1.9588073491783146E-3</v>
      </c>
      <c r="AG25" s="118">
        <v>8.8715844725275022E-4</v>
      </c>
      <c r="AH25" s="118">
        <v>9.8662286629374566E-4</v>
      </c>
      <c r="AI25" s="118">
        <v>5.8202727787214786E-4</v>
      </c>
      <c r="AJ25" s="118">
        <v>2.3293925233471848E-4</v>
      </c>
      <c r="AK25" s="118">
        <v>9.6223804098046937E-4</v>
      </c>
      <c r="AL25" s="118">
        <v>4.9571783038173561E-4</v>
      </c>
      <c r="AM25" s="216">
        <v>4.8127944697255883E-4</v>
      </c>
      <c r="AN25" s="118">
        <v>2.6229729860004457E-3</v>
      </c>
      <c r="AO25" s="118">
        <v>8.6694471047990269E-4</v>
      </c>
      <c r="AP25" s="118">
        <v>3.3689561288079118E-4</v>
      </c>
      <c r="AQ25" s="118">
        <v>6.6737416646861492E-4</v>
      </c>
      <c r="AR25" s="224">
        <v>3.5293826111320982E-5</v>
      </c>
      <c r="AS25" s="224">
        <v>4.4711647791523669E-5</v>
      </c>
      <c r="AT25" s="224">
        <v>1.604264823241863E-5</v>
      </c>
      <c r="AU25" s="118">
        <v>2.1368807445581615E-4</v>
      </c>
      <c r="AV25" s="118">
        <v>0</v>
      </c>
      <c r="AW25" s="118">
        <v>2.2534670486927931E-4</v>
      </c>
      <c r="AX25" s="118">
        <v>0</v>
      </c>
      <c r="AY25" s="118">
        <v>0</v>
      </c>
      <c r="AZ25" s="118">
        <v>0</v>
      </c>
      <c r="BA25" s="118">
        <v>0</v>
      </c>
      <c r="BB25" s="118">
        <v>0</v>
      </c>
      <c r="BC25" s="118">
        <v>0</v>
      </c>
      <c r="BD25" s="118">
        <v>0</v>
      </c>
      <c r="BE25" s="118">
        <v>0</v>
      </c>
      <c r="BF25" s="118">
        <v>0</v>
      </c>
      <c r="BG25" s="118">
        <v>0</v>
      </c>
      <c r="BH25" s="118">
        <v>0</v>
      </c>
      <c r="BI25" s="118">
        <v>0</v>
      </c>
      <c r="BJ25" s="118">
        <v>1.6766867921821379E-4</v>
      </c>
      <c r="BK25" s="118">
        <v>0</v>
      </c>
      <c r="BL25" s="118">
        <v>0</v>
      </c>
      <c r="BM25" s="118">
        <v>2.4063972348627944E-3</v>
      </c>
      <c r="BN25" s="118">
        <v>1.9251177878902353E-3</v>
      </c>
      <c r="BO25" s="118">
        <v>1.5400942303121883E-3</v>
      </c>
      <c r="BP25" s="118">
        <v>3.3976381156778841E-3</v>
      </c>
      <c r="BQ25" s="118">
        <v>8.0562344655600755E-4</v>
      </c>
      <c r="BR25" s="118">
        <v>2.3101413454682824E-3</v>
      </c>
      <c r="BS25" s="118">
        <v>2.0117480883452962E-3</v>
      </c>
      <c r="BT25" s="118">
        <v>2.4439386682846842E-3</v>
      </c>
      <c r="BU25" s="118">
        <v>0</v>
      </c>
      <c r="BV25" s="118">
        <v>1.2834118585934905E-3</v>
      </c>
      <c r="BW25" s="118">
        <v>9.9930532814055404E-4</v>
      </c>
      <c r="BX25" s="118">
        <v>5.2111425501020841E-4</v>
      </c>
      <c r="BY25" s="118">
        <v>1.3523952459928905E-3</v>
      </c>
      <c r="BZ25" s="118">
        <v>7.3796181869125702E-4</v>
      </c>
      <c r="CA25">
        <v>4.8127944697255883E-4</v>
      </c>
      <c r="CB25">
        <v>0</v>
      </c>
      <c r="CC25">
        <v>0</v>
      </c>
      <c r="CD25">
        <v>0</v>
      </c>
      <c r="CE25">
        <v>0</v>
      </c>
      <c r="CF25">
        <v>0</v>
      </c>
    </row>
    <row r="26" spans="1:84" x14ac:dyDescent="0.15">
      <c r="A26" t="s">
        <v>398</v>
      </c>
      <c r="B26" s="118">
        <v>0</v>
      </c>
      <c r="C26" s="118">
        <v>0</v>
      </c>
      <c r="D26" s="118">
        <v>0</v>
      </c>
      <c r="E26" s="118">
        <v>0</v>
      </c>
      <c r="F26" s="118">
        <v>0</v>
      </c>
      <c r="G26" s="118">
        <v>0</v>
      </c>
      <c r="H26" s="118">
        <v>0</v>
      </c>
      <c r="I26" s="118">
        <v>0</v>
      </c>
      <c r="J26" s="118">
        <v>0</v>
      </c>
      <c r="K26" s="118">
        <v>0</v>
      </c>
      <c r="L26" s="118">
        <v>0</v>
      </c>
      <c r="M26" s="118">
        <v>0</v>
      </c>
      <c r="N26" s="118">
        <v>0</v>
      </c>
      <c r="O26" s="118">
        <v>0</v>
      </c>
      <c r="P26" s="118">
        <v>0</v>
      </c>
      <c r="Q26" s="224">
        <v>1.3403768363032449E-4</v>
      </c>
      <c r="R26" s="224">
        <v>1.5769139250626415E-4</v>
      </c>
      <c r="S26" s="118">
        <v>0</v>
      </c>
      <c r="T26" s="118">
        <v>0</v>
      </c>
      <c r="U26" s="118">
        <v>0</v>
      </c>
      <c r="V26" s="118">
        <v>0</v>
      </c>
      <c r="W26" s="118">
        <v>0</v>
      </c>
      <c r="X26" s="118">
        <v>0</v>
      </c>
      <c r="Y26" s="118">
        <v>3.2326735463784147E-4</v>
      </c>
      <c r="Z26" s="222">
        <v>3.0749821538721508E-4</v>
      </c>
      <c r="AA26" s="118">
        <v>2.8818101980519772E-4</v>
      </c>
      <c r="AB26" s="224">
        <v>7.1749583590350179E-5</v>
      </c>
      <c r="AC26" s="118">
        <v>0</v>
      </c>
      <c r="AD26" s="118">
        <v>0</v>
      </c>
      <c r="AE26" s="118">
        <v>1.1202851102886271E-3</v>
      </c>
      <c r="AF26" s="118">
        <v>1.1514041411299781E-3</v>
      </c>
      <c r="AG26" s="118">
        <v>5.2147951682627181E-4</v>
      </c>
      <c r="AH26" s="118">
        <v>5.7994557477062769E-4</v>
      </c>
      <c r="AI26" s="118">
        <v>3.4212073906794103E-4</v>
      </c>
      <c r="AJ26" s="224">
        <v>1.3692373570194333E-4</v>
      </c>
      <c r="AK26" s="118">
        <v>5.6561196056491465E-4</v>
      </c>
      <c r="AL26" s="118">
        <v>2.9138728878719343E-4</v>
      </c>
      <c r="AM26" s="216">
        <v>2.8290028037591594E-4</v>
      </c>
      <c r="AN26" s="118">
        <v>1.5418065280487421E-3</v>
      </c>
      <c r="AO26" s="118">
        <v>5.0959770505048325E-4</v>
      </c>
      <c r="AP26" s="118">
        <v>1.9803019626314116E-4</v>
      </c>
      <c r="AQ26" s="118">
        <v>3.9228838878793676E-4</v>
      </c>
      <c r="AR26" s="224">
        <v>2.0746020560900504E-5</v>
      </c>
      <c r="AS26" s="224">
        <v>2.628189875104402E-5</v>
      </c>
      <c r="AT26" s="224">
        <v>9.430009345863865E-6</v>
      </c>
      <c r="AU26" s="224">
        <v>1.2560772448690668E-4</v>
      </c>
      <c r="AV26" s="118">
        <v>0</v>
      </c>
      <c r="AW26" s="224">
        <v>1.3246076970526186E-4</v>
      </c>
      <c r="AX26" s="118">
        <v>0</v>
      </c>
      <c r="AY26" s="118">
        <v>0</v>
      </c>
      <c r="AZ26" s="118">
        <v>0</v>
      </c>
      <c r="BA26" s="118">
        <v>0</v>
      </c>
      <c r="BB26" s="118">
        <v>0</v>
      </c>
      <c r="BC26" s="118">
        <v>0</v>
      </c>
      <c r="BD26" s="118">
        <v>0</v>
      </c>
      <c r="BE26" s="118">
        <v>0</v>
      </c>
      <c r="BF26" s="118">
        <v>0</v>
      </c>
      <c r="BG26" s="118">
        <v>0</v>
      </c>
      <c r="BH26" s="118">
        <v>0</v>
      </c>
      <c r="BI26" s="118">
        <v>0</v>
      </c>
      <c r="BJ26" s="224">
        <v>9.8557120316415087E-5</v>
      </c>
      <c r="BK26" s="118">
        <v>0</v>
      </c>
      <c r="BL26" s="118">
        <v>0</v>
      </c>
      <c r="BM26" s="118">
        <v>1.4145014018795798E-3</v>
      </c>
      <c r="BN26" s="118">
        <v>1.1316011215036638E-3</v>
      </c>
      <c r="BO26" s="118">
        <v>9.0528089720293104E-4</v>
      </c>
      <c r="BP26" s="118">
        <v>1.9971614860918355E-3</v>
      </c>
      <c r="BQ26" s="118">
        <v>4.735525282489387E-4</v>
      </c>
      <c r="BR26" s="118">
        <v>1.3579213458043966E-3</v>
      </c>
      <c r="BS26" s="118">
        <v>1.1825231719713287E-3</v>
      </c>
      <c r="BT26" s="118">
        <v>1.4365685857320662E-3</v>
      </c>
      <c r="BU26" s="118">
        <v>0</v>
      </c>
      <c r="BV26" s="118">
        <v>7.5440074766910926E-4</v>
      </c>
      <c r="BW26" s="118">
        <v>5.8740043708583386E-4</v>
      </c>
      <c r="BX26" s="118">
        <v>3.0631552994341812E-4</v>
      </c>
      <c r="BY26" s="118">
        <v>7.9494978785632378E-4</v>
      </c>
      <c r="BZ26" s="118">
        <v>4.3378042990973784E-4</v>
      </c>
      <c r="CA26">
        <v>2.8290028037591594E-4</v>
      </c>
      <c r="CB26">
        <v>0</v>
      </c>
      <c r="CC26">
        <v>0</v>
      </c>
      <c r="CD26">
        <v>0</v>
      </c>
      <c r="CE26">
        <v>0</v>
      </c>
      <c r="CF26">
        <v>0</v>
      </c>
    </row>
    <row r="27" spans="1:84" x14ac:dyDescent="0.15">
      <c r="A27" t="s">
        <v>399</v>
      </c>
      <c r="B27" s="118">
        <v>0</v>
      </c>
      <c r="C27" s="118">
        <v>0</v>
      </c>
      <c r="D27" s="118">
        <v>0</v>
      </c>
      <c r="E27" s="118">
        <v>0</v>
      </c>
      <c r="F27" s="118">
        <v>0</v>
      </c>
      <c r="G27" s="118">
        <v>0</v>
      </c>
      <c r="H27" s="118">
        <v>0</v>
      </c>
      <c r="I27" s="118">
        <v>0</v>
      </c>
      <c r="J27" s="118">
        <v>0</v>
      </c>
      <c r="K27" s="118">
        <v>0</v>
      </c>
      <c r="L27" s="118">
        <v>0</v>
      </c>
      <c r="M27" s="118">
        <v>0</v>
      </c>
      <c r="N27" s="118">
        <v>0</v>
      </c>
      <c r="O27" s="118">
        <v>0</v>
      </c>
      <c r="P27" s="118">
        <v>0</v>
      </c>
      <c r="Q27" s="118">
        <v>8.871928779577437E-5</v>
      </c>
      <c r="R27" s="118">
        <v>2.609390817522776E-4</v>
      </c>
      <c r="S27" s="118">
        <v>0</v>
      </c>
      <c r="T27" s="118">
        <v>0</v>
      </c>
      <c r="U27" s="118">
        <v>0</v>
      </c>
      <c r="V27" s="118">
        <v>0</v>
      </c>
      <c r="W27" s="118">
        <v>0</v>
      </c>
      <c r="X27" s="118">
        <v>0</v>
      </c>
      <c r="Y27" s="118">
        <v>0</v>
      </c>
      <c r="Z27" s="118">
        <v>0</v>
      </c>
      <c r="AA27" s="222">
        <v>0</v>
      </c>
      <c r="AB27" s="118">
        <v>0</v>
      </c>
      <c r="AC27" s="118">
        <v>0</v>
      </c>
      <c r="AD27" s="118">
        <v>0</v>
      </c>
      <c r="AE27" s="118">
        <v>1.6169271247755161E-3</v>
      </c>
      <c r="AF27" s="118">
        <v>1.6618417671303918E-3</v>
      </c>
      <c r="AG27" s="118">
        <v>7.5266052188624618E-4</v>
      </c>
      <c r="AH27" s="118">
        <v>8.3704560752267878E-4</v>
      </c>
      <c r="AI27" s="118">
        <v>4.9378885594996401E-4</v>
      </c>
      <c r="AJ27" s="118">
        <v>1.9762442636145198E-4</v>
      </c>
      <c r="AK27" s="118">
        <v>8.1635765104406954E-4</v>
      </c>
      <c r="AL27" s="118">
        <v>4.2056437841383375E-4</v>
      </c>
      <c r="AM27" s="216">
        <v>4.0831493049886769E-4</v>
      </c>
      <c r="AN27" s="118">
        <v>2.2253163712188293E-3</v>
      </c>
      <c r="AO27" s="118">
        <v>7.3551129480529367E-4</v>
      </c>
      <c r="AP27" s="118">
        <v>2.8582045134920741E-4</v>
      </c>
      <c r="AQ27" s="118">
        <v>5.6619670362509659E-4</v>
      </c>
      <c r="AR27" s="224">
        <v>2.9943094903250299E-5</v>
      </c>
      <c r="AS27" s="224">
        <v>1.7395938783485172E-5</v>
      </c>
      <c r="AT27" s="224">
        <v>1.3610497683295591E-5</v>
      </c>
      <c r="AU27" s="118">
        <v>1.8129182914149728E-4</v>
      </c>
      <c r="AV27" s="118">
        <v>0</v>
      </c>
      <c r="AW27" s="118">
        <v>8.7675531468765268E-5</v>
      </c>
      <c r="AX27" s="118">
        <v>0</v>
      </c>
      <c r="AY27" s="118">
        <v>0</v>
      </c>
      <c r="AZ27" s="118">
        <v>0</v>
      </c>
      <c r="BA27" s="118">
        <v>0</v>
      </c>
      <c r="BB27" s="118">
        <v>0</v>
      </c>
      <c r="BC27" s="118">
        <v>0</v>
      </c>
      <c r="BD27" s="118">
        <v>0</v>
      </c>
      <c r="BE27" s="118">
        <v>0</v>
      </c>
      <c r="BF27" s="118">
        <v>0</v>
      </c>
      <c r="BG27" s="118">
        <v>0</v>
      </c>
      <c r="BH27" s="118">
        <v>0</v>
      </c>
      <c r="BI27" s="118">
        <v>0</v>
      </c>
      <c r="BJ27" s="118">
        <v>0</v>
      </c>
      <c r="BK27" s="118">
        <v>0</v>
      </c>
      <c r="BL27" s="118">
        <v>0</v>
      </c>
      <c r="BM27" s="118">
        <v>2.0415746524943385E-3</v>
      </c>
      <c r="BN27" s="118">
        <v>1.6332597219954708E-3</v>
      </c>
      <c r="BO27" s="118">
        <v>1.3066077775963766E-3</v>
      </c>
      <c r="BP27" s="118">
        <v>0</v>
      </c>
      <c r="BQ27" s="118">
        <v>6.834866596901034E-4</v>
      </c>
      <c r="BR27" s="118">
        <v>1.9599116663945649E-3</v>
      </c>
      <c r="BS27" s="118">
        <v>1.7067564094852671E-3</v>
      </c>
      <c r="BT27" s="118">
        <v>0</v>
      </c>
      <c r="BU27" s="118">
        <v>0</v>
      </c>
      <c r="BV27" s="118">
        <v>1.0888398146636474E-3</v>
      </c>
      <c r="BW27" s="118">
        <v>5.218781635045552E-4</v>
      </c>
      <c r="BX27" s="118">
        <v>4.2251777995492299E-4</v>
      </c>
      <c r="BY27" s="118">
        <v>1.1473649547018184E-3</v>
      </c>
      <c r="BZ27" s="118">
        <v>6.2608289343159718E-4</v>
      </c>
      <c r="CA27">
        <v>4.0831493049886769E-4</v>
      </c>
      <c r="CB27">
        <v>0</v>
      </c>
      <c r="CC27">
        <v>0</v>
      </c>
      <c r="CD27">
        <v>0</v>
      </c>
      <c r="CE27">
        <v>0</v>
      </c>
      <c r="CF27">
        <v>0</v>
      </c>
    </row>
    <row r="28" spans="1:84" x14ac:dyDescent="0.15">
      <c r="A28" t="s">
        <v>199</v>
      </c>
      <c r="B28" s="118">
        <v>0</v>
      </c>
      <c r="C28" s="118">
        <v>0</v>
      </c>
      <c r="D28" s="118">
        <v>0</v>
      </c>
      <c r="E28" s="118">
        <v>0</v>
      </c>
      <c r="F28" s="118">
        <v>0</v>
      </c>
      <c r="G28" s="118">
        <v>0</v>
      </c>
      <c r="H28" s="118">
        <v>0</v>
      </c>
      <c r="I28" s="118">
        <v>0</v>
      </c>
      <c r="J28" s="118">
        <v>0</v>
      </c>
      <c r="K28" s="118">
        <v>0</v>
      </c>
      <c r="L28" s="118">
        <v>0</v>
      </c>
      <c r="M28" s="118">
        <v>0</v>
      </c>
      <c r="N28" s="118">
        <v>0</v>
      </c>
      <c r="O28" s="118">
        <v>0</v>
      </c>
      <c r="P28" s="118">
        <v>0</v>
      </c>
      <c r="Q28" s="224">
        <v>4.3322341588901522E-5</v>
      </c>
      <c r="R28" s="224">
        <v>5.0967460692825327E-5</v>
      </c>
      <c r="S28" s="118">
        <v>0</v>
      </c>
      <c r="T28" s="118">
        <v>0</v>
      </c>
      <c r="U28" s="118">
        <v>0</v>
      </c>
      <c r="V28" s="118">
        <v>0</v>
      </c>
      <c r="W28" s="118">
        <v>0</v>
      </c>
      <c r="X28" s="118">
        <v>0</v>
      </c>
      <c r="Y28" s="224">
        <v>1.0448329442029193E-4</v>
      </c>
      <c r="Z28" s="224">
        <v>9.9386548351009389E-5</v>
      </c>
      <c r="AA28" s="224">
        <v>9.3143034416138287E-5</v>
      </c>
      <c r="AB28" s="225">
        <v>2.3190194615235528E-5</v>
      </c>
      <c r="AC28" s="118">
        <v>0</v>
      </c>
      <c r="AD28" s="118">
        <v>0</v>
      </c>
      <c r="AE28" s="118">
        <v>3.6208753322490279E-4</v>
      </c>
      <c r="AF28" s="118">
        <v>3.7214552025892789E-4</v>
      </c>
      <c r="AG28" s="224">
        <v>1.6854747969138995E-4</v>
      </c>
      <c r="AH28" s="224">
        <v>1.874443038159219E-4</v>
      </c>
      <c r="AI28" s="224">
        <v>1.1057689987709994E-4</v>
      </c>
      <c r="AJ28" s="224">
        <v>4.4255142949710339E-5</v>
      </c>
      <c r="AK28" s="224">
        <v>1.8281153403055278E-4</v>
      </c>
      <c r="AL28" s="224">
        <v>9.4179333136780268E-5</v>
      </c>
      <c r="AM28" s="221">
        <v>9.1436245763864334E-5</v>
      </c>
      <c r="AN28" s="118">
        <v>4.9832753941306067E-4</v>
      </c>
      <c r="AO28" s="224">
        <v>1.6470715736930763E-4</v>
      </c>
      <c r="AP28" s="224">
        <v>6.4005372034705039E-5</v>
      </c>
      <c r="AQ28" s="224">
        <v>1.2679159412589189E-4</v>
      </c>
      <c r="AR28" s="224">
        <v>6.7053246893500508E-6</v>
      </c>
      <c r="AS28" s="224">
        <v>8.4945767821375546E-6</v>
      </c>
      <c r="AT28" s="224">
        <v>3.047874858795478E-6</v>
      </c>
      <c r="AU28" s="224">
        <v>4.059769311915577E-5</v>
      </c>
      <c r="AV28" s="118">
        <v>0</v>
      </c>
      <c r="AW28" s="224">
        <v>4.2812666981973276E-5</v>
      </c>
      <c r="AX28" s="118">
        <v>0</v>
      </c>
      <c r="AY28" s="118">
        <v>0</v>
      </c>
      <c r="AZ28" s="118">
        <v>0</v>
      </c>
      <c r="BA28" s="118">
        <v>0</v>
      </c>
      <c r="BB28" s="118">
        <v>0</v>
      </c>
      <c r="BC28" s="118">
        <v>0</v>
      </c>
      <c r="BD28" s="118">
        <v>0</v>
      </c>
      <c r="BE28" s="118">
        <v>0</v>
      </c>
      <c r="BF28" s="118">
        <v>0</v>
      </c>
      <c r="BG28" s="118">
        <v>0</v>
      </c>
      <c r="BH28" s="118">
        <v>0</v>
      </c>
      <c r="BI28" s="118">
        <v>0</v>
      </c>
      <c r="BJ28" s="224">
        <v>3.1854662933015832E-5</v>
      </c>
      <c r="BK28" s="118">
        <v>0</v>
      </c>
      <c r="BL28" s="118">
        <v>0</v>
      </c>
      <c r="BM28" s="118">
        <v>4.571812288193217E-4</v>
      </c>
      <c r="BN28" s="118">
        <v>3.6574498305545734E-4</v>
      </c>
      <c r="BO28" s="118">
        <v>2.925959864443659E-4</v>
      </c>
      <c r="BP28" s="118">
        <v>6.4550288967463285E-4</v>
      </c>
      <c r="BQ28" s="224">
        <v>1.5305698989598988E-4</v>
      </c>
      <c r="BR28" s="118">
        <v>4.3889397966654883E-4</v>
      </c>
      <c r="BS28" s="118">
        <v>3.8220350729295294E-4</v>
      </c>
      <c r="BT28" s="118">
        <v>4.6431356691163872E-4</v>
      </c>
      <c r="BU28" s="118">
        <v>0</v>
      </c>
      <c r="BV28" s="224">
        <v>2.4382998870363826E-4</v>
      </c>
      <c r="BW28" s="118">
        <v>1.8985379108077435E-4</v>
      </c>
      <c r="BX28" s="224">
        <v>9.9004292395813212E-5</v>
      </c>
      <c r="BY28" s="118">
        <v>2.5693585059645879E-4</v>
      </c>
      <c r="BZ28" s="118">
        <v>1.40202243504592E-4</v>
      </c>
      <c r="CA28">
        <v>9.1436245763864334E-5</v>
      </c>
      <c r="CB28">
        <v>0</v>
      </c>
      <c r="CC28">
        <v>0</v>
      </c>
      <c r="CD28">
        <v>0</v>
      </c>
      <c r="CE28">
        <v>0</v>
      </c>
      <c r="CF28">
        <v>0</v>
      </c>
    </row>
    <row r="29" spans="1:84" x14ac:dyDescent="0.15">
      <c r="A29" t="s">
        <v>200</v>
      </c>
      <c r="B29" s="118">
        <v>0</v>
      </c>
      <c r="C29" s="118">
        <v>0</v>
      </c>
      <c r="D29" s="118">
        <v>0</v>
      </c>
      <c r="E29" s="118">
        <v>0</v>
      </c>
      <c r="F29" s="118">
        <v>0</v>
      </c>
      <c r="G29" s="118">
        <v>0</v>
      </c>
      <c r="H29" s="118">
        <v>0</v>
      </c>
      <c r="I29" s="118">
        <v>0</v>
      </c>
      <c r="J29" s="118">
        <v>0</v>
      </c>
      <c r="K29" s="118">
        <v>0</v>
      </c>
      <c r="L29" s="118">
        <v>0</v>
      </c>
      <c r="M29" s="118">
        <v>0</v>
      </c>
      <c r="N29" s="118">
        <v>0</v>
      </c>
      <c r="O29" s="118">
        <v>0</v>
      </c>
      <c r="P29" s="118">
        <v>0</v>
      </c>
      <c r="Q29" s="118">
        <v>0.02</v>
      </c>
      <c r="R29" s="118">
        <v>2.5000000000000001E-2</v>
      </c>
      <c r="S29" s="118">
        <v>0</v>
      </c>
      <c r="T29" s="118">
        <v>0</v>
      </c>
      <c r="U29" s="118">
        <v>0</v>
      </c>
      <c r="V29" s="118">
        <v>0</v>
      </c>
      <c r="W29" s="118">
        <v>0</v>
      </c>
      <c r="X29" s="118">
        <v>0</v>
      </c>
      <c r="Y29" s="118">
        <v>0</v>
      </c>
      <c r="Z29" s="118">
        <v>4.0000000000000001E-3</v>
      </c>
      <c r="AA29" s="118">
        <v>1.602530395494486E-2</v>
      </c>
      <c r="AB29" s="118">
        <v>0</v>
      </c>
      <c r="AC29" s="222">
        <v>0</v>
      </c>
      <c r="AD29" s="118">
        <v>5.0397891352225811E-2</v>
      </c>
      <c r="AE29" s="118">
        <v>0</v>
      </c>
      <c r="AF29" s="118">
        <v>0</v>
      </c>
      <c r="AG29" s="118">
        <v>2.6337246243375904E-2</v>
      </c>
      <c r="AH29" s="118">
        <v>2.5108804820890524E-2</v>
      </c>
      <c r="AI29" s="118">
        <v>0</v>
      </c>
      <c r="AJ29" s="118">
        <v>0</v>
      </c>
      <c r="AK29" s="118">
        <v>4.9975899688315274E-3</v>
      </c>
      <c r="AL29" s="118">
        <v>0</v>
      </c>
      <c r="AM29" s="118">
        <v>1.008271760031662E-3</v>
      </c>
      <c r="AN29" s="118">
        <v>3.6600000000000001E-2</v>
      </c>
      <c r="AO29" s="118">
        <v>5.4048990004540104E-3</v>
      </c>
      <c r="AP29" s="118">
        <v>0</v>
      </c>
      <c r="AQ29" s="118">
        <v>2.0007088800100322E-3</v>
      </c>
      <c r="AR29" s="118">
        <v>0</v>
      </c>
      <c r="AS29" s="118">
        <v>0</v>
      </c>
      <c r="AT29" s="118">
        <v>2.015915654089033E-2</v>
      </c>
      <c r="AU29" s="118">
        <v>0</v>
      </c>
      <c r="AV29" s="118">
        <v>0</v>
      </c>
      <c r="AW29" s="118">
        <v>0</v>
      </c>
      <c r="AX29" s="118">
        <v>0.05</v>
      </c>
      <c r="AY29" s="118">
        <v>0</v>
      </c>
      <c r="AZ29" s="118">
        <v>0</v>
      </c>
      <c r="BA29" s="118">
        <v>0</v>
      </c>
      <c r="BB29" s="118">
        <v>0</v>
      </c>
      <c r="BC29" s="118">
        <v>0</v>
      </c>
      <c r="BD29" s="118">
        <v>0</v>
      </c>
      <c r="BE29" s="118">
        <v>0</v>
      </c>
      <c r="BF29" s="118">
        <v>0</v>
      </c>
      <c r="BG29" s="118">
        <v>0</v>
      </c>
      <c r="BH29" s="118">
        <v>0</v>
      </c>
      <c r="BI29" s="118">
        <v>0</v>
      </c>
      <c r="BJ29" s="118">
        <v>0</v>
      </c>
      <c r="BK29" s="118">
        <v>0</v>
      </c>
      <c r="BL29" s="118">
        <v>0</v>
      </c>
      <c r="BM29" s="118">
        <v>0</v>
      </c>
      <c r="BN29" s="118">
        <v>0</v>
      </c>
      <c r="BO29" s="118">
        <v>0</v>
      </c>
      <c r="BP29" s="118">
        <v>0</v>
      </c>
      <c r="BQ29" s="118">
        <v>0</v>
      </c>
      <c r="BR29" s="118">
        <v>0</v>
      </c>
      <c r="BS29" s="118">
        <v>0</v>
      </c>
      <c r="BT29" s="118">
        <v>0</v>
      </c>
      <c r="BU29" s="118">
        <v>0</v>
      </c>
      <c r="BV29" s="118">
        <v>0</v>
      </c>
      <c r="BW29" s="118">
        <v>0</v>
      </c>
      <c r="BX29" s="118">
        <v>0</v>
      </c>
      <c r="BY29" s="118">
        <v>0.22500000000000001</v>
      </c>
      <c r="BZ29" s="118">
        <v>0.1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</row>
    <row r="30" spans="1:84" x14ac:dyDescent="0.15">
      <c r="A30" t="s">
        <v>201</v>
      </c>
      <c r="B30" s="118">
        <v>0</v>
      </c>
      <c r="C30" s="118">
        <v>0</v>
      </c>
      <c r="D30" s="118">
        <v>0</v>
      </c>
      <c r="E30" s="118">
        <v>0</v>
      </c>
      <c r="F30" s="118">
        <v>0</v>
      </c>
      <c r="G30" s="118">
        <v>0</v>
      </c>
      <c r="H30" s="118">
        <v>0</v>
      </c>
      <c r="I30" s="118">
        <v>0</v>
      </c>
      <c r="J30" s="118">
        <v>0</v>
      </c>
      <c r="K30" s="118">
        <v>0</v>
      </c>
      <c r="L30" s="118">
        <v>0</v>
      </c>
      <c r="M30" s="118">
        <v>0</v>
      </c>
      <c r="N30" s="118">
        <v>0</v>
      </c>
      <c r="O30" s="118">
        <v>0</v>
      </c>
      <c r="P30" s="118">
        <v>0</v>
      </c>
      <c r="Q30" s="118">
        <v>0</v>
      </c>
      <c r="R30" s="118">
        <v>5.687543491494778E-2</v>
      </c>
      <c r="S30" s="118">
        <v>0</v>
      </c>
      <c r="T30" s="118">
        <v>0</v>
      </c>
      <c r="U30" s="118">
        <v>0</v>
      </c>
      <c r="V30" s="118">
        <v>0</v>
      </c>
      <c r="W30" s="118">
        <v>0</v>
      </c>
      <c r="X30" s="118">
        <v>0</v>
      </c>
      <c r="Y30" s="118">
        <v>0</v>
      </c>
      <c r="Z30" s="118">
        <v>0</v>
      </c>
      <c r="AA30" s="118">
        <v>0</v>
      </c>
      <c r="AB30" s="118">
        <v>0</v>
      </c>
      <c r="AC30" s="118">
        <v>0</v>
      </c>
      <c r="AD30" s="222">
        <v>0</v>
      </c>
      <c r="AE30" s="118">
        <v>0</v>
      </c>
      <c r="AF30" s="118">
        <v>0</v>
      </c>
      <c r="AG30" s="118">
        <v>0</v>
      </c>
      <c r="AH30" s="118">
        <v>1.6800872994936652E-2</v>
      </c>
      <c r="AI30" s="118">
        <v>0</v>
      </c>
      <c r="AJ30" s="118">
        <v>0</v>
      </c>
      <c r="AK30" s="118">
        <v>1.6728069092631699E-2</v>
      </c>
      <c r="AL30" s="118">
        <v>1.1007069462951657E-2</v>
      </c>
      <c r="AM30" s="118">
        <v>0</v>
      </c>
      <c r="AN30" s="118">
        <v>6.691227637052679E-3</v>
      </c>
      <c r="AO30" s="118">
        <v>1.3382455274105358E-2</v>
      </c>
      <c r="AP30" s="118">
        <v>1.5021806045183266E-2</v>
      </c>
      <c r="AQ30" s="118">
        <v>6.691227637052679E-3</v>
      </c>
      <c r="AR30" s="118">
        <v>0</v>
      </c>
      <c r="AS30" s="118">
        <v>0</v>
      </c>
      <c r="AT30" s="118">
        <v>1.0116711294268698E-3</v>
      </c>
      <c r="AU30" s="118">
        <v>0</v>
      </c>
      <c r="AV30" s="118">
        <v>0</v>
      </c>
      <c r="AW30" s="118">
        <v>0</v>
      </c>
      <c r="AX30" s="118">
        <v>0</v>
      </c>
      <c r="AY30" s="118">
        <v>0</v>
      </c>
      <c r="AZ30" s="118">
        <v>0</v>
      </c>
      <c r="BA30" s="118">
        <v>0</v>
      </c>
      <c r="BB30" s="118">
        <v>0</v>
      </c>
      <c r="BC30" s="118">
        <v>0</v>
      </c>
      <c r="BD30" s="118">
        <v>0</v>
      </c>
      <c r="BE30" s="118">
        <v>0</v>
      </c>
      <c r="BF30" s="118">
        <v>0</v>
      </c>
      <c r="BG30" s="118">
        <v>0</v>
      </c>
      <c r="BH30" s="118">
        <v>0</v>
      </c>
      <c r="BI30" s="118">
        <v>0</v>
      </c>
      <c r="BJ30" s="118">
        <v>0</v>
      </c>
      <c r="BK30" s="118">
        <v>0</v>
      </c>
      <c r="BL30" s="118">
        <v>0</v>
      </c>
      <c r="BM30" s="118">
        <v>0</v>
      </c>
      <c r="BN30" s="118">
        <v>0</v>
      </c>
      <c r="BO30" s="118">
        <v>0</v>
      </c>
      <c r="BP30" s="118">
        <v>0</v>
      </c>
      <c r="BQ30" s="118">
        <v>0</v>
      </c>
      <c r="BR30" s="118">
        <v>0</v>
      </c>
      <c r="BS30" s="118">
        <v>0</v>
      </c>
      <c r="BT30" s="118">
        <v>0</v>
      </c>
      <c r="BU30" s="118">
        <v>0</v>
      </c>
      <c r="BV30" s="118">
        <v>0</v>
      </c>
      <c r="BW30" s="118">
        <v>2.2081051202273841E-2</v>
      </c>
      <c r="BX30" s="118">
        <v>2.3419296729684378E-2</v>
      </c>
      <c r="BY30" s="118">
        <v>1.6728069092631697E-3</v>
      </c>
      <c r="BZ30" s="118">
        <v>1.4720700801515893E-2</v>
      </c>
      <c r="CA30">
        <v>8.3640345463158496E-3</v>
      </c>
      <c r="CB30">
        <v>0</v>
      </c>
      <c r="CC30">
        <v>0</v>
      </c>
      <c r="CD30">
        <v>0</v>
      </c>
      <c r="CE30">
        <v>0</v>
      </c>
      <c r="CF30">
        <v>0</v>
      </c>
    </row>
    <row r="31" spans="1:84" x14ac:dyDescent="0.15">
      <c r="A31" t="s">
        <v>202</v>
      </c>
      <c r="B31" s="118">
        <v>0</v>
      </c>
      <c r="C31" s="118">
        <v>0</v>
      </c>
      <c r="D31" s="118">
        <v>0</v>
      </c>
      <c r="E31" s="118">
        <v>0</v>
      </c>
      <c r="F31" s="118">
        <v>0</v>
      </c>
      <c r="G31" s="118">
        <v>0</v>
      </c>
      <c r="H31" s="118">
        <v>0</v>
      </c>
      <c r="I31" s="118">
        <v>0</v>
      </c>
      <c r="J31" s="118">
        <v>0</v>
      </c>
      <c r="K31" s="118">
        <v>0</v>
      </c>
      <c r="L31" s="118">
        <v>0</v>
      </c>
      <c r="M31" s="118">
        <v>0</v>
      </c>
      <c r="N31" s="118">
        <v>0</v>
      </c>
      <c r="O31" s="118">
        <v>0</v>
      </c>
      <c r="P31" s="118">
        <v>0</v>
      </c>
      <c r="Q31" s="118">
        <v>0</v>
      </c>
      <c r="R31" s="118">
        <v>0</v>
      </c>
      <c r="S31" s="118">
        <v>0</v>
      </c>
      <c r="T31" s="118">
        <v>0</v>
      </c>
      <c r="U31" s="118">
        <v>0</v>
      </c>
      <c r="V31" s="118">
        <v>0</v>
      </c>
      <c r="W31" s="118">
        <v>0</v>
      </c>
      <c r="X31" s="118">
        <v>0</v>
      </c>
      <c r="Y31" s="118">
        <v>0</v>
      </c>
      <c r="Z31" s="118">
        <v>0</v>
      </c>
      <c r="AA31" s="118">
        <v>0</v>
      </c>
      <c r="AB31" s="118">
        <v>0</v>
      </c>
      <c r="AC31" s="118">
        <v>0</v>
      </c>
      <c r="AD31" s="118">
        <v>0</v>
      </c>
      <c r="AE31" s="222">
        <v>0</v>
      </c>
      <c r="AF31" s="118">
        <v>0</v>
      </c>
      <c r="AG31" s="118">
        <v>0</v>
      </c>
      <c r="AH31" s="118">
        <v>4.1717375725753077E-2</v>
      </c>
      <c r="AI31" s="118">
        <v>0</v>
      </c>
      <c r="AJ31" s="118">
        <v>0</v>
      </c>
      <c r="AK31" s="118">
        <v>0</v>
      </c>
      <c r="AL31" s="118">
        <v>0</v>
      </c>
      <c r="AM31" s="118">
        <v>0</v>
      </c>
      <c r="AN31" s="118">
        <v>0</v>
      </c>
      <c r="AO31" s="118">
        <v>4.9302353130435449E-3</v>
      </c>
      <c r="AP31" s="118">
        <v>0</v>
      </c>
      <c r="AQ31" s="118">
        <v>1.8962443511705944E-2</v>
      </c>
      <c r="AR31" s="118">
        <v>0</v>
      </c>
      <c r="AS31" s="118">
        <v>0</v>
      </c>
      <c r="AT31" s="118">
        <v>0</v>
      </c>
      <c r="AU31" s="118">
        <v>0</v>
      </c>
      <c r="AV31" s="118">
        <v>0</v>
      </c>
      <c r="AW31" s="118">
        <v>0</v>
      </c>
      <c r="AX31" s="118">
        <v>0</v>
      </c>
      <c r="AY31" s="118">
        <v>0</v>
      </c>
      <c r="AZ31" s="118">
        <v>0</v>
      </c>
      <c r="BA31" s="118">
        <v>0</v>
      </c>
      <c r="BB31" s="118">
        <v>0</v>
      </c>
      <c r="BC31" s="118">
        <v>0</v>
      </c>
      <c r="BD31" s="118">
        <v>0</v>
      </c>
      <c r="BE31" s="118">
        <v>0</v>
      </c>
      <c r="BF31" s="118">
        <v>0</v>
      </c>
      <c r="BG31" s="118">
        <v>0</v>
      </c>
      <c r="BH31" s="118">
        <v>0</v>
      </c>
      <c r="BI31" s="118">
        <v>0</v>
      </c>
      <c r="BJ31" s="118">
        <v>0</v>
      </c>
      <c r="BK31" s="118">
        <v>0</v>
      </c>
      <c r="BL31" s="118">
        <v>0</v>
      </c>
      <c r="BM31" s="118">
        <v>0</v>
      </c>
      <c r="BN31" s="118">
        <v>0</v>
      </c>
      <c r="BO31" s="118">
        <v>0</v>
      </c>
      <c r="BP31" s="118">
        <v>0</v>
      </c>
      <c r="BQ31" s="118">
        <v>0</v>
      </c>
      <c r="BR31" s="118">
        <v>0</v>
      </c>
      <c r="BS31" s="118">
        <v>0</v>
      </c>
      <c r="BT31" s="118">
        <v>0</v>
      </c>
      <c r="BU31" s="118">
        <v>0</v>
      </c>
      <c r="BV31" s="118">
        <v>0</v>
      </c>
      <c r="BW31" s="118">
        <v>3.7924887023411888E-2</v>
      </c>
      <c r="BX31" s="170">
        <v>0.06</v>
      </c>
      <c r="BY31" s="118">
        <v>3.9441882504348359E-2</v>
      </c>
      <c r="BZ31" s="118">
        <v>1.4411457068896516E-2</v>
      </c>
      <c r="CA31">
        <v>0.17824696901003584</v>
      </c>
      <c r="CB31">
        <v>0</v>
      </c>
      <c r="CC31">
        <v>0</v>
      </c>
      <c r="CD31">
        <v>0</v>
      </c>
      <c r="CE31">
        <v>0</v>
      </c>
      <c r="CF31">
        <v>0</v>
      </c>
    </row>
    <row r="32" spans="1:84" x14ac:dyDescent="0.15">
      <c r="A32" t="s">
        <v>203</v>
      </c>
      <c r="B32" s="118">
        <v>0</v>
      </c>
      <c r="C32" s="118">
        <v>0</v>
      </c>
      <c r="D32" s="118">
        <v>0</v>
      </c>
      <c r="E32" s="118">
        <v>0</v>
      </c>
      <c r="F32" s="118">
        <v>0</v>
      </c>
      <c r="G32" s="118">
        <v>0</v>
      </c>
      <c r="H32" s="118">
        <v>0</v>
      </c>
      <c r="I32" s="118">
        <v>0</v>
      </c>
      <c r="J32" s="118">
        <v>0</v>
      </c>
      <c r="K32" s="118">
        <v>0</v>
      </c>
      <c r="L32" s="118">
        <v>0</v>
      </c>
      <c r="M32" s="118">
        <v>0</v>
      </c>
      <c r="N32" s="118">
        <v>0</v>
      </c>
      <c r="O32" s="118">
        <v>0</v>
      </c>
      <c r="P32" s="118">
        <v>0</v>
      </c>
      <c r="Q32" s="118">
        <v>0</v>
      </c>
      <c r="R32" s="118">
        <v>0</v>
      </c>
      <c r="S32" s="118">
        <v>0</v>
      </c>
      <c r="T32" s="118">
        <v>0</v>
      </c>
      <c r="U32" s="118">
        <v>0</v>
      </c>
      <c r="V32" s="118">
        <v>0</v>
      </c>
      <c r="W32" s="118">
        <v>0</v>
      </c>
      <c r="X32" s="118">
        <v>0</v>
      </c>
      <c r="Y32" s="118">
        <v>0</v>
      </c>
      <c r="Z32" s="118">
        <v>0</v>
      </c>
      <c r="AA32" s="118">
        <v>0</v>
      </c>
      <c r="AB32" s="118">
        <v>0</v>
      </c>
      <c r="AC32" s="118">
        <v>0</v>
      </c>
      <c r="AD32" s="118">
        <v>0</v>
      </c>
      <c r="AE32" s="118">
        <v>0</v>
      </c>
      <c r="AF32" s="222">
        <v>0</v>
      </c>
      <c r="AG32" s="118">
        <v>0</v>
      </c>
      <c r="AH32" s="118">
        <v>9.9919799966353973E-3</v>
      </c>
      <c r="AI32" s="118">
        <v>0</v>
      </c>
      <c r="AJ32" s="118">
        <v>0</v>
      </c>
      <c r="AK32" s="118">
        <v>0</v>
      </c>
      <c r="AL32" s="118">
        <v>0</v>
      </c>
      <c r="AM32" s="118">
        <v>0</v>
      </c>
      <c r="AN32" s="118">
        <v>0</v>
      </c>
      <c r="AO32" s="118">
        <v>1.1808703632387287E-3</v>
      </c>
      <c r="AP32" s="118">
        <v>0</v>
      </c>
      <c r="AQ32" s="118">
        <v>4.5418090893797258E-3</v>
      </c>
      <c r="AR32" s="118">
        <v>0</v>
      </c>
      <c r="AS32" s="118">
        <v>0</v>
      </c>
      <c r="AT32" s="118">
        <v>0</v>
      </c>
      <c r="AU32" s="118">
        <v>0</v>
      </c>
      <c r="AV32" s="118">
        <v>0</v>
      </c>
      <c r="AW32" s="118">
        <v>0</v>
      </c>
      <c r="AX32" s="118">
        <v>0</v>
      </c>
      <c r="AY32" s="118">
        <v>0</v>
      </c>
      <c r="AZ32" s="118">
        <v>0</v>
      </c>
      <c r="BA32" s="118">
        <v>0</v>
      </c>
      <c r="BB32" s="118">
        <v>0</v>
      </c>
      <c r="BC32" s="118">
        <v>0</v>
      </c>
      <c r="BD32" s="118">
        <v>0</v>
      </c>
      <c r="BE32" s="118">
        <v>0</v>
      </c>
      <c r="BF32" s="118">
        <v>0</v>
      </c>
      <c r="BG32" s="118">
        <v>0</v>
      </c>
      <c r="BH32" s="118">
        <v>0</v>
      </c>
      <c r="BI32" s="118">
        <v>0</v>
      </c>
      <c r="BJ32" s="118">
        <v>0</v>
      </c>
      <c r="BK32" s="118">
        <v>0</v>
      </c>
      <c r="BL32" s="118">
        <v>0</v>
      </c>
      <c r="BM32" s="118">
        <v>0</v>
      </c>
      <c r="BN32" s="118">
        <v>0</v>
      </c>
      <c r="BO32" s="118">
        <v>0</v>
      </c>
      <c r="BP32" s="118">
        <v>0</v>
      </c>
      <c r="BQ32" s="118">
        <v>0</v>
      </c>
      <c r="BR32" s="118">
        <v>0</v>
      </c>
      <c r="BS32" s="118">
        <v>0</v>
      </c>
      <c r="BT32" s="118">
        <v>0</v>
      </c>
      <c r="BU32" s="118">
        <v>0</v>
      </c>
      <c r="BV32" s="118">
        <v>0</v>
      </c>
      <c r="BW32" s="118">
        <v>9.0836181787594516E-3</v>
      </c>
      <c r="BX32" s="170">
        <v>1.0900341814511341E-2</v>
      </c>
      <c r="BY32" s="118">
        <v>9.4469629059098295E-3</v>
      </c>
      <c r="BZ32" s="118">
        <v>3.4517749079285916E-3</v>
      </c>
      <c r="CA32">
        <v>4.2693005440169421E-2</v>
      </c>
      <c r="CB32">
        <v>0</v>
      </c>
      <c r="CC32">
        <v>0</v>
      </c>
      <c r="CD32">
        <v>0</v>
      </c>
      <c r="CE32">
        <v>0</v>
      </c>
      <c r="CF32">
        <v>0</v>
      </c>
    </row>
    <row r="33" spans="1:84" x14ac:dyDescent="0.15">
      <c r="A33" t="s">
        <v>204</v>
      </c>
      <c r="B33" s="118">
        <v>0</v>
      </c>
      <c r="C33" s="118">
        <v>0</v>
      </c>
      <c r="D33" s="118">
        <v>0</v>
      </c>
      <c r="E33" s="118">
        <v>0</v>
      </c>
      <c r="F33" s="118">
        <v>0</v>
      </c>
      <c r="G33" s="118">
        <v>0</v>
      </c>
      <c r="H33" s="118">
        <v>0</v>
      </c>
      <c r="I33" s="118">
        <v>0</v>
      </c>
      <c r="J33" s="118">
        <v>0</v>
      </c>
      <c r="K33" s="118">
        <v>0</v>
      </c>
      <c r="L33" s="118">
        <v>0</v>
      </c>
      <c r="M33" s="118">
        <v>0</v>
      </c>
      <c r="N33" s="118">
        <v>0</v>
      </c>
      <c r="O33" s="118">
        <v>0</v>
      </c>
      <c r="P33" s="118">
        <v>0</v>
      </c>
      <c r="Q33" s="118">
        <v>0</v>
      </c>
      <c r="R33" s="118">
        <v>0</v>
      </c>
      <c r="S33" s="118">
        <v>0</v>
      </c>
      <c r="T33" s="118">
        <v>0</v>
      </c>
      <c r="U33" s="118">
        <v>0</v>
      </c>
      <c r="V33" s="118">
        <v>0</v>
      </c>
      <c r="W33" s="118">
        <v>0</v>
      </c>
      <c r="X33" s="118">
        <v>0</v>
      </c>
      <c r="Y33" s="118">
        <v>0</v>
      </c>
      <c r="Z33" s="118">
        <v>0</v>
      </c>
      <c r="AA33" s="118">
        <v>0</v>
      </c>
      <c r="AB33" s="118">
        <v>0</v>
      </c>
      <c r="AC33" s="118">
        <v>0</v>
      </c>
      <c r="AD33" s="118">
        <v>0</v>
      </c>
      <c r="AE33" s="118">
        <v>0</v>
      </c>
      <c r="AF33" s="118">
        <v>0</v>
      </c>
      <c r="AG33" s="222">
        <v>0</v>
      </c>
      <c r="AH33" s="118">
        <v>3.2906442776115333E-3</v>
      </c>
      <c r="AI33" s="118">
        <v>0</v>
      </c>
      <c r="AJ33" s="118">
        <v>0</v>
      </c>
      <c r="AK33" s="118">
        <v>0</v>
      </c>
      <c r="AL33" s="118">
        <v>0</v>
      </c>
      <c r="AM33" s="118">
        <v>0</v>
      </c>
      <c r="AN33" s="118">
        <v>0</v>
      </c>
      <c r="AO33" s="118">
        <v>3.8889432371772665E-4</v>
      </c>
      <c r="AP33" s="118">
        <v>0</v>
      </c>
      <c r="AQ33" s="118">
        <v>1.4957473989143334E-3</v>
      </c>
      <c r="AR33" s="118">
        <v>0</v>
      </c>
      <c r="AS33" s="118">
        <v>0</v>
      </c>
      <c r="AT33" s="118">
        <v>0</v>
      </c>
      <c r="AU33" s="118">
        <v>0</v>
      </c>
      <c r="AV33" s="118">
        <v>0</v>
      </c>
      <c r="AW33" s="118">
        <v>0</v>
      </c>
      <c r="AX33" s="118">
        <v>0</v>
      </c>
      <c r="AY33" s="118">
        <v>0</v>
      </c>
      <c r="AZ33" s="118">
        <v>0</v>
      </c>
      <c r="BA33" s="118">
        <v>0</v>
      </c>
      <c r="BB33" s="118">
        <v>0</v>
      </c>
      <c r="BC33" s="118">
        <v>0</v>
      </c>
      <c r="BD33" s="118">
        <v>0</v>
      </c>
      <c r="BE33" s="118">
        <v>0</v>
      </c>
      <c r="BF33" s="118">
        <v>0</v>
      </c>
      <c r="BG33" s="118">
        <v>0</v>
      </c>
      <c r="BH33" s="118">
        <v>0</v>
      </c>
      <c r="BI33" s="118">
        <v>0</v>
      </c>
      <c r="BJ33" s="118">
        <v>0</v>
      </c>
      <c r="BK33" s="118">
        <v>0</v>
      </c>
      <c r="BL33" s="118">
        <v>0</v>
      </c>
      <c r="BM33" s="118">
        <v>0</v>
      </c>
      <c r="BN33" s="118">
        <v>0</v>
      </c>
      <c r="BO33" s="118">
        <v>0</v>
      </c>
      <c r="BP33" s="118">
        <v>0</v>
      </c>
      <c r="BQ33" s="118">
        <v>0</v>
      </c>
      <c r="BR33" s="118">
        <v>0</v>
      </c>
      <c r="BS33" s="118">
        <v>0</v>
      </c>
      <c r="BT33" s="118">
        <v>0</v>
      </c>
      <c r="BU33" s="118">
        <v>0</v>
      </c>
      <c r="BV33" s="118">
        <v>0</v>
      </c>
      <c r="BW33" s="118">
        <v>2.9914947978286668E-3</v>
      </c>
      <c r="BX33" s="170">
        <v>3.5897937573943998E-3</v>
      </c>
      <c r="BY33" s="118">
        <v>3.1111545897418132E-3</v>
      </c>
      <c r="BZ33" s="118">
        <v>1.1367680231748935E-3</v>
      </c>
      <c r="CA33">
        <v>1.4060025549794733E-2</v>
      </c>
      <c r="CB33">
        <v>0</v>
      </c>
      <c r="CC33">
        <v>0</v>
      </c>
      <c r="CD33">
        <v>0</v>
      </c>
      <c r="CE33">
        <v>0</v>
      </c>
      <c r="CF33">
        <v>0</v>
      </c>
    </row>
    <row r="34" spans="1:84" x14ac:dyDescent="0.15">
      <c r="A34" t="s">
        <v>205</v>
      </c>
      <c r="B34" s="118">
        <v>0</v>
      </c>
      <c r="C34" s="118">
        <v>0</v>
      </c>
      <c r="D34" s="118">
        <v>0</v>
      </c>
      <c r="E34" s="118">
        <v>0</v>
      </c>
      <c r="F34" s="118">
        <v>0</v>
      </c>
      <c r="G34" s="118">
        <v>0</v>
      </c>
      <c r="H34" s="118">
        <v>0</v>
      </c>
      <c r="I34" s="118">
        <v>0</v>
      </c>
      <c r="J34" s="118">
        <v>0</v>
      </c>
      <c r="K34" s="118">
        <v>0</v>
      </c>
      <c r="L34" s="118">
        <v>0</v>
      </c>
      <c r="M34" s="118">
        <v>0</v>
      </c>
      <c r="N34" s="118">
        <v>0</v>
      </c>
      <c r="O34" s="118">
        <v>0</v>
      </c>
      <c r="P34" s="118">
        <v>0</v>
      </c>
      <c r="Q34" s="118">
        <v>0</v>
      </c>
      <c r="R34" s="118">
        <v>0</v>
      </c>
      <c r="S34" s="118">
        <v>0</v>
      </c>
      <c r="T34" s="118">
        <v>0</v>
      </c>
      <c r="U34" s="118">
        <v>0</v>
      </c>
      <c r="V34" s="118">
        <v>0</v>
      </c>
      <c r="W34" s="118">
        <v>0</v>
      </c>
      <c r="X34" s="118">
        <v>0</v>
      </c>
      <c r="Y34" s="118">
        <v>0</v>
      </c>
      <c r="Z34" s="118">
        <v>0</v>
      </c>
      <c r="AA34" s="118">
        <v>0</v>
      </c>
      <c r="AB34" s="118">
        <v>0</v>
      </c>
      <c r="AC34" s="118">
        <v>0</v>
      </c>
      <c r="AD34" s="118">
        <v>0</v>
      </c>
      <c r="AE34" s="118">
        <v>0</v>
      </c>
      <c r="AF34" s="118">
        <v>0</v>
      </c>
      <c r="AG34" s="118">
        <v>0</v>
      </c>
      <c r="AH34" s="222">
        <v>0</v>
      </c>
      <c r="AI34" s="118">
        <v>0</v>
      </c>
      <c r="AJ34" s="118">
        <v>0</v>
      </c>
      <c r="AK34" s="118">
        <v>0</v>
      </c>
      <c r="AL34" s="118">
        <v>0</v>
      </c>
      <c r="AM34" s="118">
        <v>0</v>
      </c>
      <c r="AN34" s="118">
        <v>0</v>
      </c>
      <c r="AO34" s="118">
        <v>0</v>
      </c>
      <c r="AP34" s="118">
        <v>0</v>
      </c>
      <c r="AQ34" s="118">
        <v>0</v>
      </c>
      <c r="AR34" s="118">
        <v>0</v>
      </c>
      <c r="AS34" s="118">
        <v>0</v>
      </c>
      <c r="AT34" s="118">
        <v>0</v>
      </c>
      <c r="AU34" s="118">
        <v>0</v>
      </c>
      <c r="AV34" s="118">
        <v>0</v>
      </c>
      <c r="AW34" s="118">
        <v>0</v>
      </c>
      <c r="AX34" s="118">
        <v>0</v>
      </c>
      <c r="AY34" s="118">
        <v>0</v>
      </c>
      <c r="AZ34" s="118">
        <v>0</v>
      </c>
      <c r="BA34" s="118">
        <v>0</v>
      </c>
      <c r="BB34" s="118">
        <v>0</v>
      </c>
      <c r="BC34" s="118">
        <v>0</v>
      </c>
      <c r="BD34" s="118">
        <v>0</v>
      </c>
      <c r="BE34" s="118">
        <v>0</v>
      </c>
      <c r="BF34" s="118">
        <v>0</v>
      </c>
      <c r="BG34" s="118">
        <v>0</v>
      </c>
      <c r="BH34" s="118">
        <v>0</v>
      </c>
      <c r="BI34" s="118">
        <v>0</v>
      </c>
      <c r="BJ34" s="118">
        <v>0</v>
      </c>
      <c r="BK34" s="118">
        <v>0</v>
      </c>
      <c r="BL34" s="118">
        <v>0</v>
      </c>
      <c r="BM34" s="118">
        <v>0</v>
      </c>
      <c r="BN34" s="118">
        <v>0</v>
      </c>
      <c r="BO34" s="118">
        <v>0</v>
      </c>
      <c r="BP34" s="118">
        <v>0</v>
      </c>
      <c r="BQ34" s="118">
        <v>0</v>
      </c>
      <c r="BR34" s="118">
        <v>0</v>
      </c>
      <c r="BS34" s="118">
        <v>0</v>
      </c>
      <c r="BT34" s="118">
        <v>0</v>
      </c>
      <c r="BU34" s="118">
        <v>0</v>
      </c>
      <c r="BV34" s="118">
        <v>0</v>
      </c>
      <c r="BW34" s="118">
        <v>0</v>
      </c>
      <c r="BX34" s="118">
        <v>0</v>
      </c>
      <c r="BY34" s="118">
        <v>0</v>
      </c>
      <c r="BZ34" s="118">
        <v>1E-3</v>
      </c>
      <c r="CA34">
        <v>3.2500000000000001E-2</v>
      </c>
      <c r="CB34">
        <v>0</v>
      </c>
      <c r="CC34">
        <v>0</v>
      </c>
      <c r="CD34">
        <v>0</v>
      </c>
      <c r="CE34">
        <v>0</v>
      </c>
      <c r="CF34">
        <v>0</v>
      </c>
    </row>
    <row r="35" spans="1:84" x14ac:dyDescent="0.15">
      <c r="A35" t="s">
        <v>206</v>
      </c>
      <c r="B35" s="118">
        <v>0</v>
      </c>
      <c r="C35" s="118">
        <v>0</v>
      </c>
      <c r="D35" s="118">
        <v>0</v>
      </c>
      <c r="E35" s="118">
        <v>0</v>
      </c>
      <c r="F35" s="118">
        <v>0</v>
      </c>
      <c r="G35" s="118">
        <v>0</v>
      </c>
      <c r="H35" s="118">
        <v>0</v>
      </c>
      <c r="I35" s="118">
        <v>0</v>
      </c>
      <c r="J35" s="118">
        <v>0</v>
      </c>
      <c r="K35" s="118">
        <v>0</v>
      </c>
      <c r="L35" s="118">
        <v>0</v>
      </c>
      <c r="M35" s="118">
        <v>0</v>
      </c>
      <c r="N35" s="118">
        <v>0</v>
      </c>
      <c r="O35" s="118">
        <v>0</v>
      </c>
      <c r="P35" s="118">
        <v>0</v>
      </c>
      <c r="Q35" s="118">
        <v>0</v>
      </c>
      <c r="R35" s="118">
        <v>4.9104004575862021E-3</v>
      </c>
      <c r="S35" s="118">
        <v>0</v>
      </c>
      <c r="T35" s="118">
        <v>0</v>
      </c>
      <c r="U35" s="118">
        <v>0</v>
      </c>
      <c r="V35" s="118">
        <v>0</v>
      </c>
      <c r="W35" s="118">
        <v>0</v>
      </c>
      <c r="X35" s="118">
        <v>0</v>
      </c>
      <c r="Y35" s="118">
        <v>0</v>
      </c>
      <c r="Z35" s="118">
        <v>0</v>
      </c>
      <c r="AA35" s="118">
        <v>0</v>
      </c>
      <c r="AB35" s="118">
        <v>0</v>
      </c>
      <c r="AC35" s="118">
        <v>0</v>
      </c>
      <c r="AD35" s="118">
        <v>0</v>
      </c>
      <c r="AE35" s="118">
        <v>0</v>
      </c>
      <c r="AF35" s="118">
        <v>0</v>
      </c>
      <c r="AG35" s="118">
        <v>0</v>
      </c>
      <c r="AH35" s="118">
        <v>3.1131938901096518E-2</v>
      </c>
      <c r="AI35" s="222">
        <v>0</v>
      </c>
      <c r="AJ35" s="118">
        <v>0</v>
      </c>
      <c r="AK35" s="118">
        <v>0</v>
      </c>
      <c r="AL35" s="118">
        <v>0</v>
      </c>
      <c r="AM35" s="118">
        <v>0</v>
      </c>
      <c r="AN35" s="118">
        <v>4.9104004575862019E-4</v>
      </c>
      <c r="AO35" s="118">
        <v>0</v>
      </c>
      <c r="AP35" s="118">
        <v>0</v>
      </c>
      <c r="AQ35" s="118">
        <v>0</v>
      </c>
      <c r="AR35" s="118">
        <v>0</v>
      </c>
      <c r="AS35" s="118">
        <v>0</v>
      </c>
      <c r="AT35" s="118">
        <v>0</v>
      </c>
      <c r="AU35" s="118">
        <v>0</v>
      </c>
      <c r="AV35" s="118">
        <v>0</v>
      </c>
      <c r="AW35" s="118">
        <v>0</v>
      </c>
      <c r="AX35" s="118">
        <v>0</v>
      </c>
      <c r="AY35" s="118">
        <v>0</v>
      </c>
      <c r="AZ35" s="118">
        <v>0</v>
      </c>
      <c r="BA35" s="118">
        <v>0</v>
      </c>
      <c r="BB35" s="118">
        <v>0</v>
      </c>
      <c r="BC35" s="118">
        <v>0</v>
      </c>
      <c r="BD35" s="118">
        <v>0</v>
      </c>
      <c r="BE35" s="118">
        <v>0</v>
      </c>
      <c r="BF35" s="118">
        <v>0</v>
      </c>
      <c r="BG35" s="118">
        <v>0</v>
      </c>
      <c r="BH35" s="118">
        <v>0</v>
      </c>
      <c r="BI35" s="118">
        <v>0</v>
      </c>
      <c r="BJ35" s="118">
        <v>0</v>
      </c>
      <c r="BK35" s="118">
        <v>0</v>
      </c>
      <c r="BL35" s="118">
        <v>0</v>
      </c>
      <c r="BM35" s="118">
        <v>0</v>
      </c>
      <c r="BN35" s="118">
        <v>0</v>
      </c>
      <c r="BO35" s="118">
        <v>0</v>
      </c>
      <c r="BP35" s="118">
        <v>0</v>
      </c>
      <c r="BQ35" s="118">
        <v>0</v>
      </c>
      <c r="BR35" s="118">
        <v>0</v>
      </c>
      <c r="BS35" s="118">
        <v>1E-3</v>
      </c>
      <c r="BT35" s="118">
        <v>0</v>
      </c>
      <c r="BU35" s="118">
        <v>0</v>
      </c>
      <c r="BV35" s="118">
        <v>9.8208009151724038E-4</v>
      </c>
      <c r="BW35" s="118">
        <v>0</v>
      </c>
      <c r="BX35" s="118">
        <v>6.6290406177413733E-2</v>
      </c>
      <c r="BY35" s="118">
        <v>5.4505445079206846E-3</v>
      </c>
      <c r="BZ35" s="118">
        <v>1.4731201372758606E-2</v>
      </c>
      <c r="CA35">
        <v>5.3768885010568909E-2</v>
      </c>
      <c r="CB35">
        <v>0</v>
      </c>
      <c r="CC35">
        <v>0</v>
      </c>
      <c r="CD35">
        <v>0</v>
      </c>
      <c r="CE35">
        <v>0</v>
      </c>
      <c r="CF35">
        <v>0</v>
      </c>
    </row>
    <row r="36" spans="1:84" x14ac:dyDescent="0.15">
      <c r="A36" t="s">
        <v>207</v>
      </c>
      <c r="B36" s="118">
        <v>0</v>
      </c>
      <c r="C36" s="118">
        <v>0</v>
      </c>
      <c r="D36" s="118">
        <v>0</v>
      </c>
      <c r="E36" s="118">
        <v>0</v>
      </c>
      <c r="F36" s="118">
        <v>0</v>
      </c>
      <c r="G36" s="118">
        <v>0</v>
      </c>
      <c r="H36" s="118">
        <v>0</v>
      </c>
      <c r="I36" s="118">
        <v>0</v>
      </c>
      <c r="J36" s="118">
        <v>0</v>
      </c>
      <c r="K36" s="118">
        <v>0</v>
      </c>
      <c r="L36" s="118">
        <v>0</v>
      </c>
      <c r="M36" s="118">
        <v>0</v>
      </c>
      <c r="N36" s="118">
        <v>0</v>
      </c>
      <c r="O36" s="118">
        <v>0</v>
      </c>
      <c r="P36" s="118">
        <v>0</v>
      </c>
      <c r="Q36" s="118">
        <v>0</v>
      </c>
      <c r="R36" s="118">
        <v>5.0895995424137972E-3</v>
      </c>
      <c r="S36" s="118">
        <v>0</v>
      </c>
      <c r="T36" s="118">
        <v>0</v>
      </c>
      <c r="U36" s="118">
        <v>0</v>
      </c>
      <c r="V36" s="118">
        <v>0</v>
      </c>
      <c r="W36" s="118">
        <v>0</v>
      </c>
      <c r="X36" s="118">
        <v>0</v>
      </c>
      <c r="Y36" s="118">
        <v>0</v>
      </c>
      <c r="Z36" s="118">
        <v>0</v>
      </c>
      <c r="AA36" s="118">
        <v>0</v>
      </c>
      <c r="AB36" s="118">
        <v>0</v>
      </c>
      <c r="AC36" s="118">
        <v>0</v>
      </c>
      <c r="AD36" s="118">
        <v>0</v>
      </c>
      <c r="AE36" s="118">
        <v>0</v>
      </c>
      <c r="AF36" s="118">
        <v>0</v>
      </c>
      <c r="AG36" s="118">
        <v>0</v>
      </c>
      <c r="AH36" s="118">
        <v>3.2268061098903476E-2</v>
      </c>
      <c r="AI36" s="118">
        <v>0</v>
      </c>
      <c r="AJ36" s="222">
        <v>0</v>
      </c>
      <c r="AK36" s="118">
        <v>0</v>
      </c>
      <c r="AL36" s="118">
        <v>0</v>
      </c>
      <c r="AM36" s="118">
        <v>0</v>
      </c>
      <c r="AN36" s="118">
        <v>5.0895995424137972E-4</v>
      </c>
      <c r="AO36" s="118">
        <v>0</v>
      </c>
      <c r="AP36" s="118">
        <v>0</v>
      </c>
      <c r="AQ36" s="118">
        <v>0</v>
      </c>
      <c r="AR36" s="118">
        <v>0</v>
      </c>
      <c r="AS36" s="118">
        <v>0</v>
      </c>
      <c r="AT36" s="118">
        <v>0</v>
      </c>
      <c r="AU36" s="118">
        <v>0</v>
      </c>
      <c r="AV36" s="118">
        <v>0</v>
      </c>
      <c r="AW36" s="118">
        <v>0</v>
      </c>
      <c r="AX36" s="118">
        <v>0</v>
      </c>
      <c r="AY36" s="118">
        <v>0</v>
      </c>
      <c r="AZ36" s="118">
        <v>0</v>
      </c>
      <c r="BA36" s="118">
        <v>0</v>
      </c>
      <c r="BB36" s="118">
        <v>0</v>
      </c>
      <c r="BC36" s="118">
        <v>0</v>
      </c>
      <c r="BD36" s="118">
        <v>0</v>
      </c>
      <c r="BE36" s="118">
        <v>0</v>
      </c>
      <c r="BF36" s="118">
        <v>0</v>
      </c>
      <c r="BG36" s="118">
        <v>0</v>
      </c>
      <c r="BH36" s="118">
        <v>0</v>
      </c>
      <c r="BI36" s="118">
        <v>0</v>
      </c>
      <c r="BJ36" s="118">
        <v>0</v>
      </c>
      <c r="BK36" s="118">
        <v>0</v>
      </c>
      <c r="BL36" s="118">
        <v>0</v>
      </c>
      <c r="BM36" s="118">
        <v>0</v>
      </c>
      <c r="BN36" s="118">
        <v>0</v>
      </c>
      <c r="BO36" s="118">
        <v>0</v>
      </c>
      <c r="BP36" s="118">
        <v>0</v>
      </c>
      <c r="BQ36" s="118">
        <v>0</v>
      </c>
      <c r="BR36" s="118">
        <v>0</v>
      </c>
      <c r="BS36" s="118">
        <v>0</v>
      </c>
      <c r="BT36" s="118">
        <v>0</v>
      </c>
      <c r="BU36" s="118">
        <v>0</v>
      </c>
      <c r="BV36" s="118">
        <v>1.0179199084827594E-3</v>
      </c>
      <c r="BW36" s="118">
        <v>0</v>
      </c>
      <c r="BX36" s="118">
        <v>6.8709593822586276E-2</v>
      </c>
      <c r="BY36" s="118">
        <v>5.6494554920793151E-3</v>
      </c>
      <c r="BZ36" s="118">
        <v>1.5268798627241391E-2</v>
      </c>
      <c r="CA36">
        <v>5.5731114989431084E-2</v>
      </c>
      <c r="CB36">
        <v>0</v>
      </c>
      <c r="CC36">
        <v>0</v>
      </c>
      <c r="CD36">
        <v>0</v>
      </c>
      <c r="CE36">
        <v>0</v>
      </c>
      <c r="CF36">
        <v>0</v>
      </c>
    </row>
    <row r="37" spans="1:84" x14ac:dyDescent="0.15">
      <c r="A37" t="s">
        <v>208</v>
      </c>
      <c r="B37" s="118">
        <v>0</v>
      </c>
      <c r="C37" s="118">
        <v>0</v>
      </c>
      <c r="D37" s="118">
        <v>0</v>
      </c>
      <c r="E37" s="118">
        <v>0</v>
      </c>
      <c r="F37" s="118">
        <v>0</v>
      </c>
      <c r="G37" s="118">
        <v>0</v>
      </c>
      <c r="H37" s="118">
        <v>0</v>
      </c>
      <c r="I37" s="118">
        <v>0</v>
      </c>
      <c r="J37" s="118">
        <v>0</v>
      </c>
      <c r="K37" s="118">
        <v>0</v>
      </c>
      <c r="L37" s="118">
        <v>0</v>
      </c>
      <c r="M37" s="118">
        <v>0</v>
      </c>
      <c r="N37" s="118">
        <v>0</v>
      </c>
      <c r="O37" s="118">
        <v>0</v>
      </c>
      <c r="P37" s="118">
        <v>0</v>
      </c>
      <c r="Q37" s="118">
        <v>0</v>
      </c>
      <c r="R37" s="118">
        <v>8.4370796189822961E-2</v>
      </c>
      <c r="S37" s="118">
        <v>0</v>
      </c>
      <c r="T37" s="118">
        <v>0</v>
      </c>
      <c r="U37" s="118">
        <v>0</v>
      </c>
      <c r="V37" s="118">
        <v>0</v>
      </c>
      <c r="W37" s="118">
        <v>0</v>
      </c>
      <c r="X37" s="118">
        <v>0</v>
      </c>
      <c r="Y37" s="118">
        <v>0</v>
      </c>
      <c r="Z37" s="118">
        <v>0</v>
      </c>
      <c r="AA37" s="118">
        <v>0</v>
      </c>
      <c r="AB37" s="118">
        <v>0</v>
      </c>
      <c r="AC37" s="118">
        <v>0</v>
      </c>
      <c r="AD37" s="118">
        <v>0</v>
      </c>
      <c r="AE37" s="118">
        <v>0</v>
      </c>
      <c r="AF37" s="118">
        <v>0</v>
      </c>
      <c r="AG37" s="118">
        <v>0</v>
      </c>
      <c r="AH37" s="118">
        <v>2.4922939637941267E-2</v>
      </c>
      <c r="AI37" s="118">
        <v>0</v>
      </c>
      <c r="AJ37" s="118">
        <v>0</v>
      </c>
      <c r="AK37" s="222">
        <v>2.4814940055830282E-2</v>
      </c>
      <c r="AL37" s="118">
        <v>1.6328230556736323E-2</v>
      </c>
      <c r="AM37" s="118">
        <v>0</v>
      </c>
      <c r="AN37" s="118">
        <v>9.9259760223321131E-3</v>
      </c>
      <c r="AO37" s="118">
        <v>1.9851952044664226E-2</v>
      </c>
      <c r="AP37" s="118">
        <v>2.2283816170135595E-2</v>
      </c>
      <c r="AQ37" s="118">
        <v>9.9259760223321131E-3</v>
      </c>
      <c r="AR37" s="118">
        <v>0</v>
      </c>
      <c r="AS37" s="118">
        <v>0</v>
      </c>
      <c r="AT37" s="118">
        <v>1.5007445446288735E-3</v>
      </c>
      <c r="AU37" s="118">
        <v>0</v>
      </c>
      <c r="AV37" s="118">
        <v>0</v>
      </c>
      <c r="AW37" s="118">
        <v>0</v>
      </c>
      <c r="AX37" s="118">
        <v>0</v>
      </c>
      <c r="AY37" s="118">
        <v>0</v>
      </c>
      <c r="AZ37" s="118">
        <v>0</v>
      </c>
      <c r="BA37" s="118">
        <v>0</v>
      </c>
      <c r="BB37" s="118">
        <v>0</v>
      </c>
      <c r="BC37" s="118">
        <v>0</v>
      </c>
      <c r="BD37" s="118">
        <v>0</v>
      </c>
      <c r="BE37" s="118">
        <v>0</v>
      </c>
      <c r="BF37" s="118">
        <v>0</v>
      </c>
      <c r="BG37" s="118">
        <v>0</v>
      </c>
      <c r="BH37" s="118">
        <v>0</v>
      </c>
      <c r="BI37" s="118">
        <v>0</v>
      </c>
      <c r="BJ37" s="118">
        <v>0</v>
      </c>
      <c r="BK37" s="118">
        <v>0</v>
      </c>
      <c r="BL37" s="118">
        <v>0</v>
      </c>
      <c r="BM37" s="118">
        <v>0</v>
      </c>
      <c r="BN37" s="118">
        <v>0</v>
      </c>
      <c r="BO37" s="118">
        <v>0</v>
      </c>
      <c r="BP37" s="118">
        <v>0</v>
      </c>
      <c r="BQ37" s="118">
        <v>0</v>
      </c>
      <c r="BR37" s="118">
        <v>0</v>
      </c>
      <c r="BS37" s="118">
        <v>0</v>
      </c>
      <c r="BT37" s="118">
        <v>0</v>
      </c>
      <c r="BU37" s="118">
        <v>0</v>
      </c>
      <c r="BV37" s="118">
        <v>0</v>
      </c>
      <c r="BW37" s="118">
        <v>3.2755720873695972E-2</v>
      </c>
      <c r="BX37" s="118">
        <v>3.4740916078162397E-2</v>
      </c>
      <c r="BY37" s="118">
        <v>2.4814940055830283E-3</v>
      </c>
      <c r="BZ37" s="118">
        <v>2.1837147249130648E-2</v>
      </c>
      <c r="CA37">
        <v>1.2407470027915141E-2</v>
      </c>
      <c r="CB37">
        <v>0</v>
      </c>
      <c r="CC37">
        <v>0</v>
      </c>
      <c r="CD37">
        <v>0</v>
      </c>
      <c r="CE37">
        <v>0</v>
      </c>
      <c r="CF37">
        <v>0</v>
      </c>
    </row>
    <row r="38" spans="1:84" x14ac:dyDescent="0.15">
      <c r="A38" t="s">
        <v>209</v>
      </c>
      <c r="B38" s="118">
        <v>0</v>
      </c>
      <c r="C38" s="118">
        <v>0</v>
      </c>
      <c r="D38" s="118">
        <v>0</v>
      </c>
      <c r="E38" s="118">
        <v>0</v>
      </c>
      <c r="F38" s="118">
        <v>0</v>
      </c>
      <c r="G38" s="118">
        <v>0</v>
      </c>
      <c r="H38" s="118">
        <v>0</v>
      </c>
      <c r="I38" s="118">
        <v>0</v>
      </c>
      <c r="J38" s="118">
        <v>0</v>
      </c>
      <c r="K38" s="118">
        <v>0</v>
      </c>
      <c r="L38" s="118">
        <v>0</v>
      </c>
      <c r="M38" s="118">
        <v>0</v>
      </c>
      <c r="N38" s="118">
        <v>0</v>
      </c>
      <c r="O38" s="118">
        <v>0</v>
      </c>
      <c r="P38" s="118">
        <v>0</v>
      </c>
      <c r="Q38" s="118">
        <v>0</v>
      </c>
      <c r="R38" s="118">
        <v>0</v>
      </c>
      <c r="S38" s="118">
        <v>0</v>
      </c>
      <c r="T38" s="118">
        <v>0</v>
      </c>
      <c r="U38" s="118">
        <v>0</v>
      </c>
      <c r="V38" s="118">
        <v>0</v>
      </c>
      <c r="W38" s="118">
        <v>0</v>
      </c>
      <c r="X38" s="118">
        <v>0</v>
      </c>
      <c r="Y38" s="118">
        <v>0</v>
      </c>
      <c r="Z38" s="118">
        <v>0</v>
      </c>
      <c r="AA38" s="118">
        <v>0</v>
      </c>
      <c r="AB38" s="118">
        <v>0</v>
      </c>
      <c r="AC38" s="118">
        <v>0</v>
      </c>
      <c r="AD38" s="118">
        <v>0</v>
      </c>
      <c r="AE38" s="118">
        <v>0</v>
      </c>
      <c r="AF38" s="118">
        <v>0</v>
      </c>
      <c r="AG38" s="118">
        <v>0</v>
      </c>
      <c r="AH38" s="118">
        <v>5.0217609641781047E-3</v>
      </c>
      <c r="AI38" s="118">
        <v>0</v>
      </c>
      <c r="AJ38" s="118">
        <v>0</v>
      </c>
      <c r="AK38" s="118">
        <v>0</v>
      </c>
      <c r="AL38" s="222">
        <v>0</v>
      </c>
      <c r="AM38" s="118">
        <v>0</v>
      </c>
      <c r="AN38" s="118">
        <v>0</v>
      </c>
      <c r="AO38" s="118">
        <v>0</v>
      </c>
      <c r="AP38" s="118">
        <v>0</v>
      </c>
      <c r="AQ38" s="118">
        <v>0</v>
      </c>
      <c r="AR38" s="118">
        <v>0</v>
      </c>
      <c r="AS38" s="118">
        <v>0</v>
      </c>
      <c r="AT38" s="118">
        <v>0</v>
      </c>
      <c r="AU38" s="118">
        <v>0</v>
      </c>
      <c r="AV38" s="118">
        <v>0</v>
      </c>
      <c r="AW38" s="118">
        <v>0</v>
      </c>
      <c r="AX38" s="118">
        <v>0</v>
      </c>
      <c r="AY38" s="118">
        <v>0</v>
      </c>
      <c r="AZ38" s="118">
        <v>0</v>
      </c>
      <c r="BA38" s="118">
        <v>0</v>
      </c>
      <c r="BB38" s="118">
        <v>0</v>
      </c>
      <c r="BC38" s="118">
        <v>0</v>
      </c>
      <c r="BD38" s="118">
        <v>0</v>
      </c>
      <c r="BE38" s="118">
        <v>0</v>
      </c>
      <c r="BF38" s="118">
        <v>0</v>
      </c>
      <c r="BG38" s="118">
        <v>0</v>
      </c>
      <c r="BH38" s="118">
        <v>0</v>
      </c>
      <c r="BI38" s="118">
        <v>0</v>
      </c>
      <c r="BJ38" s="118">
        <v>0</v>
      </c>
      <c r="BK38" s="118">
        <v>0</v>
      </c>
      <c r="BL38" s="118">
        <v>0</v>
      </c>
      <c r="BM38" s="118">
        <v>0</v>
      </c>
      <c r="BN38" s="118">
        <v>0</v>
      </c>
      <c r="BO38" s="118">
        <v>0</v>
      </c>
      <c r="BP38" s="118">
        <v>0</v>
      </c>
      <c r="BQ38" s="118">
        <v>0</v>
      </c>
      <c r="BR38" s="118">
        <v>0</v>
      </c>
      <c r="BS38" s="118">
        <v>0</v>
      </c>
      <c r="BT38" s="118">
        <v>0</v>
      </c>
      <c r="BU38" s="118">
        <v>0</v>
      </c>
      <c r="BV38" s="118">
        <v>0</v>
      </c>
      <c r="BW38" s="118">
        <v>2.5000000000000001E-2</v>
      </c>
      <c r="BX38" s="118">
        <v>0.1</v>
      </c>
      <c r="BY38" s="118">
        <v>0</v>
      </c>
      <c r="BZ38" s="118">
        <v>5.0000000000000001E-3</v>
      </c>
      <c r="CA38">
        <v>0.01</v>
      </c>
      <c r="CB38">
        <v>0</v>
      </c>
      <c r="CC38">
        <v>0</v>
      </c>
      <c r="CD38">
        <v>0</v>
      </c>
      <c r="CE38">
        <v>0</v>
      </c>
      <c r="CF38">
        <v>0</v>
      </c>
    </row>
    <row r="39" spans="1:84" x14ac:dyDescent="0.15">
      <c r="A39" t="s">
        <v>210</v>
      </c>
      <c r="B39" s="118">
        <v>0</v>
      </c>
      <c r="C39" s="118">
        <v>0</v>
      </c>
      <c r="D39" s="118">
        <v>0</v>
      </c>
      <c r="E39" s="118">
        <v>0</v>
      </c>
      <c r="F39" s="118">
        <v>0</v>
      </c>
      <c r="G39" s="118">
        <v>0</v>
      </c>
      <c r="H39" s="118">
        <v>0</v>
      </c>
      <c r="I39" s="118">
        <v>0</v>
      </c>
      <c r="J39" s="118">
        <v>0</v>
      </c>
      <c r="K39" s="118">
        <v>0</v>
      </c>
      <c r="L39" s="118">
        <v>0</v>
      </c>
      <c r="M39" s="118">
        <v>0</v>
      </c>
      <c r="N39" s="118">
        <v>0</v>
      </c>
      <c r="O39" s="118">
        <v>0</v>
      </c>
      <c r="P39" s="118">
        <v>0</v>
      </c>
      <c r="Q39" s="118">
        <v>0</v>
      </c>
      <c r="R39" s="118">
        <v>0.28000000000000003</v>
      </c>
      <c r="S39" s="118">
        <v>0</v>
      </c>
      <c r="T39" s="118">
        <v>0</v>
      </c>
      <c r="U39" s="118">
        <v>0</v>
      </c>
      <c r="V39" s="118">
        <v>0</v>
      </c>
      <c r="W39" s="118">
        <v>0</v>
      </c>
      <c r="X39" s="118">
        <v>0</v>
      </c>
      <c r="Y39" s="118">
        <v>0</v>
      </c>
      <c r="Z39" s="118">
        <v>0</v>
      </c>
      <c r="AA39" s="118">
        <v>0</v>
      </c>
      <c r="AB39" s="118">
        <v>0</v>
      </c>
      <c r="AC39" s="118">
        <v>0</v>
      </c>
      <c r="AD39" s="118">
        <v>0</v>
      </c>
      <c r="AE39" s="118">
        <v>0</v>
      </c>
      <c r="AF39" s="118">
        <v>1.0008674184293055E-2</v>
      </c>
      <c r="AG39" s="118">
        <v>0</v>
      </c>
      <c r="AH39" s="118">
        <v>0.25109999999999999</v>
      </c>
      <c r="AI39" s="118">
        <v>0</v>
      </c>
      <c r="AJ39" s="118">
        <v>0</v>
      </c>
      <c r="AK39" s="118">
        <v>0</v>
      </c>
      <c r="AL39" s="216">
        <v>0.08</v>
      </c>
      <c r="AM39" s="222">
        <v>0</v>
      </c>
      <c r="AN39" s="118">
        <v>2E-3</v>
      </c>
      <c r="AO39" s="216">
        <v>0.1</v>
      </c>
      <c r="AP39" s="118">
        <v>0.1</v>
      </c>
      <c r="AQ39" s="216">
        <v>0.22</v>
      </c>
      <c r="AR39" s="118">
        <v>0.05</v>
      </c>
      <c r="AS39" s="118">
        <v>0</v>
      </c>
      <c r="AT39" s="118">
        <v>0</v>
      </c>
      <c r="AU39" s="118">
        <v>0</v>
      </c>
      <c r="AV39" s="118">
        <v>0</v>
      </c>
      <c r="AW39" s="118">
        <v>0</v>
      </c>
      <c r="AX39" s="118">
        <v>0.05</v>
      </c>
      <c r="AY39" s="118">
        <v>0</v>
      </c>
      <c r="AZ39" s="118">
        <v>0</v>
      </c>
      <c r="BA39" s="118">
        <v>0</v>
      </c>
      <c r="BB39" s="118">
        <v>0</v>
      </c>
      <c r="BC39" s="118">
        <v>0</v>
      </c>
      <c r="BD39" s="118">
        <v>0</v>
      </c>
      <c r="BE39" s="118">
        <v>0</v>
      </c>
      <c r="BF39" s="118">
        <v>0</v>
      </c>
      <c r="BG39" s="118">
        <v>0</v>
      </c>
      <c r="BH39" s="118">
        <v>0</v>
      </c>
      <c r="BI39" s="118">
        <v>0</v>
      </c>
      <c r="BJ39" s="118">
        <v>0</v>
      </c>
      <c r="BK39" s="118">
        <v>0</v>
      </c>
      <c r="BL39" s="118">
        <v>0</v>
      </c>
      <c r="BM39" s="118">
        <v>0</v>
      </c>
      <c r="BN39" s="118">
        <v>0.01</v>
      </c>
      <c r="BO39" s="118">
        <v>0</v>
      </c>
      <c r="BP39" s="118">
        <v>2.0263424518743673E-3</v>
      </c>
      <c r="BQ39" s="118">
        <v>0</v>
      </c>
      <c r="BR39" s="118">
        <v>0</v>
      </c>
      <c r="BS39" s="118">
        <v>1.9999999999999996E-3</v>
      </c>
      <c r="BT39" s="118">
        <v>0</v>
      </c>
      <c r="BU39" s="118">
        <v>0</v>
      </c>
      <c r="BV39" s="118">
        <v>0</v>
      </c>
      <c r="BW39" s="118">
        <v>0.1</v>
      </c>
      <c r="BX39" s="118">
        <v>0.15</v>
      </c>
      <c r="BY39" s="118">
        <v>2.5000000000000001E-2</v>
      </c>
      <c r="BZ39" s="118">
        <v>0.1</v>
      </c>
      <c r="CA39">
        <v>0.08</v>
      </c>
      <c r="CB39">
        <v>0</v>
      </c>
      <c r="CC39">
        <v>0</v>
      </c>
      <c r="CD39">
        <v>0</v>
      </c>
      <c r="CE39">
        <v>0</v>
      </c>
      <c r="CF39">
        <v>0</v>
      </c>
    </row>
    <row r="40" spans="1:84" x14ac:dyDescent="0.15">
      <c r="A40" t="s">
        <v>211</v>
      </c>
      <c r="B40" s="118">
        <v>0</v>
      </c>
      <c r="C40" s="118">
        <v>0</v>
      </c>
      <c r="D40" s="118">
        <v>0</v>
      </c>
      <c r="E40" s="118">
        <v>0</v>
      </c>
      <c r="F40" s="118">
        <v>0</v>
      </c>
      <c r="G40" s="118">
        <v>0</v>
      </c>
      <c r="H40" s="118">
        <v>0</v>
      </c>
      <c r="I40" s="118">
        <v>0</v>
      </c>
      <c r="J40" s="118">
        <v>0</v>
      </c>
      <c r="K40" s="118">
        <v>0</v>
      </c>
      <c r="L40" s="118">
        <v>0</v>
      </c>
      <c r="M40" s="118">
        <v>0</v>
      </c>
      <c r="N40" s="118">
        <v>0</v>
      </c>
      <c r="O40" s="118">
        <v>0</v>
      </c>
      <c r="P40" s="118">
        <v>0</v>
      </c>
      <c r="Q40" s="118">
        <v>0</v>
      </c>
      <c r="R40" s="118">
        <v>0</v>
      </c>
      <c r="S40" s="118">
        <v>0</v>
      </c>
      <c r="T40" s="118">
        <v>0</v>
      </c>
      <c r="U40" s="118">
        <v>0</v>
      </c>
      <c r="V40" s="118">
        <v>0</v>
      </c>
      <c r="W40" s="118">
        <v>0</v>
      </c>
      <c r="X40" s="118">
        <v>0</v>
      </c>
      <c r="Y40" s="118">
        <v>0</v>
      </c>
      <c r="Z40" s="118">
        <v>0</v>
      </c>
      <c r="AA40" s="118">
        <v>0</v>
      </c>
      <c r="AB40" s="118">
        <v>0</v>
      </c>
      <c r="AC40" s="118">
        <v>0</v>
      </c>
      <c r="AD40" s="118">
        <v>0</v>
      </c>
      <c r="AE40" s="118">
        <v>0</v>
      </c>
      <c r="AF40" s="118">
        <v>0</v>
      </c>
      <c r="AG40" s="118">
        <v>0</v>
      </c>
      <c r="AH40" s="118">
        <v>1E-3</v>
      </c>
      <c r="AI40" s="118">
        <v>0</v>
      </c>
      <c r="AJ40" s="118">
        <v>0</v>
      </c>
      <c r="AK40" s="118">
        <v>0</v>
      </c>
      <c r="AL40" s="118">
        <v>0</v>
      </c>
      <c r="AM40" s="118">
        <v>0</v>
      </c>
      <c r="AN40" s="222">
        <v>0</v>
      </c>
      <c r="AO40" s="118">
        <v>0</v>
      </c>
      <c r="AP40" s="118">
        <v>0</v>
      </c>
      <c r="AQ40" s="118">
        <v>0</v>
      </c>
      <c r="AR40" s="118">
        <v>0</v>
      </c>
      <c r="AS40" s="118">
        <v>0</v>
      </c>
      <c r="AT40" s="118">
        <v>0</v>
      </c>
      <c r="AU40" s="118">
        <v>0</v>
      </c>
      <c r="AV40" s="118">
        <v>0</v>
      </c>
      <c r="AW40" s="118">
        <v>0</v>
      </c>
      <c r="AX40" s="118">
        <v>0</v>
      </c>
      <c r="AY40" s="118">
        <v>0</v>
      </c>
      <c r="AZ40" s="118">
        <v>0</v>
      </c>
      <c r="BA40" s="118">
        <v>0</v>
      </c>
      <c r="BB40" s="118">
        <v>0</v>
      </c>
      <c r="BC40" s="118">
        <v>0</v>
      </c>
      <c r="BD40" s="118">
        <v>0</v>
      </c>
      <c r="BE40" s="118">
        <v>0</v>
      </c>
      <c r="BF40" s="118">
        <v>0</v>
      </c>
      <c r="BG40" s="118">
        <v>0</v>
      </c>
      <c r="BH40" s="118">
        <v>0</v>
      </c>
      <c r="BI40" s="118">
        <v>0</v>
      </c>
      <c r="BJ40" s="118">
        <v>0</v>
      </c>
      <c r="BK40" s="118">
        <v>0</v>
      </c>
      <c r="BL40" s="118">
        <v>0</v>
      </c>
      <c r="BM40" s="118">
        <v>0</v>
      </c>
      <c r="BN40" s="118">
        <v>0</v>
      </c>
      <c r="BO40" s="118">
        <v>0</v>
      </c>
      <c r="BP40" s="118">
        <v>0</v>
      </c>
      <c r="BQ40" s="118">
        <v>0</v>
      </c>
      <c r="BR40" s="118">
        <v>0</v>
      </c>
      <c r="BS40" s="118">
        <v>0</v>
      </c>
      <c r="BT40" s="118">
        <v>0</v>
      </c>
      <c r="BU40" s="118">
        <v>0</v>
      </c>
      <c r="BV40" s="118">
        <v>0</v>
      </c>
      <c r="BW40" s="118">
        <v>0</v>
      </c>
      <c r="BX40" s="118">
        <v>0</v>
      </c>
      <c r="BY40" s="118">
        <v>1E-3</v>
      </c>
      <c r="BZ40" s="118">
        <v>1E-3</v>
      </c>
      <c r="CA40">
        <v>0.01</v>
      </c>
      <c r="CB40">
        <v>0</v>
      </c>
      <c r="CC40">
        <v>0</v>
      </c>
      <c r="CD40">
        <v>0</v>
      </c>
      <c r="CE40">
        <v>0</v>
      </c>
      <c r="CF40">
        <v>0</v>
      </c>
    </row>
    <row r="41" spans="1:84" x14ac:dyDescent="0.15">
      <c r="A41" t="s">
        <v>212</v>
      </c>
      <c r="B41" s="118">
        <v>0</v>
      </c>
      <c r="C41" s="118">
        <v>0</v>
      </c>
      <c r="D41" s="118">
        <v>0</v>
      </c>
      <c r="E41" s="118">
        <v>0</v>
      </c>
      <c r="F41" s="118">
        <v>0</v>
      </c>
      <c r="G41" s="118">
        <v>0</v>
      </c>
      <c r="H41" s="118">
        <v>0</v>
      </c>
      <c r="I41" s="118">
        <v>0</v>
      </c>
      <c r="J41" s="118">
        <v>0</v>
      </c>
      <c r="K41" s="118">
        <v>0</v>
      </c>
      <c r="L41" s="118">
        <v>0</v>
      </c>
      <c r="M41" s="118">
        <v>0</v>
      </c>
      <c r="N41" s="118">
        <v>0</v>
      </c>
      <c r="O41" s="118">
        <v>0</v>
      </c>
      <c r="P41" s="118">
        <v>0</v>
      </c>
      <c r="Q41" s="118">
        <v>0</v>
      </c>
      <c r="R41" s="118">
        <v>0</v>
      </c>
      <c r="S41" s="118">
        <v>0</v>
      </c>
      <c r="T41" s="118">
        <v>0</v>
      </c>
      <c r="U41" s="118">
        <v>0</v>
      </c>
      <c r="V41" s="118">
        <v>0</v>
      </c>
      <c r="W41" s="118">
        <v>0</v>
      </c>
      <c r="X41" s="118">
        <v>0</v>
      </c>
      <c r="Y41" s="118">
        <v>0</v>
      </c>
      <c r="Z41" s="118">
        <v>0</v>
      </c>
      <c r="AA41" s="118">
        <v>0</v>
      </c>
      <c r="AB41" s="118">
        <v>0</v>
      </c>
      <c r="AC41" s="118">
        <v>0</v>
      </c>
      <c r="AD41" s="118">
        <v>0</v>
      </c>
      <c r="AE41" s="118">
        <v>0</v>
      </c>
      <c r="AF41" s="118">
        <v>0</v>
      </c>
      <c r="AG41" s="118">
        <v>0</v>
      </c>
      <c r="AH41" s="118">
        <v>1E-3</v>
      </c>
      <c r="AI41" s="118">
        <v>0</v>
      </c>
      <c r="AJ41" s="118">
        <v>0</v>
      </c>
      <c r="AK41" s="118">
        <v>0</v>
      </c>
      <c r="AL41" s="118">
        <v>0</v>
      </c>
      <c r="AM41" s="118">
        <v>0</v>
      </c>
      <c r="AN41" s="118">
        <v>0</v>
      </c>
      <c r="AO41" s="222">
        <v>0</v>
      </c>
      <c r="AP41" s="118">
        <v>0</v>
      </c>
      <c r="AQ41" s="118">
        <v>0.05</v>
      </c>
      <c r="AR41" s="118">
        <v>0</v>
      </c>
      <c r="AS41" s="118">
        <v>0</v>
      </c>
      <c r="AT41" s="118">
        <v>0</v>
      </c>
      <c r="AU41" s="118">
        <v>0</v>
      </c>
      <c r="AV41" s="118">
        <v>0</v>
      </c>
      <c r="AW41" s="118">
        <v>0</v>
      </c>
      <c r="AX41" s="118">
        <v>0</v>
      </c>
      <c r="AY41" s="118">
        <v>0</v>
      </c>
      <c r="AZ41" s="118">
        <v>0</v>
      </c>
      <c r="BA41" s="118">
        <v>0</v>
      </c>
      <c r="BB41" s="118">
        <v>0</v>
      </c>
      <c r="BC41" s="118">
        <v>0</v>
      </c>
      <c r="BD41" s="118">
        <v>0</v>
      </c>
      <c r="BE41" s="118">
        <v>0</v>
      </c>
      <c r="BF41" s="118">
        <v>0</v>
      </c>
      <c r="BG41" s="118">
        <v>0</v>
      </c>
      <c r="BH41" s="118">
        <v>0</v>
      </c>
      <c r="BI41" s="118">
        <v>0</v>
      </c>
      <c r="BJ41" s="118">
        <v>0</v>
      </c>
      <c r="BK41" s="118">
        <v>0</v>
      </c>
      <c r="BL41" s="118">
        <v>0</v>
      </c>
      <c r="BM41" s="118">
        <v>0</v>
      </c>
      <c r="BN41" s="118">
        <v>0</v>
      </c>
      <c r="BO41" s="118">
        <v>0</v>
      </c>
      <c r="BP41" s="118">
        <v>1.0131712259371837E-3</v>
      </c>
      <c r="BQ41" s="118">
        <v>0</v>
      </c>
      <c r="BR41" s="118">
        <v>0</v>
      </c>
      <c r="BS41" s="118">
        <v>0</v>
      </c>
      <c r="BT41" s="118">
        <v>0</v>
      </c>
      <c r="BU41" s="118">
        <v>0</v>
      </c>
      <c r="BV41" s="118">
        <v>0</v>
      </c>
      <c r="BW41" s="118">
        <v>0</v>
      </c>
      <c r="BX41" s="118">
        <v>0</v>
      </c>
      <c r="BY41" s="118">
        <v>0</v>
      </c>
      <c r="BZ41" s="118">
        <v>0.02</v>
      </c>
      <c r="CA41">
        <v>7.0000000000000001E-3</v>
      </c>
      <c r="CB41">
        <v>0</v>
      </c>
      <c r="CC41">
        <v>0</v>
      </c>
      <c r="CD41">
        <v>0</v>
      </c>
      <c r="CE41">
        <v>0</v>
      </c>
      <c r="CF41">
        <v>0</v>
      </c>
    </row>
    <row r="42" spans="1:84" x14ac:dyDescent="0.15">
      <c r="A42" t="s">
        <v>213</v>
      </c>
      <c r="B42" s="118">
        <v>0</v>
      </c>
      <c r="C42" s="118">
        <v>0</v>
      </c>
      <c r="D42" s="118">
        <v>0</v>
      </c>
      <c r="E42" s="118">
        <v>0</v>
      </c>
      <c r="F42" s="118">
        <v>0</v>
      </c>
      <c r="G42" s="118">
        <v>0</v>
      </c>
      <c r="H42" s="118">
        <v>0</v>
      </c>
      <c r="I42" s="118">
        <v>0</v>
      </c>
      <c r="J42" s="118">
        <v>0</v>
      </c>
      <c r="K42" s="118">
        <v>0</v>
      </c>
      <c r="L42" s="118">
        <v>0</v>
      </c>
      <c r="M42" s="118">
        <v>0</v>
      </c>
      <c r="N42" s="118">
        <v>0</v>
      </c>
      <c r="O42" s="118">
        <v>0</v>
      </c>
      <c r="P42" s="118">
        <v>0</v>
      </c>
      <c r="Q42" s="118">
        <v>0</v>
      </c>
      <c r="R42" s="118">
        <v>0</v>
      </c>
      <c r="S42" s="118">
        <v>0</v>
      </c>
      <c r="T42" s="118">
        <v>0</v>
      </c>
      <c r="U42" s="118">
        <v>0</v>
      </c>
      <c r="V42" s="118">
        <v>0</v>
      </c>
      <c r="W42" s="118">
        <v>0</v>
      </c>
      <c r="X42" s="118">
        <v>0</v>
      </c>
      <c r="Y42" s="118">
        <v>0</v>
      </c>
      <c r="Z42" s="118">
        <v>0</v>
      </c>
      <c r="AA42" s="118">
        <v>0</v>
      </c>
      <c r="AB42" s="118">
        <v>0</v>
      </c>
      <c r="AC42" s="118">
        <v>0</v>
      </c>
      <c r="AD42" s="118">
        <v>0</v>
      </c>
      <c r="AE42" s="118">
        <v>0</v>
      </c>
      <c r="AF42" s="118">
        <v>0</v>
      </c>
      <c r="AG42" s="118">
        <v>0</v>
      </c>
      <c r="AH42" s="118">
        <v>0.01</v>
      </c>
      <c r="AI42" s="118">
        <v>0</v>
      </c>
      <c r="AJ42" s="118">
        <v>0</v>
      </c>
      <c r="AK42" s="118">
        <v>0</v>
      </c>
      <c r="AL42" s="118">
        <v>5.0000000000000001E-3</v>
      </c>
      <c r="AM42" s="118">
        <v>0</v>
      </c>
      <c r="AN42" s="118">
        <v>0</v>
      </c>
      <c r="AO42" s="118">
        <v>6.4858788005448123E-3</v>
      </c>
      <c r="AP42" s="222">
        <v>0</v>
      </c>
      <c r="AQ42" s="118">
        <v>5.0017722000250805E-3</v>
      </c>
      <c r="AR42" s="118">
        <v>0</v>
      </c>
      <c r="AS42" s="118">
        <v>0</v>
      </c>
      <c r="AT42" s="118">
        <v>0</v>
      </c>
      <c r="AU42" s="118">
        <v>0</v>
      </c>
      <c r="AV42" s="118">
        <v>0</v>
      </c>
      <c r="AW42" s="118">
        <v>0</v>
      </c>
      <c r="AX42" s="118">
        <v>0</v>
      </c>
      <c r="AY42" s="118">
        <v>0</v>
      </c>
      <c r="AZ42" s="118">
        <v>0</v>
      </c>
      <c r="BA42" s="118">
        <v>0</v>
      </c>
      <c r="BB42" s="118">
        <v>0</v>
      </c>
      <c r="BC42" s="118">
        <v>0</v>
      </c>
      <c r="BD42" s="118">
        <v>0</v>
      </c>
      <c r="BE42" s="118">
        <v>0</v>
      </c>
      <c r="BF42" s="118">
        <v>0</v>
      </c>
      <c r="BG42" s="118">
        <v>0</v>
      </c>
      <c r="BH42" s="118">
        <v>0</v>
      </c>
      <c r="BI42" s="118">
        <v>0</v>
      </c>
      <c r="BJ42" s="118">
        <v>1E-3</v>
      </c>
      <c r="BK42" s="118">
        <v>0</v>
      </c>
      <c r="BL42" s="118">
        <v>0</v>
      </c>
      <c r="BM42" s="118">
        <v>0</v>
      </c>
      <c r="BN42" s="216">
        <v>1.4999999999999999E-2</v>
      </c>
      <c r="BO42" s="118">
        <v>0</v>
      </c>
      <c r="BP42" s="118">
        <v>2.0263424518743673E-3</v>
      </c>
      <c r="BQ42" s="118">
        <v>0</v>
      </c>
      <c r="BR42" s="118">
        <v>0</v>
      </c>
      <c r="BS42" s="118">
        <v>0</v>
      </c>
      <c r="BT42" s="118">
        <v>0</v>
      </c>
      <c r="BU42" s="118">
        <v>0</v>
      </c>
      <c r="BV42" s="118">
        <v>0</v>
      </c>
      <c r="BW42" s="118">
        <v>8.299999999999999E-2</v>
      </c>
      <c r="BX42" s="216">
        <v>1.4999999999999999E-2</v>
      </c>
      <c r="BY42" s="118">
        <v>0</v>
      </c>
      <c r="BZ42" s="118">
        <v>0</v>
      </c>
      <c r="CA42">
        <v>2E-3</v>
      </c>
      <c r="CB42">
        <v>0</v>
      </c>
      <c r="CC42">
        <v>0</v>
      </c>
      <c r="CD42">
        <v>0</v>
      </c>
      <c r="CE42">
        <v>0</v>
      </c>
      <c r="CF42">
        <v>0</v>
      </c>
    </row>
    <row r="43" spans="1:84" x14ac:dyDescent="0.15">
      <c r="A43" t="s">
        <v>214</v>
      </c>
      <c r="B43" s="118">
        <v>0</v>
      </c>
      <c r="C43" s="118">
        <v>0</v>
      </c>
      <c r="D43" s="118">
        <v>0</v>
      </c>
      <c r="E43" s="118">
        <v>0</v>
      </c>
      <c r="F43" s="118">
        <v>0</v>
      </c>
      <c r="G43" s="118">
        <v>0</v>
      </c>
      <c r="H43" s="118">
        <v>0</v>
      </c>
      <c r="I43" s="118">
        <v>0</v>
      </c>
      <c r="J43" s="118">
        <v>0</v>
      </c>
      <c r="K43" s="118">
        <v>0</v>
      </c>
      <c r="L43" s="118">
        <v>0</v>
      </c>
      <c r="M43" s="118">
        <v>0</v>
      </c>
      <c r="N43" s="118">
        <v>0</v>
      </c>
      <c r="O43" s="118">
        <v>0</v>
      </c>
      <c r="P43" s="118">
        <v>0</v>
      </c>
      <c r="Q43" s="118">
        <v>0</v>
      </c>
      <c r="R43" s="118">
        <v>0</v>
      </c>
      <c r="S43" s="118">
        <v>0</v>
      </c>
      <c r="T43" s="118">
        <v>0</v>
      </c>
      <c r="U43" s="118">
        <v>0</v>
      </c>
      <c r="V43" s="118">
        <v>0</v>
      </c>
      <c r="W43" s="118">
        <v>0</v>
      </c>
      <c r="X43" s="118">
        <v>0</v>
      </c>
      <c r="Y43" s="118">
        <v>0</v>
      </c>
      <c r="Z43" s="118">
        <v>0</v>
      </c>
      <c r="AA43" s="118">
        <v>0</v>
      </c>
      <c r="AB43" s="118">
        <v>0</v>
      </c>
      <c r="AC43" s="118">
        <v>0</v>
      </c>
      <c r="AD43" s="118">
        <v>0</v>
      </c>
      <c r="AE43" s="118">
        <v>0</v>
      </c>
      <c r="AF43" s="118">
        <v>0</v>
      </c>
      <c r="AG43" s="118">
        <v>0</v>
      </c>
      <c r="AH43" s="118">
        <v>5.5E-2</v>
      </c>
      <c r="AI43" s="118">
        <v>0</v>
      </c>
      <c r="AJ43" s="118">
        <v>0</v>
      </c>
      <c r="AK43" s="118">
        <v>1.4579963502580291E-2</v>
      </c>
      <c r="AL43" s="118">
        <v>0.05</v>
      </c>
      <c r="AM43" s="118">
        <v>1E-3</v>
      </c>
      <c r="AN43" s="118">
        <v>2E-3</v>
      </c>
      <c r="AO43" s="118">
        <v>0</v>
      </c>
      <c r="AP43" s="118">
        <v>1.4999999999999999E-2</v>
      </c>
      <c r="AQ43" s="222">
        <v>1E-3</v>
      </c>
      <c r="AR43" s="118">
        <v>1.4999999999999999E-2</v>
      </c>
      <c r="AS43" s="118">
        <v>0</v>
      </c>
      <c r="AT43" s="118">
        <v>1.2149969585483577E-3</v>
      </c>
      <c r="AU43" s="118">
        <v>7.1999999999999998E-3</v>
      </c>
      <c r="AV43" s="118">
        <v>0</v>
      </c>
      <c r="AW43" s="118">
        <v>0</v>
      </c>
      <c r="AX43" s="118">
        <v>0</v>
      </c>
      <c r="AY43" s="118">
        <v>0</v>
      </c>
      <c r="AZ43" s="118">
        <v>0</v>
      </c>
      <c r="BA43" s="118">
        <v>0</v>
      </c>
      <c r="BB43" s="118">
        <v>0</v>
      </c>
      <c r="BC43" s="118">
        <v>0</v>
      </c>
      <c r="BD43" s="118">
        <v>0</v>
      </c>
      <c r="BE43" s="118">
        <v>0</v>
      </c>
      <c r="BF43" s="118">
        <v>0</v>
      </c>
      <c r="BG43" s="118">
        <v>0</v>
      </c>
      <c r="BH43" s="118">
        <v>0</v>
      </c>
      <c r="BI43" s="118">
        <v>0</v>
      </c>
      <c r="BJ43" s="118">
        <v>0</v>
      </c>
      <c r="BK43" s="118">
        <v>0</v>
      </c>
      <c r="BL43" s="118">
        <v>0</v>
      </c>
      <c r="BM43" s="118">
        <v>0</v>
      </c>
      <c r="BN43" s="118">
        <v>0</v>
      </c>
      <c r="BO43" s="118">
        <v>0</v>
      </c>
      <c r="BP43" s="118">
        <v>0</v>
      </c>
      <c r="BQ43" s="118">
        <v>0</v>
      </c>
      <c r="BR43" s="118">
        <v>0</v>
      </c>
      <c r="BS43" s="118">
        <v>0</v>
      </c>
      <c r="BT43" s="118">
        <v>0</v>
      </c>
      <c r="BU43" s="118">
        <v>0</v>
      </c>
      <c r="BV43" s="118">
        <v>0</v>
      </c>
      <c r="BW43" s="118">
        <v>7.2899817512901449E-2</v>
      </c>
      <c r="BX43" s="118">
        <v>5.5889860093224454E-3</v>
      </c>
      <c r="BY43" s="118">
        <v>0</v>
      </c>
      <c r="BZ43" s="118">
        <v>0.01</v>
      </c>
      <c r="CA43">
        <v>2.5999999999999999E-2</v>
      </c>
      <c r="CB43">
        <v>0</v>
      </c>
      <c r="CC43">
        <v>0</v>
      </c>
      <c r="CD43">
        <v>0</v>
      </c>
      <c r="CE43">
        <v>0</v>
      </c>
      <c r="CF43">
        <v>0</v>
      </c>
    </row>
    <row r="44" spans="1:84" x14ac:dyDescent="0.15">
      <c r="A44" t="s">
        <v>215</v>
      </c>
      <c r="B44" s="118">
        <v>0</v>
      </c>
      <c r="C44" s="118">
        <v>0</v>
      </c>
      <c r="D44" s="118">
        <v>0</v>
      </c>
      <c r="E44" s="118">
        <v>0</v>
      </c>
      <c r="F44" s="118">
        <v>0</v>
      </c>
      <c r="G44" s="118">
        <v>0</v>
      </c>
      <c r="H44" s="118">
        <v>0</v>
      </c>
      <c r="I44" s="118">
        <v>0</v>
      </c>
      <c r="J44" s="118">
        <v>0</v>
      </c>
      <c r="K44" s="118">
        <v>0</v>
      </c>
      <c r="L44" s="118">
        <v>0</v>
      </c>
      <c r="M44" s="118">
        <v>0</v>
      </c>
      <c r="N44" s="118">
        <v>0</v>
      </c>
      <c r="O44" s="118">
        <v>0</v>
      </c>
      <c r="P44" s="118">
        <v>0</v>
      </c>
      <c r="Q44" s="118">
        <v>0</v>
      </c>
      <c r="R44" s="118">
        <v>0</v>
      </c>
      <c r="S44" s="118">
        <v>0</v>
      </c>
      <c r="T44" s="118">
        <v>0</v>
      </c>
      <c r="U44" s="118">
        <v>0</v>
      </c>
      <c r="V44" s="118">
        <v>0</v>
      </c>
      <c r="W44" s="118">
        <v>0</v>
      </c>
      <c r="X44" s="118">
        <v>0</v>
      </c>
      <c r="Y44" s="118">
        <v>0</v>
      </c>
      <c r="Z44" s="118">
        <v>0</v>
      </c>
      <c r="AA44" s="118">
        <v>0</v>
      </c>
      <c r="AB44" s="118">
        <v>0</v>
      </c>
      <c r="AC44" s="118">
        <v>0</v>
      </c>
      <c r="AD44" s="118">
        <v>0</v>
      </c>
      <c r="AE44" s="118">
        <v>0</v>
      </c>
      <c r="AF44" s="118">
        <v>0</v>
      </c>
      <c r="AG44" s="118">
        <v>0</v>
      </c>
      <c r="AH44" s="118">
        <v>0</v>
      </c>
      <c r="AI44" s="118">
        <v>0</v>
      </c>
      <c r="AJ44" s="118">
        <v>0</v>
      </c>
      <c r="AK44" s="118">
        <v>0</v>
      </c>
      <c r="AL44" s="118">
        <v>0</v>
      </c>
      <c r="AM44" s="118">
        <v>0</v>
      </c>
      <c r="AN44" s="118">
        <v>0</v>
      </c>
      <c r="AO44" s="118">
        <v>1E-3</v>
      </c>
      <c r="AP44" s="118">
        <v>0</v>
      </c>
      <c r="AQ44" s="118">
        <v>0</v>
      </c>
      <c r="AR44" s="222">
        <v>0</v>
      </c>
      <c r="AS44" s="118">
        <v>0</v>
      </c>
      <c r="AT44" s="118">
        <v>0</v>
      </c>
      <c r="AU44" s="118">
        <v>0</v>
      </c>
      <c r="AV44" s="118">
        <v>0</v>
      </c>
      <c r="AW44" s="118">
        <v>0</v>
      </c>
      <c r="AX44" s="118">
        <v>0</v>
      </c>
      <c r="AY44" s="118">
        <v>0</v>
      </c>
      <c r="AZ44" s="118">
        <v>0</v>
      </c>
      <c r="BA44" s="118">
        <v>0</v>
      </c>
      <c r="BB44" s="118">
        <v>0</v>
      </c>
      <c r="BC44" s="118">
        <v>0</v>
      </c>
      <c r="BD44" s="118">
        <v>0</v>
      </c>
      <c r="BE44" s="118">
        <v>0</v>
      </c>
      <c r="BF44" s="118">
        <v>0</v>
      </c>
      <c r="BG44" s="118">
        <v>0</v>
      </c>
      <c r="BH44" s="118">
        <v>0</v>
      </c>
      <c r="BI44" s="118">
        <v>0</v>
      </c>
      <c r="BJ44" s="118">
        <v>0</v>
      </c>
      <c r="BK44" s="118">
        <v>0</v>
      </c>
      <c r="BL44" s="118">
        <v>0</v>
      </c>
      <c r="BM44" s="118">
        <v>0</v>
      </c>
      <c r="BN44" s="118">
        <v>0</v>
      </c>
      <c r="BO44" s="118">
        <v>0</v>
      </c>
      <c r="BP44" s="118">
        <v>0</v>
      </c>
      <c r="BQ44" s="118">
        <v>0</v>
      </c>
      <c r="BR44" s="118">
        <v>0</v>
      </c>
      <c r="BS44" s="118">
        <v>0</v>
      </c>
      <c r="BT44" s="118">
        <v>0</v>
      </c>
      <c r="BU44" s="118">
        <v>0</v>
      </c>
      <c r="BV44" s="118">
        <v>0</v>
      </c>
      <c r="BW44" s="118">
        <v>0.02</v>
      </c>
      <c r="BX44" s="118">
        <v>0.05</v>
      </c>
      <c r="BY44" s="118">
        <v>0</v>
      </c>
      <c r="BZ44" s="118">
        <v>5.0000000000000001E-3</v>
      </c>
      <c r="CA44">
        <v>0.05</v>
      </c>
      <c r="CB44">
        <v>0</v>
      </c>
      <c r="CC44">
        <v>0</v>
      </c>
      <c r="CD44">
        <v>0</v>
      </c>
      <c r="CE44">
        <v>0</v>
      </c>
      <c r="CF44">
        <v>0</v>
      </c>
    </row>
    <row r="45" spans="1:84" x14ac:dyDescent="0.15">
      <c r="A45" t="s">
        <v>216</v>
      </c>
      <c r="B45" s="118">
        <v>0</v>
      </c>
      <c r="C45" s="118">
        <v>0</v>
      </c>
      <c r="D45" s="118">
        <v>0</v>
      </c>
      <c r="E45" s="118">
        <v>0</v>
      </c>
      <c r="F45" s="118">
        <v>0</v>
      </c>
      <c r="G45" s="118">
        <v>0</v>
      </c>
      <c r="H45" s="118">
        <v>0</v>
      </c>
      <c r="I45" s="118">
        <v>0</v>
      </c>
      <c r="J45" s="118">
        <v>0</v>
      </c>
      <c r="K45" s="118">
        <v>0</v>
      </c>
      <c r="L45" s="118">
        <v>0</v>
      </c>
      <c r="M45" s="118">
        <v>0</v>
      </c>
      <c r="N45" s="118">
        <v>0</v>
      </c>
      <c r="O45" s="118">
        <v>0</v>
      </c>
      <c r="P45" s="118">
        <v>0</v>
      </c>
      <c r="Q45" s="118">
        <v>0</v>
      </c>
      <c r="R45" s="118">
        <v>0</v>
      </c>
      <c r="S45" s="118">
        <v>0</v>
      </c>
      <c r="T45" s="118">
        <v>0</v>
      </c>
      <c r="U45" s="118">
        <v>0</v>
      </c>
      <c r="V45" s="118">
        <v>0</v>
      </c>
      <c r="W45" s="118">
        <v>0</v>
      </c>
      <c r="X45" s="118">
        <v>0</v>
      </c>
      <c r="Y45" s="118">
        <v>0</v>
      </c>
      <c r="Z45" s="118">
        <v>0</v>
      </c>
      <c r="AA45" s="118">
        <v>0</v>
      </c>
      <c r="AB45" s="118">
        <v>0</v>
      </c>
      <c r="AC45" s="118">
        <v>0</v>
      </c>
      <c r="AD45" s="118">
        <v>1.0079578270445162E-2</v>
      </c>
      <c r="AE45" s="118">
        <v>0</v>
      </c>
      <c r="AF45" s="118">
        <v>5.0043370921465276E-3</v>
      </c>
      <c r="AG45" s="118">
        <v>0</v>
      </c>
      <c r="AH45" s="118">
        <v>0</v>
      </c>
      <c r="AI45" s="118">
        <v>0</v>
      </c>
      <c r="AJ45" s="118">
        <v>0</v>
      </c>
      <c r="AK45" s="118">
        <v>9.9951799376630547E-3</v>
      </c>
      <c r="AL45" s="118">
        <v>0</v>
      </c>
      <c r="AM45" s="118">
        <v>2.5000000000000001E-2</v>
      </c>
      <c r="AN45" s="118">
        <v>0</v>
      </c>
      <c r="AO45" s="118">
        <v>8.6478384007264167E-2</v>
      </c>
      <c r="AP45" s="118">
        <v>0.25</v>
      </c>
      <c r="AQ45" s="118">
        <v>0.10003544400050161</v>
      </c>
      <c r="AR45" s="118">
        <v>0.05</v>
      </c>
      <c r="AS45" s="222">
        <v>0</v>
      </c>
      <c r="AT45" s="118">
        <v>3.0238734811335492E-2</v>
      </c>
      <c r="AU45" s="118">
        <v>2.5606489708751783E-2</v>
      </c>
      <c r="AV45" s="118">
        <v>0</v>
      </c>
      <c r="AW45" s="118">
        <v>2.0174848688634835E-2</v>
      </c>
      <c r="AX45" s="118">
        <v>0.05</v>
      </c>
      <c r="AY45" s="118">
        <v>0</v>
      </c>
      <c r="AZ45" s="118">
        <v>0</v>
      </c>
      <c r="BA45" s="118">
        <v>0</v>
      </c>
      <c r="BB45" s="118">
        <v>0</v>
      </c>
      <c r="BC45" s="118">
        <v>0</v>
      </c>
      <c r="BD45" s="118">
        <v>0</v>
      </c>
      <c r="BE45" s="118">
        <v>0</v>
      </c>
      <c r="BF45" s="118">
        <v>0</v>
      </c>
      <c r="BG45" s="118">
        <v>0</v>
      </c>
      <c r="BH45" s="118">
        <v>0</v>
      </c>
      <c r="BI45" s="118">
        <v>0</v>
      </c>
      <c r="BJ45" s="118">
        <v>0.01</v>
      </c>
      <c r="BK45" s="118">
        <v>0</v>
      </c>
      <c r="BL45" s="118">
        <v>0</v>
      </c>
      <c r="BM45" s="118">
        <v>0</v>
      </c>
      <c r="BN45" s="118">
        <v>1.4999999999999999E-2</v>
      </c>
      <c r="BO45" s="118">
        <v>5.0000000000000001E-3</v>
      </c>
      <c r="BP45" s="118">
        <v>5.0658561296859179E-3</v>
      </c>
      <c r="BQ45" s="118">
        <v>0</v>
      </c>
      <c r="BR45" s="118">
        <v>0</v>
      </c>
      <c r="BS45" s="118">
        <v>0.1</v>
      </c>
      <c r="BT45" s="118">
        <v>0</v>
      </c>
      <c r="BU45" s="118">
        <v>0</v>
      </c>
      <c r="BV45" s="118">
        <v>0</v>
      </c>
      <c r="BW45" s="118">
        <v>3.3999999999999996E-2</v>
      </c>
      <c r="BX45" s="118">
        <v>1.5992262616763481E-2</v>
      </c>
      <c r="BY45" s="118">
        <v>0</v>
      </c>
      <c r="BZ45" s="118">
        <v>0.01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</row>
    <row r="46" spans="1:84" x14ac:dyDescent="0.15">
      <c r="A46" t="s">
        <v>217</v>
      </c>
      <c r="B46" s="118">
        <v>0</v>
      </c>
      <c r="C46" s="118">
        <v>0</v>
      </c>
      <c r="D46" s="118">
        <v>0</v>
      </c>
      <c r="E46" s="118">
        <v>0</v>
      </c>
      <c r="F46" s="118">
        <v>0</v>
      </c>
      <c r="G46" s="118">
        <v>0</v>
      </c>
      <c r="H46" s="118">
        <v>0</v>
      </c>
      <c r="I46" s="118">
        <v>0</v>
      </c>
      <c r="J46" s="118">
        <v>0</v>
      </c>
      <c r="K46" s="118">
        <v>0</v>
      </c>
      <c r="L46" s="118">
        <v>0</v>
      </c>
      <c r="M46" s="118">
        <v>0</v>
      </c>
      <c r="N46" s="118">
        <v>0</v>
      </c>
      <c r="O46" s="118">
        <v>0</v>
      </c>
      <c r="P46" s="118">
        <v>0</v>
      </c>
      <c r="Q46" s="118">
        <v>0</v>
      </c>
      <c r="R46" s="118">
        <v>2.8753768895229265E-2</v>
      </c>
      <c r="S46" s="118">
        <v>0</v>
      </c>
      <c r="T46" s="118">
        <v>0</v>
      </c>
      <c r="U46" s="118">
        <v>0</v>
      </c>
      <c r="V46" s="118">
        <v>0</v>
      </c>
      <c r="W46" s="118">
        <v>0</v>
      </c>
      <c r="X46" s="118">
        <v>0</v>
      </c>
      <c r="Y46" s="118">
        <v>0</v>
      </c>
      <c r="Z46" s="118">
        <v>0</v>
      </c>
      <c r="AA46" s="118">
        <v>0</v>
      </c>
      <c r="AB46" s="118">
        <v>0</v>
      </c>
      <c r="AC46" s="118">
        <v>0</v>
      </c>
      <c r="AD46" s="118">
        <v>0</v>
      </c>
      <c r="AE46" s="118">
        <v>0</v>
      </c>
      <c r="AF46" s="118">
        <v>0</v>
      </c>
      <c r="AG46" s="118">
        <v>0</v>
      </c>
      <c r="AH46" s="118">
        <v>8.4937973671220818E-3</v>
      </c>
      <c r="AI46" s="118">
        <v>0</v>
      </c>
      <c r="AJ46" s="118">
        <v>0</v>
      </c>
      <c r="AK46" s="216">
        <v>5.0000000000000001E-3</v>
      </c>
      <c r="AL46" s="216">
        <v>4.0000000000000001E-3</v>
      </c>
      <c r="AM46" s="118">
        <v>0</v>
      </c>
      <c r="AN46" s="118">
        <v>3.3827963406152075E-3</v>
      </c>
      <c r="AO46" s="118">
        <v>6.7655926812304149E-3</v>
      </c>
      <c r="AP46" s="118">
        <v>7.5943777846811406E-3</v>
      </c>
      <c r="AQ46" s="118">
        <v>3.3827963406152075E-3</v>
      </c>
      <c r="AR46" s="118">
        <v>0</v>
      </c>
      <c r="AS46" s="118">
        <v>0</v>
      </c>
      <c r="AT46" s="222">
        <v>5.1145732594425639E-4</v>
      </c>
      <c r="AU46" s="118">
        <v>0</v>
      </c>
      <c r="AV46" s="118">
        <v>0</v>
      </c>
      <c r="AW46" s="118">
        <v>0</v>
      </c>
      <c r="AX46" s="118">
        <v>0</v>
      </c>
      <c r="AY46" s="118">
        <v>0</v>
      </c>
      <c r="AZ46" s="118">
        <v>0</v>
      </c>
      <c r="BA46" s="118">
        <v>0</v>
      </c>
      <c r="BB46" s="118">
        <v>0</v>
      </c>
      <c r="BC46" s="118">
        <v>0</v>
      </c>
      <c r="BD46" s="118">
        <v>0</v>
      </c>
      <c r="BE46" s="118">
        <v>0</v>
      </c>
      <c r="BF46" s="118">
        <v>0</v>
      </c>
      <c r="BG46" s="118">
        <v>0</v>
      </c>
      <c r="BH46" s="118">
        <v>0</v>
      </c>
      <c r="BI46" s="118">
        <v>0</v>
      </c>
      <c r="BJ46" s="118">
        <v>0</v>
      </c>
      <c r="BK46" s="118">
        <v>0</v>
      </c>
      <c r="BL46" s="118">
        <v>0</v>
      </c>
      <c r="BM46" s="118">
        <v>0</v>
      </c>
      <c r="BN46" s="118">
        <v>0</v>
      </c>
      <c r="BO46" s="118">
        <v>0</v>
      </c>
      <c r="BP46" s="118">
        <v>0</v>
      </c>
      <c r="BQ46" s="118">
        <v>0</v>
      </c>
      <c r="BR46" s="118">
        <v>0</v>
      </c>
      <c r="BS46" s="118">
        <v>0</v>
      </c>
      <c r="BT46" s="118">
        <v>0</v>
      </c>
      <c r="BU46" s="118">
        <v>0</v>
      </c>
      <c r="BV46" s="118">
        <v>0</v>
      </c>
      <c r="BW46" s="118">
        <v>1.1163227924030185E-2</v>
      </c>
      <c r="BX46" s="118">
        <v>1.1839787192153227E-2</v>
      </c>
      <c r="BY46" s="118">
        <v>8.4569908515380187E-4</v>
      </c>
      <c r="BZ46" s="118">
        <v>7.4421519493534554E-3</v>
      </c>
      <c r="CA46">
        <v>4.2284954257690091E-3</v>
      </c>
      <c r="CB46">
        <v>0</v>
      </c>
      <c r="CC46">
        <v>0</v>
      </c>
      <c r="CD46">
        <v>0</v>
      </c>
      <c r="CE46">
        <v>0</v>
      </c>
      <c r="CF46">
        <v>0</v>
      </c>
    </row>
    <row r="47" spans="1:84" x14ac:dyDescent="0.15">
      <c r="A47" t="s">
        <v>218</v>
      </c>
      <c r="B47" s="118">
        <v>0</v>
      </c>
      <c r="C47" s="118">
        <v>0</v>
      </c>
      <c r="D47" s="118">
        <v>0</v>
      </c>
      <c r="E47" s="118">
        <v>0</v>
      </c>
      <c r="F47" s="118">
        <v>0</v>
      </c>
      <c r="G47" s="118">
        <v>0</v>
      </c>
      <c r="H47" s="118">
        <v>0</v>
      </c>
      <c r="I47" s="118">
        <v>0</v>
      </c>
      <c r="J47" s="118">
        <v>0</v>
      </c>
      <c r="K47" s="118">
        <v>0</v>
      </c>
      <c r="L47" s="118">
        <v>0</v>
      </c>
      <c r="M47" s="118">
        <v>0</v>
      </c>
      <c r="N47" s="118">
        <v>0</v>
      </c>
      <c r="O47" s="118">
        <v>0</v>
      </c>
      <c r="P47" s="118">
        <v>0</v>
      </c>
      <c r="Q47" s="118">
        <v>0</v>
      </c>
      <c r="R47" s="118">
        <v>0</v>
      </c>
      <c r="S47" s="118">
        <v>0</v>
      </c>
      <c r="T47" s="118">
        <v>0</v>
      </c>
      <c r="U47" s="118">
        <v>0</v>
      </c>
      <c r="V47" s="118">
        <v>0</v>
      </c>
      <c r="W47" s="118">
        <v>0</v>
      </c>
      <c r="X47" s="118">
        <v>0</v>
      </c>
      <c r="Y47" s="118">
        <v>0</v>
      </c>
      <c r="Z47" s="118">
        <v>0</v>
      </c>
      <c r="AA47" s="118">
        <v>0</v>
      </c>
      <c r="AB47" s="118">
        <v>0</v>
      </c>
      <c r="AC47" s="118">
        <v>0</v>
      </c>
      <c r="AD47" s="118">
        <v>0</v>
      </c>
      <c r="AE47" s="118">
        <v>0</v>
      </c>
      <c r="AF47" s="118">
        <v>0</v>
      </c>
      <c r="AG47" s="118">
        <v>0</v>
      </c>
      <c r="AH47" s="118">
        <v>1E-3</v>
      </c>
      <c r="AI47" s="118">
        <v>0</v>
      </c>
      <c r="AJ47" s="118">
        <v>0</v>
      </c>
      <c r="AK47" s="118">
        <v>9.9951799376630547E-4</v>
      </c>
      <c r="AL47" s="118">
        <v>0</v>
      </c>
      <c r="AM47" s="118">
        <v>1E-3</v>
      </c>
      <c r="AN47" s="118">
        <v>0</v>
      </c>
      <c r="AO47" s="118">
        <v>5.4048990004540104E-3</v>
      </c>
      <c r="AP47" s="118">
        <v>0</v>
      </c>
      <c r="AQ47" s="118">
        <v>0</v>
      </c>
      <c r="AR47" s="118">
        <v>0</v>
      </c>
      <c r="AS47" s="118">
        <v>0</v>
      </c>
      <c r="AT47" s="118">
        <v>0</v>
      </c>
      <c r="AU47" s="222">
        <v>1.0242595883500714E-3</v>
      </c>
      <c r="AV47" s="118">
        <v>0</v>
      </c>
      <c r="AW47" s="118">
        <v>0</v>
      </c>
      <c r="AX47" s="118">
        <v>0</v>
      </c>
      <c r="AY47" s="118">
        <v>0</v>
      </c>
      <c r="AZ47" s="118">
        <v>0</v>
      </c>
      <c r="BA47" s="118">
        <v>0</v>
      </c>
      <c r="BB47" s="118">
        <v>0</v>
      </c>
      <c r="BC47" s="118">
        <v>0</v>
      </c>
      <c r="BD47" s="118">
        <v>0</v>
      </c>
      <c r="BE47" s="118">
        <v>0</v>
      </c>
      <c r="BF47" s="118">
        <v>0</v>
      </c>
      <c r="BG47" s="118">
        <v>0</v>
      </c>
      <c r="BH47" s="118">
        <v>0</v>
      </c>
      <c r="BI47" s="118">
        <v>0</v>
      </c>
      <c r="BJ47" s="118">
        <v>0</v>
      </c>
      <c r="BK47" s="118">
        <v>0</v>
      </c>
      <c r="BL47" s="118">
        <v>0</v>
      </c>
      <c r="BM47" s="118">
        <v>0</v>
      </c>
      <c r="BN47" s="118">
        <v>0.05</v>
      </c>
      <c r="BO47" s="118">
        <v>0</v>
      </c>
      <c r="BP47" s="118">
        <v>0</v>
      </c>
      <c r="BQ47" s="118">
        <v>0</v>
      </c>
      <c r="BR47" s="118">
        <v>0</v>
      </c>
      <c r="BS47" s="118">
        <v>0.02</v>
      </c>
      <c r="BT47" s="118">
        <v>0</v>
      </c>
      <c r="BU47" s="118">
        <v>0</v>
      </c>
      <c r="BV47" s="118">
        <v>0</v>
      </c>
      <c r="BW47" s="118">
        <v>5.1999999999999984E-2</v>
      </c>
      <c r="BX47" s="118">
        <v>9.9951641354771754E-4</v>
      </c>
      <c r="BY47" s="118">
        <v>0</v>
      </c>
      <c r="BZ47" s="118">
        <v>0</v>
      </c>
      <c r="CA47">
        <v>2E-3</v>
      </c>
      <c r="CB47">
        <v>0</v>
      </c>
      <c r="CC47">
        <v>0</v>
      </c>
      <c r="CD47">
        <v>0</v>
      </c>
      <c r="CE47">
        <v>0</v>
      </c>
      <c r="CF47">
        <v>0</v>
      </c>
    </row>
    <row r="48" spans="1:84" x14ac:dyDescent="0.15">
      <c r="A48" t="s">
        <v>219</v>
      </c>
      <c r="B48" s="118">
        <v>0</v>
      </c>
      <c r="C48" s="118">
        <v>0</v>
      </c>
      <c r="D48" s="118">
        <v>0</v>
      </c>
      <c r="E48" s="118">
        <v>0</v>
      </c>
      <c r="F48" s="118">
        <v>0</v>
      </c>
      <c r="G48" s="118">
        <v>0</v>
      </c>
      <c r="H48" s="118">
        <v>0</v>
      </c>
      <c r="I48" s="118">
        <v>0</v>
      </c>
      <c r="J48" s="118">
        <v>0</v>
      </c>
      <c r="K48" s="118">
        <v>0</v>
      </c>
      <c r="L48" s="118">
        <v>0</v>
      </c>
      <c r="M48" s="118">
        <v>0</v>
      </c>
      <c r="N48" s="118">
        <v>0</v>
      </c>
      <c r="O48" s="118">
        <v>0</v>
      </c>
      <c r="P48" s="118">
        <v>0</v>
      </c>
      <c r="Q48" s="118">
        <v>0</v>
      </c>
      <c r="R48" s="118">
        <v>0</v>
      </c>
      <c r="S48" s="118">
        <v>0</v>
      </c>
      <c r="T48" s="118">
        <v>0</v>
      </c>
      <c r="U48" s="118">
        <v>0</v>
      </c>
      <c r="V48" s="118">
        <v>0</v>
      </c>
      <c r="W48" s="118">
        <v>0</v>
      </c>
      <c r="X48" s="118">
        <v>0</v>
      </c>
      <c r="Y48" s="118">
        <v>0</v>
      </c>
      <c r="Z48" s="118">
        <v>0</v>
      </c>
      <c r="AA48" s="118">
        <v>0</v>
      </c>
      <c r="AB48" s="118">
        <v>0</v>
      </c>
      <c r="AC48" s="118">
        <v>0</v>
      </c>
      <c r="AD48" s="118">
        <v>0</v>
      </c>
      <c r="AE48" s="118">
        <v>0</v>
      </c>
      <c r="AF48" s="118">
        <v>0</v>
      </c>
      <c r="AG48" s="118">
        <v>0</v>
      </c>
      <c r="AH48" s="118">
        <v>5.0200000000000002E-2</v>
      </c>
      <c r="AI48" s="118">
        <v>0</v>
      </c>
      <c r="AJ48" s="118">
        <v>0</v>
      </c>
      <c r="AK48" s="118">
        <v>2.3514546692180803E-2</v>
      </c>
      <c r="AL48" s="216">
        <v>6.2103685099172599E-2</v>
      </c>
      <c r="AM48" s="118">
        <v>1E-3</v>
      </c>
      <c r="AN48" s="118">
        <v>0</v>
      </c>
      <c r="AO48" s="118">
        <v>4.3E-3</v>
      </c>
      <c r="AP48" s="118">
        <v>7.3999999999999996E-2</v>
      </c>
      <c r="AQ48" s="216">
        <v>3.5000000000000003E-2</v>
      </c>
      <c r="AR48" s="216">
        <v>5.5E-2</v>
      </c>
      <c r="AS48" s="118">
        <v>0</v>
      </c>
      <c r="AT48" s="118">
        <v>1.9595455576817337E-3</v>
      </c>
      <c r="AU48" s="118">
        <v>0</v>
      </c>
      <c r="AV48" s="222">
        <v>0</v>
      </c>
      <c r="AW48" s="118">
        <v>0</v>
      </c>
      <c r="AX48" s="118">
        <v>0</v>
      </c>
      <c r="AY48" s="118">
        <v>0</v>
      </c>
      <c r="AZ48" s="118">
        <v>0</v>
      </c>
      <c r="BA48" s="118">
        <v>0</v>
      </c>
      <c r="BB48" s="118">
        <v>0</v>
      </c>
      <c r="BC48" s="118">
        <v>0</v>
      </c>
      <c r="BD48" s="118">
        <v>0</v>
      </c>
      <c r="BE48" s="118">
        <v>0</v>
      </c>
      <c r="BF48" s="118">
        <v>0</v>
      </c>
      <c r="BG48" s="118">
        <v>0</v>
      </c>
      <c r="BH48" s="118">
        <v>0</v>
      </c>
      <c r="BI48" s="118">
        <v>0</v>
      </c>
      <c r="BJ48" s="118">
        <v>0</v>
      </c>
      <c r="BK48" s="118">
        <v>0</v>
      </c>
      <c r="BL48" s="118">
        <v>0</v>
      </c>
      <c r="BM48" s="118">
        <v>0</v>
      </c>
      <c r="BN48" s="118">
        <v>0</v>
      </c>
      <c r="BO48" s="118">
        <v>0</v>
      </c>
      <c r="BP48" s="118">
        <v>0</v>
      </c>
      <c r="BQ48" s="118">
        <v>0</v>
      </c>
      <c r="BR48" s="118">
        <v>0</v>
      </c>
      <c r="BS48" s="118">
        <v>0.03</v>
      </c>
      <c r="BT48" s="118">
        <v>0</v>
      </c>
      <c r="BU48" s="118">
        <v>0</v>
      </c>
      <c r="BV48" s="118">
        <v>0</v>
      </c>
      <c r="BW48" s="118">
        <v>0.11757273346090401</v>
      </c>
      <c r="BX48" s="118">
        <v>9.0139095653359747E-3</v>
      </c>
      <c r="BY48" s="118">
        <v>0</v>
      </c>
      <c r="BZ48" s="118">
        <v>6.0000000000000001E-3</v>
      </c>
      <c r="CA48">
        <v>2E-3</v>
      </c>
      <c r="CB48">
        <v>0</v>
      </c>
      <c r="CC48">
        <v>0</v>
      </c>
      <c r="CD48">
        <v>0</v>
      </c>
      <c r="CE48">
        <v>0</v>
      </c>
      <c r="CF48">
        <v>0</v>
      </c>
    </row>
    <row r="49" spans="1:84" x14ac:dyDescent="0.15">
      <c r="A49" t="s">
        <v>220</v>
      </c>
      <c r="B49" s="118">
        <v>0</v>
      </c>
      <c r="C49" s="118">
        <v>0</v>
      </c>
      <c r="D49" s="118">
        <v>0</v>
      </c>
      <c r="E49" s="118">
        <v>0</v>
      </c>
      <c r="F49" s="118">
        <v>0</v>
      </c>
      <c r="G49" s="118">
        <v>0</v>
      </c>
      <c r="H49" s="118">
        <v>0</v>
      </c>
      <c r="I49" s="118">
        <v>0</v>
      </c>
      <c r="J49" s="118">
        <v>0</v>
      </c>
      <c r="K49" s="118">
        <v>0</v>
      </c>
      <c r="L49" s="118">
        <v>0</v>
      </c>
      <c r="M49" s="118">
        <v>0</v>
      </c>
      <c r="N49" s="118">
        <v>0</v>
      </c>
      <c r="O49" s="118">
        <v>0</v>
      </c>
      <c r="P49" s="118">
        <v>0</v>
      </c>
      <c r="Q49" s="118">
        <v>0</v>
      </c>
      <c r="R49" s="118">
        <v>0.01</v>
      </c>
      <c r="S49" s="118">
        <v>0</v>
      </c>
      <c r="T49" s="118">
        <v>0</v>
      </c>
      <c r="U49" s="118">
        <v>0</v>
      </c>
      <c r="V49" s="118">
        <v>0</v>
      </c>
      <c r="W49" s="118">
        <v>0</v>
      </c>
      <c r="X49" s="118">
        <v>0</v>
      </c>
      <c r="Y49" s="118">
        <v>0</v>
      </c>
      <c r="Z49" s="118">
        <v>0</v>
      </c>
      <c r="AA49" s="118">
        <v>0</v>
      </c>
      <c r="AB49" s="118">
        <v>0</v>
      </c>
      <c r="AC49" s="118">
        <v>0</v>
      </c>
      <c r="AD49" s="118">
        <v>0</v>
      </c>
      <c r="AE49" s="118">
        <v>0</v>
      </c>
      <c r="AF49" s="118">
        <v>0</v>
      </c>
      <c r="AG49" s="118">
        <v>0</v>
      </c>
      <c r="AH49" s="118">
        <v>2.01E-2</v>
      </c>
      <c r="AI49" s="118">
        <v>0</v>
      </c>
      <c r="AJ49" s="118">
        <v>0</v>
      </c>
      <c r="AK49" s="118">
        <v>2.1905489805238904E-2</v>
      </c>
      <c r="AL49" s="216">
        <v>0.01</v>
      </c>
      <c r="AM49" s="118">
        <v>2E-3</v>
      </c>
      <c r="AN49" s="118">
        <v>0</v>
      </c>
      <c r="AO49" s="216">
        <v>1.4999999999999999E-2</v>
      </c>
      <c r="AP49" s="118">
        <v>0.05</v>
      </c>
      <c r="AQ49" s="216">
        <v>2.5000000000000001E-2</v>
      </c>
      <c r="AR49" s="216">
        <v>4.3999999999999997E-2</v>
      </c>
      <c r="AS49" s="118">
        <v>2E-3</v>
      </c>
      <c r="AT49" s="118">
        <v>1.8254574837699086E-3</v>
      </c>
      <c r="AU49" s="118">
        <v>3.0999999999999999E-3</v>
      </c>
      <c r="AV49" s="118">
        <v>2E-3</v>
      </c>
      <c r="AW49" s="222">
        <v>0</v>
      </c>
      <c r="AX49" s="118">
        <v>0</v>
      </c>
      <c r="AY49" s="118">
        <v>0</v>
      </c>
      <c r="AZ49" s="118">
        <v>0</v>
      </c>
      <c r="BA49" s="118">
        <v>0</v>
      </c>
      <c r="BB49" s="118">
        <v>0</v>
      </c>
      <c r="BC49" s="118">
        <v>0</v>
      </c>
      <c r="BD49" s="118">
        <v>0</v>
      </c>
      <c r="BE49" s="118">
        <v>0</v>
      </c>
      <c r="BF49" s="118">
        <v>0</v>
      </c>
      <c r="BG49" s="118">
        <v>0</v>
      </c>
      <c r="BH49" s="118">
        <v>0</v>
      </c>
      <c r="BI49" s="118">
        <v>0</v>
      </c>
      <c r="BJ49" s="118">
        <v>0.01</v>
      </c>
      <c r="BK49" s="118">
        <v>0</v>
      </c>
      <c r="BL49" s="118">
        <v>0</v>
      </c>
      <c r="BM49" s="118">
        <v>0</v>
      </c>
      <c r="BN49" s="118">
        <v>0.05</v>
      </c>
      <c r="BO49" s="118">
        <v>5.0000000000000001E-3</v>
      </c>
      <c r="BP49" s="118">
        <v>5.1000000000000004E-3</v>
      </c>
      <c r="BQ49" s="118">
        <v>0</v>
      </c>
      <c r="BR49" s="118">
        <v>0</v>
      </c>
      <c r="BS49" s="118">
        <v>0.05</v>
      </c>
      <c r="BT49" s="118">
        <v>0</v>
      </c>
      <c r="BU49" s="118">
        <v>0</v>
      </c>
      <c r="BV49" s="118">
        <v>0</v>
      </c>
      <c r="BW49" s="118">
        <v>0.10952744902619452</v>
      </c>
      <c r="BX49" s="118">
        <v>8.3971044253415804E-3</v>
      </c>
      <c r="BY49" s="118">
        <v>0</v>
      </c>
      <c r="BZ49" s="118">
        <v>0.01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</row>
    <row r="50" spans="1:84" x14ac:dyDescent="0.15">
      <c r="A50" t="s">
        <v>221</v>
      </c>
      <c r="B50" s="118">
        <v>0</v>
      </c>
      <c r="C50" s="118">
        <v>0</v>
      </c>
      <c r="D50" s="118">
        <v>0</v>
      </c>
      <c r="E50" s="118">
        <v>0</v>
      </c>
      <c r="F50" s="118">
        <v>0</v>
      </c>
      <c r="G50" s="118">
        <v>0</v>
      </c>
      <c r="H50" s="118">
        <v>0</v>
      </c>
      <c r="I50" s="118">
        <v>0</v>
      </c>
      <c r="J50" s="118">
        <v>0</v>
      </c>
      <c r="K50" s="118">
        <v>0</v>
      </c>
      <c r="L50" s="118">
        <v>0</v>
      </c>
      <c r="M50" s="118">
        <v>0</v>
      </c>
      <c r="N50" s="118">
        <v>0</v>
      </c>
      <c r="O50" s="118">
        <v>0</v>
      </c>
      <c r="P50" s="118">
        <v>0</v>
      </c>
      <c r="Q50" s="118">
        <v>0</v>
      </c>
      <c r="R50" s="118">
        <v>0</v>
      </c>
      <c r="S50" s="118">
        <v>0</v>
      </c>
      <c r="T50" s="118">
        <v>0</v>
      </c>
      <c r="U50" s="118">
        <v>0</v>
      </c>
      <c r="V50" s="118">
        <v>0</v>
      </c>
      <c r="W50" s="118">
        <v>0</v>
      </c>
      <c r="X50" s="118">
        <v>0</v>
      </c>
      <c r="Y50" s="118">
        <v>0</v>
      </c>
      <c r="Z50" s="118">
        <v>0</v>
      </c>
      <c r="AA50" s="118">
        <v>0</v>
      </c>
      <c r="AB50" s="118">
        <v>0</v>
      </c>
      <c r="AC50" s="118">
        <v>0</v>
      </c>
      <c r="AD50" s="118">
        <v>0</v>
      </c>
      <c r="AE50" s="118">
        <v>0</v>
      </c>
      <c r="AF50" s="118">
        <v>0</v>
      </c>
      <c r="AG50" s="118">
        <v>0</v>
      </c>
      <c r="AH50" s="118">
        <v>0</v>
      </c>
      <c r="AI50" s="118">
        <v>0</v>
      </c>
      <c r="AJ50" s="118">
        <v>0</v>
      </c>
      <c r="AK50" s="118">
        <v>0</v>
      </c>
      <c r="AL50" s="118">
        <v>0</v>
      </c>
      <c r="AM50" s="118">
        <v>0</v>
      </c>
      <c r="AN50" s="118">
        <v>0</v>
      </c>
      <c r="AO50" s="216">
        <v>8.0999999999999996E-3</v>
      </c>
      <c r="AP50" s="118">
        <v>0</v>
      </c>
      <c r="AQ50" s="216">
        <v>4.0000000000000001E-3</v>
      </c>
      <c r="AR50" s="118">
        <v>0</v>
      </c>
      <c r="AS50" s="118">
        <v>0</v>
      </c>
      <c r="AT50" s="118">
        <v>0</v>
      </c>
      <c r="AU50" s="118">
        <v>0</v>
      </c>
      <c r="AV50" s="118">
        <v>0</v>
      </c>
      <c r="AW50" s="118">
        <v>0</v>
      </c>
      <c r="AX50" s="222">
        <v>0</v>
      </c>
      <c r="AY50" s="118">
        <v>0</v>
      </c>
      <c r="AZ50" s="118">
        <v>0</v>
      </c>
      <c r="BA50" s="118">
        <v>0</v>
      </c>
      <c r="BB50" s="118">
        <v>0</v>
      </c>
      <c r="BC50" s="118">
        <v>0</v>
      </c>
      <c r="BD50" s="118">
        <v>0</v>
      </c>
      <c r="BE50" s="118">
        <v>0</v>
      </c>
      <c r="BF50" s="118">
        <v>0</v>
      </c>
      <c r="BG50" s="118">
        <v>0</v>
      </c>
      <c r="BH50" s="118">
        <v>0</v>
      </c>
      <c r="BI50" s="118">
        <v>0</v>
      </c>
      <c r="BJ50" s="118">
        <v>0</v>
      </c>
      <c r="BK50" s="118">
        <v>0</v>
      </c>
      <c r="BL50" s="118">
        <v>0</v>
      </c>
      <c r="BM50" s="118">
        <v>0</v>
      </c>
      <c r="BN50" s="118">
        <v>0</v>
      </c>
      <c r="BO50" s="118">
        <v>0</v>
      </c>
      <c r="BP50" s="118">
        <v>0</v>
      </c>
      <c r="BQ50" s="118">
        <v>0</v>
      </c>
      <c r="BR50" s="118">
        <v>0</v>
      </c>
      <c r="BS50" s="118">
        <v>0</v>
      </c>
      <c r="BT50" s="118">
        <v>0</v>
      </c>
      <c r="BU50" s="118">
        <v>0</v>
      </c>
      <c r="BV50" s="118">
        <v>0</v>
      </c>
      <c r="BW50" s="118">
        <v>0</v>
      </c>
      <c r="BX50" s="118">
        <v>0</v>
      </c>
      <c r="BY50" s="118">
        <v>0</v>
      </c>
      <c r="BZ50" s="118">
        <v>0</v>
      </c>
      <c r="CA50">
        <v>7.0000000000000001E-3</v>
      </c>
      <c r="CB50">
        <v>0</v>
      </c>
      <c r="CC50">
        <v>0</v>
      </c>
      <c r="CD50">
        <v>0</v>
      </c>
      <c r="CE50">
        <v>0</v>
      </c>
      <c r="CF50">
        <v>0</v>
      </c>
    </row>
    <row r="51" spans="1:84" x14ac:dyDescent="0.15">
      <c r="A51" t="s">
        <v>222</v>
      </c>
      <c r="B51" s="118">
        <v>0</v>
      </c>
      <c r="C51" s="118">
        <v>0</v>
      </c>
      <c r="D51" s="118">
        <v>0</v>
      </c>
      <c r="E51" s="118">
        <v>0</v>
      </c>
      <c r="F51" s="118">
        <v>0</v>
      </c>
      <c r="G51" s="118">
        <v>0</v>
      </c>
      <c r="H51" s="118">
        <v>0</v>
      </c>
      <c r="I51" s="118">
        <v>0</v>
      </c>
      <c r="J51" s="118">
        <v>0</v>
      </c>
      <c r="K51" s="118">
        <v>0</v>
      </c>
      <c r="L51" s="118">
        <v>0</v>
      </c>
      <c r="M51" s="118">
        <v>0</v>
      </c>
      <c r="N51" s="118">
        <v>0</v>
      </c>
      <c r="O51" s="118">
        <v>0</v>
      </c>
      <c r="P51" s="118">
        <v>0</v>
      </c>
      <c r="Q51" s="118">
        <v>8.0000000000000019E-3</v>
      </c>
      <c r="R51" s="118">
        <v>5.0000000000000001E-3</v>
      </c>
      <c r="S51" s="118">
        <v>0</v>
      </c>
      <c r="T51" s="118">
        <v>0</v>
      </c>
      <c r="U51" s="118">
        <v>0</v>
      </c>
      <c r="V51" s="118">
        <v>0</v>
      </c>
      <c r="W51" s="118">
        <v>0</v>
      </c>
      <c r="X51" s="118">
        <v>0.11942891265403616</v>
      </c>
      <c r="Y51" s="118">
        <v>0.36199999999999999</v>
      </c>
      <c r="Z51" s="118">
        <v>4.2999999999999997E-2</v>
      </c>
      <c r="AA51" s="118">
        <v>0.391618365398965</v>
      </c>
      <c r="AB51" s="118">
        <v>3.3878303487489031E-3</v>
      </c>
      <c r="AC51" s="118">
        <v>3.3139650487152865E-3</v>
      </c>
      <c r="AD51" s="118">
        <v>4.0318313081780646E-2</v>
      </c>
      <c r="AE51" s="118">
        <v>2.560648970875179E-2</v>
      </c>
      <c r="AF51" s="118">
        <v>5.0043370921465276E-2</v>
      </c>
      <c r="AG51" s="118">
        <v>2.6337246243375904E-2</v>
      </c>
      <c r="AH51" s="118">
        <v>2.6113157013726143E-2</v>
      </c>
      <c r="AI51" s="118">
        <v>1.6500000000000001E-2</v>
      </c>
      <c r="AJ51" s="118">
        <v>2.3847232554582948E-2</v>
      </c>
      <c r="AK51" s="216">
        <v>1.1452E-2</v>
      </c>
      <c r="AL51" s="216">
        <v>3.1E-2</v>
      </c>
      <c r="AM51" s="216">
        <v>2.2499999999999999E-2</v>
      </c>
      <c r="AN51" s="118">
        <v>3.0000000000000001E-3</v>
      </c>
      <c r="AO51" s="118">
        <v>3.567233340299647E-2</v>
      </c>
      <c r="AP51" s="118">
        <v>1.7007126559972465E-2</v>
      </c>
      <c r="AQ51" s="216">
        <v>1.7999999999999999E-2</v>
      </c>
      <c r="AR51" s="118">
        <v>2.3E-2</v>
      </c>
      <c r="AS51" s="118">
        <v>8.0000000000000002E-3</v>
      </c>
      <c r="AT51" s="118">
        <v>7.0557047893116155E-3</v>
      </c>
      <c r="AU51" s="118">
        <v>3.0727787650502137E-3</v>
      </c>
      <c r="AV51" s="118">
        <v>0</v>
      </c>
      <c r="AW51" s="118">
        <v>3.0262273032952251E-3</v>
      </c>
      <c r="AX51" s="118">
        <v>0</v>
      </c>
      <c r="AY51" s="222">
        <v>6.2983529806955475E-3</v>
      </c>
      <c r="AZ51" s="118">
        <v>6.1956589083248985E-3</v>
      </c>
      <c r="BA51" s="118">
        <v>0</v>
      </c>
      <c r="BB51" s="118">
        <v>0</v>
      </c>
      <c r="BC51" s="118">
        <v>0</v>
      </c>
      <c r="BD51" s="118">
        <v>0</v>
      </c>
      <c r="BE51" s="118">
        <v>0</v>
      </c>
      <c r="BF51" s="118">
        <v>0</v>
      </c>
      <c r="BG51" s="118">
        <v>0</v>
      </c>
      <c r="BH51" s="118">
        <v>0</v>
      </c>
      <c r="BI51" s="118">
        <v>0</v>
      </c>
      <c r="BJ51" s="118">
        <v>1.1999999999999997E-2</v>
      </c>
      <c r="BK51" s="118">
        <v>0</v>
      </c>
      <c r="BL51" s="118">
        <v>0</v>
      </c>
      <c r="BM51" s="118">
        <v>0</v>
      </c>
      <c r="BN51" s="118">
        <v>0</v>
      </c>
      <c r="BO51" s="118">
        <v>0</v>
      </c>
      <c r="BP51" s="118">
        <v>0</v>
      </c>
      <c r="BQ51" s="118">
        <v>0</v>
      </c>
      <c r="BR51" s="118">
        <v>0</v>
      </c>
      <c r="BS51" s="118">
        <v>0</v>
      </c>
      <c r="BT51" s="118">
        <v>0</v>
      </c>
      <c r="BU51" s="118">
        <v>0</v>
      </c>
      <c r="BV51" s="118">
        <v>1.4E-2</v>
      </c>
      <c r="BW51" s="118">
        <v>0</v>
      </c>
      <c r="BX51" s="118">
        <v>0</v>
      </c>
      <c r="BY51" s="118">
        <v>2E-3</v>
      </c>
      <c r="BZ51" s="118">
        <v>2E-3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</row>
    <row r="52" spans="1:84" x14ac:dyDescent="0.15">
      <c r="A52" t="s">
        <v>223</v>
      </c>
      <c r="B52" s="118">
        <v>0</v>
      </c>
      <c r="C52" s="118">
        <v>0</v>
      </c>
      <c r="D52" s="118">
        <v>0</v>
      </c>
      <c r="E52" s="118">
        <v>0</v>
      </c>
      <c r="F52" s="118">
        <v>0</v>
      </c>
      <c r="G52" s="118">
        <v>0</v>
      </c>
      <c r="H52" s="118">
        <v>0</v>
      </c>
      <c r="I52" s="118">
        <v>0</v>
      </c>
      <c r="J52" s="118">
        <v>0</v>
      </c>
      <c r="K52" s="118">
        <v>0</v>
      </c>
      <c r="L52" s="118">
        <v>0</v>
      </c>
      <c r="M52" s="118">
        <v>0</v>
      </c>
      <c r="N52" s="118">
        <v>0</v>
      </c>
      <c r="O52" s="118">
        <v>0</v>
      </c>
      <c r="P52" s="118">
        <v>0</v>
      </c>
      <c r="Q52" s="118">
        <v>4.000000000000001E-3</v>
      </c>
      <c r="R52" s="118">
        <v>4.0000000000000001E-3</v>
      </c>
      <c r="S52" s="118">
        <v>1.1343334373138985E-2</v>
      </c>
      <c r="T52" s="118">
        <v>0</v>
      </c>
      <c r="U52" s="118">
        <v>1.0063561454144376E-3</v>
      </c>
      <c r="V52" s="118">
        <v>0.01</v>
      </c>
      <c r="W52" s="118">
        <v>1.1343334373138984E-3</v>
      </c>
      <c r="X52" s="118">
        <v>0.23885782530807231</v>
      </c>
      <c r="Y52" s="118">
        <v>0.39400000000000002</v>
      </c>
      <c r="Z52" s="118">
        <v>0.54100000000000004</v>
      </c>
      <c r="AA52" s="118">
        <v>0.29146021568055963</v>
      </c>
      <c r="AB52" s="118">
        <v>0.10276418724538339</v>
      </c>
      <c r="AC52" s="118">
        <v>3.3139650487152865E-3</v>
      </c>
      <c r="AD52" s="118">
        <v>2.0159156540890323E-2</v>
      </c>
      <c r="AE52" s="118">
        <v>2.0485191767001431E-2</v>
      </c>
      <c r="AF52" s="118">
        <v>5.0043370921465276E-2</v>
      </c>
      <c r="AG52" s="118">
        <v>2.6337246243375904E-2</v>
      </c>
      <c r="AH52" s="118">
        <v>3.1221961834616702E-2</v>
      </c>
      <c r="AI52" s="118">
        <v>2.8899999999999999E-2</v>
      </c>
      <c r="AJ52" s="118">
        <v>4.8731301307191242E-2</v>
      </c>
      <c r="AK52" s="216">
        <v>5.0000000000000001E-3</v>
      </c>
      <c r="AL52" s="216">
        <v>2.2387000000000001E-2</v>
      </c>
      <c r="AM52" s="216">
        <v>3.4866000000000001E-2</v>
      </c>
      <c r="AN52" s="118">
        <v>1E-3</v>
      </c>
      <c r="AO52" s="118">
        <v>4.0263687005902098E-2</v>
      </c>
      <c r="AP52" s="118">
        <v>0.03</v>
      </c>
      <c r="AQ52" s="216">
        <v>0.02</v>
      </c>
      <c r="AR52" s="118">
        <v>0.02</v>
      </c>
      <c r="AS52" s="118">
        <v>1.6E-2</v>
      </c>
      <c r="AT52" s="118">
        <v>3.0238734811335495E-3</v>
      </c>
      <c r="AU52" s="118">
        <v>7.1698171184504987E-3</v>
      </c>
      <c r="AV52" s="118">
        <v>0</v>
      </c>
      <c r="AW52" s="118">
        <v>7.0611970410221917E-3</v>
      </c>
      <c r="AX52" s="118">
        <v>0</v>
      </c>
      <c r="AY52" s="118">
        <v>1.4696156954956277E-2</v>
      </c>
      <c r="AZ52" s="222">
        <v>1.4456537452758097E-2</v>
      </c>
      <c r="BA52" s="118">
        <v>0</v>
      </c>
      <c r="BB52" s="118">
        <v>0</v>
      </c>
      <c r="BC52" s="118">
        <v>0</v>
      </c>
      <c r="BD52" s="118">
        <v>5.0000000000000001E-3</v>
      </c>
      <c r="BE52" s="118">
        <v>0</v>
      </c>
      <c r="BF52" s="118">
        <v>0</v>
      </c>
      <c r="BG52" s="118">
        <v>0</v>
      </c>
      <c r="BH52" s="118">
        <v>0</v>
      </c>
      <c r="BI52" s="118">
        <v>0</v>
      </c>
      <c r="BJ52" s="118">
        <v>1.7999999999999999E-2</v>
      </c>
      <c r="BK52" s="118">
        <v>0</v>
      </c>
      <c r="BL52" s="118">
        <v>0</v>
      </c>
      <c r="BM52" s="118">
        <v>0</v>
      </c>
      <c r="BN52" s="118">
        <v>0</v>
      </c>
      <c r="BO52" s="118">
        <v>0</v>
      </c>
      <c r="BP52" s="118">
        <v>0</v>
      </c>
      <c r="BQ52" s="118">
        <v>0</v>
      </c>
      <c r="BR52" s="118">
        <v>0</v>
      </c>
      <c r="BS52" s="118">
        <v>0</v>
      </c>
      <c r="BT52" s="118">
        <v>0</v>
      </c>
      <c r="BU52" s="118">
        <v>0</v>
      </c>
      <c r="BV52" s="118">
        <v>0.01</v>
      </c>
      <c r="BW52" s="118">
        <v>0</v>
      </c>
      <c r="BX52" s="118">
        <v>0</v>
      </c>
      <c r="BY52" s="118">
        <v>2E-3</v>
      </c>
      <c r="BZ52" s="118">
        <v>2E-3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</row>
    <row r="53" spans="1:84" x14ac:dyDescent="0.15">
      <c r="A53" t="s">
        <v>224</v>
      </c>
      <c r="B53" s="118">
        <v>0</v>
      </c>
      <c r="C53" s="118">
        <v>0</v>
      </c>
      <c r="D53" s="118">
        <v>0</v>
      </c>
      <c r="E53" s="118">
        <v>0</v>
      </c>
      <c r="F53" s="118">
        <v>0</v>
      </c>
      <c r="G53" s="118">
        <v>0</v>
      </c>
      <c r="H53" s="118">
        <v>0</v>
      </c>
      <c r="I53" s="118">
        <v>0</v>
      </c>
      <c r="J53" s="118">
        <v>0</v>
      </c>
      <c r="K53" s="118">
        <v>0</v>
      </c>
      <c r="L53" s="118">
        <v>0</v>
      </c>
      <c r="M53" s="118">
        <v>0</v>
      </c>
      <c r="N53" s="118">
        <v>0</v>
      </c>
      <c r="O53" s="118">
        <v>0</v>
      </c>
      <c r="P53" s="118">
        <v>0</v>
      </c>
      <c r="Q53" s="118">
        <v>0</v>
      </c>
      <c r="R53" s="118">
        <v>1E-3</v>
      </c>
      <c r="S53" s="118">
        <v>0</v>
      </c>
      <c r="T53" s="118">
        <v>0</v>
      </c>
      <c r="U53" s="118">
        <v>0</v>
      </c>
      <c r="V53" s="118">
        <v>0</v>
      </c>
      <c r="W53" s="118">
        <v>0</v>
      </c>
      <c r="X53" s="118">
        <v>0</v>
      </c>
      <c r="Y53" s="118">
        <v>0</v>
      </c>
      <c r="Z53" s="118">
        <v>0</v>
      </c>
      <c r="AA53" s="118">
        <v>0</v>
      </c>
      <c r="AB53" s="118">
        <v>0</v>
      </c>
      <c r="AC53" s="118">
        <v>0</v>
      </c>
      <c r="AD53" s="118">
        <v>0</v>
      </c>
      <c r="AE53" s="118">
        <v>0</v>
      </c>
      <c r="AF53" s="118">
        <v>0</v>
      </c>
      <c r="AG53" s="118">
        <v>0</v>
      </c>
      <c r="AH53" s="118">
        <v>5.0000000000000001E-3</v>
      </c>
      <c r="AI53" s="118">
        <v>5.0000000000000001E-3</v>
      </c>
      <c r="AJ53" s="118">
        <v>5.0000000000000001E-3</v>
      </c>
      <c r="AK53" s="118">
        <v>2E-3</v>
      </c>
      <c r="AL53" s="216">
        <v>0.04</v>
      </c>
      <c r="AM53" s="216">
        <v>5.0000000000000001E-3</v>
      </c>
      <c r="AN53" s="118">
        <v>0</v>
      </c>
      <c r="AO53" s="118">
        <v>0.03</v>
      </c>
      <c r="AP53" s="118">
        <v>3.0000000000000001E-3</v>
      </c>
      <c r="AQ53" s="216">
        <v>2E-3</v>
      </c>
      <c r="AR53" s="118">
        <v>2.7E-2</v>
      </c>
      <c r="AS53" s="118">
        <v>1E-3</v>
      </c>
      <c r="AT53" s="118">
        <v>0</v>
      </c>
      <c r="AU53" s="118">
        <v>0</v>
      </c>
      <c r="AV53" s="118">
        <v>0</v>
      </c>
      <c r="AW53" s="118">
        <v>0</v>
      </c>
      <c r="AX53" s="118">
        <v>0</v>
      </c>
      <c r="AY53" s="118">
        <v>0</v>
      </c>
      <c r="AZ53" s="118">
        <v>0</v>
      </c>
      <c r="BA53" s="222">
        <v>0</v>
      </c>
      <c r="BB53" s="118">
        <v>0</v>
      </c>
      <c r="BC53" s="118">
        <v>0</v>
      </c>
      <c r="BD53" s="118">
        <v>0</v>
      </c>
      <c r="BE53" s="118">
        <v>0</v>
      </c>
      <c r="BF53" s="118">
        <v>0</v>
      </c>
      <c r="BG53" s="118">
        <v>0</v>
      </c>
      <c r="BH53" s="118">
        <v>0</v>
      </c>
      <c r="BI53" s="118">
        <v>0</v>
      </c>
      <c r="BJ53" s="118">
        <v>1.4999999999999999E-2</v>
      </c>
      <c r="BK53" s="118">
        <v>0</v>
      </c>
      <c r="BL53" s="118">
        <v>0</v>
      </c>
      <c r="BM53" s="118">
        <v>0</v>
      </c>
      <c r="BN53" s="118">
        <v>0</v>
      </c>
      <c r="BO53" s="118">
        <v>0</v>
      </c>
      <c r="BP53" s="118">
        <v>0</v>
      </c>
      <c r="BQ53" s="118">
        <v>0</v>
      </c>
      <c r="BR53" s="118">
        <v>0</v>
      </c>
      <c r="BS53" s="118">
        <v>0</v>
      </c>
      <c r="BT53" s="118">
        <v>0</v>
      </c>
      <c r="BU53" s="118">
        <v>0</v>
      </c>
      <c r="BV53" s="118">
        <v>1E-3</v>
      </c>
      <c r="BW53" s="118">
        <v>0</v>
      </c>
      <c r="BX53" s="118">
        <v>0</v>
      </c>
      <c r="BY53" s="118">
        <v>2E-3</v>
      </c>
      <c r="BZ53" s="118">
        <v>1E-3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</row>
    <row r="54" spans="1:84" x14ac:dyDescent="0.15">
      <c r="A54" t="s">
        <v>225</v>
      </c>
      <c r="B54" s="118">
        <v>0</v>
      </c>
      <c r="C54" s="118">
        <v>0</v>
      </c>
      <c r="D54" s="118">
        <v>0</v>
      </c>
      <c r="E54" s="118">
        <v>0</v>
      </c>
      <c r="F54" s="118">
        <v>0</v>
      </c>
      <c r="G54" s="118">
        <v>0</v>
      </c>
      <c r="H54" s="118">
        <v>0</v>
      </c>
      <c r="I54" s="118">
        <v>0</v>
      </c>
      <c r="J54" s="118">
        <v>0</v>
      </c>
      <c r="K54" s="118">
        <v>0</v>
      </c>
      <c r="L54" s="118">
        <v>0</v>
      </c>
      <c r="M54" s="118">
        <v>0</v>
      </c>
      <c r="N54" s="118">
        <v>0</v>
      </c>
      <c r="O54" s="118">
        <v>0</v>
      </c>
      <c r="P54" s="118">
        <v>0</v>
      </c>
      <c r="Q54" s="118">
        <v>0</v>
      </c>
      <c r="R54" s="118">
        <v>0</v>
      </c>
      <c r="S54" s="118">
        <v>0</v>
      </c>
      <c r="T54" s="118">
        <v>0</v>
      </c>
      <c r="U54" s="118">
        <v>0</v>
      </c>
      <c r="V54" s="118">
        <v>0</v>
      </c>
      <c r="W54" s="118">
        <v>0</v>
      </c>
      <c r="X54" s="118">
        <v>0</v>
      </c>
      <c r="Y54" s="118">
        <v>0</v>
      </c>
      <c r="Z54" s="118">
        <v>0</v>
      </c>
      <c r="AA54" s="118">
        <v>0</v>
      </c>
      <c r="AB54" s="118">
        <v>0</v>
      </c>
      <c r="AC54" s="118">
        <v>0</v>
      </c>
      <c r="AD54" s="118">
        <v>0</v>
      </c>
      <c r="AE54" s="118">
        <v>0</v>
      </c>
      <c r="AF54" s="118">
        <v>0</v>
      </c>
      <c r="AG54" s="118">
        <v>0</v>
      </c>
      <c r="AH54" s="118">
        <v>0</v>
      </c>
      <c r="AI54" s="118">
        <v>0</v>
      </c>
      <c r="AJ54" s="118">
        <v>0</v>
      </c>
      <c r="AK54" s="118">
        <v>0</v>
      </c>
      <c r="AL54" s="216">
        <v>0.115</v>
      </c>
      <c r="AM54" s="118">
        <v>0</v>
      </c>
      <c r="AN54" s="118">
        <v>0</v>
      </c>
      <c r="AO54" s="216">
        <v>4.5499999999999999E-2</v>
      </c>
      <c r="AP54" s="118">
        <v>0</v>
      </c>
      <c r="AQ54" s="216">
        <v>1.2999999999999999E-2</v>
      </c>
      <c r="AR54" s="216">
        <v>3.9E-2</v>
      </c>
      <c r="AS54" s="118">
        <v>0.35</v>
      </c>
      <c r="AT54" s="118">
        <v>0</v>
      </c>
      <c r="AU54" s="118">
        <v>5.1212979417503565E-2</v>
      </c>
      <c r="AV54" s="118">
        <v>0.60237788670777892</v>
      </c>
      <c r="AW54" s="118">
        <v>0.15131136516476124</v>
      </c>
      <c r="AX54" s="118">
        <v>0.15</v>
      </c>
      <c r="AY54" s="118">
        <v>0</v>
      </c>
      <c r="AZ54" s="118">
        <v>1.0326098180541497E-2</v>
      </c>
      <c r="BA54" s="118">
        <v>0.05</v>
      </c>
      <c r="BB54" s="222">
        <v>0</v>
      </c>
      <c r="BC54" s="118">
        <v>0.2</v>
      </c>
      <c r="BD54" s="118">
        <v>0.29199999999999998</v>
      </c>
      <c r="BE54" s="118">
        <v>0.29993728186305901</v>
      </c>
      <c r="BF54" s="118">
        <v>0</v>
      </c>
      <c r="BG54" s="118">
        <v>0.05</v>
      </c>
      <c r="BH54" s="118">
        <v>0</v>
      </c>
      <c r="BI54" s="118">
        <v>0</v>
      </c>
      <c r="BJ54" s="118">
        <v>0.1</v>
      </c>
      <c r="BK54" s="118">
        <v>0.4</v>
      </c>
      <c r="BL54" s="118">
        <v>0.33500000000000002</v>
      </c>
      <c r="BM54" s="118">
        <v>0</v>
      </c>
      <c r="BN54" s="118">
        <v>0</v>
      </c>
      <c r="BO54" s="118">
        <v>0</v>
      </c>
      <c r="BP54" s="118">
        <v>0</v>
      </c>
      <c r="BQ54" s="118">
        <v>0</v>
      </c>
      <c r="BR54" s="118">
        <v>0</v>
      </c>
      <c r="BS54" s="118">
        <v>0</v>
      </c>
      <c r="BT54" s="118">
        <v>0</v>
      </c>
      <c r="BU54" s="118">
        <v>0.03</v>
      </c>
      <c r="BV54" s="118">
        <v>0</v>
      </c>
      <c r="BW54" s="118">
        <v>0</v>
      </c>
      <c r="BX54" s="118">
        <v>0</v>
      </c>
      <c r="BY54" s="118">
        <v>0</v>
      </c>
      <c r="BZ54" s="118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</row>
    <row r="55" spans="1:84" x14ac:dyDescent="0.15">
      <c r="A55" t="s">
        <v>226</v>
      </c>
      <c r="B55" s="118">
        <v>0</v>
      </c>
      <c r="C55" s="118">
        <v>0</v>
      </c>
      <c r="D55" s="118">
        <v>0</v>
      </c>
      <c r="E55" s="118">
        <v>0</v>
      </c>
      <c r="F55" s="118">
        <v>0</v>
      </c>
      <c r="G55" s="118">
        <v>0</v>
      </c>
      <c r="H55" s="118">
        <v>0</v>
      </c>
      <c r="I55" s="118">
        <v>0</v>
      </c>
      <c r="J55" s="118">
        <v>0</v>
      </c>
      <c r="K55" s="118">
        <v>0</v>
      </c>
      <c r="L55" s="118">
        <v>0</v>
      </c>
      <c r="M55" s="118">
        <v>0</v>
      </c>
      <c r="N55" s="118">
        <v>0</v>
      </c>
      <c r="O55" s="118">
        <v>0</v>
      </c>
      <c r="P55" s="118">
        <v>0</v>
      </c>
      <c r="Q55" s="118">
        <v>7.2361436790516287E-3</v>
      </c>
      <c r="R55" s="118">
        <v>2.5000000000000001E-2</v>
      </c>
      <c r="S55" s="118">
        <v>0</v>
      </c>
      <c r="T55" s="118">
        <v>0</v>
      </c>
      <c r="U55" s="118">
        <v>0</v>
      </c>
      <c r="V55" s="118">
        <v>0</v>
      </c>
      <c r="W55" s="118">
        <v>0</v>
      </c>
      <c r="X55" s="118">
        <v>0</v>
      </c>
      <c r="Y55" s="118">
        <v>0</v>
      </c>
      <c r="Z55" s="118">
        <v>1E-3</v>
      </c>
      <c r="AA55" s="118">
        <v>3.0000000000000001E-3</v>
      </c>
      <c r="AB55" s="118">
        <v>0</v>
      </c>
      <c r="AC55" s="118">
        <v>0</v>
      </c>
      <c r="AD55" s="118">
        <v>2.0199999999999999E-2</v>
      </c>
      <c r="AE55" s="118">
        <v>0</v>
      </c>
      <c r="AF55" s="118">
        <v>0</v>
      </c>
      <c r="AG55" s="118">
        <v>0</v>
      </c>
      <c r="AH55" s="118">
        <v>0</v>
      </c>
      <c r="AI55" s="118">
        <v>0</v>
      </c>
      <c r="AJ55" s="118">
        <v>0</v>
      </c>
      <c r="AK55" s="118">
        <v>0.05</v>
      </c>
      <c r="AL55" s="118">
        <v>0</v>
      </c>
      <c r="AM55" s="216">
        <v>0.05</v>
      </c>
      <c r="AN55" s="118">
        <v>4.4302920483989556E-3</v>
      </c>
      <c r="AO55" s="216">
        <v>3.27E-2</v>
      </c>
      <c r="AP55" s="118">
        <v>0.05</v>
      </c>
      <c r="AQ55" s="118">
        <v>3.2899999999999999E-2</v>
      </c>
      <c r="AR55" s="118">
        <v>0.02</v>
      </c>
      <c r="AS55" s="118">
        <v>0.03</v>
      </c>
      <c r="AT55" s="118">
        <v>0.27210000000000001</v>
      </c>
      <c r="AU55" s="118">
        <v>0.1024</v>
      </c>
      <c r="AV55" s="118">
        <v>2.01E-2</v>
      </c>
      <c r="AW55" s="118">
        <v>5.04E-2</v>
      </c>
      <c r="AX55" s="118">
        <v>0.02</v>
      </c>
      <c r="AY55" s="118">
        <v>0</v>
      </c>
      <c r="AZ55" s="118">
        <v>0</v>
      </c>
      <c r="BA55" s="118">
        <v>0.05</v>
      </c>
      <c r="BB55" s="118">
        <v>0</v>
      </c>
      <c r="BC55" s="222">
        <v>0</v>
      </c>
      <c r="BD55" s="118">
        <v>0</v>
      </c>
      <c r="BE55" s="118">
        <v>0</v>
      </c>
      <c r="BF55" s="118">
        <v>0</v>
      </c>
      <c r="BG55" s="118">
        <v>0</v>
      </c>
      <c r="BH55" s="118">
        <v>0</v>
      </c>
      <c r="BI55" s="118">
        <v>5.0000000000000001E-3</v>
      </c>
      <c r="BJ55" s="118">
        <v>0</v>
      </c>
      <c r="BK55" s="118">
        <v>0</v>
      </c>
      <c r="BL55" s="118">
        <v>5.0000000000000001E-3</v>
      </c>
      <c r="BM55" s="118">
        <v>0</v>
      </c>
      <c r="BN55" s="118">
        <v>0</v>
      </c>
      <c r="BO55" s="118">
        <v>0</v>
      </c>
      <c r="BP55" s="118">
        <v>0</v>
      </c>
      <c r="BQ55" s="118">
        <v>0</v>
      </c>
      <c r="BR55" s="118">
        <v>0</v>
      </c>
      <c r="BS55" s="118">
        <v>0</v>
      </c>
      <c r="BT55" s="118">
        <v>0</v>
      </c>
      <c r="BU55" s="118">
        <v>0.08</v>
      </c>
      <c r="BV55" s="118">
        <v>6.4000000000000003E-3</v>
      </c>
      <c r="BW55" s="118">
        <v>0</v>
      </c>
      <c r="BX55" s="118">
        <v>0</v>
      </c>
      <c r="BY55" s="118">
        <v>0</v>
      </c>
      <c r="BZ55" s="118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</row>
    <row r="56" spans="1:84" x14ac:dyDescent="0.15">
      <c r="A56" t="s">
        <v>227</v>
      </c>
      <c r="B56" s="118">
        <v>0</v>
      </c>
      <c r="C56" s="118">
        <v>0</v>
      </c>
      <c r="D56" s="118">
        <v>0</v>
      </c>
      <c r="E56" s="118">
        <v>0</v>
      </c>
      <c r="F56" s="118">
        <v>0</v>
      </c>
      <c r="G56" s="118">
        <v>0</v>
      </c>
      <c r="H56" s="118">
        <v>0</v>
      </c>
      <c r="I56" s="118">
        <v>0</v>
      </c>
      <c r="J56" s="118">
        <v>0</v>
      </c>
      <c r="K56" s="118">
        <v>0</v>
      </c>
      <c r="L56" s="118">
        <v>0</v>
      </c>
      <c r="M56" s="118">
        <v>0</v>
      </c>
      <c r="N56" s="118">
        <v>0</v>
      </c>
      <c r="O56" s="118">
        <v>0</v>
      </c>
      <c r="P56" s="118">
        <v>0</v>
      </c>
      <c r="Q56" s="118">
        <v>2.233378607043628E-2</v>
      </c>
      <c r="R56" s="118">
        <v>0</v>
      </c>
      <c r="S56" s="118">
        <v>0</v>
      </c>
      <c r="T56" s="118">
        <v>0</v>
      </c>
      <c r="U56" s="118">
        <v>0</v>
      </c>
      <c r="V56" s="118">
        <v>0</v>
      </c>
      <c r="W56" s="118">
        <v>0</v>
      </c>
      <c r="X56" s="118">
        <v>0</v>
      </c>
      <c r="Y56" s="118">
        <v>0</v>
      </c>
      <c r="Z56" s="118">
        <v>2E-3</v>
      </c>
      <c r="AA56" s="118">
        <v>0</v>
      </c>
      <c r="AB56" s="118">
        <v>1E-3</v>
      </c>
      <c r="AC56" s="118">
        <v>0</v>
      </c>
      <c r="AD56" s="118">
        <v>2.0199999999999999E-2</v>
      </c>
      <c r="AE56" s="118">
        <v>0</v>
      </c>
      <c r="AF56" s="118">
        <v>0</v>
      </c>
      <c r="AG56" s="118">
        <v>0</v>
      </c>
      <c r="AH56" s="118">
        <v>0</v>
      </c>
      <c r="AI56" s="118">
        <v>5.0000000000000001E-3</v>
      </c>
      <c r="AJ56" s="118">
        <v>3.1099999999999999E-2</v>
      </c>
      <c r="AK56" s="118">
        <v>0.01</v>
      </c>
      <c r="AL56" s="118">
        <v>0</v>
      </c>
      <c r="AM56" s="216">
        <v>0.04</v>
      </c>
      <c r="AN56" s="118">
        <v>1.3673746573736496E-2</v>
      </c>
      <c r="AO56" s="216">
        <v>6.8500000000000002E-3</v>
      </c>
      <c r="AP56" s="118">
        <v>0.01</v>
      </c>
      <c r="AQ56" s="118">
        <v>0.05</v>
      </c>
      <c r="AR56" s="118">
        <v>0.1</v>
      </c>
      <c r="AS56" s="118">
        <v>0.09</v>
      </c>
      <c r="AT56" s="118">
        <v>0.1351</v>
      </c>
      <c r="AU56" s="118">
        <v>0.1024</v>
      </c>
      <c r="AV56" s="118">
        <v>0.1004</v>
      </c>
      <c r="AW56" s="118">
        <v>0.13619999999999999</v>
      </c>
      <c r="AX56" s="118">
        <v>0.05</v>
      </c>
      <c r="AY56" s="118">
        <v>0</v>
      </c>
      <c r="AZ56" s="118">
        <v>5.1999999999999998E-3</v>
      </c>
      <c r="BA56" s="118">
        <v>0.05</v>
      </c>
      <c r="BB56" s="118">
        <v>0</v>
      </c>
      <c r="BC56" s="118">
        <v>0.06</v>
      </c>
      <c r="BD56" s="222">
        <v>1E-3</v>
      </c>
      <c r="BE56" s="118">
        <v>0.02</v>
      </c>
      <c r="BF56" s="118">
        <v>0</v>
      </c>
      <c r="BG56" s="118">
        <v>0</v>
      </c>
      <c r="BH56" s="118">
        <v>0</v>
      </c>
      <c r="BI56" s="118">
        <v>0.01</v>
      </c>
      <c r="BJ56" s="118">
        <v>0.05</v>
      </c>
      <c r="BK56" s="118">
        <v>0.01</v>
      </c>
      <c r="BL56" s="118">
        <v>0.03</v>
      </c>
      <c r="BM56" s="118">
        <v>0</v>
      </c>
      <c r="BN56" s="118">
        <v>0</v>
      </c>
      <c r="BO56" s="118">
        <v>0</v>
      </c>
      <c r="BP56" s="118">
        <v>2E-3</v>
      </c>
      <c r="BQ56" s="118">
        <v>0</v>
      </c>
      <c r="BR56" s="118">
        <v>0</v>
      </c>
      <c r="BS56" s="118">
        <v>0</v>
      </c>
      <c r="BT56" s="118">
        <v>0</v>
      </c>
      <c r="BU56" s="118">
        <v>0.08</v>
      </c>
      <c r="BV56" s="118">
        <v>2.0299999999999999E-2</v>
      </c>
      <c r="BW56" s="118">
        <v>0</v>
      </c>
      <c r="BX56" s="118">
        <v>0</v>
      </c>
      <c r="BY56" s="118">
        <v>0</v>
      </c>
      <c r="BZ56" s="118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</row>
    <row r="57" spans="1:84" x14ac:dyDescent="0.15">
      <c r="A57" t="s">
        <v>228</v>
      </c>
      <c r="B57" s="118">
        <v>0</v>
      </c>
      <c r="C57" s="118">
        <v>0</v>
      </c>
      <c r="D57" s="118">
        <v>0</v>
      </c>
      <c r="E57" s="118">
        <v>0</v>
      </c>
      <c r="F57" s="118">
        <v>0</v>
      </c>
      <c r="G57" s="118">
        <v>0</v>
      </c>
      <c r="H57" s="118">
        <v>0</v>
      </c>
      <c r="I57" s="118">
        <v>0</v>
      </c>
      <c r="J57" s="118">
        <v>2.050139580336428E-2</v>
      </c>
      <c r="K57" s="118">
        <v>1.0123797166349173E-2</v>
      </c>
      <c r="L57" s="118">
        <v>0</v>
      </c>
      <c r="M57" s="118">
        <v>0</v>
      </c>
      <c r="N57" s="118">
        <v>0</v>
      </c>
      <c r="O57" s="118">
        <v>0</v>
      </c>
      <c r="P57" s="118">
        <v>0</v>
      </c>
      <c r="Q57" s="118">
        <v>0</v>
      </c>
      <c r="R57" s="118">
        <v>0</v>
      </c>
      <c r="S57" s="118">
        <v>0</v>
      </c>
      <c r="T57" s="118">
        <v>0</v>
      </c>
      <c r="U57" s="118">
        <v>0</v>
      </c>
      <c r="V57" s="118">
        <v>0</v>
      </c>
      <c r="W57" s="118">
        <v>0</v>
      </c>
      <c r="X57" s="118">
        <v>0</v>
      </c>
      <c r="Y57" s="118">
        <v>0</v>
      </c>
      <c r="Z57" s="118">
        <v>1.4E-2</v>
      </c>
      <c r="AA57" s="118">
        <v>3.9061678390178094E-2</v>
      </c>
      <c r="AB57" s="118">
        <v>1.6939151743744513E-2</v>
      </c>
      <c r="AC57" s="118">
        <v>0</v>
      </c>
      <c r="AD57" s="118">
        <v>1.0079578270445163E-3</v>
      </c>
      <c r="AE57" s="118">
        <v>0</v>
      </c>
      <c r="AF57" s="118">
        <v>0</v>
      </c>
      <c r="AG57" s="118">
        <v>0</v>
      </c>
      <c r="AH57" s="118">
        <v>0</v>
      </c>
      <c r="AI57" s="118">
        <v>0</v>
      </c>
      <c r="AJ57" s="118">
        <v>0</v>
      </c>
      <c r="AK57" s="118">
        <v>0</v>
      </c>
      <c r="AL57" s="118">
        <v>0</v>
      </c>
      <c r="AM57" s="216">
        <v>5.0000000000000001E-3</v>
      </c>
      <c r="AN57" s="118">
        <v>0</v>
      </c>
      <c r="AO57" s="118">
        <v>0</v>
      </c>
      <c r="AP57" s="118">
        <v>0</v>
      </c>
      <c r="AQ57" s="118">
        <v>0.02</v>
      </c>
      <c r="AR57" s="118">
        <v>0.05</v>
      </c>
      <c r="AS57" s="118">
        <v>0.05</v>
      </c>
      <c r="AT57" s="118">
        <v>0</v>
      </c>
      <c r="AU57" s="118">
        <v>2.0485191767001427E-2</v>
      </c>
      <c r="AV57" s="118">
        <v>4.0158525780518595E-2</v>
      </c>
      <c r="AW57" s="118">
        <v>0.10087424344317418</v>
      </c>
      <c r="AX57" s="118">
        <v>0.05</v>
      </c>
      <c r="AY57" s="118">
        <v>0</v>
      </c>
      <c r="AZ57" s="118">
        <v>5.1630490902707486E-3</v>
      </c>
      <c r="BA57" s="118">
        <v>0.05</v>
      </c>
      <c r="BB57" s="118">
        <v>0</v>
      </c>
      <c r="BC57" s="118">
        <v>7.0000000000000007E-2</v>
      </c>
      <c r="BD57" s="118">
        <v>0.05</v>
      </c>
      <c r="BE57" s="222">
        <v>9.9979093954353018E-4</v>
      </c>
      <c r="BF57" s="118">
        <v>0</v>
      </c>
      <c r="BG57" s="118">
        <v>0</v>
      </c>
      <c r="BH57" s="118">
        <v>0</v>
      </c>
      <c r="BI57" s="118">
        <v>0.01</v>
      </c>
      <c r="BJ57" s="118">
        <v>0.05</v>
      </c>
      <c r="BK57" s="118">
        <v>0.01</v>
      </c>
      <c r="BL57" s="118">
        <v>0.02</v>
      </c>
      <c r="BM57" s="118">
        <v>0</v>
      </c>
      <c r="BN57" s="118">
        <v>0</v>
      </c>
      <c r="BO57" s="118">
        <v>0</v>
      </c>
      <c r="BP57" s="118">
        <v>2.0263424518743673E-3</v>
      </c>
      <c r="BQ57" s="118">
        <v>0</v>
      </c>
      <c r="BR57" s="118">
        <v>0</v>
      </c>
      <c r="BS57" s="118">
        <v>5.0000000000000001E-3</v>
      </c>
      <c r="BT57" s="118">
        <v>0</v>
      </c>
      <c r="BU57" s="118">
        <v>0.5</v>
      </c>
      <c r="BV57" s="118">
        <v>1E-3</v>
      </c>
      <c r="BW57" s="118">
        <v>0</v>
      </c>
      <c r="BX57" s="118">
        <v>0</v>
      </c>
      <c r="BY57" s="118">
        <v>0</v>
      </c>
      <c r="BZ57" s="118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</row>
    <row r="58" spans="1:84" x14ac:dyDescent="0.15">
      <c r="A58" t="s">
        <v>229</v>
      </c>
      <c r="B58" s="118">
        <v>0</v>
      </c>
      <c r="C58" s="118">
        <v>0</v>
      </c>
      <c r="D58" s="118">
        <v>0</v>
      </c>
      <c r="E58" s="118">
        <v>0</v>
      </c>
      <c r="F58" s="118">
        <v>0</v>
      </c>
      <c r="G58" s="118">
        <v>0</v>
      </c>
      <c r="H58" s="118">
        <v>0</v>
      </c>
      <c r="I58" s="118">
        <v>0</v>
      </c>
      <c r="J58" s="118">
        <v>0</v>
      </c>
      <c r="K58" s="118">
        <v>0</v>
      </c>
      <c r="L58" s="118">
        <v>0</v>
      </c>
      <c r="M58" s="118">
        <v>0</v>
      </c>
      <c r="N58" s="118">
        <v>0</v>
      </c>
      <c r="O58" s="118">
        <v>0</v>
      </c>
      <c r="P58" s="118">
        <v>0</v>
      </c>
      <c r="Q58" s="118">
        <v>0</v>
      </c>
      <c r="R58" s="118">
        <v>0</v>
      </c>
      <c r="S58" s="118">
        <v>0</v>
      </c>
      <c r="T58" s="118">
        <v>0</v>
      </c>
      <c r="U58" s="118">
        <v>0</v>
      </c>
      <c r="V58" s="118">
        <v>0</v>
      </c>
      <c r="W58" s="118">
        <v>0</v>
      </c>
      <c r="X58" s="118">
        <v>0</v>
      </c>
      <c r="Y58" s="118">
        <v>0</v>
      </c>
      <c r="Z58" s="118">
        <v>0</v>
      </c>
      <c r="AA58" s="118">
        <v>0</v>
      </c>
      <c r="AB58" s="118">
        <v>0</v>
      </c>
      <c r="AC58" s="118">
        <v>0</v>
      </c>
      <c r="AD58" s="118">
        <v>0</v>
      </c>
      <c r="AE58" s="118">
        <v>0</v>
      </c>
      <c r="AF58" s="118">
        <v>0</v>
      </c>
      <c r="AG58" s="118">
        <v>0</v>
      </c>
      <c r="AH58" s="118">
        <v>0</v>
      </c>
      <c r="AI58" s="118">
        <v>0</v>
      </c>
      <c r="AJ58" s="118">
        <v>0</v>
      </c>
      <c r="AK58" s="118">
        <v>0</v>
      </c>
      <c r="AL58" s="216">
        <v>0.03</v>
      </c>
      <c r="AM58" s="118">
        <v>0</v>
      </c>
      <c r="AN58" s="118">
        <v>0</v>
      </c>
      <c r="AO58" s="118">
        <v>0</v>
      </c>
      <c r="AP58" s="118">
        <v>0</v>
      </c>
      <c r="AQ58" s="118">
        <v>7.0000000000000001E-3</v>
      </c>
      <c r="AR58" s="118">
        <v>0.05</v>
      </c>
      <c r="AS58" s="118">
        <v>4.0000000000000001E-3</v>
      </c>
      <c r="AT58" s="118">
        <v>0</v>
      </c>
      <c r="AU58" s="118">
        <v>5.1212979417503569E-3</v>
      </c>
      <c r="AV58" s="118">
        <v>0</v>
      </c>
      <c r="AW58" s="118">
        <v>2.0174848688634833E-3</v>
      </c>
      <c r="AX58" s="118">
        <v>0</v>
      </c>
      <c r="AY58" s="118">
        <v>0</v>
      </c>
      <c r="AZ58" s="118">
        <v>0</v>
      </c>
      <c r="BA58" s="118">
        <v>0.1</v>
      </c>
      <c r="BB58" s="118">
        <v>0</v>
      </c>
      <c r="BC58" s="118">
        <v>5.0000000000000001E-3</v>
      </c>
      <c r="BD58" s="118">
        <v>0</v>
      </c>
      <c r="BE58" s="118">
        <v>9.9979093954353018E-4</v>
      </c>
      <c r="BF58" s="222">
        <v>0</v>
      </c>
      <c r="BG58" s="118">
        <v>0</v>
      </c>
      <c r="BH58" s="118">
        <v>0</v>
      </c>
      <c r="BI58" s="118">
        <v>0</v>
      </c>
      <c r="BJ58" s="118">
        <v>0.01</v>
      </c>
      <c r="BK58" s="118">
        <v>0.02</v>
      </c>
      <c r="BL58" s="118">
        <v>0.04</v>
      </c>
      <c r="BM58" s="118">
        <v>0</v>
      </c>
      <c r="BN58" s="118">
        <v>0</v>
      </c>
      <c r="BO58" s="118">
        <v>0</v>
      </c>
      <c r="BP58" s="118">
        <v>0</v>
      </c>
      <c r="BQ58" s="118">
        <v>0</v>
      </c>
      <c r="BR58" s="118">
        <v>0</v>
      </c>
      <c r="BS58" s="118">
        <v>0</v>
      </c>
      <c r="BT58" s="118">
        <v>0</v>
      </c>
      <c r="BU58" s="118">
        <v>4.0000000000000001E-3</v>
      </c>
      <c r="BV58" s="118">
        <v>0</v>
      </c>
      <c r="BW58" s="118">
        <v>0</v>
      </c>
      <c r="BX58" s="216">
        <v>4.8862999999999997E-2</v>
      </c>
      <c r="BY58" s="118">
        <v>0</v>
      </c>
      <c r="BZ58" s="11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</row>
    <row r="59" spans="1:84" x14ac:dyDescent="0.15">
      <c r="A59" t="s">
        <v>230</v>
      </c>
      <c r="B59" s="118">
        <v>0</v>
      </c>
      <c r="C59" s="118">
        <v>0</v>
      </c>
      <c r="D59" s="118">
        <v>0</v>
      </c>
      <c r="E59" s="118">
        <v>0</v>
      </c>
      <c r="F59" s="118">
        <v>0</v>
      </c>
      <c r="G59" s="118">
        <v>0</v>
      </c>
      <c r="H59" s="118">
        <v>0</v>
      </c>
      <c r="I59" s="118">
        <v>0</v>
      </c>
      <c r="J59" s="118">
        <v>0</v>
      </c>
      <c r="K59" s="118">
        <v>0</v>
      </c>
      <c r="L59" s="118">
        <v>0</v>
      </c>
      <c r="M59" s="118">
        <v>0</v>
      </c>
      <c r="N59" s="118">
        <v>0</v>
      </c>
      <c r="O59" s="118">
        <v>0</v>
      </c>
      <c r="P59" s="118">
        <v>0</v>
      </c>
      <c r="Q59" s="118">
        <v>0</v>
      </c>
      <c r="R59" s="118">
        <v>0</v>
      </c>
      <c r="S59" s="118">
        <v>0</v>
      </c>
      <c r="T59" s="118">
        <v>0</v>
      </c>
      <c r="U59" s="118">
        <v>0</v>
      </c>
      <c r="V59" s="118">
        <v>0</v>
      </c>
      <c r="W59" s="118">
        <v>0</v>
      </c>
      <c r="X59" s="118">
        <v>0</v>
      </c>
      <c r="Y59" s="118">
        <v>0</v>
      </c>
      <c r="Z59" s="118">
        <v>0</v>
      </c>
      <c r="AA59" s="118">
        <v>0</v>
      </c>
      <c r="AB59" s="118">
        <v>1.129276782916301E-3</v>
      </c>
      <c r="AC59" s="118">
        <v>0</v>
      </c>
      <c r="AD59" s="118">
        <v>0</v>
      </c>
      <c r="AE59" s="118">
        <v>0</v>
      </c>
      <c r="AF59" s="118">
        <v>0</v>
      </c>
      <c r="AG59" s="118">
        <v>0</v>
      </c>
      <c r="AH59" s="118">
        <v>0</v>
      </c>
      <c r="AI59" s="118">
        <v>0</v>
      </c>
      <c r="AJ59" s="118">
        <v>0</v>
      </c>
      <c r="AK59" s="118">
        <v>0</v>
      </c>
      <c r="AL59" s="118">
        <v>0</v>
      </c>
      <c r="AM59" s="118">
        <v>1E-3</v>
      </c>
      <c r="AN59" s="118">
        <v>0</v>
      </c>
      <c r="AO59" s="118">
        <v>0</v>
      </c>
      <c r="AP59" s="118">
        <v>0</v>
      </c>
      <c r="AQ59" s="118">
        <v>0.01</v>
      </c>
      <c r="AR59" s="118">
        <v>0.03</v>
      </c>
      <c r="AS59" s="118">
        <v>0.01</v>
      </c>
      <c r="AT59" s="118">
        <v>0</v>
      </c>
      <c r="AU59" s="118">
        <v>5.1212979417503569E-3</v>
      </c>
      <c r="AV59" s="118">
        <v>0</v>
      </c>
      <c r="AW59" s="118">
        <v>5.0437121721587088E-3</v>
      </c>
      <c r="AX59" s="118">
        <v>0</v>
      </c>
      <c r="AY59" s="118">
        <v>0</v>
      </c>
      <c r="AZ59" s="118">
        <v>0</v>
      </c>
      <c r="BA59" s="118">
        <v>0.114</v>
      </c>
      <c r="BB59" s="118">
        <v>0</v>
      </c>
      <c r="BC59" s="118">
        <v>5.0000000000000001E-3</v>
      </c>
      <c r="BD59" s="118">
        <v>0.2</v>
      </c>
      <c r="BE59" s="118">
        <v>9.9979093954353018E-2</v>
      </c>
      <c r="BF59" s="118">
        <v>0.05</v>
      </c>
      <c r="BG59" s="222">
        <v>0</v>
      </c>
      <c r="BH59" s="118">
        <v>0</v>
      </c>
      <c r="BI59" s="118">
        <v>0.01</v>
      </c>
      <c r="BJ59" s="118">
        <v>0.05</v>
      </c>
      <c r="BK59" s="118">
        <v>0.02</v>
      </c>
      <c r="BL59" s="118">
        <v>0.1</v>
      </c>
      <c r="BM59" s="118">
        <v>0</v>
      </c>
      <c r="BN59" s="118">
        <v>0</v>
      </c>
      <c r="BO59" s="118">
        <v>0</v>
      </c>
      <c r="BP59" s="118">
        <v>0</v>
      </c>
      <c r="BQ59" s="118">
        <v>0</v>
      </c>
      <c r="BR59" s="118">
        <v>0</v>
      </c>
      <c r="BS59" s="118">
        <v>0</v>
      </c>
      <c r="BT59" s="118">
        <v>0</v>
      </c>
      <c r="BU59" s="118">
        <v>0.1</v>
      </c>
      <c r="BV59" s="118">
        <v>0</v>
      </c>
      <c r="BW59" s="118">
        <v>0</v>
      </c>
      <c r="BX59" s="118">
        <v>0</v>
      </c>
      <c r="BY59" s="118">
        <v>0</v>
      </c>
      <c r="BZ59" s="118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</row>
    <row r="60" spans="1:84" x14ac:dyDescent="0.15">
      <c r="A60" t="s">
        <v>231</v>
      </c>
      <c r="B60" s="118">
        <v>0</v>
      </c>
      <c r="C60" s="118">
        <v>0</v>
      </c>
      <c r="D60" s="118">
        <v>0</v>
      </c>
      <c r="E60" s="118">
        <v>0</v>
      </c>
      <c r="F60" s="118">
        <v>0</v>
      </c>
      <c r="G60" s="118">
        <v>0</v>
      </c>
      <c r="H60" s="118">
        <v>0</v>
      </c>
      <c r="I60" s="118">
        <v>0</v>
      </c>
      <c r="J60" s="118">
        <v>0</v>
      </c>
      <c r="K60" s="118">
        <v>0</v>
      </c>
      <c r="L60" s="118">
        <v>0</v>
      </c>
      <c r="M60" s="118">
        <v>0</v>
      </c>
      <c r="N60" s="118">
        <v>0</v>
      </c>
      <c r="O60" s="118">
        <v>0</v>
      </c>
      <c r="P60" s="118">
        <v>0</v>
      </c>
      <c r="Q60" s="118">
        <v>0</v>
      </c>
      <c r="R60" s="118">
        <v>0</v>
      </c>
      <c r="S60" s="118">
        <v>0</v>
      </c>
      <c r="T60" s="118">
        <v>0</v>
      </c>
      <c r="U60" s="118">
        <v>0</v>
      </c>
      <c r="V60" s="118">
        <v>0</v>
      </c>
      <c r="W60" s="118">
        <v>0</v>
      </c>
      <c r="X60" s="118">
        <v>0</v>
      </c>
      <c r="Y60" s="118">
        <v>0</v>
      </c>
      <c r="Z60" s="118">
        <v>0</v>
      </c>
      <c r="AA60" s="118">
        <v>0</v>
      </c>
      <c r="AB60" s="118">
        <v>0</v>
      </c>
      <c r="AC60" s="118">
        <v>0</v>
      </c>
      <c r="AD60" s="118">
        <v>0</v>
      </c>
      <c r="AE60" s="118">
        <v>0</v>
      </c>
      <c r="AF60" s="118">
        <v>0</v>
      </c>
      <c r="AG60" s="118">
        <v>0</v>
      </c>
      <c r="AH60" s="118">
        <v>0</v>
      </c>
      <c r="AI60" s="118">
        <v>0</v>
      </c>
      <c r="AJ60" s="118">
        <v>0</v>
      </c>
      <c r="AK60" s="118">
        <v>0</v>
      </c>
      <c r="AL60" s="118">
        <v>1.0300526442738943E-3</v>
      </c>
      <c r="AM60" s="118">
        <v>0</v>
      </c>
      <c r="AN60" s="118">
        <v>0</v>
      </c>
      <c r="AO60" s="118">
        <v>0</v>
      </c>
      <c r="AP60" s="118">
        <v>0</v>
      </c>
      <c r="AQ60" s="118">
        <v>0</v>
      </c>
      <c r="AR60" s="118">
        <v>0.1</v>
      </c>
      <c r="AS60" s="118">
        <v>1E-3</v>
      </c>
      <c r="AT60" s="118">
        <v>0</v>
      </c>
      <c r="AU60" s="118">
        <v>5.1212979417503569E-3</v>
      </c>
      <c r="AV60" s="118">
        <v>0</v>
      </c>
      <c r="AW60" s="118">
        <v>2.0174848688634833E-3</v>
      </c>
      <c r="AX60" s="118">
        <v>0</v>
      </c>
      <c r="AY60" s="118">
        <v>0</v>
      </c>
      <c r="AZ60" s="118">
        <v>0</v>
      </c>
      <c r="BA60" s="118">
        <v>0.05</v>
      </c>
      <c r="BB60" s="118">
        <v>0</v>
      </c>
      <c r="BC60" s="118">
        <v>1.4999999999999999E-2</v>
      </c>
      <c r="BD60" s="118">
        <v>0.05</v>
      </c>
      <c r="BE60" s="118">
        <v>9.9979093954353018E-3</v>
      </c>
      <c r="BF60" s="118">
        <v>0</v>
      </c>
      <c r="BG60" s="118">
        <v>0</v>
      </c>
      <c r="BH60" s="222">
        <v>0</v>
      </c>
      <c r="BI60" s="118">
        <v>0</v>
      </c>
      <c r="BJ60" s="118">
        <v>0.2</v>
      </c>
      <c r="BK60" s="118">
        <v>0.2</v>
      </c>
      <c r="BL60" s="118">
        <v>0.1</v>
      </c>
      <c r="BM60" s="118">
        <v>0</v>
      </c>
      <c r="BN60" s="118">
        <v>0</v>
      </c>
      <c r="BO60" s="118">
        <v>0.02</v>
      </c>
      <c r="BP60" s="118">
        <v>0</v>
      </c>
      <c r="BQ60" s="118">
        <v>0</v>
      </c>
      <c r="BR60" s="118">
        <v>0</v>
      </c>
      <c r="BS60" s="118">
        <v>0</v>
      </c>
      <c r="BT60" s="118">
        <v>0</v>
      </c>
      <c r="BU60" s="118">
        <v>1E-3</v>
      </c>
      <c r="BV60" s="118">
        <v>0</v>
      </c>
      <c r="BW60" s="118">
        <v>0</v>
      </c>
      <c r="BX60" s="118">
        <v>0</v>
      </c>
      <c r="BY60" s="118">
        <v>0</v>
      </c>
      <c r="BZ60" s="118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</row>
    <row r="61" spans="1:84" x14ac:dyDescent="0.15">
      <c r="A61" t="s">
        <v>232</v>
      </c>
      <c r="B61" s="118">
        <v>0</v>
      </c>
      <c r="C61" s="118">
        <v>0</v>
      </c>
      <c r="D61" s="118">
        <v>0</v>
      </c>
      <c r="E61" s="118">
        <v>0</v>
      </c>
      <c r="F61" s="118">
        <v>0</v>
      </c>
      <c r="G61" s="118">
        <v>0</v>
      </c>
      <c r="H61" s="118">
        <v>0</v>
      </c>
      <c r="I61" s="118">
        <v>0</v>
      </c>
      <c r="J61" s="118">
        <v>0</v>
      </c>
      <c r="K61" s="118">
        <v>0</v>
      </c>
      <c r="L61" s="118">
        <v>0</v>
      </c>
      <c r="M61" s="118">
        <v>0</v>
      </c>
      <c r="N61" s="118">
        <v>0</v>
      </c>
      <c r="O61" s="118">
        <v>0</v>
      </c>
      <c r="P61" s="118">
        <v>0</v>
      </c>
      <c r="Q61" s="118">
        <v>0</v>
      </c>
      <c r="R61" s="118">
        <v>0</v>
      </c>
      <c r="S61" s="118">
        <v>0</v>
      </c>
      <c r="T61" s="118">
        <v>0</v>
      </c>
      <c r="U61" s="118">
        <v>0</v>
      </c>
      <c r="V61" s="118">
        <v>0</v>
      </c>
      <c r="W61" s="118">
        <v>0</v>
      </c>
      <c r="X61" s="118">
        <v>0</v>
      </c>
      <c r="Y61" s="118">
        <v>0</v>
      </c>
      <c r="Z61" s="118">
        <v>0</v>
      </c>
      <c r="AA61" s="118">
        <v>0</v>
      </c>
      <c r="AB61" s="118">
        <v>0</v>
      </c>
      <c r="AC61" s="118">
        <v>0</v>
      </c>
      <c r="AD61" s="118">
        <v>0</v>
      </c>
      <c r="AE61" s="118">
        <v>0</v>
      </c>
      <c r="AF61" s="118">
        <v>0</v>
      </c>
      <c r="AG61" s="118">
        <v>0</v>
      </c>
      <c r="AH61" s="118">
        <v>0</v>
      </c>
      <c r="AI61" s="118">
        <v>0</v>
      </c>
      <c r="AJ61" s="118">
        <v>0</v>
      </c>
      <c r="AK61" s="118">
        <v>0</v>
      </c>
      <c r="AL61" s="118">
        <v>0</v>
      </c>
      <c r="AM61" s="118">
        <v>0</v>
      </c>
      <c r="AN61" s="118">
        <v>0</v>
      </c>
      <c r="AO61" s="118">
        <v>0</v>
      </c>
      <c r="AP61" s="118">
        <v>1.000419209410145E-3</v>
      </c>
      <c r="AQ61" s="118">
        <v>0</v>
      </c>
      <c r="AR61" s="118">
        <v>0.01</v>
      </c>
      <c r="AS61" s="118">
        <v>0</v>
      </c>
      <c r="AT61" s="118">
        <v>0</v>
      </c>
      <c r="AU61" s="118">
        <v>1.0242595883500714E-3</v>
      </c>
      <c r="AV61" s="118">
        <v>0</v>
      </c>
      <c r="AW61" s="118">
        <v>1.0087424344317416E-3</v>
      </c>
      <c r="AX61" s="118">
        <v>0</v>
      </c>
      <c r="AY61" s="118">
        <v>0</v>
      </c>
      <c r="AZ61" s="118">
        <v>0</v>
      </c>
      <c r="BA61" s="118">
        <v>0.05</v>
      </c>
      <c r="BB61" s="118">
        <v>0</v>
      </c>
      <c r="BC61" s="118">
        <v>5.0000000000000001E-3</v>
      </c>
      <c r="BD61" s="118">
        <v>2E-3</v>
      </c>
      <c r="BE61" s="118">
        <v>1.9995818790870604E-3</v>
      </c>
      <c r="BF61" s="118">
        <v>0</v>
      </c>
      <c r="BG61" s="118">
        <v>1E-3</v>
      </c>
      <c r="BH61" s="118">
        <v>0</v>
      </c>
      <c r="BI61" s="222">
        <v>0</v>
      </c>
      <c r="BJ61" s="118">
        <v>4.7999999999999987E-2</v>
      </c>
      <c r="BK61" s="118">
        <v>0.05</v>
      </c>
      <c r="BL61" s="118">
        <v>3.4000000000000002E-2</v>
      </c>
      <c r="BM61" s="118">
        <v>0</v>
      </c>
      <c r="BN61" s="118">
        <v>0</v>
      </c>
      <c r="BO61" s="118">
        <v>0</v>
      </c>
      <c r="BP61" s="118">
        <v>0</v>
      </c>
      <c r="BQ61" s="118">
        <v>0</v>
      </c>
      <c r="BR61" s="118">
        <v>0</v>
      </c>
      <c r="BS61" s="118">
        <v>0</v>
      </c>
      <c r="BT61" s="118">
        <v>0</v>
      </c>
      <c r="BU61" s="118">
        <v>8.9999999999999993E-3</v>
      </c>
      <c r="BV61" s="118">
        <v>0</v>
      </c>
      <c r="BW61" s="118">
        <v>0</v>
      </c>
      <c r="BX61" s="118">
        <v>0</v>
      </c>
      <c r="BY61" s="118">
        <v>0</v>
      </c>
      <c r="BZ61" s="118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</row>
    <row r="62" spans="1:84" x14ac:dyDescent="0.15">
      <c r="A62" t="s">
        <v>233</v>
      </c>
      <c r="B62" s="118">
        <v>0</v>
      </c>
      <c r="C62" s="118">
        <v>0</v>
      </c>
      <c r="D62" s="118">
        <v>0</v>
      </c>
      <c r="E62" s="118">
        <v>0</v>
      </c>
      <c r="F62" s="118">
        <v>0</v>
      </c>
      <c r="G62" s="118">
        <v>0</v>
      </c>
      <c r="H62" s="118">
        <v>0</v>
      </c>
      <c r="I62" s="118">
        <v>0</v>
      </c>
      <c r="J62" s="118">
        <v>0</v>
      </c>
      <c r="K62" s="118">
        <v>0</v>
      </c>
      <c r="L62" s="118">
        <v>0</v>
      </c>
      <c r="M62" s="118">
        <v>0</v>
      </c>
      <c r="N62" s="118">
        <v>0</v>
      </c>
      <c r="O62" s="118">
        <v>0</v>
      </c>
      <c r="P62" s="118">
        <v>0</v>
      </c>
      <c r="Q62" s="118">
        <v>0</v>
      </c>
      <c r="R62" s="118">
        <v>0</v>
      </c>
      <c r="S62" s="118">
        <v>0</v>
      </c>
      <c r="T62" s="118">
        <v>0</v>
      </c>
      <c r="U62" s="118">
        <v>0</v>
      </c>
      <c r="V62" s="118">
        <v>0</v>
      </c>
      <c r="W62" s="118">
        <v>0</v>
      </c>
      <c r="X62" s="118">
        <v>0</v>
      </c>
      <c r="Y62" s="118">
        <v>0</v>
      </c>
      <c r="Z62" s="118">
        <v>0</v>
      </c>
      <c r="AA62" s="118">
        <v>0</v>
      </c>
      <c r="AB62" s="118">
        <v>0</v>
      </c>
      <c r="AC62" s="118">
        <v>0</v>
      </c>
      <c r="AD62" s="118">
        <v>0</v>
      </c>
      <c r="AE62" s="118">
        <v>0</v>
      </c>
      <c r="AF62" s="118">
        <v>0</v>
      </c>
      <c r="AG62" s="118">
        <v>0</v>
      </c>
      <c r="AH62" s="118">
        <v>0</v>
      </c>
      <c r="AI62" s="118">
        <v>0</v>
      </c>
      <c r="AJ62" s="118">
        <v>0</v>
      </c>
      <c r="AK62" s="118">
        <v>0</v>
      </c>
      <c r="AL62" s="118">
        <v>2.0129952802558405E-2</v>
      </c>
      <c r="AM62" s="118">
        <v>0</v>
      </c>
      <c r="AN62" s="118">
        <v>0</v>
      </c>
      <c r="AO62" s="118">
        <v>2.9727778400402711E-3</v>
      </c>
      <c r="AP62" s="118">
        <v>4.2468254857718157E-2</v>
      </c>
      <c r="AQ62" s="118">
        <v>5.0961905829261791E-3</v>
      </c>
      <c r="AR62" s="118">
        <v>6.3702382286577236E-2</v>
      </c>
      <c r="AS62" s="118">
        <v>5.9455556800805422E-3</v>
      </c>
      <c r="AT62" s="118">
        <v>0</v>
      </c>
      <c r="AU62" s="118">
        <v>4.3487492974303397E-2</v>
      </c>
      <c r="AV62" s="118">
        <v>5.9455556800805422E-3</v>
      </c>
      <c r="AW62" s="118">
        <v>8.5785874812590677E-3</v>
      </c>
      <c r="AX62" s="118">
        <v>0</v>
      </c>
      <c r="AY62" s="118">
        <v>0</v>
      </c>
      <c r="AZ62" s="118">
        <v>0</v>
      </c>
      <c r="BA62" s="118">
        <v>4.2468254857718157E-2</v>
      </c>
      <c r="BB62" s="118">
        <v>0</v>
      </c>
      <c r="BC62" s="118">
        <v>0</v>
      </c>
      <c r="BD62" s="118">
        <v>0</v>
      </c>
      <c r="BE62" s="118">
        <v>0</v>
      </c>
      <c r="BF62" s="118">
        <v>0</v>
      </c>
      <c r="BG62" s="118">
        <v>0</v>
      </c>
      <c r="BH62" s="118">
        <v>0</v>
      </c>
      <c r="BI62" s="118">
        <v>0</v>
      </c>
      <c r="BJ62" s="222">
        <v>1E-3</v>
      </c>
      <c r="BK62" s="118">
        <v>0</v>
      </c>
      <c r="BL62" s="118">
        <v>0</v>
      </c>
      <c r="BM62" s="118">
        <v>0</v>
      </c>
      <c r="BN62" s="118">
        <v>0</v>
      </c>
      <c r="BO62" s="118">
        <v>0</v>
      </c>
      <c r="BP62" s="118">
        <v>0</v>
      </c>
      <c r="BQ62" s="118">
        <v>0</v>
      </c>
      <c r="BR62" s="118">
        <v>0</v>
      </c>
      <c r="BS62" s="118">
        <v>0</v>
      </c>
      <c r="BT62" s="118">
        <v>0</v>
      </c>
      <c r="BU62" s="118">
        <v>0</v>
      </c>
      <c r="BV62" s="118">
        <v>0</v>
      </c>
      <c r="BW62" s="118">
        <v>8.4936509715436322E-3</v>
      </c>
      <c r="BX62" s="216">
        <v>0.1019</v>
      </c>
      <c r="BY62" s="118">
        <v>0</v>
      </c>
      <c r="BZ62" s="118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</row>
    <row r="63" spans="1:84" x14ac:dyDescent="0.15">
      <c r="A63" t="s">
        <v>234</v>
      </c>
      <c r="B63" s="118">
        <v>0</v>
      </c>
      <c r="C63" s="118">
        <v>0</v>
      </c>
      <c r="D63" s="118">
        <v>0</v>
      </c>
      <c r="E63" s="118">
        <v>0</v>
      </c>
      <c r="F63" s="118">
        <v>0</v>
      </c>
      <c r="G63" s="118">
        <v>0</v>
      </c>
      <c r="H63" s="118">
        <v>0</v>
      </c>
      <c r="I63" s="118">
        <v>0</v>
      </c>
      <c r="J63" s="118">
        <v>0</v>
      </c>
      <c r="K63" s="118">
        <v>0</v>
      </c>
      <c r="L63" s="118">
        <v>0</v>
      </c>
      <c r="M63" s="118">
        <v>0</v>
      </c>
      <c r="N63" s="118">
        <v>0</v>
      </c>
      <c r="O63" s="118">
        <v>0</v>
      </c>
      <c r="P63" s="118">
        <v>0</v>
      </c>
      <c r="Q63" s="118">
        <v>0</v>
      </c>
      <c r="R63" s="118">
        <v>0</v>
      </c>
      <c r="S63" s="118">
        <v>0</v>
      </c>
      <c r="T63" s="118">
        <v>0</v>
      </c>
      <c r="U63" s="118">
        <v>0</v>
      </c>
      <c r="V63" s="118">
        <v>0</v>
      </c>
      <c r="W63" s="118">
        <v>0</v>
      </c>
      <c r="X63" s="118">
        <v>0</v>
      </c>
      <c r="Y63" s="118">
        <v>0</v>
      </c>
      <c r="Z63" s="118">
        <v>0</v>
      </c>
      <c r="AA63" s="118">
        <v>0</v>
      </c>
      <c r="AB63" s="118">
        <v>0</v>
      </c>
      <c r="AC63" s="118">
        <v>0</v>
      </c>
      <c r="AD63" s="118">
        <v>0</v>
      </c>
      <c r="AE63" s="118">
        <v>0</v>
      </c>
      <c r="AF63" s="118">
        <v>0</v>
      </c>
      <c r="AG63" s="118">
        <v>0</v>
      </c>
      <c r="AH63" s="118">
        <v>0</v>
      </c>
      <c r="AI63" s="118">
        <v>0</v>
      </c>
      <c r="AJ63" s="118">
        <v>0</v>
      </c>
      <c r="AK63" s="118">
        <v>0</v>
      </c>
      <c r="AL63" s="118">
        <v>3.5700471974415933E-3</v>
      </c>
      <c r="AM63" s="118">
        <v>0</v>
      </c>
      <c r="AN63" s="118">
        <v>0</v>
      </c>
      <c r="AO63" s="118">
        <v>5.2722215995972899E-4</v>
      </c>
      <c r="AP63" s="118">
        <v>7.5317451422818428E-3</v>
      </c>
      <c r="AQ63" s="118">
        <v>9.0380941707382111E-4</v>
      </c>
      <c r="AR63" s="118">
        <v>1.1297617713422763E-2</v>
      </c>
      <c r="AS63" s="118">
        <v>1.054444319919458E-3</v>
      </c>
      <c r="AT63" s="118">
        <v>0</v>
      </c>
      <c r="AU63" s="118">
        <v>7.7125070256966076E-3</v>
      </c>
      <c r="AV63" s="118">
        <v>1.054444319919458E-3</v>
      </c>
      <c r="AW63" s="118">
        <v>1.5214125187409321E-3</v>
      </c>
      <c r="AX63" s="118">
        <v>0</v>
      </c>
      <c r="AY63" s="118">
        <v>0</v>
      </c>
      <c r="AZ63" s="118">
        <v>0</v>
      </c>
      <c r="BA63" s="118">
        <v>7.5317451422818428E-3</v>
      </c>
      <c r="BB63" s="118">
        <v>0</v>
      </c>
      <c r="BC63" s="118">
        <v>0</v>
      </c>
      <c r="BD63" s="118">
        <v>0</v>
      </c>
      <c r="BE63" s="118">
        <v>0</v>
      </c>
      <c r="BF63" s="118">
        <v>0</v>
      </c>
      <c r="BG63" s="118">
        <v>0</v>
      </c>
      <c r="BH63" s="118">
        <v>0</v>
      </c>
      <c r="BI63" s="118">
        <v>0</v>
      </c>
      <c r="BJ63" s="118">
        <v>1E-3</v>
      </c>
      <c r="BK63" s="222">
        <v>0</v>
      </c>
      <c r="BL63" s="118">
        <v>0</v>
      </c>
      <c r="BM63" s="118">
        <v>0</v>
      </c>
      <c r="BN63" s="118">
        <v>0</v>
      </c>
      <c r="BO63" s="118">
        <v>0</v>
      </c>
      <c r="BP63" s="118">
        <v>0</v>
      </c>
      <c r="BQ63" s="118">
        <v>0</v>
      </c>
      <c r="BR63" s="118">
        <v>0</v>
      </c>
      <c r="BS63" s="118">
        <v>0</v>
      </c>
      <c r="BT63" s="118">
        <v>0</v>
      </c>
      <c r="BU63" s="118">
        <v>0</v>
      </c>
      <c r="BV63" s="118">
        <v>0</v>
      </c>
      <c r="BW63" s="118">
        <v>1.5063490284563685E-3</v>
      </c>
      <c r="BX63" s="216">
        <v>1.8100000000000002E-2</v>
      </c>
      <c r="BY63" s="118">
        <v>0</v>
      </c>
      <c r="BZ63" s="118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</row>
    <row r="64" spans="1:84" x14ac:dyDescent="0.15">
      <c r="A64" t="s">
        <v>235</v>
      </c>
      <c r="B64" s="118">
        <v>0</v>
      </c>
      <c r="C64" s="118">
        <v>0</v>
      </c>
      <c r="D64" s="118">
        <v>0</v>
      </c>
      <c r="E64" s="118">
        <v>0</v>
      </c>
      <c r="F64" s="118">
        <v>0</v>
      </c>
      <c r="G64" s="118">
        <v>0</v>
      </c>
      <c r="H64" s="118">
        <v>0</v>
      </c>
      <c r="I64" s="118">
        <v>0</v>
      </c>
      <c r="J64" s="118">
        <v>0</v>
      </c>
      <c r="K64" s="118">
        <v>0</v>
      </c>
      <c r="L64" s="118">
        <v>0</v>
      </c>
      <c r="M64" s="118">
        <v>0</v>
      </c>
      <c r="N64" s="118">
        <v>0</v>
      </c>
      <c r="O64" s="118">
        <v>0</v>
      </c>
      <c r="P64" s="118">
        <v>0</v>
      </c>
      <c r="Q64" s="118">
        <v>0</v>
      </c>
      <c r="R64" s="118">
        <v>0</v>
      </c>
      <c r="S64" s="118">
        <v>1.1343334373138984E-3</v>
      </c>
      <c r="T64" s="118">
        <v>0</v>
      </c>
      <c r="U64" s="118">
        <v>0</v>
      </c>
      <c r="V64" s="118">
        <v>0</v>
      </c>
      <c r="W64" s="118">
        <v>0</v>
      </c>
      <c r="X64" s="118">
        <v>0</v>
      </c>
      <c r="Y64" s="118">
        <v>5.0000000000000001E-3</v>
      </c>
      <c r="Z64" s="118">
        <v>0.06</v>
      </c>
      <c r="AA64" s="118">
        <v>3.0047444915521611E-3</v>
      </c>
      <c r="AB64" s="118">
        <v>9.3729972982052989E-2</v>
      </c>
      <c r="AC64" s="118">
        <v>0</v>
      </c>
      <c r="AD64" s="118">
        <v>6.0477469622670969E-2</v>
      </c>
      <c r="AE64" s="118">
        <v>0</v>
      </c>
      <c r="AF64" s="118">
        <v>0</v>
      </c>
      <c r="AG64" s="118">
        <v>0</v>
      </c>
      <c r="AH64" s="118">
        <v>0</v>
      </c>
      <c r="AI64" s="118">
        <v>0</v>
      </c>
      <c r="AJ64" s="118">
        <v>0</v>
      </c>
      <c r="AK64" s="118">
        <v>9.9951799376630547E-4</v>
      </c>
      <c r="AL64" s="216">
        <v>5.1999999999999998E-2</v>
      </c>
      <c r="AM64" s="118">
        <v>5.0000000000000001E-3</v>
      </c>
      <c r="AN64" s="118">
        <v>0</v>
      </c>
      <c r="AO64" s="216">
        <v>0.06</v>
      </c>
      <c r="AP64" s="118">
        <v>5.0020960470507247E-2</v>
      </c>
      <c r="AQ64" s="118">
        <v>5.6019848640280902E-2</v>
      </c>
      <c r="AR64" s="118">
        <v>0.22</v>
      </c>
      <c r="AS64" s="118">
        <v>0.4</v>
      </c>
      <c r="AT64" s="118">
        <v>0.41729454039642977</v>
      </c>
      <c r="AU64" s="118">
        <v>0.15363893825251068</v>
      </c>
      <c r="AV64" s="118">
        <v>0.200792628902593</v>
      </c>
      <c r="AW64" s="118">
        <v>0.25218560860793543</v>
      </c>
      <c r="AX64" s="118">
        <v>0.13</v>
      </c>
      <c r="AY64" s="118">
        <v>0</v>
      </c>
      <c r="AZ64" s="118">
        <v>3.0978294541624492E-2</v>
      </c>
      <c r="BA64" s="118">
        <v>0.1</v>
      </c>
      <c r="BB64" s="118">
        <v>0</v>
      </c>
      <c r="BC64" s="118">
        <v>0.02</v>
      </c>
      <c r="BD64" s="118">
        <v>0.05</v>
      </c>
      <c r="BE64" s="118">
        <v>2.4994773488588255E-2</v>
      </c>
      <c r="BF64" s="118">
        <v>0</v>
      </c>
      <c r="BG64" s="118">
        <v>1E-3</v>
      </c>
      <c r="BH64" s="118">
        <v>0</v>
      </c>
      <c r="BI64" s="118">
        <v>3.5000000000000003E-2</v>
      </c>
      <c r="BJ64" s="118">
        <v>0.3</v>
      </c>
      <c r="BK64" s="118">
        <v>0.15</v>
      </c>
      <c r="BL64" s="222">
        <v>1E-3</v>
      </c>
      <c r="BM64" s="118">
        <v>0</v>
      </c>
      <c r="BN64" s="118">
        <v>0</v>
      </c>
      <c r="BO64" s="118">
        <v>0.01</v>
      </c>
      <c r="BP64" s="118">
        <v>0</v>
      </c>
      <c r="BQ64" s="118">
        <v>0</v>
      </c>
      <c r="BR64" s="118">
        <v>0</v>
      </c>
      <c r="BS64" s="118">
        <v>0</v>
      </c>
      <c r="BT64" s="118">
        <v>0</v>
      </c>
      <c r="BU64" s="118">
        <v>2.5000000000000001E-2</v>
      </c>
      <c r="BV64" s="118">
        <v>0</v>
      </c>
      <c r="BW64" s="118">
        <v>0</v>
      </c>
      <c r="BX64" s="216">
        <v>2.5000000000000001E-2</v>
      </c>
      <c r="BY64" s="118">
        <v>0</v>
      </c>
      <c r="BZ64" s="118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</row>
    <row r="65" spans="1:84" x14ac:dyDescent="0.15">
      <c r="A65" t="s">
        <v>236</v>
      </c>
      <c r="B65" s="118">
        <v>0</v>
      </c>
      <c r="C65" s="118">
        <v>0</v>
      </c>
      <c r="D65" s="118">
        <v>0</v>
      </c>
      <c r="E65" s="118">
        <v>0</v>
      </c>
      <c r="F65" s="118">
        <v>0</v>
      </c>
      <c r="G65" s="118">
        <v>0</v>
      </c>
      <c r="H65" s="118">
        <v>0</v>
      </c>
      <c r="I65" s="118">
        <v>0</v>
      </c>
      <c r="J65" s="118">
        <v>0</v>
      </c>
      <c r="K65" s="118">
        <v>0</v>
      </c>
      <c r="L65" s="118">
        <v>0</v>
      </c>
      <c r="M65" s="118">
        <v>0</v>
      </c>
      <c r="N65" s="118">
        <v>0</v>
      </c>
      <c r="O65" s="118">
        <v>0</v>
      </c>
      <c r="P65" s="118">
        <v>0</v>
      </c>
      <c r="Q65" s="118">
        <v>0</v>
      </c>
      <c r="R65" s="118">
        <v>0</v>
      </c>
      <c r="S65" s="118">
        <v>0</v>
      </c>
      <c r="T65" s="118">
        <v>0</v>
      </c>
      <c r="U65" s="118">
        <v>0</v>
      </c>
      <c r="V65" s="118">
        <v>0</v>
      </c>
      <c r="W65" s="118">
        <v>0</v>
      </c>
      <c r="X65" s="118">
        <v>0</v>
      </c>
      <c r="Y65" s="118">
        <v>0</v>
      </c>
      <c r="Z65" s="118">
        <v>0</v>
      </c>
      <c r="AA65" s="118">
        <v>0</v>
      </c>
      <c r="AB65" s="118">
        <v>0</v>
      </c>
      <c r="AC65" s="118">
        <v>0</v>
      </c>
      <c r="AD65" s="118">
        <v>0</v>
      </c>
      <c r="AE65" s="118">
        <v>0</v>
      </c>
      <c r="AF65" s="118">
        <v>0</v>
      </c>
      <c r="AG65" s="118">
        <v>0</v>
      </c>
      <c r="AH65" s="118">
        <v>0</v>
      </c>
      <c r="AI65" s="118">
        <v>0</v>
      </c>
      <c r="AJ65" s="118">
        <v>0</v>
      </c>
      <c r="AK65" s="118">
        <v>0</v>
      </c>
      <c r="AL65" s="118">
        <v>0</v>
      </c>
      <c r="AM65" s="118">
        <v>0</v>
      </c>
      <c r="AN65" s="118">
        <v>0</v>
      </c>
      <c r="AO65" s="118">
        <v>0</v>
      </c>
      <c r="AP65" s="118">
        <v>0</v>
      </c>
      <c r="AQ65" s="118">
        <v>0</v>
      </c>
      <c r="AR65" s="118">
        <v>0</v>
      </c>
      <c r="AS65" s="118">
        <v>0</v>
      </c>
      <c r="AT65" s="118">
        <v>0</v>
      </c>
      <c r="AU65" s="118">
        <v>0</v>
      </c>
      <c r="AV65" s="118">
        <v>0</v>
      </c>
      <c r="AW65" s="118">
        <v>0</v>
      </c>
      <c r="AX65" s="118">
        <v>0</v>
      </c>
      <c r="AY65" s="118">
        <v>0</v>
      </c>
      <c r="AZ65" s="118">
        <v>0</v>
      </c>
      <c r="BA65" s="118">
        <v>0</v>
      </c>
      <c r="BB65" s="118">
        <v>0</v>
      </c>
      <c r="BC65" s="118">
        <v>0</v>
      </c>
      <c r="BD65" s="118">
        <v>0</v>
      </c>
      <c r="BE65" s="118">
        <v>0</v>
      </c>
      <c r="BF65" s="118">
        <v>0</v>
      </c>
      <c r="BG65" s="118">
        <v>0</v>
      </c>
      <c r="BH65" s="118">
        <v>0</v>
      </c>
      <c r="BI65" s="118">
        <v>0</v>
      </c>
      <c r="BJ65" s="118">
        <v>0</v>
      </c>
      <c r="BK65" s="118">
        <v>0</v>
      </c>
      <c r="BL65" s="118">
        <v>0</v>
      </c>
      <c r="BM65" s="222">
        <v>0</v>
      </c>
      <c r="BN65" s="118">
        <v>0</v>
      </c>
      <c r="BO65" s="118">
        <v>0</v>
      </c>
      <c r="BP65" s="118">
        <v>0</v>
      </c>
      <c r="BQ65" s="118">
        <v>0</v>
      </c>
      <c r="BR65" s="118">
        <v>0</v>
      </c>
      <c r="BS65" s="118">
        <v>0</v>
      </c>
      <c r="BT65" s="118">
        <v>0</v>
      </c>
      <c r="BU65" s="118">
        <v>0</v>
      </c>
      <c r="BV65" s="118">
        <v>0</v>
      </c>
      <c r="BW65" s="118">
        <v>0</v>
      </c>
      <c r="BX65" s="118">
        <v>0</v>
      </c>
      <c r="BY65" s="118">
        <v>0</v>
      </c>
      <c r="BZ65" s="118">
        <v>0</v>
      </c>
      <c r="CA65">
        <v>5.0000000000000001E-3</v>
      </c>
      <c r="CB65">
        <v>0</v>
      </c>
      <c r="CC65">
        <v>0</v>
      </c>
      <c r="CD65">
        <v>0</v>
      </c>
      <c r="CE65">
        <v>0</v>
      </c>
      <c r="CF65">
        <v>0</v>
      </c>
    </row>
    <row r="66" spans="1:84" x14ac:dyDescent="0.15">
      <c r="A66" t="s">
        <v>237</v>
      </c>
      <c r="B66" s="118">
        <v>0</v>
      </c>
      <c r="C66" s="118">
        <v>0</v>
      </c>
      <c r="D66" s="118">
        <v>0</v>
      </c>
      <c r="E66" s="118">
        <v>0</v>
      </c>
      <c r="F66" s="118">
        <v>0</v>
      </c>
      <c r="G66" s="118">
        <v>0</v>
      </c>
      <c r="H66" s="118">
        <v>0</v>
      </c>
      <c r="I66" s="118">
        <v>0</v>
      </c>
      <c r="J66" s="118">
        <v>0</v>
      </c>
      <c r="K66" s="118">
        <v>0</v>
      </c>
      <c r="L66" s="118">
        <v>0</v>
      </c>
      <c r="M66" s="118">
        <v>0</v>
      </c>
      <c r="N66" s="118">
        <v>0</v>
      </c>
      <c r="O66" s="118">
        <v>0</v>
      </c>
      <c r="P66" s="118">
        <v>0</v>
      </c>
      <c r="Q66" s="118">
        <v>0</v>
      </c>
      <c r="R66" s="118">
        <v>0</v>
      </c>
      <c r="S66" s="118">
        <v>0</v>
      </c>
      <c r="T66" s="118">
        <v>0</v>
      </c>
      <c r="U66" s="118">
        <v>0</v>
      </c>
      <c r="V66" s="118">
        <v>0</v>
      </c>
      <c r="W66" s="118">
        <v>0</v>
      </c>
      <c r="X66" s="118">
        <v>0</v>
      </c>
      <c r="Y66" s="118">
        <v>0</v>
      </c>
      <c r="Z66" s="118">
        <v>0</v>
      </c>
      <c r="AA66" s="118">
        <v>0</v>
      </c>
      <c r="AB66" s="118">
        <v>0</v>
      </c>
      <c r="AC66" s="118">
        <v>0</v>
      </c>
      <c r="AD66" s="118">
        <v>0</v>
      </c>
      <c r="AE66" s="118">
        <v>0</v>
      </c>
      <c r="AF66" s="118">
        <v>0</v>
      </c>
      <c r="AG66" s="118">
        <v>0</v>
      </c>
      <c r="AH66" s="118">
        <v>0</v>
      </c>
      <c r="AI66" s="118">
        <v>0</v>
      </c>
      <c r="AJ66" s="118">
        <v>0</v>
      </c>
      <c r="AK66" s="118">
        <v>0</v>
      </c>
      <c r="AL66" s="118">
        <v>0</v>
      </c>
      <c r="AM66" s="118">
        <v>0</v>
      </c>
      <c r="AN66" s="118">
        <v>0</v>
      </c>
      <c r="AO66" s="118">
        <v>0</v>
      </c>
      <c r="AP66" s="118">
        <v>0</v>
      </c>
      <c r="AQ66" s="118">
        <v>0</v>
      </c>
      <c r="AR66" s="118">
        <v>0</v>
      </c>
      <c r="AS66" s="118">
        <v>0</v>
      </c>
      <c r="AT66" s="118">
        <v>0</v>
      </c>
      <c r="AU66" s="118">
        <v>0</v>
      </c>
      <c r="AV66" s="118">
        <v>0</v>
      </c>
      <c r="AW66" s="118">
        <v>0</v>
      </c>
      <c r="AX66" s="118">
        <v>0</v>
      </c>
      <c r="AY66" s="118">
        <v>0</v>
      </c>
      <c r="AZ66" s="118">
        <v>0</v>
      </c>
      <c r="BA66" s="118">
        <v>0</v>
      </c>
      <c r="BB66" s="118">
        <v>0</v>
      </c>
      <c r="BC66" s="118">
        <v>0</v>
      </c>
      <c r="BD66" s="118">
        <v>0</v>
      </c>
      <c r="BE66" s="118">
        <v>0</v>
      </c>
      <c r="BF66" s="118">
        <v>0</v>
      </c>
      <c r="BG66" s="118">
        <v>0</v>
      </c>
      <c r="BH66" s="118">
        <v>0</v>
      </c>
      <c r="BI66" s="118">
        <v>0</v>
      </c>
      <c r="BJ66" s="118">
        <v>0</v>
      </c>
      <c r="BK66" s="118">
        <v>0</v>
      </c>
      <c r="BL66" s="118">
        <v>0</v>
      </c>
      <c r="BM66" s="118">
        <v>0</v>
      </c>
      <c r="BN66" s="222">
        <v>0</v>
      </c>
      <c r="BO66" s="118">
        <v>8.5838261597724636E-3</v>
      </c>
      <c r="BP66" s="118">
        <v>0</v>
      </c>
      <c r="BQ66" s="118">
        <v>0</v>
      </c>
      <c r="BR66" s="118">
        <v>0</v>
      </c>
      <c r="BS66" s="118">
        <v>0</v>
      </c>
      <c r="BT66" s="118">
        <v>0</v>
      </c>
      <c r="BU66" s="118">
        <v>0</v>
      </c>
      <c r="BV66" s="118">
        <v>0</v>
      </c>
      <c r="BW66" s="118">
        <v>0</v>
      </c>
      <c r="BX66" s="118">
        <v>0</v>
      </c>
      <c r="BY66" s="118">
        <v>0</v>
      </c>
      <c r="BZ66" s="118">
        <v>0</v>
      </c>
      <c r="CA66">
        <v>3.0000000000000001E-3</v>
      </c>
      <c r="CB66">
        <v>0</v>
      </c>
      <c r="CC66">
        <v>0</v>
      </c>
      <c r="CD66">
        <v>0</v>
      </c>
      <c r="CE66">
        <v>0</v>
      </c>
      <c r="CF66">
        <v>0</v>
      </c>
    </row>
    <row r="67" spans="1:84" x14ac:dyDescent="0.15">
      <c r="A67" t="s">
        <v>238</v>
      </c>
      <c r="B67" s="118">
        <v>0</v>
      </c>
      <c r="C67" s="118">
        <v>0</v>
      </c>
      <c r="D67" s="118">
        <v>0</v>
      </c>
      <c r="E67" s="118">
        <v>0</v>
      </c>
      <c r="F67" s="118">
        <v>0</v>
      </c>
      <c r="G67" s="118">
        <v>0</v>
      </c>
      <c r="H67" s="118">
        <v>0</v>
      </c>
      <c r="I67" s="118">
        <v>0</v>
      </c>
      <c r="J67" s="118">
        <v>0</v>
      </c>
      <c r="K67" s="118">
        <v>0</v>
      </c>
      <c r="L67" s="118">
        <v>0</v>
      </c>
      <c r="M67" s="118">
        <v>0</v>
      </c>
      <c r="N67" s="118">
        <v>0</v>
      </c>
      <c r="O67" s="118">
        <v>0</v>
      </c>
      <c r="P67" s="118">
        <v>0</v>
      </c>
      <c r="Q67" s="118">
        <v>0</v>
      </c>
      <c r="R67" s="118">
        <v>0</v>
      </c>
      <c r="S67" s="118">
        <v>0</v>
      </c>
      <c r="T67" s="118">
        <v>0</v>
      </c>
      <c r="U67" s="118">
        <v>0</v>
      </c>
      <c r="V67" s="118">
        <v>0</v>
      </c>
      <c r="W67" s="118">
        <v>0</v>
      </c>
      <c r="X67" s="118">
        <v>0</v>
      </c>
      <c r="Y67" s="118">
        <v>0</v>
      </c>
      <c r="Z67" s="118">
        <v>0</v>
      </c>
      <c r="AA67" s="118">
        <v>0</v>
      </c>
      <c r="AB67" s="118">
        <v>0</v>
      </c>
      <c r="AC67" s="118">
        <v>0</v>
      </c>
      <c r="AD67" s="118">
        <v>0</v>
      </c>
      <c r="AE67" s="118">
        <v>0</v>
      </c>
      <c r="AF67" s="118">
        <v>0</v>
      </c>
      <c r="AG67" s="118">
        <v>0</v>
      </c>
      <c r="AH67" s="118">
        <v>0</v>
      </c>
      <c r="AI67" s="118">
        <v>0</v>
      </c>
      <c r="AJ67" s="118">
        <v>0</v>
      </c>
      <c r="AK67" s="118">
        <v>0</v>
      </c>
      <c r="AL67" s="118">
        <v>0</v>
      </c>
      <c r="AM67" s="118">
        <v>0</v>
      </c>
      <c r="AN67" s="118">
        <v>0</v>
      </c>
      <c r="AO67" s="118">
        <v>0</v>
      </c>
      <c r="AP67" s="118">
        <v>0</v>
      </c>
      <c r="AQ67" s="118">
        <v>0</v>
      </c>
      <c r="AR67" s="118">
        <v>0</v>
      </c>
      <c r="AS67" s="118">
        <v>0</v>
      </c>
      <c r="AT67" s="118">
        <v>0</v>
      </c>
      <c r="AU67" s="118">
        <v>0</v>
      </c>
      <c r="AV67" s="118">
        <v>0</v>
      </c>
      <c r="AW67" s="118">
        <v>0</v>
      </c>
      <c r="AX67" s="118">
        <v>0</v>
      </c>
      <c r="AY67" s="118">
        <v>0</v>
      </c>
      <c r="AZ67" s="118">
        <v>0</v>
      </c>
      <c r="BA67" s="118">
        <v>0</v>
      </c>
      <c r="BB67" s="118">
        <v>0</v>
      </c>
      <c r="BC67" s="118">
        <v>0</v>
      </c>
      <c r="BD67" s="118">
        <v>0</v>
      </c>
      <c r="BE67" s="118">
        <v>0</v>
      </c>
      <c r="BF67" s="118">
        <v>0</v>
      </c>
      <c r="BG67" s="118">
        <v>0</v>
      </c>
      <c r="BH67" s="118">
        <v>0</v>
      </c>
      <c r="BI67" s="118">
        <v>0</v>
      </c>
      <c r="BJ67" s="118">
        <v>0</v>
      </c>
      <c r="BK67" s="118">
        <v>0</v>
      </c>
      <c r="BL67" s="118">
        <v>0</v>
      </c>
      <c r="BM67" s="118">
        <v>0</v>
      </c>
      <c r="BN67" s="118">
        <v>0</v>
      </c>
      <c r="BO67" s="222">
        <v>9.3519046894273363E-4</v>
      </c>
      <c r="BP67" s="118">
        <v>0</v>
      </c>
      <c r="BQ67" s="118">
        <v>0</v>
      </c>
      <c r="BR67" s="118">
        <v>0</v>
      </c>
      <c r="BS67" s="118">
        <v>0</v>
      </c>
      <c r="BT67" s="118">
        <v>0</v>
      </c>
      <c r="BU67" s="118">
        <v>0</v>
      </c>
      <c r="BV67" s="118">
        <v>0</v>
      </c>
      <c r="BW67" s="118">
        <v>0</v>
      </c>
      <c r="BX67" s="118">
        <v>0</v>
      </c>
      <c r="BY67" s="118">
        <v>0</v>
      </c>
      <c r="BZ67" s="118">
        <v>0</v>
      </c>
      <c r="CA67">
        <v>1E-3</v>
      </c>
      <c r="CB67">
        <v>0</v>
      </c>
      <c r="CC67">
        <v>0</v>
      </c>
      <c r="CD67">
        <v>0</v>
      </c>
      <c r="CE67">
        <v>0</v>
      </c>
      <c r="CF67">
        <v>0</v>
      </c>
    </row>
    <row r="68" spans="1:84" x14ac:dyDescent="0.15">
      <c r="A68" t="s">
        <v>239</v>
      </c>
      <c r="B68" s="118">
        <v>0</v>
      </c>
      <c r="C68" s="118">
        <v>0</v>
      </c>
      <c r="D68" s="118">
        <v>0</v>
      </c>
      <c r="E68" s="118">
        <v>0</v>
      </c>
      <c r="F68" s="118">
        <v>0</v>
      </c>
      <c r="G68" s="118">
        <v>0</v>
      </c>
      <c r="H68" s="118">
        <v>0</v>
      </c>
      <c r="I68" s="118">
        <v>0</v>
      </c>
      <c r="J68" s="118">
        <v>0</v>
      </c>
      <c r="K68" s="118">
        <v>0</v>
      </c>
      <c r="L68" s="118">
        <v>0</v>
      </c>
      <c r="M68" s="118">
        <v>0</v>
      </c>
      <c r="N68" s="118">
        <v>0</v>
      </c>
      <c r="O68" s="118">
        <v>0</v>
      </c>
      <c r="P68" s="118">
        <v>0</v>
      </c>
      <c r="Q68" s="118">
        <v>0</v>
      </c>
      <c r="R68" s="118">
        <v>0</v>
      </c>
      <c r="S68" s="118">
        <v>0</v>
      </c>
      <c r="T68" s="118">
        <v>0</v>
      </c>
      <c r="U68" s="118">
        <v>0</v>
      </c>
      <c r="V68" s="118">
        <v>0</v>
      </c>
      <c r="W68" s="118">
        <v>0</v>
      </c>
      <c r="X68" s="118">
        <v>0</v>
      </c>
      <c r="Y68" s="118">
        <v>0</v>
      </c>
      <c r="Z68" s="118">
        <v>0</v>
      </c>
      <c r="AA68" s="118">
        <v>0</v>
      </c>
      <c r="AB68" s="118">
        <v>0</v>
      </c>
      <c r="AC68" s="118">
        <v>0</v>
      </c>
      <c r="AD68" s="118">
        <v>0</v>
      </c>
      <c r="AE68" s="118">
        <v>0</v>
      </c>
      <c r="AF68" s="118">
        <v>0</v>
      </c>
      <c r="AG68" s="118">
        <v>0</v>
      </c>
      <c r="AH68" s="118">
        <v>0</v>
      </c>
      <c r="AI68" s="118">
        <v>0</v>
      </c>
      <c r="AJ68" s="118">
        <v>0</v>
      </c>
      <c r="AK68" s="118">
        <v>0</v>
      </c>
      <c r="AL68" s="118">
        <v>0</v>
      </c>
      <c r="AM68" s="118">
        <v>0</v>
      </c>
      <c r="AN68" s="118">
        <v>0</v>
      </c>
      <c r="AO68" s="118">
        <v>0</v>
      </c>
      <c r="AP68" s="118">
        <v>0</v>
      </c>
      <c r="AQ68" s="118">
        <v>0</v>
      </c>
      <c r="AR68" s="118">
        <v>0</v>
      </c>
      <c r="AS68" s="118">
        <v>0</v>
      </c>
      <c r="AT68" s="118">
        <v>0</v>
      </c>
      <c r="AU68" s="118">
        <v>0</v>
      </c>
      <c r="AV68" s="118">
        <v>0</v>
      </c>
      <c r="AW68" s="118">
        <v>0</v>
      </c>
      <c r="AX68" s="118">
        <v>0</v>
      </c>
      <c r="AY68" s="118">
        <v>0</v>
      </c>
      <c r="AZ68" s="118">
        <v>0</v>
      </c>
      <c r="BA68" s="118">
        <v>0</v>
      </c>
      <c r="BB68" s="118">
        <v>0</v>
      </c>
      <c r="BC68" s="118">
        <v>0</v>
      </c>
      <c r="BD68" s="118">
        <v>0</v>
      </c>
      <c r="BE68" s="118">
        <v>0</v>
      </c>
      <c r="BF68" s="118">
        <v>0</v>
      </c>
      <c r="BG68" s="118">
        <v>0</v>
      </c>
      <c r="BH68" s="118">
        <v>0</v>
      </c>
      <c r="BI68" s="118">
        <v>0</v>
      </c>
      <c r="BJ68" s="118">
        <v>0</v>
      </c>
      <c r="BK68" s="118">
        <v>0</v>
      </c>
      <c r="BL68" s="118">
        <v>0</v>
      </c>
      <c r="BM68" s="118">
        <v>0</v>
      </c>
      <c r="BN68" s="118">
        <v>0</v>
      </c>
      <c r="BO68" s="118">
        <v>1.9875893664146526E-4</v>
      </c>
      <c r="BP68" s="222">
        <v>0</v>
      </c>
      <c r="BQ68" s="118">
        <v>0</v>
      </c>
      <c r="BR68" s="118">
        <v>0</v>
      </c>
      <c r="BS68" s="118">
        <v>0</v>
      </c>
      <c r="BT68" s="118">
        <v>0</v>
      </c>
      <c r="BU68" s="118">
        <v>0</v>
      </c>
      <c r="BV68" s="118">
        <v>0</v>
      </c>
      <c r="BW68" s="118">
        <v>0</v>
      </c>
      <c r="BX68" s="118">
        <v>0</v>
      </c>
      <c r="BY68" s="118">
        <v>0</v>
      </c>
      <c r="BZ68" s="11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</row>
    <row r="69" spans="1:84" x14ac:dyDescent="0.15">
      <c r="A69" t="s">
        <v>240</v>
      </c>
      <c r="B69" s="118">
        <v>0</v>
      </c>
      <c r="C69" s="118">
        <v>0</v>
      </c>
      <c r="D69" s="118">
        <v>0</v>
      </c>
      <c r="E69" s="118">
        <v>0</v>
      </c>
      <c r="F69" s="118">
        <v>0</v>
      </c>
      <c r="G69" s="118">
        <v>0</v>
      </c>
      <c r="H69" s="118">
        <v>0</v>
      </c>
      <c r="I69" s="118">
        <v>0</v>
      </c>
      <c r="J69" s="118">
        <v>0</v>
      </c>
      <c r="K69" s="118">
        <v>0</v>
      </c>
      <c r="L69" s="118">
        <v>0</v>
      </c>
      <c r="M69" s="118">
        <v>0</v>
      </c>
      <c r="N69" s="118">
        <v>0</v>
      </c>
      <c r="O69" s="118">
        <v>0</v>
      </c>
      <c r="P69" s="118">
        <v>0</v>
      </c>
      <c r="Q69" s="118">
        <v>0</v>
      </c>
      <c r="R69" s="118">
        <v>0</v>
      </c>
      <c r="S69" s="118">
        <v>0</v>
      </c>
      <c r="T69" s="118">
        <v>0</v>
      </c>
      <c r="U69" s="118">
        <v>0</v>
      </c>
      <c r="V69" s="118">
        <v>0</v>
      </c>
      <c r="W69" s="118">
        <v>0</v>
      </c>
      <c r="X69" s="118">
        <v>0</v>
      </c>
      <c r="Y69" s="118">
        <v>0</v>
      </c>
      <c r="Z69" s="118">
        <v>0</v>
      </c>
      <c r="AA69" s="118">
        <v>0</v>
      </c>
      <c r="AB69" s="118">
        <v>0</v>
      </c>
      <c r="AC69" s="118">
        <v>0</v>
      </c>
      <c r="AD69" s="118">
        <v>0</v>
      </c>
      <c r="AE69" s="118">
        <v>0</v>
      </c>
      <c r="AF69" s="118">
        <v>0</v>
      </c>
      <c r="AG69" s="118">
        <v>0</v>
      </c>
      <c r="AH69" s="118">
        <v>0</v>
      </c>
      <c r="AI69" s="118">
        <v>0</v>
      </c>
      <c r="AJ69" s="118">
        <v>0</v>
      </c>
      <c r="AK69" s="118">
        <v>0</v>
      </c>
      <c r="AL69" s="118">
        <v>0</v>
      </c>
      <c r="AM69" s="118">
        <v>0</v>
      </c>
      <c r="AN69" s="118">
        <v>0</v>
      </c>
      <c r="AO69" s="118">
        <v>0</v>
      </c>
      <c r="AP69" s="118">
        <v>0</v>
      </c>
      <c r="AQ69" s="118">
        <v>0</v>
      </c>
      <c r="AR69" s="118">
        <v>0</v>
      </c>
      <c r="AS69" s="118">
        <v>0</v>
      </c>
      <c r="AT69" s="118">
        <v>0</v>
      </c>
      <c r="AU69" s="118">
        <v>0</v>
      </c>
      <c r="AV69" s="118">
        <v>0</v>
      </c>
      <c r="AW69" s="118">
        <v>0</v>
      </c>
      <c r="AX69" s="118">
        <v>0</v>
      </c>
      <c r="AY69" s="118">
        <v>0</v>
      </c>
      <c r="AZ69" s="118">
        <v>0</v>
      </c>
      <c r="BA69" s="118">
        <v>0</v>
      </c>
      <c r="BB69" s="118">
        <v>0</v>
      </c>
      <c r="BC69" s="118">
        <v>0</v>
      </c>
      <c r="BD69" s="118">
        <v>0</v>
      </c>
      <c r="BE69" s="118">
        <v>0</v>
      </c>
      <c r="BF69" s="118">
        <v>0</v>
      </c>
      <c r="BG69" s="118">
        <v>0</v>
      </c>
      <c r="BH69" s="118">
        <v>0</v>
      </c>
      <c r="BI69" s="118">
        <v>0</v>
      </c>
      <c r="BJ69" s="118">
        <v>0</v>
      </c>
      <c r="BK69" s="118">
        <v>0</v>
      </c>
      <c r="BL69" s="118">
        <v>0</v>
      </c>
      <c r="BM69" s="118">
        <v>0</v>
      </c>
      <c r="BN69" s="118">
        <v>0</v>
      </c>
      <c r="BO69" s="118">
        <v>0</v>
      </c>
      <c r="BP69" s="118">
        <v>0</v>
      </c>
      <c r="BQ69" s="222">
        <v>0</v>
      </c>
      <c r="BR69" s="118">
        <v>0</v>
      </c>
      <c r="BS69" s="118">
        <v>0</v>
      </c>
      <c r="BT69" s="118">
        <v>0</v>
      </c>
      <c r="BU69" s="118">
        <v>0</v>
      </c>
      <c r="BV69" s="118">
        <v>0</v>
      </c>
      <c r="BW69" s="118">
        <v>0</v>
      </c>
      <c r="BX69" s="118">
        <v>0</v>
      </c>
      <c r="BY69" s="118">
        <v>0</v>
      </c>
      <c r="BZ69" s="118">
        <v>0</v>
      </c>
      <c r="CA69">
        <v>2E-3</v>
      </c>
      <c r="CB69">
        <v>0</v>
      </c>
      <c r="CC69">
        <v>0</v>
      </c>
      <c r="CD69">
        <v>0</v>
      </c>
      <c r="CE69">
        <v>0</v>
      </c>
      <c r="CF69">
        <v>0</v>
      </c>
    </row>
    <row r="70" spans="1:84" x14ac:dyDescent="0.15">
      <c r="A70" t="s">
        <v>241</v>
      </c>
      <c r="B70" s="118">
        <v>0</v>
      </c>
      <c r="C70" s="118">
        <v>0</v>
      </c>
      <c r="D70" s="118">
        <v>0</v>
      </c>
      <c r="E70" s="118">
        <v>0</v>
      </c>
      <c r="F70" s="118">
        <v>0</v>
      </c>
      <c r="G70" s="118">
        <v>0</v>
      </c>
      <c r="H70" s="118">
        <v>0</v>
      </c>
      <c r="I70" s="118">
        <v>0</v>
      </c>
      <c r="J70" s="118">
        <v>0</v>
      </c>
      <c r="K70" s="118">
        <v>0</v>
      </c>
      <c r="L70" s="118">
        <v>0</v>
      </c>
      <c r="M70" s="118">
        <v>0</v>
      </c>
      <c r="N70" s="118">
        <v>0</v>
      </c>
      <c r="O70" s="118">
        <v>0</v>
      </c>
      <c r="P70" s="118">
        <v>0</v>
      </c>
      <c r="Q70" s="118">
        <v>0</v>
      </c>
      <c r="R70" s="118">
        <v>0</v>
      </c>
      <c r="S70" s="118">
        <v>0</v>
      </c>
      <c r="T70" s="118">
        <v>0</v>
      </c>
      <c r="U70" s="118">
        <v>0</v>
      </c>
      <c r="V70" s="118">
        <v>0</v>
      </c>
      <c r="W70" s="118">
        <v>0</v>
      </c>
      <c r="X70" s="118">
        <v>0</v>
      </c>
      <c r="Y70" s="118">
        <v>0</v>
      </c>
      <c r="Z70" s="118">
        <v>0</v>
      </c>
      <c r="AA70" s="118">
        <v>0</v>
      </c>
      <c r="AB70" s="118">
        <v>0</v>
      </c>
      <c r="AC70" s="118">
        <v>0</v>
      </c>
      <c r="AD70" s="118">
        <v>0</v>
      </c>
      <c r="AE70" s="118">
        <v>0</v>
      </c>
      <c r="AF70" s="118">
        <v>0</v>
      </c>
      <c r="AG70" s="118">
        <v>0</v>
      </c>
      <c r="AH70" s="118">
        <v>0</v>
      </c>
      <c r="AI70" s="118">
        <v>0</v>
      </c>
      <c r="AJ70" s="118">
        <v>0</v>
      </c>
      <c r="AK70" s="118">
        <v>0</v>
      </c>
      <c r="AL70" s="118">
        <v>0</v>
      </c>
      <c r="AM70" s="118">
        <v>0</v>
      </c>
      <c r="AN70" s="118">
        <v>0</v>
      </c>
      <c r="AO70" s="118">
        <v>0</v>
      </c>
      <c r="AP70" s="118">
        <v>0</v>
      </c>
      <c r="AQ70" s="118">
        <v>0</v>
      </c>
      <c r="AR70" s="118">
        <v>0</v>
      </c>
      <c r="AS70" s="118">
        <v>0</v>
      </c>
      <c r="AT70" s="118">
        <v>0</v>
      </c>
      <c r="AU70" s="118">
        <v>0</v>
      </c>
      <c r="AV70" s="118">
        <v>0</v>
      </c>
      <c r="AW70" s="118">
        <v>0</v>
      </c>
      <c r="AX70" s="118">
        <v>0</v>
      </c>
      <c r="AY70" s="118">
        <v>0</v>
      </c>
      <c r="AZ70" s="118">
        <v>0</v>
      </c>
      <c r="BA70" s="118">
        <v>0</v>
      </c>
      <c r="BB70" s="118">
        <v>0</v>
      </c>
      <c r="BC70" s="118">
        <v>0</v>
      </c>
      <c r="BD70" s="118">
        <v>0</v>
      </c>
      <c r="BE70" s="118">
        <v>0</v>
      </c>
      <c r="BF70" s="118">
        <v>0</v>
      </c>
      <c r="BG70" s="118">
        <v>0</v>
      </c>
      <c r="BH70" s="118">
        <v>0</v>
      </c>
      <c r="BI70" s="118">
        <v>0</v>
      </c>
      <c r="BJ70" s="118">
        <v>0</v>
      </c>
      <c r="BK70" s="118">
        <v>0</v>
      </c>
      <c r="BL70" s="118">
        <v>0</v>
      </c>
      <c r="BM70" s="118">
        <v>0</v>
      </c>
      <c r="BN70" s="118">
        <v>0</v>
      </c>
      <c r="BO70" s="118">
        <v>0</v>
      </c>
      <c r="BP70" s="118">
        <v>0</v>
      </c>
      <c r="BQ70" s="118">
        <v>0</v>
      </c>
      <c r="BR70" s="222">
        <v>0</v>
      </c>
      <c r="BS70" s="118">
        <v>0</v>
      </c>
      <c r="BT70" s="118">
        <v>0</v>
      </c>
      <c r="BU70" s="118">
        <v>0</v>
      </c>
      <c r="BV70" s="118">
        <v>0</v>
      </c>
      <c r="BW70" s="118">
        <v>0</v>
      </c>
      <c r="BX70" s="118">
        <v>0</v>
      </c>
      <c r="BY70" s="118">
        <v>0</v>
      </c>
      <c r="BZ70" s="118">
        <v>0</v>
      </c>
      <c r="CA70">
        <v>1E-3</v>
      </c>
      <c r="CB70">
        <v>0</v>
      </c>
      <c r="CC70">
        <v>0</v>
      </c>
      <c r="CD70">
        <v>0</v>
      </c>
      <c r="CE70">
        <v>0</v>
      </c>
      <c r="CF70">
        <v>0</v>
      </c>
    </row>
    <row r="71" spans="1:84" x14ac:dyDescent="0.15">
      <c r="A71" t="s">
        <v>242</v>
      </c>
      <c r="B71" s="118">
        <v>0</v>
      </c>
      <c r="C71" s="118">
        <v>0</v>
      </c>
      <c r="D71" s="118">
        <v>0</v>
      </c>
      <c r="E71" s="118">
        <v>0</v>
      </c>
      <c r="F71" s="118">
        <v>0</v>
      </c>
      <c r="G71" s="118">
        <v>0</v>
      </c>
      <c r="H71" s="118">
        <v>0</v>
      </c>
      <c r="I71" s="118">
        <v>0</v>
      </c>
      <c r="J71" s="118">
        <v>0</v>
      </c>
      <c r="K71" s="118">
        <v>0</v>
      </c>
      <c r="L71" s="118">
        <v>0</v>
      </c>
      <c r="M71" s="118">
        <v>0</v>
      </c>
      <c r="N71" s="118">
        <v>0</v>
      </c>
      <c r="O71" s="118">
        <v>0</v>
      </c>
      <c r="P71" s="118">
        <v>0</v>
      </c>
      <c r="Q71" s="118">
        <v>0</v>
      </c>
      <c r="R71" s="118">
        <v>0</v>
      </c>
      <c r="S71" s="118">
        <v>0</v>
      </c>
      <c r="T71" s="118">
        <v>0</v>
      </c>
      <c r="U71" s="118">
        <v>0</v>
      </c>
      <c r="V71" s="118">
        <v>0</v>
      </c>
      <c r="W71" s="118">
        <v>0</v>
      </c>
      <c r="X71" s="118">
        <v>0</v>
      </c>
      <c r="Y71" s="118">
        <v>0</v>
      </c>
      <c r="Z71" s="118">
        <v>0</v>
      </c>
      <c r="AA71" s="118">
        <v>0</v>
      </c>
      <c r="AB71" s="118">
        <v>0</v>
      </c>
      <c r="AC71" s="118">
        <v>0</v>
      </c>
      <c r="AD71" s="118">
        <v>0</v>
      </c>
      <c r="AE71" s="118">
        <v>0</v>
      </c>
      <c r="AF71" s="118">
        <v>0</v>
      </c>
      <c r="AG71" s="118">
        <v>0</v>
      </c>
      <c r="AH71" s="118">
        <v>0</v>
      </c>
      <c r="AI71" s="118">
        <v>0</v>
      </c>
      <c r="AJ71" s="118">
        <v>0</v>
      </c>
      <c r="AK71" s="118">
        <v>0</v>
      </c>
      <c r="AL71" s="118">
        <v>0</v>
      </c>
      <c r="AM71" s="118">
        <v>0</v>
      </c>
      <c r="AN71" s="118">
        <v>0</v>
      </c>
      <c r="AO71" s="118">
        <v>0</v>
      </c>
      <c r="AP71" s="118">
        <v>0</v>
      </c>
      <c r="AQ71" s="118">
        <v>0</v>
      </c>
      <c r="AR71" s="118">
        <v>0</v>
      </c>
      <c r="AS71" s="118">
        <v>0</v>
      </c>
      <c r="AT71" s="118">
        <v>0</v>
      </c>
      <c r="AU71" s="118">
        <v>0</v>
      </c>
      <c r="AV71" s="118">
        <v>0</v>
      </c>
      <c r="AW71" s="118">
        <v>0</v>
      </c>
      <c r="AX71" s="118">
        <v>0</v>
      </c>
      <c r="AY71" s="118">
        <v>0</v>
      </c>
      <c r="AZ71" s="118">
        <v>0</v>
      </c>
      <c r="BA71" s="118">
        <v>0</v>
      </c>
      <c r="BB71" s="118">
        <v>0</v>
      </c>
      <c r="BC71" s="118">
        <v>0</v>
      </c>
      <c r="BD71" s="118">
        <v>0</v>
      </c>
      <c r="BE71" s="118">
        <v>0</v>
      </c>
      <c r="BF71" s="118">
        <v>0</v>
      </c>
      <c r="BG71" s="118">
        <v>0</v>
      </c>
      <c r="BH71" s="118">
        <v>0</v>
      </c>
      <c r="BI71" s="118">
        <v>0</v>
      </c>
      <c r="BJ71" s="118">
        <v>0</v>
      </c>
      <c r="BK71" s="118">
        <v>0</v>
      </c>
      <c r="BL71" s="118">
        <v>0</v>
      </c>
      <c r="BM71" s="118">
        <v>0</v>
      </c>
      <c r="BN71" s="118">
        <v>0</v>
      </c>
      <c r="BO71" s="118">
        <v>2.7432797424049735E-4</v>
      </c>
      <c r="BP71" s="118">
        <v>0</v>
      </c>
      <c r="BQ71" s="118">
        <v>0</v>
      </c>
      <c r="BR71" s="118">
        <v>0</v>
      </c>
      <c r="BS71" s="222">
        <v>0</v>
      </c>
      <c r="BT71" s="118">
        <v>0</v>
      </c>
      <c r="BU71" s="118">
        <v>0</v>
      </c>
      <c r="BV71" s="118">
        <v>0</v>
      </c>
      <c r="BW71" s="118">
        <v>0</v>
      </c>
      <c r="BX71" s="118">
        <v>0</v>
      </c>
      <c r="BY71" s="118">
        <v>0</v>
      </c>
      <c r="BZ71" s="118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</row>
    <row r="72" spans="1:84" x14ac:dyDescent="0.15">
      <c r="A72" t="s">
        <v>243</v>
      </c>
      <c r="B72" s="118">
        <v>0</v>
      </c>
      <c r="C72" s="118">
        <v>0</v>
      </c>
      <c r="D72" s="118">
        <v>0</v>
      </c>
      <c r="E72" s="118">
        <v>0</v>
      </c>
      <c r="F72" s="118">
        <v>0</v>
      </c>
      <c r="G72" s="118">
        <v>0</v>
      </c>
      <c r="H72" s="118">
        <v>0</v>
      </c>
      <c r="I72" s="118">
        <v>0</v>
      </c>
      <c r="J72" s="118">
        <v>0</v>
      </c>
      <c r="K72" s="118">
        <v>0</v>
      </c>
      <c r="L72" s="118">
        <v>0</v>
      </c>
      <c r="M72" s="118">
        <v>0</v>
      </c>
      <c r="N72" s="118">
        <v>0</v>
      </c>
      <c r="O72" s="118">
        <v>0</v>
      </c>
      <c r="P72" s="118">
        <v>0</v>
      </c>
      <c r="Q72" s="118">
        <v>0</v>
      </c>
      <c r="R72" s="118">
        <v>0</v>
      </c>
      <c r="S72" s="118">
        <v>0</v>
      </c>
      <c r="T72" s="118">
        <v>0</v>
      </c>
      <c r="U72" s="118">
        <v>0</v>
      </c>
      <c r="V72" s="118">
        <v>0</v>
      </c>
      <c r="W72" s="118">
        <v>0</v>
      </c>
      <c r="X72" s="118">
        <v>0</v>
      </c>
      <c r="Y72" s="118">
        <v>0</v>
      </c>
      <c r="Z72" s="118">
        <v>0</v>
      </c>
      <c r="AA72" s="118">
        <v>0</v>
      </c>
      <c r="AB72" s="118">
        <v>0</v>
      </c>
      <c r="AC72" s="118">
        <v>0</v>
      </c>
      <c r="AD72" s="118">
        <v>0</v>
      </c>
      <c r="AE72" s="118">
        <v>0</v>
      </c>
      <c r="AF72" s="118">
        <v>0</v>
      </c>
      <c r="AG72" s="118">
        <v>0</v>
      </c>
      <c r="AH72" s="118">
        <v>0</v>
      </c>
      <c r="AI72" s="118">
        <v>0</v>
      </c>
      <c r="AJ72" s="118">
        <v>0</v>
      </c>
      <c r="AK72" s="118">
        <v>0</v>
      </c>
      <c r="AL72" s="118">
        <v>0</v>
      </c>
      <c r="AM72" s="118">
        <v>0</v>
      </c>
      <c r="AN72" s="118">
        <v>0</v>
      </c>
      <c r="AO72" s="118">
        <v>0</v>
      </c>
      <c r="AP72" s="118">
        <v>0</v>
      </c>
      <c r="AQ72" s="118">
        <v>0</v>
      </c>
      <c r="AR72" s="118">
        <v>0</v>
      </c>
      <c r="AS72" s="118">
        <v>0</v>
      </c>
      <c r="AT72" s="118">
        <v>0</v>
      </c>
      <c r="AU72" s="118">
        <v>0</v>
      </c>
      <c r="AV72" s="118">
        <v>0</v>
      </c>
      <c r="AW72" s="118">
        <v>0</v>
      </c>
      <c r="AX72" s="118">
        <v>0</v>
      </c>
      <c r="AY72" s="118">
        <v>0</v>
      </c>
      <c r="AZ72" s="118">
        <v>0</v>
      </c>
      <c r="BA72" s="118">
        <v>0</v>
      </c>
      <c r="BB72" s="118">
        <v>0</v>
      </c>
      <c r="BC72" s="118">
        <v>0</v>
      </c>
      <c r="BD72" s="118">
        <v>0</v>
      </c>
      <c r="BE72" s="118">
        <v>0</v>
      </c>
      <c r="BF72" s="118">
        <v>0</v>
      </c>
      <c r="BG72" s="118">
        <v>0</v>
      </c>
      <c r="BH72" s="118">
        <v>0</v>
      </c>
      <c r="BI72" s="118">
        <v>0</v>
      </c>
      <c r="BJ72" s="118">
        <v>0</v>
      </c>
      <c r="BK72" s="118">
        <v>0</v>
      </c>
      <c r="BL72" s="118">
        <v>0</v>
      </c>
      <c r="BM72" s="118">
        <v>0</v>
      </c>
      <c r="BN72" s="118">
        <v>0</v>
      </c>
      <c r="BO72" s="224">
        <v>7.8964604028405555E-6</v>
      </c>
      <c r="BP72" s="118">
        <v>0</v>
      </c>
      <c r="BQ72" s="118">
        <v>0</v>
      </c>
      <c r="BR72" s="118">
        <v>0</v>
      </c>
      <c r="BS72" s="118">
        <v>0</v>
      </c>
      <c r="BT72" s="222">
        <v>0</v>
      </c>
      <c r="BU72" s="118">
        <v>0</v>
      </c>
      <c r="BV72" s="118">
        <v>0</v>
      </c>
      <c r="BW72" s="118">
        <v>0</v>
      </c>
      <c r="BX72" s="118">
        <v>0</v>
      </c>
      <c r="BY72" s="118">
        <v>0</v>
      </c>
      <c r="BZ72" s="118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</row>
    <row r="73" spans="1:84" x14ac:dyDescent="0.15">
      <c r="A73" t="s">
        <v>244</v>
      </c>
      <c r="B73" s="118">
        <v>0</v>
      </c>
      <c r="C73" s="118">
        <v>0</v>
      </c>
      <c r="D73" s="118">
        <v>0</v>
      </c>
      <c r="E73" s="118">
        <v>0</v>
      </c>
      <c r="F73" s="118">
        <v>0</v>
      </c>
      <c r="G73" s="118">
        <v>0</v>
      </c>
      <c r="H73" s="118">
        <v>0</v>
      </c>
      <c r="I73" s="118">
        <v>0</v>
      </c>
      <c r="J73" s="118">
        <v>0</v>
      </c>
      <c r="K73" s="118">
        <v>0</v>
      </c>
      <c r="L73" s="118">
        <v>0</v>
      </c>
      <c r="M73" s="118">
        <v>0</v>
      </c>
      <c r="N73" s="118">
        <v>0</v>
      </c>
      <c r="O73" s="118">
        <v>0</v>
      </c>
      <c r="P73" s="118">
        <v>0</v>
      </c>
      <c r="Q73" s="118">
        <v>0</v>
      </c>
      <c r="R73" s="118">
        <v>0</v>
      </c>
      <c r="S73" s="118">
        <v>0</v>
      </c>
      <c r="T73" s="118">
        <v>0</v>
      </c>
      <c r="U73" s="118">
        <v>0</v>
      </c>
      <c r="V73" s="118">
        <v>0</v>
      </c>
      <c r="W73" s="118">
        <v>0</v>
      </c>
      <c r="X73" s="118">
        <v>0</v>
      </c>
      <c r="Y73" s="118">
        <v>0</v>
      </c>
      <c r="Z73" s="118">
        <v>0</v>
      </c>
      <c r="AA73" s="118">
        <v>0</v>
      </c>
      <c r="AB73" s="118">
        <v>0</v>
      </c>
      <c r="AC73" s="118">
        <v>0</v>
      </c>
      <c r="AD73" s="118">
        <v>0</v>
      </c>
      <c r="AE73" s="118">
        <v>0</v>
      </c>
      <c r="AF73" s="118">
        <v>0</v>
      </c>
      <c r="AG73" s="118">
        <v>0</v>
      </c>
      <c r="AH73" s="118">
        <v>0</v>
      </c>
      <c r="AI73" s="118">
        <v>0</v>
      </c>
      <c r="AJ73" s="118">
        <v>0</v>
      </c>
      <c r="AK73" s="118">
        <v>0</v>
      </c>
      <c r="AL73" s="118">
        <v>0</v>
      </c>
      <c r="AM73" s="118">
        <v>0</v>
      </c>
      <c r="AN73" s="118">
        <v>0</v>
      </c>
      <c r="AO73" s="118">
        <v>0</v>
      </c>
      <c r="AP73" s="118">
        <v>0</v>
      </c>
      <c r="AQ73" s="118">
        <v>0</v>
      </c>
      <c r="AR73" s="118">
        <v>0</v>
      </c>
      <c r="AS73" s="118">
        <v>0</v>
      </c>
      <c r="AT73" s="118">
        <v>0</v>
      </c>
      <c r="AU73" s="118">
        <v>0</v>
      </c>
      <c r="AV73" s="118">
        <v>0</v>
      </c>
      <c r="AW73" s="118">
        <v>0</v>
      </c>
      <c r="AX73" s="118">
        <v>0</v>
      </c>
      <c r="AY73" s="118">
        <v>0</v>
      </c>
      <c r="AZ73" s="118">
        <v>0</v>
      </c>
      <c r="BA73" s="118">
        <v>0</v>
      </c>
      <c r="BB73" s="118">
        <v>0</v>
      </c>
      <c r="BC73" s="118">
        <v>0</v>
      </c>
      <c r="BD73" s="118">
        <v>0</v>
      </c>
      <c r="BE73" s="118">
        <v>0</v>
      </c>
      <c r="BF73" s="118">
        <v>0</v>
      </c>
      <c r="BG73" s="118">
        <v>0</v>
      </c>
      <c r="BH73" s="118">
        <v>0</v>
      </c>
      <c r="BI73" s="118">
        <v>0</v>
      </c>
      <c r="BJ73" s="118">
        <v>0</v>
      </c>
      <c r="BK73" s="118">
        <v>0</v>
      </c>
      <c r="BL73" s="118">
        <v>0</v>
      </c>
      <c r="BM73" s="118">
        <v>0</v>
      </c>
      <c r="BN73" s="118">
        <v>0</v>
      </c>
      <c r="BO73" s="118">
        <v>0</v>
      </c>
      <c r="BP73" s="118">
        <v>0</v>
      </c>
      <c r="BQ73" s="118">
        <v>0</v>
      </c>
      <c r="BR73" s="118">
        <v>0</v>
      </c>
      <c r="BS73" s="118">
        <v>0</v>
      </c>
      <c r="BT73" s="118">
        <v>0</v>
      </c>
      <c r="BU73" s="222">
        <v>0</v>
      </c>
      <c r="BV73" s="118">
        <v>0</v>
      </c>
      <c r="BW73" s="118">
        <v>0</v>
      </c>
      <c r="BX73" s="118">
        <v>0</v>
      </c>
      <c r="BY73" s="118">
        <v>0</v>
      </c>
      <c r="BZ73" s="118">
        <v>0</v>
      </c>
      <c r="CA73">
        <v>5.0000000000000001E-3</v>
      </c>
      <c r="CB73">
        <v>0</v>
      </c>
      <c r="CC73">
        <v>0</v>
      </c>
      <c r="CD73">
        <v>0</v>
      </c>
      <c r="CE73">
        <v>0</v>
      </c>
      <c r="CF73">
        <v>0</v>
      </c>
    </row>
    <row r="74" spans="1:84" x14ac:dyDescent="0.15">
      <c r="A74" t="s">
        <v>245</v>
      </c>
      <c r="B74" s="118">
        <v>0</v>
      </c>
      <c r="C74" s="118">
        <v>0</v>
      </c>
      <c r="D74" s="118">
        <v>0</v>
      </c>
      <c r="E74" s="118">
        <v>0</v>
      </c>
      <c r="F74" s="118">
        <v>0</v>
      </c>
      <c r="G74" s="118">
        <v>0</v>
      </c>
      <c r="H74" s="118">
        <v>0</v>
      </c>
      <c r="I74" s="118">
        <v>0</v>
      </c>
      <c r="J74" s="118">
        <v>0</v>
      </c>
      <c r="K74" s="118">
        <v>0</v>
      </c>
      <c r="L74" s="118">
        <v>0</v>
      </c>
      <c r="M74" s="118">
        <v>0</v>
      </c>
      <c r="N74" s="118">
        <v>0</v>
      </c>
      <c r="O74" s="118">
        <v>0</v>
      </c>
      <c r="P74" s="118">
        <v>0</v>
      </c>
      <c r="Q74" s="118">
        <v>0</v>
      </c>
      <c r="R74" s="118">
        <v>0</v>
      </c>
      <c r="S74" s="118">
        <v>0</v>
      </c>
      <c r="T74" s="118">
        <v>0</v>
      </c>
      <c r="U74" s="118">
        <v>0</v>
      </c>
      <c r="V74" s="118">
        <v>0</v>
      </c>
      <c r="W74" s="118">
        <v>0</v>
      </c>
      <c r="X74" s="118">
        <v>0</v>
      </c>
      <c r="Y74" s="118">
        <v>0</v>
      </c>
      <c r="Z74" s="118">
        <v>0</v>
      </c>
      <c r="AA74" s="118">
        <v>0</v>
      </c>
      <c r="AB74" s="118">
        <v>0</v>
      </c>
      <c r="AC74" s="118">
        <v>0</v>
      </c>
      <c r="AD74" s="118">
        <v>0</v>
      </c>
      <c r="AE74" s="118">
        <v>0</v>
      </c>
      <c r="AF74" s="118">
        <v>0</v>
      </c>
      <c r="AG74" s="118">
        <v>0</v>
      </c>
      <c r="AH74" s="118">
        <v>0</v>
      </c>
      <c r="AI74" s="118">
        <v>0</v>
      </c>
      <c r="AJ74" s="118">
        <v>0</v>
      </c>
      <c r="AK74" s="118">
        <v>0</v>
      </c>
      <c r="AL74" s="118">
        <v>0</v>
      </c>
      <c r="AM74" s="118">
        <v>0</v>
      </c>
      <c r="AN74" s="118">
        <v>0</v>
      </c>
      <c r="AO74" s="118">
        <v>0</v>
      </c>
      <c r="AP74" s="118">
        <v>0</v>
      </c>
      <c r="AQ74" s="118">
        <v>0</v>
      </c>
      <c r="AR74" s="118">
        <v>0</v>
      </c>
      <c r="AS74" s="118">
        <v>0</v>
      </c>
      <c r="AT74" s="118">
        <v>0</v>
      </c>
      <c r="AU74" s="118">
        <v>0</v>
      </c>
      <c r="AV74" s="118">
        <v>0</v>
      </c>
      <c r="AW74" s="118">
        <v>0</v>
      </c>
      <c r="AX74" s="118">
        <v>0</v>
      </c>
      <c r="AY74" s="118">
        <v>0</v>
      </c>
      <c r="AZ74" s="118">
        <v>0</v>
      </c>
      <c r="BA74" s="118">
        <v>0</v>
      </c>
      <c r="BB74" s="118">
        <v>0</v>
      </c>
      <c r="BC74" s="118">
        <v>0</v>
      </c>
      <c r="BD74" s="118">
        <v>0</v>
      </c>
      <c r="BE74" s="118">
        <v>0</v>
      </c>
      <c r="BF74" s="118">
        <v>0</v>
      </c>
      <c r="BG74" s="118">
        <v>0</v>
      </c>
      <c r="BH74" s="118">
        <v>0</v>
      </c>
      <c r="BI74" s="118">
        <v>0</v>
      </c>
      <c r="BJ74" s="118">
        <v>0</v>
      </c>
      <c r="BK74" s="118">
        <v>0</v>
      </c>
      <c r="BL74" s="118">
        <v>0</v>
      </c>
      <c r="BM74" s="118">
        <v>0</v>
      </c>
      <c r="BN74" s="118">
        <v>0</v>
      </c>
      <c r="BO74" s="118">
        <v>0</v>
      </c>
      <c r="BP74" s="118">
        <v>0</v>
      </c>
      <c r="BQ74" s="118">
        <v>0</v>
      </c>
      <c r="BR74" s="118">
        <v>0</v>
      </c>
      <c r="BS74" s="118">
        <v>0</v>
      </c>
      <c r="BT74" s="118">
        <v>0</v>
      </c>
      <c r="BU74" s="118">
        <v>0</v>
      </c>
      <c r="BV74" s="222">
        <v>0</v>
      </c>
      <c r="BW74" s="118">
        <v>0</v>
      </c>
      <c r="BX74" s="118">
        <v>0</v>
      </c>
      <c r="BY74" s="118">
        <v>0</v>
      </c>
      <c r="BZ74" s="118">
        <v>0</v>
      </c>
      <c r="CA74">
        <v>0.01</v>
      </c>
      <c r="CB74">
        <v>0</v>
      </c>
      <c r="CC74">
        <v>0</v>
      </c>
      <c r="CD74">
        <v>0</v>
      </c>
      <c r="CE74">
        <v>0</v>
      </c>
      <c r="CF74">
        <v>0</v>
      </c>
    </row>
    <row r="75" spans="1:84" x14ac:dyDescent="0.15">
      <c r="A75" t="s">
        <v>246</v>
      </c>
      <c r="B75" s="118">
        <v>0</v>
      </c>
      <c r="C75" s="118">
        <v>0</v>
      </c>
      <c r="D75" s="118">
        <v>0</v>
      </c>
      <c r="E75" s="118">
        <v>0</v>
      </c>
      <c r="F75" s="118">
        <v>0</v>
      </c>
      <c r="G75" s="118">
        <v>0</v>
      </c>
      <c r="H75" s="118">
        <v>0</v>
      </c>
      <c r="I75" s="118">
        <v>0</v>
      </c>
      <c r="J75" s="118">
        <v>0</v>
      </c>
      <c r="K75" s="118">
        <v>0</v>
      </c>
      <c r="L75" s="118">
        <v>0</v>
      </c>
      <c r="M75" s="118">
        <v>0</v>
      </c>
      <c r="N75" s="118">
        <v>0</v>
      </c>
      <c r="O75" s="118">
        <v>0</v>
      </c>
      <c r="P75" s="118">
        <v>0</v>
      </c>
      <c r="Q75" s="118">
        <v>0</v>
      </c>
      <c r="R75" s="118">
        <v>0</v>
      </c>
      <c r="S75" s="118">
        <v>0</v>
      </c>
      <c r="T75" s="118">
        <v>0</v>
      </c>
      <c r="U75" s="118">
        <v>0</v>
      </c>
      <c r="V75" s="118">
        <v>0</v>
      </c>
      <c r="W75" s="118">
        <v>0</v>
      </c>
      <c r="X75" s="118">
        <v>0</v>
      </c>
      <c r="Y75" s="118">
        <v>0</v>
      </c>
      <c r="Z75" s="118">
        <v>0</v>
      </c>
      <c r="AA75" s="118">
        <v>0</v>
      </c>
      <c r="AB75" s="118">
        <v>0</v>
      </c>
      <c r="AC75" s="118">
        <v>0</v>
      </c>
      <c r="AD75" s="118">
        <v>0</v>
      </c>
      <c r="AE75" s="118">
        <v>0</v>
      </c>
      <c r="AF75" s="118">
        <v>0</v>
      </c>
      <c r="AG75" s="118">
        <v>0</v>
      </c>
      <c r="AH75" s="118">
        <v>0</v>
      </c>
      <c r="AI75" s="118">
        <v>0</v>
      </c>
      <c r="AJ75" s="118">
        <v>0</v>
      </c>
      <c r="AK75" s="118">
        <v>0</v>
      </c>
      <c r="AL75" s="118">
        <v>0</v>
      </c>
      <c r="AM75" s="118">
        <v>0</v>
      </c>
      <c r="AN75" s="118">
        <v>0</v>
      </c>
      <c r="AO75" s="118">
        <v>0</v>
      </c>
      <c r="AP75" s="118">
        <v>0</v>
      </c>
      <c r="AQ75" s="118">
        <v>0</v>
      </c>
      <c r="AR75" s="118">
        <v>0</v>
      </c>
      <c r="AS75" s="118">
        <v>0</v>
      </c>
      <c r="AT75" s="118">
        <v>0</v>
      </c>
      <c r="AU75" s="118">
        <v>0</v>
      </c>
      <c r="AV75" s="118">
        <v>0</v>
      </c>
      <c r="AW75" s="118">
        <v>0</v>
      </c>
      <c r="AX75" s="118">
        <v>0</v>
      </c>
      <c r="AY75" s="118">
        <v>0</v>
      </c>
      <c r="AZ75" s="118">
        <v>0</v>
      </c>
      <c r="BA75" s="118">
        <v>0</v>
      </c>
      <c r="BB75" s="118">
        <v>0</v>
      </c>
      <c r="BC75" s="118">
        <v>0</v>
      </c>
      <c r="BD75" s="118">
        <v>0</v>
      </c>
      <c r="BE75" s="118">
        <v>0</v>
      </c>
      <c r="BF75" s="118">
        <v>0</v>
      </c>
      <c r="BG75" s="118">
        <v>0</v>
      </c>
      <c r="BH75" s="118">
        <v>0</v>
      </c>
      <c r="BI75" s="118">
        <v>0</v>
      </c>
      <c r="BJ75" s="118">
        <v>0</v>
      </c>
      <c r="BK75" s="118">
        <v>0</v>
      </c>
      <c r="BL75" s="118">
        <v>0</v>
      </c>
      <c r="BM75" s="118">
        <v>0</v>
      </c>
      <c r="BN75" s="118">
        <v>0</v>
      </c>
      <c r="BO75" s="118">
        <v>0</v>
      </c>
      <c r="BP75" s="118">
        <v>0</v>
      </c>
      <c r="BQ75" s="118">
        <v>0</v>
      </c>
      <c r="BR75" s="118">
        <v>0</v>
      </c>
      <c r="BS75" s="118">
        <v>0</v>
      </c>
      <c r="BT75" s="118">
        <v>0</v>
      </c>
      <c r="BU75" s="118">
        <v>0</v>
      </c>
      <c r="BV75" s="118">
        <v>0</v>
      </c>
      <c r="BW75" s="222">
        <v>0</v>
      </c>
      <c r="BX75" s="118">
        <v>0</v>
      </c>
      <c r="BY75" s="118">
        <v>0</v>
      </c>
      <c r="BZ75" s="118">
        <v>0</v>
      </c>
      <c r="CA75">
        <v>1.4999999999999999E-2</v>
      </c>
      <c r="CB75">
        <v>0</v>
      </c>
      <c r="CC75">
        <v>0</v>
      </c>
      <c r="CD75">
        <v>0</v>
      </c>
      <c r="CE75">
        <v>0</v>
      </c>
      <c r="CF75">
        <v>0</v>
      </c>
    </row>
    <row r="76" spans="1:84" x14ac:dyDescent="0.15">
      <c r="A76" t="s">
        <v>247</v>
      </c>
      <c r="B76" s="118">
        <v>0</v>
      </c>
      <c r="C76" s="118">
        <v>0</v>
      </c>
      <c r="D76" s="118">
        <v>0</v>
      </c>
      <c r="E76" s="118">
        <v>0</v>
      </c>
      <c r="F76" s="118">
        <v>0</v>
      </c>
      <c r="G76" s="118">
        <v>0</v>
      </c>
      <c r="H76" s="118">
        <v>0</v>
      </c>
      <c r="I76" s="118">
        <v>0</v>
      </c>
      <c r="J76" s="118">
        <v>0</v>
      </c>
      <c r="K76" s="118">
        <v>0</v>
      </c>
      <c r="L76" s="118">
        <v>0</v>
      </c>
      <c r="M76" s="118">
        <v>0</v>
      </c>
      <c r="N76" s="118">
        <v>0</v>
      </c>
      <c r="O76" s="118">
        <v>0</v>
      </c>
      <c r="P76" s="118">
        <v>0</v>
      </c>
      <c r="Q76" s="118">
        <v>0</v>
      </c>
      <c r="R76" s="118">
        <v>0</v>
      </c>
      <c r="S76" s="118">
        <v>0</v>
      </c>
      <c r="T76" s="118">
        <v>0</v>
      </c>
      <c r="U76" s="118">
        <v>0</v>
      </c>
      <c r="V76" s="118">
        <v>0</v>
      </c>
      <c r="W76" s="118">
        <v>0</v>
      </c>
      <c r="X76" s="118">
        <v>0</v>
      </c>
      <c r="Y76" s="118">
        <v>0</v>
      </c>
      <c r="Z76" s="118">
        <v>0</v>
      </c>
      <c r="AA76" s="118">
        <v>0</v>
      </c>
      <c r="AB76" s="118">
        <v>0</v>
      </c>
      <c r="AC76" s="118">
        <v>0</v>
      </c>
      <c r="AD76" s="118">
        <v>0</v>
      </c>
      <c r="AE76" s="118">
        <v>0</v>
      </c>
      <c r="AF76" s="118">
        <v>0</v>
      </c>
      <c r="AG76" s="118">
        <v>0</v>
      </c>
      <c r="AH76" s="118">
        <v>0</v>
      </c>
      <c r="AI76" s="118">
        <v>0</v>
      </c>
      <c r="AJ76" s="118">
        <v>0</v>
      </c>
      <c r="AK76" s="118">
        <v>0</v>
      </c>
      <c r="AL76" s="118">
        <v>0</v>
      </c>
      <c r="AM76" s="118">
        <v>0</v>
      </c>
      <c r="AN76" s="118">
        <v>0</v>
      </c>
      <c r="AO76" s="118">
        <v>0</v>
      </c>
      <c r="AP76" s="118">
        <v>0</v>
      </c>
      <c r="AQ76" s="118">
        <v>0</v>
      </c>
      <c r="AR76" s="118">
        <v>0</v>
      </c>
      <c r="AS76" s="118">
        <v>0</v>
      </c>
      <c r="AT76" s="118">
        <v>0</v>
      </c>
      <c r="AU76" s="118">
        <v>0</v>
      </c>
      <c r="AV76" s="118">
        <v>0</v>
      </c>
      <c r="AW76" s="118">
        <v>0</v>
      </c>
      <c r="AX76" s="118">
        <v>0</v>
      </c>
      <c r="AY76" s="118">
        <v>0</v>
      </c>
      <c r="AZ76" s="118">
        <v>0</v>
      </c>
      <c r="BA76" s="118">
        <v>0</v>
      </c>
      <c r="BB76" s="118">
        <v>0</v>
      </c>
      <c r="BC76" s="118">
        <v>0</v>
      </c>
      <c r="BD76" s="118">
        <v>0</v>
      </c>
      <c r="BE76" s="118">
        <v>0</v>
      </c>
      <c r="BF76" s="118">
        <v>0</v>
      </c>
      <c r="BG76" s="118">
        <v>0</v>
      </c>
      <c r="BH76" s="118">
        <v>0</v>
      </c>
      <c r="BI76" s="118">
        <v>0</v>
      </c>
      <c r="BJ76" s="118">
        <v>0</v>
      </c>
      <c r="BK76" s="118">
        <v>0</v>
      </c>
      <c r="BL76" s="118">
        <v>0</v>
      </c>
      <c r="BM76" s="118">
        <v>0</v>
      </c>
      <c r="BN76" s="118">
        <v>0</v>
      </c>
      <c r="BO76" s="118">
        <v>0</v>
      </c>
      <c r="BP76" s="118">
        <v>0</v>
      </c>
      <c r="BQ76" s="118">
        <v>0</v>
      </c>
      <c r="BR76" s="118">
        <v>0</v>
      </c>
      <c r="BS76" s="118">
        <v>0</v>
      </c>
      <c r="BT76" s="118">
        <v>0</v>
      </c>
      <c r="BU76" s="118">
        <v>0</v>
      </c>
      <c r="BV76" s="118">
        <v>0</v>
      </c>
      <c r="BW76" s="118">
        <v>0</v>
      </c>
      <c r="BX76" s="222">
        <v>0</v>
      </c>
      <c r="BY76" s="118">
        <v>0</v>
      </c>
      <c r="BZ76" s="118">
        <v>0</v>
      </c>
      <c r="CA76">
        <v>0.06</v>
      </c>
      <c r="CB76">
        <v>0</v>
      </c>
      <c r="CC76">
        <v>0</v>
      </c>
      <c r="CD76">
        <v>0</v>
      </c>
      <c r="CE76">
        <v>0</v>
      </c>
      <c r="CF76">
        <v>0</v>
      </c>
    </row>
    <row r="77" spans="1:84" x14ac:dyDescent="0.15">
      <c r="A77" t="s">
        <v>248</v>
      </c>
      <c r="B77" s="118">
        <v>0</v>
      </c>
      <c r="C77" s="118">
        <v>0</v>
      </c>
      <c r="D77" s="118">
        <v>0</v>
      </c>
      <c r="E77" s="118">
        <v>0</v>
      </c>
      <c r="F77" s="118">
        <v>0</v>
      </c>
      <c r="G77" s="118">
        <v>0</v>
      </c>
      <c r="H77" s="118">
        <v>0</v>
      </c>
      <c r="I77" s="118">
        <v>0</v>
      </c>
      <c r="J77" s="118">
        <v>0</v>
      </c>
      <c r="K77" s="118">
        <v>0</v>
      </c>
      <c r="L77" s="118">
        <v>0</v>
      </c>
      <c r="M77" s="118">
        <v>0</v>
      </c>
      <c r="N77" s="118">
        <v>0</v>
      </c>
      <c r="O77" s="118">
        <v>0</v>
      </c>
      <c r="P77" s="118">
        <v>0</v>
      </c>
      <c r="Q77" s="118">
        <v>0</v>
      </c>
      <c r="R77" s="118">
        <v>0</v>
      </c>
      <c r="S77" s="118">
        <v>0</v>
      </c>
      <c r="T77" s="118">
        <v>0</v>
      </c>
      <c r="U77" s="118">
        <v>0</v>
      </c>
      <c r="V77" s="118">
        <v>0</v>
      </c>
      <c r="W77" s="118">
        <v>0</v>
      </c>
      <c r="X77" s="118">
        <v>0</v>
      </c>
      <c r="Y77" s="118">
        <v>0</v>
      </c>
      <c r="Z77" s="118">
        <v>0</v>
      </c>
      <c r="AA77" s="118">
        <v>0</v>
      </c>
      <c r="AB77" s="118">
        <v>0</v>
      </c>
      <c r="AC77" s="118">
        <v>0</v>
      </c>
      <c r="AD77" s="118">
        <v>0</v>
      </c>
      <c r="AE77" s="118">
        <v>0</v>
      </c>
      <c r="AF77" s="118">
        <v>0</v>
      </c>
      <c r="AG77" s="118">
        <v>0</v>
      </c>
      <c r="AH77" s="118">
        <v>0</v>
      </c>
      <c r="AI77" s="118">
        <v>0</v>
      </c>
      <c r="AJ77" s="118">
        <v>0</v>
      </c>
      <c r="AK77" s="118">
        <v>0</v>
      </c>
      <c r="AL77" s="118">
        <v>0</v>
      </c>
      <c r="AM77" s="118">
        <v>0</v>
      </c>
      <c r="AN77" s="118">
        <v>0</v>
      </c>
      <c r="AO77" s="118">
        <v>0</v>
      </c>
      <c r="AP77" s="118">
        <v>0</v>
      </c>
      <c r="AQ77" s="118">
        <v>0</v>
      </c>
      <c r="AR77" s="118">
        <v>0</v>
      </c>
      <c r="AS77" s="118">
        <v>0</v>
      </c>
      <c r="AT77" s="118">
        <v>0</v>
      </c>
      <c r="AU77" s="118">
        <v>0</v>
      </c>
      <c r="AV77" s="118">
        <v>0</v>
      </c>
      <c r="AW77" s="118">
        <v>0</v>
      </c>
      <c r="AX77" s="118">
        <v>0</v>
      </c>
      <c r="AY77" s="118">
        <v>0</v>
      </c>
      <c r="AZ77" s="118">
        <v>0</v>
      </c>
      <c r="BA77" s="118">
        <v>0</v>
      </c>
      <c r="BB77" s="118">
        <v>0</v>
      </c>
      <c r="BC77" s="118">
        <v>0</v>
      </c>
      <c r="BD77" s="118">
        <v>0</v>
      </c>
      <c r="BE77" s="118">
        <v>0</v>
      </c>
      <c r="BF77" s="118">
        <v>0</v>
      </c>
      <c r="BG77" s="118">
        <v>0</v>
      </c>
      <c r="BH77" s="118">
        <v>0</v>
      </c>
      <c r="BI77" s="118">
        <v>0</v>
      </c>
      <c r="BJ77" s="118">
        <v>0</v>
      </c>
      <c r="BK77" s="118">
        <v>0</v>
      </c>
      <c r="BL77" s="118">
        <v>0</v>
      </c>
      <c r="BM77" s="118">
        <v>0</v>
      </c>
      <c r="BN77" s="118">
        <v>0</v>
      </c>
      <c r="BO77" s="118">
        <v>0</v>
      </c>
      <c r="BP77" s="118">
        <v>0</v>
      </c>
      <c r="BQ77" s="118">
        <v>0</v>
      </c>
      <c r="BR77" s="118">
        <v>0</v>
      </c>
      <c r="BS77" s="118">
        <v>0</v>
      </c>
      <c r="BT77" s="118">
        <v>0</v>
      </c>
      <c r="BU77" s="118">
        <v>0</v>
      </c>
      <c r="BV77" s="118">
        <v>0</v>
      </c>
      <c r="BW77" s="118">
        <v>0</v>
      </c>
      <c r="BX77" s="118">
        <v>0</v>
      </c>
      <c r="BY77" s="222">
        <v>0</v>
      </c>
      <c r="BZ77" s="118">
        <v>0</v>
      </c>
      <c r="CA77">
        <v>0.05</v>
      </c>
      <c r="CB77">
        <v>0</v>
      </c>
      <c r="CC77">
        <v>0</v>
      </c>
      <c r="CD77">
        <v>0</v>
      </c>
      <c r="CE77">
        <v>0</v>
      </c>
      <c r="CF77">
        <v>0</v>
      </c>
    </row>
    <row r="78" spans="1:84" x14ac:dyDescent="0.15">
      <c r="A78" t="s">
        <v>249</v>
      </c>
      <c r="B78" s="118">
        <v>0</v>
      </c>
      <c r="C78" s="118">
        <v>0</v>
      </c>
      <c r="D78" s="118">
        <v>0</v>
      </c>
      <c r="E78" s="118">
        <v>0</v>
      </c>
      <c r="F78" s="118">
        <v>0</v>
      </c>
      <c r="G78" s="118">
        <v>0</v>
      </c>
      <c r="H78" s="118">
        <v>0</v>
      </c>
      <c r="I78" s="118">
        <v>0</v>
      </c>
      <c r="J78" s="118">
        <v>0</v>
      </c>
      <c r="K78" s="118">
        <v>0</v>
      </c>
      <c r="L78" s="118">
        <v>0</v>
      </c>
      <c r="M78" s="118">
        <v>0</v>
      </c>
      <c r="N78" s="118">
        <v>0</v>
      </c>
      <c r="O78" s="118">
        <v>0</v>
      </c>
      <c r="P78" s="118">
        <v>0</v>
      </c>
      <c r="Q78" s="118">
        <v>0</v>
      </c>
      <c r="R78" s="118">
        <v>0</v>
      </c>
      <c r="S78" s="118">
        <v>0</v>
      </c>
      <c r="T78" s="118">
        <v>0</v>
      </c>
      <c r="U78" s="118">
        <v>0</v>
      </c>
      <c r="V78" s="118">
        <v>0</v>
      </c>
      <c r="W78" s="118">
        <v>0</v>
      </c>
      <c r="X78" s="118">
        <v>0</v>
      </c>
      <c r="Y78" s="118">
        <v>0</v>
      </c>
      <c r="Z78" s="118">
        <v>0</v>
      </c>
      <c r="AA78" s="118">
        <v>0</v>
      </c>
      <c r="AB78" s="118">
        <v>0</v>
      </c>
      <c r="AC78" s="118">
        <v>0</v>
      </c>
      <c r="AD78" s="118">
        <v>0</v>
      </c>
      <c r="AE78" s="118">
        <v>0</v>
      </c>
      <c r="AF78" s="118">
        <v>0</v>
      </c>
      <c r="AG78" s="118">
        <v>0</v>
      </c>
      <c r="AH78" s="118">
        <v>0</v>
      </c>
      <c r="AI78" s="118">
        <v>0</v>
      </c>
      <c r="AJ78" s="118">
        <v>0</v>
      </c>
      <c r="AK78" s="118">
        <v>0</v>
      </c>
      <c r="AL78" s="118">
        <v>0</v>
      </c>
      <c r="AM78" s="118">
        <v>0</v>
      </c>
      <c r="AN78" s="118">
        <v>0</v>
      </c>
      <c r="AO78" s="118">
        <v>0</v>
      </c>
      <c r="AP78" s="118">
        <v>0</v>
      </c>
      <c r="AQ78" s="118">
        <v>0</v>
      </c>
      <c r="AR78" s="118">
        <v>0</v>
      </c>
      <c r="AS78" s="118">
        <v>0</v>
      </c>
      <c r="AT78" s="118">
        <v>0</v>
      </c>
      <c r="AU78" s="118">
        <v>0</v>
      </c>
      <c r="AV78" s="118">
        <v>0</v>
      </c>
      <c r="AW78" s="118">
        <v>0</v>
      </c>
      <c r="AX78" s="118">
        <v>0</v>
      </c>
      <c r="AY78" s="118">
        <v>0</v>
      </c>
      <c r="AZ78" s="118">
        <v>0</v>
      </c>
      <c r="BA78" s="118">
        <v>0</v>
      </c>
      <c r="BB78" s="118">
        <v>0</v>
      </c>
      <c r="BC78" s="118">
        <v>0</v>
      </c>
      <c r="BD78" s="118">
        <v>0</v>
      </c>
      <c r="BE78" s="118">
        <v>0</v>
      </c>
      <c r="BF78" s="118">
        <v>0</v>
      </c>
      <c r="BG78" s="118">
        <v>0</v>
      </c>
      <c r="BH78" s="118">
        <v>0</v>
      </c>
      <c r="BI78" s="118">
        <v>0</v>
      </c>
      <c r="BJ78" s="118">
        <v>0</v>
      </c>
      <c r="BK78" s="118">
        <v>0</v>
      </c>
      <c r="BL78" s="118">
        <v>0</v>
      </c>
      <c r="BM78" s="118">
        <v>0</v>
      </c>
      <c r="BN78" s="118">
        <v>0</v>
      </c>
      <c r="BO78" s="118">
        <v>0</v>
      </c>
      <c r="BP78" s="118">
        <v>0</v>
      </c>
      <c r="BQ78" s="118">
        <v>0</v>
      </c>
      <c r="BR78" s="118">
        <v>0</v>
      </c>
      <c r="BS78" s="118">
        <v>0</v>
      </c>
      <c r="BT78" s="118">
        <v>0</v>
      </c>
      <c r="BU78" s="118">
        <v>0</v>
      </c>
      <c r="BV78" s="118">
        <v>0</v>
      </c>
      <c r="BW78" s="118">
        <v>0</v>
      </c>
      <c r="BX78" s="118">
        <v>0</v>
      </c>
      <c r="BY78" s="118">
        <v>0</v>
      </c>
      <c r="BZ78" s="222">
        <v>0</v>
      </c>
      <c r="CA78">
        <v>2E-3</v>
      </c>
      <c r="CB78">
        <v>0</v>
      </c>
      <c r="CC78">
        <v>0</v>
      </c>
      <c r="CD78">
        <v>0</v>
      </c>
      <c r="CE78">
        <v>0</v>
      </c>
      <c r="CF78">
        <v>0</v>
      </c>
    </row>
    <row r="79" spans="1:84" x14ac:dyDescent="0.15">
      <c r="A79" t="s">
        <v>250</v>
      </c>
      <c r="B79" s="118">
        <v>0</v>
      </c>
      <c r="C79" s="118">
        <v>0</v>
      </c>
      <c r="D79" s="118">
        <v>0</v>
      </c>
      <c r="E79" s="118">
        <v>0</v>
      </c>
      <c r="F79" s="118">
        <v>0</v>
      </c>
      <c r="G79" s="118">
        <v>0</v>
      </c>
      <c r="H79" s="118">
        <v>0</v>
      </c>
      <c r="I79" s="118">
        <v>0</v>
      </c>
      <c r="J79" s="118">
        <v>0</v>
      </c>
      <c r="K79" s="118">
        <v>0</v>
      </c>
      <c r="L79" s="118">
        <v>0</v>
      </c>
      <c r="M79" s="118">
        <v>0</v>
      </c>
      <c r="N79" s="118">
        <v>0</v>
      </c>
      <c r="O79" s="118">
        <v>0</v>
      </c>
      <c r="P79" s="118">
        <v>0</v>
      </c>
      <c r="Q79" s="118">
        <v>0</v>
      </c>
      <c r="R79" s="118">
        <v>0</v>
      </c>
      <c r="S79" s="118">
        <v>0</v>
      </c>
      <c r="T79" s="118">
        <v>0</v>
      </c>
      <c r="U79" s="118">
        <v>0</v>
      </c>
      <c r="V79" s="118">
        <v>0</v>
      </c>
      <c r="W79" s="118">
        <v>0</v>
      </c>
      <c r="X79" s="118">
        <v>0</v>
      </c>
      <c r="Y79" s="118">
        <v>0</v>
      </c>
      <c r="Z79" s="118">
        <v>0</v>
      </c>
      <c r="AA79" s="118">
        <v>0</v>
      </c>
      <c r="AB79" s="118">
        <v>0</v>
      </c>
      <c r="AC79" s="118">
        <v>0</v>
      </c>
      <c r="AD79" s="118">
        <v>0</v>
      </c>
      <c r="AE79" s="118">
        <v>0</v>
      </c>
      <c r="AF79" s="118">
        <v>0</v>
      </c>
      <c r="AG79" s="118">
        <v>0</v>
      </c>
      <c r="AH79" s="118">
        <v>0</v>
      </c>
      <c r="AI79" s="118">
        <v>0</v>
      </c>
      <c r="AJ79" s="118">
        <v>0</v>
      </c>
      <c r="AK79" s="118">
        <v>0</v>
      </c>
      <c r="AL79" s="118">
        <v>0</v>
      </c>
      <c r="AM79" s="118">
        <v>0</v>
      </c>
      <c r="AN79" s="118">
        <v>0</v>
      </c>
      <c r="AO79" s="118">
        <v>0</v>
      </c>
      <c r="AP79" s="118">
        <v>0</v>
      </c>
      <c r="AQ79" s="118">
        <v>0</v>
      </c>
      <c r="AR79" s="118">
        <v>0</v>
      </c>
      <c r="AS79" s="118">
        <v>0</v>
      </c>
      <c r="AT79" s="118">
        <v>0</v>
      </c>
      <c r="AU79" s="118">
        <v>0</v>
      </c>
      <c r="AV79" s="118">
        <v>0</v>
      </c>
      <c r="AW79" s="118">
        <v>0</v>
      </c>
      <c r="AX79" s="118">
        <v>0</v>
      </c>
      <c r="AY79" s="118">
        <v>0</v>
      </c>
      <c r="AZ79" s="118">
        <v>0</v>
      </c>
      <c r="BA79" s="118">
        <v>0</v>
      </c>
      <c r="BB79" s="118">
        <v>0</v>
      </c>
      <c r="BC79" s="118">
        <v>0</v>
      </c>
      <c r="BD79" s="118">
        <v>0</v>
      </c>
      <c r="BE79" s="118">
        <v>0</v>
      </c>
      <c r="BF79" s="118">
        <v>0</v>
      </c>
      <c r="BG79" s="118">
        <v>0</v>
      </c>
      <c r="BH79" s="118">
        <v>0</v>
      </c>
      <c r="BI79" s="118">
        <v>0</v>
      </c>
      <c r="BJ79" s="118">
        <v>0</v>
      </c>
      <c r="BK79" s="118">
        <v>0</v>
      </c>
      <c r="BL79" s="118">
        <v>0</v>
      </c>
      <c r="BM79" s="118">
        <v>0</v>
      </c>
      <c r="BN79" s="118">
        <v>0</v>
      </c>
      <c r="BO79" s="118">
        <v>0</v>
      </c>
      <c r="BP79" s="118">
        <v>0</v>
      </c>
      <c r="BQ79" s="118">
        <v>0</v>
      </c>
      <c r="BR79" s="118">
        <v>0</v>
      </c>
      <c r="BS79" s="118">
        <v>0</v>
      </c>
      <c r="BT79" s="118">
        <v>0</v>
      </c>
      <c r="BU79" s="118">
        <v>0</v>
      </c>
      <c r="BV79" s="118">
        <v>0</v>
      </c>
      <c r="BW79" s="118">
        <v>0</v>
      </c>
      <c r="BX79" s="118">
        <v>0</v>
      </c>
      <c r="BY79" s="118">
        <v>0</v>
      </c>
      <c r="BZ79" s="222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</row>
    <row r="80" spans="1:84" x14ac:dyDescent="0.15">
      <c r="A80" t="s">
        <v>251</v>
      </c>
      <c r="B80" s="118">
        <v>0</v>
      </c>
      <c r="C80" s="118">
        <v>0</v>
      </c>
      <c r="D80" s="118">
        <v>0</v>
      </c>
      <c r="E80" s="118">
        <v>0</v>
      </c>
      <c r="F80" s="118">
        <v>0</v>
      </c>
      <c r="G80" s="118">
        <v>0</v>
      </c>
      <c r="H80" s="118">
        <v>0</v>
      </c>
      <c r="I80" s="118">
        <v>2.4E-2</v>
      </c>
      <c r="J80" s="118">
        <v>1.95E-2</v>
      </c>
      <c r="K80" s="118">
        <v>2.81E-2</v>
      </c>
      <c r="L80" s="118">
        <v>5.0000000000000001E-3</v>
      </c>
      <c r="M80" s="118">
        <v>0.14000000000000001</v>
      </c>
      <c r="N80" s="118">
        <v>0.22509999999999999</v>
      </c>
      <c r="O80" s="118">
        <v>2.4E-2</v>
      </c>
      <c r="P80" s="118">
        <v>2.4E-2</v>
      </c>
      <c r="Q80" s="118">
        <v>0</v>
      </c>
      <c r="R80" s="118">
        <v>0</v>
      </c>
      <c r="S80" s="118">
        <v>1.1343334373138984E-3</v>
      </c>
      <c r="T80" s="118">
        <v>0</v>
      </c>
      <c r="U80" s="118">
        <v>0.01</v>
      </c>
      <c r="V80" s="118">
        <v>1E-3</v>
      </c>
      <c r="W80" s="118">
        <v>5.6716671865694917E-3</v>
      </c>
      <c r="X80" s="118">
        <v>2.1714347755279299E-2</v>
      </c>
      <c r="Y80" s="118">
        <v>0</v>
      </c>
      <c r="Z80" s="118">
        <v>0</v>
      </c>
      <c r="AA80" s="118">
        <v>0</v>
      </c>
      <c r="AB80" s="118">
        <v>1.129276782916301E-3</v>
      </c>
      <c r="AC80" s="118">
        <v>0</v>
      </c>
      <c r="AD80" s="118">
        <v>0</v>
      </c>
      <c r="AE80" s="118">
        <v>0</v>
      </c>
      <c r="AF80" s="118">
        <v>0</v>
      </c>
      <c r="AG80" s="118">
        <v>0</v>
      </c>
      <c r="AH80" s="118">
        <v>0</v>
      </c>
      <c r="AI80" s="118">
        <v>1.0079578270445161E-3</v>
      </c>
      <c r="AJ80" s="118">
        <v>0</v>
      </c>
      <c r="AK80" s="118">
        <v>0</v>
      </c>
      <c r="AL80" s="118">
        <v>0</v>
      </c>
      <c r="AM80" s="118">
        <v>0</v>
      </c>
      <c r="AN80" s="118">
        <v>0</v>
      </c>
      <c r="AO80" s="118">
        <v>0</v>
      </c>
      <c r="AP80" s="118">
        <v>0</v>
      </c>
      <c r="AQ80" s="118">
        <v>0</v>
      </c>
      <c r="AR80" s="118">
        <v>0</v>
      </c>
      <c r="AS80" s="118">
        <v>0</v>
      </c>
      <c r="AT80" s="118">
        <v>0</v>
      </c>
      <c r="AU80" s="118">
        <v>0</v>
      </c>
      <c r="AV80" s="118">
        <v>0</v>
      </c>
      <c r="AW80" s="118">
        <v>0</v>
      </c>
      <c r="AX80" s="118">
        <v>0</v>
      </c>
      <c r="AY80" s="118">
        <v>1.0497254967825912E-2</v>
      </c>
      <c r="AZ80" s="118">
        <v>1.0326098180541497E-2</v>
      </c>
      <c r="BA80" s="118">
        <v>1E-3</v>
      </c>
      <c r="BB80" s="118">
        <v>0</v>
      </c>
      <c r="BC80" s="118">
        <v>5.0000000000000001E-3</v>
      </c>
      <c r="BD80" s="118">
        <v>0</v>
      </c>
      <c r="BE80" s="118">
        <v>9.9979093954353018E-3</v>
      </c>
      <c r="BF80" s="118">
        <v>0</v>
      </c>
      <c r="BG80" s="118">
        <v>0</v>
      </c>
      <c r="BH80" s="118">
        <v>0</v>
      </c>
      <c r="BI80" s="118">
        <v>5.0000000000000001E-3</v>
      </c>
      <c r="BJ80" s="118">
        <v>0</v>
      </c>
      <c r="BK80" s="118">
        <v>0</v>
      </c>
      <c r="BL80" s="118">
        <v>0</v>
      </c>
      <c r="BM80" s="118">
        <v>0</v>
      </c>
      <c r="BN80" s="118">
        <v>0</v>
      </c>
      <c r="BO80" s="118">
        <v>0</v>
      </c>
      <c r="BP80" s="118">
        <v>0</v>
      </c>
      <c r="BQ80" s="118">
        <v>0</v>
      </c>
      <c r="BR80" s="118">
        <v>0</v>
      </c>
      <c r="BS80" s="118">
        <v>0</v>
      </c>
      <c r="BT80" s="118">
        <v>0</v>
      </c>
      <c r="BU80" s="118">
        <v>0</v>
      </c>
      <c r="BV80" s="118">
        <v>0</v>
      </c>
      <c r="BW80" s="118">
        <v>0</v>
      </c>
      <c r="BX80" s="118">
        <v>0</v>
      </c>
      <c r="BY80" s="118">
        <v>0</v>
      </c>
      <c r="BZ80" s="118">
        <v>0</v>
      </c>
      <c r="CA80" s="190">
        <v>0</v>
      </c>
      <c r="CB80">
        <v>0</v>
      </c>
      <c r="CC80">
        <v>0</v>
      </c>
      <c r="CD80">
        <v>0</v>
      </c>
      <c r="CE80">
        <v>0</v>
      </c>
      <c r="CF80">
        <v>0</v>
      </c>
    </row>
    <row r="81" spans="1:84" x14ac:dyDescent="0.15">
      <c r="A81" t="s">
        <v>252</v>
      </c>
      <c r="B81" s="118">
        <v>0</v>
      </c>
      <c r="C81" s="118">
        <v>0</v>
      </c>
      <c r="D81" s="118">
        <v>0</v>
      </c>
      <c r="E81" s="118">
        <v>0</v>
      </c>
      <c r="F81" s="118">
        <v>0</v>
      </c>
      <c r="G81" s="118">
        <v>0</v>
      </c>
      <c r="H81" s="118">
        <v>0</v>
      </c>
      <c r="I81" s="118">
        <v>1E-3</v>
      </c>
      <c r="J81" s="118">
        <v>1E-3</v>
      </c>
      <c r="K81" s="118">
        <v>2E-3</v>
      </c>
      <c r="L81" s="118">
        <v>0</v>
      </c>
      <c r="M81" s="118">
        <v>0.01</v>
      </c>
      <c r="N81" s="118">
        <v>1.49E-2</v>
      </c>
      <c r="O81" s="118">
        <v>1E-3</v>
      </c>
      <c r="P81" s="118">
        <v>1E-3</v>
      </c>
      <c r="Q81" s="118">
        <v>0</v>
      </c>
      <c r="R81" s="118">
        <v>0</v>
      </c>
      <c r="S81" s="118">
        <v>0</v>
      </c>
      <c r="T81" s="118">
        <v>0</v>
      </c>
      <c r="U81" s="118">
        <v>1.0063561454144376E-3</v>
      </c>
      <c r="V81" s="118">
        <v>4.0000000000000001E-3</v>
      </c>
      <c r="W81" s="118">
        <v>1.1343334373138983E-2</v>
      </c>
      <c r="X81" s="118">
        <v>5.4285869388198252E-2</v>
      </c>
      <c r="Y81" s="118">
        <v>0</v>
      </c>
      <c r="Z81" s="118">
        <v>0</v>
      </c>
      <c r="AA81" s="118">
        <v>0</v>
      </c>
      <c r="AB81" s="118">
        <v>9.4859249764969289E-2</v>
      </c>
      <c r="AC81" s="118">
        <v>0</v>
      </c>
      <c r="AD81" s="118">
        <v>0</v>
      </c>
      <c r="AE81" s="118">
        <v>0</v>
      </c>
      <c r="AF81" s="118">
        <v>0</v>
      </c>
      <c r="AG81" s="118">
        <v>0</v>
      </c>
      <c r="AH81" s="118">
        <v>0</v>
      </c>
      <c r="AI81" s="118">
        <v>1.0079578270445161E-3</v>
      </c>
      <c r="AJ81" s="118">
        <v>0</v>
      </c>
      <c r="AK81" s="118">
        <v>0</v>
      </c>
      <c r="AL81" s="118">
        <v>0</v>
      </c>
      <c r="AM81" s="118">
        <v>0</v>
      </c>
      <c r="AN81" s="118">
        <v>0</v>
      </c>
      <c r="AO81" s="118">
        <v>0</v>
      </c>
      <c r="AP81" s="118">
        <v>0</v>
      </c>
      <c r="AQ81" s="118">
        <v>0</v>
      </c>
      <c r="AR81" s="118">
        <v>0</v>
      </c>
      <c r="AS81" s="118">
        <v>0</v>
      </c>
      <c r="AT81" s="118">
        <v>0</v>
      </c>
      <c r="AU81" s="118">
        <v>0</v>
      </c>
      <c r="AV81" s="118">
        <v>0</v>
      </c>
      <c r="AW81" s="118">
        <v>0</v>
      </c>
      <c r="AX81" s="118">
        <v>0</v>
      </c>
      <c r="AY81" s="118">
        <v>0</v>
      </c>
      <c r="AZ81" s="118">
        <v>1.0326098180541497E-2</v>
      </c>
      <c r="BA81" s="118">
        <v>1E-3</v>
      </c>
      <c r="BB81" s="118">
        <v>0</v>
      </c>
      <c r="BC81" s="118">
        <v>5.0000000000000001E-3</v>
      </c>
      <c r="BD81" s="118">
        <v>0</v>
      </c>
      <c r="BE81" s="118">
        <v>4.9989546977176509E-3</v>
      </c>
      <c r="BF81" s="118">
        <v>0</v>
      </c>
      <c r="BG81" s="118">
        <v>0</v>
      </c>
      <c r="BH81" s="118">
        <v>0</v>
      </c>
      <c r="BI81" s="118">
        <v>0</v>
      </c>
      <c r="BJ81" s="118">
        <v>0</v>
      </c>
      <c r="BK81" s="118">
        <v>0</v>
      </c>
      <c r="BL81" s="118">
        <v>0</v>
      </c>
      <c r="BM81" s="118">
        <v>0</v>
      </c>
      <c r="BN81" s="118">
        <v>0</v>
      </c>
      <c r="BO81" s="118">
        <v>0</v>
      </c>
      <c r="BP81" s="118">
        <v>0</v>
      </c>
      <c r="BQ81" s="118">
        <v>5.0217609641781055E-3</v>
      </c>
      <c r="BR81" s="118">
        <v>0</v>
      </c>
      <c r="BS81" s="118">
        <v>0</v>
      </c>
      <c r="BT81" s="118">
        <v>5.2054865828583326E-2</v>
      </c>
      <c r="BU81" s="118">
        <v>1E-3</v>
      </c>
      <c r="BV81" s="118">
        <v>0</v>
      </c>
      <c r="BW81" s="118">
        <v>0</v>
      </c>
      <c r="BX81" s="118">
        <v>0</v>
      </c>
      <c r="BY81" s="118">
        <v>0</v>
      </c>
      <c r="BZ81" s="118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</row>
    <row r="82" spans="1:84" x14ac:dyDescent="0.15">
      <c r="A82" t="s">
        <v>253</v>
      </c>
      <c r="B82" s="118">
        <v>0</v>
      </c>
      <c r="C82" s="118">
        <v>0</v>
      </c>
      <c r="D82" s="118">
        <v>0.15</v>
      </c>
      <c r="E82" s="118">
        <v>0</v>
      </c>
      <c r="F82" s="118">
        <v>0</v>
      </c>
      <c r="G82" s="118">
        <v>0</v>
      </c>
      <c r="H82" s="118">
        <v>0.02</v>
      </c>
      <c r="I82" s="118">
        <v>0.01</v>
      </c>
      <c r="J82" s="118">
        <v>5.0000000000000001E-3</v>
      </c>
      <c r="K82" s="118">
        <v>1.0123797166349173E-2</v>
      </c>
      <c r="L82" s="118">
        <v>0.02</v>
      </c>
      <c r="M82" s="118">
        <v>0</v>
      </c>
      <c r="N82" s="118">
        <v>0</v>
      </c>
      <c r="O82" s="118">
        <v>0</v>
      </c>
      <c r="P82" s="118">
        <v>0</v>
      </c>
      <c r="Q82" s="118">
        <v>0</v>
      </c>
      <c r="R82" s="118">
        <v>0</v>
      </c>
      <c r="S82" s="118">
        <v>0</v>
      </c>
      <c r="T82" s="118">
        <v>0</v>
      </c>
      <c r="U82" s="118">
        <v>0</v>
      </c>
      <c r="V82" s="118">
        <v>0</v>
      </c>
      <c r="W82" s="118">
        <v>0</v>
      </c>
      <c r="X82" s="118">
        <v>0</v>
      </c>
      <c r="Y82" s="118">
        <v>0</v>
      </c>
      <c r="Z82" s="118">
        <v>0</v>
      </c>
      <c r="AA82" s="118">
        <v>0</v>
      </c>
      <c r="AB82" s="118">
        <v>0</v>
      </c>
      <c r="AC82" s="118">
        <v>0</v>
      </c>
      <c r="AD82" s="118">
        <v>0</v>
      </c>
      <c r="AE82" s="118">
        <v>0</v>
      </c>
      <c r="AF82" s="118">
        <v>0</v>
      </c>
      <c r="AG82" s="118">
        <v>0</v>
      </c>
      <c r="AH82" s="118">
        <v>0</v>
      </c>
      <c r="AI82" s="118">
        <v>0</v>
      </c>
      <c r="AJ82" s="118">
        <v>0</v>
      </c>
      <c r="AK82" s="118">
        <v>0</v>
      </c>
      <c r="AL82" s="118">
        <v>0</v>
      </c>
      <c r="AM82" s="118">
        <v>0</v>
      </c>
      <c r="AN82" s="118">
        <v>0</v>
      </c>
      <c r="AO82" s="118">
        <v>0</v>
      </c>
      <c r="AP82" s="118">
        <v>0</v>
      </c>
      <c r="AQ82" s="118">
        <v>0</v>
      </c>
      <c r="AR82" s="118">
        <v>0</v>
      </c>
      <c r="AS82" s="118">
        <v>0</v>
      </c>
      <c r="AT82" s="118">
        <v>0</v>
      </c>
      <c r="AU82" s="118">
        <v>0</v>
      </c>
      <c r="AV82" s="118">
        <v>0</v>
      </c>
      <c r="AW82" s="118">
        <v>0</v>
      </c>
      <c r="AX82" s="118">
        <v>0</v>
      </c>
      <c r="AY82" s="118">
        <v>0</v>
      </c>
      <c r="AZ82" s="118">
        <v>0</v>
      </c>
      <c r="BA82" s="118">
        <v>0</v>
      </c>
      <c r="BB82" s="118">
        <v>0</v>
      </c>
      <c r="BC82" s="118">
        <v>0</v>
      </c>
      <c r="BD82" s="118">
        <v>0</v>
      </c>
      <c r="BE82" s="118">
        <v>0</v>
      </c>
      <c r="BF82" s="118">
        <v>0</v>
      </c>
      <c r="BG82" s="118">
        <v>0</v>
      </c>
      <c r="BH82" s="118">
        <v>0.05</v>
      </c>
      <c r="BI82" s="118">
        <v>1.4999999999999999E-2</v>
      </c>
      <c r="BJ82" s="118">
        <v>0</v>
      </c>
      <c r="BK82" s="118">
        <v>0</v>
      </c>
      <c r="BL82" s="118">
        <v>0</v>
      </c>
      <c r="BM82" s="118">
        <v>0</v>
      </c>
      <c r="BN82" s="118">
        <v>0</v>
      </c>
      <c r="BO82" s="118">
        <v>0</v>
      </c>
      <c r="BP82" s="118">
        <v>0</v>
      </c>
      <c r="BQ82" s="118">
        <v>0</v>
      </c>
      <c r="BR82" s="118">
        <v>0</v>
      </c>
      <c r="BS82" s="118">
        <v>0</v>
      </c>
      <c r="BT82" s="118">
        <v>0</v>
      </c>
      <c r="BU82" s="118">
        <v>0</v>
      </c>
      <c r="BV82" s="118">
        <v>0</v>
      </c>
      <c r="BW82" s="118">
        <v>0</v>
      </c>
      <c r="BX82" s="118">
        <v>0</v>
      </c>
      <c r="BY82" s="118">
        <v>0</v>
      </c>
      <c r="BZ82" s="118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</row>
    <row r="83" spans="1:84" x14ac:dyDescent="0.15">
      <c r="A83" t="s">
        <v>254</v>
      </c>
      <c r="B83" s="118">
        <v>0</v>
      </c>
      <c r="C83" s="118">
        <v>0</v>
      </c>
      <c r="D83" s="118">
        <v>0</v>
      </c>
      <c r="E83" s="118">
        <v>0</v>
      </c>
      <c r="F83" s="118">
        <v>0</v>
      </c>
      <c r="G83" s="118">
        <v>0</v>
      </c>
      <c r="H83" s="118">
        <v>0</v>
      </c>
      <c r="I83" s="118">
        <v>0</v>
      </c>
      <c r="J83" s="118">
        <v>0</v>
      </c>
      <c r="K83" s="118">
        <v>0</v>
      </c>
      <c r="L83" s="118">
        <v>0</v>
      </c>
      <c r="M83" s="118">
        <v>0</v>
      </c>
      <c r="N83" s="118">
        <v>0</v>
      </c>
      <c r="O83" s="118">
        <v>0</v>
      </c>
      <c r="P83" s="118">
        <v>0</v>
      </c>
      <c r="Q83" s="118">
        <v>0</v>
      </c>
      <c r="R83" s="118">
        <v>0</v>
      </c>
      <c r="S83" s="118">
        <v>0</v>
      </c>
      <c r="T83" s="118">
        <v>0</v>
      </c>
      <c r="U83" s="118">
        <v>0</v>
      </c>
      <c r="V83" s="118">
        <v>0</v>
      </c>
      <c r="W83" s="118">
        <v>0</v>
      </c>
      <c r="X83" s="118">
        <v>0</v>
      </c>
      <c r="Y83" s="118">
        <v>0</v>
      </c>
      <c r="Z83" s="118">
        <v>0</v>
      </c>
      <c r="AA83" s="118">
        <v>0</v>
      </c>
      <c r="AB83" s="118">
        <v>0</v>
      </c>
      <c r="AC83" s="118">
        <v>0</v>
      </c>
      <c r="AD83" s="118">
        <v>0</v>
      </c>
      <c r="AE83" s="118">
        <v>0</v>
      </c>
      <c r="AF83" s="118">
        <v>0</v>
      </c>
      <c r="AG83" s="118">
        <v>0</v>
      </c>
      <c r="AH83" s="118">
        <v>0</v>
      </c>
      <c r="AI83" s="118">
        <v>0</v>
      </c>
      <c r="AJ83" s="118">
        <v>0</v>
      </c>
      <c r="AK83" s="118">
        <v>0</v>
      </c>
      <c r="AL83" s="216">
        <v>5.0000000000000001E-3</v>
      </c>
      <c r="AM83" s="118">
        <v>0</v>
      </c>
      <c r="AN83" s="118">
        <v>0</v>
      </c>
      <c r="AO83" s="216">
        <v>5.0000000000000001E-3</v>
      </c>
      <c r="AP83" s="118">
        <v>0</v>
      </c>
      <c r="AQ83" s="118">
        <v>0</v>
      </c>
      <c r="AR83" s="118">
        <v>0</v>
      </c>
      <c r="AS83" s="118">
        <v>0</v>
      </c>
      <c r="AT83" s="118">
        <v>0</v>
      </c>
      <c r="AU83" s="118">
        <v>0</v>
      </c>
      <c r="AV83" s="118">
        <v>0</v>
      </c>
      <c r="AW83" s="118">
        <v>0</v>
      </c>
      <c r="AX83" s="118">
        <v>0</v>
      </c>
      <c r="AY83" s="118">
        <v>0</v>
      </c>
      <c r="AZ83" s="118">
        <v>0</v>
      </c>
      <c r="BA83" s="118">
        <v>0</v>
      </c>
      <c r="BB83" s="118">
        <v>0</v>
      </c>
      <c r="BC83" s="118">
        <v>0</v>
      </c>
      <c r="BD83" s="118">
        <v>0</v>
      </c>
      <c r="BE83" s="118">
        <v>0</v>
      </c>
      <c r="BF83" s="118">
        <v>0</v>
      </c>
      <c r="BG83" s="118">
        <v>0</v>
      </c>
      <c r="BH83" s="118">
        <v>0</v>
      </c>
      <c r="BI83" s="118">
        <v>0</v>
      </c>
      <c r="BJ83" s="118">
        <v>1E-3</v>
      </c>
      <c r="BK83" s="118">
        <v>1E-3</v>
      </c>
      <c r="BL83" s="118">
        <v>0</v>
      </c>
      <c r="BM83" s="118">
        <v>5.0000000000000001E-3</v>
      </c>
      <c r="BN83" s="118">
        <v>0</v>
      </c>
      <c r="BO83" s="118">
        <v>0.1</v>
      </c>
      <c r="BP83" s="118">
        <v>0</v>
      </c>
      <c r="BQ83" s="118">
        <v>0.10043521928356211</v>
      </c>
      <c r="BR83" s="118">
        <v>5.0000000000000001E-3</v>
      </c>
      <c r="BS83" s="118">
        <v>0.01</v>
      </c>
      <c r="BT83" s="118">
        <v>0</v>
      </c>
      <c r="BU83" s="118">
        <v>0</v>
      </c>
      <c r="BV83" s="118">
        <v>0</v>
      </c>
      <c r="BW83" s="118">
        <v>0</v>
      </c>
      <c r="BX83" s="118">
        <v>0</v>
      </c>
      <c r="BY83" s="118">
        <v>0</v>
      </c>
      <c r="BZ83" s="118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</row>
    <row r="84" spans="1:84" x14ac:dyDescent="0.15">
      <c r="A84" t="s">
        <v>255</v>
      </c>
      <c r="B84" s="118">
        <v>0</v>
      </c>
      <c r="C84" s="118">
        <v>0</v>
      </c>
      <c r="D84" s="118">
        <v>0</v>
      </c>
      <c r="E84" s="118">
        <v>0</v>
      </c>
      <c r="F84" s="118">
        <v>0</v>
      </c>
      <c r="G84" s="118">
        <v>0</v>
      </c>
      <c r="H84" s="118">
        <v>0</v>
      </c>
      <c r="I84" s="118">
        <v>0</v>
      </c>
      <c r="J84" s="118">
        <v>0</v>
      </c>
      <c r="K84" s="118">
        <v>0</v>
      </c>
      <c r="L84" s="118">
        <v>0</v>
      </c>
      <c r="M84" s="118">
        <v>0</v>
      </c>
      <c r="N84" s="118">
        <v>0</v>
      </c>
      <c r="O84" s="118">
        <v>0</v>
      </c>
      <c r="P84" s="118">
        <v>0.15</v>
      </c>
      <c r="Q84" s="118">
        <v>0</v>
      </c>
      <c r="R84" s="118">
        <v>0</v>
      </c>
      <c r="S84" s="118">
        <v>0</v>
      </c>
      <c r="T84" s="118">
        <v>0</v>
      </c>
      <c r="U84" s="118">
        <v>0</v>
      </c>
      <c r="V84" s="118">
        <v>0</v>
      </c>
      <c r="W84" s="118">
        <v>0</v>
      </c>
      <c r="X84" s="118">
        <v>0</v>
      </c>
      <c r="Y84" s="118">
        <v>0</v>
      </c>
      <c r="Z84" s="118">
        <v>0</v>
      </c>
      <c r="AA84" s="118">
        <v>0</v>
      </c>
      <c r="AB84" s="118">
        <v>0</v>
      </c>
      <c r="AC84" s="118">
        <v>0</v>
      </c>
      <c r="AD84" s="118">
        <v>0</v>
      </c>
      <c r="AE84" s="118">
        <v>0</v>
      </c>
      <c r="AF84" s="118">
        <v>0</v>
      </c>
      <c r="AG84" s="118">
        <v>0</v>
      </c>
      <c r="AH84" s="118">
        <v>0</v>
      </c>
      <c r="AI84" s="118">
        <v>0</v>
      </c>
      <c r="AJ84" s="118">
        <v>0</v>
      </c>
      <c r="AK84" s="118">
        <v>0</v>
      </c>
      <c r="AL84" s="118">
        <v>5.0000000000000001E-3</v>
      </c>
      <c r="AM84" s="118">
        <v>0</v>
      </c>
      <c r="AN84" s="118">
        <v>0</v>
      </c>
      <c r="AO84" s="118">
        <v>4.3299999999999998E-2</v>
      </c>
      <c r="AP84" s="118">
        <v>0</v>
      </c>
      <c r="AQ84" s="118">
        <v>5.0000000000000001E-3</v>
      </c>
      <c r="AR84" s="118">
        <v>1E-3</v>
      </c>
      <c r="AS84" s="118">
        <v>0.02</v>
      </c>
      <c r="AT84" s="118">
        <v>0</v>
      </c>
      <c r="AU84" s="118">
        <v>3.0700000000000002E-2</v>
      </c>
      <c r="AV84" s="118">
        <v>6.0000000000000001E-3</v>
      </c>
      <c r="AW84" s="118">
        <v>1.12E-2</v>
      </c>
      <c r="AX84" s="118">
        <v>0.15</v>
      </c>
      <c r="AY84" s="118">
        <v>0</v>
      </c>
      <c r="AZ84" s="118">
        <v>0</v>
      </c>
      <c r="BA84" s="118">
        <v>3.0000000000000001E-3</v>
      </c>
      <c r="BB84" s="118">
        <v>1</v>
      </c>
      <c r="BC84" s="118">
        <v>0.25</v>
      </c>
      <c r="BD84" s="118">
        <v>0.3</v>
      </c>
      <c r="BE84" s="118">
        <v>0.24994773488588254</v>
      </c>
      <c r="BF84" s="118">
        <v>0.85</v>
      </c>
      <c r="BG84" s="118">
        <v>0.94799999999999995</v>
      </c>
      <c r="BH84" s="118">
        <v>0.9</v>
      </c>
      <c r="BI84" s="118">
        <v>0.88</v>
      </c>
      <c r="BJ84" s="118">
        <v>6.8000000000000005E-2</v>
      </c>
      <c r="BK84" s="118">
        <v>0.13900000000000001</v>
      </c>
      <c r="BL84" s="118">
        <v>0.33500000000000002</v>
      </c>
      <c r="BM84" s="118">
        <v>0</v>
      </c>
      <c r="BN84" s="118">
        <v>0</v>
      </c>
      <c r="BO84" s="118">
        <v>0.05</v>
      </c>
      <c r="BP84" s="118">
        <v>0</v>
      </c>
      <c r="BQ84" s="118">
        <v>2.0087043856712424E-3</v>
      </c>
      <c r="BR84" s="118">
        <v>0</v>
      </c>
      <c r="BS84" s="118">
        <v>0</v>
      </c>
      <c r="BT84" s="118">
        <v>0</v>
      </c>
      <c r="BU84" s="118">
        <v>0</v>
      </c>
      <c r="BV84" s="118">
        <v>0</v>
      </c>
      <c r="BW84" s="118">
        <v>0</v>
      </c>
      <c r="BX84" s="118">
        <v>0</v>
      </c>
      <c r="BY84" s="118">
        <v>0</v>
      </c>
      <c r="BZ84" s="118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</row>
    <row r="85" spans="1:84" x14ac:dyDescent="0.15">
      <c r="A85" t="s">
        <v>274</v>
      </c>
      <c r="B85" s="118">
        <v>0</v>
      </c>
      <c r="C85" s="118">
        <v>0</v>
      </c>
      <c r="D85" s="118">
        <v>0</v>
      </c>
      <c r="E85" s="118">
        <v>0</v>
      </c>
      <c r="F85" s="118">
        <v>0</v>
      </c>
      <c r="G85" s="118">
        <v>0</v>
      </c>
      <c r="H85" s="118">
        <v>0</v>
      </c>
      <c r="I85" s="118">
        <v>0</v>
      </c>
      <c r="J85" s="118">
        <v>0</v>
      </c>
      <c r="K85" s="118">
        <v>0</v>
      </c>
      <c r="L85" s="118">
        <v>0</v>
      </c>
      <c r="M85" s="118">
        <v>0</v>
      </c>
      <c r="N85" s="118">
        <v>0</v>
      </c>
      <c r="O85" s="118">
        <v>0</v>
      </c>
      <c r="P85" s="118">
        <v>0</v>
      </c>
      <c r="Q85" s="118">
        <v>0</v>
      </c>
      <c r="R85" s="118">
        <v>0</v>
      </c>
      <c r="S85" s="118">
        <v>0</v>
      </c>
      <c r="T85" s="118">
        <v>0</v>
      </c>
      <c r="U85" s="118">
        <v>0</v>
      </c>
      <c r="V85" s="118">
        <v>0</v>
      </c>
      <c r="W85" s="118">
        <v>0</v>
      </c>
      <c r="X85" s="118">
        <v>0</v>
      </c>
      <c r="Y85" s="118">
        <v>0</v>
      </c>
      <c r="Z85" s="118">
        <v>0</v>
      </c>
      <c r="AA85" s="118">
        <v>0</v>
      </c>
      <c r="AB85" s="118">
        <v>0</v>
      </c>
      <c r="AC85" s="118">
        <v>0</v>
      </c>
      <c r="AD85" s="118">
        <v>0</v>
      </c>
      <c r="AE85" s="118">
        <v>0</v>
      </c>
      <c r="AF85" s="118">
        <v>0</v>
      </c>
      <c r="AG85" s="118">
        <v>0</v>
      </c>
      <c r="AH85" s="118">
        <v>0</v>
      </c>
      <c r="AI85" s="118">
        <v>0</v>
      </c>
      <c r="AJ85" s="118">
        <v>0</v>
      </c>
      <c r="AK85" s="118">
        <v>0</v>
      </c>
      <c r="AL85" s="118">
        <v>0</v>
      </c>
      <c r="AM85" s="118">
        <v>0</v>
      </c>
      <c r="AN85" s="118">
        <v>0</v>
      </c>
      <c r="AO85" s="118">
        <v>0</v>
      </c>
      <c r="AP85" s="118">
        <v>0</v>
      </c>
      <c r="AQ85" s="118">
        <v>0</v>
      </c>
      <c r="AR85" s="118">
        <v>0</v>
      </c>
      <c r="AS85" s="118">
        <v>0</v>
      </c>
      <c r="AT85" s="118">
        <v>0</v>
      </c>
      <c r="AU85" s="118">
        <v>0</v>
      </c>
      <c r="AV85" s="118">
        <v>0</v>
      </c>
      <c r="AW85" s="118">
        <v>0</v>
      </c>
      <c r="AX85" s="118">
        <v>0</v>
      </c>
      <c r="AY85" s="118">
        <v>0</v>
      </c>
      <c r="AZ85" s="118">
        <v>0</v>
      </c>
      <c r="BA85" s="118">
        <v>0</v>
      </c>
      <c r="BB85" s="118">
        <v>0</v>
      </c>
      <c r="BC85" s="118">
        <v>0</v>
      </c>
      <c r="BD85" s="118">
        <v>0</v>
      </c>
      <c r="BE85" s="118">
        <v>0</v>
      </c>
      <c r="BF85" s="118">
        <v>0</v>
      </c>
      <c r="BG85" s="118">
        <v>0</v>
      </c>
      <c r="BH85" s="118">
        <v>0</v>
      </c>
      <c r="BI85" s="118">
        <v>0</v>
      </c>
      <c r="BJ85" s="118">
        <v>0</v>
      </c>
      <c r="BK85" s="118">
        <v>0</v>
      </c>
      <c r="BL85" s="118">
        <v>0</v>
      </c>
      <c r="BM85" s="118">
        <v>0</v>
      </c>
      <c r="BN85" s="118">
        <v>0</v>
      </c>
      <c r="BO85" s="118">
        <v>0.24</v>
      </c>
      <c r="BP85" s="118">
        <v>0</v>
      </c>
      <c r="BQ85" s="118">
        <v>0</v>
      </c>
      <c r="BR85" s="118">
        <v>0</v>
      </c>
      <c r="BS85" s="118">
        <v>0.1</v>
      </c>
      <c r="BT85" s="118">
        <v>0</v>
      </c>
      <c r="BU85" s="118">
        <v>0</v>
      </c>
      <c r="BV85" s="118">
        <v>0</v>
      </c>
      <c r="BW85" s="118">
        <v>0</v>
      </c>
      <c r="BX85" s="118">
        <v>0</v>
      </c>
      <c r="BY85" s="118">
        <v>0</v>
      </c>
      <c r="BZ85" s="118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</row>
    <row r="90" spans="1:84" x14ac:dyDescent="0.15">
      <c r="A90" t="s">
        <v>62</v>
      </c>
      <c r="B90">
        <f>SUM(B2:B85)</f>
        <v>0</v>
      </c>
      <c r="C90">
        <f t="shared" ref="C90:BN90" si="0">SUM(C2:C85)</f>
        <v>0</v>
      </c>
      <c r="D90">
        <f t="shared" si="0"/>
        <v>1</v>
      </c>
      <c r="E90">
        <f t="shared" si="0"/>
        <v>1</v>
      </c>
      <c r="F90">
        <f t="shared" si="0"/>
        <v>1</v>
      </c>
      <c r="G90">
        <f t="shared" si="0"/>
        <v>1</v>
      </c>
      <c r="H90">
        <f t="shared" si="0"/>
        <v>0.99999999999999989</v>
      </c>
      <c r="I90">
        <f t="shared" si="0"/>
        <v>1.0000362333767949</v>
      </c>
      <c r="J90">
        <f t="shared" si="0"/>
        <v>0.99996815552358842</v>
      </c>
      <c r="K90">
        <f t="shared" si="0"/>
        <v>0.99997947163902567</v>
      </c>
      <c r="L90">
        <f t="shared" si="0"/>
        <v>1</v>
      </c>
      <c r="M90">
        <f t="shared" si="0"/>
        <v>0.99999999999999989</v>
      </c>
      <c r="N90">
        <f t="shared" si="0"/>
        <v>1</v>
      </c>
      <c r="O90">
        <f t="shared" si="0"/>
        <v>1</v>
      </c>
      <c r="P90">
        <f t="shared" si="0"/>
        <v>1</v>
      </c>
      <c r="Q90">
        <f t="shared" si="0"/>
        <v>0.99999999999999978</v>
      </c>
      <c r="R90">
        <f t="shared" si="0"/>
        <v>1</v>
      </c>
      <c r="S90">
        <f t="shared" si="0"/>
        <v>1.0000599438504949</v>
      </c>
      <c r="T90">
        <f t="shared" si="0"/>
        <v>1</v>
      </c>
      <c r="U90">
        <f t="shared" si="0"/>
        <v>1.0000127122908289</v>
      </c>
      <c r="V90">
        <f t="shared" si="0"/>
        <v>0.99999999999999989</v>
      </c>
      <c r="W90">
        <f t="shared" si="0"/>
        <v>1.0000345801548365</v>
      </c>
      <c r="X90">
        <f t="shared" si="0"/>
        <v>1.0000413061180176</v>
      </c>
      <c r="Y90">
        <f t="shared" si="0"/>
        <v>1</v>
      </c>
      <c r="Z90">
        <f t="shared" si="0"/>
        <v>1</v>
      </c>
      <c r="AA90">
        <f t="shared" si="0"/>
        <v>0.99999951553502997</v>
      </c>
      <c r="AB90">
        <f t="shared" si="0"/>
        <v>0.99998908074046688</v>
      </c>
      <c r="AC90">
        <f t="shared" si="0"/>
        <v>1.0004226122881825</v>
      </c>
      <c r="AD90">
        <f t="shared" si="0"/>
        <v>1.000081485326654</v>
      </c>
      <c r="AE90">
        <f t="shared" si="0"/>
        <v>0.99990770396849371</v>
      </c>
      <c r="AF90">
        <f t="shared" si="0"/>
        <v>1.0000375392006406</v>
      </c>
      <c r="AG90">
        <f t="shared" si="0"/>
        <v>1.0000100398680063</v>
      </c>
      <c r="AH90">
        <f t="shared" si="0"/>
        <v>0.9999832946334114</v>
      </c>
      <c r="AI90">
        <f t="shared" si="0"/>
        <v>0.9999854138422849</v>
      </c>
      <c r="AJ90">
        <f t="shared" si="0"/>
        <v>1.0000468605895969</v>
      </c>
      <c r="AK90">
        <f t="shared" si="0"/>
        <v>0.99998633303625528</v>
      </c>
      <c r="AL90">
        <f t="shared" si="0"/>
        <v>0.99999682742724305</v>
      </c>
      <c r="AM90">
        <f t="shared" si="0"/>
        <v>0.99998106576082313</v>
      </c>
      <c r="AN90">
        <f t="shared" si="0"/>
        <v>1.0001999999999998</v>
      </c>
      <c r="AO90">
        <f t="shared" si="0"/>
        <v>1.0000090712221557</v>
      </c>
      <c r="AP90">
        <f t="shared" si="0"/>
        <v>0.99992850623989016</v>
      </c>
      <c r="AQ90">
        <f t="shared" si="0"/>
        <v>0.99995777372081784</v>
      </c>
      <c r="AR90">
        <f t="shared" si="0"/>
        <v>1</v>
      </c>
      <c r="AS90">
        <f t="shared" si="0"/>
        <v>1</v>
      </c>
      <c r="AT90">
        <f t="shared" si="0"/>
        <v>1.000025592072074</v>
      </c>
      <c r="AU90">
        <f t="shared" si="0"/>
        <v>1.0000249990986514</v>
      </c>
      <c r="AV90">
        <f t="shared" si="0"/>
        <v>0.9999649754907497</v>
      </c>
      <c r="AW90">
        <f t="shared" si="0"/>
        <v>1.0000320107599192</v>
      </c>
      <c r="AX90">
        <f t="shared" si="0"/>
        <v>1</v>
      </c>
      <c r="AY90">
        <f t="shared" si="0"/>
        <v>1.000149797927842</v>
      </c>
      <c r="AZ90">
        <f t="shared" si="0"/>
        <v>0.99976640920261894</v>
      </c>
      <c r="BA90">
        <f t="shared" si="0"/>
        <v>1</v>
      </c>
      <c r="BB90">
        <f t="shared" si="0"/>
        <v>1</v>
      </c>
      <c r="BC90">
        <f t="shared" si="0"/>
        <v>1.0000000000000002</v>
      </c>
      <c r="BD90">
        <f t="shared" si="0"/>
        <v>1</v>
      </c>
      <c r="BE90">
        <f t="shared" si="0"/>
        <v>1.0000528214386453</v>
      </c>
      <c r="BF90">
        <f t="shared" si="0"/>
        <v>1</v>
      </c>
      <c r="BG90">
        <f t="shared" si="0"/>
        <v>1</v>
      </c>
      <c r="BH90">
        <f t="shared" si="0"/>
        <v>1</v>
      </c>
      <c r="BI90">
        <f t="shared" si="0"/>
        <v>1</v>
      </c>
      <c r="BJ90">
        <f t="shared" si="0"/>
        <v>1</v>
      </c>
      <c r="BK90">
        <f t="shared" si="0"/>
        <v>1.0000000000000002</v>
      </c>
      <c r="BL90">
        <f t="shared" si="0"/>
        <v>1</v>
      </c>
      <c r="BM90">
        <f t="shared" si="0"/>
        <v>1</v>
      </c>
      <c r="BN90">
        <f t="shared" si="0"/>
        <v>1</v>
      </c>
      <c r="BO90">
        <f t="shared" ref="BO90:CF90" si="1">SUM(BO2:BO85)</f>
        <v>1</v>
      </c>
      <c r="BP90">
        <f t="shared" si="1"/>
        <v>1.000025937183384</v>
      </c>
      <c r="BQ90">
        <f t="shared" si="1"/>
        <v>0.99999109474389036</v>
      </c>
      <c r="BR90">
        <f t="shared" si="1"/>
        <v>0.99999999999999978</v>
      </c>
      <c r="BS90">
        <f t="shared" si="1"/>
        <v>0.99999999999999978</v>
      </c>
      <c r="BT90">
        <f t="shared" si="1"/>
        <v>0.99991842221701688</v>
      </c>
      <c r="BU90">
        <f t="shared" si="1"/>
        <v>1</v>
      </c>
      <c r="BV90">
        <f t="shared" si="1"/>
        <v>1</v>
      </c>
      <c r="BW90">
        <f t="shared" si="1"/>
        <v>1.0000000000000002</v>
      </c>
      <c r="BX90">
        <f t="shared" si="1"/>
        <v>1.0000001115647894</v>
      </c>
      <c r="BY90">
        <f t="shared" si="1"/>
        <v>1.0000499999999999</v>
      </c>
      <c r="BZ90">
        <f t="shared" si="1"/>
        <v>1</v>
      </c>
      <c r="CA90">
        <f t="shared" si="1"/>
        <v>1</v>
      </c>
      <c r="CB90">
        <f t="shared" si="1"/>
        <v>0</v>
      </c>
      <c r="CC90">
        <f t="shared" si="1"/>
        <v>0</v>
      </c>
      <c r="CD90">
        <f t="shared" si="1"/>
        <v>0</v>
      </c>
      <c r="CE90">
        <f t="shared" si="1"/>
        <v>0</v>
      </c>
      <c r="CF90">
        <f t="shared" si="1"/>
        <v>0</v>
      </c>
    </row>
    <row r="93" spans="1:84" x14ac:dyDescent="0.15">
      <c r="A93" t="s">
        <v>539</v>
      </c>
      <c r="B93">
        <f>B31+B32+B33</f>
        <v>0</v>
      </c>
      <c r="C93">
        <f t="shared" ref="C93:BN93" si="2">C31+C32+C33</f>
        <v>0</v>
      </c>
      <c r="D93">
        <f t="shared" si="2"/>
        <v>0</v>
      </c>
      <c r="E93">
        <f t="shared" si="2"/>
        <v>0</v>
      </c>
      <c r="F93">
        <f t="shared" si="2"/>
        <v>0</v>
      </c>
      <c r="G93">
        <f t="shared" si="2"/>
        <v>0</v>
      </c>
      <c r="H93">
        <f t="shared" si="2"/>
        <v>0</v>
      </c>
      <c r="I93">
        <f t="shared" si="2"/>
        <v>0</v>
      </c>
      <c r="J93">
        <f t="shared" si="2"/>
        <v>0</v>
      </c>
      <c r="K93">
        <f t="shared" si="2"/>
        <v>0</v>
      </c>
      <c r="L93">
        <f t="shared" si="2"/>
        <v>0</v>
      </c>
      <c r="M93">
        <f t="shared" si="2"/>
        <v>0</v>
      </c>
      <c r="N93">
        <f t="shared" si="2"/>
        <v>0</v>
      </c>
      <c r="O93">
        <f t="shared" si="2"/>
        <v>0</v>
      </c>
      <c r="P93">
        <f t="shared" si="2"/>
        <v>0</v>
      </c>
      <c r="Q93">
        <f t="shared" si="2"/>
        <v>0</v>
      </c>
      <c r="R93">
        <f t="shared" si="2"/>
        <v>0</v>
      </c>
      <c r="S93">
        <f t="shared" si="2"/>
        <v>0</v>
      </c>
      <c r="T93">
        <f t="shared" si="2"/>
        <v>0</v>
      </c>
      <c r="U93">
        <f t="shared" si="2"/>
        <v>0</v>
      </c>
      <c r="V93">
        <f t="shared" si="2"/>
        <v>0</v>
      </c>
      <c r="W93">
        <f t="shared" si="2"/>
        <v>0</v>
      </c>
      <c r="X93">
        <f t="shared" si="2"/>
        <v>0</v>
      </c>
      <c r="Y93">
        <f t="shared" si="2"/>
        <v>0</v>
      </c>
      <c r="Z93">
        <f t="shared" si="2"/>
        <v>0</v>
      </c>
      <c r="AA93">
        <f t="shared" si="2"/>
        <v>0</v>
      </c>
      <c r="AB93">
        <f t="shared" si="2"/>
        <v>0</v>
      </c>
      <c r="AC93">
        <f t="shared" si="2"/>
        <v>0</v>
      </c>
      <c r="AD93">
        <f t="shared" si="2"/>
        <v>0</v>
      </c>
      <c r="AE93">
        <f t="shared" si="2"/>
        <v>0</v>
      </c>
      <c r="AF93">
        <f t="shared" si="2"/>
        <v>0</v>
      </c>
      <c r="AG93">
        <f t="shared" si="2"/>
        <v>0</v>
      </c>
      <c r="AH93">
        <f t="shared" si="2"/>
        <v>5.5000000000000007E-2</v>
      </c>
      <c r="AI93">
        <f t="shared" si="2"/>
        <v>0</v>
      </c>
      <c r="AJ93">
        <f t="shared" si="2"/>
        <v>0</v>
      </c>
      <c r="AK93">
        <f t="shared" si="2"/>
        <v>0</v>
      </c>
      <c r="AL93">
        <f t="shared" si="2"/>
        <v>0</v>
      </c>
      <c r="AM93">
        <f t="shared" si="2"/>
        <v>0</v>
      </c>
      <c r="AN93">
        <f t="shared" si="2"/>
        <v>0</v>
      </c>
      <c r="AO93">
        <f t="shared" si="2"/>
        <v>6.5000000000000006E-3</v>
      </c>
      <c r="AP93">
        <f t="shared" si="2"/>
        <v>0</v>
      </c>
      <c r="AQ93">
        <f t="shared" si="2"/>
        <v>2.5000000000000005E-2</v>
      </c>
      <c r="AR93">
        <f t="shared" si="2"/>
        <v>0</v>
      </c>
      <c r="AS93">
        <f t="shared" si="2"/>
        <v>0</v>
      </c>
      <c r="AT93">
        <f t="shared" si="2"/>
        <v>0</v>
      </c>
      <c r="AU93">
        <f t="shared" si="2"/>
        <v>0</v>
      </c>
      <c r="AV93">
        <f t="shared" si="2"/>
        <v>0</v>
      </c>
      <c r="AW93">
        <f t="shared" si="2"/>
        <v>0</v>
      </c>
      <c r="AX93">
        <f t="shared" si="2"/>
        <v>0</v>
      </c>
      <c r="AY93">
        <f t="shared" si="2"/>
        <v>0</v>
      </c>
      <c r="AZ93">
        <f t="shared" si="2"/>
        <v>0</v>
      </c>
      <c r="BA93">
        <f t="shared" si="2"/>
        <v>0</v>
      </c>
      <c r="BB93">
        <f t="shared" si="2"/>
        <v>0</v>
      </c>
      <c r="BC93">
        <f t="shared" si="2"/>
        <v>0</v>
      </c>
      <c r="BD93">
        <f t="shared" si="2"/>
        <v>0</v>
      </c>
      <c r="BE93">
        <f t="shared" si="2"/>
        <v>0</v>
      </c>
      <c r="BF93">
        <f t="shared" si="2"/>
        <v>0</v>
      </c>
      <c r="BG93">
        <f t="shared" si="2"/>
        <v>0</v>
      </c>
      <c r="BH93">
        <f t="shared" si="2"/>
        <v>0</v>
      </c>
      <c r="BI93">
        <f t="shared" si="2"/>
        <v>0</v>
      </c>
      <c r="BJ93">
        <f t="shared" si="2"/>
        <v>0</v>
      </c>
      <c r="BK93">
        <f t="shared" si="2"/>
        <v>0</v>
      </c>
      <c r="BL93">
        <f t="shared" si="2"/>
        <v>0</v>
      </c>
      <c r="BM93">
        <f t="shared" si="2"/>
        <v>0</v>
      </c>
      <c r="BN93">
        <f t="shared" si="2"/>
        <v>0</v>
      </c>
      <c r="BO93">
        <f t="shared" ref="BO93:CF93" si="3">BO31+BO32+BO33</f>
        <v>0</v>
      </c>
      <c r="BP93">
        <f t="shared" si="3"/>
        <v>0</v>
      </c>
      <c r="BQ93">
        <f t="shared" si="3"/>
        <v>0</v>
      </c>
      <c r="BR93">
        <f t="shared" si="3"/>
        <v>0</v>
      </c>
      <c r="BS93">
        <f t="shared" si="3"/>
        <v>0</v>
      </c>
      <c r="BT93">
        <f t="shared" si="3"/>
        <v>0</v>
      </c>
      <c r="BU93">
        <f t="shared" si="3"/>
        <v>0</v>
      </c>
      <c r="BV93">
        <f t="shared" si="3"/>
        <v>0</v>
      </c>
      <c r="BW93">
        <f t="shared" si="3"/>
        <v>5.000000000000001E-2</v>
      </c>
      <c r="BX93">
        <f t="shared" si="3"/>
        <v>7.4490135571905744E-2</v>
      </c>
      <c r="BY93">
        <f t="shared" si="3"/>
        <v>5.2000000000000005E-2</v>
      </c>
      <c r="BZ93">
        <f t="shared" si="3"/>
        <v>1.9E-2</v>
      </c>
      <c r="CA93">
        <f t="shared" si="3"/>
        <v>0.23499999999999999</v>
      </c>
      <c r="CB93">
        <f t="shared" si="3"/>
        <v>0</v>
      </c>
      <c r="CC93">
        <f t="shared" si="3"/>
        <v>0</v>
      </c>
      <c r="CD93">
        <f t="shared" si="3"/>
        <v>0</v>
      </c>
      <c r="CE93">
        <f t="shared" si="3"/>
        <v>0</v>
      </c>
      <c r="CF93">
        <f t="shared" si="3"/>
        <v>0</v>
      </c>
    </row>
    <row r="97" spans="3:7" ht="15" customHeight="1" x14ac:dyDescent="0.15"/>
    <row r="98" spans="3:7" x14ac:dyDescent="0.15">
      <c r="C98" t="s">
        <v>540</v>
      </c>
      <c r="E98" s="118">
        <v>0.3</v>
      </c>
      <c r="F98" s="118">
        <v>0.4</v>
      </c>
      <c r="G98" s="118">
        <v>0.4</v>
      </c>
    </row>
    <row r="99" spans="3:7" x14ac:dyDescent="0.15">
      <c r="C99" t="s">
        <v>541</v>
      </c>
      <c r="E99">
        <v>0.6</v>
      </c>
      <c r="F99">
        <v>0.6</v>
      </c>
      <c r="G99">
        <v>0.4</v>
      </c>
    </row>
    <row r="100" spans="3:7" ht="15" customHeight="1" x14ac:dyDescent="0.15"/>
    <row r="101" spans="3:7" x14ac:dyDescent="0.15">
      <c r="C101" t="s">
        <v>542</v>
      </c>
      <c r="E101" s="118">
        <v>0.61610698165473554</v>
      </c>
      <c r="F101" s="118">
        <v>0.52809169856120197</v>
      </c>
      <c r="G101" s="118">
        <v>0.52809169856120197</v>
      </c>
    </row>
    <row r="102" spans="3:7" x14ac:dyDescent="0.15">
      <c r="C102" t="s">
        <v>543</v>
      </c>
      <c r="E102" s="118">
        <v>8.3893018345264428E-2</v>
      </c>
      <c r="F102" s="118">
        <v>7.1908301438798075E-2</v>
      </c>
      <c r="G102" s="118">
        <v>7.1908301438798075E-2</v>
      </c>
    </row>
    <row r="103" spans="3:7" x14ac:dyDescent="0.15">
      <c r="C103" t="s">
        <v>544</v>
      </c>
      <c r="E103">
        <f>E101+E102</f>
        <v>0.7</v>
      </c>
      <c r="F103">
        <f t="shared" ref="F103:G103" si="4">F101+F102</f>
        <v>0.60000000000000009</v>
      </c>
      <c r="G103">
        <f t="shared" si="4"/>
        <v>0.60000000000000009</v>
      </c>
    </row>
    <row r="104" spans="3:7" ht="15" customHeight="1" x14ac:dyDescent="0.15"/>
    <row r="105" spans="3:7" x14ac:dyDescent="0.15">
      <c r="C105" t="s">
        <v>545</v>
      </c>
      <c r="E105">
        <f>E101/E103</f>
        <v>0.88015283093533658</v>
      </c>
      <c r="F105">
        <f>F101/F103</f>
        <v>0.88015283093533647</v>
      </c>
      <c r="G105">
        <f>G101/G103</f>
        <v>0.88015283093533647</v>
      </c>
    </row>
    <row r="106" spans="3:7" x14ac:dyDescent="0.15">
      <c r="C106" t="s">
        <v>546</v>
      </c>
      <c r="E106">
        <f>E102/E103</f>
        <v>0.11984716906466347</v>
      </c>
      <c r="F106">
        <f>F102/F103</f>
        <v>0.11984716906466344</v>
      </c>
      <c r="G106">
        <f>G102/G103</f>
        <v>0.11984716906466344</v>
      </c>
    </row>
    <row r="107" spans="3:7" ht="15" customHeight="1" x14ac:dyDescent="0.15"/>
    <row r="108" spans="3:7" x14ac:dyDescent="0.15">
      <c r="C108" t="s">
        <v>547</v>
      </c>
      <c r="E108">
        <f>E103-(E99-E98)</f>
        <v>0.39999999999999997</v>
      </c>
      <c r="F108">
        <f t="shared" ref="F108:G108" si="5">F103-(F99-F98)</f>
        <v>0.40000000000000013</v>
      </c>
      <c r="G108">
        <f t="shared" si="5"/>
        <v>0.60000000000000009</v>
      </c>
    </row>
    <row r="109" spans="3:7" x14ac:dyDescent="0.15">
      <c r="C109" t="s">
        <v>548</v>
      </c>
      <c r="E109">
        <f>E108*E105</f>
        <v>0.35206113237413461</v>
      </c>
      <c r="F109">
        <f>F108*F105</f>
        <v>0.35206113237413472</v>
      </c>
      <c r="G109">
        <f>G108*G105</f>
        <v>0.52809169856120197</v>
      </c>
    </row>
    <row r="110" spans="3:7" x14ac:dyDescent="0.15">
      <c r="C110" t="s">
        <v>549</v>
      </c>
      <c r="E110">
        <f>E108*E106</f>
        <v>4.7938867625865383E-2</v>
      </c>
      <c r="F110">
        <f>F108*F106</f>
        <v>4.7938867625865397E-2</v>
      </c>
      <c r="G110">
        <f>G108*G106</f>
        <v>7.1908301438798075E-2</v>
      </c>
    </row>
    <row r="111" spans="3:7" ht="15" customHeight="1" x14ac:dyDescent="0.15"/>
    <row r="112" spans="3:7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1" ht="15" customHeight="1" x14ac:dyDescent="0.15"/>
    <row r="172" ht="15" customHeight="1" x14ac:dyDescent="0.15"/>
    <row r="173" ht="15" customHeight="1" x14ac:dyDescent="0.15"/>
    <row r="174" ht="15" customHeight="1" x14ac:dyDescent="0.15"/>
  </sheetData>
  <phoneticPr fontId="2" type="noConversion"/>
  <conditionalFormatting sqref="B2:CM92">
    <cfRule type="cellIs" dxfId="0" priority="1" operator="equal">
      <formula>0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I108"/>
  <sheetViews>
    <sheetView zoomScaleNormal="100" workbookViewId="0">
      <pane xSplit="2" ySplit="1" topLeftCell="C88" activePane="bottomRight" state="frozen"/>
      <selection pane="topRight" activeCell="C1" sqref="C1"/>
      <selection pane="bottomLeft" activeCell="A2" sqref="A2"/>
      <selection pane="bottomRight" activeCell="B107" sqref="B107"/>
    </sheetView>
  </sheetViews>
  <sheetFormatPr baseColWidth="10" defaultColWidth="8.83203125" defaultRowHeight="13" x14ac:dyDescent="0.15"/>
  <cols>
    <col min="1" max="1" width="12.83203125" customWidth="1"/>
    <col min="2" max="2" width="21.6640625" customWidth="1"/>
    <col min="3" max="3" width="19.5" bestFit="1" customWidth="1"/>
    <col min="4" max="4" width="12.5" bestFit="1" customWidth="1"/>
    <col min="5" max="5" width="17.33203125" bestFit="1" customWidth="1"/>
    <col min="6" max="6" width="13.83203125" bestFit="1" customWidth="1"/>
    <col min="7" max="7" width="17.5" customWidth="1"/>
  </cols>
  <sheetData>
    <row r="1" spans="1:9" ht="14" x14ac:dyDescent="0.15">
      <c r="A1" s="5" t="s">
        <v>21</v>
      </c>
      <c r="B1" s="1" t="s">
        <v>0</v>
      </c>
      <c r="C1" s="119" t="s">
        <v>251</v>
      </c>
      <c r="D1" s="119" t="s">
        <v>252</v>
      </c>
      <c r="E1" s="119" t="s">
        <v>253</v>
      </c>
      <c r="F1" s="119" t="s">
        <v>254</v>
      </c>
      <c r="G1" s="119" t="s">
        <v>255</v>
      </c>
      <c r="H1" t="s">
        <v>156</v>
      </c>
      <c r="I1" s="119" t="s">
        <v>62</v>
      </c>
    </row>
    <row r="2" spans="1:9" x14ac:dyDescent="0.15">
      <c r="A2">
        <v>1</v>
      </c>
      <c r="B2" t="s">
        <v>176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 s="120">
        <f>SUM(C2:H2)</f>
        <v>1</v>
      </c>
    </row>
    <row r="3" spans="1:9" x14ac:dyDescent="0.15">
      <c r="A3">
        <v>2</v>
      </c>
      <c r="B3" t="s">
        <v>177</v>
      </c>
      <c r="C3">
        <v>0</v>
      </c>
      <c r="D3">
        <v>0</v>
      </c>
      <c r="E3">
        <v>1</v>
      </c>
      <c r="F3">
        <v>0</v>
      </c>
      <c r="G3">
        <v>0</v>
      </c>
      <c r="H3">
        <v>0</v>
      </c>
      <c r="I3" s="120">
        <f t="shared" ref="I3:I66" si="0">SUM(C3:H3)</f>
        <v>1</v>
      </c>
    </row>
    <row r="4" spans="1:9" x14ac:dyDescent="0.15">
      <c r="A4">
        <v>3</v>
      </c>
      <c r="B4" t="s">
        <v>178</v>
      </c>
      <c r="C4">
        <v>0</v>
      </c>
      <c r="D4">
        <v>0</v>
      </c>
      <c r="E4">
        <v>1</v>
      </c>
      <c r="F4">
        <v>0</v>
      </c>
      <c r="G4">
        <v>0</v>
      </c>
      <c r="H4">
        <v>0</v>
      </c>
      <c r="I4" s="120">
        <f t="shared" si="0"/>
        <v>1</v>
      </c>
    </row>
    <row r="5" spans="1:9" x14ac:dyDescent="0.15">
      <c r="A5">
        <v>4</v>
      </c>
      <c r="B5" t="s">
        <v>179</v>
      </c>
      <c r="C5">
        <v>0.2</v>
      </c>
      <c r="D5">
        <v>0</v>
      </c>
      <c r="E5">
        <v>0.8</v>
      </c>
      <c r="F5">
        <v>0</v>
      </c>
      <c r="G5">
        <v>0</v>
      </c>
      <c r="H5">
        <v>0</v>
      </c>
      <c r="I5" s="120">
        <f t="shared" si="0"/>
        <v>1</v>
      </c>
    </row>
    <row r="6" spans="1:9" x14ac:dyDescent="0.15">
      <c r="A6">
        <v>5</v>
      </c>
      <c r="B6" t="s">
        <v>180</v>
      </c>
      <c r="C6">
        <v>0.2</v>
      </c>
      <c r="D6">
        <v>0</v>
      </c>
      <c r="E6">
        <v>0.8</v>
      </c>
      <c r="F6">
        <v>0</v>
      </c>
      <c r="G6">
        <v>0</v>
      </c>
      <c r="H6">
        <v>0</v>
      </c>
      <c r="I6" s="120">
        <f t="shared" si="0"/>
        <v>1</v>
      </c>
    </row>
    <row r="7" spans="1:9" x14ac:dyDescent="0.15">
      <c r="A7">
        <v>6</v>
      </c>
      <c r="B7" t="s">
        <v>181</v>
      </c>
      <c r="C7">
        <v>0.2</v>
      </c>
      <c r="D7">
        <v>0</v>
      </c>
      <c r="E7">
        <v>0.8</v>
      </c>
      <c r="F7">
        <v>0</v>
      </c>
      <c r="G7">
        <v>0</v>
      </c>
      <c r="H7">
        <v>0</v>
      </c>
      <c r="I7" s="120">
        <f t="shared" si="0"/>
        <v>1</v>
      </c>
    </row>
    <row r="8" spans="1:9" x14ac:dyDescent="0.15">
      <c r="A8">
        <v>7</v>
      </c>
      <c r="B8" t="s">
        <v>182</v>
      </c>
      <c r="C8">
        <v>0.2</v>
      </c>
      <c r="D8">
        <v>0</v>
      </c>
      <c r="E8">
        <v>0.8</v>
      </c>
      <c r="F8">
        <v>0</v>
      </c>
      <c r="G8">
        <v>0</v>
      </c>
      <c r="H8">
        <v>0</v>
      </c>
      <c r="I8" s="120">
        <f t="shared" si="0"/>
        <v>1</v>
      </c>
    </row>
    <row r="9" spans="1:9" x14ac:dyDescent="0.15">
      <c r="A9">
        <v>8</v>
      </c>
      <c r="B9" t="s">
        <v>183</v>
      </c>
      <c r="C9">
        <v>0.2</v>
      </c>
      <c r="D9">
        <v>0</v>
      </c>
      <c r="E9">
        <v>0.8</v>
      </c>
      <c r="F9">
        <v>0</v>
      </c>
      <c r="G9">
        <v>0</v>
      </c>
      <c r="H9">
        <v>0</v>
      </c>
      <c r="I9" s="120">
        <f t="shared" si="0"/>
        <v>1</v>
      </c>
    </row>
    <row r="10" spans="1:9" x14ac:dyDescent="0.15">
      <c r="A10">
        <v>9</v>
      </c>
      <c r="B10" t="s">
        <v>184</v>
      </c>
      <c r="C10">
        <v>0.2</v>
      </c>
      <c r="D10">
        <v>0</v>
      </c>
      <c r="E10">
        <v>0.8</v>
      </c>
      <c r="F10">
        <v>0</v>
      </c>
      <c r="G10">
        <v>0</v>
      </c>
      <c r="H10">
        <v>0</v>
      </c>
      <c r="I10" s="120">
        <f t="shared" si="0"/>
        <v>1</v>
      </c>
    </row>
    <row r="11" spans="1:9" x14ac:dyDescent="0.15">
      <c r="A11">
        <v>10</v>
      </c>
      <c r="B11" t="s">
        <v>185</v>
      </c>
      <c r="C11">
        <v>0.2</v>
      </c>
      <c r="D11">
        <v>0</v>
      </c>
      <c r="E11">
        <v>0.8</v>
      </c>
      <c r="F11">
        <v>0</v>
      </c>
      <c r="G11">
        <v>0</v>
      </c>
      <c r="H11">
        <v>0</v>
      </c>
      <c r="I11" s="120">
        <f t="shared" si="0"/>
        <v>1</v>
      </c>
    </row>
    <row r="12" spans="1:9" x14ac:dyDescent="0.15">
      <c r="A12">
        <v>11</v>
      </c>
      <c r="B12" t="s">
        <v>186</v>
      </c>
      <c r="C12">
        <v>0</v>
      </c>
      <c r="D12">
        <v>0</v>
      </c>
      <c r="E12">
        <v>1</v>
      </c>
      <c r="F12">
        <v>0</v>
      </c>
      <c r="G12">
        <v>0</v>
      </c>
      <c r="H12">
        <v>0</v>
      </c>
      <c r="I12" s="120">
        <f t="shared" si="0"/>
        <v>1</v>
      </c>
    </row>
    <row r="13" spans="1:9" x14ac:dyDescent="0.15">
      <c r="A13">
        <v>12</v>
      </c>
      <c r="B13" t="s">
        <v>187</v>
      </c>
      <c r="C13">
        <v>0</v>
      </c>
      <c r="D13">
        <v>0</v>
      </c>
      <c r="E13">
        <v>1</v>
      </c>
      <c r="F13">
        <v>0</v>
      </c>
      <c r="G13">
        <v>0</v>
      </c>
      <c r="H13">
        <v>0</v>
      </c>
      <c r="I13" s="120">
        <f t="shared" si="0"/>
        <v>1</v>
      </c>
    </row>
    <row r="14" spans="1:9" x14ac:dyDescent="0.15">
      <c r="A14">
        <v>13</v>
      </c>
      <c r="B14" t="s">
        <v>188</v>
      </c>
      <c r="C14">
        <v>0</v>
      </c>
      <c r="D14">
        <v>0</v>
      </c>
      <c r="E14">
        <v>1</v>
      </c>
      <c r="F14">
        <v>0</v>
      </c>
      <c r="G14">
        <v>0</v>
      </c>
      <c r="H14">
        <v>0</v>
      </c>
      <c r="I14" s="120">
        <f t="shared" si="0"/>
        <v>1</v>
      </c>
    </row>
    <row r="15" spans="1:9" x14ac:dyDescent="0.15">
      <c r="A15">
        <v>14</v>
      </c>
      <c r="B15" t="s">
        <v>189</v>
      </c>
      <c r="C15">
        <v>0.2</v>
      </c>
      <c r="D15">
        <v>0</v>
      </c>
      <c r="E15">
        <v>0.8</v>
      </c>
      <c r="F15">
        <v>0</v>
      </c>
      <c r="G15">
        <v>0</v>
      </c>
      <c r="H15">
        <v>0</v>
      </c>
      <c r="I15" s="120">
        <f t="shared" si="0"/>
        <v>1</v>
      </c>
    </row>
    <row r="16" spans="1:9" x14ac:dyDescent="0.15">
      <c r="A16">
        <v>15</v>
      </c>
      <c r="B16" t="s">
        <v>190</v>
      </c>
      <c r="C16">
        <v>0.2</v>
      </c>
      <c r="D16">
        <v>0</v>
      </c>
      <c r="E16">
        <v>0.8</v>
      </c>
      <c r="F16">
        <v>0</v>
      </c>
      <c r="G16">
        <v>0</v>
      </c>
      <c r="H16">
        <v>0</v>
      </c>
      <c r="I16" s="120">
        <f t="shared" si="0"/>
        <v>1</v>
      </c>
    </row>
    <row r="17" spans="1:9" x14ac:dyDescent="0.15">
      <c r="A17">
        <v>16</v>
      </c>
      <c r="B17" t="s">
        <v>191</v>
      </c>
      <c r="C17">
        <v>0</v>
      </c>
      <c r="D17" s="193">
        <v>0.25</v>
      </c>
      <c r="E17" s="193">
        <v>0</v>
      </c>
      <c r="F17" s="193">
        <v>0</v>
      </c>
      <c r="G17" s="193">
        <v>0.75</v>
      </c>
      <c r="H17">
        <v>0</v>
      </c>
      <c r="I17" s="120">
        <f t="shared" si="0"/>
        <v>1</v>
      </c>
    </row>
    <row r="18" spans="1:9" x14ac:dyDescent="0.15">
      <c r="A18">
        <v>17</v>
      </c>
      <c r="B18" t="s">
        <v>192</v>
      </c>
      <c r="C18">
        <v>0</v>
      </c>
      <c r="D18">
        <v>0</v>
      </c>
      <c r="E18">
        <v>0</v>
      </c>
      <c r="F18">
        <v>0</v>
      </c>
      <c r="G18">
        <v>1</v>
      </c>
      <c r="H18">
        <v>0</v>
      </c>
      <c r="I18" s="120">
        <f t="shared" si="0"/>
        <v>1</v>
      </c>
    </row>
    <row r="19" spans="1:9" x14ac:dyDescent="0.15">
      <c r="A19">
        <v>18</v>
      </c>
      <c r="B19" t="s">
        <v>193</v>
      </c>
      <c r="C19">
        <v>0</v>
      </c>
      <c r="D19" s="193">
        <v>0.25</v>
      </c>
      <c r="E19" s="193">
        <v>0</v>
      </c>
      <c r="F19" s="193">
        <v>0</v>
      </c>
      <c r="G19" s="193">
        <v>0.75</v>
      </c>
      <c r="H19">
        <v>0</v>
      </c>
      <c r="I19" s="120">
        <f t="shared" si="0"/>
        <v>1</v>
      </c>
    </row>
    <row r="20" spans="1:9" x14ac:dyDescent="0.15">
      <c r="A20">
        <v>19</v>
      </c>
      <c r="B20" t="s">
        <v>194</v>
      </c>
      <c r="C20">
        <v>0</v>
      </c>
      <c r="D20" s="193">
        <v>0.25</v>
      </c>
      <c r="E20" s="193">
        <v>0</v>
      </c>
      <c r="F20" s="193">
        <v>0</v>
      </c>
      <c r="G20" s="193">
        <v>0.75</v>
      </c>
      <c r="H20">
        <v>0</v>
      </c>
      <c r="I20" s="120">
        <f t="shared" si="0"/>
        <v>1</v>
      </c>
    </row>
    <row r="21" spans="1:9" x14ac:dyDescent="0.15">
      <c r="A21">
        <v>20</v>
      </c>
      <c r="B21" t="s">
        <v>195</v>
      </c>
      <c r="C21">
        <v>0</v>
      </c>
      <c r="D21">
        <v>0</v>
      </c>
      <c r="E21">
        <v>0</v>
      </c>
      <c r="F21">
        <v>0</v>
      </c>
      <c r="G21">
        <v>1</v>
      </c>
      <c r="H21">
        <v>0</v>
      </c>
      <c r="I21" s="120">
        <f t="shared" si="0"/>
        <v>1</v>
      </c>
    </row>
    <row r="22" spans="1:9" x14ac:dyDescent="0.15">
      <c r="A22">
        <v>21</v>
      </c>
      <c r="B22" t="s">
        <v>196</v>
      </c>
      <c r="C22">
        <v>0</v>
      </c>
      <c r="D22" s="193">
        <v>0.25</v>
      </c>
      <c r="E22" s="193">
        <v>0</v>
      </c>
      <c r="F22" s="193">
        <v>0</v>
      </c>
      <c r="G22" s="193">
        <v>0.75</v>
      </c>
      <c r="H22">
        <v>0</v>
      </c>
      <c r="I22" s="120">
        <f t="shared" si="0"/>
        <v>1</v>
      </c>
    </row>
    <row r="23" spans="1:9" x14ac:dyDescent="0.15">
      <c r="A23">
        <v>22</v>
      </c>
      <c r="B23" t="s">
        <v>197</v>
      </c>
      <c r="C23">
        <v>0</v>
      </c>
      <c r="D23" s="193">
        <v>0.25</v>
      </c>
      <c r="E23" s="193">
        <v>0</v>
      </c>
      <c r="F23" s="193">
        <v>0</v>
      </c>
      <c r="G23" s="193">
        <v>0.75</v>
      </c>
      <c r="H23">
        <v>0</v>
      </c>
      <c r="I23" s="120">
        <f t="shared" si="0"/>
        <v>1</v>
      </c>
    </row>
    <row r="24" spans="1:9" x14ac:dyDescent="0.15">
      <c r="A24">
        <v>23</v>
      </c>
      <c r="B24" t="s">
        <v>198</v>
      </c>
      <c r="C24">
        <v>0</v>
      </c>
      <c r="D24" s="193">
        <v>0.25</v>
      </c>
      <c r="E24" s="193">
        <v>0</v>
      </c>
      <c r="F24" s="193">
        <v>0</v>
      </c>
      <c r="G24" s="193">
        <v>0.75</v>
      </c>
      <c r="H24">
        <v>0</v>
      </c>
      <c r="I24" s="120">
        <f t="shared" si="0"/>
        <v>1</v>
      </c>
    </row>
    <row r="25" spans="1:9" x14ac:dyDescent="0.15">
      <c r="A25">
        <v>24</v>
      </c>
      <c r="B25" t="s">
        <v>273</v>
      </c>
      <c r="C25">
        <v>0</v>
      </c>
      <c r="D25">
        <v>0</v>
      </c>
      <c r="E25">
        <v>0</v>
      </c>
      <c r="F25">
        <v>0</v>
      </c>
      <c r="G25">
        <v>1</v>
      </c>
      <c r="H25">
        <v>0</v>
      </c>
      <c r="I25" s="120">
        <f t="shared" si="0"/>
        <v>1</v>
      </c>
    </row>
    <row r="26" spans="1:9" x14ac:dyDescent="0.15">
      <c r="A26">
        <v>25</v>
      </c>
      <c r="B26" t="s">
        <v>398</v>
      </c>
      <c r="C26">
        <v>0</v>
      </c>
      <c r="D26">
        <v>0</v>
      </c>
      <c r="E26">
        <v>0</v>
      </c>
      <c r="F26">
        <v>0</v>
      </c>
      <c r="G26">
        <v>1</v>
      </c>
      <c r="H26">
        <v>0</v>
      </c>
      <c r="I26" s="120">
        <f t="shared" si="0"/>
        <v>1</v>
      </c>
    </row>
    <row r="27" spans="1:9" x14ac:dyDescent="0.15">
      <c r="A27">
        <v>26</v>
      </c>
      <c r="B27" t="s">
        <v>399</v>
      </c>
      <c r="C27">
        <v>0</v>
      </c>
      <c r="D27">
        <v>0</v>
      </c>
      <c r="E27">
        <v>0</v>
      </c>
      <c r="F27">
        <v>0</v>
      </c>
      <c r="G27">
        <v>1</v>
      </c>
      <c r="H27">
        <v>0</v>
      </c>
      <c r="I27" s="120">
        <f t="shared" si="0"/>
        <v>1</v>
      </c>
    </row>
    <row r="28" spans="1:9" x14ac:dyDescent="0.15">
      <c r="A28">
        <v>27</v>
      </c>
      <c r="B28" t="s">
        <v>199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 s="120">
        <f t="shared" si="0"/>
        <v>1</v>
      </c>
    </row>
    <row r="29" spans="1:9" x14ac:dyDescent="0.15">
      <c r="A29">
        <v>28</v>
      </c>
      <c r="B29" t="s">
        <v>200</v>
      </c>
      <c r="C29">
        <v>0</v>
      </c>
      <c r="D29" s="193">
        <v>0.25</v>
      </c>
      <c r="E29" s="193">
        <v>0</v>
      </c>
      <c r="F29" s="193">
        <v>0</v>
      </c>
      <c r="G29" s="193">
        <v>0.75</v>
      </c>
      <c r="H29">
        <v>0</v>
      </c>
      <c r="I29" s="120">
        <f t="shared" si="0"/>
        <v>1</v>
      </c>
    </row>
    <row r="30" spans="1:9" x14ac:dyDescent="0.15">
      <c r="A30">
        <v>29</v>
      </c>
      <c r="B30" t="s">
        <v>201</v>
      </c>
      <c r="C30">
        <v>0</v>
      </c>
      <c r="D30">
        <v>0</v>
      </c>
      <c r="E30">
        <v>0</v>
      </c>
      <c r="F30">
        <v>0</v>
      </c>
      <c r="G30">
        <v>1</v>
      </c>
      <c r="H30">
        <v>0</v>
      </c>
      <c r="I30" s="120">
        <f t="shared" si="0"/>
        <v>1</v>
      </c>
    </row>
    <row r="31" spans="1:9" x14ac:dyDescent="0.15">
      <c r="A31">
        <v>30</v>
      </c>
      <c r="B31" t="s">
        <v>202</v>
      </c>
      <c r="C31">
        <v>0</v>
      </c>
      <c r="D31">
        <v>0</v>
      </c>
      <c r="E31">
        <v>0</v>
      </c>
      <c r="F31">
        <v>0</v>
      </c>
      <c r="G31">
        <v>1</v>
      </c>
      <c r="H31">
        <v>0</v>
      </c>
      <c r="I31" s="120">
        <f t="shared" si="0"/>
        <v>1</v>
      </c>
    </row>
    <row r="32" spans="1:9" x14ac:dyDescent="0.15">
      <c r="A32">
        <v>31</v>
      </c>
      <c r="B32" t="s">
        <v>203</v>
      </c>
      <c r="C32">
        <v>0</v>
      </c>
      <c r="D32">
        <v>0</v>
      </c>
      <c r="E32">
        <v>0</v>
      </c>
      <c r="F32">
        <v>0</v>
      </c>
      <c r="G32">
        <v>1</v>
      </c>
      <c r="H32">
        <v>0</v>
      </c>
      <c r="I32" s="120">
        <f t="shared" si="0"/>
        <v>1</v>
      </c>
    </row>
    <row r="33" spans="1:9" x14ac:dyDescent="0.15">
      <c r="A33">
        <v>32</v>
      </c>
      <c r="B33" t="s">
        <v>204</v>
      </c>
      <c r="C33">
        <v>0</v>
      </c>
      <c r="D33">
        <v>0</v>
      </c>
      <c r="E33">
        <v>0</v>
      </c>
      <c r="F33">
        <v>0</v>
      </c>
      <c r="G33">
        <v>1</v>
      </c>
      <c r="H33">
        <v>0</v>
      </c>
      <c r="I33" s="120">
        <f t="shared" si="0"/>
        <v>1</v>
      </c>
    </row>
    <row r="34" spans="1:9" x14ac:dyDescent="0.15">
      <c r="A34">
        <v>33</v>
      </c>
      <c r="B34" t="s">
        <v>205</v>
      </c>
      <c r="C34">
        <v>0</v>
      </c>
      <c r="D34">
        <v>0</v>
      </c>
      <c r="E34">
        <v>0</v>
      </c>
      <c r="F34">
        <v>0</v>
      </c>
      <c r="G34">
        <v>1</v>
      </c>
      <c r="H34">
        <v>0</v>
      </c>
      <c r="I34" s="120">
        <f t="shared" si="0"/>
        <v>1</v>
      </c>
    </row>
    <row r="35" spans="1:9" x14ac:dyDescent="0.15">
      <c r="A35">
        <v>34</v>
      </c>
      <c r="B35" t="s">
        <v>206</v>
      </c>
      <c r="C35">
        <v>0</v>
      </c>
      <c r="D35">
        <v>0</v>
      </c>
      <c r="E35">
        <v>0</v>
      </c>
      <c r="F35">
        <v>0</v>
      </c>
      <c r="G35">
        <v>1</v>
      </c>
      <c r="H35">
        <v>0</v>
      </c>
      <c r="I35" s="120">
        <f t="shared" si="0"/>
        <v>1</v>
      </c>
    </row>
    <row r="36" spans="1:9" x14ac:dyDescent="0.15">
      <c r="A36">
        <v>35</v>
      </c>
      <c r="B36" t="s">
        <v>207</v>
      </c>
      <c r="C36">
        <v>0</v>
      </c>
      <c r="D36">
        <v>0</v>
      </c>
      <c r="E36">
        <v>0</v>
      </c>
      <c r="F36">
        <v>0</v>
      </c>
      <c r="G36">
        <v>1</v>
      </c>
      <c r="H36">
        <v>0</v>
      </c>
      <c r="I36" s="120">
        <f t="shared" si="0"/>
        <v>1</v>
      </c>
    </row>
    <row r="37" spans="1:9" x14ac:dyDescent="0.15">
      <c r="A37">
        <v>36</v>
      </c>
      <c r="B37" t="s">
        <v>208</v>
      </c>
      <c r="C37">
        <v>0</v>
      </c>
      <c r="D37">
        <v>0</v>
      </c>
      <c r="E37">
        <v>0</v>
      </c>
      <c r="F37">
        <v>0</v>
      </c>
      <c r="G37">
        <v>1</v>
      </c>
      <c r="H37">
        <v>0</v>
      </c>
      <c r="I37" s="120">
        <f t="shared" si="0"/>
        <v>1</v>
      </c>
    </row>
    <row r="38" spans="1:9" x14ac:dyDescent="0.15">
      <c r="A38">
        <v>37</v>
      </c>
      <c r="B38" t="s">
        <v>209</v>
      </c>
      <c r="C38">
        <v>0</v>
      </c>
      <c r="D38">
        <v>0</v>
      </c>
      <c r="E38">
        <v>0</v>
      </c>
      <c r="F38">
        <v>0</v>
      </c>
      <c r="G38">
        <v>1</v>
      </c>
      <c r="H38">
        <v>0</v>
      </c>
      <c r="I38" s="120">
        <f t="shared" si="0"/>
        <v>1</v>
      </c>
    </row>
    <row r="39" spans="1:9" x14ac:dyDescent="0.15">
      <c r="A39">
        <v>38</v>
      </c>
      <c r="B39" t="s">
        <v>210</v>
      </c>
      <c r="C39">
        <v>0</v>
      </c>
      <c r="D39">
        <v>0</v>
      </c>
      <c r="E39">
        <v>0</v>
      </c>
      <c r="F39">
        <v>0</v>
      </c>
      <c r="G39">
        <v>1</v>
      </c>
      <c r="H39">
        <v>0</v>
      </c>
      <c r="I39" s="120">
        <f t="shared" si="0"/>
        <v>1</v>
      </c>
    </row>
    <row r="40" spans="1:9" x14ac:dyDescent="0.15">
      <c r="A40">
        <v>39</v>
      </c>
      <c r="B40" t="s">
        <v>211</v>
      </c>
      <c r="C40">
        <v>0</v>
      </c>
      <c r="D40">
        <v>0</v>
      </c>
      <c r="E40">
        <v>0</v>
      </c>
      <c r="F40">
        <v>0</v>
      </c>
      <c r="G40">
        <v>1</v>
      </c>
      <c r="H40">
        <v>0</v>
      </c>
      <c r="I40" s="120">
        <f t="shared" si="0"/>
        <v>1</v>
      </c>
    </row>
    <row r="41" spans="1:9" x14ac:dyDescent="0.15">
      <c r="A41">
        <v>40</v>
      </c>
      <c r="B41" t="s">
        <v>212</v>
      </c>
      <c r="C41">
        <v>0</v>
      </c>
      <c r="D41" s="193">
        <v>0.25</v>
      </c>
      <c r="E41" s="193">
        <v>0</v>
      </c>
      <c r="F41" s="193">
        <v>0</v>
      </c>
      <c r="G41" s="193">
        <v>0.75</v>
      </c>
      <c r="H41">
        <v>0</v>
      </c>
      <c r="I41" s="120">
        <f t="shared" si="0"/>
        <v>1</v>
      </c>
    </row>
    <row r="42" spans="1:9" x14ac:dyDescent="0.15">
      <c r="A42">
        <v>41</v>
      </c>
      <c r="B42" t="s">
        <v>213</v>
      </c>
      <c r="C42">
        <v>0</v>
      </c>
      <c r="D42" s="193">
        <v>0.25</v>
      </c>
      <c r="E42" s="193">
        <v>0</v>
      </c>
      <c r="F42" s="193">
        <v>0</v>
      </c>
      <c r="G42" s="193">
        <v>0.75</v>
      </c>
      <c r="H42">
        <v>0</v>
      </c>
      <c r="I42" s="120">
        <f t="shared" si="0"/>
        <v>1</v>
      </c>
    </row>
    <row r="43" spans="1:9" x14ac:dyDescent="0.15">
      <c r="A43">
        <v>42</v>
      </c>
      <c r="B43" t="s">
        <v>214</v>
      </c>
      <c r="C43">
        <v>0</v>
      </c>
      <c r="D43" s="193">
        <v>0.25</v>
      </c>
      <c r="E43" s="193">
        <v>0</v>
      </c>
      <c r="F43" s="193">
        <v>0</v>
      </c>
      <c r="G43" s="193">
        <v>0.75</v>
      </c>
      <c r="H43">
        <v>0</v>
      </c>
      <c r="I43" s="120">
        <f t="shared" si="0"/>
        <v>1</v>
      </c>
    </row>
    <row r="44" spans="1:9" x14ac:dyDescent="0.15">
      <c r="A44">
        <v>43</v>
      </c>
      <c r="B44" t="s">
        <v>215</v>
      </c>
      <c r="C44">
        <v>0</v>
      </c>
      <c r="D44">
        <v>0</v>
      </c>
      <c r="E44">
        <v>0</v>
      </c>
      <c r="F44">
        <v>0</v>
      </c>
      <c r="G44">
        <v>1</v>
      </c>
      <c r="H44">
        <v>0</v>
      </c>
      <c r="I44" s="120">
        <f t="shared" si="0"/>
        <v>1</v>
      </c>
    </row>
    <row r="45" spans="1:9" x14ac:dyDescent="0.15">
      <c r="A45">
        <v>44</v>
      </c>
      <c r="B45" t="s">
        <v>216</v>
      </c>
      <c r="C45">
        <v>0</v>
      </c>
      <c r="D45" s="193">
        <v>0.25</v>
      </c>
      <c r="E45" s="193">
        <v>0</v>
      </c>
      <c r="F45" s="193">
        <v>0</v>
      </c>
      <c r="G45" s="193">
        <v>0.75</v>
      </c>
      <c r="H45">
        <v>0</v>
      </c>
      <c r="I45" s="120">
        <f t="shared" si="0"/>
        <v>1</v>
      </c>
    </row>
    <row r="46" spans="1:9" x14ac:dyDescent="0.15">
      <c r="A46">
        <v>45</v>
      </c>
      <c r="B46" t="s">
        <v>217</v>
      </c>
      <c r="C46">
        <v>0</v>
      </c>
      <c r="D46">
        <v>0</v>
      </c>
      <c r="E46">
        <v>0</v>
      </c>
      <c r="F46">
        <v>0</v>
      </c>
      <c r="G46">
        <v>1</v>
      </c>
      <c r="H46">
        <v>0</v>
      </c>
      <c r="I46" s="120">
        <f t="shared" si="0"/>
        <v>1</v>
      </c>
    </row>
    <row r="47" spans="1:9" x14ac:dyDescent="0.15">
      <c r="A47">
        <v>46</v>
      </c>
      <c r="B47" t="s">
        <v>218</v>
      </c>
      <c r="C47">
        <v>0</v>
      </c>
      <c r="D47" s="193">
        <v>0.25</v>
      </c>
      <c r="E47" s="193">
        <v>0</v>
      </c>
      <c r="F47" s="193">
        <v>0</v>
      </c>
      <c r="G47" s="193">
        <v>0.75</v>
      </c>
      <c r="H47">
        <v>0</v>
      </c>
      <c r="I47" s="120">
        <f t="shared" si="0"/>
        <v>1</v>
      </c>
    </row>
    <row r="48" spans="1:9" x14ac:dyDescent="0.15">
      <c r="A48">
        <v>47</v>
      </c>
      <c r="B48" t="s">
        <v>219</v>
      </c>
      <c r="C48">
        <v>0</v>
      </c>
      <c r="D48" s="193">
        <v>0.25</v>
      </c>
      <c r="E48" s="193">
        <v>0</v>
      </c>
      <c r="F48" s="193">
        <v>0</v>
      </c>
      <c r="G48" s="193">
        <v>0.75</v>
      </c>
      <c r="H48">
        <v>0</v>
      </c>
      <c r="I48" s="120">
        <f t="shared" si="0"/>
        <v>1</v>
      </c>
    </row>
    <row r="49" spans="1:9" x14ac:dyDescent="0.15">
      <c r="A49">
        <v>48</v>
      </c>
      <c r="B49" t="s">
        <v>220</v>
      </c>
      <c r="C49">
        <v>0</v>
      </c>
      <c r="D49" s="193">
        <v>0.25</v>
      </c>
      <c r="E49" s="193">
        <v>0</v>
      </c>
      <c r="F49" s="193">
        <v>0</v>
      </c>
      <c r="G49" s="193">
        <v>0.75</v>
      </c>
      <c r="H49">
        <v>0</v>
      </c>
      <c r="I49" s="120">
        <f t="shared" si="0"/>
        <v>1</v>
      </c>
    </row>
    <row r="50" spans="1:9" x14ac:dyDescent="0.15">
      <c r="A50">
        <v>49</v>
      </c>
      <c r="B50" t="s">
        <v>221</v>
      </c>
      <c r="C50">
        <v>0</v>
      </c>
      <c r="D50">
        <v>0</v>
      </c>
      <c r="E50">
        <v>0</v>
      </c>
      <c r="F50">
        <v>0</v>
      </c>
      <c r="G50">
        <v>1</v>
      </c>
      <c r="H50">
        <v>0</v>
      </c>
      <c r="I50" s="120">
        <f t="shared" si="0"/>
        <v>1</v>
      </c>
    </row>
    <row r="51" spans="1:9" ht="15" customHeight="1" x14ac:dyDescent="0.15">
      <c r="A51">
        <v>50</v>
      </c>
      <c r="B51" t="s">
        <v>222</v>
      </c>
      <c r="C51">
        <v>0</v>
      </c>
      <c r="D51">
        <v>0</v>
      </c>
      <c r="E51">
        <v>0</v>
      </c>
      <c r="F51">
        <v>0</v>
      </c>
      <c r="G51">
        <v>1</v>
      </c>
      <c r="H51">
        <v>0</v>
      </c>
      <c r="I51" s="120">
        <f t="shared" si="0"/>
        <v>1</v>
      </c>
    </row>
    <row r="52" spans="1:9" ht="15" customHeight="1" x14ac:dyDescent="0.15">
      <c r="A52">
        <v>51</v>
      </c>
      <c r="B52" t="s">
        <v>223</v>
      </c>
      <c r="C52">
        <v>0</v>
      </c>
      <c r="D52">
        <v>0</v>
      </c>
      <c r="E52">
        <v>0</v>
      </c>
      <c r="F52">
        <v>0</v>
      </c>
      <c r="G52">
        <v>1</v>
      </c>
      <c r="H52">
        <v>0</v>
      </c>
      <c r="I52" s="120">
        <f t="shared" si="0"/>
        <v>1</v>
      </c>
    </row>
    <row r="53" spans="1:9" ht="15" customHeight="1" x14ac:dyDescent="0.15">
      <c r="A53">
        <v>52</v>
      </c>
      <c r="B53" t="s">
        <v>224</v>
      </c>
      <c r="C53">
        <v>0</v>
      </c>
      <c r="D53">
        <v>0</v>
      </c>
      <c r="E53">
        <v>0</v>
      </c>
      <c r="F53">
        <v>0</v>
      </c>
      <c r="G53">
        <v>1</v>
      </c>
      <c r="H53">
        <v>0</v>
      </c>
      <c r="I53" s="120">
        <f t="shared" si="0"/>
        <v>1</v>
      </c>
    </row>
    <row r="54" spans="1:9" ht="15" customHeight="1" x14ac:dyDescent="0.15">
      <c r="A54">
        <v>53</v>
      </c>
      <c r="B54" t="s">
        <v>225</v>
      </c>
      <c r="C54">
        <v>0</v>
      </c>
      <c r="D54">
        <v>0</v>
      </c>
      <c r="E54">
        <v>0</v>
      </c>
      <c r="F54">
        <v>0</v>
      </c>
      <c r="G54">
        <v>1</v>
      </c>
      <c r="H54">
        <v>0</v>
      </c>
      <c r="I54" s="120">
        <f t="shared" si="0"/>
        <v>1</v>
      </c>
    </row>
    <row r="55" spans="1:9" ht="15" customHeight="1" x14ac:dyDescent="0.15">
      <c r="A55">
        <v>54</v>
      </c>
      <c r="B55" t="s">
        <v>226</v>
      </c>
      <c r="C55">
        <v>0</v>
      </c>
      <c r="D55">
        <v>0</v>
      </c>
      <c r="E55">
        <v>0</v>
      </c>
      <c r="F55">
        <v>0</v>
      </c>
      <c r="G55">
        <v>1</v>
      </c>
      <c r="H55">
        <v>0</v>
      </c>
      <c r="I55" s="120">
        <f t="shared" si="0"/>
        <v>1</v>
      </c>
    </row>
    <row r="56" spans="1:9" ht="15" customHeight="1" x14ac:dyDescent="0.15">
      <c r="A56">
        <v>55</v>
      </c>
      <c r="B56" t="s">
        <v>227</v>
      </c>
      <c r="C56">
        <v>0</v>
      </c>
      <c r="D56">
        <v>0</v>
      </c>
      <c r="E56">
        <v>0</v>
      </c>
      <c r="F56">
        <v>0</v>
      </c>
      <c r="G56">
        <v>1</v>
      </c>
      <c r="H56">
        <v>0</v>
      </c>
      <c r="I56" s="120">
        <f t="shared" si="0"/>
        <v>1</v>
      </c>
    </row>
    <row r="57" spans="1:9" ht="15" customHeight="1" x14ac:dyDescent="0.15">
      <c r="A57">
        <v>56</v>
      </c>
      <c r="B57" t="s">
        <v>228</v>
      </c>
      <c r="C57">
        <v>0</v>
      </c>
      <c r="D57">
        <v>0</v>
      </c>
      <c r="E57">
        <v>0</v>
      </c>
      <c r="F57">
        <v>0</v>
      </c>
      <c r="G57">
        <v>1</v>
      </c>
      <c r="H57">
        <v>0</v>
      </c>
      <c r="I57" s="120">
        <f t="shared" si="0"/>
        <v>1</v>
      </c>
    </row>
    <row r="58" spans="1:9" ht="15" customHeight="1" x14ac:dyDescent="0.15">
      <c r="A58">
        <v>57</v>
      </c>
      <c r="B58" t="s">
        <v>229</v>
      </c>
      <c r="C58">
        <v>0</v>
      </c>
      <c r="D58">
        <v>0</v>
      </c>
      <c r="E58">
        <v>0</v>
      </c>
      <c r="F58">
        <v>0</v>
      </c>
      <c r="G58">
        <v>1</v>
      </c>
      <c r="H58">
        <v>0</v>
      </c>
      <c r="I58" s="120">
        <f t="shared" si="0"/>
        <v>1</v>
      </c>
    </row>
    <row r="59" spans="1:9" ht="15" customHeight="1" x14ac:dyDescent="0.15">
      <c r="A59">
        <v>58</v>
      </c>
      <c r="B59" t="s">
        <v>230</v>
      </c>
      <c r="C59">
        <v>0</v>
      </c>
      <c r="D59">
        <v>0</v>
      </c>
      <c r="E59">
        <v>0</v>
      </c>
      <c r="F59">
        <v>0</v>
      </c>
      <c r="G59">
        <v>1</v>
      </c>
      <c r="H59">
        <v>0</v>
      </c>
      <c r="I59" s="120">
        <f t="shared" si="0"/>
        <v>1</v>
      </c>
    </row>
    <row r="60" spans="1:9" ht="15" customHeight="1" x14ac:dyDescent="0.15">
      <c r="A60">
        <v>59</v>
      </c>
      <c r="B60" t="s">
        <v>231</v>
      </c>
      <c r="C60">
        <v>0</v>
      </c>
      <c r="D60">
        <v>0</v>
      </c>
      <c r="E60">
        <v>0</v>
      </c>
      <c r="F60">
        <v>0</v>
      </c>
      <c r="G60">
        <v>1</v>
      </c>
      <c r="H60">
        <v>0</v>
      </c>
      <c r="I60" s="120">
        <f t="shared" si="0"/>
        <v>1</v>
      </c>
    </row>
    <row r="61" spans="1:9" ht="15" customHeight="1" x14ac:dyDescent="0.15">
      <c r="A61">
        <v>60</v>
      </c>
      <c r="B61" t="s">
        <v>232</v>
      </c>
      <c r="C61">
        <v>0</v>
      </c>
      <c r="D61">
        <v>0</v>
      </c>
      <c r="E61">
        <v>0</v>
      </c>
      <c r="F61">
        <v>0</v>
      </c>
      <c r="G61">
        <v>1</v>
      </c>
      <c r="H61">
        <v>0</v>
      </c>
      <c r="I61" s="120">
        <f t="shared" si="0"/>
        <v>1</v>
      </c>
    </row>
    <row r="62" spans="1:9" ht="15" customHeight="1" x14ac:dyDescent="0.15">
      <c r="A62">
        <v>61</v>
      </c>
      <c r="B62" t="s">
        <v>233</v>
      </c>
      <c r="C62">
        <v>0</v>
      </c>
      <c r="D62">
        <v>0</v>
      </c>
      <c r="E62">
        <v>0</v>
      </c>
      <c r="F62">
        <v>0</v>
      </c>
      <c r="G62">
        <v>1</v>
      </c>
      <c r="H62">
        <v>0</v>
      </c>
      <c r="I62" s="120">
        <f t="shared" si="0"/>
        <v>1</v>
      </c>
    </row>
    <row r="63" spans="1:9" ht="15" customHeight="1" x14ac:dyDescent="0.15">
      <c r="A63">
        <v>62</v>
      </c>
      <c r="B63" t="s">
        <v>234</v>
      </c>
      <c r="C63">
        <v>0</v>
      </c>
      <c r="D63">
        <v>0</v>
      </c>
      <c r="E63">
        <v>0</v>
      </c>
      <c r="F63">
        <v>0</v>
      </c>
      <c r="G63">
        <v>1</v>
      </c>
      <c r="H63">
        <v>0</v>
      </c>
      <c r="I63" s="120">
        <f t="shared" si="0"/>
        <v>1</v>
      </c>
    </row>
    <row r="64" spans="1:9" ht="15" customHeight="1" x14ac:dyDescent="0.15">
      <c r="A64">
        <v>63</v>
      </c>
      <c r="B64" t="s">
        <v>235</v>
      </c>
      <c r="C64">
        <v>0</v>
      </c>
      <c r="D64">
        <v>0</v>
      </c>
      <c r="E64">
        <v>0</v>
      </c>
      <c r="F64">
        <v>0</v>
      </c>
      <c r="G64">
        <v>1</v>
      </c>
      <c r="H64">
        <v>0</v>
      </c>
      <c r="I64" s="120">
        <f t="shared" si="0"/>
        <v>1</v>
      </c>
    </row>
    <row r="65" spans="1:9" ht="15" customHeight="1" x14ac:dyDescent="0.15">
      <c r="A65">
        <v>64</v>
      </c>
      <c r="B65" t="s">
        <v>236</v>
      </c>
      <c r="C65">
        <v>0</v>
      </c>
      <c r="D65">
        <v>0</v>
      </c>
      <c r="E65">
        <v>0</v>
      </c>
      <c r="F65">
        <v>0</v>
      </c>
      <c r="G65">
        <v>1</v>
      </c>
      <c r="H65">
        <v>0</v>
      </c>
      <c r="I65" s="120">
        <f t="shared" si="0"/>
        <v>1</v>
      </c>
    </row>
    <row r="66" spans="1:9" ht="15" customHeight="1" x14ac:dyDescent="0.15">
      <c r="A66">
        <v>65</v>
      </c>
      <c r="B66" t="s">
        <v>237</v>
      </c>
      <c r="C66">
        <v>0</v>
      </c>
      <c r="D66">
        <v>0</v>
      </c>
      <c r="E66">
        <v>0</v>
      </c>
      <c r="F66">
        <v>0</v>
      </c>
      <c r="G66">
        <v>1</v>
      </c>
      <c r="H66">
        <v>0</v>
      </c>
      <c r="I66" s="120">
        <f t="shared" si="0"/>
        <v>1</v>
      </c>
    </row>
    <row r="67" spans="1:9" ht="15" customHeight="1" x14ac:dyDescent="0.15">
      <c r="A67">
        <v>66</v>
      </c>
      <c r="B67" t="s">
        <v>238</v>
      </c>
      <c r="C67">
        <v>0</v>
      </c>
      <c r="D67">
        <v>0</v>
      </c>
      <c r="E67">
        <v>0</v>
      </c>
      <c r="F67">
        <v>0</v>
      </c>
      <c r="G67">
        <v>1</v>
      </c>
      <c r="H67">
        <v>0</v>
      </c>
      <c r="I67" s="120">
        <f t="shared" ref="I67:I101" si="1">SUM(C67:H67)</f>
        <v>1</v>
      </c>
    </row>
    <row r="68" spans="1:9" ht="15" customHeight="1" x14ac:dyDescent="0.15">
      <c r="A68">
        <v>67</v>
      </c>
      <c r="B68" t="s">
        <v>239</v>
      </c>
      <c r="C68">
        <v>0</v>
      </c>
      <c r="D68">
        <v>0</v>
      </c>
      <c r="E68">
        <v>0</v>
      </c>
      <c r="F68">
        <v>0</v>
      </c>
      <c r="G68">
        <v>1</v>
      </c>
      <c r="H68">
        <v>0</v>
      </c>
      <c r="I68" s="120">
        <f t="shared" si="1"/>
        <v>1</v>
      </c>
    </row>
    <row r="69" spans="1:9" ht="15" customHeight="1" x14ac:dyDescent="0.15">
      <c r="A69">
        <v>68</v>
      </c>
      <c r="B69" t="s">
        <v>240</v>
      </c>
      <c r="C69">
        <v>0</v>
      </c>
      <c r="D69">
        <v>0</v>
      </c>
      <c r="E69">
        <v>0</v>
      </c>
      <c r="F69">
        <v>0</v>
      </c>
      <c r="G69">
        <v>1</v>
      </c>
      <c r="H69">
        <v>0</v>
      </c>
      <c r="I69" s="120">
        <f t="shared" si="1"/>
        <v>1</v>
      </c>
    </row>
    <row r="70" spans="1:9" ht="15" customHeight="1" x14ac:dyDescent="0.15">
      <c r="A70">
        <v>69</v>
      </c>
      <c r="B70" t="s">
        <v>241</v>
      </c>
      <c r="C70">
        <v>0</v>
      </c>
      <c r="D70">
        <v>0</v>
      </c>
      <c r="E70">
        <v>0</v>
      </c>
      <c r="F70">
        <v>0</v>
      </c>
      <c r="G70">
        <v>1</v>
      </c>
      <c r="H70">
        <v>0</v>
      </c>
      <c r="I70" s="120">
        <f t="shared" si="1"/>
        <v>1</v>
      </c>
    </row>
    <row r="71" spans="1:9" ht="15" customHeight="1" x14ac:dyDescent="0.15">
      <c r="A71">
        <v>70</v>
      </c>
      <c r="B71" t="s">
        <v>242</v>
      </c>
      <c r="C71">
        <v>0</v>
      </c>
      <c r="D71">
        <v>0</v>
      </c>
      <c r="E71">
        <v>0</v>
      </c>
      <c r="F71">
        <v>0</v>
      </c>
      <c r="G71">
        <v>1</v>
      </c>
      <c r="H71">
        <v>0</v>
      </c>
      <c r="I71" s="120">
        <f t="shared" si="1"/>
        <v>1</v>
      </c>
    </row>
    <row r="72" spans="1:9" ht="15" customHeight="1" x14ac:dyDescent="0.15">
      <c r="A72">
        <v>71</v>
      </c>
      <c r="B72" t="s">
        <v>243</v>
      </c>
      <c r="C72">
        <v>0</v>
      </c>
      <c r="D72">
        <v>0</v>
      </c>
      <c r="E72">
        <v>0</v>
      </c>
      <c r="F72">
        <v>0</v>
      </c>
      <c r="G72">
        <v>1</v>
      </c>
      <c r="H72">
        <v>0</v>
      </c>
      <c r="I72" s="120">
        <f t="shared" si="1"/>
        <v>1</v>
      </c>
    </row>
    <row r="73" spans="1:9" ht="15" customHeight="1" x14ac:dyDescent="0.15">
      <c r="A73">
        <v>72</v>
      </c>
      <c r="B73" t="s">
        <v>244</v>
      </c>
      <c r="C73">
        <v>0</v>
      </c>
      <c r="D73">
        <v>0</v>
      </c>
      <c r="E73">
        <v>0</v>
      </c>
      <c r="F73">
        <v>0</v>
      </c>
      <c r="G73">
        <v>1</v>
      </c>
      <c r="H73">
        <v>0</v>
      </c>
      <c r="I73" s="120">
        <f t="shared" si="1"/>
        <v>1</v>
      </c>
    </row>
    <row r="74" spans="1:9" ht="15" customHeight="1" x14ac:dyDescent="0.15">
      <c r="A74">
        <v>73</v>
      </c>
      <c r="B74" t="s">
        <v>245</v>
      </c>
      <c r="C74">
        <v>0</v>
      </c>
      <c r="D74">
        <v>0</v>
      </c>
      <c r="E74">
        <v>0</v>
      </c>
      <c r="F74">
        <v>0</v>
      </c>
      <c r="G74">
        <v>1</v>
      </c>
      <c r="H74">
        <v>0</v>
      </c>
      <c r="I74" s="120">
        <f t="shared" si="1"/>
        <v>1</v>
      </c>
    </row>
    <row r="75" spans="1:9" ht="15" customHeight="1" x14ac:dyDescent="0.15">
      <c r="A75">
        <v>74</v>
      </c>
      <c r="B75" t="s">
        <v>246</v>
      </c>
      <c r="C75">
        <v>0</v>
      </c>
      <c r="D75">
        <v>0</v>
      </c>
      <c r="E75">
        <v>0</v>
      </c>
      <c r="F75">
        <v>0</v>
      </c>
      <c r="G75">
        <v>1</v>
      </c>
      <c r="H75">
        <v>0</v>
      </c>
      <c r="I75" s="120">
        <f t="shared" si="1"/>
        <v>1</v>
      </c>
    </row>
    <row r="76" spans="1:9" ht="15" customHeight="1" x14ac:dyDescent="0.15">
      <c r="A76">
        <v>75</v>
      </c>
      <c r="B76" t="s">
        <v>247</v>
      </c>
      <c r="C76">
        <v>0</v>
      </c>
      <c r="D76">
        <v>0</v>
      </c>
      <c r="E76">
        <v>0</v>
      </c>
      <c r="F76">
        <v>0</v>
      </c>
      <c r="G76">
        <v>1</v>
      </c>
      <c r="H76">
        <v>0</v>
      </c>
      <c r="I76" s="120">
        <f t="shared" si="1"/>
        <v>1</v>
      </c>
    </row>
    <row r="77" spans="1:9" ht="15" customHeight="1" x14ac:dyDescent="0.15">
      <c r="A77">
        <v>76</v>
      </c>
      <c r="B77" t="s">
        <v>248</v>
      </c>
      <c r="C77">
        <v>0</v>
      </c>
      <c r="D77">
        <v>0</v>
      </c>
      <c r="E77">
        <v>0</v>
      </c>
      <c r="F77">
        <v>0</v>
      </c>
      <c r="G77">
        <v>1</v>
      </c>
      <c r="H77">
        <v>0</v>
      </c>
      <c r="I77" s="120">
        <f t="shared" si="1"/>
        <v>1</v>
      </c>
    </row>
    <row r="78" spans="1:9" ht="15" customHeight="1" x14ac:dyDescent="0.15">
      <c r="A78">
        <v>77</v>
      </c>
      <c r="B78" t="s">
        <v>249</v>
      </c>
      <c r="C78">
        <v>0</v>
      </c>
      <c r="D78">
        <v>0</v>
      </c>
      <c r="E78">
        <v>0</v>
      </c>
      <c r="F78">
        <v>0</v>
      </c>
      <c r="G78">
        <v>1</v>
      </c>
      <c r="H78">
        <v>0</v>
      </c>
      <c r="I78" s="120">
        <f t="shared" si="1"/>
        <v>1</v>
      </c>
    </row>
    <row r="79" spans="1:9" ht="15" customHeight="1" x14ac:dyDescent="0.15">
      <c r="A79">
        <v>78</v>
      </c>
      <c r="B79" t="s">
        <v>250</v>
      </c>
      <c r="C79">
        <v>0</v>
      </c>
      <c r="D79">
        <v>0</v>
      </c>
      <c r="E79">
        <v>0</v>
      </c>
      <c r="F79">
        <v>0</v>
      </c>
      <c r="G79">
        <v>1</v>
      </c>
      <c r="H79">
        <v>0</v>
      </c>
      <c r="I79" s="120">
        <f t="shared" si="1"/>
        <v>1</v>
      </c>
    </row>
    <row r="80" spans="1:9" ht="15" customHeight="1" x14ac:dyDescent="0.15">
      <c r="A80">
        <v>79</v>
      </c>
      <c r="B80" t="s">
        <v>251</v>
      </c>
      <c r="C80">
        <v>0</v>
      </c>
      <c r="D80">
        <v>0</v>
      </c>
      <c r="E80">
        <v>0</v>
      </c>
      <c r="F80">
        <v>0</v>
      </c>
      <c r="G80">
        <v>1</v>
      </c>
      <c r="H80">
        <v>0</v>
      </c>
      <c r="I80" s="120">
        <f t="shared" si="1"/>
        <v>1</v>
      </c>
    </row>
    <row r="81" spans="1:9" ht="15" customHeight="1" x14ac:dyDescent="0.15">
      <c r="A81">
        <v>80</v>
      </c>
      <c r="B81" t="s">
        <v>252</v>
      </c>
      <c r="C81">
        <v>0</v>
      </c>
      <c r="D81">
        <v>0</v>
      </c>
      <c r="E81">
        <v>0</v>
      </c>
      <c r="F81">
        <v>0</v>
      </c>
      <c r="G81">
        <v>1</v>
      </c>
      <c r="H81">
        <v>0</v>
      </c>
      <c r="I81" s="120">
        <f t="shared" si="1"/>
        <v>1</v>
      </c>
    </row>
    <row r="82" spans="1:9" ht="15" customHeight="1" x14ac:dyDescent="0.15">
      <c r="A82">
        <v>81</v>
      </c>
      <c r="B82" t="s">
        <v>253</v>
      </c>
      <c r="C82">
        <v>0</v>
      </c>
      <c r="D82">
        <v>0</v>
      </c>
      <c r="E82">
        <v>0</v>
      </c>
      <c r="F82">
        <v>0</v>
      </c>
      <c r="G82">
        <v>1</v>
      </c>
      <c r="H82">
        <v>0</v>
      </c>
      <c r="I82" s="120">
        <f t="shared" si="1"/>
        <v>1</v>
      </c>
    </row>
    <row r="83" spans="1:9" ht="15" customHeight="1" x14ac:dyDescent="0.15">
      <c r="A83">
        <v>82</v>
      </c>
      <c r="B83" t="s">
        <v>254</v>
      </c>
      <c r="C83">
        <v>0</v>
      </c>
      <c r="D83">
        <v>0</v>
      </c>
      <c r="E83">
        <v>0</v>
      </c>
      <c r="F83">
        <v>0</v>
      </c>
      <c r="G83">
        <v>1</v>
      </c>
      <c r="H83">
        <v>0</v>
      </c>
      <c r="I83" s="120">
        <f t="shared" si="1"/>
        <v>1</v>
      </c>
    </row>
    <row r="84" spans="1:9" ht="15" customHeight="1" x14ac:dyDescent="0.15">
      <c r="A84">
        <v>83</v>
      </c>
      <c r="B84" t="s">
        <v>255</v>
      </c>
      <c r="C84">
        <v>0</v>
      </c>
      <c r="D84">
        <v>0</v>
      </c>
      <c r="E84">
        <v>0</v>
      </c>
      <c r="F84">
        <v>0</v>
      </c>
      <c r="G84">
        <v>0</v>
      </c>
      <c r="H84">
        <v>1</v>
      </c>
      <c r="I84" s="120">
        <f t="shared" si="1"/>
        <v>1</v>
      </c>
    </row>
    <row r="85" spans="1:9" ht="15" customHeight="1" x14ac:dyDescent="0.15">
      <c r="A85">
        <f t="shared" ref="A85:A101" si="2">A84+1</f>
        <v>84</v>
      </c>
      <c r="B85" t="s">
        <v>256</v>
      </c>
      <c r="C85">
        <v>0</v>
      </c>
      <c r="D85">
        <v>0</v>
      </c>
      <c r="E85">
        <v>0</v>
      </c>
      <c r="F85">
        <v>1</v>
      </c>
      <c r="G85">
        <v>0</v>
      </c>
      <c r="H85">
        <v>0</v>
      </c>
      <c r="I85" s="120">
        <f t="shared" si="1"/>
        <v>1</v>
      </c>
    </row>
    <row r="86" spans="1:9" ht="15" customHeight="1" x14ac:dyDescent="0.15">
      <c r="A86">
        <f t="shared" si="2"/>
        <v>85</v>
      </c>
      <c r="B86" t="s">
        <v>257</v>
      </c>
      <c r="C86">
        <v>0</v>
      </c>
      <c r="D86">
        <v>0</v>
      </c>
      <c r="E86">
        <v>0</v>
      </c>
      <c r="F86">
        <v>1</v>
      </c>
      <c r="G86">
        <v>0</v>
      </c>
      <c r="H86">
        <v>0</v>
      </c>
      <c r="I86" s="120">
        <f t="shared" si="1"/>
        <v>1</v>
      </c>
    </row>
    <row r="87" spans="1:9" ht="15" customHeight="1" x14ac:dyDescent="0.15">
      <c r="A87">
        <f t="shared" si="2"/>
        <v>86</v>
      </c>
      <c r="B87" t="s">
        <v>258</v>
      </c>
      <c r="C87">
        <v>0</v>
      </c>
      <c r="D87">
        <v>0</v>
      </c>
      <c r="E87">
        <v>0</v>
      </c>
      <c r="F87">
        <v>1</v>
      </c>
      <c r="G87">
        <v>0</v>
      </c>
      <c r="H87">
        <v>0</v>
      </c>
      <c r="I87" s="120">
        <f t="shared" si="1"/>
        <v>1</v>
      </c>
    </row>
    <row r="88" spans="1:9" ht="15" customHeight="1" x14ac:dyDescent="0.15">
      <c r="A88">
        <f t="shared" si="2"/>
        <v>87</v>
      </c>
      <c r="B88" t="s">
        <v>259</v>
      </c>
      <c r="C88">
        <v>0</v>
      </c>
      <c r="D88">
        <v>0</v>
      </c>
      <c r="E88">
        <v>0</v>
      </c>
      <c r="F88">
        <v>1</v>
      </c>
      <c r="G88">
        <v>0</v>
      </c>
      <c r="H88">
        <v>0</v>
      </c>
      <c r="I88" s="120">
        <f t="shared" si="1"/>
        <v>1</v>
      </c>
    </row>
    <row r="89" spans="1:9" ht="15" customHeight="1" x14ac:dyDescent="0.15">
      <c r="A89">
        <f t="shared" si="2"/>
        <v>88</v>
      </c>
      <c r="B89" t="s">
        <v>260</v>
      </c>
      <c r="C89">
        <v>0</v>
      </c>
      <c r="D89">
        <v>0</v>
      </c>
      <c r="E89">
        <v>0</v>
      </c>
      <c r="F89">
        <v>1</v>
      </c>
      <c r="G89">
        <v>0</v>
      </c>
      <c r="H89">
        <v>0</v>
      </c>
      <c r="I89" s="120">
        <f t="shared" si="1"/>
        <v>1</v>
      </c>
    </row>
    <row r="90" spans="1:9" ht="15" customHeight="1" x14ac:dyDescent="0.15">
      <c r="A90">
        <f t="shared" si="2"/>
        <v>89</v>
      </c>
      <c r="B90" t="s">
        <v>261</v>
      </c>
      <c r="C90">
        <v>0</v>
      </c>
      <c r="D90">
        <v>0</v>
      </c>
      <c r="E90">
        <v>0</v>
      </c>
      <c r="F90">
        <v>1</v>
      </c>
      <c r="G90">
        <v>0</v>
      </c>
      <c r="H90">
        <v>0</v>
      </c>
      <c r="I90" s="120">
        <f t="shared" si="1"/>
        <v>1</v>
      </c>
    </row>
    <row r="91" spans="1:9" ht="15" customHeight="1" x14ac:dyDescent="0.15">
      <c r="A91">
        <f t="shared" si="2"/>
        <v>90</v>
      </c>
      <c r="B91" t="s">
        <v>262</v>
      </c>
      <c r="C91">
        <v>0</v>
      </c>
      <c r="D91">
        <v>0</v>
      </c>
      <c r="E91">
        <v>0</v>
      </c>
      <c r="F91">
        <v>1</v>
      </c>
      <c r="G91">
        <v>0</v>
      </c>
      <c r="H91">
        <v>0</v>
      </c>
      <c r="I91" s="120">
        <f t="shared" si="1"/>
        <v>1</v>
      </c>
    </row>
    <row r="92" spans="1:9" ht="15" customHeight="1" x14ac:dyDescent="0.15">
      <c r="A92">
        <f t="shared" si="2"/>
        <v>91</v>
      </c>
      <c r="B92" t="s">
        <v>263</v>
      </c>
      <c r="C92">
        <v>0</v>
      </c>
      <c r="D92">
        <v>0</v>
      </c>
      <c r="E92">
        <v>0</v>
      </c>
      <c r="F92">
        <v>1</v>
      </c>
      <c r="G92">
        <v>0</v>
      </c>
      <c r="H92">
        <v>0</v>
      </c>
      <c r="I92" s="120">
        <f t="shared" si="1"/>
        <v>1</v>
      </c>
    </row>
    <row r="93" spans="1:9" ht="15" customHeight="1" x14ac:dyDescent="0.15">
      <c r="A93">
        <f t="shared" si="2"/>
        <v>92</v>
      </c>
      <c r="B93" t="s">
        <v>264</v>
      </c>
      <c r="C93">
        <v>0</v>
      </c>
      <c r="D93">
        <v>0</v>
      </c>
      <c r="E93">
        <v>0</v>
      </c>
      <c r="F93">
        <v>1</v>
      </c>
      <c r="G93">
        <v>0</v>
      </c>
      <c r="H93">
        <v>0</v>
      </c>
      <c r="I93" s="120">
        <f t="shared" si="1"/>
        <v>1</v>
      </c>
    </row>
    <row r="94" spans="1:9" ht="15" customHeight="1" x14ac:dyDescent="0.15">
      <c r="A94">
        <f t="shared" si="2"/>
        <v>93</v>
      </c>
      <c r="B94" t="s">
        <v>265</v>
      </c>
      <c r="C94">
        <v>0</v>
      </c>
      <c r="D94">
        <v>0</v>
      </c>
      <c r="E94">
        <v>0</v>
      </c>
      <c r="F94">
        <v>1</v>
      </c>
      <c r="G94">
        <v>0</v>
      </c>
      <c r="H94">
        <v>0</v>
      </c>
      <c r="I94" s="120">
        <f t="shared" si="1"/>
        <v>1</v>
      </c>
    </row>
    <row r="95" spans="1:9" ht="15" customHeight="1" x14ac:dyDescent="0.15">
      <c r="A95">
        <f t="shared" si="2"/>
        <v>94</v>
      </c>
      <c r="B95" t="s">
        <v>266</v>
      </c>
      <c r="C95">
        <v>0</v>
      </c>
      <c r="D95">
        <v>0</v>
      </c>
      <c r="E95">
        <v>0</v>
      </c>
      <c r="F95">
        <v>1</v>
      </c>
      <c r="G95">
        <v>0</v>
      </c>
      <c r="H95">
        <v>0</v>
      </c>
      <c r="I95" s="120">
        <f t="shared" si="1"/>
        <v>1</v>
      </c>
    </row>
    <row r="96" spans="1:9" ht="15" customHeight="1" x14ac:dyDescent="0.15">
      <c r="A96">
        <f t="shared" si="2"/>
        <v>95</v>
      </c>
      <c r="B96" t="s">
        <v>267</v>
      </c>
      <c r="C96">
        <v>0</v>
      </c>
      <c r="D96">
        <v>0</v>
      </c>
      <c r="E96">
        <v>0</v>
      </c>
      <c r="F96">
        <v>1</v>
      </c>
      <c r="G96">
        <v>0</v>
      </c>
      <c r="H96">
        <v>0</v>
      </c>
      <c r="I96" s="120">
        <f t="shared" si="1"/>
        <v>1</v>
      </c>
    </row>
    <row r="97" spans="1:9" ht="15" customHeight="1" x14ac:dyDescent="0.15">
      <c r="A97">
        <f t="shared" si="2"/>
        <v>96</v>
      </c>
      <c r="B97" t="s">
        <v>268</v>
      </c>
      <c r="C97">
        <v>0</v>
      </c>
      <c r="D97">
        <v>0</v>
      </c>
      <c r="E97">
        <v>0</v>
      </c>
      <c r="F97">
        <v>1</v>
      </c>
      <c r="G97">
        <v>0</v>
      </c>
      <c r="H97">
        <v>0</v>
      </c>
      <c r="I97" s="120">
        <f t="shared" si="1"/>
        <v>1</v>
      </c>
    </row>
    <row r="98" spans="1:9" ht="15" customHeight="1" x14ac:dyDescent="0.15">
      <c r="A98">
        <f t="shared" si="2"/>
        <v>97</v>
      </c>
      <c r="B98" t="s">
        <v>269</v>
      </c>
      <c r="C98">
        <v>0</v>
      </c>
      <c r="D98">
        <v>0</v>
      </c>
      <c r="E98">
        <v>0</v>
      </c>
      <c r="F98">
        <v>1</v>
      </c>
      <c r="G98">
        <v>0</v>
      </c>
      <c r="H98">
        <v>0</v>
      </c>
      <c r="I98" s="120">
        <f t="shared" si="1"/>
        <v>1</v>
      </c>
    </row>
    <row r="99" spans="1:9" ht="15" customHeight="1" x14ac:dyDescent="0.15">
      <c r="A99">
        <f t="shared" si="2"/>
        <v>98</v>
      </c>
      <c r="B99" t="s">
        <v>270</v>
      </c>
      <c r="C99">
        <v>0</v>
      </c>
      <c r="D99">
        <v>0</v>
      </c>
      <c r="E99">
        <v>0</v>
      </c>
      <c r="F99">
        <v>1</v>
      </c>
      <c r="G99">
        <v>0</v>
      </c>
      <c r="H99">
        <v>0</v>
      </c>
      <c r="I99" s="120">
        <f t="shared" si="1"/>
        <v>1</v>
      </c>
    </row>
    <row r="100" spans="1:9" ht="15" customHeight="1" x14ac:dyDescent="0.15">
      <c r="A100">
        <f t="shared" si="2"/>
        <v>99</v>
      </c>
      <c r="B100" t="s">
        <v>271</v>
      </c>
      <c r="C100">
        <v>0</v>
      </c>
      <c r="D100">
        <v>0</v>
      </c>
      <c r="E100">
        <v>0</v>
      </c>
      <c r="F100">
        <v>1</v>
      </c>
      <c r="G100">
        <v>0</v>
      </c>
      <c r="H100">
        <v>0</v>
      </c>
      <c r="I100" s="120">
        <f t="shared" si="1"/>
        <v>1</v>
      </c>
    </row>
    <row r="101" spans="1:9" ht="15" customHeight="1" x14ac:dyDescent="0.15">
      <c r="A101">
        <f t="shared" si="2"/>
        <v>100</v>
      </c>
      <c r="B101" t="s">
        <v>272</v>
      </c>
      <c r="C101">
        <v>0</v>
      </c>
      <c r="D101">
        <v>0</v>
      </c>
      <c r="E101">
        <v>0</v>
      </c>
      <c r="F101">
        <v>1</v>
      </c>
      <c r="G101">
        <v>0</v>
      </c>
      <c r="H101">
        <v>0</v>
      </c>
      <c r="I101" s="120">
        <f t="shared" si="1"/>
        <v>1</v>
      </c>
    </row>
    <row r="102" spans="1:9" ht="15" customHeight="1" x14ac:dyDescent="0.15"/>
    <row r="103" spans="1:9" ht="15" customHeight="1" x14ac:dyDescent="0.15"/>
    <row r="104" spans="1:9" ht="15" customHeight="1" x14ac:dyDescent="0.15"/>
    <row r="105" spans="1:9" ht="15" customHeight="1" x14ac:dyDescent="0.15"/>
    <row r="106" spans="1:9" ht="15" customHeight="1" x14ac:dyDescent="0.15"/>
    <row r="107" spans="1:9" ht="15" customHeight="1" x14ac:dyDescent="0.15"/>
    <row r="108" spans="1:9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V108"/>
  <sheetViews>
    <sheetView zoomScaleNormal="100" workbookViewId="0">
      <pane xSplit="2" ySplit="1" topLeftCell="C67" activePane="bottomRight" state="frozen"/>
      <selection pane="topRight" activeCell="D1" sqref="D1"/>
      <selection pane="bottomLeft" activeCell="A2" sqref="A2"/>
      <selection pane="bottomRight" activeCell="B87" sqref="B87"/>
    </sheetView>
  </sheetViews>
  <sheetFormatPr baseColWidth="10" defaultColWidth="8.83203125" defaultRowHeight="13" x14ac:dyDescent="0.15"/>
  <cols>
    <col min="1" max="1" width="12.6640625" customWidth="1"/>
    <col min="2" max="2" width="46.5" bestFit="1" customWidth="1"/>
    <col min="3" max="3" width="14.33203125" bestFit="1" customWidth="1"/>
    <col min="4" max="4" width="15.1640625" bestFit="1" customWidth="1"/>
    <col min="5" max="5" width="24" bestFit="1" customWidth="1"/>
    <col min="6" max="6" width="27.1640625" bestFit="1" customWidth="1"/>
    <col min="7" max="7" width="35" bestFit="1" customWidth="1"/>
    <col min="8" max="8" width="30.33203125" bestFit="1" customWidth="1"/>
    <col min="9" max="9" width="18.6640625" bestFit="1" customWidth="1"/>
    <col min="10" max="10" width="32" bestFit="1" customWidth="1"/>
    <col min="11" max="11" width="21.1640625" bestFit="1" customWidth="1"/>
    <col min="12" max="12" width="14" bestFit="1" customWidth="1"/>
    <col min="13" max="13" width="12.33203125" bestFit="1" customWidth="1"/>
    <col min="14" max="14" width="14.1640625" bestFit="1" customWidth="1"/>
    <col min="15" max="15" width="23.6640625" bestFit="1" customWidth="1"/>
    <col min="16" max="16" width="26.1640625" bestFit="1" customWidth="1"/>
    <col min="17" max="17" width="12.6640625" bestFit="1" customWidth="1"/>
    <col min="18" max="18" width="21.6640625" bestFit="1" customWidth="1"/>
    <col min="19" max="19" width="23" bestFit="1" customWidth="1"/>
    <col min="20" max="20" width="10.83203125" customWidth="1"/>
  </cols>
  <sheetData>
    <row r="1" spans="1:21" s="119" customFormat="1" ht="28" x14ac:dyDescent="0.15">
      <c r="A1" s="5" t="s">
        <v>22</v>
      </c>
      <c r="B1" s="3" t="s">
        <v>0</v>
      </c>
      <c r="C1" s="226" t="s">
        <v>256</v>
      </c>
      <c r="D1" s="226" t="s">
        <v>257</v>
      </c>
      <c r="E1" s="226" t="s">
        <v>258</v>
      </c>
      <c r="F1" s="226" t="s">
        <v>259</v>
      </c>
      <c r="G1" s="226" t="s">
        <v>260</v>
      </c>
      <c r="H1" s="226" t="s">
        <v>261</v>
      </c>
      <c r="I1" s="226" t="s">
        <v>262</v>
      </c>
      <c r="J1" s="226" t="s">
        <v>263</v>
      </c>
      <c r="K1" s="226" t="s">
        <v>264</v>
      </c>
      <c r="L1" s="226" t="s">
        <v>265</v>
      </c>
      <c r="M1" s="226" t="s">
        <v>266</v>
      </c>
      <c r="N1" s="226" t="s">
        <v>267</v>
      </c>
      <c r="O1" s="226" t="s">
        <v>268</v>
      </c>
      <c r="P1" s="226" t="s">
        <v>269</v>
      </c>
      <c r="Q1" s="226" t="s">
        <v>270</v>
      </c>
      <c r="R1" s="226" t="s">
        <v>271</v>
      </c>
      <c r="S1" s="226" t="s">
        <v>272</v>
      </c>
      <c r="T1" s="119" t="s">
        <v>12</v>
      </c>
      <c r="U1"/>
    </row>
    <row r="2" spans="1:21" ht="15" customHeight="1" x14ac:dyDescent="0.15">
      <c r="A2">
        <v>1</v>
      </c>
      <c r="B2" t="s">
        <v>176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20">
        <f>SUM(C2:S2)</f>
        <v>0</v>
      </c>
    </row>
    <row r="3" spans="1:21" ht="15" customHeight="1" x14ac:dyDescent="0.15">
      <c r="A3">
        <v>2</v>
      </c>
      <c r="B3" t="s">
        <v>177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20">
        <f t="shared" ref="T3:T66" si="0">SUM(C3:S3)</f>
        <v>0</v>
      </c>
    </row>
    <row r="4" spans="1:21" ht="15" customHeight="1" x14ac:dyDescent="0.15">
      <c r="A4">
        <v>3</v>
      </c>
      <c r="B4" t="s">
        <v>178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20">
        <f t="shared" si="0"/>
        <v>0</v>
      </c>
    </row>
    <row r="5" spans="1:21" ht="15" customHeight="1" x14ac:dyDescent="0.15">
      <c r="A5">
        <v>4</v>
      </c>
      <c r="B5" t="s">
        <v>179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20">
        <f t="shared" si="0"/>
        <v>0</v>
      </c>
    </row>
    <row r="6" spans="1:21" ht="15" customHeight="1" x14ac:dyDescent="0.15">
      <c r="A6">
        <v>5</v>
      </c>
      <c r="B6" t="s">
        <v>180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 s="120">
        <f t="shared" si="0"/>
        <v>0</v>
      </c>
    </row>
    <row r="7" spans="1:21" ht="15" customHeight="1" x14ac:dyDescent="0.15">
      <c r="A7">
        <v>6</v>
      </c>
      <c r="B7" t="s">
        <v>181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 s="120">
        <f t="shared" si="0"/>
        <v>0</v>
      </c>
    </row>
    <row r="8" spans="1:21" ht="15" customHeight="1" x14ac:dyDescent="0.15">
      <c r="A8">
        <v>7</v>
      </c>
      <c r="B8" t="s">
        <v>182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 s="120">
        <f t="shared" si="0"/>
        <v>0</v>
      </c>
    </row>
    <row r="9" spans="1:21" ht="15" customHeight="1" x14ac:dyDescent="0.15">
      <c r="A9">
        <v>8</v>
      </c>
      <c r="B9" t="s">
        <v>183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 s="120">
        <f t="shared" si="0"/>
        <v>0</v>
      </c>
    </row>
    <row r="10" spans="1:21" ht="15" customHeight="1" x14ac:dyDescent="0.15">
      <c r="A10">
        <v>9</v>
      </c>
      <c r="B10" t="s">
        <v>184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 s="120">
        <f t="shared" si="0"/>
        <v>0</v>
      </c>
    </row>
    <row r="11" spans="1:21" ht="15" customHeight="1" x14ac:dyDescent="0.15">
      <c r="A11">
        <v>10</v>
      </c>
      <c r="B11" t="s">
        <v>185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 s="120">
        <f t="shared" si="0"/>
        <v>0</v>
      </c>
    </row>
    <row r="12" spans="1:21" ht="15" customHeight="1" x14ac:dyDescent="0.15">
      <c r="A12">
        <v>11</v>
      </c>
      <c r="B12" t="s">
        <v>186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 s="120">
        <f t="shared" si="0"/>
        <v>0</v>
      </c>
    </row>
    <row r="13" spans="1:21" ht="15" customHeight="1" x14ac:dyDescent="0.15">
      <c r="A13">
        <v>12</v>
      </c>
      <c r="B13" t="s">
        <v>187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 s="120">
        <f t="shared" si="0"/>
        <v>0</v>
      </c>
    </row>
    <row r="14" spans="1:21" ht="15" customHeight="1" x14ac:dyDescent="0.15">
      <c r="A14">
        <v>13</v>
      </c>
      <c r="B14" t="s">
        <v>188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 s="120">
        <f t="shared" si="0"/>
        <v>0</v>
      </c>
    </row>
    <row r="15" spans="1:21" ht="15" customHeight="1" x14ac:dyDescent="0.15">
      <c r="A15">
        <v>14</v>
      </c>
      <c r="B15" t="s">
        <v>189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 s="120">
        <f t="shared" si="0"/>
        <v>0</v>
      </c>
    </row>
    <row r="16" spans="1:21" ht="15" customHeight="1" x14ac:dyDescent="0.15">
      <c r="A16">
        <v>15</v>
      </c>
      <c r="B16" t="s">
        <v>190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 s="120">
        <f t="shared" si="0"/>
        <v>0</v>
      </c>
    </row>
    <row r="17" spans="1:22" ht="15" customHeight="1" x14ac:dyDescent="0.15">
      <c r="A17">
        <v>16</v>
      </c>
      <c r="B17" t="s">
        <v>191</v>
      </c>
      <c r="C17">
        <v>3.202104687576556E-4</v>
      </c>
      <c r="D17">
        <v>5.1348040519771863E-6</v>
      </c>
      <c r="E17">
        <v>2.9601439161788773E-7</v>
      </c>
      <c r="F17">
        <v>4.4477002128423524E-6</v>
      </c>
      <c r="G17">
        <v>3.5456002821948683E-5</v>
      </c>
      <c r="H17">
        <v>3.9892149056520853E-5</v>
      </c>
      <c r="I17">
        <v>7.4500769232144013E-6</v>
      </c>
      <c r="J17">
        <v>8.7504259451965156E-5</v>
      </c>
      <c r="K17">
        <v>2.2690897699813263E-4</v>
      </c>
      <c r="L17">
        <v>4.8248070930202409E-5</v>
      </c>
      <c r="M17">
        <v>1.2716164093347053E-4</v>
      </c>
      <c r="N17">
        <v>6.5386910793852645E-4</v>
      </c>
      <c r="O17">
        <v>1.268738097449281E-4</v>
      </c>
      <c r="P17">
        <v>8.6567072967411715E-8</v>
      </c>
      <c r="Q17">
        <v>3.0814090585267816E-7</v>
      </c>
      <c r="R17">
        <v>3.7603963247133756E-8</v>
      </c>
      <c r="S17">
        <v>0</v>
      </c>
      <c r="T17" s="120">
        <f t="shared" si="0"/>
        <v>1.6838853941550695E-3</v>
      </c>
    </row>
    <row r="18" spans="1:22" ht="15" customHeight="1" x14ac:dyDescent="0.15">
      <c r="A18">
        <v>17</v>
      </c>
      <c r="B18" t="s">
        <v>192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 s="120">
        <f t="shared" si="0"/>
        <v>0</v>
      </c>
    </row>
    <row r="19" spans="1:22" ht="15" customHeight="1" x14ac:dyDescent="0.15">
      <c r="A19">
        <v>18</v>
      </c>
      <c r="B19" t="s">
        <v>193</v>
      </c>
      <c r="C19">
        <v>6.7812811312289642E-4</v>
      </c>
      <c r="D19">
        <v>1.3427631506672759E-5</v>
      </c>
      <c r="E19">
        <v>6.7002916450540631E-7</v>
      </c>
      <c r="F19">
        <v>1.4826601978408544E-6</v>
      </c>
      <c r="G19">
        <v>7.8201011515817629E-5</v>
      </c>
      <c r="H19">
        <v>1.0311697342107279E-4</v>
      </c>
      <c r="I19">
        <v>2.3178501478052861E-5</v>
      </c>
      <c r="J19">
        <v>2.1248522854846934E-4</v>
      </c>
      <c r="K19">
        <v>3.2545037906804609E-5</v>
      </c>
      <c r="L19">
        <v>1.4557326071366073E-4</v>
      </c>
      <c r="M19">
        <v>3.5712355093042636E-5</v>
      </c>
      <c r="N19">
        <v>2.3255254770119114E-4</v>
      </c>
      <c r="O19">
        <v>1.5921782995052082E-4</v>
      </c>
      <c r="P19">
        <v>6.2432325075315486E-7</v>
      </c>
      <c r="Q19">
        <v>7.696018635642116E-7</v>
      </c>
      <c r="R19">
        <v>2.1087476357622618E-6</v>
      </c>
      <c r="S19">
        <v>6.9447432756545313E-6</v>
      </c>
      <c r="T19" s="120">
        <f t="shared" si="0"/>
        <v>1.7267385963462823E-3</v>
      </c>
    </row>
    <row r="20" spans="1:22" ht="15" customHeight="1" x14ac:dyDescent="0.15">
      <c r="A20">
        <v>19</v>
      </c>
      <c r="B20" t="s">
        <v>194</v>
      </c>
      <c r="C20">
        <v>5.4490947166953947E-4</v>
      </c>
      <c r="D20">
        <v>1.1533813599792009E-5</v>
      </c>
      <c r="E20">
        <v>5.7578462418246739E-7</v>
      </c>
      <c r="F20">
        <v>1.1469802311148324E-6</v>
      </c>
      <c r="G20">
        <v>5.6275988921199181E-5</v>
      </c>
      <c r="H20">
        <v>8.4526491166868757E-5</v>
      </c>
      <c r="I20">
        <v>1.9375845178229825E-5</v>
      </c>
      <c r="J20">
        <v>1.2290838738338239E-4</v>
      </c>
      <c r="K20">
        <v>3.653840568521604E-5</v>
      </c>
      <c r="L20">
        <v>1.1437515419561427E-4</v>
      </c>
      <c r="M20">
        <v>2.8325878910553767E-5</v>
      </c>
      <c r="N20">
        <v>1.8998985634131874E-4</v>
      </c>
      <c r="O20">
        <v>1.2651542091041766E-4</v>
      </c>
      <c r="P20">
        <v>4.0222552097989358E-7</v>
      </c>
      <c r="Q20">
        <v>5.8031452856689909E-7</v>
      </c>
      <c r="R20">
        <v>1.9797153696494083E-6</v>
      </c>
      <c r="S20">
        <v>0</v>
      </c>
      <c r="T20" s="120">
        <f t="shared" si="0"/>
        <v>1.3399597342366257E-3</v>
      </c>
    </row>
    <row r="21" spans="1:22" ht="15" customHeight="1" x14ac:dyDescent="0.15">
      <c r="A21">
        <v>20</v>
      </c>
      <c r="B21" t="s">
        <v>195</v>
      </c>
      <c r="C21">
        <v>4.1207027391954482E-5</v>
      </c>
      <c r="D21">
        <v>6.3353017110643809E-5</v>
      </c>
      <c r="E21">
        <v>0</v>
      </c>
      <c r="F21">
        <v>2.5437633838604201E-4</v>
      </c>
      <c r="G21">
        <v>2.6294096505054503E-5</v>
      </c>
      <c r="H21">
        <v>2.471252710673626E-5</v>
      </c>
      <c r="I21">
        <v>1.3797304474007483E-6</v>
      </c>
      <c r="J21">
        <v>0.11439381561771768</v>
      </c>
      <c r="K21">
        <v>3.1795895558308002E-4</v>
      </c>
      <c r="L21">
        <v>9.1961115251156227E-6</v>
      </c>
      <c r="M21">
        <v>0.47603662361379762</v>
      </c>
      <c r="N21">
        <v>3.6752040162135299E-5</v>
      </c>
      <c r="O21">
        <v>1.0263539420853503E-4</v>
      </c>
      <c r="P21">
        <v>0</v>
      </c>
      <c r="Q21">
        <v>0</v>
      </c>
      <c r="R21">
        <v>0</v>
      </c>
      <c r="S21">
        <v>1.1233666074691296E-6</v>
      </c>
      <c r="T21" s="120">
        <f t="shared" si="0"/>
        <v>0.59130942783654949</v>
      </c>
    </row>
    <row r="22" spans="1:22" ht="15" customHeight="1" x14ac:dyDescent="0.15">
      <c r="A22">
        <v>21</v>
      </c>
      <c r="B22" t="s">
        <v>196</v>
      </c>
      <c r="C22">
        <v>0</v>
      </c>
      <c r="D22">
        <v>0</v>
      </c>
      <c r="E22">
        <v>0</v>
      </c>
      <c r="F22">
        <v>5.4427729449725305E-7</v>
      </c>
      <c r="G22">
        <v>1.3215067644781515E-5</v>
      </c>
      <c r="H22">
        <v>0</v>
      </c>
      <c r="I22">
        <v>0</v>
      </c>
      <c r="J22">
        <v>2.5686854246888646E-3</v>
      </c>
      <c r="K22">
        <v>1.0815762965298774E-4</v>
      </c>
      <c r="L22">
        <v>5.0107639514891805E-3</v>
      </c>
      <c r="M22">
        <v>8.7736939466293018E-4</v>
      </c>
      <c r="N22">
        <v>0</v>
      </c>
      <c r="O22">
        <v>0</v>
      </c>
      <c r="P22">
        <v>0</v>
      </c>
      <c r="Q22">
        <v>0</v>
      </c>
      <c r="R22">
        <v>1.5484312577591726E-4</v>
      </c>
      <c r="S22">
        <v>3.3376325794169521E-6</v>
      </c>
      <c r="T22" s="120">
        <f t="shared" si="0"/>
        <v>8.7369165037885759E-3</v>
      </c>
    </row>
    <row r="23" spans="1:22" ht="15" customHeight="1" x14ac:dyDescent="0.15">
      <c r="A23">
        <v>22</v>
      </c>
      <c r="B23" t="s">
        <v>197</v>
      </c>
      <c r="C23">
        <v>1.585647560644054E-7</v>
      </c>
      <c r="D23">
        <v>2.756033022002854E-8</v>
      </c>
      <c r="E23">
        <v>0</v>
      </c>
      <c r="F23">
        <v>7.3977800707229502E-8</v>
      </c>
      <c r="G23">
        <v>7.5480448527266398E-8</v>
      </c>
      <c r="H23">
        <v>7.4652427178193801E-8</v>
      </c>
      <c r="I23">
        <v>1.1933915369152948E-8</v>
      </c>
      <c r="J23">
        <v>6.8537339895042106E-4</v>
      </c>
      <c r="K23">
        <v>8.4503609774117387E-7</v>
      </c>
      <c r="L23">
        <v>5.0049440830918213E-8</v>
      </c>
      <c r="M23">
        <v>3.3563578817664562E-3</v>
      </c>
      <c r="N23">
        <v>0</v>
      </c>
      <c r="O23">
        <v>7.3935960527811596E-8</v>
      </c>
      <c r="P23">
        <v>0</v>
      </c>
      <c r="Q23">
        <v>0</v>
      </c>
      <c r="R23">
        <v>0</v>
      </c>
      <c r="S23">
        <v>0</v>
      </c>
      <c r="T23" s="120">
        <f t="shared" si="0"/>
        <v>4.0431224718940435E-3</v>
      </c>
    </row>
    <row r="24" spans="1:22" ht="15" customHeight="1" x14ac:dyDescent="0.15">
      <c r="A24">
        <v>23</v>
      </c>
      <c r="B24" t="s">
        <v>198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 s="120">
        <f t="shared" si="0"/>
        <v>0</v>
      </c>
    </row>
    <row r="25" spans="1:22" ht="15" customHeight="1" x14ac:dyDescent="0.15">
      <c r="A25">
        <v>24</v>
      </c>
      <c r="B25" t="s">
        <v>273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 s="120">
        <f t="shared" si="0"/>
        <v>0</v>
      </c>
    </row>
    <row r="26" spans="1:22" ht="15" customHeight="1" x14ac:dyDescent="0.15">
      <c r="A26">
        <v>25</v>
      </c>
      <c r="B26" t="s">
        <v>398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 s="120">
        <f t="shared" si="0"/>
        <v>0</v>
      </c>
    </row>
    <row r="27" spans="1:22" ht="15" customHeight="1" x14ac:dyDescent="0.15">
      <c r="A27">
        <v>26</v>
      </c>
      <c r="B27" t="s">
        <v>399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 s="120">
        <f t="shared" si="0"/>
        <v>0</v>
      </c>
    </row>
    <row r="28" spans="1:22" ht="15" customHeight="1" x14ac:dyDescent="0.15">
      <c r="A28">
        <v>27</v>
      </c>
      <c r="B28" t="s">
        <v>199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 s="120">
        <f t="shared" si="0"/>
        <v>0</v>
      </c>
    </row>
    <row r="29" spans="1:22" ht="15" customHeight="1" x14ac:dyDescent="0.15">
      <c r="A29">
        <v>28</v>
      </c>
      <c r="B29" t="s">
        <v>200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 s="120">
        <f t="shared" si="0"/>
        <v>0</v>
      </c>
    </row>
    <row r="30" spans="1:22" ht="15" customHeight="1" x14ac:dyDescent="0.15">
      <c r="A30">
        <v>29</v>
      </c>
      <c r="B30" t="s">
        <v>201</v>
      </c>
      <c r="C30">
        <v>2.681366203858238E-4</v>
      </c>
      <c r="D30">
        <v>1.1252872245563617E-5</v>
      </c>
      <c r="E30">
        <v>3.2577967803461647E-6</v>
      </c>
      <c r="F30">
        <v>1.0341516138091637E-4</v>
      </c>
      <c r="G30">
        <v>1.098650567800481E-4</v>
      </c>
      <c r="H30">
        <v>2.5432472186383017E-3</v>
      </c>
      <c r="I30">
        <v>3.3695895376425938E-5</v>
      </c>
      <c r="J30">
        <v>0</v>
      </c>
      <c r="K30">
        <v>1.3548848813885635E-3</v>
      </c>
      <c r="L30">
        <v>1.1100430458391559E-5</v>
      </c>
      <c r="M30">
        <v>0</v>
      </c>
      <c r="N30">
        <v>1.0025174547917762E-5</v>
      </c>
      <c r="O30">
        <v>4.5810862541610971E-7</v>
      </c>
      <c r="P30">
        <v>2.6305203971776153E-7</v>
      </c>
      <c r="Q30">
        <v>3.2503707974470453E-7</v>
      </c>
      <c r="R30">
        <v>0</v>
      </c>
      <c r="S30">
        <v>8.5060929910646583E-4</v>
      </c>
      <c r="T30" s="120">
        <f t="shared" si="0"/>
        <v>5.3005366048336422E-3</v>
      </c>
    </row>
    <row r="31" spans="1:22" ht="15" customHeight="1" x14ac:dyDescent="0.15">
      <c r="A31">
        <v>30</v>
      </c>
      <c r="B31" t="s">
        <v>202</v>
      </c>
      <c r="C31" s="116">
        <v>7.1962733423712487E-6</v>
      </c>
      <c r="D31" s="116">
        <v>4.2068861893611769E-3</v>
      </c>
      <c r="E31" s="116">
        <v>1.8889373474476413E-6</v>
      </c>
      <c r="F31" s="116">
        <v>1.9295405588693301E-5</v>
      </c>
      <c r="G31" s="116">
        <v>2.9088060309098918E-5</v>
      </c>
      <c r="H31" s="116">
        <v>0</v>
      </c>
      <c r="I31" s="116">
        <v>0</v>
      </c>
      <c r="J31" s="116">
        <v>4.4866569042425189E-3</v>
      </c>
      <c r="K31" s="116">
        <v>1.0817470995759734E-5</v>
      </c>
      <c r="L31" s="116">
        <v>5.4884664265762682E-3</v>
      </c>
      <c r="M31" s="116">
        <v>7.2520746825564244E-3</v>
      </c>
      <c r="N31" s="116">
        <v>0</v>
      </c>
      <c r="O31" s="116">
        <v>2.0808091970600663E-6</v>
      </c>
      <c r="P31" s="116">
        <v>0</v>
      </c>
      <c r="Q31" s="116">
        <v>0</v>
      </c>
      <c r="R31" s="116">
        <v>0</v>
      </c>
      <c r="S31">
        <v>1.7182587060240322E-2</v>
      </c>
      <c r="T31" s="120">
        <v>1.9343519109878572E-2</v>
      </c>
      <c r="V31">
        <v>7.5849522410244466E-2</v>
      </c>
    </row>
    <row r="32" spans="1:22" ht="15" customHeight="1" x14ac:dyDescent="0.15">
      <c r="A32">
        <v>31</v>
      </c>
      <c r="B32" t="s">
        <v>203</v>
      </c>
      <c r="C32" s="116">
        <v>4.5698462190394047E-6</v>
      </c>
      <c r="D32" s="116">
        <v>3.0613299007796638E-3</v>
      </c>
      <c r="E32" s="116">
        <v>1.1347319215649856E-6</v>
      </c>
      <c r="F32" s="116">
        <v>1.733904477028555E-5</v>
      </c>
      <c r="G32" s="116">
        <v>1.9637600308491046E-5</v>
      </c>
      <c r="H32" s="116">
        <v>0</v>
      </c>
      <c r="I32" s="116">
        <v>0</v>
      </c>
      <c r="J32" s="116">
        <v>3.0127115624388567E-3</v>
      </c>
      <c r="K32" s="116">
        <v>7.5515879568230718E-6</v>
      </c>
      <c r="L32" s="116">
        <v>3.8148730855515236E-3</v>
      </c>
      <c r="M32" s="116">
        <v>4.7606859546134254E-3</v>
      </c>
      <c r="N32" s="116">
        <v>0</v>
      </c>
      <c r="O32" s="116">
        <v>1.5232304400284412E-6</v>
      </c>
      <c r="P32" s="116">
        <v>0</v>
      </c>
      <c r="Q32" s="116">
        <v>0</v>
      </c>
      <c r="R32" s="116">
        <v>0</v>
      </c>
      <c r="S32">
        <v>5.9234325764393895E-3</v>
      </c>
      <c r="T32" s="120">
        <v>2.0624789121439089E-2</v>
      </c>
    </row>
    <row r="33" spans="1:20" ht="15" customHeight="1" x14ac:dyDescent="0.15">
      <c r="A33">
        <v>32</v>
      </c>
      <c r="B33" t="s">
        <v>204</v>
      </c>
      <c r="C33" s="116">
        <v>1.040871678671132E-6</v>
      </c>
      <c r="D33" s="116">
        <v>1.1976892224602478E-3</v>
      </c>
      <c r="E33" s="116">
        <v>2.9082534726165872E-7</v>
      </c>
      <c r="F33" s="116">
        <v>8.8546327802212999E-6</v>
      </c>
      <c r="G33" s="116">
        <v>9.2903126671956969E-6</v>
      </c>
      <c r="H33" s="116">
        <v>0</v>
      </c>
      <c r="I33" s="116">
        <v>0</v>
      </c>
      <c r="J33" s="116">
        <v>1.4940735400106645E-3</v>
      </c>
      <c r="K33" s="116">
        <v>3.349508823933824E-6</v>
      </c>
      <c r="L33" s="116">
        <v>1.8590458911387792E-3</v>
      </c>
      <c r="M33" s="116">
        <v>2.6011116665958841E-3</v>
      </c>
      <c r="N33" s="116">
        <v>0</v>
      </c>
      <c r="O33" s="116">
        <v>6.3604137460679776E-7</v>
      </c>
      <c r="P33" s="116">
        <v>0</v>
      </c>
      <c r="Q33" s="116">
        <v>0</v>
      </c>
      <c r="R33" s="116">
        <v>0</v>
      </c>
      <c r="S33">
        <v>8.6032290789569629E-7</v>
      </c>
      <c r="T33" s="120">
        <v>1.7940607089463403E-2</v>
      </c>
    </row>
    <row r="34" spans="1:20" ht="15" customHeight="1" x14ac:dyDescent="0.15">
      <c r="A34">
        <v>33</v>
      </c>
      <c r="B34" t="s">
        <v>205</v>
      </c>
      <c r="C34">
        <v>6.5956194337088865E-5</v>
      </c>
      <c r="D34">
        <v>2.301609866888061E-7</v>
      </c>
      <c r="E34">
        <v>1.0703495527269484E-8</v>
      </c>
      <c r="F34">
        <v>1.8302928517806291E-8</v>
      </c>
      <c r="G34">
        <v>1.9064042405594445E-6</v>
      </c>
      <c r="H34">
        <v>7.8485890762142979E-6</v>
      </c>
      <c r="I34">
        <v>2.9137818328831612E-7</v>
      </c>
      <c r="J34">
        <v>1.5729201481099036E-6</v>
      </c>
      <c r="K34">
        <v>1.3899492687463654E-6</v>
      </c>
      <c r="L34">
        <v>4.3753557101834776E-5</v>
      </c>
      <c r="M34">
        <v>5.3641257156240291E-7</v>
      </c>
      <c r="N34">
        <v>9.4669095685321247E-6</v>
      </c>
      <c r="O34">
        <v>2.48926325925366E-6</v>
      </c>
      <c r="P34">
        <v>4.211151447850136E-9</v>
      </c>
      <c r="Q34">
        <v>1.0873934144348219E-8</v>
      </c>
      <c r="R34">
        <v>3.6156130751687009E-6</v>
      </c>
      <c r="S34">
        <v>1.2585720135514895E-3</v>
      </c>
      <c r="T34" s="120">
        <f t="shared" si="0"/>
        <v>1.3976734568781745E-3</v>
      </c>
    </row>
    <row r="35" spans="1:20" x14ac:dyDescent="0.15">
      <c r="A35">
        <v>34</v>
      </c>
      <c r="B35" t="s">
        <v>206</v>
      </c>
      <c r="C35">
        <v>2.4302757176457848E-7</v>
      </c>
      <c r="D35">
        <v>3.4134011921395255E-7</v>
      </c>
      <c r="E35" s="116">
        <v>0</v>
      </c>
      <c r="F35">
        <v>7.1041277320377598E-7</v>
      </c>
      <c r="G35">
        <v>2.6134510980155812E-7</v>
      </c>
      <c r="H35">
        <v>1.184444777400482E-6</v>
      </c>
      <c r="I35">
        <v>7.8291164740319262E-9</v>
      </c>
      <c r="J35">
        <v>1.709026355186902E-4</v>
      </c>
      <c r="K35">
        <v>5.0395620087223728E-6</v>
      </c>
      <c r="L35">
        <v>7.4846011986064056E-8</v>
      </c>
      <c r="M35">
        <v>1.6828334326663447E-3</v>
      </c>
      <c r="N35">
        <v>6.20255046554996E-7</v>
      </c>
      <c r="O35">
        <v>1.8869711541574913E-8</v>
      </c>
      <c r="P35" s="116">
        <v>0</v>
      </c>
      <c r="Q35" s="116">
        <v>0</v>
      </c>
      <c r="R35" s="116">
        <v>0</v>
      </c>
      <c r="S35">
        <v>2.4013953542745249E-6</v>
      </c>
      <c r="T35" s="120">
        <f t="shared" si="0"/>
        <v>1.8646393957859728E-3</v>
      </c>
    </row>
    <row r="36" spans="1:20" x14ac:dyDescent="0.15">
      <c r="A36">
        <v>35</v>
      </c>
      <c r="B36" t="s">
        <v>207</v>
      </c>
      <c r="C36">
        <v>4.19651893562186E-7</v>
      </c>
      <c r="D36">
        <v>9.8820040886937674E-7</v>
      </c>
      <c r="E36" s="116">
        <v>0</v>
      </c>
      <c r="F36">
        <v>6.0368144241243004E-7</v>
      </c>
      <c r="G36">
        <v>3.2089036084213111E-7</v>
      </c>
      <c r="H36">
        <v>8.4969257710001729E-7</v>
      </c>
      <c r="I36">
        <v>1.3677214611207895E-8</v>
      </c>
      <c r="J36">
        <v>8.2645997808437162E-4</v>
      </c>
      <c r="K36">
        <v>4.443152113817399E-6</v>
      </c>
      <c r="L36">
        <v>9.2659330916843645E-8</v>
      </c>
      <c r="M36">
        <v>3.6486276869954603E-3</v>
      </c>
      <c r="N36">
        <v>4.5940532366107002E-7</v>
      </c>
      <c r="O36">
        <v>1.9113570510864416E-6</v>
      </c>
      <c r="P36" s="116">
        <v>0</v>
      </c>
      <c r="Q36" s="116">
        <v>0</v>
      </c>
      <c r="R36" s="116">
        <v>0</v>
      </c>
      <c r="S36">
        <v>6.9031261732758752E-6</v>
      </c>
      <c r="T36" s="120">
        <f t="shared" si="0"/>
        <v>4.4920931589699864E-3</v>
      </c>
    </row>
    <row r="37" spans="1:20" x14ac:dyDescent="0.15">
      <c r="A37">
        <v>36</v>
      </c>
      <c r="B37" t="s">
        <v>208</v>
      </c>
      <c r="C37">
        <v>1.3283775980314E-3</v>
      </c>
      <c r="D37">
        <v>5.6465250022394046E-5</v>
      </c>
      <c r="E37">
        <v>1.5235373448912891E-5</v>
      </c>
      <c r="F37">
        <v>5.2044390382068213E-4</v>
      </c>
      <c r="G37">
        <v>5.4227076534513663E-4</v>
      </c>
      <c r="H37">
        <v>1.2435007922177534E-2</v>
      </c>
      <c r="I37">
        <v>1.3773325499828832E-4</v>
      </c>
      <c r="J37">
        <v>0</v>
      </c>
      <c r="K37">
        <v>5.5112142792172721E-3</v>
      </c>
      <c r="L37">
        <v>5.4101819292476522E-5</v>
      </c>
      <c r="M37">
        <v>0</v>
      </c>
      <c r="N37">
        <v>4.5835601263542871E-5</v>
      </c>
      <c r="O37">
        <v>2.1230043868870738E-6</v>
      </c>
      <c r="P37">
        <v>9.411733426410095E-7</v>
      </c>
      <c r="Q37">
        <v>2.4917688544667443E-6</v>
      </c>
      <c r="R37" s="116">
        <v>0</v>
      </c>
      <c r="S37">
        <v>1.8869133711345902E-2</v>
      </c>
      <c r="T37" s="120">
        <f t="shared" si="0"/>
        <v>3.9521375425547532E-2</v>
      </c>
    </row>
    <row r="38" spans="1:20" x14ac:dyDescent="0.15">
      <c r="A38">
        <v>37</v>
      </c>
      <c r="B38" t="s">
        <v>209</v>
      </c>
      <c r="C38">
        <v>2.2503531524714019E-3</v>
      </c>
      <c r="D38">
        <v>3.3688063148820748E-6</v>
      </c>
      <c r="E38" s="116">
        <v>0</v>
      </c>
      <c r="F38">
        <v>8.7691091875459765E-7</v>
      </c>
      <c r="G38">
        <v>2.473769911889302E-5</v>
      </c>
      <c r="H38">
        <v>6.030644985893948E-3</v>
      </c>
      <c r="I38">
        <v>2.4611612210914869E-5</v>
      </c>
      <c r="J38">
        <v>4.5465726022397657E-5</v>
      </c>
      <c r="K38">
        <v>3.0746206919554691E-4</v>
      </c>
      <c r="L38">
        <v>1.8483597069499718E-4</v>
      </c>
      <c r="M38">
        <v>1.9204372588048169E-6</v>
      </c>
      <c r="N38">
        <v>1.4745522720886972E-6</v>
      </c>
      <c r="O38">
        <v>1.1676746994552921E-6</v>
      </c>
      <c r="P38" s="116">
        <v>0</v>
      </c>
      <c r="Q38" s="116">
        <v>0</v>
      </c>
      <c r="R38" s="116">
        <v>0</v>
      </c>
      <c r="S38">
        <v>1.3565404434913614E-6</v>
      </c>
      <c r="T38" s="120">
        <f t="shared" si="0"/>
        <v>8.878276137515578E-3</v>
      </c>
    </row>
    <row r="39" spans="1:20" x14ac:dyDescent="0.15">
      <c r="A39">
        <v>38</v>
      </c>
      <c r="B39" t="s">
        <v>210</v>
      </c>
      <c r="C39">
        <v>0.14153489348510706</v>
      </c>
      <c r="D39">
        <v>5.3777156260264604E-4</v>
      </c>
      <c r="E39">
        <v>4.0254008652000914E-5</v>
      </c>
      <c r="F39">
        <v>5.3083840579000721E-3</v>
      </c>
      <c r="G39">
        <v>3.1253787825493017E-3</v>
      </c>
      <c r="H39">
        <v>0.24633337753649465</v>
      </c>
      <c r="I39">
        <v>1.9439709434766075E-3</v>
      </c>
      <c r="J39">
        <v>0</v>
      </c>
      <c r="K39">
        <v>4.2098253119221862</v>
      </c>
      <c r="L39">
        <v>1.4541627046476903E-4</v>
      </c>
      <c r="M39">
        <v>0</v>
      </c>
      <c r="N39">
        <v>4.4356672619675512E-2</v>
      </c>
      <c r="O39">
        <v>8.7617572259099806E-5</v>
      </c>
      <c r="P39">
        <v>2.8766854890158452E-5</v>
      </c>
      <c r="Q39">
        <v>8.3987323517270049E-6</v>
      </c>
      <c r="R39" s="116">
        <v>0</v>
      </c>
      <c r="S39">
        <v>4.3635974579147698E-6</v>
      </c>
      <c r="T39" s="120">
        <f t="shared" si="0"/>
        <v>4.6532805779460666</v>
      </c>
    </row>
    <row r="40" spans="1:20" x14ac:dyDescent="0.15">
      <c r="A40">
        <v>39</v>
      </c>
      <c r="B40" t="s">
        <v>211</v>
      </c>
      <c r="C40">
        <v>1.3008876354037659E-4</v>
      </c>
      <c r="D40">
        <v>3.0028909972414475E-2</v>
      </c>
      <c r="E40">
        <v>9.6217603278252038E-6</v>
      </c>
      <c r="F40">
        <v>0</v>
      </c>
      <c r="G40">
        <v>1.8841070158558827E-3</v>
      </c>
      <c r="H40">
        <v>0</v>
      </c>
      <c r="I40">
        <v>0</v>
      </c>
      <c r="J40">
        <v>0</v>
      </c>
      <c r="K40">
        <v>0</v>
      </c>
      <c r="L40">
        <v>9.145190486483126E-5</v>
      </c>
      <c r="M40">
        <v>2.5130754844162927E-3</v>
      </c>
      <c r="N40">
        <v>0</v>
      </c>
      <c r="O40">
        <v>0</v>
      </c>
      <c r="P40" s="116">
        <v>0</v>
      </c>
      <c r="Q40" s="116">
        <v>0</v>
      </c>
      <c r="R40" s="116">
        <v>0</v>
      </c>
      <c r="S40">
        <v>1.1326954203975725E-2</v>
      </c>
      <c r="T40" s="120">
        <f t="shared" si="0"/>
        <v>4.5984209105395413E-2</v>
      </c>
    </row>
    <row r="41" spans="1:20" x14ac:dyDescent="0.15">
      <c r="A41">
        <v>40</v>
      </c>
      <c r="B41" t="s">
        <v>212</v>
      </c>
      <c r="C41">
        <v>1.5845777821003517E-3</v>
      </c>
      <c r="D41">
        <v>5.3869349688307977E-6</v>
      </c>
      <c r="E41">
        <v>3.9814887380740297E-7</v>
      </c>
      <c r="F41">
        <v>5.6357331601519771E-5</v>
      </c>
      <c r="G41">
        <v>3.3222721441704203E-5</v>
      </c>
      <c r="H41">
        <v>2.5834281016788871E-3</v>
      </c>
      <c r="I41">
        <v>1.9322911404061049E-5</v>
      </c>
      <c r="J41">
        <v>0</v>
      </c>
      <c r="K41">
        <v>4.3576485173210389E-2</v>
      </c>
      <c r="L41">
        <v>1.4136594910443549E-6</v>
      </c>
      <c r="M41">
        <v>0</v>
      </c>
      <c r="N41">
        <v>4.8397479896586149E-4</v>
      </c>
      <c r="O41">
        <v>9.9730977205208855E-7</v>
      </c>
      <c r="P41">
        <v>3.2375193288271621E-7</v>
      </c>
      <c r="Q41">
        <v>8.4272764241368041E-8</v>
      </c>
      <c r="R41" s="116">
        <v>0</v>
      </c>
      <c r="S41">
        <v>1.0586328280812875E-4</v>
      </c>
      <c r="T41" s="120">
        <f t="shared" si="0"/>
        <v>4.8451836181013758E-2</v>
      </c>
    </row>
    <row r="42" spans="1:20" x14ac:dyDescent="0.15">
      <c r="A42">
        <v>41</v>
      </c>
      <c r="B42" t="s">
        <v>213</v>
      </c>
      <c r="C42">
        <v>8.8480719829829891E-5</v>
      </c>
      <c r="D42">
        <v>3.0648546402547896E-7</v>
      </c>
      <c r="E42">
        <v>2.3115694838006929E-8</v>
      </c>
      <c r="F42">
        <v>3.2969348591119986E-6</v>
      </c>
      <c r="G42">
        <v>1.8863655260261292E-6</v>
      </c>
      <c r="H42">
        <v>1.5297321323169336E-4</v>
      </c>
      <c r="I42">
        <v>1.0548805745729671E-6</v>
      </c>
      <c r="J42">
        <v>0</v>
      </c>
      <c r="K42">
        <v>2.4774766413449907E-3</v>
      </c>
      <c r="L42">
        <v>8.2419004686159586E-8</v>
      </c>
      <c r="M42">
        <v>0</v>
      </c>
      <c r="N42">
        <v>2.6949824354834956E-5</v>
      </c>
      <c r="O42">
        <v>5.4000724308268548E-8</v>
      </c>
      <c r="P42">
        <v>1.6103949480180794E-8</v>
      </c>
      <c r="Q42">
        <v>6.0815337397964398E-9</v>
      </c>
      <c r="R42" s="116">
        <v>0</v>
      </c>
      <c r="S42">
        <v>4.9449559109015382E-3</v>
      </c>
      <c r="T42" s="120">
        <f t="shared" si="0"/>
        <v>7.6975626969936761E-3</v>
      </c>
    </row>
    <row r="43" spans="1:20" x14ac:dyDescent="0.15">
      <c r="A43">
        <v>42</v>
      </c>
      <c r="B43" t="s">
        <v>214</v>
      </c>
      <c r="C43">
        <v>7.1825491388996425E-3</v>
      </c>
      <c r="D43">
        <v>1.4761727231551365E-4</v>
      </c>
      <c r="E43">
        <v>6.9299287528665482E-6</v>
      </c>
      <c r="F43">
        <v>2.1546668817271791E-5</v>
      </c>
      <c r="G43">
        <v>7.307396764314922E-4</v>
      </c>
      <c r="H43">
        <v>5.9662798653916826E-2</v>
      </c>
      <c r="I43">
        <v>4.1624666649538888E-4</v>
      </c>
      <c r="J43">
        <v>1.5062857930391365E-3</v>
      </c>
      <c r="K43">
        <v>6.3849309084657577E-4</v>
      </c>
      <c r="L43">
        <v>1.4967675479659673E-3</v>
      </c>
      <c r="M43">
        <v>3.8760176359765039E-4</v>
      </c>
      <c r="N43">
        <v>3.1151519943774246E-3</v>
      </c>
      <c r="O43">
        <v>1.664386757378859E-3</v>
      </c>
      <c r="P43">
        <v>5.8404806800329119E-6</v>
      </c>
      <c r="Q43">
        <v>7.6710002194464719E-6</v>
      </c>
      <c r="R43">
        <v>1.9227236859411835E-5</v>
      </c>
      <c r="S43">
        <v>1.024069765524465E-2</v>
      </c>
      <c r="T43" s="120">
        <f t="shared" si="0"/>
        <v>8.7250551325838172E-2</v>
      </c>
    </row>
    <row r="44" spans="1:20" x14ac:dyDescent="0.15">
      <c r="A44">
        <v>43</v>
      </c>
      <c r="B44" t="s">
        <v>215</v>
      </c>
      <c r="C44">
        <v>2.7638715706894898E-3</v>
      </c>
      <c r="D44">
        <v>4.0763191266088401E-6</v>
      </c>
      <c r="E44">
        <v>0</v>
      </c>
      <c r="F44">
        <v>1.4265282043631917E-6</v>
      </c>
      <c r="G44">
        <v>3.0639848468041434E-5</v>
      </c>
      <c r="H44">
        <v>7.8168256415294037E-3</v>
      </c>
      <c r="I44">
        <v>3.1336615653259363E-5</v>
      </c>
      <c r="J44">
        <v>5.4040034599885116E-5</v>
      </c>
      <c r="K44">
        <v>4.9105609993368396E-4</v>
      </c>
      <c r="L44">
        <v>2.3437747863169124E-4</v>
      </c>
      <c r="M44">
        <v>2.6605455506667962E-6</v>
      </c>
      <c r="N44">
        <v>2.2093477062111427E-6</v>
      </c>
      <c r="O44">
        <v>1.2651306832724803E-6</v>
      </c>
      <c r="P44">
        <v>0</v>
      </c>
      <c r="Q44">
        <v>0</v>
      </c>
      <c r="R44" s="116">
        <v>0</v>
      </c>
      <c r="S44">
        <v>1.7142704298950885E-6</v>
      </c>
      <c r="T44" s="120">
        <f t="shared" si="0"/>
        <v>1.1435499431206472E-2</v>
      </c>
    </row>
    <row r="45" spans="1:20" x14ac:dyDescent="0.15">
      <c r="A45">
        <v>44</v>
      </c>
      <c r="B45" t="s">
        <v>216</v>
      </c>
      <c r="C45">
        <v>1.5978891744817525E-3</v>
      </c>
      <c r="D45">
        <v>3.8868749624720494E-5</v>
      </c>
      <c r="E45">
        <v>8.6384957362546727E-7</v>
      </c>
      <c r="F45">
        <v>1.2150091113233493E-5</v>
      </c>
      <c r="G45">
        <v>1.7567186228172339E-4</v>
      </c>
      <c r="H45">
        <v>2.7569992118979498E-4</v>
      </c>
      <c r="I45">
        <v>5.7902495060766716E-5</v>
      </c>
      <c r="J45">
        <v>3.3850919737736366E-4</v>
      </c>
      <c r="K45">
        <v>3.2847214209875958E-4</v>
      </c>
      <c r="L45">
        <v>2.7267079437786837E-4</v>
      </c>
      <c r="M45">
        <v>9.9969252289005392E-5</v>
      </c>
      <c r="N45">
        <v>1.8988834244000035E-3</v>
      </c>
      <c r="O45">
        <v>5.211491583137427E-4</v>
      </c>
      <c r="P45">
        <v>9.6330098872795868E-7</v>
      </c>
      <c r="Q45">
        <v>1.0261353262614467E-6</v>
      </c>
      <c r="R45">
        <v>6.6338922625884497E-7</v>
      </c>
      <c r="S45">
        <v>4.4252852195965997E-6</v>
      </c>
      <c r="T45" s="120">
        <f t="shared" si="0"/>
        <v>5.6257782229432052E-3</v>
      </c>
    </row>
    <row r="46" spans="1:20" x14ac:dyDescent="0.15">
      <c r="A46">
        <v>45</v>
      </c>
      <c r="B46" t="s">
        <v>217</v>
      </c>
      <c r="C46">
        <v>6.2471903863793739E-4</v>
      </c>
      <c r="D46">
        <v>2.2592410894474224E-5</v>
      </c>
      <c r="E46">
        <v>3.9409719214501821E-6</v>
      </c>
      <c r="F46">
        <v>2.3943397739682311E-4</v>
      </c>
      <c r="G46">
        <v>2.5075465232323417E-4</v>
      </c>
      <c r="H46">
        <v>5.1304186792883516E-3</v>
      </c>
      <c r="I46">
        <v>3.2584658672761941E-5</v>
      </c>
      <c r="J46">
        <v>0</v>
      </c>
      <c r="K46">
        <v>1.8175063366706072E-3</v>
      </c>
      <c r="L46">
        <v>2.0066057633451421E-5</v>
      </c>
      <c r="M46">
        <v>0</v>
      </c>
      <c r="N46">
        <v>2.0917324735601209E-5</v>
      </c>
      <c r="O46">
        <v>9.8625607882043495E-7</v>
      </c>
      <c r="P46">
        <v>1.3749511149593579E-7</v>
      </c>
      <c r="Q46">
        <v>6.0030930684711286E-7</v>
      </c>
      <c r="R46" s="116">
        <v>0</v>
      </c>
      <c r="S46">
        <v>1.459282443621089E-3</v>
      </c>
      <c r="T46" s="120">
        <f t="shared" si="0"/>
        <v>9.6239406122929465E-3</v>
      </c>
    </row>
    <row r="47" spans="1:20" x14ac:dyDescent="0.15">
      <c r="A47">
        <v>46</v>
      </c>
      <c r="B47" t="s">
        <v>218</v>
      </c>
      <c r="C47">
        <v>3.0067715423060854E-4</v>
      </c>
      <c r="D47">
        <v>1.1268254345153652E-6</v>
      </c>
      <c r="E47">
        <v>1.0773930699873847E-7</v>
      </c>
      <c r="F47">
        <v>1.2494343927623171E-5</v>
      </c>
      <c r="G47">
        <v>6.9510553047270405E-6</v>
      </c>
      <c r="H47">
        <v>4.984690485337228E-4</v>
      </c>
      <c r="I47">
        <v>2.4983579898997273E-6</v>
      </c>
      <c r="J47">
        <v>0</v>
      </c>
      <c r="K47">
        <v>8.8756882046679766E-3</v>
      </c>
      <c r="L47">
        <v>2.5406959320514127E-7</v>
      </c>
      <c r="M47">
        <v>0</v>
      </c>
      <c r="N47">
        <v>9.7966276506447354E-5</v>
      </c>
      <c r="O47">
        <v>2.2874949217195845E-7</v>
      </c>
      <c r="P47">
        <v>9.2326605580319676E-8</v>
      </c>
      <c r="Q47">
        <v>3.7480491388288396E-8</v>
      </c>
      <c r="R47">
        <v>0</v>
      </c>
      <c r="S47">
        <v>1.8750009921030228E-4</v>
      </c>
      <c r="T47" s="120">
        <f t="shared" si="0"/>
        <v>9.9840917312951638E-3</v>
      </c>
    </row>
    <row r="48" spans="1:20" x14ac:dyDescent="0.15">
      <c r="A48">
        <v>47</v>
      </c>
      <c r="B48" t="s">
        <v>219</v>
      </c>
      <c r="C48">
        <v>3.3128584166187474E-5</v>
      </c>
      <c r="D48">
        <v>8.25013194628588E-6</v>
      </c>
      <c r="E48">
        <v>2.63919893347625E-7</v>
      </c>
      <c r="F48">
        <v>6.5737110419576001E-8</v>
      </c>
      <c r="G48">
        <v>1.3454994076334163E-5</v>
      </c>
      <c r="H48">
        <v>5.9838571326057938E-2</v>
      </c>
      <c r="I48">
        <v>1.34323999347742E-4</v>
      </c>
      <c r="J48">
        <v>0</v>
      </c>
      <c r="K48">
        <v>4.0754723680499996E-5</v>
      </c>
      <c r="L48">
        <v>5.6611848999306517E-6</v>
      </c>
      <c r="M48">
        <v>8.2973222528630304E-7</v>
      </c>
      <c r="N48">
        <v>6.1103204348088834E-6</v>
      </c>
      <c r="O48">
        <v>1.6787386279663182E-6</v>
      </c>
      <c r="P48">
        <v>0</v>
      </c>
      <c r="Q48">
        <v>0</v>
      </c>
      <c r="R48" s="116">
        <v>0</v>
      </c>
      <c r="S48">
        <v>4.1395734812807456E-7</v>
      </c>
      <c r="T48" s="120">
        <f t="shared" si="0"/>
        <v>6.008350734981488E-2</v>
      </c>
    </row>
    <row r="49" spans="1:20" x14ac:dyDescent="0.15">
      <c r="A49">
        <v>48</v>
      </c>
      <c r="B49" t="s">
        <v>220</v>
      </c>
      <c r="C49">
        <v>3.7298628279531666E-6</v>
      </c>
      <c r="D49">
        <v>1.092644951363975E-6</v>
      </c>
      <c r="E49">
        <v>3.9169845779297601E-8</v>
      </c>
      <c r="F49">
        <v>1.1545128322350455E-8</v>
      </c>
      <c r="G49">
        <v>1.4979081624091098E-6</v>
      </c>
      <c r="H49">
        <v>6.2889433699970798E-3</v>
      </c>
      <c r="I49">
        <v>1.5493061316400713E-5</v>
      </c>
      <c r="J49">
        <v>0</v>
      </c>
      <c r="K49">
        <v>4.0476175421772843E-6</v>
      </c>
      <c r="L49">
        <v>6.3129636093616053E-7</v>
      </c>
      <c r="M49">
        <v>3.05524718427742E-8</v>
      </c>
      <c r="N49">
        <v>6.8238319642004909E-7</v>
      </c>
      <c r="O49">
        <v>1.6012096527160761E-7</v>
      </c>
      <c r="P49">
        <v>0</v>
      </c>
      <c r="Q49">
        <v>0</v>
      </c>
      <c r="R49">
        <v>0</v>
      </c>
      <c r="S49">
        <v>6.454487906498935E-5</v>
      </c>
      <c r="T49" s="120">
        <f t="shared" si="0"/>
        <v>6.3809044118309458E-3</v>
      </c>
    </row>
    <row r="50" spans="1:20" x14ac:dyDescent="0.15">
      <c r="A50">
        <v>49</v>
      </c>
      <c r="B50" t="s">
        <v>221</v>
      </c>
      <c r="C50">
        <v>9.944389950439785E-5</v>
      </c>
      <c r="D50">
        <v>2.0836519593080291E-7</v>
      </c>
      <c r="E50">
        <v>0</v>
      </c>
      <c r="F50">
        <v>4.4115721586816693E-8</v>
      </c>
      <c r="G50">
        <v>1.0436050352157027E-6</v>
      </c>
      <c r="H50">
        <v>3.0716928431695332E-4</v>
      </c>
      <c r="I50">
        <v>1.8254508478484683E-6</v>
      </c>
      <c r="J50">
        <v>2.6161888092385766E-6</v>
      </c>
      <c r="K50">
        <v>1.3462996229181529E-5</v>
      </c>
      <c r="L50">
        <v>8.9437407491586814E-6</v>
      </c>
      <c r="M50">
        <v>1.3579506613027637E-7</v>
      </c>
      <c r="N50">
        <v>5.9713838074803434E-8</v>
      </c>
      <c r="O50">
        <v>6.8941281623744576E-8</v>
      </c>
      <c r="P50">
        <v>0</v>
      </c>
      <c r="Q50">
        <v>0</v>
      </c>
      <c r="R50" s="116">
        <v>0</v>
      </c>
      <c r="S50">
        <v>0</v>
      </c>
      <c r="T50" s="120">
        <f t="shared" si="0"/>
        <v>4.3502209659534064E-4</v>
      </c>
    </row>
    <row r="51" spans="1:20" ht="15" customHeight="1" x14ac:dyDescent="0.15">
      <c r="A51">
        <v>50</v>
      </c>
      <c r="B51" t="s">
        <v>222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 s="120">
        <f t="shared" si="0"/>
        <v>0</v>
      </c>
    </row>
    <row r="52" spans="1:20" ht="15" customHeight="1" x14ac:dyDescent="0.15">
      <c r="A52">
        <v>51</v>
      </c>
      <c r="B52" t="s">
        <v>223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 s="116">
        <v>0</v>
      </c>
      <c r="S52">
        <v>0</v>
      </c>
      <c r="T52" s="120">
        <f t="shared" si="0"/>
        <v>0</v>
      </c>
    </row>
    <row r="53" spans="1:20" ht="15" customHeight="1" x14ac:dyDescent="0.15">
      <c r="A53">
        <v>52</v>
      </c>
      <c r="B53" t="s">
        <v>224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 s="120">
        <f t="shared" si="0"/>
        <v>0</v>
      </c>
    </row>
    <row r="54" spans="1:20" ht="15" customHeight="1" x14ac:dyDescent="0.15">
      <c r="A54">
        <v>53</v>
      </c>
      <c r="B54" t="s">
        <v>225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 s="116">
        <v>0</v>
      </c>
      <c r="S54">
        <v>0</v>
      </c>
      <c r="T54" s="120">
        <f t="shared" si="0"/>
        <v>0</v>
      </c>
    </row>
    <row r="55" spans="1:20" ht="15" customHeight="1" x14ac:dyDescent="0.15">
      <c r="A55">
        <v>54</v>
      </c>
      <c r="B55" t="s">
        <v>226</v>
      </c>
      <c r="C55">
        <v>1.9764523905555883E-5</v>
      </c>
      <c r="D55">
        <v>0</v>
      </c>
      <c r="E55">
        <v>0</v>
      </c>
      <c r="F55">
        <v>0</v>
      </c>
      <c r="G55">
        <v>3.2164094980409966E-6</v>
      </c>
      <c r="H55">
        <v>8.1847083181900144E-4</v>
      </c>
      <c r="I55">
        <v>0.38067641894379506</v>
      </c>
      <c r="J55">
        <v>1.34736042915871E-2</v>
      </c>
      <c r="K55">
        <v>3.1586051849720448E-4</v>
      </c>
      <c r="L55">
        <v>4.2252974388838503E-6</v>
      </c>
      <c r="M55">
        <v>8.5764751347381593E-6</v>
      </c>
      <c r="N55">
        <v>5.560081583379643E-5</v>
      </c>
      <c r="O55">
        <v>9.8827798125023585E-5</v>
      </c>
      <c r="P55">
        <v>7.6638529468080188E-3</v>
      </c>
      <c r="Q55">
        <v>9.2900334894091565E-6</v>
      </c>
      <c r="R55">
        <v>2.4607373411592252E-3</v>
      </c>
      <c r="S55">
        <v>0</v>
      </c>
      <c r="T55" s="120">
        <f t="shared" si="0"/>
        <v>0.40560844622709102</v>
      </c>
    </row>
    <row r="56" spans="1:20" ht="15" customHeight="1" x14ac:dyDescent="0.15">
      <c r="A56">
        <v>55</v>
      </c>
      <c r="B56" t="s">
        <v>227</v>
      </c>
      <c r="C56">
        <v>3.7885231037002904E-7</v>
      </c>
      <c r="D56">
        <v>0</v>
      </c>
      <c r="E56">
        <v>0</v>
      </c>
      <c r="F56">
        <v>0</v>
      </c>
      <c r="G56">
        <v>6.4861485686331368E-8</v>
      </c>
      <c r="H56">
        <v>1.5872764413131223E-5</v>
      </c>
      <c r="I56">
        <v>7.8861644483571424E-3</v>
      </c>
      <c r="J56">
        <v>2.7247154619801199E-4</v>
      </c>
      <c r="K56">
        <v>6.5464696340632468E-6</v>
      </c>
      <c r="L56">
        <v>8.1911658317005207E-8</v>
      </c>
      <c r="M56">
        <v>1.78158888711556E-7</v>
      </c>
      <c r="N56">
        <v>1.1642789409056596E-6</v>
      </c>
      <c r="O56">
        <v>2.4126855254288876E-6</v>
      </c>
      <c r="P56">
        <v>1.695233467258555E-4</v>
      </c>
      <c r="Q56">
        <v>1.8198818734349636E-7</v>
      </c>
      <c r="R56">
        <v>5.5218614612277385E-5</v>
      </c>
      <c r="S56">
        <v>0</v>
      </c>
      <c r="T56" s="120">
        <f t="shared" si="0"/>
        <v>8.4102599269372455E-3</v>
      </c>
    </row>
    <row r="57" spans="1:20" ht="15" customHeight="1" x14ac:dyDescent="0.15">
      <c r="A57">
        <v>56</v>
      </c>
      <c r="B57" t="s">
        <v>228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 s="120">
        <f t="shared" si="0"/>
        <v>0</v>
      </c>
    </row>
    <row r="58" spans="1:20" ht="15" customHeight="1" x14ac:dyDescent="0.15">
      <c r="A58">
        <v>57</v>
      </c>
      <c r="B58" t="s">
        <v>229</v>
      </c>
      <c r="C58">
        <v>0</v>
      </c>
      <c r="D58">
        <v>0</v>
      </c>
      <c r="E58">
        <v>6.4916643754749764E-6</v>
      </c>
      <c r="F58">
        <v>0</v>
      </c>
      <c r="G58">
        <v>5.1193148028907377E-6</v>
      </c>
      <c r="H58">
        <v>1.404827251056604E-4</v>
      </c>
      <c r="I58">
        <v>5.408697034519172E-5</v>
      </c>
      <c r="J58">
        <v>1.1951569895932912E-3</v>
      </c>
      <c r="K58">
        <v>0</v>
      </c>
      <c r="L58">
        <v>0</v>
      </c>
      <c r="M58">
        <v>3.8509654194166149E-6</v>
      </c>
      <c r="N58">
        <v>0</v>
      </c>
      <c r="O58">
        <v>4.3219601013293436E-6</v>
      </c>
      <c r="P58">
        <v>0</v>
      </c>
      <c r="Q58">
        <v>1.3313619363826801E-2</v>
      </c>
      <c r="R58">
        <v>6.4420246741334682E-4</v>
      </c>
      <c r="S58">
        <v>0</v>
      </c>
      <c r="T58" s="120">
        <f t="shared" si="0"/>
        <v>1.5367332420983404E-2</v>
      </c>
    </row>
    <row r="59" spans="1:20" ht="15" customHeight="1" x14ac:dyDescent="0.15">
      <c r="A59">
        <v>58</v>
      </c>
      <c r="B59" t="s">
        <v>230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 s="120">
        <f t="shared" si="0"/>
        <v>0</v>
      </c>
    </row>
    <row r="60" spans="1:20" ht="15" customHeight="1" x14ac:dyDescent="0.15">
      <c r="A60">
        <v>59</v>
      </c>
      <c r="B60" t="s">
        <v>231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2.48679648141572E-8</v>
      </c>
      <c r="R60">
        <v>1.3809540191489294E-3</v>
      </c>
      <c r="S60">
        <v>0</v>
      </c>
      <c r="T60" s="120">
        <f t="shared" si="0"/>
        <v>1.3809788871137435E-3</v>
      </c>
    </row>
    <row r="61" spans="1:20" ht="15" customHeight="1" x14ac:dyDescent="0.15">
      <c r="A61">
        <v>60</v>
      </c>
      <c r="B61" t="s">
        <v>232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 s="120">
        <f t="shared" si="0"/>
        <v>0</v>
      </c>
    </row>
    <row r="62" spans="1:20" ht="15" customHeight="1" x14ac:dyDescent="0.15">
      <c r="A62">
        <v>61</v>
      </c>
      <c r="B62" t="s">
        <v>233</v>
      </c>
      <c r="C62">
        <v>6.87795507080019E-7</v>
      </c>
      <c r="D62">
        <v>9.4329490885568438E-6</v>
      </c>
      <c r="E62">
        <v>0</v>
      </c>
      <c r="F62">
        <v>0</v>
      </c>
      <c r="G62">
        <v>5.347799825131826E-7</v>
      </c>
      <c r="H62">
        <v>2.7181444057449057E-6</v>
      </c>
      <c r="I62">
        <v>2.7061479744040317E-6</v>
      </c>
      <c r="J62">
        <v>0</v>
      </c>
      <c r="K62">
        <v>2.9815712326291761E-7</v>
      </c>
      <c r="L62">
        <v>2.3515984903657502E-5</v>
      </c>
      <c r="M62">
        <v>0</v>
      </c>
      <c r="N62">
        <v>8.6090477268584033E-6</v>
      </c>
      <c r="O62">
        <v>7.2831538927773512E-2</v>
      </c>
      <c r="P62">
        <v>5.1626424223542269E-6</v>
      </c>
      <c r="Q62">
        <v>4.3462801190350035E-7</v>
      </c>
      <c r="R62">
        <v>3.5130619757933169E-5</v>
      </c>
      <c r="S62">
        <v>0</v>
      </c>
      <c r="T62" s="120">
        <f t="shared" si="0"/>
        <v>7.2920769824677781E-2</v>
      </c>
    </row>
    <row r="63" spans="1:20" ht="15" customHeight="1" x14ac:dyDescent="0.15">
      <c r="A63">
        <v>62</v>
      </c>
      <c r="B63" t="s">
        <v>234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 s="120">
        <f t="shared" si="0"/>
        <v>0</v>
      </c>
    </row>
    <row r="64" spans="1:20" ht="15" customHeight="1" x14ac:dyDescent="0.15">
      <c r="A64">
        <v>63</v>
      </c>
      <c r="B64" t="s">
        <v>235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4.2856760747377198E-7</v>
      </c>
      <c r="T64" s="120">
        <f t="shared" si="0"/>
        <v>4.2856760747377198E-7</v>
      </c>
    </row>
    <row r="65" spans="1:20" ht="15" customHeight="1" x14ac:dyDescent="0.15">
      <c r="A65">
        <v>64</v>
      </c>
      <c r="B65" t="s">
        <v>236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 s="120">
        <f t="shared" si="0"/>
        <v>0</v>
      </c>
    </row>
    <row r="66" spans="1:20" ht="15" customHeight="1" x14ac:dyDescent="0.15">
      <c r="A66">
        <v>65</v>
      </c>
      <c r="B66" t="s">
        <v>237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 s="120">
        <f t="shared" si="0"/>
        <v>0</v>
      </c>
    </row>
    <row r="67" spans="1:20" ht="15" customHeight="1" x14ac:dyDescent="0.15">
      <c r="A67">
        <v>66</v>
      </c>
      <c r="B67" t="s">
        <v>238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 s="120">
        <f t="shared" ref="T67:T84" si="1">SUM(C67:S67)</f>
        <v>0</v>
      </c>
    </row>
    <row r="68" spans="1:20" ht="15" customHeight="1" x14ac:dyDescent="0.15">
      <c r="A68">
        <v>67</v>
      </c>
      <c r="B68" t="s">
        <v>239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 s="120">
        <f t="shared" si="1"/>
        <v>0</v>
      </c>
    </row>
    <row r="69" spans="1:20" ht="15" customHeight="1" x14ac:dyDescent="0.15">
      <c r="A69">
        <v>68</v>
      </c>
      <c r="B69" t="s">
        <v>240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 s="120">
        <f t="shared" si="1"/>
        <v>0</v>
      </c>
    </row>
    <row r="70" spans="1:20" ht="15" customHeight="1" x14ac:dyDescent="0.15">
      <c r="A70">
        <v>69</v>
      </c>
      <c r="B70" t="s">
        <v>241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 s="120">
        <f t="shared" si="1"/>
        <v>0</v>
      </c>
    </row>
    <row r="71" spans="1:20" ht="15" customHeight="1" x14ac:dyDescent="0.15">
      <c r="A71">
        <v>70</v>
      </c>
      <c r="B71" t="s">
        <v>242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 s="120">
        <f t="shared" si="1"/>
        <v>0</v>
      </c>
    </row>
    <row r="72" spans="1:20" ht="15" customHeight="1" x14ac:dyDescent="0.15">
      <c r="A72">
        <v>71</v>
      </c>
      <c r="B72" t="s">
        <v>243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 s="120">
        <f t="shared" si="1"/>
        <v>0</v>
      </c>
    </row>
    <row r="73" spans="1:20" ht="15" customHeight="1" x14ac:dyDescent="0.15">
      <c r="A73">
        <v>72</v>
      </c>
      <c r="B73" t="s">
        <v>244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 s="120">
        <f t="shared" si="1"/>
        <v>0</v>
      </c>
    </row>
    <row r="74" spans="1:20" ht="15" customHeight="1" x14ac:dyDescent="0.15">
      <c r="A74">
        <v>73</v>
      </c>
      <c r="B74" t="s">
        <v>245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 s="120">
        <f t="shared" si="1"/>
        <v>0</v>
      </c>
    </row>
    <row r="75" spans="1:20" ht="15" customHeight="1" x14ac:dyDescent="0.15">
      <c r="A75">
        <v>74</v>
      </c>
      <c r="B75" t="s">
        <v>246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 s="120">
        <f t="shared" si="1"/>
        <v>0</v>
      </c>
    </row>
    <row r="76" spans="1:20" ht="15" customHeight="1" x14ac:dyDescent="0.15">
      <c r="A76">
        <v>75</v>
      </c>
      <c r="B76" t="s">
        <v>247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 s="120">
        <f t="shared" si="1"/>
        <v>0</v>
      </c>
    </row>
    <row r="77" spans="1:20" ht="15" customHeight="1" x14ac:dyDescent="0.15">
      <c r="A77">
        <v>76</v>
      </c>
      <c r="B77" t="s">
        <v>248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 s="120">
        <f t="shared" si="1"/>
        <v>0</v>
      </c>
    </row>
    <row r="78" spans="1:20" ht="15" customHeight="1" x14ac:dyDescent="0.15">
      <c r="A78">
        <v>77</v>
      </c>
      <c r="B78" t="s">
        <v>249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 s="120">
        <f t="shared" si="1"/>
        <v>0</v>
      </c>
    </row>
    <row r="79" spans="1:20" ht="15" customHeight="1" x14ac:dyDescent="0.15">
      <c r="A79">
        <v>78</v>
      </c>
      <c r="B79" t="s">
        <v>250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 s="120">
        <f t="shared" si="1"/>
        <v>0</v>
      </c>
    </row>
    <row r="80" spans="1:20" ht="15" customHeight="1" x14ac:dyDescent="0.15">
      <c r="A80">
        <v>79</v>
      </c>
      <c r="B80" t="s">
        <v>251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 s="120">
        <f t="shared" si="1"/>
        <v>0</v>
      </c>
    </row>
    <row r="81" spans="1:20" ht="15" customHeight="1" x14ac:dyDescent="0.15">
      <c r="A81">
        <v>80</v>
      </c>
      <c r="B81" t="s">
        <v>252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 s="120">
        <f t="shared" si="1"/>
        <v>0</v>
      </c>
    </row>
    <row r="82" spans="1:20" ht="15" customHeight="1" x14ac:dyDescent="0.15">
      <c r="A82">
        <v>81</v>
      </c>
      <c r="B82" t="s">
        <v>253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 s="120">
        <f t="shared" si="1"/>
        <v>0</v>
      </c>
    </row>
    <row r="83" spans="1:20" ht="15" customHeight="1" x14ac:dyDescent="0.15">
      <c r="A83">
        <v>82</v>
      </c>
      <c r="B83" t="s">
        <v>254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 s="120">
        <f t="shared" si="1"/>
        <v>0</v>
      </c>
    </row>
    <row r="84" spans="1:20" ht="15" customHeight="1" x14ac:dyDescent="0.15">
      <c r="A84">
        <v>83</v>
      </c>
      <c r="B84" t="s">
        <v>255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 s="120">
        <f t="shared" si="1"/>
        <v>0</v>
      </c>
    </row>
    <row r="85" spans="1:20" ht="15" customHeight="1" x14ac:dyDescent="0.15"/>
    <row r="86" spans="1:20" ht="15" customHeight="1" x14ac:dyDescent="0.15"/>
    <row r="87" spans="1:20" ht="15" customHeight="1" x14ac:dyDescent="0.15"/>
    <row r="88" spans="1:20" ht="15" customHeight="1" x14ac:dyDescent="0.15"/>
    <row r="89" spans="1:20" ht="15" customHeight="1" x14ac:dyDescent="0.15"/>
    <row r="90" spans="1:20" ht="15" customHeight="1" x14ac:dyDescent="0.15"/>
    <row r="91" spans="1:20" ht="15" customHeight="1" x14ac:dyDescent="0.15"/>
    <row r="92" spans="1:20" ht="15" customHeight="1" x14ac:dyDescent="0.15"/>
    <row r="93" spans="1:20" ht="15" customHeight="1" x14ac:dyDescent="0.15"/>
    <row r="94" spans="1:20" ht="15" customHeight="1" x14ac:dyDescent="0.15"/>
    <row r="95" spans="1:20" ht="15" customHeight="1" x14ac:dyDescent="0.15"/>
    <row r="96" spans="1:20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X108"/>
  <sheetViews>
    <sheetView zoomScaleNormal="100" workbookViewId="0">
      <pane xSplit="2" ySplit="1" topLeftCell="C77" activePane="bottomRight" state="frozen"/>
      <selection pane="topRight" activeCell="D1" sqref="D1"/>
      <selection pane="bottomLeft" activeCell="A2" sqref="A2"/>
      <selection pane="bottomRight" activeCell="B88" sqref="B88"/>
    </sheetView>
  </sheetViews>
  <sheetFormatPr baseColWidth="10" defaultColWidth="8.83203125" defaultRowHeight="13" x14ac:dyDescent="0.15"/>
  <cols>
    <col min="1" max="1" width="12.6640625" customWidth="1"/>
    <col min="2" max="2" width="46.5" bestFit="1" customWidth="1"/>
    <col min="3" max="3" width="14.83203125" bestFit="1" customWidth="1"/>
    <col min="4" max="4" width="15.5" bestFit="1" customWidth="1"/>
    <col min="5" max="5" width="24.33203125" bestFit="1" customWidth="1"/>
    <col min="6" max="6" width="27.5" bestFit="1" customWidth="1"/>
    <col min="7" max="7" width="35.5" bestFit="1" customWidth="1"/>
    <col min="8" max="8" width="30.6640625" bestFit="1" customWidth="1"/>
    <col min="9" max="9" width="19" bestFit="1" customWidth="1"/>
    <col min="10" max="10" width="32.33203125" bestFit="1" customWidth="1"/>
    <col min="11" max="11" width="21.5" bestFit="1" customWidth="1"/>
    <col min="12" max="12" width="14.33203125" bestFit="1" customWidth="1"/>
    <col min="13" max="13" width="12.6640625" bestFit="1" customWidth="1"/>
    <col min="14" max="14" width="14.33203125" bestFit="1" customWidth="1"/>
    <col min="15" max="15" width="24" bestFit="1" customWidth="1"/>
    <col min="16" max="16" width="26.6640625" bestFit="1" customWidth="1"/>
    <col min="17" max="17" width="13" bestFit="1" customWidth="1"/>
    <col min="18" max="18" width="22" bestFit="1" customWidth="1"/>
    <col min="19" max="19" width="22" customWidth="1"/>
    <col min="20" max="20" width="10.83203125" customWidth="1"/>
  </cols>
  <sheetData>
    <row r="1" spans="1:20" s="119" customFormat="1" ht="28" x14ac:dyDescent="0.15">
      <c r="A1" s="5" t="s">
        <v>23</v>
      </c>
      <c r="B1" s="3" t="s">
        <v>0</v>
      </c>
      <c r="C1" s="227" t="s">
        <v>256</v>
      </c>
      <c r="D1" s="227" t="s">
        <v>257</v>
      </c>
      <c r="E1" s="227" t="s">
        <v>258</v>
      </c>
      <c r="F1" s="227" t="s">
        <v>259</v>
      </c>
      <c r="G1" s="227" t="s">
        <v>260</v>
      </c>
      <c r="H1" s="227" t="s">
        <v>261</v>
      </c>
      <c r="I1" s="227" t="s">
        <v>262</v>
      </c>
      <c r="J1" s="227" t="s">
        <v>263</v>
      </c>
      <c r="K1" s="227" t="s">
        <v>264</v>
      </c>
      <c r="L1" s="227" t="s">
        <v>265</v>
      </c>
      <c r="M1" s="227" t="s">
        <v>266</v>
      </c>
      <c r="N1" s="227" t="s">
        <v>267</v>
      </c>
      <c r="O1" s="227" t="s">
        <v>268</v>
      </c>
      <c r="P1" s="227" t="s">
        <v>269</v>
      </c>
      <c r="Q1" s="227" t="s">
        <v>270</v>
      </c>
      <c r="R1" s="227" t="s">
        <v>271</v>
      </c>
      <c r="S1" s="228" t="s">
        <v>275</v>
      </c>
      <c r="T1" s="119" t="s">
        <v>12</v>
      </c>
    </row>
    <row r="2" spans="1:20" x14ac:dyDescent="0.15">
      <c r="A2">
        <v>1</v>
      </c>
      <c r="B2" t="s">
        <v>176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20">
        <f>SUM(C2:S2)</f>
        <v>0</v>
      </c>
    </row>
    <row r="3" spans="1:20" x14ac:dyDescent="0.15">
      <c r="A3">
        <v>2</v>
      </c>
      <c r="B3" t="s">
        <v>177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20">
        <f t="shared" ref="T3:T66" si="0">SUM(C3:S3)</f>
        <v>0</v>
      </c>
    </row>
    <row r="4" spans="1:20" x14ac:dyDescent="0.15">
      <c r="A4">
        <v>3</v>
      </c>
      <c r="B4" t="s">
        <v>178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20">
        <f t="shared" si="0"/>
        <v>0</v>
      </c>
    </row>
    <row r="5" spans="1:20" x14ac:dyDescent="0.15">
      <c r="A5">
        <v>4</v>
      </c>
      <c r="B5" t="s">
        <v>179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20">
        <f t="shared" si="0"/>
        <v>0</v>
      </c>
    </row>
    <row r="6" spans="1:20" x14ac:dyDescent="0.15">
      <c r="A6">
        <v>5</v>
      </c>
      <c r="B6" t="s">
        <v>180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 s="120">
        <f t="shared" si="0"/>
        <v>0</v>
      </c>
    </row>
    <row r="7" spans="1:20" x14ac:dyDescent="0.15">
      <c r="A7">
        <v>6</v>
      </c>
      <c r="B7" t="s">
        <v>181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 s="120">
        <f t="shared" si="0"/>
        <v>0</v>
      </c>
    </row>
    <row r="8" spans="1:20" x14ac:dyDescent="0.15">
      <c r="A8">
        <v>7</v>
      </c>
      <c r="B8" t="s">
        <v>182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 s="120">
        <f t="shared" si="0"/>
        <v>0</v>
      </c>
    </row>
    <row r="9" spans="1:20" x14ac:dyDescent="0.15">
      <c r="A9">
        <v>8</v>
      </c>
      <c r="B9" t="s">
        <v>183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 s="120">
        <f t="shared" si="0"/>
        <v>0</v>
      </c>
    </row>
    <row r="10" spans="1:20" x14ac:dyDescent="0.15">
      <c r="A10">
        <v>9</v>
      </c>
      <c r="B10" t="s">
        <v>184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 s="120">
        <f t="shared" si="0"/>
        <v>0</v>
      </c>
    </row>
    <row r="11" spans="1:20" x14ac:dyDescent="0.15">
      <c r="A11">
        <v>10</v>
      </c>
      <c r="B11" t="s">
        <v>185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 s="120">
        <f t="shared" si="0"/>
        <v>0</v>
      </c>
    </row>
    <row r="12" spans="1:20" x14ac:dyDescent="0.15">
      <c r="A12">
        <v>11</v>
      </c>
      <c r="B12" t="s">
        <v>186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 s="120">
        <f t="shared" si="0"/>
        <v>0</v>
      </c>
    </row>
    <row r="13" spans="1:20" x14ac:dyDescent="0.15">
      <c r="A13">
        <v>12</v>
      </c>
      <c r="B13" t="s">
        <v>187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 s="120">
        <f t="shared" si="0"/>
        <v>0</v>
      </c>
    </row>
    <row r="14" spans="1:20" x14ac:dyDescent="0.15">
      <c r="A14">
        <v>13</v>
      </c>
      <c r="B14" t="s">
        <v>188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 s="120">
        <f t="shared" si="0"/>
        <v>0</v>
      </c>
    </row>
    <row r="15" spans="1:20" x14ac:dyDescent="0.15">
      <c r="A15">
        <v>14</v>
      </c>
      <c r="B15" t="s">
        <v>189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 s="120">
        <f t="shared" si="0"/>
        <v>0</v>
      </c>
    </row>
    <row r="16" spans="1:20" x14ac:dyDescent="0.15">
      <c r="A16">
        <v>15</v>
      </c>
      <c r="B16" t="s">
        <v>190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 s="120">
        <f t="shared" si="0"/>
        <v>0</v>
      </c>
    </row>
    <row r="17" spans="1:20" x14ac:dyDescent="0.15">
      <c r="A17">
        <v>16</v>
      </c>
      <c r="B17" t="s">
        <v>191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1.5017922282699642E-4</v>
      </c>
      <c r="K17">
        <v>0</v>
      </c>
      <c r="L17">
        <v>0</v>
      </c>
      <c r="M17">
        <v>5.3132012118665907E-4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 s="120">
        <f t="shared" si="0"/>
        <v>6.8149934401365547E-4</v>
      </c>
    </row>
    <row r="18" spans="1:20" x14ac:dyDescent="0.15">
      <c r="A18">
        <v>17</v>
      </c>
      <c r="B18" t="s">
        <v>192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 s="120">
        <f t="shared" si="0"/>
        <v>0</v>
      </c>
    </row>
    <row r="19" spans="1:20" x14ac:dyDescent="0.15">
      <c r="A19">
        <v>18</v>
      </c>
      <c r="B19" t="s">
        <v>193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2.1710573539165349E-4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 s="120">
        <f t="shared" si="0"/>
        <v>2.1710573539165349E-4</v>
      </c>
    </row>
    <row r="20" spans="1:20" x14ac:dyDescent="0.15">
      <c r="A20">
        <v>19</v>
      </c>
      <c r="B20" t="s">
        <v>194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 s="120">
        <f t="shared" si="0"/>
        <v>0</v>
      </c>
    </row>
    <row r="21" spans="1:20" x14ac:dyDescent="0.15">
      <c r="A21">
        <v>20</v>
      </c>
      <c r="B21" t="s">
        <v>195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6.0192457297411227E-4</v>
      </c>
      <c r="K21">
        <v>0</v>
      </c>
      <c r="L21">
        <v>0</v>
      </c>
      <c r="M21">
        <v>2.1295531501468339E-3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 s="120">
        <f t="shared" si="0"/>
        <v>2.7314777231209463E-3</v>
      </c>
    </row>
    <row r="22" spans="1:20" x14ac:dyDescent="0.15">
      <c r="A22">
        <v>21</v>
      </c>
      <c r="B22" t="s">
        <v>196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 s="120">
        <f t="shared" si="0"/>
        <v>0</v>
      </c>
    </row>
    <row r="23" spans="1:20" x14ac:dyDescent="0.15">
      <c r="A23">
        <v>22</v>
      </c>
      <c r="B23" t="s">
        <v>197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6.0192457297411227E-4</v>
      </c>
      <c r="K23">
        <v>0</v>
      </c>
      <c r="L23">
        <v>0</v>
      </c>
      <c r="M23">
        <v>2.1295531501468339E-3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 s="120">
        <f t="shared" si="0"/>
        <v>2.7314777231209463E-3</v>
      </c>
    </row>
    <row r="24" spans="1:20" x14ac:dyDescent="0.15">
      <c r="A24">
        <v>23</v>
      </c>
      <c r="B24" t="s">
        <v>198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 s="120">
        <f t="shared" si="0"/>
        <v>0</v>
      </c>
    </row>
    <row r="25" spans="1:20" x14ac:dyDescent="0.15">
      <c r="A25">
        <v>24</v>
      </c>
      <c r="B25" t="s">
        <v>273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 s="120">
        <f t="shared" si="0"/>
        <v>0</v>
      </c>
    </row>
    <row r="26" spans="1:20" x14ac:dyDescent="0.15">
      <c r="A26">
        <v>25</v>
      </c>
      <c r="B26" t="s">
        <v>398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 s="120">
        <f t="shared" si="0"/>
        <v>0</v>
      </c>
    </row>
    <row r="27" spans="1:20" x14ac:dyDescent="0.15">
      <c r="A27">
        <v>26</v>
      </c>
      <c r="B27" t="s">
        <v>399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 s="120">
        <f t="shared" si="0"/>
        <v>0</v>
      </c>
    </row>
    <row r="28" spans="1:20" x14ac:dyDescent="0.15">
      <c r="A28">
        <v>27</v>
      </c>
      <c r="B28" t="s">
        <v>199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 s="120">
        <f t="shared" si="0"/>
        <v>0</v>
      </c>
    </row>
    <row r="29" spans="1:20" x14ac:dyDescent="0.15">
      <c r="A29">
        <v>28</v>
      </c>
      <c r="B29" t="s">
        <v>200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 s="120">
        <f t="shared" si="0"/>
        <v>0</v>
      </c>
    </row>
    <row r="30" spans="1:20" x14ac:dyDescent="0.15">
      <c r="A30">
        <v>29</v>
      </c>
      <c r="B30" t="s">
        <v>201</v>
      </c>
      <c r="C30">
        <v>1.6451224171401337E-4</v>
      </c>
      <c r="D30">
        <v>5.4474549767025335E-5</v>
      </c>
      <c r="E30">
        <v>7.4065178112330259E-8</v>
      </c>
      <c r="F30">
        <v>9.0164573205477725E-5</v>
      </c>
      <c r="G30">
        <v>7.5912912092581217E-6</v>
      </c>
      <c r="H30">
        <v>4.0545712903041764E-3</v>
      </c>
      <c r="I30">
        <v>4.9619897826857216E-4</v>
      </c>
      <c r="J30">
        <v>0</v>
      </c>
      <c r="K30">
        <v>9.3424766074183031E-4</v>
      </c>
      <c r="L30">
        <v>0</v>
      </c>
      <c r="M30">
        <v>0</v>
      </c>
      <c r="N30">
        <v>5.2444688740260694E-5</v>
      </c>
      <c r="O30">
        <v>1.0800807421316786E-3</v>
      </c>
      <c r="P30">
        <v>1.1187592352639401E-4</v>
      </c>
      <c r="Q30">
        <v>0</v>
      </c>
      <c r="R30">
        <v>0</v>
      </c>
      <c r="S30">
        <v>0</v>
      </c>
      <c r="T30" s="120">
        <f t="shared" si="0"/>
        <v>7.0462360047867986E-3</v>
      </c>
    </row>
    <row r="31" spans="1:20" x14ac:dyDescent="0.15">
      <c r="A31" t="s">
        <v>394</v>
      </c>
      <c r="B31" t="s">
        <v>202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 s="120">
        <f t="shared" si="0"/>
        <v>0</v>
      </c>
    </row>
    <row r="32" spans="1:20" x14ac:dyDescent="0.15">
      <c r="A32">
        <v>31</v>
      </c>
      <c r="B32" t="s">
        <v>203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 s="120">
        <f t="shared" si="0"/>
        <v>0</v>
      </c>
    </row>
    <row r="33" spans="1:24" x14ac:dyDescent="0.15">
      <c r="A33">
        <v>32</v>
      </c>
      <c r="B33" t="s">
        <v>204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 s="120">
        <f t="shared" si="0"/>
        <v>0</v>
      </c>
    </row>
    <row r="34" spans="1:24" x14ac:dyDescent="0.15">
      <c r="A34">
        <v>33</v>
      </c>
      <c r="B34" t="s">
        <v>205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 s="120">
        <f t="shared" si="0"/>
        <v>0</v>
      </c>
    </row>
    <row r="35" spans="1:24" x14ac:dyDescent="0.15">
      <c r="A35">
        <v>34</v>
      </c>
      <c r="B35" t="s">
        <v>206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3.221343223888525E-4</v>
      </c>
      <c r="K35">
        <v>0</v>
      </c>
      <c r="L35">
        <v>0</v>
      </c>
      <c r="M35">
        <v>1.1396812687411249E-3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 s="120">
        <f t="shared" si="0"/>
        <v>1.4618155911299774E-3</v>
      </c>
    </row>
    <row r="36" spans="1:24" x14ac:dyDescent="0.15">
      <c r="A36">
        <v>35</v>
      </c>
      <c r="B36" t="s">
        <v>207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5.789407900552479E-4</v>
      </c>
      <c r="K36">
        <v>0</v>
      </c>
      <c r="L36">
        <v>0</v>
      </c>
      <c r="M36">
        <v>2.0482386640554608E-3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 s="120">
        <f t="shared" si="0"/>
        <v>2.6271794541107086E-3</v>
      </c>
    </row>
    <row r="37" spans="1:24" x14ac:dyDescent="0.15">
      <c r="A37">
        <v>36</v>
      </c>
      <c r="B37" t="s">
        <v>208</v>
      </c>
      <c r="C37">
        <v>8.594961667456688E-5</v>
      </c>
      <c r="D37">
        <v>2.7954754490793149E-5</v>
      </c>
      <c r="E37">
        <v>3.6494606237298613E-8</v>
      </c>
      <c r="F37">
        <v>9.4105895041744531E-5</v>
      </c>
      <c r="G37">
        <v>3.8002378116279073E-6</v>
      </c>
      <c r="H37">
        <v>1.4892460269122257E-4</v>
      </c>
      <c r="I37">
        <v>1.4446244508117194E-6</v>
      </c>
      <c r="J37">
        <v>0</v>
      </c>
      <c r="K37">
        <v>3.1966655881363569E-5</v>
      </c>
      <c r="L37">
        <v>0</v>
      </c>
      <c r="M37">
        <v>0</v>
      </c>
      <c r="N37">
        <v>2.6977210380643434E-5</v>
      </c>
      <c r="O37">
        <v>1.1379715102866114E-3</v>
      </c>
      <c r="P37">
        <v>1.1937278279471573E-4</v>
      </c>
      <c r="Q37">
        <v>0</v>
      </c>
      <c r="R37">
        <v>0</v>
      </c>
      <c r="S37">
        <v>0</v>
      </c>
      <c r="T37" s="120">
        <f t="shared" si="0"/>
        <v>1.6785043851103381E-3</v>
      </c>
    </row>
    <row r="38" spans="1:24" x14ac:dyDescent="0.15">
      <c r="A38">
        <v>37</v>
      </c>
      <c r="B38" t="s">
        <v>209</v>
      </c>
      <c r="C38">
        <v>9.7088103776724489E-3</v>
      </c>
      <c r="D38">
        <v>3.2193620840981108E-3</v>
      </c>
      <c r="E38">
        <v>4.3115304540836833E-6</v>
      </c>
      <c r="F38">
        <v>2.6848408441050774E-6</v>
      </c>
      <c r="G38">
        <v>4.4172446322674418E-4</v>
      </c>
      <c r="H38">
        <v>8.7138122245549801E-3</v>
      </c>
      <c r="I38">
        <v>9.0774896416407163E-5</v>
      </c>
      <c r="J38">
        <v>0</v>
      </c>
      <c r="K38">
        <v>3.8562251069443262E-3</v>
      </c>
      <c r="L38">
        <v>0</v>
      </c>
      <c r="M38">
        <v>0</v>
      </c>
      <c r="N38">
        <v>3.0790315171956967E-3</v>
      </c>
      <c r="O38">
        <v>3.2157109317221274E-5</v>
      </c>
      <c r="P38">
        <v>3.4127269362515055E-6</v>
      </c>
      <c r="Q38">
        <v>0</v>
      </c>
      <c r="R38">
        <v>0</v>
      </c>
      <c r="S38">
        <v>0</v>
      </c>
      <c r="T38" s="120">
        <f t="shared" si="0"/>
        <v>2.9152306877660374E-2</v>
      </c>
    </row>
    <row r="39" spans="1:24" x14ac:dyDescent="0.15">
      <c r="A39">
        <v>38</v>
      </c>
      <c r="B39" t="s">
        <v>210</v>
      </c>
      <c r="C39">
        <v>4.6115769340117744E-5</v>
      </c>
      <c r="D39">
        <v>1.4914647428869761E-5</v>
      </c>
      <c r="E39">
        <v>2.0189607056889398E-8</v>
      </c>
      <c r="F39">
        <v>0</v>
      </c>
      <c r="G39">
        <v>2.0861174528146382E-6</v>
      </c>
      <c r="H39">
        <v>1.2482623219571505E-2</v>
      </c>
      <c r="I39">
        <v>3.1778588642478747E-2</v>
      </c>
      <c r="J39">
        <v>0</v>
      </c>
      <c r="K39">
        <v>6.8938904909118864E-3</v>
      </c>
      <c r="L39">
        <v>0</v>
      </c>
      <c r="M39">
        <v>0</v>
      </c>
      <c r="N39">
        <v>1.4579220897068971E-5</v>
      </c>
      <c r="O39">
        <v>0</v>
      </c>
      <c r="P39">
        <v>0</v>
      </c>
      <c r="Q39">
        <v>0</v>
      </c>
      <c r="R39">
        <v>0</v>
      </c>
      <c r="S39">
        <v>0</v>
      </c>
      <c r="T39" s="120">
        <f t="shared" si="0"/>
        <v>5.1232818297688068E-2</v>
      </c>
    </row>
    <row r="40" spans="1:24" x14ac:dyDescent="0.15">
      <c r="A40">
        <v>39</v>
      </c>
      <c r="B40" t="s">
        <v>211</v>
      </c>
      <c r="C40">
        <v>5.2016977210655174E-6</v>
      </c>
      <c r="D40">
        <v>1.6741870937594162E-6</v>
      </c>
      <c r="E40">
        <v>2.0442511456265582E-9</v>
      </c>
      <c r="F40">
        <v>3.9891480568576424E-6</v>
      </c>
      <c r="G40">
        <v>2.2208005611851082E-7</v>
      </c>
      <c r="H40">
        <v>1.1885020598760428E-4</v>
      </c>
      <c r="I40">
        <v>2.7508752714053205E-6</v>
      </c>
      <c r="J40">
        <v>0</v>
      </c>
      <c r="K40">
        <v>1.0238798419814883E-3</v>
      </c>
      <c r="L40">
        <v>0</v>
      </c>
      <c r="M40">
        <v>0</v>
      </c>
      <c r="N40">
        <v>1.6173122196817924E-6</v>
      </c>
      <c r="O40">
        <v>4.8422260296253395E-5</v>
      </c>
      <c r="P40">
        <v>5.0307103146773688E-6</v>
      </c>
      <c r="Q40">
        <v>0</v>
      </c>
      <c r="R40">
        <v>0</v>
      </c>
      <c r="S40">
        <v>0</v>
      </c>
      <c r="T40" s="120">
        <f t="shared" si="0"/>
        <v>1.2116403632500569E-3</v>
      </c>
    </row>
    <row r="41" spans="1:24" x14ac:dyDescent="0.15">
      <c r="A41">
        <v>40</v>
      </c>
      <c r="B41" t="s">
        <v>212</v>
      </c>
      <c r="C41">
        <v>3.8894202018334655E-3</v>
      </c>
      <c r="D41">
        <v>1.2863022177703762E-3</v>
      </c>
      <c r="E41">
        <v>1.7284690208230349E-6</v>
      </c>
      <c r="F41">
        <v>0</v>
      </c>
      <c r="G41">
        <v>1.7722003359979901E-4</v>
      </c>
      <c r="H41">
        <v>2.2701864221366676E-3</v>
      </c>
      <c r="I41">
        <v>1.6390509690071623E-5</v>
      </c>
      <c r="J41">
        <v>0</v>
      </c>
      <c r="K41">
        <v>4.5247517547141647E-5</v>
      </c>
      <c r="L41">
        <v>0</v>
      </c>
      <c r="M41">
        <v>0</v>
      </c>
      <c r="N41">
        <v>1.2340088958441495E-3</v>
      </c>
      <c r="O41">
        <v>0</v>
      </c>
      <c r="P41">
        <v>0</v>
      </c>
      <c r="Q41">
        <v>0</v>
      </c>
      <c r="R41">
        <v>0</v>
      </c>
      <c r="S41">
        <v>0</v>
      </c>
      <c r="T41" s="120">
        <f t="shared" si="0"/>
        <v>8.9205042674424945E-3</v>
      </c>
    </row>
    <row r="42" spans="1:24" x14ac:dyDescent="0.15">
      <c r="A42">
        <v>41</v>
      </c>
      <c r="B42" t="s">
        <v>213</v>
      </c>
      <c r="C42">
        <v>3.2925938449399154E-4</v>
      </c>
      <c r="D42">
        <v>1.0965344241881814E-4</v>
      </c>
      <c r="E42">
        <v>1.441907710553214E-7</v>
      </c>
      <c r="F42">
        <v>2.8760372509113073E-5</v>
      </c>
      <c r="G42">
        <v>1.4736219682245953E-5</v>
      </c>
      <c r="H42">
        <v>4.6187738213980165E-4</v>
      </c>
      <c r="I42">
        <v>8.5494909513117216E-6</v>
      </c>
      <c r="J42">
        <v>0</v>
      </c>
      <c r="K42">
        <v>3.6220882756122495E-5</v>
      </c>
      <c r="L42">
        <v>0</v>
      </c>
      <c r="M42">
        <v>0</v>
      </c>
      <c r="N42">
        <v>1.037983603278464E-4</v>
      </c>
      <c r="O42">
        <v>3.4664695993101281E-4</v>
      </c>
      <c r="P42">
        <v>3.6153429084704322E-5</v>
      </c>
      <c r="Q42">
        <v>0</v>
      </c>
      <c r="R42">
        <v>0</v>
      </c>
      <c r="S42">
        <v>0</v>
      </c>
      <c r="T42" s="120">
        <f t="shared" si="0"/>
        <v>1.4758001150660233E-3</v>
      </c>
    </row>
    <row r="43" spans="1:24" x14ac:dyDescent="0.15">
      <c r="A43">
        <v>42</v>
      </c>
      <c r="B43" t="s">
        <v>214</v>
      </c>
      <c r="C43">
        <v>1.1228331678752966E-2</v>
      </c>
      <c r="D43">
        <v>3.6715932505115641E-3</v>
      </c>
      <c r="E43">
        <v>4.5849905576848182E-6</v>
      </c>
      <c r="F43">
        <v>1.5301039252422254E-5</v>
      </c>
      <c r="G43">
        <v>4.9481315768848801E-4</v>
      </c>
      <c r="H43">
        <v>1.7170478107423753E-2</v>
      </c>
      <c r="I43">
        <v>4.3197987734712738E-4</v>
      </c>
      <c r="J43">
        <v>0</v>
      </c>
      <c r="K43">
        <v>7.8364712254713593E-5</v>
      </c>
      <c r="L43">
        <v>0</v>
      </c>
      <c r="M43">
        <v>0</v>
      </c>
      <c r="N43">
        <v>3.5716823065637319E-3</v>
      </c>
      <c r="O43">
        <v>1.841495852997901E-4</v>
      </c>
      <c r="P43">
        <v>1.8844106409638453E-5</v>
      </c>
      <c r="Q43">
        <v>0</v>
      </c>
      <c r="R43">
        <v>0</v>
      </c>
      <c r="S43">
        <v>0</v>
      </c>
      <c r="T43" s="120">
        <f t="shared" si="0"/>
        <v>3.6870122812061874E-2</v>
      </c>
    </row>
    <row r="44" spans="1:24" x14ac:dyDescent="0.15">
      <c r="A44">
        <v>43</v>
      </c>
      <c r="B44" t="s">
        <v>215</v>
      </c>
      <c r="C44">
        <v>4.8753616542453167E-3</v>
      </c>
      <c r="D44">
        <v>1.5986834086958556E-3</v>
      </c>
      <c r="E44">
        <v>2.0973222822170115E-6</v>
      </c>
      <c r="F44">
        <v>0</v>
      </c>
      <c r="G44">
        <v>2.1784593694208808E-4</v>
      </c>
      <c r="H44">
        <v>1.1564739783355517E-2</v>
      </c>
      <c r="I44">
        <v>3.257463935222923E-5</v>
      </c>
      <c r="J44">
        <v>0</v>
      </c>
      <c r="K44">
        <v>1.1334213442736367E-5</v>
      </c>
      <c r="L44">
        <v>0</v>
      </c>
      <c r="M44">
        <v>0</v>
      </c>
      <c r="N44">
        <v>1.5375529505324969E-3</v>
      </c>
      <c r="O44">
        <v>0</v>
      </c>
      <c r="P44">
        <v>0</v>
      </c>
      <c r="Q44">
        <v>0</v>
      </c>
      <c r="R44">
        <v>0</v>
      </c>
      <c r="S44">
        <v>0</v>
      </c>
      <c r="T44" s="120">
        <f t="shared" si="0"/>
        <v>1.9840189908848459E-2</v>
      </c>
    </row>
    <row r="45" spans="1:24" x14ac:dyDescent="0.15">
      <c r="A45">
        <v>44</v>
      </c>
      <c r="B45" t="s">
        <v>216</v>
      </c>
      <c r="C45">
        <v>1.6948983215994749E-4</v>
      </c>
      <c r="D45">
        <v>5.5662994044382699E-5</v>
      </c>
      <c r="E45">
        <v>7.1386921024617524E-8</v>
      </c>
      <c r="F45">
        <v>7.3264192901500527E-5</v>
      </c>
      <c r="G45">
        <v>7.5823261313430105E-6</v>
      </c>
      <c r="H45">
        <v>2.3771991130945723E-3</v>
      </c>
      <c r="I45">
        <v>1.1156597147673804E-5</v>
      </c>
      <c r="J45">
        <v>0</v>
      </c>
      <c r="K45">
        <v>4.500532968052226E-6</v>
      </c>
      <c r="L45">
        <v>0</v>
      </c>
      <c r="M45">
        <v>0</v>
      </c>
      <c r="N45">
        <v>5.3570556608108993E-5</v>
      </c>
      <c r="O45">
        <v>8.6859647136238805E-4</v>
      </c>
      <c r="P45">
        <v>9.1338054468299376E-5</v>
      </c>
      <c r="Q45">
        <v>0</v>
      </c>
      <c r="R45">
        <v>0</v>
      </c>
      <c r="S45">
        <v>0</v>
      </c>
      <c r="T45" s="120">
        <f t="shared" si="0"/>
        <v>3.7124320578072936E-3</v>
      </c>
      <c r="X45" s="58" t="s">
        <v>276</v>
      </c>
    </row>
    <row r="46" spans="1:24" x14ac:dyDescent="0.15">
      <c r="A46">
        <v>45</v>
      </c>
      <c r="B46" t="s">
        <v>217</v>
      </c>
      <c r="C46">
        <v>1.8504025722844064E-3</v>
      </c>
      <c r="D46">
        <v>6.0932859863211568E-4</v>
      </c>
      <c r="E46">
        <v>8.0688156414621757E-7</v>
      </c>
      <c r="F46">
        <v>1.8242361258546776E-4</v>
      </c>
      <c r="G46">
        <v>8.4584330683638785E-5</v>
      </c>
      <c r="H46">
        <v>7.1785029764466724E-3</v>
      </c>
      <c r="I46">
        <v>2.6053109166088493E-4</v>
      </c>
      <c r="J46">
        <v>0</v>
      </c>
      <c r="K46">
        <v>1.5875545955619722E-4</v>
      </c>
      <c r="L46">
        <v>0</v>
      </c>
      <c r="M46">
        <v>0</v>
      </c>
      <c r="N46">
        <v>5.8891236010665763E-4</v>
      </c>
      <c r="O46">
        <v>2.188310558651253E-3</v>
      </c>
      <c r="P46">
        <v>2.2483651890825085E-4</v>
      </c>
      <c r="Q46">
        <v>0</v>
      </c>
      <c r="R46">
        <v>0</v>
      </c>
      <c r="S46">
        <v>0</v>
      </c>
      <c r="T46" s="120">
        <f t="shared" si="0"/>
        <v>1.3327394961079689E-2</v>
      </c>
    </row>
    <row r="47" spans="1:24" x14ac:dyDescent="0.15">
      <c r="A47">
        <v>46</v>
      </c>
      <c r="B47" t="s">
        <v>218</v>
      </c>
      <c r="C47">
        <v>3.1246835318294621E-6</v>
      </c>
      <c r="D47">
        <v>1.0015987234998504E-6</v>
      </c>
      <c r="E47">
        <v>1.2225928551191105E-9</v>
      </c>
      <c r="F47">
        <v>0</v>
      </c>
      <c r="G47">
        <v>1.3149977091164459E-7</v>
      </c>
      <c r="H47">
        <v>6.1609815600016641E-5</v>
      </c>
      <c r="I47">
        <v>3.9514337774080284E-7</v>
      </c>
      <c r="J47">
        <v>0</v>
      </c>
      <c r="K47">
        <v>4.4870276411460643E-6</v>
      </c>
      <c r="L47">
        <v>0</v>
      </c>
      <c r="M47">
        <v>0</v>
      </c>
      <c r="N47">
        <v>9.6534815313806443E-7</v>
      </c>
      <c r="O47">
        <v>0</v>
      </c>
      <c r="P47">
        <v>0</v>
      </c>
      <c r="Q47">
        <v>0</v>
      </c>
      <c r="R47">
        <v>0</v>
      </c>
      <c r="S47">
        <v>0</v>
      </c>
      <c r="T47" s="120">
        <f t="shared" si="0"/>
        <v>7.1716339391137646E-5</v>
      </c>
    </row>
    <row r="48" spans="1:24" x14ac:dyDescent="0.15">
      <c r="A48">
        <v>47</v>
      </c>
      <c r="B48" t="s">
        <v>219</v>
      </c>
      <c r="C48">
        <v>3.5979946633717661E-4</v>
      </c>
      <c r="D48">
        <v>1.1799223208998237E-4</v>
      </c>
      <c r="E48">
        <v>1.5588095561968786E-7</v>
      </c>
      <c r="F48">
        <v>0</v>
      </c>
      <c r="G48">
        <v>1.6248473806212398E-5</v>
      </c>
      <c r="H48">
        <v>1.1016551459632694E-2</v>
      </c>
      <c r="I48">
        <v>3.3160784263253887E-4</v>
      </c>
      <c r="J48">
        <v>0</v>
      </c>
      <c r="K48">
        <v>9.9907754089965223E-6</v>
      </c>
      <c r="L48">
        <v>0</v>
      </c>
      <c r="M48">
        <v>0</v>
      </c>
      <c r="N48">
        <v>1.1389505853744436E-4</v>
      </c>
      <c r="O48">
        <v>0</v>
      </c>
      <c r="P48">
        <v>0</v>
      </c>
      <c r="Q48">
        <v>0</v>
      </c>
      <c r="R48">
        <v>0</v>
      </c>
      <c r="S48">
        <v>0</v>
      </c>
      <c r="T48" s="120">
        <f t="shared" si="0"/>
        <v>1.1966241189400668E-2</v>
      </c>
    </row>
    <row r="49" spans="1:20" x14ac:dyDescent="0.15">
      <c r="A49">
        <v>48</v>
      </c>
      <c r="B49" t="s">
        <v>220</v>
      </c>
      <c r="C49">
        <v>9.0134923168317042E-7</v>
      </c>
      <c r="D49">
        <v>2.8713609937388204E-7</v>
      </c>
      <c r="E49">
        <v>3.2737041142786779E-10</v>
      </c>
      <c r="F49">
        <v>0</v>
      </c>
      <c r="G49">
        <v>3.6860946651054164E-8</v>
      </c>
      <c r="H49">
        <v>3.7593370674319348E-3</v>
      </c>
      <c r="I49">
        <v>2.6832846209013266E-3</v>
      </c>
      <c r="J49">
        <v>0</v>
      </c>
      <c r="K49">
        <v>3.742807879278448E-5</v>
      </c>
      <c r="L49">
        <v>0</v>
      </c>
      <c r="M49">
        <v>0</v>
      </c>
      <c r="N49">
        <v>2.7883492984788882E-7</v>
      </c>
      <c r="O49">
        <v>0</v>
      </c>
      <c r="P49">
        <v>0</v>
      </c>
      <c r="Q49">
        <v>0</v>
      </c>
      <c r="R49">
        <v>0</v>
      </c>
      <c r="S49">
        <v>0</v>
      </c>
      <c r="T49" s="120">
        <f t="shared" si="0"/>
        <v>6.4815542757040139E-3</v>
      </c>
    </row>
    <row r="50" spans="1:20" x14ac:dyDescent="0.15">
      <c r="A50">
        <v>49</v>
      </c>
      <c r="B50" t="s">
        <v>221</v>
      </c>
      <c r="C50">
        <v>8.7771720202657469E-4</v>
      </c>
      <c r="D50">
        <v>2.873392368099897E-4</v>
      </c>
      <c r="E50">
        <v>3.7346689697751693E-7</v>
      </c>
      <c r="F50">
        <v>0</v>
      </c>
      <c r="G50">
        <v>3.9522962880420604E-5</v>
      </c>
      <c r="H50">
        <v>2.7451889472691602E-3</v>
      </c>
      <c r="I50">
        <v>0</v>
      </c>
      <c r="J50">
        <v>0</v>
      </c>
      <c r="K50">
        <v>9.9023021270042848E-8</v>
      </c>
      <c r="L50">
        <v>0</v>
      </c>
      <c r="M50">
        <v>0</v>
      </c>
      <c r="N50">
        <v>2.7792479978314426E-4</v>
      </c>
      <c r="O50">
        <v>0</v>
      </c>
      <c r="P50">
        <v>0</v>
      </c>
      <c r="Q50">
        <v>0</v>
      </c>
      <c r="R50">
        <v>0</v>
      </c>
      <c r="S50">
        <v>0</v>
      </c>
      <c r="T50" s="120">
        <f t="shared" si="0"/>
        <v>4.2281656386875359E-3</v>
      </c>
    </row>
    <row r="51" spans="1:20" x14ac:dyDescent="0.15">
      <c r="A51">
        <v>50</v>
      </c>
      <c r="B51" t="s">
        <v>222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 s="120">
        <f t="shared" si="0"/>
        <v>0</v>
      </c>
    </row>
    <row r="52" spans="1:20" x14ac:dyDescent="0.15">
      <c r="A52">
        <v>51</v>
      </c>
      <c r="B52" t="s">
        <v>223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 s="120">
        <f t="shared" si="0"/>
        <v>0</v>
      </c>
    </row>
    <row r="53" spans="1:20" x14ac:dyDescent="0.15">
      <c r="A53">
        <v>52</v>
      </c>
      <c r="B53" t="s">
        <v>224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 s="120">
        <f t="shared" si="0"/>
        <v>0</v>
      </c>
    </row>
    <row r="54" spans="1:20" x14ac:dyDescent="0.15">
      <c r="A54">
        <v>53</v>
      </c>
      <c r="B54" t="s">
        <v>225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 s="120">
        <f t="shared" si="0"/>
        <v>0</v>
      </c>
    </row>
    <row r="55" spans="1:20" x14ac:dyDescent="0.15">
      <c r="A55">
        <v>54</v>
      </c>
      <c r="B55" t="s">
        <v>226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7.1260848385904544E-3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 s="120">
        <f t="shared" si="0"/>
        <v>7.1260848385904544E-3</v>
      </c>
    </row>
    <row r="56" spans="1:20" x14ac:dyDescent="0.15">
      <c r="A56">
        <v>55</v>
      </c>
      <c r="B56" t="s">
        <v>227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 s="120">
        <f t="shared" si="0"/>
        <v>0</v>
      </c>
    </row>
    <row r="57" spans="1:20" x14ac:dyDescent="0.15">
      <c r="A57">
        <v>56</v>
      </c>
      <c r="B57" t="s">
        <v>228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 s="120">
        <f t="shared" si="0"/>
        <v>0</v>
      </c>
    </row>
    <row r="58" spans="1:20" x14ac:dyDescent="0.15">
      <c r="A58">
        <v>57</v>
      </c>
      <c r="B58" t="s">
        <v>229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 s="120">
        <f t="shared" si="0"/>
        <v>0</v>
      </c>
    </row>
    <row r="59" spans="1:20" x14ac:dyDescent="0.15">
      <c r="A59">
        <v>58</v>
      </c>
      <c r="B59" t="s">
        <v>230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 s="120">
        <f t="shared" si="0"/>
        <v>0</v>
      </c>
    </row>
    <row r="60" spans="1:20" x14ac:dyDescent="0.15">
      <c r="A60">
        <v>59</v>
      </c>
      <c r="B60" t="s">
        <v>231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 s="120">
        <f t="shared" si="0"/>
        <v>0</v>
      </c>
    </row>
    <row r="61" spans="1:20" x14ac:dyDescent="0.15">
      <c r="A61">
        <v>60</v>
      </c>
      <c r="B61" t="s">
        <v>232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 s="120">
        <f t="shared" si="0"/>
        <v>0</v>
      </c>
    </row>
    <row r="62" spans="1:20" x14ac:dyDescent="0.15">
      <c r="A62">
        <v>61</v>
      </c>
      <c r="B62" t="s">
        <v>233</v>
      </c>
      <c r="C62">
        <v>4.4060265161358028E-5</v>
      </c>
      <c r="D62">
        <v>1.4323383877234064E-5</v>
      </c>
      <c r="E62">
        <v>1.99030387455833E-8</v>
      </c>
      <c r="F62">
        <v>1.0850217087824474E-5</v>
      </c>
      <c r="G62">
        <v>2.0492759287156488E-6</v>
      </c>
      <c r="H62">
        <v>3.0803989826155976E-3</v>
      </c>
      <c r="I62">
        <v>7.517968762033633E-6</v>
      </c>
      <c r="J62">
        <v>0</v>
      </c>
      <c r="K62">
        <v>0</v>
      </c>
      <c r="L62">
        <v>0</v>
      </c>
      <c r="M62">
        <v>0</v>
      </c>
      <c r="N62">
        <v>1.4074965342733043E-5</v>
      </c>
      <c r="O62">
        <v>1.3075221224549983E-4</v>
      </c>
      <c r="P62">
        <v>1.3299609529923382E-5</v>
      </c>
      <c r="Q62">
        <v>0</v>
      </c>
      <c r="R62">
        <v>0</v>
      </c>
      <c r="S62">
        <v>0</v>
      </c>
      <c r="T62" s="120">
        <f t="shared" si="0"/>
        <v>3.3173467835896655E-3</v>
      </c>
    </row>
    <row r="63" spans="1:20" x14ac:dyDescent="0.15">
      <c r="A63">
        <v>62</v>
      </c>
      <c r="B63" t="s">
        <v>234</v>
      </c>
      <c r="C63">
        <v>1.3484854424617807E-4</v>
      </c>
      <c r="D63">
        <v>4.408345252242523E-5</v>
      </c>
      <c r="E63">
        <v>5.7940637787481571E-8</v>
      </c>
      <c r="F63">
        <v>0</v>
      </c>
      <c r="G63">
        <v>6.142372672787887E-6</v>
      </c>
      <c r="H63">
        <v>6.5521215229844285E-3</v>
      </c>
      <c r="I63">
        <v>0</v>
      </c>
      <c r="J63">
        <v>0</v>
      </c>
      <c r="K63">
        <v>0</v>
      </c>
      <c r="L63">
        <v>0</v>
      </c>
      <c r="M63">
        <v>0</v>
      </c>
      <c r="N63">
        <v>4.2885000677693057E-5</v>
      </c>
      <c r="O63">
        <v>0</v>
      </c>
      <c r="P63">
        <v>0</v>
      </c>
      <c r="Q63">
        <v>0</v>
      </c>
      <c r="R63">
        <v>0</v>
      </c>
      <c r="S63">
        <v>0</v>
      </c>
      <c r="T63" s="120">
        <f t="shared" si="0"/>
        <v>6.7801388337413006E-3</v>
      </c>
    </row>
    <row r="64" spans="1:20" x14ac:dyDescent="0.15">
      <c r="A64">
        <v>63</v>
      </c>
      <c r="B64" t="s">
        <v>235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 s="120">
        <f t="shared" si="0"/>
        <v>0</v>
      </c>
    </row>
    <row r="65" spans="1:20" x14ac:dyDescent="0.15">
      <c r="A65">
        <v>64</v>
      </c>
      <c r="B65" t="s">
        <v>236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 s="120">
        <f t="shared" si="0"/>
        <v>0</v>
      </c>
    </row>
    <row r="66" spans="1:20" x14ac:dyDescent="0.15">
      <c r="A66">
        <v>65</v>
      </c>
      <c r="B66" t="s">
        <v>237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 s="120">
        <f t="shared" si="0"/>
        <v>0</v>
      </c>
    </row>
    <row r="67" spans="1:20" x14ac:dyDescent="0.15">
      <c r="A67">
        <v>66</v>
      </c>
      <c r="B67" t="s">
        <v>238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 s="120">
        <f t="shared" ref="T67:T84" si="1">SUM(C67:S67)</f>
        <v>0</v>
      </c>
    </row>
    <row r="68" spans="1:20" x14ac:dyDescent="0.15">
      <c r="A68">
        <v>67</v>
      </c>
      <c r="B68" t="s">
        <v>239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 s="120">
        <f t="shared" si="1"/>
        <v>0</v>
      </c>
    </row>
    <row r="69" spans="1:20" x14ac:dyDescent="0.15">
      <c r="A69">
        <v>68</v>
      </c>
      <c r="B69" t="s">
        <v>240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 s="120">
        <f t="shared" si="1"/>
        <v>0</v>
      </c>
    </row>
    <row r="70" spans="1:20" x14ac:dyDescent="0.15">
      <c r="A70">
        <v>69</v>
      </c>
      <c r="B70" t="s">
        <v>241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 s="120">
        <f t="shared" si="1"/>
        <v>0</v>
      </c>
    </row>
    <row r="71" spans="1:20" x14ac:dyDescent="0.15">
      <c r="A71">
        <v>70</v>
      </c>
      <c r="B71" t="s">
        <v>242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 s="120">
        <f t="shared" si="1"/>
        <v>0</v>
      </c>
    </row>
    <row r="72" spans="1:20" x14ac:dyDescent="0.15">
      <c r="A72">
        <v>71</v>
      </c>
      <c r="B72" t="s">
        <v>243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 s="120">
        <f t="shared" si="1"/>
        <v>0</v>
      </c>
    </row>
    <row r="73" spans="1:20" x14ac:dyDescent="0.15">
      <c r="A73">
        <v>72</v>
      </c>
      <c r="B73" t="s">
        <v>244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 s="120">
        <f t="shared" si="1"/>
        <v>0</v>
      </c>
    </row>
    <row r="74" spans="1:20" x14ac:dyDescent="0.15">
      <c r="A74">
        <v>73</v>
      </c>
      <c r="B74" t="s">
        <v>245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 s="120">
        <f t="shared" si="1"/>
        <v>0</v>
      </c>
    </row>
    <row r="75" spans="1:20" x14ac:dyDescent="0.15">
      <c r="A75">
        <v>74</v>
      </c>
      <c r="B75" t="s">
        <v>246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 s="120">
        <f t="shared" si="1"/>
        <v>0</v>
      </c>
    </row>
    <row r="76" spans="1:20" x14ac:dyDescent="0.15">
      <c r="A76">
        <v>75</v>
      </c>
      <c r="B76" t="s">
        <v>247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 s="120">
        <f t="shared" si="1"/>
        <v>0</v>
      </c>
    </row>
    <row r="77" spans="1:20" x14ac:dyDescent="0.15">
      <c r="A77">
        <v>76</v>
      </c>
      <c r="B77" t="s">
        <v>248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 s="120">
        <f t="shared" si="1"/>
        <v>0</v>
      </c>
    </row>
    <row r="78" spans="1:20" x14ac:dyDescent="0.15">
      <c r="A78">
        <v>77</v>
      </c>
      <c r="B78" t="s">
        <v>249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 s="120">
        <f t="shared" si="1"/>
        <v>0</v>
      </c>
    </row>
    <row r="79" spans="1:20" x14ac:dyDescent="0.15">
      <c r="A79">
        <v>78</v>
      </c>
      <c r="B79" t="s">
        <v>250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 s="120">
        <f t="shared" si="1"/>
        <v>0</v>
      </c>
    </row>
    <row r="80" spans="1:20" x14ac:dyDescent="0.15">
      <c r="A80">
        <v>79</v>
      </c>
      <c r="B80" t="s">
        <v>251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 s="120">
        <f t="shared" si="1"/>
        <v>0</v>
      </c>
    </row>
    <row r="81" spans="1:20" x14ac:dyDescent="0.15">
      <c r="A81">
        <v>80</v>
      </c>
      <c r="B81" t="s">
        <v>252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 s="120">
        <f t="shared" si="1"/>
        <v>0</v>
      </c>
    </row>
    <row r="82" spans="1:20" x14ac:dyDescent="0.15">
      <c r="A82">
        <v>81</v>
      </c>
      <c r="B82" t="s">
        <v>253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 s="120">
        <f t="shared" si="1"/>
        <v>0</v>
      </c>
    </row>
    <row r="83" spans="1:20" x14ac:dyDescent="0.15">
      <c r="A83">
        <v>82</v>
      </c>
      <c r="B83" t="s">
        <v>254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 s="120">
        <f t="shared" si="1"/>
        <v>0</v>
      </c>
    </row>
    <row r="84" spans="1:20" x14ac:dyDescent="0.15">
      <c r="A84">
        <v>83</v>
      </c>
      <c r="B84" t="s">
        <v>255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 s="120">
        <f t="shared" si="1"/>
        <v>0</v>
      </c>
    </row>
    <row r="85" spans="1:20" ht="15" customHeight="1" x14ac:dyDescent="0.15"/>
    <row r="86" spans="1:20" ht="15" customHeight="1" x14ac:dyDescent="0.15"/>
    <row r="87" spans="1:20" ht="15" customHeight="1" x14ac:dyDescent="0.15"/>
    <row r="88" spans="1:20" ht="15" customHeight="1" x14ac:dyDescent="0.15"/>
    <row r="89" spans="1:20" ht="15" customHeight="1" x14ac:dyDescent="0.15"/>
    <row r="90" spans="1:20" ht="15" customHeight="1" x14ac:dyDescent="0.15"/>
    <row r="91" spans="1:20" ht="15" customHeight="1" x14ac:dyDescent="0.15"/>
    <row r="92" spans="1:20" ht="15" customHeight="1" x14ac:dyDescent="0.15"/>
    <row r="93" spans="1:20" ht="15" customHeight="1" x14ac:dyDescent="0.15"/>
    <row r="94" spans="1:20" ht="15" customHeight="1" x14ac:dyDescent="0.15"/>
    <row r="95" spans="1:20" ht="15" customHeight="1" x14ac:dyDescent="0.15"/>
    <row r="96" spans="1:20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84"/>
  <sheetViews>
    <sheetView workbookViewId="0"/>
  </sheetViews>
  <sheetFormatPr baseColWidth="10" defaultRowHeight="13" x14ac:dyDescent="0.15"/>
  <cols>
    <col min="1" max="1" width="17.33203125" bestFit="1" customWidth="1"/>
    <col min="5" max="5" width="39.83203125" bestFit="1" customWidth="1"/>
    <col min="6" max="6" width="8.1640625" bestFit="1" customWidth="1"/>
    <col min="7" max="7" width="7.5" bestFit="1" customWidth="1"/>
    <col min="8" max="8" width="8.6640625" bestFit="1" customWidth="1"/>
    <col min="9" max="9" width="8.83203125" bestFit="1" customWidth="1"/>
    <col min="10" max="10" width="8.83203125" style="81" bestFit="1" customWidth="1"/>
    <col min="11" max="11" width="8.6640625" style="81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21" customFormat="1" ht="14" thickBot="1" x14ac:dyDescent="0.2">
      <c r="D1" s="121" t="s">
        <v>8</v>
      </c>
      <c r="E1" s="121" t="s">
        <v>0</v>
      </c>
      <c r="F1" s="122" t="s">
        <v>101</v>
      </c>
      <c r="G1" s="123" t="s">
        <v>86</v>
      </c>
      <c r="H1" s="123" t="s">
        <v>87</v>
      </c>
      <c r="I1" s="123" t="s">
        <v>88</v>
      </c>
      <c r="J1" s="123" t="s">
        <v>89</v>
      </c>
      <c r="K1" s="123" t="s">
        <v>90</v>
      </c>
      <c r="L1" s="124" t="s">
        <v>91</v>
      </c>
      <c r="M1" s="124" t="s">
        <v>95</v>
      </c>
      <c r="N1" s="124" t="s">
        <v>94</v>
      </c>
      <c r="O1" s="124" t="s">
        <v>92</v>
      </c>
      <c r="P1" s="124" t="s">
        <v>93</v>
      </c>
      <c r="Q1" s="125" t="s">
        <v>96</v>
      </c>
      <c r="R1" s="125" t="s">
        <v>97</v>
      </c>
      <c r="S1" s="125" t="s">
        <v>98</v>
      </c>
      <c r="T1" s="125" t="s">
        <v>99</v>
      </c>
      <c r="U1" s="125" t="s">
        <v>100</v>
      </c>
      <c r="V1" s="123" t="s">
        <v>102</v>
      </c>
      <c r="W1" s="123" t="s">
        <v>103</v>
      </c>
      <c r="X1" s="123" t="s">
        <v>104</v>
      </c>
      <c r="Y1" s="123" t="s">
        <v>136</v>
      </c>
      <c r="Z1" s="124" t="s">
        <v>105</v>
      </c>
      <c r="AA1" s="124" t="s">
        <v>106</v>
      </c>
      <c r="AB1" s="124" t="s">
        <v>107</v>
      </c>
      <c r="AC1" s="126" t="s">
        <v>137</v>
      </c>
      <c r="AD1" s="125" t="s">
        <v>108</v>
      </c>
      <c r="AE1" s="125" t="s">
        <v>109</v>
      </c>
      <c r="AF1" s="125" t="s">
        <v>110</v>
      </c>
      <c r="AG1" s="125" t="s">
        <v>138</v>
      </c>
      <c r="AH1" s="123" t="s">
        <v>111</v>
      </c>
      <c r="AI1" s="123" t="s">
        <v>113</v>
      </c>
      <c r="AJ1" s="123" t="s">
        <v>112</v>
      </c>
      <c r="AK1" s="124" t="s">
        <v>117</v>
      </c>
      <c r="AL1" s="124" t="s">
        <v>118</v>
      </c>
      <c r="AM1" s="124" t="s">
        <v>119</v>
      </c>
      <c r="AN1" s="125" t="s">
        <v>114</v>
      </c>
      <c r="AO1" s="125" t="s">
        <v>115</v>
      </c>
      <c r="AP1" s="125" t="s">
        <v>116</v>
      </c>
    </row>
    <row r="2" spans="1:42" x14ac:dyDescent="0.15">
      <c r="A2" s="229" t="s">
        <v>76</v>
      </c>
      <c r="B2" s="127">
        <v>1</v>
      </c>
      <c r="D2">
        <v>1</v>
      </c>
      <c r="E2" s="60" t="s">
        <v>176</v>
      </c>
      <c r="F2">
        <v>0.98</v>
      </c>
      <c r="G2">
        <v>0.25196103058078395</v>
      </c>
      <c r="H2" s="118">
        <v>0.2</v>
      </c>
      <c r="J2">
        <v>0</v>
      </c>
      <c r="K2">
        <v>0</v>
      </c>
      <c r="V2">
        <v>0</v>
      </c>
      <c r="W2">
        <v>0</v>
      </c>
    </row>
    <row r="3" spans="1:42" x14ac:dyDescent="0.15">
      <c r="A3" s="229" t="s">
        <v>77</v>
      </c>
      <c r="B3" s="128">
        <v>1</v>
      </c>
      <c r="D3">
        <f>D2+1</f>
        <v>2</v>
      </c>
      <c r="E3" s="60" t="s">
        <v>177</v>
      </c>
      <c r="F3">
        <v>0.98</v>
      </c>
      <c r="G3">
        <v>4.5538449804619269E-2</v>
      </c>
      <c r="H3" s="118">
        <v>0.2</v>
      </c>
      <c r="J3">
        <v>0</v>
      </c>
      <c r="K3">
        <v>0</v>
      </c>
      <c r="V3">
        <v>0</v>
      </c>
      <c r="W3">
        <v>0</v>
      </c>
    </row>
    <row r="4" spans="1:42" x14ac:dyDescent="0.15">
      <c r="A4" s="229" t="s">
        <v>78</v>
      </c>
      <c r="B4" s="128">
        <v>1</v>
      </c>
      <c r="D4">
        <f t="shared" ref="D4:D67" si="0">D3+1</f>
        <v>3</v>
      </c>
      <c r="E4" s="60" t="s">
        <v>178</v>
      </c>
      <c r="F4">
        <v>0.98</v>
      </c>
      <c r="G4">
        <v>0.8</v>
      </c>
      <c r="H4" s="118">
        <v>0.7</v>
      </c>
      <c r="J4">
        <v>0.25</v>
      </c>
      <c r="K4">
        <v>0.05</v>
      </c>
      <c r="V4">
        <v>0</v>
      </c>
      <c r="W4">
        <v>0</v>
      </c>
    </row>
    <row r="5" spans="1:42" x14ac:dyDescent="0.15">
      <c r="A5" s="229" t="s">
        <v>79</v>
      </c>
      <c r="B5" s="128">
        <v>1</v>
      </c>
      <c r="D5">
        <f t="shared" si="0"/>
        <v>4</v>
      </c>
      <c r="E5" s="60" t="s">
        <v>179</v>
      </c>
      <c r="F5">
        <v>0.98</v>
      </c>
      <c r="G5">
        <v>0.52418064631999517</v>
      </c>
      <c r="H5" s="118">
        <v>0.2</v>
      </c>
      <c r="J5">
        <v>0.25</v>
      </c>
      <c r="K5">
        <v>0.05</v>
      </c>
      <c r="V5">
        <v>0</v>
      </c>
      <c r="W5">
        <v>0</v>
      </c>
    </row>
    <row r="6" spans="1:42" x14ac:dyDescent="0.15">
      <c r="A6" s="229" t="s">
        <v>80</v>
      </c>
      <c r="B6" s="128">
        <v>0</v>
      </c>
      <c r="D6">
        <f t="shared" si="0"/>
        <v>5</v>
      </c>
      <c r="E6" s="60" t="s">
        <v>180</v>
      </c>
      <c r="F6">
        <v>0.98</v>
      </c>
      <c r="G6">
        <v>0.16515374587291418</v>
      </c>
      <c r="H6" s="118">
        <v>0.2</v>
      </c>
      <c r="J6">
        <v>0.25</v>
      </c>
      <c r="K6">
        <v>0.05</v>
      </c>
      <c r="V6">
        <v>0</v>
      </c>
      <c r="W6">
        <v>0</v>
      </c>
    </row>
    <row r="7" spans="1:42" x14ac:dyDescent="0.15">
      <c r="A7" s="229" t="s">
        <v>81</v>
      </c>
      <c r="B7" s="128">
        <v>0</v>
      </c>
      <c r="D7">
        <f t="shared" si="0"/>
        <v>6</v>
      </c>
      <c r="E7" s="60" t="s">
        <v>181</v>
      </c>
      <c r="F7">
        <v>0.98</v>
      </c>
      <c r="G7">
        <v>0.79577737479101263</v>
      </c>
      <c r="H7" s="118">
        <v>0.4</v>
      </c>
      <c r="J7">
        <v>0.25</v>
      </c>
      <c r="K7">
        <v>0.05</v>
      </c>
      <c r="V7">
        <v>0</v>
      </c>
      <c r="W7">
        <v>0</v>
      </c>
    </row>
    <row r="8" spans="1:42" x14ac:dyDescent="0.15">
      <c r="A8" s="229" t="s">
        <v>82</v>
      </c>
      <c r="B8" s="128">
        <v>1</v>
      </c>
      <c r="D8">
        <f t="shared" si="0"/>
        <v>7</v>
      </c>
      <c r="E8" s="60" t="s">
        <v>182</v>
      </c>
      <c r="F8">
        <v>0.98</v>
      </c>
      <c r="G8">
        <v>1.0430729343614622</v>
      </c>
      <c r="H8" s="118">
        <v>0.4</v>
      </c>
      <c r="J8">
        <v>0.25</v>
      </c>
      <c r="K8">
        <v>0.05</v>
      </c>
      <c r="V8">
        <v>0</v>
      </c>
      <c r="W8">
        <v>0</v>
      </c>
    </row>
    <row r="9" spans="1:42" x14ac:dyDescent="0.15">
      <c r="A9" s="229" t="s">
        <v>83</v>
      </c>
      <c r="B9" s="128">
        <v>0.1</v>
      </c>
      <c r="C9" s="57" t="s">
        <v>152</v>
      </c>
      <c r="D9">
        <f t="shared" si="0"/>
        <v>8</v>
      </c>
      <c r="E9" s="60" t="s">
        <v>183</v>
      </c>
      <c r="F9">
        <v>0.98</v>
      </c>
      <c r="G9">
        <v>0.8</v>
      </c>
      <c r="H9" s="118">
        <v>0.4</v>
      </c>
      <c r="J9">
        <v>0.25</v>
      </c>
      <c r="K9">
        <v>0.05</v>
      </c>
      <c r="V9">
        <v>0</v>
      </c>
      <c r="W9">
        <v>0</v>
      </c>
    </row>
    <row r="10" spans="1:42" ht="14" thickBot="1" x14ac:dyDescent="0.2">
      <c r="A10" s="229" t="s">
        <v>151</v>
      </c>
      <c r="B10" s="129">
        <f>1/3</f>
        <v>0.33333333333333331</v>
      </c>
      <c r="C10" s="57" t="s">
        <v>152</v>
      </c>
      <c r="D10">
        <f t="shared" si="0"/>
        <v>9</v>
      </c>
      <c r="E10" s="60" t="s">
        <v>184</v>
      </c>
      <c r="F10">
        <v>0.98</v>
      </c>
      <c r="G10">
        <v>0.8</v>
      </c>
      <c r="H10" s="118">
        <v>0.7</v>
      </c>
      <c r="J10">
        <v>0.25</v>
      </c>
      <c r="K10">
        <v>0.05</v>
      </c>
      <c r="V10">
        <v>0</v>
      </c>
      <c r="W10">
        <v>0</v>
      </c>
    </row>
    <row r="11" spans="1:42" x14ac:dyDescent="0.15">
      <c r="D11">
        <f t="shared" si="0"/>
        <v>10</v>
      </c>
      <c r="E11" s="60" t="s">
        <v>185</v>
      </c>
      <c r="F11">
        <v>0.98</v>
      </c>
      <c r="G11">
        <v>0.68878338415029672</v>
      </c>
      <c r="H11" s="118">
        <v>0.4</v>
      </c>
      <c r="J11">
        <v>0.25</v>
      </c>
      <c r="K11">
        <v>0.05</v>
      </c>
      <c r="V11">
        <v>0</v>
      </c>
      <c r="W11">
        <v>0</v>
      </c>
    </row>
    <row r="12" spans="1:42" x14ac:dyDescent="0.15">
      <c r="D12">
        <f t="shared" si="0"/>
        <v>11</v>
      </c>
      <c r="E12" s="60" t="s">
        <v>186</v>
      </c>
      <c r="F12">
        <v>0.98</v>
      </c>
      <c r="G12">
        <v>0.64742029244156984</v>
      </c>
      <c r="H12" s="118">
        <v>0.4</v>
      </c>
      <c r="J12">
        <v>0.25</v>
      </c>
      <c r="K12">
        <v>0.05</v>
      </c>
      <c r="V12">
        <v>0</v>
      </c>
      <c r="W12">
        <v>0</v>
      </c>
    </row>
    <row r="13" spans="1:42" x14ac:dyDescent="0.15">
      <c r="D13">
        <f t="shared" si="0"/>
        <v>12</v>
      </c>
      <c r="E13" s="60" t="s">
        <v>187</v>
      </c>
      <c r="F13">
        <v>0.98</v>
      </c>
      <c r="G13">
        <v>0.39648839277619846</v>
      </c>
      <c r="H13" s="118">
        <v>0.4</v>
      </c>
      <c r="J13">
        <v>0.25</v>
      </c>
      <c r="K13">
        <v>0.05</v>
      </c>
      <c r="V13">
        <v>0</v>
      </c>
      <c r="W13">
        <v>0</v>
      </c>
    </row>
    <row r="14" spans="1:42" x14ac:dyDescent="0.15">
      <c r="D14">
        <f t="shared" si="0"/>
        <v>13</v>
      </c>
      <c r="E14" s="60" t="s">
        <v>188</v>
      </c>
      <c r="F14">
        <v>0.98</v>
      </c>
      <c r="G14">
        <v>1.3936343072310562</v>
      </c>
      <c r="H14" s="118">
        <v>0.3</v>
      </c>
      <c r="J14">
        <v>0.25</v>
      </c>
      <c r="K14">
        <v>0.05</v>
      </c>
      <c r="V14">
        <v>0</v>
      </c>
      <c r="W14">
        <v>0</v>
      </c>
    </row>
    <row r="15" spans="1:42" x14ac:dyDescent="0.15">
      <c r="D15">
        <f t="shared" si="0"/>
        <v>14</v>
      </c>
      <c r="E15" s="60" t="s">
        <v>189</v>
      </c>
      <c r="F15">
        <v>0.98</v>
      </c>
      <c r="G15">
        <v>0.8</v>
      </c>
      <c r="H15" s="118">
        <v>0.3</v>
      </c>
      <c r="J15">
        <v>0.25</v>
      </c>
      <c r="K15">
        <v>0.05</v>
      </c>
      <c r="V15">
        <v>0</v>
      </c>
      <c r="W15">
        <v>0</v>
      </c>
    </row>
    <row r="16" spans="1:42" x14ac:dyDescent="0.15">
      <c r="D16">
        <f t="shared" si="0"/>
        <v>15</v>
      </c>
      <c r="E16" s="60" t="s">
        <v>190</v>
      </c>
      <c r="F16">
        <v>0.98</v>
      </c>
      <c r="G16">
        <v>0.8</v>
      </c>
      <c r="H16" s="118">
        <v>0.3</v>
      </c>
      <c r="J16">
        <v>0.25</v>
      </c>
      <c r="K16">
        <v>0.05</v>
      </c>
      <c r="V16">
        <v>0</v>
      </c>
      <c r="W16">
        <v>0</v>
      </c>
    </row>
    <row r="17" spans="4:23" x14ac:dyDescent="0.15">
      <c r="D17">
        <f t="shared" si="0"/>
        <v>16</v>
      </c>
      <c r="E17" s="60" t="s">
        <v>191</v>
      </c>
      <c r="F17">
        <v>0.98</v>
      </c>
      <c r="G17">
        <v>0.8</v>
      </c>
      <c r="H17" s="118">
        <v>0.6</v>
      </c>
      <c r="J17">
        <v>0.25</v>
      </c>
      <c r="K17">
        <v>0.05</v>
      </c>
      <c r="V17">
        <v>0</v>
      </c>
      <c r="W17">
        <v>0</v>
      </c>
    </row>
    <row r="18" spans="4:23" x14ac:dyDescent="0.15">
      <c r="D18">
        <f t="shared" si="0"/>
        <v>17</v>
      </c>
      <c r="E18" s="60" t="s">
        <v>192</v>
      </c>
      <c r="F18">
        <v>0.98</v>
      </c>
      <c r="G18">
        <v>0.8</v>
      </c>
      <c r="H18" s="118">
        <v>0.7</v>
      </c>
      <c r="J18">
        <v>0.25</v>
      </c>
      <c r="K18">
        <v>0.05</v>
      </c>
      <c r="V18">
        <v>0</v>
      </c>
      <c r="W18">
        <v>0</v>
      </c>
    </row>
    <row r="19" spans="4:23" x14ac:dyDescent="0.15">
      <c r="D19">
        <f t="shared" si="0"/>
        <v>18</v>
      </c>
      <c r="E19" s="60" t="s">
        <v>193</v>
      </c>
      <c r="F19">
        <v>0.98</v>
      </c>
      <c r="G19">
        <v>1.4116265946422333</v>
      </c>
      <c r="H19" s="118">
        <v>0.7</v>
      </c>
      <c r="J19">
        <v>0.25</v>
      </c>
      <c r="K19">
        <v>0.05</v>
      </c>
      <c r="V19">
        <v>0</v>
      </c>
      <c r="W19">
        <v>0</v>
      </c>
    </row>
    <row r="20" spans="4:23" x14ac:dyDescent="0.15">
      <c r="D20">
        <f t="shared" si="0"/>
        <v>19</v>
      </c>
      <c r="E20" s="60" t="s">
        <v>194</v>
      </c>
      <c r="F20">
        <v>0.98</v>
      </c>
      <c r="G20">
        <v>1.5637006366807846</v>
      </c>
      <c r="H20" s="118">
        <v>0.7</v>
      </c>
      <c r="J20">
        <v>0.25</v>
      </c>
      <c r="K20">
        <v>0.05</v>
      </c>
      <c r="V20">
        <v>0</v>
      </c>
      <c r="W20">
        <v>0</v>
      </c>
    </row>
    <row r="21" spans="4:23" x14ac:dyDescent="0.15">
      <c r="D21">
        <f t="shared" si="0"/>
        <v>20</v>
      </c>
      <c r="E21" s="60" t="s">
        <v>195</v>
      </c>
      <c r="F21">
        <v>0.98</v>
      </c>
      <c r="G21">
        <v>1.1842277980689788</v>
      </c>
      <c r="H21" s="118">
        <v>0.7</v>
      </c>
      <c r="J21">
        <v>0.25</v>
      </c>
      <c r="K21">
        <v>0.05</v>
      </c>
      <c r="V21">
        <v>0</v>
      </c>
      <c r="W21">
        <v>0</v>
      </c>
    </row>
    <row r="22" spans="4:23" x14ac:dyDescent="0.15">
      <c r="D22">
        <f t="shared" si="0"/>
        <v>21</v>
      </c>
      <c r="E22" s="60" t="s">
        <v>196</v>
      </c>
      <c r="F22">
        <v>0.98</v>
      </c>
      <c r="G22">
        <v>1.2927258191157946</v>
      </c>
      <c r="H22" s="118">
        <v>0.7</v>
      </c>
      <c r="J22">
        <v>0.25</v>
      </c>
      <c r="K22">
        <v>0.05</v>
      </c>
      <c r="V22">
        <v>0</v>
      </c>
      <c r="W22">
        <v>0</v>
      </c>
    </row>
    <row r="23" spans="4:23" x14ac:dyDescent="0.15">
      <c r="D23">
        <f t="shared" si="0"/>
        <v>22</v>
      </c>
      <c r="E23" s="60" t="s">
        <v>197</v>
      </c>
      <c r="F23">
        <v>0.98</v>
      </c>
      <c r="G23">
        <v>1.4947816545836017</v>
      </c>
      <c r="H23" s="118">
        <v>0.7</v>
      </c>
      <c r="J23">
        <v>0.25</v>
      </c>
      <c r="K23">
        <v>0.05</v>
      </c>
      <c r="V23">
        <v>0</v>
      </c>
      <c r="W23">
        <v>0</v>
      </c>
    </row>
    <row r="24" spans="4:23" x14ac:dyDescent="0.15">
      <c r="D24">
        <f t="shared" si="0"/>
        <v>23</v>
      </c>
      <c r="E24" s="60" t="s">
        <v>198</v>
      </c>
      <c r="F24">
        <v>0.98</v>
      </c>
      <c r="G24">
        <v>1.3864066249941016</v>
      </c>
      <c r="H24" s="118">
        <v>0.7</v>
      </c>
      <c r="J24">
        <v>0.25</v>
      </c>
      <c r="K24">
        <v>0.05</v>
      </c>
      <c r="V24">
        <v>0</v>
      </c>
      <c r="W24">
        <v>0</v>
      </c>
    </row>
    <row r="25" spans="4:23" x14ac:dyDescent="0.15">
      <c r="D25">
        <f t="shared" si="0"/>
        <v>24</v>
      </c>
      <c r="E25" s="60" t="s">
        <v>273</v>
      </c>
      <c r="F25">
        <v>0.98</v>
      </c>
      <c r="G25">
        <v>0.62760955930937368</v>
      </c>
      <c r="H25" s="118">
        <v>0.7</v>
      </c>
      <c r="J25">
        <v>0.25</v>
      </c>
      <c r="K25">
        <v>0.05</v>
      </c>
      <c r="V25">
        <v>0</v>
      </c>
      <c r="W25">
        <v>0</v>
      </c>
    </row>
    <row r="26" spans="4:23" x14ac:dyDescent="0.15">
      <c r="D26">
        <f t="shared" si="0"/>
        <v>25</v>
      </c>
      <c r="E26" s="60" t="s">
        <v>398</v>
      </c>
      <c r="F26">
        <v>0.98</v>
      </c>
      <c r="G26">
        <v>0.80610323276118578</v>
      </c>
      <c r="H26" s="118">
        <v>0.7</v>
      </c>
      <c r="J26">
        <v>0.25</v>
      </c>
      <c r="K26">
        <v>0.05</v>
      </c>
      <c r="V26">
        <v>0</v>
      </c>
      <c r="W26">
        <v>0</v>
      </c>
    </row>
    <row r="27" spans="4:23" x14ac:dyDescent="0.15">
      <c r="D27">
        <f t="shared" si="0"/>
        <v>26</v>
      </c>
      <c r="E27" s="60" t="s">
        <v>399</v>
      </c>
      <c r="F27">
        <v>0.98</v>
      </c>
      <c r="G27">
        <v>0.43817546841206029</v>
      </c>
      <c r="H27" s="118">
        <v>0.7</v>
      </c>
      <c r="J27">
        <v>0.25</v>
      </c>
      <c r="K27">
        <v>0.05</v>
      </c>
      <c r="V27">
        <v>0</v>
      </c>
      <c r="W27">
        <v>0</v>
      </c>
    </row>
    <row r="28" spans="4:23" x14ac:dyDescent="0.15">
      <c r="D28">
        <f t="shared" si="0"/>
        <v>27</v>
      </c>
      <c r="E28" s="60" t="s">
        <v>199</v>
      </c>
      <c r="F28">
        <v>0.98</v>
      </c>
      <c r="G28">
        <v>1.0335232089771511</v>
      </c>
      <c r="H28" s="118">
        <v>0.7</v>
      </c>
      <c r="J28">
        <v>0.25</v>
      </c>
      <c r="K28">
        <v>0.05</v>
      </c>
      <c r="V28">
        <v>0</v>
      </c>
      <c r="W28">
        <v>0</v>
      </c>
    </row>
    <row r="29" spans="4:23" x14ac:dyDescent="0.15">
      <c r="D29">
        <f t="shared" si="0"/>
        <v>28</v>
      </c>
      <c r="E29" s="60" t="s">
        <v>200</v>
      </c>
      <c r="F29">
        <v>0.98</v>
      </c>
      <c r="G29">
        <v>0.8</v>
      </c>
      <c r="H29" s="118">
        <v>0.7</v>
      </c>
      <c r="J29">
        <v>0.25</v>
      </c>
      <c r="K29">
        <v>0.05</v>
      </c>
      <c r="V29">
        <v>0</v>
      </c>
      <c r="W29">
        <v>0</v>
      </c>
    </row>
    <row r="30" spans="4:23" x14ac:dyDescent="0.15">
      <c r="D30">
        <f t="shared" si="0"/>
        <v>29</v>
      </c>
      <c r="E30" s="60" t="s">
        <v>201</v>
      </c>
      <c r="F30">
        <v>0.98</v>
      </c>
      <c r="G30">
        <v>0.14729187641941405</v>
      </c>
      <c r="H30" s="118">
        <v>0.3</v>
      </c>
      <c r="J30">
        <v>0.25</v>
      </c>
      <c r="K30">
        <v>0.05</v>
      </c>
      <c r="V30">
        <v>0</v>
      </c>
      <c r="W30">
        <v>0</v>
      </c>
    </row>
    <row r="31" spans="4:23" x14ac:dyDescent="0.15">
      <c r="D31">
        <f t="shared" si="0"/>
        <v>30</v>
      </c>
      <c r="E31" s="60" t="s">
        <v>202</v>
      </c>
      <c r="F31">
        <v>0.98</v>
      </c>
      <c r="G31">
        <v>0.57633983196893102</v>
      </c>
      <c r="H31" s="118">
        <v>0.6</v>
      </c>
      <c r="J31">
        <v>0.25</v>
      </c>
      <c r="K31">
        <v>0.05</v>
      </c>
      <c r="V31">
        <v>0</v>
      </c>
      <c r="W31">
        <v>0</v>
      </c>
    </row>
    <row r="32" spans="4:23" x14ac:dyDescent="0.15">
      <c r="D32">
        <f t="shared" si="0"/>
        <v>31</v>
      </c>
      <c r="E32" s="60" t="s">
        <v>203</v>
      </c>
      <c r="F32">
        <v>0.98</v>
      </c>
      <c r="G32">
        <v>0.99113543005655147</v>
      </c>
      <c r="H32" s="118">
        <v>0.6</v>
      </c>
      <c r="J32">
        <v>0.25</v>
      </c>
      <c r="K32">
        <v>0.05</v>
      </c>
      <c r="V32">
        <v>0</v>
      </c>
      <c r="W32">
        <v>0</v>
      </c>
    </row>
    <row r="33" spans="4:23" x14ac:dyDescent="0.15">
      <c r="D33">
        <f t="shared" si="0"/>
        <v>32</v>
      </c>
      <c r="E33" s="60" t="s">
        <v>204</v>
      </c>
      <c r="F33">
        <v>0.98</v>
      </c>
      <c r="G33">
        <v>0.89554117372819142</v>
      </c>
      <c r="H33" s="118">
        <v>0.6</v>
      </c>
      <c r="J33">
        <v>0.25</v>
      </c>
      <c r="K33">
        <v>0.05</v>
      </c>
      <c r="V33">
        <v>0</v>
      </c>
      <c r="W33">
        <v>0</v>
      </c>
    </row>
    <row r="34" spans="4:23" x14ac:dyDescent="0.15">
      <c r="D34">
        <f t="shared" si="0"/>
        <v>33</v>
      </c>
      <c r="E34" s="60" t="s">
        <v>205</v>
      </c>
      <c r="F34">
        <v>0.98</v>
      </c>
      <c r="G34">
        <v>0.77753291194030738</v>
      </c>
      <c r="H34" s="118">
        <v>0.3</v>
      </c>
      <c r="J34">
        <v>0.25</v>
      </c>
      <c r="K34">
        <v>0.05</v>
      </c>
      <c r="V34">
        <v>0</v>
      </c>
      <c r="W34">
        <v>0</v>
      </c>
    </row>
    <row r="35" spans="4:23" x14ac:dyDescent="0.15">
      <c r="D35">
        <f t="shared" si="0"/>
        <v>34</v>
      </c>
      <c r="E35" s="60" t="s">
        <v>206</v>
      </c>
      <c r="F35">
        <v>0.98</v>
      </c>
      <c r="G35">
        <v>1.4470541898614113</v>
      </c>
      <c r="H35" s="118">
        <v>0.3</v>
      </c>
      <c r="J35">
        <v>0.25</v>
      </c>
      <c r="K35">
        <v>0.05</v>
      </c>
      <c r="V35">
        <v>0</v>
      </c>
      <c r="W35">
        <v>0</v>
      </c>
    </row>
    <row r="36" spans="4:23" x14ac:dyDescent="0.15">
      <c r="D36">
        <f t="shared" si="0"/>
        <v>35</v>
      </c>
      <c r="E36" s="60" t="s">
        <v>207</v>
      </c>
      <c r="F36">
        <v>0.98</v>
      </c>
      <c r="G36">
        <v>0.98359885105007017</v>
      </c>
      <c r="H36" s="118">
        <v>0.3</v>
      </c>
      <c r="J36">
        <v>0.25</v>
      </c>
      <c r="K36">
        <v>0.05</v>
      </c>
      <c r="V36">
        <v>0</v>
      </c>
      <c r="W36">
        <v>0</v>
      </c>
    </row>
    <row r="37" spans="4:23" x14ac:dyDescent="0.15">
      <c r="D37">
        <f t="shared" si="0"/>
        <v>36</v>
      </c>
      <c r="E37" s="60" t="s">
        <v>208</v>
      </c>
      <c r="F37">
        <v>0.98</v>
      </c>
      <c r="G37">
        <v>6.1008780426079025E-2</v>
      </c>
      <c r="H37" s="118">
        <v>0.3</v>
      </c>
      <c r="J37">
        <v>0.25</v>
      </c>
      <c r="K37">
        <v>0.05</v>
      </c>
      <c r="V37">
        <v>0</v>
      </c>
      <c r="W37">
        <v>0</v>
      </c>
    </row>
    <row r="38" spans="4:23" x14ac:dyDescent="0.15">
      <c r="D38">
        <f t="shared" si="0"/>
        <v>37</v>
      </c>
      <c r="E38" s="60" t="s">
        <v>209</v>
      </c>
      <c r="F38">
        <v>0.98</v>
      </c>
      <c r="G38">
        <v>0.70300425065832628</v>
      </c>
      <c r="H38" s="118">
        <v>0.3</v>
      </c>
      <c r="J38">
        <v>0.25</v>
      </c>
      <c r="K38">
        <v>0.05</v>
      </c>
      <c r="V38">
        <v>0</v>
      </c>
      <c r="W38">
        <v>0</v>
      </c>
    </row>
    <row r="39" spans="4:23" x14ac:dyDescent="0.15">
      <c r="D39">
        <f t="shared" si="0"/>
        <v>38</v>
      </c>
      <c r="E39" s="60" t="s">
        <v>210</v>
      </c>
      <c r="F39">
        <v>0.98</v>
      </c>
      <c r="G39">
        <v>0.330249996815206</v>
      </c>
      <c r="H39" s="118">
        <v>0.3</v>
      </c>
      <c r="J39">
        <v>0.25</v>
      </c>
      <c r="K39">
        <v>0.05</v>
      </c>
      <c r="V39">
        <v>0</v>
      </c>
      <c r="W39">
        <v>0</v>
      </c>
    </row>
    <row r="40" spans="4:23" x14ac:dyDescent="0.15">
      <c r="D40">
        <f t="shared" si="0"/>
        <v>39</v>
      </c>
      <c r="E40" s="60" t="s">
        <v>211</v>
      </c>
      <c r="F40">
        <v>0.98</v>
      </c>
      <c r="G40">
        <v>0.8</v>
      </c>
      <c r="H40" s="118">
        <v>0.3</v>
      </c>
      <c r="J40">
        <v>0.25</v>
      </c>
      <c r="K40">
        <v>0.05</v>
      </c>
      <c r="V40">
        <v>0</v>
      </c>
      <c r="W40">
        <v>0</v>
      </c>
    </row>
    <row r="41" spans="4:23" x14ac:dyDescent="0.15">
      <c r="D41">
        <f t="shared" si="0"/>
        <v>40</v>
      </c>
      <c r="E41" s="60" t="s">
        <v>212</v>
      </c>
      <c r="F41">
        <v>0.98</v>
      </c>
      <c r="G41">
        <v>7.430610022219751E-2</v>
      </c>
      <c r="H41" s="118">
        <v>0.3</v>
      </c>
      <c r="J41">
        <v>0.25</v>
      </c>
      <c r="K41">
        <v>0.05</v>
      </c>
      <c r="V41">
        <v>0</v>
      </c>
      <c r="W41">
        <v>0</v>
      </c>
    </row>
    <row r="42" spans="4:23" x14ac:dyDescent="0.15">
      <c r="D42">
        <f t="shared" si="0"/>
        <v>41</v>
      </c>
      <c r="E42" s="60" t="s">
        <v>213</v>
      </c>
      <c r="F42">
        <v>0.98</v>
      </c>
      <c r="G42">
        <v>0.4239047323074438</v>
      </c>
      <c r="H42" s="118">
        <v>0.3</v>
      </c>
      <c r="J42">
        <v>0.25</v>
      </c>
      <c r="K42">
        <v>0.05</v>
      </c>
      <c r="V42">
        <v>0</v>
      </c>
      <c r="W42">
        <v>0</v>
      </c>
    </row>
    <row r="43" spans="4:23" x14ac:dyDescent="0.15">
      <c r="D43">
        <f t="shared" si="0"/>
        <v>42</v>
      </c>
      <c r="E43" s="60" t="s">
        <v>214</v>
      </c>
      <c r="F43">
        <v>0.98</v>
      </c>
      <c r="G43">
        <v>0.15029379667772308</v>
      </c>
      <c r="H43" s="118">
        <v>0.3</v>
      </c>
      <c r="J43">
        <v>0.25</v>
      </c>
      <c r="K43">
        <v>0.05</v>
      </c>
      <c r="V43">
        <v>0</v>
      </c>
      <c r="W43">
        <v>0</v>
      </c>
    </row>
    <row r="44" spans="4:23" x14ac:dyDescent="0.15">
      <c r="D44">
        <f t="shared" si="0"/>
        <v>43</v>
      </c>
      <c r="E44" s="60" t="s">
        <v>215</v>
      </c>
      <c r="F44">
        <v>0.98</v>
      </c>
      <c r="G44">
        <v>7.6490929715641197E-3</v>
      </c>
      <c r="H44" s="118">
        <v>0.3</v>
      </c>
      <c r="J44">
        <v>0.25</v>
      </c>
      <c r="K44">
        <v>0.05</v>
      </c>
      <c r="V44">
        <v>0</v>
      </c>
      <c r="W44">
        <v>0</v>
      </c>
    </row>
    <row r="45" spans="4:23" x14ac:dyDescent="0.15">
      <c r="D45">
        <f t="shared" si="0"/>
        <v>44</v>
      </c>
      <c r="E45" s="60" t="s">
        <v>216</v>
      </c>
      <c r="F45">
        <v>0.98</v>
      </c>
      <c r="G45">
        <v>0.8</v>
      </c>
      <c r="H45" s="118">
        <v>0.6</v>
      </c>
      <c r="J45">
        <v>0.25</v>
      </c>
      <c r="K45">
        <v>0.05</v>
      </c>
      <c r="V45">
        <v>0</v>
      </c>
      <c r="W45">
        <v>0</v>
      </c>
    </row>
    <row r="46" spans="4:23" x14ac:dyDescent="0.15">
      <c r="D46">
        <f t="shared" si="0"/>
        <v>45</v>
      </c>
      <c r="E46" s="60" t="s">
        <v>217</v>
      </c>
      <c r="F46">
        <v>0.98</v>
      </c>
      <c r="G46">
        <v>1.5758638690859746E-2</v>
      </c>
      <c r="H46" s="118">
        <v>0.3</v>
      </c>
      <c r="J46">
        <v>0.25</v>
      </c>
      <c r="K46">
        <v>0.05</v>
      </c>
      <c r="V46">
        <v>0</v>
      </c>
      <c r="W46">
        <v>0</v>
      </c>
    </row>
    <row r="47" spans="4:23" x14ac:dyDescent="0.15">
      <c r="D47">
        <f t="shared" si="0"/>
        <v>46</v>
      </c>
      <c r="E47" s="60" t="s">
        <v>218</v>
      </c>
      <c r="F47">
        <v>0.98</v>
      </c>
      <c r="G47">
        <v>0.8</v>
      </c>
      <c r="H47" s="118">
        <v>0.4</v>
      </c>
      <c r="J47">
        <v>0.25</v>
      </c>
      <c r="K47">
        <v>0.05</v>
      </c>
      <c r="V47">
        <v>0</v>
      </c>
      <c r="W47">
        <v>0</v>
      </c>
    </row>
    <row r="48" spans="4:23" x14ac:dyDescent="0.15">
      <c r="D48">
        <f t="shared" si="0"/>
        <v>47</v>
      </c>
      <c r="E48" s="60" t="s">
        <v>219</v>
      </c>
      <c r="F48">
        <v>0.98</v>
      </c>
      <c r="G48">
        <v>0.13414506834088677</v>
      </c>
      <c r="H48" s="118">
        <v>0.4</v>
      </c>
      <c r="J48">
        <v>0.25</v>
      </c>
      <c r="K48">
        <v>0.05</v>
      </c>
      <c r="V48">
        <v>0</v>
      </c>
      <c r="W48">
        <v>0</v>
      </c>
    </row>
    <row r="49" spans="4:23" x14ac:dyDescent="0.15">
      <c r="D49">
        <f t="shared" si="0"/>
        <v>48</v>
      </c>
      <c r="E49" s="60" t="s">
        <v>220</v>
      </c>
      <c r="F49">
        <v>0.98</v>
      </c>
      <c r="G49">
        <v>0.35556054614141536</v>
      </c>
      <c r="H49" s="118">
        <v>0.4</v>
      </c>
      <c r="J49">
        <v>0.25</v>
      </c>
      <c r="K49">
        <v>0.05</v>
      </c>
      <c r="V49">
        <v>0</v>
      </c>
      <c r="W49">
        <v>0</v>
      </c>
    </row>
    <row r="50" spans="4:23" x14ac:dyDescent="0.15">
      <c r="D50">
        <f t="shared" si="0"/>
        <v>49</v>
      </c>
      <c r="E50" s="60" t="s">
        <v>221</v>
      </c>
      <c r="F50">
        <v>0.98</v>
      </c>
      <c r="G50">
        <v>5.1587607642602687E-2</v>
      </c>
      <c r="H50" s="118">
        <v>0.6</v>
      </c>
      <c r="J50">
        <v>0.25</v>
      </c>
      <c r="K50">
        <v>0.05</v>
      </c>
      <c r="V50">
        <v>0</v>
      </c>
      <c r="W50">
        <v>0</v>
      </c>
    </row>
    <row r="51" spans="4:23" x14ac:dyDescent="0.15">
      <c r="D51">
        <f t="shared" si="0"/>
        <v>50</v>
      </c>
      <c r="E51" s="60" t="s">
        <v>222</v>
      </c>
      <c r="F51">
        <v>0.98</v>
      </c>
      <c r="G51">
        <v>0.8</v>
      </c>
      <c r="H51" s="118">
        <v>0.7</v>
      </c>
      <c r="J51">
        <v>0.25</v>
      </c>
      <c r="K51">
        <v>0.05</v>
      </c>
      <c r="V51">
        <v>0</v>
      </c>
      <c r="W51">
        <v>0</v>
      </c>
    </row>
    <row r="52" spans="4:23" x14ac:dyDescent="0.15">
      <c r="D52">
        <f t="shared" si="0"/>
        <v>51</v>
      </c>
      <c r="E52" s="60" t="s">
        <v>223</v>
      </c>
      <c r="F52">
        <v>0.98</v>
      </c>
      <c r="G52">
        <v>0.8</v>
      </c>
      <c r="H52" s="118">
        <v>0.7</v>
      </c>
      <c r="J52">
        <v>0.25</v>
      </c>
      <c r="K52">
        <v>0.05</v>
      </c>
      <c r="V52">
        <v>0</v>
      </c>
      <c r="W52">
        <v>0</v>
      </c>
    </row>
    <row r="53" spans="4:23" x14ac:dyDescent="0.15">
      <c r="D53">
        <f t="shared" si="0"/>
        <v>52</v>
      </c>
      <c r="E53" s="60" t="s">
        <v>224</v>
      </c>
      <c r="F53">
        <v>0.98</v>
      </c>
      <c r="G53">
        <v>1.6828415364407669</v>
      </c>
      <c r="H53" s="118">
        <v>0.7</v>
      </c>
      <c r="J53">
        <v>0.25</v>
      </c>
      <c r="K53">
        <v>0.05</v>
      </c>
      <c r="V53">
        <v>0</v>
      </c>
      <c r="W53">
        <v>0</v>
      </c>
    </row>
    <row r="54" spans="4:23" x14ac:dyDescent="0.15">
      <c r="D54">
        <f t="shared" si="0"/>
        <v>53</v>
      </c>
      <c r="E54" s="60" t="s">
        <v>225</v>
      </c>
      <c r="F54">
        <v>0.98</v>
      </c>
      <c r="G54">
        <v>0.8</v>
      </c>
      <c r="H54" s="118">
        <v>0.6</v>
      </c>
      <c r="J54">
        <v>0.25</v>
      </c>
      <c r="K54">
        <v>0.05</v>
      </c>
      <c r="V54">
        <v>0</v>
      </c>
      <c r="W54">
        <v>0</v>
      </c>
    </row>
    <row r="55" spans="4:23" x14ac:dyDescent="0.15">
      <c r="D55">
        <f t="shared" si="0"/>
        <v>54</v>
      </c>
      <c r="E55" s="60" t="s">
        <v>226</v>
      </c>
      <c r="F55">
        <v>0.98</v>
      </c>
      <c r="G55">
        <v>0.8</v>
      </c>
      <c r="H55" s="118">
        <v>0.4</v>
      </c>
      <c r="J55">
        <v>0.25</v>
      </c>
      <c r="K55">
        <v>0.05</v>
      </c>
      <c r="V55">
        <v>0</v>
      </c>
      <c r="W55">
        <v>0</v>
      </c>
    </row>
    <row r="56" spans="4:23" x14ac:dyDescent="0.15">
      <c r="D56">
        <f t="shared" si="0"/>
        <v>55</v>
      </c>
      <c r="E56" s="60" t="s">
        <v>227</v>
      </c>
      <c r="F56">
        <v>0.98</v>
      </c>
      <c r="G56">
        <v>0.8</v>
      </c>
      <c r="H56" s="118">
        <v>0.7</v>
      </c>
      <c r="J56">
        <v>0.25</v>
      </c>
      <c r="K56">
        <v>0.05</v>
      </c>
      <c r="V56">
        <v>0</v>
      </c>
      <c r="W56">
        <v>0</v>
      </c>
    </row>
    <row r="57" spans="4:23" x14ac:dyDescent="0.15">
      <c r="D57">
        <f t="shared" si="0"/>
        <v>56</v>
      </c>
      <c r="E57" s="60" t="s">
        <v>228</v>
      </c>
      <c r="F57">
        <v>0.98</v>
      </c>
      <c r="G57">
        <v>0.8</v>
      </c>
      <c r="H57" s="118">
        <v>0.4</v>
      </c>
      <c r="J57">
        <v>0.25</v>
      </c>
      <c r="K57">
        <v>0.05</v>
      </c>
      <c r="V57">
        <v>0</v>
      </c>
      <c r="W57">
        <v>0</v>
      </c>
    </row>
    <row r="58" spans="4:23" x14ac:dyDescent="0.15">
      <c r="D58">
        <f t="shared" si="0"/>
        <v>57</v>
      </c>
      <c r="E58" s="60" t="s">
        <v>229</v>
      </c>
      <c r="F58">
        <v>0.98</v>
      </c>
      <c r="G58">
        <v>0.8</v>
      </c>
      <c r="H58" s="118">
        <v>0.6</v>
      </c>
      <c r="J58">
        <v>0.25</v>
      </c>
      <c r="K58">
        <v>0.05</v>
      </c>
      <c r="V58">
        <v>0</v>
      </c>
      <c r="W58">
        <v>0</v>
      </c>
    </row>
    <row r="59" spans="4:23" x14ac:dyDescent="0.15">
      <c r="D59">
        <f t="shared" si="0"/>
        <v>58</v>
      </c>
      <c r="E59" s="60" t="s">
        <v>230</v>
      </c>
      <c r="F59">
        <v>0.98</v>
      </c>
      <c r="G59">
        <v>0.8</v>
      </c>
      <c r="H59" s="118">
        <v>0.4</v>
      </c>
      <c r="J59">
        <v>0.25</v>
      </c>
      <c r="K59">
        <v>0.05</v>
      </c>
      <c r="V59">
        <v>0</v>
      </c>
      <c r="W59">
        <v>0</v>
      </c>
    </row>
    <row r="60" spans="4:23" x14ac:dyDescent="0.15">
      <c r="D60">
        <f t="shared" si="0"/>
        <v>59</v>
      </c>
      <c r="E60" s="60" t="s">
        <v>231</v>
      </c>
      <c r="F60">
        <v>0.98</v>
      </c>
      <c r="G60">
        <v>0.8</v>
      </c>
      <c r="H60" s="118">
        <v>0.6</v>
      </c>
      <c r="J60">
        <v>0.25</v>
      </c>
      <c r="K60">
        <v>0.05</v>
      </c>
      <c r="V60">
        <v>0</v>
      </c>
      <c r="W60">
        <v>0</v>
      </c>
    </row>
    <row r="61" spans="4:23" x14ac:dyDescent="0.15">
      <c r="D61">
        <f t="shared" si="0"/>
        <v>60</v>
      </c>
      <c r="E61" s="60" t="s">
        <v>232</v>
      </c>
      <c r="F61">
        <v>0.98</v>
      </c>
      <c r="G61">
        <v>0.8</v>
      </c>
      <c r="H61" s="118">
        <v>0.6</v>
      </c>
      <c r="J61">
        <v>0.25</v>
      </c>
      <c r="K61">
        <v>0.05</v>
      </c>
      <c r="V61">
        <v>0</v>
      </c>
      <c r="W61">
        <v>0</v>
      </c>
    </row>
    <row r="62" spans="4:23" x14ac:dyDescent="0.15">
      <c r="D62">
        <f t="shared" si="0"/>
        <v>61</v>
      </c>
      <c r="E62" s="60" t="s">
        <v>233</v>
      </c>
      <c r="F62">
        <v>0.98</v>
      </c>
      <c r="G62">
        <v>0.8</v>
      </c>
      <c r="H62" s="118">
        <v>0.6</v>
      </c>
      <c r="J62">
        <v>0.25</v>
      </c>
      <c r="K62">
        <v>0.05</v>
      </c>
      <c r="V62">
        <v>0</v>
      </c>
      <c r="W62">
        <v>0</v>
      </c>
    </row>
    <row r="63" spans="4:23" x14ac:dyDescent="0.15">
      <c r="D63">
        <f t="shared" si="0"/>
        <v>62</v>
      </c>
      <c r="E63" s="60" t="s">
        <v>234</v>
      </c>
      <c r="F63">
        <v>0.98</v>
      </c>
      <c r="G63">
        <v>0.8</v>
      </c>
      <c r="H63" s="118">
        <v>0.6</v>
      </c>
      <c r="J63">
        <v>0.25</v>
      </c>
      <c r="K63">
        <v>0.05</v>
      </c>
      <c r="V63">
        <v>0</v>
      </c>
      <c r="W63">
        <v>0</v>
      </c>
    </row>
    <row r="64" spans="4:23" x14ac:dyDescent="0.15">
      <c r="D64">
        <f t="shared" si="0"/>
        <v>63</v>
      </c>
      <c r="E64" s="60" t="s">
        <v>235</v>
      </c>
      <c r="F64">
        <v>0.98</v>
      </c>
      <c r="G64">
        <v>0.8</v>
      </c>
      <c r="H64" s="118">
        <v>0.6</v>
      </c>
      <c r="J64">
        <v>0.25</v>
      </c>
      <c r="K64">
        <v>0.05</v>
      </c>
      <c r="V64">
        <v>0</v>
      </c>
      <c r="W64">
        <v>0</v>
      </c>
    </row>
    <row r="65" spans="4:23" x14ac:dyDescent="0.15">
      <c r="D65">
        <f t="shared" si="0"/>
        <v>64</v>
      </c>
      <c r="E65" s="60" t="s">
        <v>236</v>
      </c>
      <c r="F65">
        <v>0.98</v>
      </c>
      <c r="G65">
        <v>0.45483011103761056</v>
      </c>
      <c r="H65" s="118">
        <v>0.6</v>
      </c>
      <c r="J65">
        <v>0.25</v>
      </c>
      <c r="K65">
        <v>0.05</v>
      </c>
      <c r="V65">
        <v>0</v>
      </c>
      <c r="W65">
        <v>0</v>
      </c>
    </row>
    <row r="66" spans="4:23" x14ac:dyDescent="0.15">
      <c r="D66">
        <f t="shared" si="0"/>
        <v>65</v>
      </c>
      <c r="E66" s="60" t="s">
        <v>237</v>
      </c>
      <c r="F66">
        <v>0.98</v>
      </c>
      <c r="G66">
        <v>1.3449487304912708</v>
      </c>
      <c r="H66" s="118">
        <v>0.6</v>
      </c>
      <c r="J66">
        <v>0.25</v>
      </c>
      <c r="K66">
        <v>0.05</v>
      </c>
      <c r="V66">
        <v>0</v>
      </c>
      <c r="W66">
        <v>0</v>
      </c>
    </row>
    <row r="67" spans="4:23" x14ac:dyDescent="0.15">
      <c r="D67">
        <f t="shared" si="0"/>
        <v>66</v>
      </c>
      <c r="E67" s="60" t="s">
        <v>238</v>
      </c>
      <c r="F67">
        <v>0.98</v>
      </c>
      <c r="G67">
        <v>0.5831962380954383</v>
      </c>
      <c r="H67" s="118">
        <v>0.6</v>
      </c>
      <c r="J67">
        <v>0.25</v>
      </c>
      <c r="K67">
        <v>0.05</v>
      </c>
      <c r="V67">
        <v>0</v>
      </c>
      <c r="W67">
        <v>0</v>
      </c>
    </row>
    <row r="68" spans="4:23" x14ac:dyDescent="0.15">
      <c r="D68">
        <f t="shared" ref="D68:D84" si="1">D67+1</f>
        <v>67</v>
      </c>
      <c r="E68" s="60" t="s">
        <v>239</v>
      </c>
      <c r="F68">
        <v>0.98</v>
      </c>
      <c r="G68">
        <v>0.52703833283810064</v>
      </c>
      <c r="H68" s="118">
        <v>0.6</v>
      </c>
      <c r="J68">
        <v>0.25</v>
      </c>
      <c r="K68">
        <v>0.05</v>
      </c>
      <c r="V68">
        <v>0</v>
      </c>
      <c r="W68">
        <v>0</v>
      </c>
    </row>
    <row r="69" spans="4:23" x14ac:dyDescent="0.15">
      <c r="D69">
        <f t="shared" si="1"/>
        <v>68</v>
      </c>
      <c r="E69" s="60" t="s">
        <v>240</v>
      </c>
      <c r="F69">
        <v>0.98</v>
      </c>
      <c r="G69">
        <v>0.96257736817990014</v>
      </c>
      <c r="H69" s="118">
        <v>0.6</v>
      </c>
      <c r="J69">
        <v>0.25</v>
      </c>
      <c r="K69">
        <v>0.05</v>
      </c>
      <c r="V69">
        <v>0</v>
      </c>
      <c r="W69">
        <v>0</v>
      </c>
    </row>
    <row r="70" spans="4:23" x14ac:dyDescent="0.15">
      <c r="D70">
        <f t="shared" si="1"/>
        <v>69</v>
      </c>
      <c r="E70" s="60" t="s">
        <v>241</v>
      </c>
      <c r="F70">
        <v>0.98</v>
      </c>
      <c r="G70">
        <v>0.57920280745982289</v>
      </c>
      <c r="H70" s="118">
        <v>0.6</v>
      </c>
      <c r="J70">
        <v>0.25</v>
      </c>
      <c r="K70">
        <v>0.05</v>
      </c>
      <c r="V70">
        <v>0</v>
      </c>
      <c r="W70">
        <v>0</v>
      </c>
    </row>
    <row r="71" spans="4:23" x14ac:dyDescent="0.15">
      <c r="D71">
        <f t="shared" si="1"/>
        <v>70</v>
      </c>
      <c r="E71" s="60" t="s">
        <v>242</v>
      </c>
      <c r="F71">
        <v>0.98</v>
      </c>
      <c r="G71">
        <v>0.78435003357708999</v>
      </c>
      <c r="H71" s="118">
        <v>0.6</v>
      </c>
      <c r="J71">
        <v>0.25</v>
      </c>
      <c r="K71">
        <v>0.05</v>
      </c>
      <c r="V71">
        <v>0</v>
      </c>
      <c r="W71">
        <v>0</v>
      </c>
    </row>
    <row r="72" spans="4:23" x14ac:dyDescent="0.15">
      <c r="D72">
        <f t="shared" si="1"/>
        <v>71</v>
      </c>
      <c r="E72" s="60" t="s">
        <v>243</v>
      </c>
      <c r="F72">
        <v>0.98</v>
      </c>
      <c r="G72">
        <v>1.4389189407500089</v>
      </c>
      <c r="H72" s="118">
        <v>0.6</v>
      </c>
      <c r="J72">
        <v>0.25</v>
      </c>
      <c r="K72">
        <v>0.05</v>
      </c>
      <c r="V72">
        <v>0</v>
      </c>
      <c r="W72">
        <v>0</v>
      </c>
    </row>
    <row r="73" spans="4:23" x14ac:dyDescent="0.15">
      <c r="D73">
        <f t="shared" si="1"/>
        <v>72</v>
      </c>
      <c r="E73" s="60" t="s">
        <v>244</v>
      </c>
      <c r="F73">
        <v>0.98</v>
      </c>
      <c r="G73">
        <v>0.5</v>
      </c>
      <c r="H73" s="118">
        <v>0.6</v>
      </c>
      <c r="J73">
        <v>0.25</v>
      </c>
      <c r="K73">
        <v>0.05</v>
      </c>
      <c r="V73">
        <v>0</v>
      </c>
      <c r="W73">
        <v>0</v>
      </c>
    </row>
    <row r="74" spans="4:23" x14ac:dyDescent="0.15">
      <c r="D74">
        <f t="shared" si="1"/>
        <v>73</v>
      </c>
      <c r="E74" s="60" t="s">
        <v>245</v>
      </c>
      <c r="F74">
        <v>0.98</v>
      </c>
      <c r="G74">
        <v>0.5</v>
      </c>
      <c r="H74" s="118">
        <v>0.6</v>
      </c>
      <c r="J74">
        <v>0.25</v>
      </c>
      <c r="K74">
        <v>0.05</v>
      </c>
      <c r="V74">
        <v>0</v>
      </c>
      <c r="W74">
        <v>0</v>
      </c>
    </row>
    <row r="75" spans="4:23" x14ac:dyDescent="0.15">
      <c r="D75">
        <f t="shared" si="1"/>
        <v>74</v>
      </c>
      <c r="E75" s="60" t="s">
        <v>246</v>
      </c>
      <c r="F75">
        <v>0.98</v>
      </c>
      <c r="G75">
        <v>0.5</v>
      </c>
      <c r="H75" s="118">
        <v>0.6</v>
      </c>
      <c r="J75">
        <v>0.25</v>
      </c>
      <c r="K75">
        <v>0.05</v>
      </c>
      <c r="V75">
        <v>0</v>
      </c>
      <c r="W75">
        <v>0</v>
      </c>
    </row>
    <row r="76" spans="4:23" x14ac:dyDescent="0.15">
      <c r="D76">
        <f t="shared" si="1"/>
        <v>75</v>
      </c>
      <c r="E76" s="60" t="s">
        <v>247</v>
      </c>
      <c r="F76">
        <v>0.98</v>
      </c>
      <c r="G76">
        <v>0.5</v>
      </c>
      <c r="H76" s="118">
        <v>0.6</v>
      </c>
      <c r="J76">
        <v>0.25</v>
      </c>
      <c r="K76">
        <v>0.05</v>
      </c>
      <c r="V76">
        <v>0</v>
      </c>
      <c r="W76">
        <v>0</v>
      </c>
    </row>
    <row r="77" spans="4:23" x14ac:dyDescent="0.15">
      <c r="D77">
        <f t="shared" si="1"/>
        <v>76</v>
      </c>
      <c r="E77" s="60" t="s">
        <v>248</v>
      </c>
      <c r="F77">
        <v>0.98</v>
      </c>
      <c r="G77">
        <v>0.5</v>
      </c>
      <c r="H77" s="118">
        <v>0.6</v>
      </c>
      <c r="J77">
        <v>0.25</v>
      </c>
      <c r="K77">
        <v>0.05</v>
      </c>
      <c r="V77">
        <v>0</v>
      </c>
      <c r="W77">
        <v>0</v>
      </c>
    </row>
    <row r="78" spans="4:23" x14ac:dyDescent="0.15">
      <c r="D78">
        <f t="shared" si="1"/>
        <v>77</v>
      </c>
      <c r="E78" s="60" t="s">
        <v>249</v>
      </c>
      <c r="F78">
        <v>0.98</v>
      </c>
      <c r="G78">
        <v>0.5</v>
      </c>
      <c r="H78" s="118">
        <v>0.6</v>
      </c>
      <c r="J78">
        <v>0.25</v>
      </c>
      <c r="K78">
        <v>0.05</v>
      </c>
      <c r="V78">
        <v>0</v>
      </c>
      <c r="W78">
        <v>0</v>
      </c>
    </row>
    <row r="79" spans="4:23" x14ac:dyDescent="0.15">
      <c r="D79">
        <f t="shared" si="1"/>
        <v>78</v>
      </c>
      <c r="E79" s="60" t="s">
        <v>250</v>
      </c>
      <c r="F79">
        <v>0.98</v>
      </c>
      <c r="G79">
        <v>0.5</v>
      </c>
      <c r="H79" s="118">
        <v>0.6</v>
      </c>
      <c r="J79">
        <v>0.25</v>
      </c>
      <c r="K79">
        <v>0.05</v>
      </c>
      <c r="V79">
        <v>0</v>
      </c>
      <c r="W79">
        <v>0</v>
      </c>
    </row>
    <row r="80" spans="4:23" x14ac:dyDescent="0.15">
      <c r="D80">
        <f t="shared" si="1"/>
        <v>79</v>
      </c>
      <c r="E80" s="60" t="s">
        <v>251</v>
      </c>
      <c r="F80">
        <v>0.98</v>
      </c>
      <c r="G80">
        <v>0.6176327302753245</v>
      </c>
      <c r="H80" s="118">
        <v>0</v>
      </c>
      <c r="J80">
        <v>0</v>
      </c>
      <c r="K80">
        <v>0</v>
      </c>
      <c r="V80">
        <v>0</v>
      </c>
      <c r="W80">
        <v>0</v>
      </c>
    </row>
    <row r="81" spans="4:23" x14ac:dyDescent="0.15">
      <c r="D81">
        <f t="shared" si="1"/>
        <v>80</v>
      </c>
      <c r="E81" s="60" t="s">
        <v>252</v>
      </c>
      <c r="F81">
        <v>0.98</v>
      </c>
      <c r="G81">
        <v>1.937945270515649</v>
      </c>
      <c r="H81" s="118">
        <v>0</v>
      </c>
      <c r="J81">
        <v>0</v>
      </c>
      <c r="K81">
        <v>0</v>
      </c>
      <c r="V81">
        <v>0</v>
      </c>
      <c r="W81">
        <v>0</v>
      </c>
    </row>
    <row r="82" spans="4:23" x14ac:dyDescent="0.15">
      <c r="D82">
        <f t="shared" si="1"/>
        <v>81</v>
      </c>
      <c r="E82" s="60" t="s">
        <v>253</v>
      </c>
      <c r="F82">
        <v>0.98</v>
      </c>
      <c r="G82">
        <v>0.8</v>
      </c>
      <c r="H82" s="118">
        <v>0</v>
      </c>
      <c r="J82">
        <v>0</v>
      </c>
      <c r="K82">
        <v>0</v>
      </c>
      <c r="V82">
        <v>0</v>
      </c>
      <c r="W82">
        <v>0</v>
      </c>
    </row>
    <row r="83" spans="4:23" x14ac:dyDescent="0.15">
      <c r="D83">
        <f t="shared" si="1"/>
        <v>82</v>
      </c>
      <c r="E83" s="60" t="s">
        <v>254</v>
      </c>
      <c r="F83">
        <v>0.98</v>
      </c>
      <c r="G83">
        <v>0.8</v>
      </c>
      <c r="H83" s="118">
        <v>0</v>
      </c>
      <c r="J83">
        <v>0</v>
      </c>
      <c r="K83">
        <v>0</v>
      </c>
      <c r="V83">
        <v>0</v>
      </c>
      <c r="W83">
        <v>0</v>
      </c>
    </row>
    <row r="84" spans="4:23" x14ac:dyDescent="0.15">
      <c r="D84">
        <f t="shared" si="1"/>
        <v>83</v>
      </c>
      <c r="E84" s="60" t="s">
        <v>255</v>
      </c>
      <c r="F84">
        <v>0.98</v>
      </c>
      <c r="G84">
        <v>0.8</v>
      </c>
      <c r="H84" s="118">
        <v>0</v>
      </c>
      <c r="J84">
        <v>0</v>
      </c>
      <c r="K84">
        <v>0</v>
      </c>
      <c r="V84">
        <v>0</v>
      </c>
      <c r="W8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CF171"/>
  <sheetViews>
    <sheetView workbookViewId="0">
      <pane xSplit="1" ySplit="1" topLeftCell="V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RowHeight="13" x14ac:dyDescent="0.15"/>
  <cols>
    <col min="1" max="1" width="39.83203125" bestFit="1" customWidth="1"/>
  </cols>
  <sheetData>
    <row r="1" spans="1:84" x14ac:dyDescent="0.15">
      <c r="A1" s="4" t="s">
        <v>120</v>
      </c>
      <c r="B1" t="s">
        <v>176</v>
      </c>
      <c r="C1" t="s">
        <v>177</v>
      </c>
      <c r="D1" t="s">
        <v>178</v>
      </c>
      <c r="E1" t="s">
        <v>179</v>
      </c>
      <c r="F1" t="s">
        <v>180</v>
      </c>
      <c r="G1" t="s">
        <v>181</v>
      </c>
      <c r="H1" t="s">
        <v>182</v>
      </c>
      <c r="I1" t="s">
        <v>183</v>
      </c>
      <c r="J1" t="s">
        <v>184</v>
      </c>
      <c r="K1" t="s">
        <v>185</v>
      </c>
      <c r="L1" t="s">
        <v>186</v>
      </c>
      <c r="M1" t="s">
        <v>187</v>
      </c>
      <c r="N1" t="s">
        <v>188</v>
      </c>
      <c r="O1" t="s">
        <v>189</v>
      </c>
      <c r="P1" t="s">
        <v>190</v>
      </c>
      <c r="Q1" t="s">
        <v>191</v>
      </c>
      <c r="R1" t="s">
        <v>192</v>
      </c>
      <c r="S1" t="s">
        <v>193</v>
      </c>
      <c r="T1" t="s">
        <v>194</v>
      </c>
      <c r="U1" t="s">
        <v>195</v>
      </c>
      <c r="V1" t="s">
        <v>196</v>
      </c>
      <c r="W1" t="s">
        <v>197</v>
      </c>
      <c r="X1" t="s">
        <v>198</v>
      </c>
      <c r="Y1" t="s">
        <v>273</v>
      </c>
      <c r="Z1" t="s">
        <v>398</v>
      </c>
      <c r="AA1" t="s">
        <v>399</v>
      </c>
      <c r="AB1" t="s">
        <v>199</v>
      </c>
      <c r="AC1" t="s">
        <v>200</v>
      </c>
      <c r="AD1" t="s">
        <v>201</v>
      </c>
      <c r="AE1" t="s">
        <v>202</v>
      </c>
      <c r="AF1" t="s">
        <v>203</v>
      </c>
      <c r="AG1" t="s">
        <v>204</v>
      </c>
      <c r="AH1" t="s">
        <v>205</v>
      </c>
      <c r="AI1" t="s">
        <v>206</v>
      </c>
      <c r="AJ1" t="s">
        <v>207</v>
      </c>
      <c r="AK1" t="s">
        <v>208</v>
      </c>
      <c r="AL1" t="s">
        <v>209</v>
      </c>
      <c r="AM1" t="s">
        <v>210</v>
      </c>
      <c r="AN1" t="s">
        <v>211</v>
      </c>
      <c r="AO1" t="s">
        <v>212</v>
      </c>
      <c r="AP1" t="s">
        <v>213</v>
      </c>
      <c r="AQ1" t="s">
        <v>214</v>
      </c>
      <c r="AR1" t="s">
        <v>215</v>
      </c>
      <c r="AS1" t="s">
        <v>216</v>
      </c>
      <c r="AT1" t="s">
        <v>217</v>
      </c>
      <c r="AU1" t="s">
        <v>218</v>
      </c>
      <c r="AV1" t="s">
        <v>219</v>
      </c>
      <c r="AW1" t="s">
        <v>220</v>
      </c>
      <c r="AX1" t="s">
        <v>221</v>
      </c>
      <c r="AY1" t="s">
        <v>222</v>
      </c>
      <c r="AZ1" t="s">
        <v>223</v>
      </c>
      <c r="BA1" t="s">
        <v>224</v>
      </c>
      <c r="BB1" t="s">
        <v>225</v>
      </c>
      <c r="BC1" t="s">
        <v>226</v>
      </c>
      <c r="BD1" t="s">
        <v>227</v>
      </c>
      <c r="BE1" t="s">
        <v>228</v>
      </c>
      <c r="BF1" t="s">
        <v>229</v>
      </c>
      <c r="BG1" t="s">
        <v>230</v>
      </c>
      <c r="BH1" t="s">
        <v>231</v>
      </c>
      <c r="BI1" t="s">
        <v>232</v>
      </c>
      <c r="BJ1" t="s">
        <v>233</v>
      </c>
      <c r="BK1" t="s">
        <v>234</v>
      </c>
      <c r="BL1" t="s">
        <v>235</v>
      </c>
      <c r="BM1" t="s">
        <v>236</v>
      </c>
      <c r="BN1" t="s">
        <v>237</v>
      </c>
      <c r="BO1" t="s">
        <v>238</v>
      </c>
      <c r="BP1" t="s">
        <v>239</v>
      </c>
      <c r="BQ1" t="s">
        <v>240</v>
      </c>
      <c r="BR1" t="s">
        <v>241</v>
      </c>
      <c r="BS1" t="s">
        <v>242</v>
      </c>
      <c r="BT1" t="s">
        <v>243</v>
      </c>
      <c r="BU1" t="s">
        <v>244</v>
      </c>
      <c r="BV1" t="s">
        <v>245</v>
      </c>
      <c r="BW1" t="s">
        <v>246</v>
      </c>
      <c r="BX1" t="s">
        <v>247</v>
      </c>
      <c r="BY1" t="s">
        <v>248</v>
      </c>
      <c r="BZ1" t="s">
        <v>249</v>
      </c>
      <c r="CA1" t="s">
        <v>250</v>
      </c>
      <c r="CB1" t="s">
        <v>251</v>
      </c>
      <c r="CC1" t="s">
        <v>252</v>
      </c>
      <c r="CD1" t="s">
        <v>253</v>
      </c>
      <c r="CE1" t="s">
        <v>254</v>
      </c>
      <c r="CF1" t="s">
        <v>255</v>
      </c>
    </row>
    <row r="2" spans="1:84" x14ac:dyDescent="0.15">
      <c r="A2" t="s">
        <v>176</v>
      </c>
      <c r="B2">
        <v>0</v>
      </c>
      <c r="C2">
        <v>0</v>
      </c>
      <c r="D2">
        <v>0.8</v>
      </c>
      <c r="E2">
        <v>0.8</v>
      </c>
      <c r="F2">
        <v>0.8</v>
      </c>
      <c r="G2">
        <v>0.8</v>
      </c>
      <c r="H2">
        <v>0.8</v>
      </c>
      <c r="I2">
        <v>0.8</v>
      </c>
      <c r="J2">
        <v>0.8</v>
      </c>
      <c r="K2">
        <v>0.8</v>
      </c>
      <c r="L2">
        <v>0.8</v>
      </c>
      <c r="M2">
        <v>0.8</v>
      </c>
      <c r="N2">
        <v>0.5</v>
      </c>
      <c r="O2">
        <v>0.8</v>
      </c>
      <c r="P2">
        <v>0.8</v>
      </c>
      <c r="Q2">
        <v>0.8</v>
      </c>
      <c r="R2">
        <v>0.5</v>
      </c>
      <c r="S2">
        <v>0.5</v>
      </c>
      <c r="T2">
        <v>0.5</v>
      </c>
      <c r="U2">
        <v>0.5</v>
      </c>
      <c r="V2">
        <v>0.5</v>
      </c>
      <c r="W2">
        <v>0.5</v>
      </c>
      <c r="X2">
        <v>0.5</v>
      </c>
      <c r="Y2">
        <v>0.1</v>
      </c>
      <c r="Z2">
        <v>0.1</v>
      </c>
      <c r="AA2">
        <v>0.1</v>
      </c>
      <c r="AB2">
        <v>0.1</v>
      </c>
      <c r="AC2">
        <v>0.5</v>
      </c>
      <c r="AD2">
        <v>0.5</v>
      </c>
      <c r="AE2">
        <v>0.5</v>
      </c>
      <c r="AF2">
        <v>0.5</v>
      </c>
      <c r="AG2">
        <v>0.5</v>
      </c>
      <c r="AH2">
        <v>0.5</v>
      </c>
      <c r="AI2">
        <v>0.5</v>
      </c>
      <c r="AJ2">
        <v>0.5</v>
      </c>
      <c r="AK2">
        <v>0.5</v>
      </c>
      <c r="AL2">
        <v>0.5</v>
      </c>
      <c r="AM2">
        <v>0.5</v>
      </c>
      <c r="AN2">
        <v>0.8</v>
      </c>
      <c r="AO2">
        <v>0.8</v>
      </c>
      <c r="AP2">
        <v>0.8</v>
      </c>
      <c r="AQ2">
        <v>0.8</v>
      </c>
      <c r="AR2">
        <v>0.8</v>
      </c>
      <c r="AS2">
        <v>0.8</v>
      </c>
      <c r="AT2">
        <v>0.5</v>
      </c>
      <c r="AU2">
        <v>0.8</v>
      </c>
      <c r="AV2">
        <v>0.8</v>
      </c>
      <c r="AW2">
        <v>0.8</v>
      </c>
      <c r="AX2">
        <v>0.8</v>
      </c>
      <c r="AY2">
        <v>0.5</v>
      </c>
      <c r="AZ2">
        <v>0.8</v>
      </c>
      <c r="BA2">
        <v>0.8</v>
      </c>
      <c r="BB2">
        <v>0.8</v>
      </c>
      <c r="BC2">
        <v>0.8</v>
      </c>
      <c r="BD2">
        <v>0.8</v>
      </c>
      <c r="BE2">
        <v>0.8</v>
      </c>
      <c r="BF2">
        <v>0.8</v>
      </c>
      <c r="BG2">
        <v>0.8</v>
      </c>
      <c r="BH2">
        <v>0.8</v>
      </c>
      <c r="BI2">
        <v>0.8</v>
      </c>
      <c r="BJ2">
        <v>0.7</v>
      </c>
      <c r="BK2">
        <v>0.7</v>
      </c>
      <c r="BL2">
        <v>0.8</v>
      </c>
      <c r="BM2">
        <v>0.7</v>
      </c>
      <c r="BN2">
        <v>0.7</v>
      </c>
      <c r="BO2">
        <v>0.7</v>
      </c>
      <c r="BP2">
        <v>0.7</v>
      </c>
      <c r="BQ2">
        <v>0.7</v>
      </c>
      <c r="BR2">
        <v>0.7</v>
      </c>
      <c r="BS2">
        <v>0.7</v>
      </c>
      <c r="BT2">
        <v>0.7</v>
      </c>
      <c r="BU2">
        <v>0.6</v>
      </c>
      <c r="BV2">
        <v>0.8</v>
      </c>
      <c r="BW2">
        <v>0.7</v>
      </c>
      <c r="BX2">
        <v>0.7</v>
      </c>
      <c r="BY2">
        <v>0.7</v>
      </c>
      <c r="BZ2">
        <v>0.7</v>
      </c>
      <c r="CA2">
        <v>0.6</v>
      </c>
      <c r="CB2">
        <v>0</v>
      </c>
      <c r="CC2">
        <v>0</v>
      </c>
      <c r="CD2">
        <v>0</v>
      </c>
      <c r="CE2">
        <v>0</v>
      </c>
      <c r="CF2">
        <v>0</v>
      </c>
    </row>
    <row r="3" spans="1:84" x14ac:dyDescent="0.15">
      <c r="A3" t="s">
        <v>177</v>
      </c>
      <c r="B3">
        <v>0</v>
      </c>
      <c r="C3">
        <v>0</v>
      </c>
      <c r="D3">
        <v>0.8</v>
      </c>
      <c r="E3">
        <v>0.8</v>
      </c>
      <c r="F3">
        <v>0.8</v>
      </c>
      <c r="G3">
        <v>0.8</v>
      </c>
      <c r="H3">
        <v>0.8</v>
      </c>
      <c r="I3">
        <v>0.8</v>
      </c>
      <c r="J3">
        <v>0.8</v>
      </c>
      <c r="K3">
        <v>0.8</v>
      </c>
      <c r="L3">
        <v>0.8</v>
      </c>
      <c r="M3">
        <v>0.8</v>
      </c>
      <c r="N3">
        <v>0.5</v>
      </c>
      <c r="O3">
        <v>0.8</v>
      </c>
      <c r="P3">
        <v>0.8</v>
      </c>
      <c r="Q3">
        <v>0.8</v>
      </c>
      <c r="R3">
        <v>0.5</v>
      </c>
      <c r="S3">
        <v>0.5</v>
      </c>
      <c r="T3">
        <v>0.5</v>
      </c>
      <c r="U3">
        <v>0.5</v>
      </c>
      <c r="V3">
        <v>0.5</v>
      </c>
      <c r="W3">
        <v>0.5</v>
      </c>
      <c r="X3">
        <v>0.5</v>
      </c>
      <c r="Y3">
        <v>0.1</v>
      </c>
      <c r="Z3">
        <v>0.1</v>
      </c>
      <c r="AA3">
        <v>0.1</v>
      </c>
      <c r="AB3">
        <v>0.1</v>
      </c>
      <c r="AC3">
        <v>0.5</v>
      </c>
      <c r="AD3">
        <v>0.5</v>
      </c>
      <c r="AE3">
        <v>0.5</v>
      </c>
      <c r="AF3">
        <v>0.5</v>
      </c>
      <c r="AG3">
        <v>0.5</v>
      </c>
      <c r="AH3">
        <v>0.5</v>
      </c>
      <c r="AI3">
        <v>0.5</v>
      </c>
      <c r="AJ3">
        <v>0.5</v>
      </c>
      <c r="AK3">
        <v>0.5</v>
      </c>
      <c r="AL3">
        <v>0.5</v>
      </c>
      <c r="AM3">
        <v>0.5</v>
      </c>
      <c r="AN3">
        <v>0.8</v>
      </c>
      <c r="AO3">
        <v>0.8</v>
      </c>
      <c r="AP3">
        <v>0.8</v>
      </c>
      <c r="AQ3">
        <v>0.8</v>
      </c>
      <c r="AR3">
        <v>0.8</v>
      </c>
      <c r="AS3">
        <v>0.8</v>
      </c>
      <c r="AT3">
        <v>0.5</v>
      </c>
      <c r="AU3">
        <v>0.8</v>
      </c>
      <c r="AV3">
        <v>0.8</v>
      </c>
      <c r="AW3">
        <v>0.8</v>
      </c>
      <c r="AX3">
        <v>0.8</v>
      </c>
      <c r="AY3">
        <v>0.5</v>
      </c>
      <c r="AZ3">
        <v>0.8</v>
      </c>
      <c r="BA3">
        <v>0.8</v>
      </c>
      <c r="BB3">
        <v>0.8</v>
      </c>
      <c r="BC3">
        <v>0.8</v>
      </c>
      <c r="BD3">
        <v>0.8</v>
      </c>
      <c r="BE3">
        <v>0.8</v>
      </c>
      <c r="BF3">
        <v>0.8</v>
      </c>
      <c r="BG3">
        <v>0.8</v>
      </c>
      <c r="BH3">
        <v>0.8</v>
      </c>
      <c r="BI3">
        <v>0.8</v>
      </c>
      <c r="BJ3">
        <v>0.7</v>
      </c>
      <c r="BK3">
        <v>0.7</v>
      </c>
      <c r="BL3">
        <v>0.8</v>
      </c>
      <c r="BM3">
        <v>0.7</v>
      </c>
      <c r="BN3">
        <v>0.7</v>
      </c>
      <c r="BO3">
        <v>0.7</v>
      </c>
      <c r="BP3">
        <v>0.7</v>
      </c>
      <c r="BQ3">
        <v>0.7</v>
      </c>
      <c r="BR3">
        <v>0.7</v>
      </c>
      <c r="BS3">
        <v>0.7</v>
      </c>
      <c r="BT3">
        <v>0.7</v>
      </c>
      <c r="BU3">
        <v>0.6</v>
      </c>
      <c r="BV3">
        <v>0.8</v>
      </c>
      <c r="BW3">
        <v>0.7</v>
      </c>
      <c r="BX3">
        <v>0.7</v>
      </c>
      <c r="BY3">
        <v>0.7</v>
      </c>
      <c r="BZ3">
        <v>0.7</v>
      </c>
      <c r="CA3">
        <v>0.6</v>
      </c>
      <c r="CB3">
        <v>0</v>
      </c>
      <c r="CC3">
        <v>0</v>
      </c>
      <c r="CD3">
        <v>0</v>
      </c>
      <c r="CE3">
        <v>0</v>
      </c>
      <c r="CF3">
        <v>0</v>
      </c>
    </row>
    <row r="4" spans="1:84" x14ac:dyDescent="0.15">
      <c r="A4" t="s">
        <v>178</v>
      </c>
      <c r="B4">
        <v>0</v>
      </c>
      <c r="C4">
        <v>0</v>
      </c>
      <c r="D4">
        <v>0.8</v>
      </c>
      <c r="E4">
        <v>0.8</v>
      </c>
      <c r="F4">
        <v>0.8</v>
      </c>
      <c r="G4">
        <v>0.8</v>
      </c>
      <c r="H4">
        <v>0.8</v>
      </c>
      <c r="I4">
        <v>0.8</v>
      </c>
      <c r="J4">
        <v>0.8</v>
      </c>
      <c r="K4">
        <v>0.8</v>
      </c>
      <c r="L4">
        <v>0.8</v>
      </c>
      <c r="M4">
        <v>0.8</v>
      </c>
      <c r="N4">
        <v>0.5</v>
      </c>
      <c r="O4">
        <v>0.8</v>
      </c>
      <c r="P4">
        <v>0.8</v>
      </c>
      <c r="Q4">
        <v>0.8</v>
      </c>
      <c r="R4">
        <v>0.5</v>
      </c>
      <c r="S4">
        <v>0.5</v>
      </c>
      <c r="T4">
        <v>0.5</v>
      </c>
      <c r="U4">
        <v>0.5</v>
      </c>
      <c r="V4">
        <v>0.5</v>
      </c>
      <c r="W4">
        <v>0.5</v>
      </c>
      <c r="X4">
        <v>0.5</v>
      </c>
      <c r="Y4">
        <v>0.1</v>
      </c>
      <c r="Z4">
        <v>0.1</v>
      </c>
      <c r="AA4">
        <v>0.1</v>
      </c>
      <c r="AB4">
        <v>0.1</v>
      </c>
      <c r="AC4">
        <v>0.5</v>
      </c>
      <c r="AD4">
        <v>0.5</v>
      </c>
      <c r="AE4">
        <v>0.5</v>
      </c>
      <c r="AF4">
        <v>0.5</v>
      </c>
      <c r="AG4">
        <v>0.5</v>
      </c>
      <c r="AH4">
        <v>0.5</v>
      </c>
      <c r="AI4">
        <v>0.5</v>
      </c>
      <c r="AJ4">
        <v>0.5</v>
      </c>
      <c r="AK4">
        <v>0.5</v>
      </c>
      <c r="AL4">
        <v>0.5</v>
      </c>
      <c r="AM4">
        <v>0.5</v>
      </c>
      <c r="AN4">
        <v>0.8</v>
      </c>
      <c r="AO4">
        <v>0.8</v>
      </c>
      <c r="AP4">
        <v>0.8</v>
      </c>
      <c r="AQ4">
        <v>0.8</v>
      </c>
      <c r="AR4">
        <v>0.8</v>
      </c>
      <c r="AS4">
        <v>0.8</v>
      </c>
      <c r="AT4">
        <v>0.5</v>
      </c>
      <c r="AU4">
        <v>0.8</v>
      </c>
      <c r="AV4">
        <v>0.8</v>
      </c>
      <c r="AW4">
        <v>0.8</v>
      </c>
      <c r="AX4">
        <v>0.8</v>
      </c>
      <c r="AY4">
        <v>0.5</v>
      </c>
      <c r="AZ4">
        <v>0.8</v>
      </c>
      <c r="BA4">
        <v>0.8</v>
      </c>
      <c r="BB4">
        <v>0.8</v>
      </c>
      <c r="BC4">
        <v>0.8</v>
      </c>
      <c r="BD4">
        <v>0.8</v>
      </c>
      <c r="BE4">
        <v>0.8</v>
      </c>
      <c r="BF4">
        <v>0.8</v>
      </c>
      <c r="BG4">
        <v>0.8</v>
      </c>
      <c r="BH4">
        <v>0.8</v>
      </c>
      <c r="BI4">
        <v>0.8</v>
      </c>
      <c r="BJ4">
        <v>0.7</v>
      </c>
      <c r="BK4">
        <v>0.7</v>
      </c>
      <c r="BL4">
        <v>0.8</v>
      </c>
      <c r="BM4">
        <v>0.7</v>
      </c>
      <c r="BN4">
        <v>0.7</v>
      </c>
      <c r="BO4">
        <v>0.7</v>
      </c>
      <c r="BP4">
        <v>0.7</v>
      </c>
      <c r="BQ4">
        <v>0.7</v>
      </c>
      <c r="BR4">
        <v>0.7</v>
      </c>
      <c r="BS4">
        <v>0.7</v>
      </c>
      <c r="BT4">
        <v>0.7</v>
      </c>
      <c r="BU4">
        <v>0.6</v>
      </c>
      <c r="BV4">
        <v>0.8</v>
      </c>
      <c r="BW4">
        <v>0.7</v>
      </c>
      <c r="BX4">
        <v>0.7</v>
      </c>
      <c r="BY4">
        <v>0.7</v>
      </c>
      <c r="BZ4">
        <v>0.7</v>
      </c>
      <c r="CA4">
        <v>0.6</v>
      </c>
      <c r="CB4">
        <v>0</v>
      </c>
      <c r="CC4">
        <v>0</v>
      </c>
      <c r="CD4">
        <v>0</v>
      </c>
      <c r="CE4">
        <v>0</v>
      </c>
      <c r="CF4">
        <v>0</v>
      </c>
    </row>
    <row r="5" spans="1:84" x14ac:dyDescent="0.15">
      <c r="A5" t="s">
        <v>179</v>
      </c>
      <c r="B5">
        <v>0</v>
      </c>
      <c r="C5">
        <v>0</v>
      </c>
      <c r="D5">
        <v>0.8</v>
      </c>
      <c r="E5">
        <v>0.8</v>
      </c>
      <c r="F5">
        <v>0.8</v>
      </c>
      <c r="G5">
        <v>0.8</v>
      </c>
      <c r="H5">
        <v>0.8</v>
      </c>
      <c r="I5">
        <v>0.8</v>
      </c>
      <c r="J5">
        <v>0.8</v>
      </c>
      <c r="K5">
        <v>0.8</v>
      </c>
      <c r="L5">
        <v>0.8</v>
      </c>
      <c r="M5">
        <v>0.8</v>
      </c>
      <c r="N5">
        <v>0.5</v>
      </c>
      <c r="O5">
        <v>0.8</v>
      </c>
      <c r="P5">
        <v>0.8</v>
      </c>
      <c r="Q5">
        <v>0.8</v>
      </c>
      <c r="R5">
        <v>0.5</v>
      </c>
      <c r="S5">
        <v>0.5</v>
      </c>
      <c r="T5">
        <v>0.5</v>
      </c>
      <c r="U5">
        <v>0.5</v>
      </c>
      <c r="V5">
        <v>0.5</v>
      </c>
      <c r="W5">
        <v>0.5</v>
      </c>
      <c r="X5">
        <v>0.5</v>
      </c>
      <c r="Y5">
        <v>0.1</v>
      </c>
      <c r="Z5">
        <v>0.1</v>
      </c>
      <c r="AA5">
        <v>0.1</v>
      </c>
      <c r="AB5">
        <v>0.1</v>
      </c>
      <c r="AC5">
        <v>0.5</v>
      </c>
      <c r="AD5">
        <v>0.5</v>
      </c>
      <c r="AE5">
        <v>0.5</v>
      </c>
      <c r="AF5">
        <v>0.5</v>
      </c>
      <c r="AG5">
        <v>0.5</v>
      </c>
      <c r="AH5">
        <v>0.5</v>
      </c>
      <c r="AI5">
        <v>0.5</v>
      </c>
      <c r="AJ5">
        <v>0.5</v>
      </c>
      <c r="AK5">
        <v>0.5</v>
      </c>
      <c r="AL5">
        <v>0.5</v>
      </c>
      <c r="AM5">
        <v>0.5</v>
      </c>
      <c r="AN5">
        <v>0.8</v>
      </c>
      <c r="AO5">
        <v>0.8</v>
      </c>
      <c r="AP5">
        <v>0.8</v>
      </c>
      <c r="AQ5">
        <v>0.8</v>
      </c>
      <c r="AR5">
        <v>0.8</v>
      </c>
      <c r="AS5">
        <v>0.8</v>
      </c>
      <c r="AT5">
        <v>0.5</v>
      </c>
      <c r="AU5">
        <v>0.8</v>
      </c>
      <c r="AV5">
        <v>0.8</v>
      </c>
      <c r="AW5">
        <v>0.8</v>
      </c>
      <c r="AX5">
        <v>0.8</v>
      </c>
      <c r="AY5">
        <v>0.5</v>
      </c>
      <c r="AZ5">
        <v>0.8</v>
      </c>
      <c r="BA5">
        <v>0.8</v>
      </c>
      <c r="BB5">
        <v>0.8</v>
      </c>
      <c r="BC5">
        <v>0.8</v>
      </c>
      <c r="BD5">
        <v>0.8</v>
      </c>
      <c r="BE5">
        <v>0.8</v>
      </c>
      <c r="BF5">
        <v>0.8</v>
      </c>
      <c r="BG5">
        <v>0.8</v>
      </c>
      <c r="BH5">
        <v>0.8</v>
      </c>
      <c r="BI5">
        <v>0.8</v>
      </c>
      <c r="BJ5">
        <v>0.7</v>
      </c>
      <c r="BK5">
        <v>0.7</v>
      </c>
      <c r="BL5">
        <v>0.8</v>
      </c>
      <c r="BM5">
        <v>0.7</v>
      </c>
      <c r="BN5">
        <v>0.7</v>
      </c>
      <c r="BO5">
        <v>0.7</v>
      </c>
      <c r="BP5">
        <v>0.7</v>
      </c>
      <c r="BQ5">
        <v>0.7</v>
      </c>
      <c r="BR5">
        <v>0.7</v>
      </c>
      <c r="BS5">
        <v>0.7</v>
      </c>
      <c r="BT5">
        <v>0.7</v>
      </c>
      <c r="BU5">
        <v>0.6</v>
      </c>
      <c r="BV5">
        <v>0.8</v>
      </c>
      <c r="BW5">
        <v>0.7</v>
      </c>
      <c r="BX5">
        <v>0.7</v>
      </c>
      <c r="BY5">
        <v>0.7</v>
      </c>
      <c r="BZ5">
        <v>0.7</v>
      </c>
      <c r="CA5">
        <v>0.6</v>
      </c>
      <c r="CB5">
        <v>0</v>
      </c>
      <c r="CC5">
        <v>0</v>
      </c>
      <c r="CD5">
        <v>0</v>
      </c>
      <c r="CE5">
        <v>0</v>
      </c>
      <c r="CF5">
        <v>0</v>
      </c>
    </row>
    <row r="6" spans="1:84" x14ac:dyDescent="0.15">
      <c r="A6" t="s">
        <v>180</v>
      </c>
      <c r="B6">
        <v>0</v>
      </c>
      <c r="C6">
        <v>0</v>
      </c>
      <c r="D6">
        <v>0.8</v>
      </c>
      <c r="E6">
        <v>0.8</v>
      </c>
      <c r="F6">
        <v>0.8</v>
      </c>
      <c r="G6">
        <v>0.8</v>
      </c>
      <c r="H6">
        <v>0.8</v>
      </c>
      <c r="I6">
        <v>0.8</v>
      </c>
      <c r="J6">
        <v>0.8</v>
      </c>
      <c r="K6">
        <v>0.8</v>
      </c>
      <c r="L6">
        <v>0.8</v>
      </c>
      <c r="M6">
        <v>0.8</v>
      </c>
      <c r="N6">
        <v>0.5</v>
      </c>
      <c r="O6">
        <v>0.8</v>
      </c>
      <c r="P6">
        <v>0.8</v>
      </c>
      <c r="Q6">
        <v>0.8</v>
      </c>
      <c r="R6">
        <v>0.5</v>
      </c>
      <c r="S6">
        <v>0.5</v>
      </c>
      <c r="T6">
        <v>0.5</v>
      </c>
      <c r="U6">
        <v>0.5</v>
      </c>
      <c r="V6">
        <v>0.5</v>
      </c>
      <c r="W6">
        <v>0.5</v>
      </c>
      <c r="X6">
        <v>0.5</v>
      </c>
      <c r="Y6">
        <v>0.1</v>
      </c>
      <c r="Z6">
        <v>0.1</v>
      </c>
      <c r="AA6">
        <v>0.1</v>
      </c>
      <c r="AB6">
        <v>0.1</v>
      </c>
      <c r="AC6">
        <v>0.5</v>
      </c>
      <c r="AD6">
        <v>0.5</v>
      </c>
      <c r="AE6">
        <v>0.5</v>
      </c>
      <c r="AF6">
        <v>0.5</v>
      </c>
      <c r="AG6">
        <v>0.5</v>
      </c>
      <c r="AH6">
        <v>0.5</v>
      </c>
      <c r="AI6">
        <v>0.5</v>
      </c>
      <c r="AJ6">
        <v>0.5</v>
      </c>
      <c r="AK6">
        <v>0.5</v>
      </c>
      <c r="AL6">
        <v>0.5</v>
      </c>
      <c r="AM6">
        <v>0.5</v>
      </c>
      <c r="AN6">
        <v>0.8</v>
      </c>
      <c r="AO6">
        <v>0.8</v>
      </c>
      <c r="AP6">
        <v>0.8</v>
      </c>
      <c r="AQ6">
        <v>0.8</v>
      </c>
      <c r="AR6">
        <v>0.8</v>
      </c>
      <c r="AS6">
        <v>0.8</v>
      </c>
      <c r="AT6">
        <v>0.5</v>
      </c>
      <c r="AU6">
        <v>0.8</v>
      </c>
      <c r="AV6">
        <v>0.8</v>
      </c>
      <c r="AW6">
        <v>0.8</v>
      </c>
      <c r="AX6">
        <v>0.8</v>
      </c>
      <c r="AY6">
        <v>0.5</v>
      </c>
      <c r="AZ6">
        <v>0.8</v>
      </c>
      <c r="BA6">
        <v>0.8</v>
      </c>
      <c r="BB6">
        <v>0.8</v>
      </c>
      <c r="BC6">
        <v>0.8</v>
      </c>
      <c r="BD6">
        <v>0.8</v>
      </c>
      <c r="BE6">
        <v>0.8</v>
      </c>
      <c r="BF6">
        <v>0.8</v>
      </c>
      <c r="BG6">
        <v>0.8</v>
      </c>
      <c r="BH6">
        <v>0.8</v>
      </c>
      <c r="BI6">
        <v>0.8</v>
      </c>
      <c r="BJ6">
        <v>0.7</v>
      </c>
      <c r="BK6">
        <v>0.7</v>
      </c>
      <c r="BL6">
        <v>0.8</v>
      </c>
      <c r="BM6">
        <v>0.7</v>
      </c>
      <c r="BN6">
        <v>0.7</v>
      </c>
      <c r="BO6">
        <v>0.7</v>
      </c>
      <c r="BP6">
        <v>0.7</v>
      </c>
      <c r="BQ6">
        <v>0.7</v>
      </c>
      <c r="BR6">
        <v>0.7</v>
      </c>
      <c r="BS6">
        <v>0.7</v>
      </c>
      <c r="BT6">
        <v>0.7</v>
      </c>
      <c r="BU6">
        <v>0.6</v>
      </c>
      <c r="BV6">
        <v>0.8</v>
      </c>
      <c r="BW6">
        <v>0.7</v>
      </c>
      <c r="BX6">
        <v>0.7</v>
      </c>
      <c r="BY6">
        <v>0.7</v>
      </c>
      <c r="BZ6">
        <v>0.7</v>
      </c>
      <c r="CA6">
        <v>0.6</v>
      </c>
      <c r="CB6">
        <v>0</v>
      </c>
      <c r="CC6">
        <v>0</v>
      </c>
      <c r="CD6">
        <v>0</v>
      </c>
      <c r="CE6">
        <v>0</v>
      </c>
      <c r="CF6">
        <v>0</v>
      </c>
    </row>
    <row r="7" spans="1:84" x14ac:dyDescent="0.15">
      <c r="A7" t="s">
        <v>181</v>
      </c>
      <c r="B7">
        <v>0</v>
      </c>
      <c r="C7">
        <v>0</v>
      </c>
      <c r="D7">
        <v>0.8</v>
      </c>
      <c r="E7">
        <v>0.8</v>
      </c>
      <c r="F7">
        <v>0.8</v>
      </c>
      <c r="G7">
        <v>0.8</v>
      </c>
      <c r="H7">
        <v>0.8</v>
      </c>
      <c r="I7">
        <v>0.8</v>
      </c>
      <c r="J7">
        <v>0.8</v>
      </c>
      <c r="K7">
        <v>0.8</v>
      </c>
      <c r="L7">
        <v>0.8</v>
      </c>
      <c r="M7">
        <v>0.8</v>
      </c>
      <c r="N7">
        <v>0.5</v>
      </c>
      <c r="O7">
        <v>0.8</v>
      </c>
      <c r="P7">
        <v>0.8</v>
      </c>
      <c r="Q7">
        <v>0.8</v>
      </c>
      <c r="R7">
        <v>0.5</v>
      </c>
      <c r="S7">
        <v>0.5</v>
      </c>
      <c r="T7">
        <v>0.5</v>
      </c>
      <c r="U7">
        <v>0.5</v>
      </c>
      <c r="V7">
        <v>0.5</v>
      </c>
      <c r="W7">
        <v>0.5</v>
      </c>
      <c r="X7">
        <v>0.5</v>
      </c>
      <c r="Y7">
        <v>0.1</v>
      </c>
      <c r="Z7">
        <v>0.1</v>
      </c>
      <c r="AA7">
        <v>0.1</v>
      </c>
      <c r="AB7">
        <v>0.1</v>
      </c>
      <c r="AC7">
        <v>0.5</v>
      </c>
      <c r="AD7">
        <v>0.5</v>
      </c>
      <c r="AE7">
        <v>0.5</v>
      </c>
      <c r="AF7">
        <v>0.5</v>
      </c>
      <c r="AG7">
        <v>0.5</v>
      </c>
      <c r="AH7">
        <v>0.5</v>
      </c>
      <c r="AI7">
        <v>0.5</v>
      </c>
      <c r="AJ7">
        <v>0.5</v>
      </c>
      <c r="AK7">
        <v>0.5</v>
      </c>
      <c r="AL7">
        <v>0.5</v>
      </c>
      <c r="AM7">
        <v>0.5</v>
      </c>
      <c r="AN7">
        <v>0.8</v>
      </c>
      <c r="AO7">
        <v>0.8</v>
      </c>
      <c r="AP7">
        <v>0.8</v>
      </c>
      <c r="AQ7">
        <v>0.8</v>
      </c>
      <c r="AR7">
        <v>0.8</v>
      </c>
      <c r="AS7">
        <v>0.8</v>
      </c>
      <c r="AT7">
        <v>0.5</v>
      </c>
      <c r="AU7">
        <v>0.8</v>
      </c>
      <c r="AV7">
        <v>0.8</v>
      </c>
      <c r="AW7">
        <v>0.8</v>
      </c>
      <c r="AX7">
        <v>0.8</v>
      </c>
      <c r="AY7">
        <v>0.5</v>
      </c>
      <c r="AZ7">
        <v>0.8</v>
      </c>
      <c r="BA7">
        <v>0.8</v>
      </c>
      <c r="BB7">
        <v>0.8</v>
      </c>
      <c r="BC7">
        <v>0.8</v>
      </c>
      <c r="BD7">
        <v>0.8</v>
      </c>
      <c r="BE7">
        <v>0.8</v>
      </c>
      <c r="BF7">
        <v>0.8</v>
      </c>
      <c r="BG7">
        <v>0.8</v>
      </c>
      <c r="BH7">
        <v>0.8</v>
      </c>
      <c r="BI7">
        <v>0.8</v>
      </c>
      <c r="BJ7">
        <v>0.7</v>
      </c>
      <c r="BK7">
        <v>0.7</v>
      </c>
      <c r="BL7">
        <v>0.8</v>
      </c>
      <c r="BM7">
        <v>0.7</v>
      </c>
      <c r="BN7">
        <v>0.7</v>
      </c>
      <c r="BO7">
        <v>0.7</v>
      </c>
      <c r="BP7">
        <v>0.7</v>
      </c>
      <c r="BQ7">
        <v>0.7</v>
      </c>
      <c r="BR7">
        <v>0.7</v>
      </c>
      <c r="BS7">
        <v>0.7</v>
      </c>
      <c r="BT7">
        <v>0.7</v>
      </c>
      <c r="BU7">
        <v>0.6</v>
      </c>
      <c r="BV7">
        <v>0.8</v>
      </c>
      <c r="BW7">
        <v>0.7</v>
      </c>
      <c r="BX7">
        <v>0.7</v>
      </c>
      <c r="BY7">
        <v>0.7</v>
      </c>
      <c r="BZ7">
        <v>0.7</v>
      </c>
      <c r="CA7">
        <v>0.6</v>
      </c>
      <c r="CB7">
        <v>0</v>
      </c>
      <c r="CC7">
        <v>0</v>
      </c>
      <c r="CD7">
        <v>0</v>
      </c>
      <c r="CE7">
        <v>0</v>
      </c>
      <c r="CF7">
        <v>0</v>
      </c>
    </row>
    <row r="8" spans="1:84" x14ac:dyDescent="0.15">
      <c r="A8" t="s">
        <v>182</v>
      </c>
      <c r="B8">
        <v>0</v>
      </c>
      <c r="C8">
        <v>0</v>
      </c>
      <c r="D8">
        <v>0.8</v>
      </c>
      <c r="E8">
        <v>0.8</v>
      </c>
      <c r="F8">
        <v>0.8</v>
      </c>
      <c r="G8">
        <v>0.8</v>
      </c>
      <c r="H8">
        <v>0.8</v>
      </c>
      <c r="I8">
        <v>0.8</v>
      </c>
      <c r="J8">
        <v>0.8</v>
      </c>
      <c r="K8">
        <v>0.8</v>
      </c>
      <c r="L8">
        <v>0.8</v>
      </c>
      <c r="M8">
        <v>0.8</v>
      </c>
      <c r="N8">
        <v>0.5</v>
      </c>
      <c r="O8">
        <v>0.8</v>
      </c>
      <c r="P8">
        <v>0.8</v>
      </c>
      <c r="Q8">
        <v>0.8</v>
      </c>
      <c r="R8">
        <v>0.5</v>
      </c>
      <c r="S8">
        <v>0.5</v>
      </c>
      <c r="T8">
        <v>0.5</v>
      </c>
      <c r="U8">
        <v>0.5</v>
      </c>
      <c r="V8">
        <v>0.5</v>
      </c>
      <c r="W8">
        <v>0.5</v>
      </c>
      <c r="X8">
        <v>0.5</v>
      </c>
      <c r="Y8">
        <v>0.1</v>
      </c>
      <c r="Z8">
        <v>0.1</v>
      </c>
      <c r="AA8">
        <v>0.1</v>
      </c>
      <c r="AB8">
        <v>0.1</v>
      </c>
      <c r="AC8">
        <v>0.5</v>
      </c>
      <c r="AD8">
        <v>0.5</v>
      </c>
      <c r="AE8">
        <v>0.5</v>
      </c>
      <c r="AF8">
        <v>0.5</v>
      </c>
      <c r="AG8">
        <v>0.5</v>
      </c>
      <c r="AH8">
        <v>0.5</v>
      </c>
      <c r="AI8">
        <v>0.5</v>
      </c>
      <c r="AJ8">
        <v>0.5</v>
      </c>
      <c r="AK8">
        <v>0.5</v>
      </c>
      <c r="AL8">
        <v>0.5</v>
      </c>
      <c r="AM8">
        <v>0.5</v>
      </c>
      <c r="AN8">
        <v>0.8</v>
      </c>
      <c r="AO8">
        <v>0.8</v>
      </c>
      <c r="AP8">
        <v>0.8</v>
      </c>
      <c r="AQ8">
        <v>0.8</v>
      </c>
      <c r="AR8">
        <v>0.8</v>
      </c>
      <c r="AS8">
        <v>0.8</v>
      </c>
      <c r="AT8">
        <v>0.5</v>
      </c>
      <c r="AU8">
        <v>0.8</v>
      </c>
      <c r="AV8">
        <v>0.8</v>
      </c>
      <c r="AW8">
        <v>0.8</v>
      </c>
      <c r="AX8">
        <v>0.8</v>
      </c>
      <c r="AY8">
        <v>0.5</v>
      </c>
      <c r="AZ8">
        <v>0.8</v>
      </c>
      <c r="BA8">
        <v>0.8</v>
      </c>
      <c r="BB8">
        <v>0.8</v>
      </c>
      <c r="BC8">
        <v>0.8</v>
      </c>
      <c r="BD8">
        <v>0.8</v>
      </c>
      <c r="BE8">
        <v>0.8</v>
      </c>
      <c r="BF8">
        <v>0.8</v>
      </c>
      <c r="BG8">
        <v>0.8</v>
      </c>
      <c r="BH8">
        <v>0.8</v>
      </c>
      <c r="BI8">
        <v>0.8</v>
      </c>
      <c r="BJ8">
        <v>0.7</v>
      </c>
      <c r="BK8">
        <v>0.7</v>
      </c>
      <c r="BL8">
        <v>0.8</v>
      </c>
      <c r="BM8">
        <v>0.7</v>
      </c>
      <c r="BN8">
        <v>0.7</v>
      </c>
      <c r="BO8">
        <v>0.7</v>
      </c>
      <c r="BP8">
        <v>0.7</v>
      </c>
      <c r="BQ8">
        <v>0.7</v>
      </c>
      <c r="BR8">
        <v>0.7</v>
      </c>
      <c r="BS8">
        <v>0.7</v>
      </c>
      <c r="BT8">
        <v>0.7</v>
      </c>
      <c r="BU8">
        <v>0.6</v>
      </c>
      <c r="BV8">
        <v>0.8</v>
      </c>
      <c r="BW8">
        <v>0.7</v>
      </c>
      <c r="BX8">
        <v>0.7</v>
      </c>
      <c r="BY8">
        <v>0.7</v>
      </c>
      <c r="BZ8">
        <v>0.7</v>
      </c>
      <c r="CA8">
        <v>0.6</v>
      </c>
      <c r="CB8">
        <v>0</v>
      </c>
      <c r="CC8">
        <v>0</v>
      </c>
      <c r="CD8">
        <v>0</v>
      </c>
      <c r="CE8">
        <v>0</v>
      </c>
      <c r="CF8">
        <v>0</v>
      </c>
    </row>
    <row r="9" spans="1:84" x14ac:dyDescent="0.15">
      <c r="A9" t="s">
        <v>183</v>
      </c>
      <c r="B9">
        <v>0</v>
      </c>
      <c r="C9">
        <v>0</v>
      </c>
      <c r="D9">
        <v>0.8</v>
      </c>
      <c r="E9">
        <v>0.8</v>
      </c>
      <c r="F9">
        <v>0.8</v>
      </c>
      <c r="G9">
        <v>0.8</v>
      </c>
      <c r="H9">
        <v>0.8</v>
      </c>
      <c r="I9">
        <v>0.8</v>
      </c>
      <c r="J9">
        <v>0.8</v>
      </c>
      <c r="K9">
        <v>0.8</v>
      </c>
      <c r="L9">
        <v>0.8</v>
      </c>
      <c r="M9">
        <v>0.8</v>
      </c>
      <c r="N9">
        <v>0.5</v>
      </c>
      <c r="O9">
        <v>0.8</v>
      </c>
      <c r="P9">
        <v>0.8</v>
      </c>
      <c r="Q9">
        <v>0.8</v>
      </c>
      <c r="R9">
        <v>0.5</v>
      </c>
      <c r="S9">
        <v>0.5</v>
      </c>
      <c r="T9">
        <v>0.5</v>
      </c>
      <c r="U9">
        <v>0.5</v>
      </c>
      <c r="V9">
        <v>0.5</v>
      </c>
      <c r="W9">
        <v>0.5</v>
      </c>
      <c r="X9">
        <v>0.5</v>
      </c>
      <c r="Y9">
        <v>0.1</v>
      </c>
      <c r="Z9">
        <v>0.1</v>
      </c>
      <c r="AA9">
        <v>0.1</v>
      </c>
      <c r="AB9">
        <v>0.1</v>
      </c>
      <c r="AC9">
        <v>0.5</v>
      </c>
      <c r="AD9">
        <v>0.5</v>
      </c>
      <c r="AE9">
        <v>0.5</v>
      </c>
      <c r="AF9">
        <v>0.5</v>
      </c>
      <c r="AG9">
        <v>0.5</v>
      </c>
      <c r="AH9">
        <v>0.5</v>
      </c>
      <c r="AI9">
        <v>0.5</v>
      </c>
      <c r="AJ9">
        <v>0.5</v>
      </c>
      <c r="AK9">
        <v>0.5</v>
      </c>
      <c r="AL9">
        <v>0.5</v>
      </c>
      <c r="AM9">
        <v>0.5</v>
      </c>
      <c r="AN9">
        <v>0.8</v>
      </c>
      <c r="AO9">
        <v>0.8</v>
      </c>
      <c r="AP9">
        <v>0.8</v>
      </c>
      <c r="AQ9">
        <v>0.8</v>
      </c>
      <c r="AR9">
        <v>0.8</v>
      </c>
      <c r="AS9">
        <v>0.8</v>
      </c>
      <c r="AT9">
        <v>0.5</v>
      </c>
      <c r="AU9">
        <v>0.8</v>
      </c>
      <c r="AV9">
        <v>0.8</v>
      </c>
      <c r="AW9">
        <v>0.8</v>
      </c>
      <c r="AX9">
        <v>0.8</v>
      </c>
      <c r="AY9">
        <v>0.5</v>
      </c>
      <c r="AZ9">
        <v>0.8</v>
      </c>
      <c r="BA9">
        <v>0.8</v>
      </c>
      <c r="BB9">
        <v>0.8</v>
      </c>
      <c r="BC9">
        <v>0.8</v>
      </c>
      <c r="BD9">
        <v>0.8</v>
      </c>
      <c r="BE9">
        <v>0.8</v>
      </c>
      <c r="BF9">
        <v>0.8</v>
      </c>
      <c r="BG9">
        <v>0.8</v>
      </c>
      <c r="BH9">
        <v>0.8</v>
      </c>
      <c r="BI9">
        <v>0.8</v>
      </c>
      <c r="BJ9">
        <v>0.7</v>
      </c>
      <c r="BK9">
        <v>0.7</v>
      </c>
      <c r="BL9">
        <v>0.8</v>
      </c>
      <c r="BM9">
        <v>0.7</v>
      </c>
      <c r="BN9">
        <v>0.7</v>
      </c>
      <c r="BO9">
        <v>0.7</v>
      </c>
      <c r="BP9">
        <v>0.7</v>
      </c>
      <c r="BQ9">
        <v>0.7</v>
      </c>
      <c r="BR9">
        <v>0.7</v>
      </c>
      <c r="BS9">
        <v>0.7</v>
      </c>
      <c r="BT9">
        <v>0.7</v>
      </c>
      <c r="BU9">
        <v>0.6</v>
      </c>
      <c r="BV9">
        <v>0.8</v>
      </c>
      <c r="BW9">
        <v>0.7</v>
      </c>
      <c r="BX9">
        <v>0.7</v>
      </c>
      <c r="BY9">
        <v>0.7</v>
      </c>
      <c r="BZ9">
        <v>0.7</v>
      </c>
      <c r="CA9">
        <v>0.6</v>
      </c>
      <c r="CB9">
        <v>0</v>
      </c>
      <c r="CC9">
        <v>0</v>
      </c>
      <c r="CD9">
        <v>0</v>
      </c>
      <c r="CE9">
        <v>0</v>
      </c>
      <c r="CF9">
        <v>0</v>
      </c>
    </row>
    <row r="10" spans="1:84" x14ac:dyDescent="0.15">
      <c r="A10" t="s">
        <v>184</v>
      </c>
      <c r="B10">
        <v>0</v>
      </c>
      <c r="C10">
        <v>0</v>
      </c>
      <c r="D10">
        <v>0.8</v>
      </c>
      <c r="E10">
        <v>0.8</v>
      </c>
      <c r="F10">
        <v>0.8</v>
      </c>
      <c r="G10">
        <v>0.8</v>
      </c>
      <c r="H10">
        <v>0.8</v>
      </c>
      <c r="I10">
        <v>0.8</v>
      </c>
      <c r="J10">
        <v>0.8</v>
      </c>
      <c r="K10">
        <v>0.8</v>
      </c>
      <c r="L10">
        <v>0.8</v>
      </c>
      <c r="M10">
        <v>0.8</v>
      </c>
      <c r="N10">
        <v>0.5</v>
      </c>
      <c r="O10">
        <v>0.8</v>
      </c>
      <c r="P10">
        <v>0.8</v>
      </c>
      <c r="Q10">
        <v>0.8</v>
      </c>
      <c r="R10">
        <v>0.5</v>
      </c>
      <c r="S10">
        <v>0.5</v>
      </c>
      <c r="T10">
        <v>0.5</v>
      </c>
      <c r="U10">
        <v>0.5</v>
      </c>
      <c r="V10">
        <v>0.5</v>
      </c>
      <c r="W10">
        <v>0.5</v>
      </c>
      <c r="X10">
        <v>0.5</v>
      </c>
      <c r="Y10">
        <v>0.1</v>
      </c>
      <c r="Z10">
        <v>0.1</v>
      </c>
      <c r="AA10">
        <v>0.1</v>
      </c>
      <c r="AB10">
        <v>0.1</v>
      </c>
      <c r="AC10">
        <v>0.5</v>
      </c>
      <c r="AD10">
        <v>0.5</v>
      </c>
      <c r="AE10">
        <v>0.5</v>
      </c>
      <c r="AF10">
        <v>0.5</v>
      </c>
      <c r="AG10">
        <v>0.5</v>
      </c>
      <c r="AH10">
        <v>0.5</v>
      </c>
      <c r="AI10">
        <v>0.5</v>
      </c>
      <c r="AJ10">
        <v>0.5</v>
      </c>
      <c r="AK10">
        <v>0.5</v>
      </c>
      <c r="AL10">
        <v>0.5</v>
      </c>
      <c r="AM10">
        <v>0.5</v>
      </c>
      <c r="AN10">
        <v>0.8</v>
      </c>
      <c r="AO10">
        <v>0.8</v>
      </c>
      <c r="AP10">
        <v>0.8</v>
      </c>
      <c r="AQ10">
        <v>0.8</v>
      </c>
      <c r="AR10">
        <v>0.8</v>
      </c>
      <c r="AS10">
        <v>0.8</v>
      </c>
      <c r="AT10">
        <v>0.5</v>
      </c>
      <c r="AU10">
        <v>0.8</v>
      </c>
      <c r="AV10">
        <v>0.8</v>
      </c>
      <c r="AW10">
        <v>0.8</v>
      </c>
      <c r="AX10">
        <v>0.8</v>
      </c>
      <c r="AY10">
        <v>0.5</v>
      </c>
      <c r="AZ10">
        <v>0.8</v>
      </c>
      <c r="BA10">
        <v>0.8</v>
      </c>
      <c r="BB10">
        <v>0.8</v>
      </c>
      <c r="BC10">
        <v>0.8</v>
      </c>
      <c r="BD10">
        <v>0.8</v>
      </c>
      <c r="BE10">
        <v>0.8</v>
      </c>
      <c r="BF10">
        <v>0.8</v>
      </c>
      <c r="BG10">
        <v>0.8</v>
      </c>
      <c r="BH10">
        <v>0.8</v>
      </c>
      <c r="BI10">
        <v>0.8</v>
      </c>
      <c r="BJ10">
        <v>0.7</v>
      </c>
      <c r="BK10">
        <v>0.7</v>
      </c>
      <c r="BL10">
        <v>0.8</v>
      </c>
      <c r="BM10">
        <v>0.7</v>
      </c>
      <c r="BN10">
        <v>0.7</v>
      </c>
      <c r="BO10">
        <v>0.7</v>
      </c>
      <c r="BP10">
        <v>0.7</v>
      </c>
      <c r="BQ10">
        <v>0.7</v>
      </c>
      <c r="BR10">
        <v>0.7</v>
      </c>
      <c r="BS10">
        <v>0.7</v>
      </c>
      <c r="BT10">
        <v>0.7</v>
      </c>
      <c r="BU10">
        <v>0.6</v>
      </c>
      <c r="BV10">
        <v>0.8</v>
      </c>
      <c r="BW10">
        <v>0.7</v>
      </c>
      <c r="BX10">
        <v>0.7</v>
      </c>
      <c r="BY10">
        <v>0.7</v>
      </c>
      <c r="BZ10">
        <v>0.7</v>
      </c>
      <c r="CA10">
        <v>0.6</v>
      </c>
      <c r="CB10">
        <v>0</v>
      </c>
      <c r="CC10">
        <v>0</v>
      </c>
      <c r="CD10">
        <v>0</v>
      </c>
      <c r="CE10">
        <v>0</v>
      </c>
      <c r="CF10">
        <v>0</v>
      </c>
    </row>
    <row r="11" spans="1:84" x14ac:dyDescent="0.15">
      <c r="A11" t="s">
        <v>185</v>
      </c>
      <c r="B11">
        <v>0</v>
      </c>
      <c r="C11">
        <v>0</v>
      </c>
      <c r="D11">
        <v>0.8</v>
      </c>
      <c r="E11">
        <v>0.8</v>
      </c>
      <c r="F11">
        <v>0.8</v>
      </c>
      <c r="G11">
        <v>0.8</v>
      </c>
      <c r="H11">
        <v>0.8</v>
      </c>
      <c r="I11">
        <v>0.8</v>
      </c>
      <c r="J11">
        <v>0.8</v>
      </c>
      <c r="K11">
        <v>0.8</v>
      </c>
      <c r="L11">
        <v>0.8</v>
      </c>
      <c r="M11">
        <v>0.8</v>
      </c>
      <c r="N11">
        <v>0.5</v>
      </c>
      <c r="O11">
        <v>0.8</v>
      </c>
      <c r="P11">
        <v>0.8</v>
      </c>
      <c r="Q11">
        <v>0.8</v>
      </c>
      <c r="R11">
        <v>0.5</v>
      </c>
      <c r="S11">
        <v>0.5</v>
      </c>
      <c r="T11">
        <v>0.5</v>
      </c>
      <c r="U11">
        <v>0.5</v>
      </c>
      <c r="V11">
        <v>0.5</v>
      </c>
      <c r="W11">
        <v>0.5</v>
      </c>
      <c r="X11">
        <v>0.5</v>
      </c>
      <c r="Y11">
        <v>0.1</v>
      </c>
      <c r="Z11">
        <v>0.1</v>
      </c>
      <c r="AA11">
        <v>0.1</v>
      </c>
      <c r="AB11">
        <v>0.1</v>
      </c>
      <c r="AC11">
        <v>0.5</v>
      </c>
      <c r="AD11">
        <v>0.5</v>
      </c>
      <c r="AE11">
        <v>0.5</v>
      </c>
      <c r="AF11">
        <v>0.5</v>
      </c>
      <c r="AG11">
        <v>0.5</v>
      </c>
      <c r="AH11">
        <v>0.5</v>
      </c>
      <c r="AI11">
        <v>0.5</v>
      </c>
      <c r="AJ11">
        <v>0.5</v>
      </c>
      <c r="AK11">
        <v>0.5</v>
      </c>
      <c r="AL11">
        <v>0.5</v>
      </c>
      <c r="AM11">
        <v>0.5</v>
      </c>
      <c r="AN11">
        <v>0.8</v>
      </c>
      <c r="AO11">
        <v>0.8</v>
      </c>
      <c r="AP11">
        <v>0.8</v>
      </c>
      <c r="AQ11">
        <v>0.8</v>
      </c>
      <c r="AR11">
        <v>0.8</v>
      </c>
      <c r="AS11">
        <v>0.8</v>
      </c>
      <c r="AT11">
        <v>0.5</v>
      </c>
      <c r="AU11">
        <v>0.8</v>
      </c>
      <c r="AV11">
        <v>0.8</v>
      </c>
      <c r="AW11">
        <v>0.8</v>
      </c>
      <c r="AX11">
        <v>0.8</v>
      </c>
      <c r="AY11">
        <v>0.5</v>
      </c>
      <c r="AZ11">
        <v>0.8</v>
      </c>
      <c r="BA11">
        <v>0.8</v>
      </c>
      <c r="BB11">
        <v>0.8</v>
      </c>
      <c r="BC11">
        <v>0.8</v>
      </c>
      <c r="BD11">
        <v>0.8</v>
      </c>
      <c r="BE11">
        <v>0.8</v>
      </c>
      <c r="BF11">
        <v>0.8</v>
      </c>
      <c r="BG11">
        <v>0.8</v>
      </c>
      <c r="BH11">
        <v>0.8</v>
      </c>
      <c r="BI11">
        <v>0.8</v>
      </c>
      <c r="BJ11">
        <v>0.7</v>
      </c>
      <c r="BK11">
        <v>0.7</v>
      </c>
      <c r="BL11">
        <v>0.8</v>
      </c>
      <c r="BM11">
        <v>0.7</v>
      </c>
      <c r="BN11">
        <v>0.7</v>
      </c>
      <c r="BO11">
        <v>0.7</v>
      </c>
      <c r="BP11">
        <v>0.7</v>
      </c>
      <c r="BQ11">
        <v>0.7</v>
      </c>
      <c r="BR11">
        <v>0.7</v>
      </c>
      <c r="BS11">
        <v>0.7</v>
      </c>
      <c r="BT11">
        <v>0.7</v>
      </c>
      <c r="BU11">
        <v>0.6</v>
      </c>
      <c r="BV11">
        <v>0.8</v>
      </c>
      <c r="BW11">
        <v>0.7</v>
      </c>
      <c r="BX11">
        <v>0.7</v>
      </c>
      <c r="BY11">
        <v>0.7</v>
      </c>
      <c r="BZ11">
        <v>0.7</v>
      </c>
      <c r="CA11">
        <v>0.6</v>
      </c>
      <c r="CB11">
        <v>0</v>
      </c>
      <c r="CC11">
        <v>0</v>
      </c>
      <c r="CD11">
        <v>0</v>
      </c>
      <c r="CE11">
        <v>0</v>
      </c>
      <c r="CF11">
        <v>0</v>
      </c>
    </row>
    <row r="12" spans="1:84" x14ac:dyDescent="0.15">
      <c r="A12" t="s">
        <v>186</v>
      </c>
      <c r="B12">
        <v>0</v>
      </c>
      <c r="C12">
        <v>0</v>
      </c>
      <c r="D12">
        <v>0.8</v>
      </c>
      <c r="E12">
        <v>0.8</v>
      </c>
      <c r="F12">
        <v>0.8</v>
      </c>
      <c r="G12">
        <v>0.8</v>
      </c>
      <c r="H12">
        <v>0.8</v>
      </c>
      <c r="I12">
        <v>0.8</v>
      </c>
      <c r="J12">
        <v>0.8</v>
      </c>
      <c r="K12">
        <v>0.8</v>
      </c>
      <c r="L12">
        <v>0.8</v>
      </c>
      <c r="M12">
        <v>0.8</v>
      </c>
      <c r="N12">
        <v>0.5</v>
      </c>
      <c r="O12">
        <v>0.8</v>
      </c>
      <c r="P12">
        <v>0.8</v>
      </c>
      <c r="Q12">
        <v>0.8</v>
      </c>
      <c r="R12">
        <v>0.5</v>
      </c>
      <c r="S12">
        <v>0.5</v>
      </c>
      <c r="T12">
        <v>0.5</v>
      </c>
      <c r="U12">
        <v>0.5</v>
      </c>
      <c r="V12">
        <v>0.5</v>
      </c>
      <c r="W12">
        <v>0.5</v>
      </c>
      <c r="X12">
        <v>0.5</v>
      </c>
      <c r="Y12">
        <v>0.1</v>
      </c>
      <c r="Z12">
        <v>0.1</v>
      </c>
      <c r="AA12">
        <v>0.1</v>
      </c>
      <c r="AB12">
        <v>0.1</v>
      </c>
      <c r="AC12">
        <v>0.5</v>
      </c>
      <c r="AD12">
        <v>0.5</v>
      </c>
      <c r="AE12">
        <v>0.5</v>
      </c>
      <c r="AF12">
        <v>0.5</v>
      </c>
      <c r="AG12">
        <v>0.5</v>
      </c>
      <c r="AH12">
        <v>0.5</v>
      </c>
      <c r="AI12">
        <v>0.5</v>
      </c>
      <c r="AJ12">
        <v>0.5</v>
      </c>
      <c r="AK12">
        <v>0.5</v>
      </c>
      <c r="AL12">
        <v>0.5</v>
      </c>
      <c r="AM12">
        <v>0.5</v>
      </c>
      <c r="AN12">
        <v>0.8</v>
      </c>
      <c r="AO12">
        <v>0.8</v>
      </c>
      <c r="AP12">
        <v>0.8</v>
      </c>
      <c r="AQ12">
        <v>0.8</v>
      </c>
      <c r="AR12">
        <v>0.8</v>
      </c>
      <c r="AS12">
        <v>0.8</v>
      </c>
      <c r="AT12">
        <v>0.5</v>
      </c>
      <c r="AU12">
        <v>0.8</v>
      </c>
      <c r="AV12">
        <v>0.8</v>
      </c>
      <c r="AW12">
        <v>0.8</v>
      </c>
      <c r="AX12">
        <v>0.8</v>
      </c>
      <c r="AY12">
        <v>0.5</v>
      </c>
      <c r="AZ12">
        <v>0.8</v>
      </c>
      <c r="BA12">
        <v>0.8</v>
      </c>
      <c r="BB12">
        <v>0.8</v>
      </c>
      <c r="BC12">
        <v>0.8</v>
      </c>
      <c r="BD12">
        <v>0.8</v>
      </c>
      <c r="BE12">
        <v>0.8</v>
      </c>
      <c r="BF12">
        <v>0.8</v>
      </c>
      <c r="BG12">
        <v>0.8</v>
      </c>
      <c r="BH12">
        <v>0.8</v>
      </c>
      <c r="BI12">
        <v>0.8</v>
      </c>
      <c r="BJ12">
        <v>0.7</v>
      </c>
      <c r="BK12">
        <v>0.7</v>
      </c>
      <c r="BL12">
        <v>0.8</v>
      </c>
      <c r="BM12">
        <v>0.7</v>
      </c>
      <c r="BN12">
        <v>0.7</v>
      </c>
      <c r="BO12">
        <v>0.7</v>
      </c>
      <c r="BP12">
        <v>0.7</v>
      </c>
      <c r="BQ12">
        <v>0.7</v>
      </c>
      <c r="BR12">
        <v>0.7</v>
      </c>
      <c r="BS12">
        <v>0.7</v>
      </c>
      <c r="BT12">
        <v>0.7</v>
      </c>
      <c r="BU12">
        <v>0.6</v>
      </c>
      <c r="BV12">
        <v>0.8</v>
      </c>
      <c r="BW12">
        <v>0.7</v>
      </c>
      <c r="BX12">
        <v>0.7</v>
      </c>
      <c r="BY12">
        <v>0.7</v>
      </c>
      <c r="BZ12">
        <v>0.7</v>
      </c>
      <c r="CA12">
        <v>0.6</v>
      </c>
      <c r="CB12">
        <v>0</v>
      </c>
      <c r="CC12">
        <v>0</v>
      </c>
      <c r="CD12">
        <v>0</v>
      </c>
      <c r="CE12">
        <v>0</v>
      </c>
      <c r="CF12">
        <v>0</v>
      </c>
    </row>
    <row r="13" spans="1:84" x14ac:dyDescent="0.15">
      <c r="A13" t="s">
        <v>187</v>
      </c>
      <c r="B13">
        <v>0</v>
      </c>
      <c r="C13">
        <v>0</v>
      </c>
      <c r="D13">
        <v>0.8</v>
      </c>
      <c r="E13">
        <v>0.8</v>
      </c>
      <c r="F13">
        <v>0.8</v>
      </c>
      <c r="G13">
        <v>0.8</v>
      </c>
      <c r="H13">
        <v>0.8</v>
      </c>
      <c r="I13">
        <v>0.8</v>
      </c>
      <c r="J13">
        <v>0.8</v>
      </c>
      <c r="K13">
        <v>0.8</v>
      </c>
      <c r="L13">
        <v>0.8</v>
      </c>
      <c r="M13">
        <v>0.8</v>
      </c>
      <c r="N13">
        <v>0.5</v>
      </c>
      <c r="O13">
        <v>0.8</v>
      </c>
      <c r="P13">
        <v>0.8</v>
      </c>
      <c r="Q13">
        <v>0.8</v>
      </c>
      <c r="R13">
        <v>0.5</v>
      </c>
      <c r="S13">
        <v>0.5</v>
      </c>
      <c r="T13">
        <v>0.5</v>
      </c>
      <c r="U13">
        <v>0.5</v>
      </c>
      <c r="V13">
        <v>0.5</v>
      </c>
      <c r="W13">
        <v>0.5</v>
      </c>
      <c r="X13">
        <v>0.5</v>
      </c>
      <c r="Y13">
        <v>0.1</v>
      </c>
      <c r="Z13">
        <v>0.1</v>
      </c>
      <c r="AA13">
        <v>0.1</v>
      </c>
      <c r="AB13">
        <v>0.1</v>
      </c>
      <c r="AC13">
        <v>0.5</v>
      </c>
      <c r="AD13">
        <v>0.5</v>
      </c>
      <c r="AE13">
        <v>0.5</v>
      </c>
      <c r="AF13">
        <v>0.5</v>
      </c>
      <c r="AG13">
        <v>0.5</v>
      </c>
      <c r="AH13">
        <v>0.5</v>
      </c>
      <c r="AI13">
        <v>0.5</v>
      </c>
      <c r="AJ13">
        <v>0.5</v>
      </c>
      <c r="AK13">
        <v>0.5</v>
      </c>
      <c r="AL13">
        <v>0.5</v>
      </c>
      <c r="AM13">
        <v>0.5</v>
      </c>
      <c r="AN13">
        <v>0.8</v>
      </c>
      <c r="AO13">
        <v>0.8</v>
      </c>
      <c r="AP13">
        <v>0.8</v>
      </c>
      <c r="AQ13">
        <v>0.8</v>
      </c>
      <c r="AR13">
        <v>0.8</v>
      </c>
      <c r="AS13">
        <v>0.8</v>
      </c>
      <c r="AT13">
        <v>0.5</v>
      </c>
      <c r="AU13">
        <v>0.8</v>
      </c>
      <c r="AV13">
        <v>0.8</v>
      </c>
      <c r="AW13">
        <v>0.8</v>
      </c>
      <c r="AX13">
        <v>0.8</v>
      </c>
      <c r="AY13">
        <v>0.5</v>
      </c>
      <c r="AZ13">
        <v>0.8</v>
      </c>
      <c r="BA13">
        <v>0.8</v>
      </c>
      <c r="BB13">
        <v>0.8</v>
      </c>
      <c r="BC13">
        <v>0.8</v>
      </c>
      <c r="BD13">
        <v>0.8</v>
      </c>
      <c r="BE13">
        <v>0.8</v>
      </c>
      <c r="BF13">
        <v>0.8</v>
      </c>
      <c r="BG13">
        <v>0.8</v>
      </c>
      <c r="BH13">
        <v>0.8</v>
      </c>
      <c r="BI13">
        <v>0.8</v>
      </c>
      <c r="BJ13">
        <v>0.7</v>
      </c>
      <c r="BK13">
        <v>0.7</v>
      </c>
      <c r="BL13">
        <v>0.8</v>
      </c>
      <c r="BM13">
        <v>0.7</v>
      </c>
      <c r="BN13">
        <v>0.7</v>
      </c>
      <c r="BO13">
        <v>0.7</v>
      </c>
      <c r="BP13">
        <v>0.7</v>
      </c>
      <c r="BQ13">
        <v>0.7</v>
      </c>
      <c r="BR13">
        <v>0.7</v>
      </c>
      <c r="BS13">
        <v>0.7</v>
      </c>
      <c r="BT13">
        <v>0.7</v>
      </c>
      <c r="BU13">
        <v>0.6</v>
      </c>
      <c r="BV13">
        <v>0.8</v>
      </c>
      <c r="BW13">
        <v>0.7</v>
      </c>
      <c r="BX13">
        <v>0.7</v>
      </c>
      <c r="BY13">
        <v>0.7</v>
      </c>
      <c r="BZ13">
        <v>0.7</v>
      </c>
      <c r="CA13">
        <v>0.6</v>
      </c>
      <c r="CB13">
        <v>0</v>
      </c>
      <c r="CC13">
        <v>0</v>
      </c>
      <c r="CD13">
        <v>0</v>
      </c>
      <c r="CE13">
        <v>0</v>
      </c>
      <c r="CF13">
        <v>0</v>
      </c>
    </row>
    <row r="14" spans="1:84" x14ac:dyDescent="0.15">
      <c r="A14" t="s">
        <v>188</v>
      </c>
      <c r="B14">
        <v>0</v>
      </c>
      <c r="C14">
        <v>0</v>
      </c>
      <c r="D14">
        <v>0.8</v>
      </c>
      <c r="E14">
        <v>0.8</v>
      </c>
      <c r="F14">
        <v>0.8</v>
      </c>
      <c r="G14">
        <v>0.8</v>
      </c>
      <c r="H14">
        <v>0.8</v>
      </c>
      <c r="I14">
        <v>0.8</v>
      </c>
      <c r="J14">
        <v>0.8</v>
      </c>
      <c r="K14">
        <v>0.8</v>
      </c>
      <c r="L14">
        <v>0.8</v>
      </c>
      <c r="M14">
        <v>0.8</v>
      </c>
      <c r="N14">
        <v>0.5</v>
      </c>
      <c r="O14">
        <v>0.8</v>
      </c>
      <c r="P14">
        <v>0.8</v>
      </c>
      <c r="Q14">
        <v>0.8</v>
      </c>
      <c r="R14">
        <v>0.5</v>
      </c>
      <c r="S14">
        <v>0.5</v>
      </c>
      <c r="T14">
        <v>0.5</v>
      </c>
      <c r="U14">
        <v>0.5</v>
      </c>
      <c r="V14">
        <v>0.5</v>
      </c>
      <c r="W14">
        <v>0.5</v>
      </c>
      <c r="X14">
        <v>0.5</v>
      </c>
      <c r="Y14">
        <v>0.1</v>
      </c>
      <c r="Z14">
        <v>0.1</v>
      </c>
      <c r="AA14">
        <v>0.1</v>
      </c>
      <c r="AB14">
        <v>0.1</v>
      </c>
      <c r="AC14">
        <v>0.5</v>
      </c>
      <c r="AD14">
        <v>0.5</v>
      </c>
      <c r="AE14">
        <v>0.5</v>
      </c>
      <c r="AF14">
        <v>0.5</v>
      </c>
      <c r="AG14">
        <v>0.5</v>
      </c>
      <c r="AH14">
        <v>0.5</v>
      </c>
      <c r="AI14">
        <v>0.5</v>
      </c>
      <c r="AJ14">
        <v>0.5</v>
      </c>
      <c r="AK14">
        <v>0.5</v>
      </c>
      <c r="AL14">
        <v>0.5</v>
      </c>
      <c r="AM14">
        <v>0.5</v>
      </c>
      <c r="AN14">
        <v>0.8</v>
      </c>
      <c r="AO14">
        <v>0.8</v>
      </c>
      <c r="AP14">
        <v>0.8</v>
      </c>
      <c r="AQ14">
        <v>0.8</v>
      </c>
      <c r="AR14">
        <v>0.8</v>
      </c>
      <c r="AS14">
        <v>0.8</v>
      </c>
      <c r="AT14">
        <v>0.5</v>
      </c>
      <c r="AU14">
        <v>0.8</v>
      </c>
      <c r="AV14">
        <v>0.8</v>
      </c>
      <c r="AW14">
        <v>0.8</v>
      </c>
      <c r="AX14">
        <v>0.8</v>
      </c>
      <c r="AY14">
        <v>0.5</v>
      </c>
      <c r="AZ14">
        <v>0.8</v>
      </c>
      <c r="BA14">
        <v>0.8</v>
      </c>
      <c r="BB14">
        <v>0.8</v>
      </c>
      <c r="BC14">
        <v>0.8</v>
      </c>
      <c r="BD14">
        <v>0.8</v>
      </c>
      <c r="BE14">
        <v>0.8</v>
      </c>
      <c r="BF14">
        <v>0.8</v>
      </c>
      <c r="BG14">
        <v>0.8</v>
      </c>
      <c r="BH14">
        <v>0.8</v>
      </c>
      <c r="BI14">
        <v>0.8</v>
      </c>
      <c r="BJ14">
        <v>0.7</v>
      </c>
      <c r="BK14">
        <v>0.7</v>
      </c>
      <c r="BL14">
        <v>0.8</v>
      </c>
      <c r="BM14">
        <v>0.7</v>
      </c>
      <c r="BN14">
        <v>0.7</v>
      </c>
      <c r="BO14">
        <v>0.7</v>
      </c>
      <c r="BP14">
        <v>0.7</v>
      </c>
      <c r="BQ14">
        <v>0.7</v>
      </c>
      <c r="BR14">
        <v>0.7</v>
      </c>
      <c r="BS14">
        <v>0.7</v>
      </c>
      <c r="BT14">
        <v>0.7</v>
      </c>
      <c r="BU14">
        <v>0.6</v>
      </c>
      <c r="BV14">
        <v>0.8</v>
      </c>
      <c r="BW14">
        <v>0.7</v>
      </c>
      <c r="BX14">
        <v>0.7</v>
      </c>
      <c r="BY14">
        <v>0.7</v>
      </c>
      <c r="BZ14">
        <v>0.7</v>
      </c>
      <c r="CA14">
        <v>0.6</v>
      </c>
      <c r="CB14">
        <v>0</v>
      </c>
      <c r="CC14">
        <v>0</v>
      </c>
      <c r="CD14">
        <v>0</v>
      </c>
      <c r="CE14">
        <v>0</v>
      </c>
      <c r="CF14">
        <v>0</v>
      </c>
    </row>
    <row r="15" spans="1:84" x14ac:dyDescent="0.15">
      <c r="A15" t="s">
        <v>189</v>
      </c>
      <c r="B15">
        <v>0</v>
      </c>
      <c r="C15">
        <v>0</v>
      </c>
      <c r="D15">
        <v>0.8</v>
      </c>
      <c r="E15">
        <v>0.8</v>
      </c>
      <c r="F15">
        <v>0.8</v>
      </c>
      <c r="G15">
        <v>0.8</v>
      </c>
      <c r="H15">
        <v>0.8</v>
      </c>
      <c r="I15">
        <v>0.8</v>
      </c>
      <c r="J15">
        <v>0.8</v>
      </c>
      <c r="K15">
        <v>0.8</v>
      </c>
      <c r="L15">
        <v>0.8</v>
      </c>
      <c r="M15">
        <v>0.8</v>
      </c>
      <c r="N15">
        <v>0.5</v>
      </c>
      <c r="O15">
        <v>0.8</v>
      </c>
      <c r="P15">
        <v>0.8</v>
      </c>
      <c r="Q15">
        <v>0.8</v>
      </c>
      <c r="R15">
        <v>0.5</v>
      </c>
      <c r="S15">
        <v>0.5</v>
      </c>
      <c r="T15">
        <v>0.5</v>
      </c>
      <c r="U15">
        <v>0.5</v>
      </c>
      <c r="V15">
        <v>0.5</v>
      </c>
      <c r="W15">
        <v>0.5</v>
      </c>
      <c r="X15">
        <v>0.5</v>
      </c>
      <c r="Y15">
        <v>0.1</v>
      </c>
      <c r="Z15">
        <v>0.1</v>
      </c>
      <c r="AA15">
        <v>0.1</v>
      </c>
      <c r="AB15">
        <v>0.1</v>
      </c>
      <c r="AC15">
        <v>0.5</v>
      </c>
      <c r="AD15">
        <v>0.5</v>
      </c>
      <c r="AE15">
        <v>0.5</v>
      </c>
      <c r="AF15">
        <v>0.5</v>
      </c>
      <c r="AG15">
        <v>0.5</v>
      </c>
      <c r="AH15">
        <v>0.5</v>
      </c>
      <c r="AI15">
        <v>0.5</v>
      </c>
      <c r="AJ15">
        <v>0.5</v>
      </c>
      <c r="AK15">
        <v>0.5</v>
      </c>
      <c r="AL15">
        <v>0.5</v>
      </c>
      <c r="AM15">
        <v>0.5</v>
      </c>
      <c r="AN15">
        <v>0.8</v>
      </c>
      <c r="AO15">
        <v>0.8</v>
      </c>
      <c r="AP15">
        <v>0.8</v>
      </c>
      <c r="AQ15">
        <v>0.8</v>
      </c>
      <c r="AR15">
        <v>0.8</v>
      </c>
      <c r="AS15">
        <v>0.8</v>
      </c>
      <c r="AT15">
        <v>0.5</v>
      </c>
      <c r="AU15">
        <v>0.8</v>
      </c>
      <c r="AV15">
        <v>0.8</v>
      </c>
      <c r="AW15">
        <v>0.8</v>
      </c>
      <c r="AX15">
        <v>0.8</v>
      </c>
      <c r="AY15">
        <v>0.5</v>
      </c>
      <c r="AZ15">
        <v>0.8</v>
      </c>
      <c r="BA15">
        <v>0.8</v>
      </c>
      <c r="BB15">
        <v>0.8</v>
      </c>
      <c r="BC15">
        <v>0.8</v>
      </c>
      <c r="BD15">
        <v>0.8</v>
      </c>
      <c r="BE15">
        <v>0.8</v>
      </c>
      <c r="BF15">
        <v>0.8</v>
      </c>
      <c r="BG15">
        <v>0.8</v>
      </c>
      <c r="BH15">
        <v>0.8</v>
      </c>
      <c r="BI15">
        <v>0.8</v>
      </c>
      <c r="BJ15">
        <v>0.7</v>
      </c>
      <c r="BK15">
        <v>0.7</v>
      </c>
      <c r="BL15">
        <v>0.8</v>
      </c>
      <c r="BM15">
        <v>0.7</v>
      </c>
      <c r="BN15">
        <v>0.7</v>
      </c>
      <c r="BO15">
        <v>0.7</v>
      </c>
      <c r="BP15">
        <v>0.7</v>
      </c>
      <c r="BQ15">
        <v>0.7</v>
      </c>
      <c r="BR15">
        <v>0.7</v>
      </c>
      <c r="BS15">
        <v>0.7</v>
      </c>
      <c r="BT15">
        <v>0.7</v>
      </c>
      <c r="BU15">
        <v>0.6</v>
      </c>
      <c r="BV15">
        <v>0.8</v>
      </c>
      <c r="BW15">
        <v>0.7</v>
      </c>
      <c r="BX15">
        <v>0.7</v>
      </c>
      <c r="BY15">
        <v>0.7</v>
      </c>
      <c r="BZ15">
        <v>0.7</v>
      </c>
      <c r="CA15">
        <v>0.6</v>
      </c>
      <c r="CB15">
        <v>0</v>
      </c>
      <c r="CC15">
        <v>0</v>
      </c>
      <c r="CD15">
        <v>0</v>
      </c>
      <c r="CE15">
        <v>0</v>
      </c>
      <c r="CF15">
        <v>0</v>
      </c>
    </row>
    <row r="16" spans="1:84" x14ac:dyDescent="0.15">
      <c r="A16" t="s">
        <v>190</v>
      </c>
      <c r="B16">
        <v>0</v>
      </c>
      <c r="C16">
        <v>0</v>
      </c>
      <c r="D16">
        <v>0.8</v>
      </c>
      <c r="E16">
        <v>0.8</v>
      </c>
      <c r="F16">
        <v>0.8</v>
      </c>
      <c r="G16">
        <v>0.8</v>
      </c>
      <c r="H16">
        <v>0.8</v>
      </c>
      <c r="I16">
        <v>0.8</v>
      </c>
      <c r="J16">
        <v>0.8</v>
      </c>
      <c r="K16">
        <v>0.8</v>
      </c>
      <c r="L16">
        <v>0.8</v>
      </c>
      <c r="M16">
        <v>0.8</v>
      </c>
      <c r="N16">
        <v>0.5</v>
      </c>
      <c r="O16">
        <v>0.8</v>
      </c>
      <c r="P16">
        <v>0.8</v>
      </c>
      <c r="Q16">
        <v>0.8</v>
      </c>
      <c r="R16">
        <v>0.5</v>
      </c>
      <c r="S16">
        <v>0.5</v>
      </c>
      <c r="T16">
        <v>0.5</v>
      </c>
      <c r="U16">
        <v>0.5</v>
      </c>
      <c r="V16">
        <v>0.5</v>
      </c>
      <c r="W16">
        <v>0.5</v>
      </c>
      <c r="X16">
        <v>0.5</v>
      </c>
      <c r="Y16">
        <v>0.1</v>
      </c>
      <c r="Z16">
        <v>0.1</v>
      </c>
      <c r="AA16">
        <v>0.1</v>
      </c>
      <c r="AB16">
        <v>0.1</v>
      </c>
      <c r="AC16">
        <v>0.5</v>
      </c>
      <c r="AD16">
        <v>0.5</v>
      </c>
      <c r="AE16">
        <v>0.5</v>
      </c>
      <c r="AF16">
        <v>0.5</v>
      </c>
      <c r="AG16">
        <v>0.5</v>
      </c>
      <c r="AH16">
        <v>0.5</v>
      </c>
      <c r="AI16">
        <v>0.5</v>
      </c>
      <c r="AJ16">
        <v>0.5</v>
      </c>
      <c r="AK16">
        <v>0.5</v>
      </c>
      <c r="AL16">
        <v>0.5</v>
      </c>
      <c r="AM16">
        <v>0.5</v>
      </c>
      <c r="AN16">
        <v>0.8</v>
      </c>
      <c r="AO16">
        <v>0.8</v>
      </c>
      <c r="AP16">
        <v>0.8</v>
      </c>
      <c r="AQ16">
        <v>0.8</v>
      </c>
      <c r="AR16">
        <v>0.8</v>
      </c>
      <c r="AS16">
        <v>0.8</v>
      </c>
      <c r="AT16">
        <v>0.5</v>
      </c>
      <c r="AU16">
        <v>0.8</v>
      </c>
      <c r="AV16">
        <v>0.8</v>
      </c>
      <c r="AW16">
        <v>0.8</v>
      </c>
      <c r="AX16">
        <v>0.8</v>
      </c>
      <c r="AY16">
        <v>0.5</v>
      </c>
      <c r="AZ16">
        <v>0.8</v>
      </c>
      <c r="BA16">
        <v>0.8</v>
      </c>
      <c r="BB16">
        <v>0.8</v>
      </c>
      <c r="BC16">
        <v>0.8</v>
      </c>
      <c r="BD16">
        <v>0.8</v>
      </c>
      <c r="BE16">
        <v>0.8</v>
      </c>
      <c r="BF16">
        <v>0.8</v>
      </c>
      <c r="BG16">
        <v>0.8</v>
      </c>
      <c r="BH16">
        <v>0.8</v>
      </c>
      <c r="BI16">
        <v>0.8</v>
      </c>
      <c r="BJ16">
        <v>0.7</v>
      </c>
      <c r="BK16">
        <v>0.7</v>
      </c>
      <c r="BL16">
        <v>0.8</v>
      </c>
      <c r="BM16">
        <v>0.7</v>
      </c>
      <c r="BN16">
        <v>0.7</v>
      </c>
      <c r="BO16">
        <v>0.7</v>
      </c>
      <c r="BP16">
        <v>0.7</v>
      </c>
      <c r="BQ16">
        <v>0.7</v>
      </c>
      <c r="BR16">
        <v>0.7</v>
      </c>
      <c r="BS16">
        <v>0.7</v>
      </c>
      <c r="BT16">
        <v>0.7</v>
      </c>
      <c r="BU16">
        <v>0.6</v>
      </c>
      <c r="BV16">
        <v>0.8</v>
      </c>
      <c r="BW16">
        <v>0.7</v>
      </c>
      <c r="BX16">
        <v>0.7</v>
      </c>
      <c r="BY16">
        <v>0.7</v>
      </c>
      <c r="BZ16">
        <v>0.7</v>
      </c>
      <c r="CA16">
        <v>0.6</v>
      </c>
      <c r="CB16">
        <v>0</v>
      </c>
      <c r="CC16">
        <v>0</v>
      </c>
      <c r="CD16">
        <v>0</v>
      </c>
      <c r="CE16">
        <v>0</v>
      </c>
      <c r="CF16">
        <v>0</v>
      </c>
    </row>
    <row r="17" spans="1:84" x14ac:dyDescent="0.15">
      <c r="A17" t="s">
        <v>191</v>
      </c>
      <c r="B17">
        <v>0</v>
      </c>
      <c r="C17">
        <v>0</v>
      </c>
      <c r="D17">
        <v>0.8</v>
      </c>
      <c r="E17">
        <v>0.8</v>
      </c>
      <c r="F17">
        <v>0.8</v>
      </c>
      <c r="G17">
        <v>0.8</v>
      </c>
      <c r="H17">
        <v>0.8</v>
      </c>
      <c r="I17">
        <v>0.8</v>
      </c>
      <c r="J17">
        <v>0.8</v>
      </c>
      <c r="K17">
        <v>0.8</v>
      </c>
      <c r="L17">
        <v>0.8</v>
      </c>
      <c r="M17">
        <v>0.8</v>
      </c>
      <c r="N17">
        <v>0.5</v>
      </c>
      <c r="O17">
        <v>0.8</v>
      </c>
      <c r="P17">
        <v>0.8</v>
      </c>
      <c r="Q17">
        <v>0.8</v>
      </c>
      <c r="R17">
        <v>0.5</v>
      </c>
      <c r="S17">
        <v>0.5</v>
      </c>
      <c r="T17">
        <v>0.5</v>
      </c>
      <c r="U17">
        <v>0.5</v>
      </c>
      <c r="V17">
        <v>0.5</v>
      </c>
      <c r="W17">
        <v>0.5</v>
      </c>
      <c r="X17">
        <v>0.5</v>
      </c>
      <c r="Y17">
        <v>0.1</v>
      </c>
      <c r="Z17">
        <v>0.1</v>
      </c>
      <c r="AA17">
        <v>0.1</v>
      </c>
      <c r="AB17">
        <v>0.1</v>
      </c>
      <c r="AC17">
        <v>0.5</v>
      </c>
      <c r="AD17">
        <v>0.5</v>
      </c>
      <c r="AE17">
        <v>0.5</v>
      </c>
      <c r="AF17">
        <v>0.5</v>
      </c>
      <c r="AG17">
        <v>0.5</v>
      </c>
      <c r="AH17">
        <v>0.5</v>
      </c>
      <c r="AI17">
        <v>0.5</v>
      </c>
      <c r="AJ17">
        <v>0.5</v>
      </c>
      <c r="AK17">
        <v>0.5</v>
      </c>
      <c r="AL17">
        <v>0.5</v>
      </c>
      <c r="AM17">
        <v>0.5</v>
      </c>
      <c r="AN17">
        <v>0.8</v>
      </c>
      <c r="AO17">
        <v>0.8</v>
      </c>
      <c r="AP17">
        <v>0.8</v>
      </c>
      <c r="AQ17">
        <v>0.8</v>
      </c>
      <c r="AR17">
        <v>0.8</v>
      </c>
      <c r="AS17">
        <v>0.8</v>
      </c>
      <c r="AT17">
        <v>0.5</v>
      </c>
      <c r="AU17">
        <v>0.8</v>
      </c>
      <c r="AV17">
        <v>0.8</v>
      </c>
      <c r="AW17">
        <v>0.8</v>
      </c>
      <c r="AX17">
        <v>0.8</v>
      </c>
      <c r="AY17">
        <v>0.5</v>
      </c>
      <c r="AZ17">
        <v>0.8</v>
      </c>
      <c r="BA17">
        <v>0.8</v>
      </c>
      <c r="BB17">
        <v>0.8</v>
      </c>
      <c r="BC17">
        <v>0.8</v>
      </c>
      <c r="BD17">
        <v>0.8</v>
      </c>
      <c r="BE17">
        <v>0.8</v>
      </c>
      <c r="BF17">
        <v>0.8</v>
      </c>
      <c r="BG17">
        <v>0.8</v>
      </c>
      <c r="BH17">
        <v>0.8</v>
      </c>
      <c r="BI17">
        <v>0.8</v>
      </c>
      <c r="BJ17">
        <v>0.7</v>
      </c>
      <c r="BK17">
        <v>0.7</v>
      </c>
      <c r="BL17">
        <v>0.8</v>
      </c>
      <c r="BM17">
        <v>0.7</v>
      </c>
      <c r="BN17">
        <v>0.7</v>
      </c>
      <c r="BO17">
        <v>0.7</v>
      </c>
      <c r="BP17">
        <v>0.7</v>
      </c>
      <c r="BQ17">
        <v>0.7</v>
      </c>
      <c r="BR17">
        <v>0.7</v>
      </c>
      <c r="BS17">
        <v>0.7</v>
      </c>
      <c r="BT17">
        <v>0.7</v>
      </c>
      <c r="BU17">
        <v>0.6</v>
      </c>
      <c r="BV17">
        <v>0.8</v>
      </c>
      <c r="BW17">
        <v>0.7</v>
      </c>
      <c r="BX17">
        <v>0.7</v>
      </c>
      <c r="BY17">
        <v>0.7</v>
      </c>
      <c r="BZ17">
        <v>0.7</v>
      </c>
      <c r="CA17">
        <v>0.6</v>
      </c>
      <c r="CB17">
        <v>0</v>
      </c>
      <c r="CC17">
        <v>0</v>
      </c>
      <c r="CD17">
        <v>0</v>
      </c>
      <c r="CE17">
        <v>0</v>
      </c>
      <c r="CF17">
        <v>0</v>
      </c>
    </row>
    <row r="18" spans="1:84" x14ac:dyDescent="0.15">
      <c r="A18" t="s">
        <v>192</v>
      </c>
      <c r="B18">
        <v>0</v>
      </c>
      <c r="C18">
        <v>0</v>
      </c>
      <c r="D18">
        <v>0.8</v>
      </c>
      <c r="E18">
        <v>0.8</v>
      </c>
      <c r="F18">
        <v>0.8</v>
      </c>
      <c r="G18">
        <v>0.8</v>
      </c>
      <c r="H18">
        <v>0.8</v>
      </c>
      <c r="I18">
        <v>0.8</v>
      </c>
      <c r="J18">
        <v>0.8</v>
      </c>
      <c r="K18">
        <v>0.8</v>
      </c>
      <c r="L18">
        <v>0.8</v>
      </c>
      <c r="M18">
        <v>0.8</v>
      </c>
      <c r="N18">
        <v>0.5</v>
      </c>
      <c r="O18">
        <v>0.8</v>
      </c>
      <c r="P18">
        <v>0.8</v>
      </c>
      <c r="Q18">
        <v>0.8</v>
      </c>
      <c r="R18">
        <v>0.5</v>
      </c>
      <c r="S18">
        <v>0.5</v>
      </c>
      <c r="T18">
        <v>0.5</v>
      </c>
      <c r="U18">
        <v>0.5</v>
      </c>
      <c r="V18">
        <v>0.5</v>
      </c>
      <c r="W18">
        <v>0.5</v>
      </c>
      <c r="X18">
        <v>0.5</v>
      </c>
      <c r="Y18">
        <v>0.1</v>
      </c>
      <c r="Z18">
        <v>0.1</v>
      </c>
      <c r="AA18">
        <v>0.1</v>
      </c>
      <c r="AB18">
        <v>0.1</v>
      </c>
      <c r="AC18">
        <v>0.5</v>
      </c>
      <c r="AD18">
        <v>0.5</v>
      </c>
      <c r="AE18">
        <v>0.5</v>
      </c>
      <c r="AF18">
        <v>0.5</v>
      </c>
      <c r="AG18">
        <v>0.5</v>
      </c>
      <c r="AH18">
        <v>0.5</v>
      </c>
      <c r="AI18">
        <v>0.5</v>
      </c>
      <c r="AJ18">
        <v>0.5</v>
      </c>
      <c r="AK18">
        <v>0.5</v>
      </c>
      <c r="AL18">
        <v>0.5</v>
      </c>
      <c r="AM18">
        <v>0.5</v>
      </c>
      <c r="AN18">
        <v>0.8</v>
      </c>
      <c r="AO18">
        <v>0.8</v>
      </c>
      <c r="AP18">
        <v>0.8</v>
      </c>
      <c r="AQ18">
        <v>0.8</v>
      </c>
      <c r="AR18">
        <v>0.8</v>
      </c>
      <c r="AS18">
        <v>0.8</v>
      </c>
      <c r="AT18">
        <v>0.5</v>
      </c>
      <c r="AU18">
        <v>0.8</v>
      </c>
      <c r="AV18">
        <v>0.8</v>
      </c>
      <c r="AW18">
        <v>0.8</v>
      </c>
      <c r="AX18">
        <v>0.8</v>
      </c>
      <c r="AY18">
        <v>0.5</v>
      </c>
      <c r="AZ18">
        <v>0.8</v>
      </c>
      <c r="BA18">
        <v>0.8</v>
      </c>
      <c r="BB18">
        <v>0.8</v>
      </c>
      <c r="BC18">
        <v>0.8</v>
      </c>
      <c r="BD18">
        <v>0.8</v>
      </c>
      <c r="BE18">
        <v>0.8</v>
      </c>
      <c r="BF18">
        <v>0.8</v>
      </c>
      <c r="BG18">
        <v>0.8</v>
      </c>
      <c r="BH18">
        <v>0.8</v>
      </c>
      <c r="BI18">
        <v>0.8</v>
      </c>
      <c r="BJ18">
        <v>0.7</v>
      </c>
      <c r="BK18">
        <v>0.7</v>
      </c>
      <c r="BL18">
        <v>0.8</v>
      </c>
      <c r="BM18">
        <v>0.7</v>
      </c>
      <c r="BN18">
        <v>0.7</v>
      </c>
      <c r="BO18">
        <v>0.7</v>
      </c>
      <c r="BP18">
        <v>0.7</v>
      </c>
      <c r="BQ18">
        <v>0.7</v>
      </c>
      <c r="BR18">
        <v>0.7</v>
      </c>
      <c r="BS18">
        <v>0.7</v>
      </c>
      <c r="BT18">
        <v>0.7</v>
      </c>
      <c r="BU18">
        <v>0.6</v>
      </c>
      <c r="BV18">
        <v>0.8</v>
      </c>
      <c r="BW18">
        <v>0.7</v>
      </c>
      <c r="BX18">
        <v>0.7</v>
      </c>
      <c r="BY18">
        <v>0.7</v>
      </c>
      <c r="BZ18">
        <v>0.7</v>
      </c>
      <c r="CA18">
        <v>0.6</v>
      </c>
      <c r="CB18">
        <v>0</v>
      </c>
      <c r="CC18">
        <v>0</v>
      </c>
      <c r="CD18">
        <v>0</v>
      </c>
      <c r="CE18">
        <v>0</v>
      </c>
      <c r="CF18">
        <v>0</v>
      </c>
    </row>
    <row r="19" spans="1:84" x14ac:dyDescent="0.15">
      <c r="A19" t="s">
        <v>193</v>
      </c>
      <c r="B19">
        <v>0</v>
      </c>
      <c r="C19">
        <v>0</v>
      </c>
      <c r="D19">
        <v>0.8</v>
      </c>
      <c r="E19">
        <v>0.8</v>
      </c>
      <c r="F19">
        <v>0.8</v>
      </c>
      <c r="G19">
        <v>0.8</v>
      </c>
      <c r="H19">
        <v>0.8</v>
      </c>
      <c r="I19">
        <v>0.8</v>
      </c>
      <c r="J19">
        <v>0.8</v>
      </c>
      <c r="K19">
        <v>0.8</v>
      </c>
      <c r="L19">
        <v>0.8</v>
      </c>
      <c r="M19">
        <v>0.8</v>
      </c>
      <c r="N19">
        <v>0.5</v>
      </c>
      <c r="O19">
        <v>0.8</v>
      </c>
      <c r="P19">
        <v>0.8</v>
      </c>
      <c r="Q19">
        <v>0.8</v>
      </c>
      <c r="R19">
        <v>0.5</v>
      </c>
      <c r="S19">
        <v>0.5</v>
      </c>
      <c r="T19">
        <v>0.5</v>
      </c>
      <c r="U19">
        <v>0.5</v>
      </c>
      <c r="V19">
        <v>0.5</v>
      </c>
      <c r="W19">
        <v>0.5</v>
      </c>
      <c r="X19">
        <v>0.5</v>
      </c>
      <c r="Y19">
        <v>0.1</v>
      </c>
      <c r="Z19">
        <v>0.1</v>
      </c>
      <c r="AA19">
        <v>0.1</v>
      </c>
      <c r="AB19">
        <v>0.1</v>
      </c>
      <c r="AC19">
        <v>0.5</v>
      </c>
      <c r="AD19">
        <v>0.5</v>
      </c>
      <c r="AE19">
        <v>0.5</v>
      </c>
      <c r="AF19">
        <v>0.5</v>
      </c>
      <c r="AG19">
        <v>0.5</v>
      </c>
      <c r="AH19">
        <v>0.5</v>
      </c>
      <c r="AI19">
        <v>0.5</v>
      </c>
      <c r="AJ19">
        <v>0.5</v>
      </c>
      <c r="AK19">
        <v>0.5</v>
      </c>
      <c r="AL19">
        <v>0.5</v>
      </c>
      <c r="AM19">
        <v>0.5</v>
      </c>
      <c r="AN19">
        <v>0.8</v>
      </c>
      <c r="AO19">
        <v>0.8</v>
      </c>
      <c r="AP19">
        <v>0.8</v>
      </c>
      <c r="AQ19">
        <v>0.8</v>
      </c>
      <c r="AR19">
        <v>0.8</v>
      </c>
      <c r="AS19">
        <v>0.8</v>
      </c>
      <c r="AT19">
        <v>0.5</v>
      </c>
      <c r="AU19">
        <v>0.8</v>
      </c>
      <c r="AV19">
        <v>0.8</v>
      </c>
      <c r="AW19">
        <v>0.8</v>
      </c>
      <c r="AX19">
        <v>0.8</v>
      </c>
      <c r="AY19">
        <v>0.5</v>
      </c>
      <c r="AZ19">
        <v>0.8</v>
      </c>
      <c r="BA19">
        <v>0.8</v>
      </c>
      <c r="BB19">
        <v>0.8</v>
      </c>
      <c r="BC19">
        <v>0.8</v>
      </c>
      <c r="BD19">
        <v>0.8</v>
      </c>
      <c r="BE19">
        <v>0.8</v>
      </c>
      <c r="BF19">
        <v>0.8</v>
      </c>
      <c r="BG19">
        <v>0.8</v>
      </c>
      <c r="BH19">
        <v>0.8</v>
      </c>
      <c r="BI19">
        <v>0.8</v>
      </c>
      <c r="BJ19">
        <v>0.7</v>
      </c>
      <c r="BK19">
        <v>0.7</v>
      </c>
      <c r="BL19">
        <v>0.8</v>
      </c>
      <c r="BM19">
        <v>0.7</v>
      </c>
      <c r="BN19">
        <v>0.7</v>
      </c>
      <c r="BO19">
        <v>0.7</v>
      </c>
      <c r="BP19">
        <v>0.7</v>
      </c>
      <c r="BQ19">
        <v>0.7</v>
      </c>
      <c r="BR19">
        <v>0.7</v>
      </c>
      <c r="BS19">
        <v>0.7</v>
      </c>
      <c r="BT19">
        <v>0.7</v>
      </c>
      <c r="BU19">
        <v>0.6</v>
      </c>
      <c r="BV19">
        <v>0.8</v>
      </c>
      <c r="BW19">
        <v>0.7</v>
      </c>
      <c r="BX19">
        <v>0.7</v>
      </c>
      <c r="BY19">
        <v>0.7</v>
      </c>
      <c r="BZ19">
        <v>0.7</v>
      </c>
      <c r="CA19">
        <v>0.6</v>
      </c>
      <c r="CB19">
        <v>0</v>
      </c>
      <c r="CC19">
        <v>0</v>
      </c>
      <c r="CD19">
        <v>0</v>
      </c>
      <c r="CE19">
        <v>0</v>
      </c>
      <c r="CF19">
        <v>0</v>
      </c>
    </row>
    <row r="20" spans="1:84" x14ac:dyDescent="0.15">
      <c r="A20" t="s">
        <v>194</v>
      </c>
      <c r="B20">
        <v>0</v>
      </c>
      <c r="C20">
        <v>0</v>
      </c>
      <c r="D20">
        <v>0.8</v>
      </c>
      <c r="E20">
        <v>0.8</v>
      </c>
      <c r="F20">
        <v>0.8</v>
      </c>
      <c r="G20">
        <v>0.8</v>
      </c>
      <c r="H20">
        <v>0.8</v>
      </c>
      <c r="I20">
        <v>0.8</v>
      </c>
      <c r="J20">
        <v>0.8</v>
      </c>
      <c r="K20">
        <v>0.8</v>
      </c>
      <c r="L20">
        <v>0.8</v>
      </c>
      <c r="M20">
        <v>0.8</v>
      </c>
      <c r="N20">
        <v>0.5</v>
      </c>
      <c r="O20">
        <v>0.8</v>
      </c>
      <c r="P20">
        <v>0.8</v>
      </c>
      <c r="Q20">
        <v>0.8</v>
      </c>
      <c r="R20">
        <v>0.5</v>
      </c>
      <c r="S20">
        <v>0.5</v>
      </c>
      <c r="T20">
        <v>0.5</v>
      </c>
      <c r="U20">
        <v>0.5</v>
      </c>
      <c r="V20">
        <v>0.5</v>
      </c>
      <c r="W20">
        <v>0.5</v>
      </c>
      <c r="X20">
        <v>0.5</v>
      </c>
      <c r="Y20">
        <v>0.1</v>
      </c>
      <c r="Z20">
        <v>0.1</v>
      </c>
      <c r="AA20">
        <v>0.1</v>
      </c>
      <c r="AB20">
        <v>0.1</v>
      </c>
      <c r="AC20">
        <v>0.5</v>
      </c>
      <c r="AD20">
        <v>0.5</v>
      </c>
      <c r="AE20">
        <v>0.5</v>
      </c>
      <c r="AF20">
        <v>0.5</v>
      </c>
      <c r="AG20">
        <v>0.5</v>
      </c>
      <c r="AH20">
        <v>0.5</v>
      </c>
      <c r="AI20">
        <v>0.5</v>
      </c>
      <c r="AJ20">
        <v>0.5</v>
      </c>
      <c r="AK20">
        <v>0.5</v>
      </c>
      <c r="AL20">
        <v>0.5</v>
      </c>
      <c r="AM20">
        <v>0.5</v>
      </c>
      <c r="AN20">
        <v>0.8</v>
      </c>
      <c r="AO20">
        <v>0.8</v>
      </c>
      <c r="AP20">
        <v>0.8</v>
      </c>
      <c r="AQ20">
        <v>0.8</v>
      </c>
      <c r="AR20">
        <v>0.8</v>
      </c>
      <c r="AS20">
        <v>0.8</v>
      </c>
      <c r="AT20">
        <v>0.5</v>
      </c>
      <c r="AU20">
        <v>0.8</v>
      </c>
      <c r="AV20">
        <v>0.8</v>
      </c>
      <c r="AW20">
        <v>0.8</v>
      </c>
      <c r="AX20">
        <v>0.8</v>
      </c>
      <c r="AY20">
        <v>0.5</v>
      </c>
      <c r="AZ20">
        <v>0.8</v>
      </c>
      <c r="BA20">
        <v>0.8</v>
      </c>
      <c r="BB20">
        <v>0.8</v>
      </c>
      <c r="BC20">
        <v>0.8</v>
      </c>
      <c r="BD20">
        <v>0.8</v>
      </c>
      <c r="BE20">
        <v>0.8</v>
      </c>
      <c r="BF20">
        <v>0.8</v>
      </c>
      <c r="BG20">
        <v>0.8</v>
      </c>
      <c r="BH20">
        <v>0.8</v>
      </c>
      <c r="BI20">
        <v>0.8</v>
      </c>
      <c r="BJ20">
        <v>0.7</v>
      </c>
      <c r="BK20">
        <v>0.7</v>
      </c>
      <c r="BL20">
        <v>0.8</v>
      </c>
      <c r="BM20">
        <v>0.7</v>
      </c>
      <c r="BN20">
        <v>0.7</v>
      </c>
      <c r="BO20">
        <v>0.7</v>
      </c>
      <c r="BP20">
        <v>0.7</v>
      </c>
      <c r="BQ20">
        <v>0.7</v>
      </c>
      <c r="BR20">
        <v>0.7</v>
      </c>
      <c r="BS20">
        <v>0.7</v>
      </c>
      <c r="BT20">
        <v>0.7</v>
      </c>
      <c r="BU20">
        <v>0.6</v>
      </c>
      <c r="BV20">
        <v>0.8</v>
      </c>
      <c r="BW20">
        <v>0.7</v>
      </c>
      <c r="BX20">
        <v>0.7</v>
      </c>
      <c r="BY20">
        <v>0.7</v>
      </c>
      <c r="BZ20">
        <v>0.7</v>
      </c>
      <c r="CA20">
        <v>0.6</v>
      </c>
      <c r="CB20">
        <v>0</v>
      </c>
      <c r="CC20">
        <v>0</v>
      </c>
      <c r="CD20">
        <v>0</v>
      </c>
      <c r="CE20">
        <v>0</v>
      </c>
      <c r="CF20">
        <v>0</v>
      </c>
    </row>
    <row r="21" spans="1:84" x14ac:dyDescent="0.15">
      <c r="A21" t="s">
        <v>195</v>
      </c>
      <c r="B21">
        <v>0</v>
      </c>
      <c r="C21">
        <v>0</v>
      </c>
      <c r="D21">
        <v>0.8</v>
      </c>
      <c r="E21">
        <v>0.8</v>
      </c>
      <c r="F21">
        <v>0.8</v>
      </c>
      <c r="G21">
        <v>0.8</v>
      </c>
      <c r="H21">
        <v>0.8</v>
      </c>
      <c r="I21">
        <v>0.8</v>
      </c>
      <c r="J21">
        <v>0.8</v>
      </c>
      <c r="K21">
        <v>0.8</v>
      </c>
      <c r="L21">
        <v>0.8</v>
      </c>
      <c r="M21">
        <v>0.8</v>
      </c>
      <c r="N21">
        <v>0.5</v>
      </c>
      <c r="O21">
        <v>0.8</v>
      </c>
      <c r="P21">
        <v>0.8</v>
      </c>
      <c r="Q21">
        <v>0.8</v>
      </c>
      <c r="R21">
        <v>0.5</v>
      </c>
      <c r="S21">
        <v>0.5</v>
      </c>
      <c r="T21">
        <v>0.5</v>
      </c>
      <c r="U21">
        <v>0.5</v>
      </c>
      <c r="V21">
        <v>0.5</v>
      </c>
      <c r="W21">
        <v>0.5</v>
      </c>
      <c r="X21">
        <v>0.5</v>
      </c>
      <c r="Y21">
        <v>0.1</v>
      </c>
      <c r="Z21">
        <v>0.1</v>
      </c>
      <c r="AA21">
        <v>0.1</v>
      </c>
      <c r="AB21">
        <v>0.1</v>
      </c>
      <c r="AC21">
        <v>0.5</v>
      </c>
      <c r="AD21">
        <v>0.5</v>
      </c>
      <c r="AE21">
        <v>0.5</v>
      </c>
      <c r="AF21">
        <v>0.5</v>
      </c>
      <c r="AG21">
        <v>0.5</v>
      </c>
      <c r="AH21">
        <v>0.5</v>
      </c>
      <c r="AI21">
        <v>0.5</v>
      </c>
      <c r="AJ21">
        <v>0.5</v>
      </c>
      <c r="AK21">
        <v>0.5</v>
      </c>
      <c r="AL21">
        <v>0.5</v>
      </c>
      <c r="AM21">
        <v>0.5</v>
      </c>
      <c r="AN21">
        <v>0.8</v>
      </c>
      <c r="AO21">
        <v>0.8</v>
      </c>
      <c r="AP21">
        <v>0.8</v>
      </c>
      <c r="AQ21">
        <v>0.8</v>
      </c>
      <c r="AR21">
        <v>0.8</v>
      </c>
      <c r="AS21">
        <v>0.8</v>
      </c>
      <c r="AT21">
        <v>0.5</v>
      </c>
      <c r="AU21">
        <v>0.8</v>
      </c>
      <c r="AV21">
        <v>0.8</v>
      </c>
      <c r="AW21">
        <v>0.8</v>
      </c>
      <c r="AX21">
        <v>0.8</v>
      </c>
      <c r="AY21">
        <v>0.5</v>
      </c>
      <c r="AZ21">
        <v>0.8</v>
      </c>
      <c r="BA21">
        <v>0.8</v>
      </c>
      <c r="BB21">
        <v>0.8</v>
      </c>
      <c r="BC21">
        <v>0.8</v>
      </c>
      <c r="BD21">
        <v>0.8</v>
      </c>
      <c r="BE21">
        <v>0.8</v>
      </c>
      <c r="BF21">
        <v>0.8</v>
      </c>
      <c r="BG21">
        <v>0.8</v>
      </c>
      <c r="BH21">
        <v>0.8</v>
      </c>
      <c r="BI21">
        <v>0.8</v>
      </c>
      <c r="BJ21">
        <v>0.7</v>
      </c>
      <c r="BK21">
        <v>0.7</v>
      </c>
      <c r="BL21">
        <v>0.8</v>
      </c>
      <c r="BM21">
        <v>0.7</v>
      </c>
      <c r="BN21">
        <v>0.7</v>
      </c>
      <c r="BO21">
        <v>0.7</v>
      </c>
      <c r="BP21">
        <v>0.7</v>
      </c>
      <c r="BQ21">
        <v>0.7</v>
      </c>
      <c r="BR21">
        <v>0.7</v>
      </c>
      <c r="BS21">
        <v>0.7</v>
      </c>
      <c r="BT21">
        <v>0.7</v>
      </c>
      <c r="BU21">
        <v>0.6</v>
      </c>
      <c r="BV21">
        <v>0.8</v>
      </c>
      <c r="BW21">
        <v>0.7</v>
      </c>
      <c r="BX21">
        <v>0.7</v>
      </c>
      <c r="BY21">
        <v>0.7</v>
      </c>
      <c r="BZ21">
        <v>0.7</v>
      </c>
      <c r="CA21">
        <v>0.6</v>
      </c>
      <c r="CB21">
        <v>0</v>
      </c>
      <c r="CC21">
        <v>0</v>
      </c>
      <c r="CD21">
        <v>0</v>
      </c>
      <c r="CE21">
        <v>0</v>
      </c>
      <c r="CF21">
        <v>0</v>
      </c>
    </row>
    <row r="22" spans="1:84" x14ac:dyDescent="0.15">
      <c r="A22" t="s">
        <v>196</v>
      </c>
      <c r="B22">
        <v>0</v>
      </c>
      <c r="C22">
        <v>0</v>
      </c>
      <c r="D22">
        <v>0.8</v>
      </c>
      <c r="E22">
        <v>0.8</v>
      </c>
      <c r="F22">
        <v>0.8</v>
      </c>
      <c r="G22">
        <v>0.8</v>
      </c>
      <c r="H22">
        <v>0.8</v>
      </c>
      <c r="I22">
        <v>0.8</v>
      </c>
      <c r="J22">
        <v>0.8</v>
      </c>
      <c r="K22">
        <v>0.8</v>
      </c>
      <c r="L22">
        <v>0.8</v>
      </c>
      <c r="M22">
        <v>0.8</v>
      </c>
      <c r="N22">
        <v>0.5</v>
      </c>
      <c r="O22">
        <v>0.8</v>
      </c>
      <c r="P22">
        <v>0.8</v>
      </c>
      <c r="Q22">
        <v>0.8</v>
      </c>
      <c r="R22">
        <v>0.5</v>
      </c>
      <c r="S22">
        <v>0.5</v>
      </c>
      <c r="T22">
        <v>0.5</v>
      </c>
      <c r="U22">
        <v>0.5</v>
      </c>
      <c r="V22">
        <v>0.5</v>
      </c>
      <c r="W22">
        <v>0.5</v>
      </c>
      <c r="X22">
        <v>0.5</v>
      </c>
      <c r="Y22">
        <v>0.1</v>
      </c>
      <c r="Z22">
        <v>0.1</v>
      </c>
      <c r="AA22">
        <v>0.1</v>
      </c>
      <c r="AB22">
        <v>0.1</v>
      </c>
      <c r="AC22">
        <v>0.5</v>
      </c>
      <c r="AD22">
        <v>0.5</v>
      </c>
      <c r="AE22">
        <v>0.5</v>
      </c>
      <c r="AF22">
        <v>0.5</v>
      </c>
      <c r="AG22">
        <v>0.5</v>
      </c>
      <c r="AH22">
        <v>0.5</v>
      </c>
      <c r="AI22">
        <v>0.5</v>
      </c>
      <c r="AJ22">
        <v>0.5</v>
      </c>
      <c r="AK22">
        <v>0.5</v>
      </c>
      <c r="AL22">
        <v>0.5</v>
      </c>
      <c r="AM22">
        <v>0.5</v>
      </c>
      <c r="AN22">
        <v>0.8</v>
      </c>
      <c r="AO22">
        <v>0.8</v>
      </c>
      <c r="AP22">
        <v>0.8</v>
      </c>
      <c r="AQ22">
        <v>0.8</v>
      </c>
      <c r="AR22">
        <v>0.8</v>
      </c>
      <c r="AS22">
        <v>0.8</v>
      </c>
      <c r="AT22">
        <v>0.5</v>
      </c>
      <c r="AU22">
        <v>0.8</v>
      </c>
      <c r="AV22">
        <v>0.8</v>
      </c>
      <c r="AW22">
        <v>0.8</v>
      </c>
      <c r="AX22">
        <v>0.8</v>
      </c>
      <c r="AY22">
        <v>0.5</v>
      </c>
      <c r="AZ22">
        <v>0.8</v>
      </c>
      <c r="BA22">
        <v>0.8</v>
      </c>
      <c r="BB22">
        <v>0.8</v>
      </c>
      <c r="BC22">
        <v>0.8</v>
      </c>
      <c r="BD22">
        <v>0.8</v>
      </c>
      <c r="BE22">
        <v>0.8</v>
      </c>
      <c r="BF22">
        <v>0.8</v>
      </c>
      <c r="BG22">
        <v>0.8</v>
      </c>
      <c r="BH22">
        <v>0.8</v>
      </c>
      <c r="BI22">
        <v>0.8</v>
      </c>
      <c r="BJ22">
        <v>0.7</v>
      </c>
      <c r="BK22">
        <v>0.7</v>
      </c>
      <c r="BL22">
        <v>0.8</v>
      </c>
      <c r="BM22">
        <v>0.7</v>
      </c>
      <c r="BN22">
        <v>0.7</v>
      </c>
      <c r="BO22">
        <v>0.7</v>
      </c>
      <c r="BP22">
        <v>0.7</v>
      </c>
      <c r="BQ22">
        <v>0.7</v>
      </c>
      <c r="BR22">
        <v>0.7</v>
      </c>
      <c r="BS22">
        <v>0.7</v>
      </c>
      <c r="BT22">
        <v>0.7</v>
      </c>
      <c r="BU22">
        <v>0.6</v>
      </c>
      <c r="BV22">
        <v>0.8</v>
      </c>
      <c r="BW22">
        <v>0.7</v>
      </c>
      <c r="BX22">
        <v>0.7</v>
      </c>
      <c r="BY22">
        <v>0.7</v>
      </c>
      <c r="BZ22">
        <v>0.7</v>
      </c>
      <c r="CA22">
        <v>0.6</v>
      </c>
      <c r="CB22">
        <v>0</v>
      </c>
      <c r="CC22">
        <v>0</v>
      </c>
      <c r="CD22">
        <v>0</v>
      </c>
      <c r="CE22">
        <v>0</v>
      </c>
      <c r="CF22">
        <v>0</v>
      </c>
    </row>
    <row r="23" spans="1:84" x14ac:dyDescent="0.15">
      <c r="A23" t="s">
        <v>197</v>
      </c>
      <c r="B23">
        <v>0</v>
      </c>
      <c r="C23">
        <v>0</v>
      </c>
      <c r="D23">
        <v>0.8</v>
      </c>
      <c r="E23">
        <v>0.8</v>
      </c>
      <c r="F23">
        <v>0.8</v>
      </c>
      <c r="G23">
        <v>0.8</v>
      </c>
      <c r="H23">
        <v>0.8</v>
      </c>
      <c r="I23">
        <v>0.8</v>
      </c>
      <c r="J23">
        <v>0.8</v>
      </c>
      <c r="K23">
        <v>0.8</v>
      </c>
      <c r="L23">
        <v>0.8</v>
      </c>
      <c r="M23">
        <v>0.8</v>
      </c>
      <c r="N23">
        <v>0.5</v>
      </c>
      <c r="O23">
        <v>0.8</v>
      </c>
      <c r="P23">
        <v>0.8</v>
      </c>
      <c r="Q23">
        <v>0.8</v>
      </c>
      <c r="R23">
        <v>0.5</v>
      </c>
      <c r="S23">
        <v>0.5</v>
      </c>
      <c r="T23">
        <v>0.5</v>
      </c>
      <c r="U23">
        <v>0.5</v>
      </c>
      <c r="V23">
        <v>0.5</v>
      </c>
      <c r="W23">
        <v>0.5</v>
      </c>
      <c r="X23">
        <v>0.5</v>
      </c>
      <c r="Y23">
        <v>0.1</v>
      </c>
      <c r="Z23">
        <v>0.1</v>
      </c>
      <c r="AA23">
        <v>0.1</v>
      </c>
      <c r="AB23">
        <v>0.1</v>
      </c>
      <c r="AC23">
        <v>0.5</v>
      </c>
      <c r="AD23">
        <v>0.5</v>
      </c>
      <c r="AE23">
        <v>0.5</v>
      </c>
      <c r="AF23">
        <v>0.5</v>
      </c>
      <c r="AG23">
        <v>0.5</v>
      </c>
      <c r="AH23">
        <v>0.5</v>
      </c>
      <c r="AI23">
        <v>0.5</v>
      </c>
      <c r="AJ23">
        <v>0.5</v>
      </c>
      <c r="AK23">
        <v>0.5</v>
      </c>
      <c r="AL23">
        <v>0.5</v>
      </c>
      <c r="AM23">
        <v>0.5</v>
      </c>
      <c r="AN23">
        <v>0.8</v>
      </c>
      <c r="AO23">
        <v>0.8</v>
      </c>
      <c r="AP23">
        <v>0.8</v>
      </c>
      <c r="AQ23">
        <v>0.8</v>
      </c>
      <c r="AR23">
        <v>0.8</v>
      </c>
      <c r="AS23">
        <v>0.8</v>
      </c>
      <c r="AT23">
        <v>0.5</v>
      </c>
      <c r="AU23">
        <v>0.8</v>
      </c>
      <c r="AV23">
        <v>0.8</v>
      </c>
      <c r="AW23">
        <v>0.8</v>
      </c>
      <c r="AX23">
        <v>0.8</v>
      </c>
      <c r="AY23">
        <v>0.5</v>
      </c>
      <c r="AZ23">
        <v>0.8</v>
      </c>
      <c r="BA23">
        <v>0.8</v>
      </c>
      <c r="BB23">
        <v>0.8</v>
      </c>
      <c r="BC23">
        <v>0.8</v>
      </c>
      <c r="BD23">
        <v>0.8</v>
      </c>
      <c r="BE23">
        <v>0.8</v>
      </c>
      <c r="BF23">
        <v>0.8</v>
      </c>
      <c r="BG23">
        <v>0.8</v>
      </c>
      <c r="BH23">
        <v>0.8</v>
      </c>
      <c r="BI23">
        <v>0.8</v>
      </c>
      <c r="BJ23">
        <v>0.7</v>
      </c>
      <c r="BK23">
        <v>0.7</v>
      </c>
      <c r="BL23">
        <v>0.8</v>
      </c>
      <c r="BM23">
        <v>0.7</v>
      </c>
      <c r="BN23">
        <v>0.7</v>
      </c>
      <c r="BO23">
        <v>0.7</v>
      </c>
      <c r="BP23">
        <v>0.7</v>
      </c>
      <c r="BQ23">
        <v>0.7</v>
      </c>
      <c r="BR23">
        <v>0.7</v>
      </c>
      <c r="BS23">
        <v>0.7</v>
      </c>
      <c r="BT23">
        <v>0.7</v>
      </c>
      <c r="BU23">
        <v>0.6</v>
      </c>
      <c r="BV23">
        <v>0.8</v>
      </c>
      <c r="BW23">
        <v>0.7</v>
      </c>
      <c r="BX23">
        <v>0.7</v>
      </c>
      <c r="BY23">
        <v>0.7</v>
      </c>
      <c r="BZ23">
        <v>0.7</v>
      </c>
      <c r="CA23">
        <v>0.6</v>
      </c>
      <c r="CB23">
        <v>0</v>
      </c>
      <c r="CC23">
        <v>0</v>
      </c>
      <c r="CD23">
        <v>0</v>
      </c>
      <c r="CE23">
        <v>0</v>
      </c>
      <c r="CF23">
        <v>0</v>
      </c>
    </row>
    <row r="24" spans="1:84" x14ac:dyDescent="0.15">
      <c r="A24" t="s">
        <v>198</v>
      </c>
      <c r="B24">
        <v>0</v>
      </c>
      <c r="C24">
        <v>0</v>
      </c>
      <c r="D24">
        <v>0.8</v>
      </c>
      <c r="E24">
        <v>0.8</v>
      </c>
      <c r="F24">
        <v>0.8</v>
      </c>
      <c r="G24">
        <v>0.8</v>
      </c>
      <c r="H24">
        <v>0.8</v>
      </c>
      <c r="I24">
        <v>0.8</v>
      </c>
      <c r="J24">
        <v>0.8</v>
      </c>
      <c r="K24">
        <v>0.8</v>
      </c>
      <c r="L24">
        <v>0.8</v>
      </c>
      <c r="M24">
        <v>0.8</v>
      </c>
      <c r="N24">
        <v>0.5</v>
      </c>
      <c r="O24">
        <v>0.8</v>
      </c>
      <c r="P24">
        <v>0.8</v>
      </c>
      <c r="Q24">
        <v>0.8</v>
      </c>
      <c r="R24">
        <v>0.5</v>
      </c>
      <c r="S24">
        <v>0.5</v>
      </c>
      <c r="T24">
        <v>0.5</v>
      </c>
      <c r="U24">
        <v>0.5</v>
      </c>
      <c r="V24">
        <v>0.5</v>
      </c>
      <c r="W24">
        <v>0.5</v>
      </c>
      <c r="X24">
        <v>0.5</v>
      </c>
      <c r="Y24">
        <v>0.1</v>
      </c>
      <c r="Z24">
        <v>0.1</v>
      </c>
      <c r="AA24">
        <v>0.1</v>
      </c>
      <c r="AB24">
        <v>0.1</v>
      </c>
      <c r="AC24">
        <v>0.5</v>
      </c>
      <c r="AD24">
        <v>0.5</v>
      </c>
      <c r="AE24">
        <v>0.5</v>
      </c>
      <c r="AF24">
        <v>0.5</v>
      </c>
      <c r="AG24">
        <v>0.5</v>
      </c>
      <c r="AH24">
        <v>0.5</v>
      </c>
      <c r="AI24">
        <v>0.5</v>
      </c>
      <c r="AJ24">
        <v>0.5</v>
      </c>
      <c r="AK24">
        <v>0.5</v>
      </c>
      <c r="AL24">
        <v>0.5</v>
      </c>
      <c r="AM24">
        <v>0.5</v>
      </c>
      <c r="AN24">
        <v>0.8</v>
      </c>
      <c r="AO24">
        <v>0.8</v>
      </c>
      <c r="AP24">
        <v>0.8</v>
      </c>
      <c r="AQ24">
        <v>0.8</v>
      </c>
      <c r="AR24">
        <v>0.8</v>
      </c>
      <c r="AS24">
        <v>0.8</v>
      </c>
      <c r="AT24">
        <v>0.5</v>
      </c>
      <c r="AU24">
        <v>0.8</v>
      </c>
      <c r="AV24">
        <v>0.8</v>
      </c>
      <c r="AW24">
        <v>0.8</v>
      </c>
      <c r="AX24">
        <v>0.8</v>
      </c>
      <c r="AY24">
        <v>0.5</v>
      </c>
      <c r="AZ24">
        <v>0.8</v>
      </c>
      <c r="BA24">
        <v>0.8</v>
      </c>
      <c r="BB24">
        <v>0.8</v>
      </c>
      <c r="BC24">
        <v>0.8</v>
      </c>
      <c r="BD24">
        <v>0.8</v>
      </c>
      <c r="BE24">
        <v>0.8</v>
      </c>
      <c r="BF24">
        <v>0.8</v>
      </c>
      <c r="BG24">
        <v>0.8</v>
      </c>
      <c r="BH24">
        <v>0.8</v>
      </c>
      <c r="BI24">
        <v>0.8</v>
      </c>
      <c r="BJ24">
        <v>0.7</v>
      </c>
      <c r="BK24">
        <v>0.7</v>
      </c>
      <c r="BL24">
        <v>0.8</v>
      </c>
      <c r="BM24">
        <v>0.7</v>
      </c>
      <c r="BN24">
        <v>0.7</v>
      </c>
      <c r="BO24">
        <v>0.7</v>
      </c>
      <c r="BP24">
        <v>0.7</v>
      </c>
      <c r="BQ24">
        <v>0.7</v>
      </c>
      <c r="BR24">
        <v>0.7</v>
      </c>
      <c r="BS24">
        <v>0.7</v>
      </c>
      <c r="BT24">
        <v>0.7</v>
      </c>
      <c r="BU24">
        <v>0.6</v>
      </c>
      <c r="BV24">
        <v>0.8</v>
      </c>
      <c r="BW24">
        <v>0.7</v>
      </c>
      <c r="BX24">
        <v>0.7</v>
      </c>
      <c r="BY24">
        <v>0.7</v>
      </c>
      <c r="BZ24">
        <v>0.7</v>
      </c>
      <c r="CA24">
        <v>0.6</v>
      </c>
      <c r="CB24">
        <v>0</v>
      </c>
      <c r="CC24">
        <v>0</v>
      </c>
      <c r="CD24">
        <v>0</v>
      </c>
      <c r="CE24">
        <v>0</v>
      </c>
      <c r="CF24">
        <v>0</v>
      </c>
    </row>
    <row r="25" spans="1:84" x14ac:dyDescent="0.15">
      <c r="A25" t="s">
        <v>273</v>
      </c>
      <c r="B25">
        <v>0</v>
      </c>
      <c r="C25">
        <v>0</v>
      </c>
      <c r="D25">
        <v>0.8</v>
      </c>
      <c r="E25">
        <v>0.8</v>
      </c>
      <c r="F25">
        <v>0.8</v>
      </c>
      <c r="G25">
        <v>0.8</v>
      </c>
      <c r="H25">
        <v>0.8</v>
      </c>
      <c r="I25">
        <v>0.8</v>
      </c>
      <c r="J25">
        <v>0.8</v>
      </c>
      <c r="K25">
        <v>0.8</v>
      </c>
      <c r="L25">
        <v>0.8</v>
      </c>
      <c r="M25">
        <v>0.8</v>
      </c>
      <c r="N25">
        <v>0.5</v>
      </c>
      <c r="O25">
        <v>0.8</v>
      </c>
      <c r="P25">
        <v>0.8</v>
      </c>
      <c r="Q25">
        <v>0.8</v>
      </c>
      <c r="R25">
        <v>0.5</v>
      </c>
      <c r="S25">
        <v>0.5</v>
      </c>
      <c r="T25">
        <v>0.5</v>
      </c>
      <c r="U25">
        <v>0.5</v>
      </c>
      <c r="V25">
        <v>0.5</v>
      </c>
      <c r="W25">
        <v>0.5</v>
      </c>
      <c r="X25">
        <v>0.5</v>
      </c>
      <c r="Y25">
        <v>0.1</v>
      </c>
      <c r="Z25">
        <v>0.1</v>
      </c>
      <c r="AA25">
        <v>0.1</v>
      </c>
      <c r="AB25">
        <v>0.1</v>
      </c>
      <c r="AC25">
        <v>0.5</v>
      </c>
      <c r="AD25">
        <v>0.5</v>
      </c>
      <c r="AE25">
        <v>0.5</v>
      </c>
      <c r="AF25">
        <v>0.5</v>
      </c>
      <c r="AG25">
        <v>0.5</v>
      </c>
      <c r="AH25">
        <v>0.5</v>
      </c>
      <c r="AI25">
        <v>0.5</v>
      </c>
      <c r="AJ25">
        <v>0.5</v>
      </c>
      <c r="AK25">
        <v>0.5</v>
      </c>
      <c r="AL25">
        <v>0.5</v>
      </c>
      <c r="AM25">
        <v>0.5</v>
      </c>
      <c r="AN25">
        <v>0.8</v>
      </c>
      <c r="AO25">
        <v>0.8</v>
      </c>
      <c r="AP25">
        <v>0.8</v>
      </c>
      <c r="AQ25">
        <v>0.8</v>
      </c>
      <c r="AR25">
        <v>0.8</v>
      </c>
      <c r="AS25">
        <v>0.8</v>
      </c>
      <c r="AT25">
        <v>0.5</v>
      </c>
      <c r="AU25">
        <v>0.8</v>
      </c>
      <c r="AV25">
        <v>0.8</v>
      </c>
      <c r="AW25">
        <v>0.8</v>
      </c>
      <c r="AX25">
        <v>0.8</v>
      </c>
      <c r="AY25">
        <v>0.5</v>
      </c>
      <c r="AZ25">
        <v>0.8</v>
      </c>
      <c r="BA25">
        <v>0.8</v>
      </c>
      <c r="BB25">
        <v>0.8</v>
      </c>
      <c r="BC25">
        <v>0.8</v>
      </c>
      <c r="BD25">
        <v>0.8</v>
      </c>
      <c r="BE25">
        <v>0.8</v>
      </c>
      <c r="BF25">
        <v>0.8</v>
      </c>
      <c r="BG25">
        <v>0.8</v>
      </c>
      <c r="BH25">
        <v>0.8</v>
      </c>
      <c r="BI25">
        <v>0.8</v>
      </c>
      <c r="BJ25">
        <v>0.7</v>
      </c>
      <c r="BK25">
        <v>0.7</v>
      </c>
      <c r="BL25">
        <v>0.8</v>
      </c>
      <c r="BM25">
        <v>0.7</v>
      </c>
      <c r="BN25">
        <v>0.7</v>
      </c>
      <c r="BO25">
        <v>0.7</v>
      </c>
      <c r="BP25">
        <v>0.7</v>
      </c>
      <c r="BQ25">
        <v>0.7</v>
      </c>
      <c r="BR25">
        <v>0.7</v>
      </c>
      <c r="BS25">
        <v>0.7</v>
      </c>
      <c r="BT25">
        <v>0.7</v>
      </c>
      <c r="BU25">
        <v>0.6</v>
      </c>
      <c r="BV25">
        <v>0.8</v>
      </c>
      <c r="BW25">
        <v>0.7</v>
      </c>
      <c r="BX25">
        <v>0.7</v>
      </c>
      <c r="BY25">
        <v>0.7</v>
      </c>
      <c r="BZ25">
        <v>0.7</v>
      </c>
      <c r="CA25">
        <v>0.6</v>
      </c>
      <c r="CB25">
        <v>0</v>
      </c>
      <c r="CC25">
        <v>0</v>
      </c>
      <c r="CD25">
        <v>0</v>
      </c>
      <c r="CE25">
        <v>0</v>
      </c>
      <c r="CF25">
        <v>0</v>
      </c>
    </row>
    <row r="26" spans="1:84" x14ac:dyDescent="0.15">
      <c r="A26" t="s">
        <v>398</v>
      </c>
      <c r="B26">
        <v>0</v>
      </c>
      <c r="C26">
        <v>0</v>
      </c>
      <c r="D26">
        <v>0.8</v>
      </c>
      <c r="E26">
        <v>0.8</v>
      </c>
      <c r="F26">
        <v>0.8</v>
      </c>
      <c r="G26">
        <v>0.8</v>
      </c>
      <c r="H26">
        <v>0.8</v>
      </c>
      <c r="I26">
        <v>0.8</v>
      </c>
      <c r="J26">
        <v>0.8</v>
      </c>
      <c r="K26">
        <v>0.8</v>
      </c>
      <c r="L26">
        <v>0.8</v>
      </c>
      <c r="M26">
        <v>0.8</v>
      </c>
      <c r="N26">
        <v>0.5</v>
      </c>
      <c r="O26">
        <v>0.8</v>
      </c>
      <c r="P26">
        <v>0.8</v>
      </c>
      <c r="Q26">
        <v>0.8</v>
      </c>
      <c r="R26">
        <v>0.5</v>
      </c>
      <c r="S26">
        <v>0.5</v>
      </c>
      <c r="T26">
        <v>0.5</v>
      </c>
      <c r="U26">
        <v>0.5</v>
      </c>
      <c r="V26">
        <v>0.5</v>
      </c>
      <c r="W26">
        <v>0.5</v>
      </c>
      <c r="X26">
        <v>0.5</v>
      </c>
      <c r="Y26">
        <v>0.1</v>
      </c>
      <c r="Z26">
        <v>0.1</v>
      </c>
      <c r="AA26">
        <v>0.1</v>
      </c>
      <c r="AB26">
        <v>0.1</v>
      </c>
      <c r="AC26">
        <v>0.5</v>
      </c>
      <c r="AD26">
        <v>0.5</v>
      </c>
      <c r="AE26">
        <v>0.5</v>
      </c>
      <c r="AF26">
        <v>0.5</v>
      </c>
      <c r="AG26">
        <v>0.5</v>
      </c>
      <c r="AH26">
        <v>0.5</v>
      </c>
      <c r="AI26">
        <v>0.5</v>
      </c>
      <c r="AJ26">
        <v>0.5</v>
      </c>
      <c r="AK26">
        <v>0.5</v>
      </c>
      <c r="AL26">
        <v>0.5</v>
      </c>
      <c r="AM26">
        <v>0.5</v>
      </c>
      <c r="AN26">
        <v>0.8</v>
      </c>
      <c r="AO26">
        <v>0.8</v>
      </c>
      <c r="AP26">
        <v>0.8</v>
      </c>
      <c r="AQ26">
        <v>0.8</v>
      </c>
      <c r="AR26">
        <v>0.8</v>
      </c>
      <c r="AS26">
        <v>0.8</v>
      </c>
      <c r="AT26">
        <v>0.5</v>
      </c>
      <c r="AU26">
        <v>0.8</v>
      </c>
      <c r="AV26">
        <v>0.8</v>
      </c>
      <c r="AW26">
        <v>0.8</v>
      </c>
      <c r="AX26">
        <v>0.8</v>
      </c>
      <c r="AY26">
        <v>0.5</v>
      </c>
      <c r="AZ26">
        <v>0.8</v>
      </c>
      <c r="BA26">
        <v>0.8</v>
      </c>
      <c r="BB26">
        <v>0.8</v>
      </c>
      <c r="BC26">
        <v>0.8</v>
      </c>
      <c r="BD26">
        <v>0.8</v>
      </c>
      <c r="BE26">
        <v>0.8</v>
      </c>
      <c r="BF26">
        <v>0.8</v>
      </c>
      <c r="BG26">
        <v>0.8</v>
      </c>
      <c r="BH26">
        <v>0.8</v>
      </c>
      <c r="BI26">
        <v>0.8</v>
      </c>
      <c r="BJ26">
        <v>0.7</v>
      </c>
      <c r="BK26">
        <v>0.7</v>
      </c>
      <c r="BL26">
        <v>0.8</v>
      </c>
      <c r="BM26">
        <v>0.7</v>
      </c>
      <c r="BN26">
        <v>0.7</v>
      </c>
      <c r="BO26">
        <v>0.7</v>
      </c>
      <c r="BP26">
        <v>0.7</v>
      </c>
      <c r="BQ26">
        <v>0.7</v>
      </c>
      <c r="BR26">
        <v>0.7</v>
      </c>
      <c r="BS26">
        <v>0.7</v>
      </c>
      <c r="BT26">
        <v>0.7</v>
      </c>
      <c r="BU26">
        <v>0.6</v>
      </c>
      <c r="BV26">
        <v>0.8</v>
      </c>
      <c r="BW26">
        <v>0.7</v>
      </c>
      <c r="BX26">
        <v>0.7</v>
      </c>
      <c r="BY26">
        <v>0.7</v>
      </c>
      <c r="BZ26">
        <v>0.7</v>
      </c>
      <c r="CA26">
        <v>0.6</v>
      </c>
      <c r="CB26">
        <v>0</v>
      </c>
      <c r="CC26">
        <v>0</v>
      </c>
      <c r="CD26">
        <v>0</v>
      </c>
      <c r="CE26">
        <v>0</v>
      </c>
      <c r="CF26">
        <v>0</v>
      </c>
    </row>
    <row r="27" spans="1:84" x14ac:dyDescent="0.15">
      <c r="A27" t="s">
        <v>399</v>
      </c>
      <c r="B27">
        <v>0</v>
      </c>
      <c r="C27">
        <v>0</v>
      </c>
      <c r="D27">
        <v>0.8</v>
      </c>
      <c r="E27">
        <v>0.8</v>
      </c>
      <c r="F27">
        <v>0.8</v>
      </c>
      <c r="G27">
        <v>0.8</v>
      </c>
      <c r="H27">
        <v>0.8</v>
      </c>
      <c r="I27">
        <v>0.8</v>
      </c>
      <c r="J27">
        <v>0.8</v>
      </c>
      <c r="K27">
        <v>0.8</v>
      </c>
      <c r="L27">
        <v>0.8</v>
      </c>
      <c r="M27">
        <v>0.8</v>
      </c>
      <c r="N27">
        <v>0.5</v>
      </c>
      <c r="O27">
        <v>0.8</v>
      </c>
      <c r="P27">
        <v>0.8</v>
      </c>
      <c r="Q27">
        <v>0.8</v>
      </c>
      <c r="R27">
        <v>0.5</v>
      </c>
      <c r="S27">
        <v>0.5</v>
      </c>
      <c r="T27">
        <v>0.5</v>
      </c>
      <c r="U27">
        <v>0.5</v>
      </c>
      <c r="V27">
        <v>0.5</v>
      </c>
      <c r="W27">
        <v>0.5</v>
      </c>
      <c r="X27">
        <v>0.5</v>
      </c>
      <c r="Y27">
        <v>0.1</v>
      </c>
      <c r="Z27">
        <v>0.1</v>
      </c>
      <c r="AA27">
        <v>0.1</v>
      </c>
      <c r="AB27">
        <v>0.1</v>
      </c>
      <c r="AC27">
        <v>0.5</v>
      </c>
      <c r="AD27">
        <v>0.5</v>
      </c>
      <c r="AE27">
        <v>0.5</v>
      </c>
      <c r="AF27">
        <v>0.5</v>
      </c>
      <c r="AG27">
        <v>0.5</v>
      </c>
      <c r="AH27">
        <v>0.5</v>
      </c>
      <c r="AI27">
        <v>0.5</v>
      </c>
      <c r="AJ27">
        <v>0.5</v>
      </c>
      <c r="AK27">
        <v>0.5</v>
      </c>
      <c r="AL27">
        <v>0.5</v>
      </c>
      <c r="AM27">
        <v>0.5</v>
      </c>
      <c r="AN27">
        <v>0.8</v>
      </c>
      <c r="AO27">
        <v>0.8</v>
      </c>
      <c r="AP27">
        <v>0.8</v>
      </c>
      <c r="AQ27">
        <v>0.8</v>
      </c>
      <c r="AR27">
        <v>0.8</v>
      </c>
      <c r="AS27">
        <v>0.8</v>
      </c>
      <c r="AT27">
        <v>0.5</v>
      </c>
      <c r="AU27">
        <v>0.8</v>
      </c>
      <c r="AV27">
        <v>0.8</v>
      </c>
      <c r="AW27">
        <v>0.8</v>
      </c>
      <c r="AX27">
        <v>0.8</v>
      </c>
      <c r="AY27">
        <v>0.5</v>
      </c>
      <c r="AZ27">
        <v>0.8</v>
      </c>
      <c r="BA27">
        <v>0.8</v>
      </c>
      <c r="BB27">
        <v>0.8</v>
      </c>
      <c r="BC27">
        <v>0.8</v>
      </c>
      <c r="BD27">
        <v>0.8</v>
      </c>
      <c r="BE27">
        <v>0.8</v>
      </c>
      <c r="BF27">
        <v>0.8</v>
      </c>
      <c r="BG27">
        <v>0.8</v>
      </c>
      <c r="BH27">
        <v>0.8</v>
      </c>
      <c r="BI27">
        <v>0.8</v>
      </c>
      <c r="BJ27">
        <v>0.7</v>
      </c>
      <c r="BK27">
        <v>0.7</v>
      </c>
      <c r="BL27">
        <v>0.8</v>
      </c>
      <c r="BM27">
        <v>0.7</v>
      </c>
      <c r="BN27">
        <v>0.7</v>
      </c>
      <c r="BO27">
        <v>0.7</v>
      </c>
      <c r="BP27">
        <v>0.7</v>
      </c>
      <c r="BQ27">
        <v>0.7</v>
      </c>
      <c r="BR27">
        <v>0.7</v>
      </c>
      <c r="BS27">
        <v>0.7</v>
      </c>
      <c r="BT27">
        <v>0.7</v>
      </c>
      <c r="BU27">
        <v>0.6</v>
      </c>
      <c r="BV27">
        <v>0.8</v>
      </c>
      <c r="BW27">
        <v>0.7</v>
      </c>
      <c r="BX27">
        <v>0.7</v>
      </c>
      <c r="BY27">
        <v>0.7</v>
      </c>
      <c r="BZ27">
        <v>0.7</v>
      </c>
      <c r="CA27">
        <v>0.6</v>
      </c>
      <c r="CB27">
        <v>0</v>
      </c>
      <c r="CC27">
        <v>0</v>
      </c>
      <c r="CD27">
        <v>0</v>
      </c>
      <c r="CE27">
        <v>0</v>
      </c>
      <c r="CF27">
        <v>0</v>
      </c>
    </row>
    <row r="28" spans="1:84" x14ac:dyDescent="0.15">
      <c r="A28" t="s">
        <v>199</v>
      </c>
      <c r="B28">
        <v>0</v>
      </c>
      <c r="C28">
        <v>0</v>
      </c>
      <c r="D28">
        <v>0.8</v>
      </c>
      <c r="E28">
        <v>0.8</v>
      </c>
      <c r="F28">
        <v>0.8</v>
      </c>
      <c r="G28">
        <v>0.8</v>
      </c>
      <c r="H28">
        <v>0.8</v>
      </c>
      <c r="I28">
        <v>0.8</v>
      </c>
      <c r="J28">
        <v>0.8</v>
      </c>
      <c r="K28">
        <v>0.8</v>
      </c>
      <c r="L28">
        <v>0.8</v>
      </c>
      <c r="M28">
        <v>0.8</v>
      </c>
      <c r="N28">
        <v>0.5</v>
      </c>
      <c r="O28">
        <v>0.8</v>
      </c>
      <c r="P28">
        <v>0.8</v>
      </c>
      <c r="Q28">
        <v>0.8</v>
      </c>
      <c r="R28">
        <v>0.5</v>
      </c>
      <c r="S28">
        <v>0.5</v>
      </c>
      <c r="T28">
        <v>0.5</v>
      </c>
      <c r="U28">
        <v>0.5</v>
      </c>
      <c r="V28">
        <v>0.5</v>
      </c>
      <c r="W28">
        <v>0.5</v>
      </c>
      <c r="X28">
        <v>0.5</v>
      </c>
      <c r="Y28">
        <v>0.1</v>
      </c>
      <c r="Z28">
        <v>0.1</v>
      </c>
      <c r="AA28">
        <v>0.1</v>
      </c>
      <c r="AB28">
        <v>0.1</v>
      </c>
      <c r="AC28">
        <v>0.5</v>
      </c>
      <c r="AD28">
        <v>0.5</v>
      </c>
      <c r="AE28">
        <v>0.5</v>
      </c>
      <c r="AF28">
        <v>0.5</v>
      </c>
      <c r="AG28">
        <v>0.5</v>
      </c>
      <c r="AH28">
        <v>0.5</v>
      </c>
      <c r="AI28">
        <v>0.5</v>
      </c>
      <c r="AJ28">
        <v>0.5</v>
      </c>
      <c r="AK28">
        <v>0.5</v>
      </c>
      <c r="AL28">
        <v>0.5</v>
      </c>
      <c r="AM28">
        <v>0.5</v>
      </c>
      <c r="AN28">
        <v>0.8</v>
      </c>
      <c r="AO28">
        <v>0.8</v>
      </c>
      <c r="AP28">
        <v>0.8</v>
      </c>
      <c r="AQ28">
        <v>0.8</v>
      </c>
      <c r="AR28">
        <v>0.8</v>
      </c>
      <c r="AS28">
        <v>0.8</v>
      </c>
      <c r="AT28">
        <v>0.5</v>
      </c>
      <c r="AU28">
        <v>0.8</v>
      </c>
      <c r="AV28">
        <v>0.8</v>
      </c>
      <c r="AW28">
        <v>0.8</v>
      </c>
      <c r="AX28">
        <v>0.8</v>
      </c>
      <c r="AY28">
        <v>0.5</v>
      </c>
      <c r="AZ28">
        <v>0.8</v>
      </c>
      <c r="BA28">
        <v>0.8</v>
      </c>
      <c r="BB28">
        <v>0.8</v>
      </c>
      <c r="BC28">
        <v>0.8</v>
      </c>
      <c r="BD28">
        <v>0.8</v>
      </c>
      <c r="BE28">
        <v>0.8</v>
      </c>
      <c r="BF28">
        <v>0.8</v>
      </c>
      <c r="BG28">
        <v>0.8</v>
      </c>
      <c r="BH28">
        <v>0.8</v>
      </c>
      <c r="BI28">
        <v>0.8</v>
      </c>
      <c r="BJ28">
        <v>0.7</v>
      </c>
      <c r="BK28">
        <v>0.7</v>
      </c>
      <c r="BL28">
        <v>0.8</v>
      </c>
      <c r="BM28">
        <v>0.7</v>
      </c>
      <c r="BN28">
        <v>0.7</v>
      </c>
      <c r="BO28">
        <v>0.7</v>
      </c>
      <c r="BP28">
        <v>0.7</v>
      </c>
      <c r="BQ28">
        <v>0.7</v>
      </c>
      <c r="BR28">
        <v>0.7</v>
      </c>
      <c r="BS28">
        <v>0.7</v>
      </c>
      <c r="BT28">
        <v>0.7</v>
      </c>
      <c r="BU28">
        <v>0.6</v>
      </c>
      <c r="BV28">
        <v>0.8</v>
      </c>
      <c r="BW28">
        <v>0.7</v>
      </c>
      <c r="BX28">
        <v>0.7</v>
      </c>
      <c r="BY28">
        <v>0.7</v>
      </c>
      <c r="BZ28">
        <v>0.7</v>
      </c>
      <c r="CA28">
        <v>0.6</v>
      </c>
      <c r="CB28">
        <v>0</v>
      </c>
      <c r="CC28">
        <v>0</v>
      </c>
      <c r="CD28">
        <v>0</v>
      </c>
      <c r="CE28">
        <v>0</v>
      </c>
      <c r="CF28">
        <v>0</v>
      </c>
    </row>
    <row r="29" spans="1:84" x14ac:dyDescent="0.15">
      <c r="A29" t="s">
        <v>200</v>
      </c>
      <c r="B29">
        <v>0</v>
      </c>
      <c r="C29">
        <v>0</v>
      </c>
      <c r="D29">
        <v>0.8</v>
      </c>
      <c r="E29">
        <v>0.8</v>
      </c>
      <c r="F29">
        <v>0.8</v>
      </c>
      <c r="G29">
        <v>0.8</v>
      </c>
      <c r="H29">
        <v>0.8</v>
      </c>
      <c r="I29">
        <v>0.8</v>
      </c>
      <c r="J29">
        <v>0.8</v>
      </c>
      <c r="K29">
        <v>0.8</v>
      </c>
      <c r="L29">
        <v>0.8</v>
      </c>
      <c r="M29">
        <v>0.8</v>
      </c>
      <c r="N29">
        <v>0.5</v>
      </c>
      <c r="O29">
        <v>0.8</v>
      </c>
      <c r="P29">
        <v>0.8</v>
      </c>
      <c r="Q29">
        <v>0.8</v>
      </c>
      <c r="R29">
        <v>0.5</v>
      </c>
      <c r="S29">
        <v>0.5</v>
      </c>
      <c r="T29">
        <v>0.5</v>
      </c>
      <c r="U29">
        <v>0.5</v>
      </c>
      <c r="V29">
        <v>0.5</v>
      </c>
      <c r="W29">
        <v>0.5</v>
      </c>
      <c r="X29">
        <v>0.5</v>
      </c>
      <c r="Y29">
        <v>0.1</v>
      </c>
      <c r="Z29">
        <v>0.1</v>
      </c>
      <c r="AA29">
        <v>0.1</v>
      </c>
      <c r="AB29">
        <v>0.1</v>
      </c>
      <c r="AC29">
        <v>0.5</v>
      </c>
      <c r="AD29">
        <v>0.5</v>
      </c>
      <c r="AE29">
        <v>0.5</v>
      </c>
      <c r="AF29">
        <v>0.5</v>
      </c>
      <c r="AG29">
        <v>0.5</v>
      </c>
      <c r="AH29">
        <v>0.5</v>
      </c>
      <c r="AI29">
        <v>0.5</v>
      </c>
      <c r="AJ29">
        <v>0.5</v>
      </c>
      <c r="AK29">
        <v>0.5</v>
      </c>
      <c r="AL29">
        <v>0.5</v>
      </c>
      <c r="AM29">
        <v>0.5</v>
      </c>
      <c r="AN29">
        <v>0.8</v>
      </c>
      <c r="AO29">
        <v>0.8</v>
      </c>
      <c r="AP29">
        <v>0.8</v>
      </c>
      <c r="AQ29">
        <v>0.8</v>
      </c>
      <c r="AR29">
        <v>0.8</v>
      </c>
      <c r="AS29">
        <v>0.8</v>
      </c>
      <c r="AT29">
        <v>0.5</v>
      </c>
      <c r="AU29">
        <v>0.8</v>
      </c>
      <c r="AV29">
        <v>0.8</v>
      </c>
      <c r="AW29">
        <v>0.8</v>
      </c>
      <c r="AX29">
        <v>0.8</v>
      </c>
      <c r="AY29">
        <v>0.5</v>
      </c>
      <c r="AZ29">
        <v>0.8</v>
      </c>
      <c r="BA29">
        <v>0.8</v>
      </c>
      <c r="BB29">
        <v>0.8</v>
      </c>
      <c r="BC29">
        <v>0.8</v>
      </c>
      <c r="BD29">
        <v>0.8</v>
      </c>
      <c r="BE29">
        <v>0.8</v>
      </c>
      <c r="BF29">
        <v>0.8</v>
      </c>
      <c r="BG29">
        <v>0.8</v>
      </c>
      <c r="BH29">
        <v>0.8</v>
      </c>
      <c r="BI29">
        <v>0.8</v>
      </c>
      <c r="BJ29">
        <v>0.7</v>
      </c>
      <c r="BK29">
        <v>0.7</v>
      </c>
      <c r="BL29">
        <v>0.8</v>
      </c>
      <c r="BM29">
        <v>0.7</v>
      </c>
      <c r="BN29">
        <v>0.7</v>
      </c>
      <c r="BO29">
        <v>0.7</v>
      </c>
      <c r="BP29">
        <v>0.7</v>
      </c>
      <c r="BQ29">
        <v>0.7</v>
      </c>
      <c r="BR29">
        <v>0.7</v>
      </c>
      <c r="BS29">
        <v>0.7</v>
      </c>
      <c r="BT29">
        <v>0.7</v>
      </c>
      <c r="BU29">
        <v>0.6</v>
      </c>
      <c r="BV29">
        <v>0.8</v>
      </c>
      <c r="BW29">
        <v>0.7</v>
      </c>
      <c r="BX29">
        <v>0.7</v>
      </c>
      <c r="BY29">
        <v>0.7</v>
      </c>
      <c r="BZ29">
        <v>0.7</v>
      </c>
      <c r="CA29">
        <v>0.6</v>
      </c>
      <c r="CB29">
        <v>0</v>
      </c>
      <c r="CC29">
        <v>0</v>
      </c>
      <c r="CD29">
        <v>0</v>
      </c>
      <c r="CE29">
        <v>0</v>
      </c>
      <c r="CF29">
        <v>0</v>
      </c>
    </row>
    <row r="30" spans="1:84" x14ac:dyDescent="0.15">
      <c r="A30" t="s">
        <v>201</v>
      </c>
      <c r="B30">
        <v>0</v>
      </c>
      <c r="C30">
        <v>0</v>
      </c>
      <c r="D30">
        <v>0.8</v>
      </c>
      <c r="E30">
        <v>0.8</v>
      </c>
      <c r="F30">
        <v>0.8</v>
      </c>
      <c r="G30">
        <v>0.8</v>
      </c>
      <c r="H30">
        <v>0.8</v>
      </c>
      <c r="I30">
        <v>0.8</v>
      </c>
      <c r="J30">
        <v>0.8</v>
      </c>
      <c r="K30">
        <v>0.8</v>
      </c>
      <c r="L30">
        <v>0.8</v>
      </c>
      <c r="M30">
        <v>0.8</v>
      </c>
      <c r="N30">
        <v>0.5</v>
      </c>
      <c r="O30">
        <v>0.8</v>
      </c>
      <c r="P30">
        <v>0.8</v>
      </c>
      <c r="Q30">
        <v>0.8</v>
      </c>
      <c r="R30">
        <v>0.5</v>
      </c>
      <c r="S30">
        <v>0.5</v>
      </c>
      <c r="T30">
        <v>0.5</v>
      </c>
      <c r="U30">
        <v>0.5</v>
      </c>
      <c r="V30">
        <v>0.5</v>
      </c>
      <c r="W30">
        <v>0.5</v>
      </c>
      <c r="X30">
        <v>0.5</v>
      </c>
      <c r="Y30">
        <v>0.1</v>
      </c>
      <c r="Z30">
        <v>0.1</v>
      </c>
      <c r="AA30">
        <v>0.1</v>
      </c>
      <c r="AB30">
        <v>0.1</v>
      </c>
      <c r="AC30">
        <v>0.5</v>
      </c>
      <c r="AD30">
        <v>0.5</v>
      </c>
      <c r="AE30">
        <v>0.5</v>
      </c>
      <c r="AF30">
        <v>0.5</v>
      </c>
      <c r="AG30">
        <v>0.5</v>
      </c>
      <c r="AH30">
        <v>0.5</v>
      </c>
      <c r="AI30">
        <v>0.5</v>
      </c>
      <c r="AJ30">
        <v>0.5</v>
      </c>
      <c r="AK30">
        <v>0.5</v>
      </c>
      <c r="AL30">
        <v>0.5</v>
      </c>
      <c r="AM30">
        <v>0.5</v>
      </c>
      <c r="AN30">
        <v>0.8</v>
      </c>
      <c r="AO30">
        <v>0.8</v>
      </c>
      <c r="AP30">
        <v>0.8</v>
      </c>
      <c r="AQ30">
        <v>0.8</v>
      </c>
      <c r="AR30">
        <v>0.8</v>
      </c>
      <c r="AS30">
        <v>0.8</v>
      </c>
      <c r="AT30">
        <v>0.5</v>
      </c>
      <c r="AU30">
        <v>0.8</v>
      </c>
      <c r="AV30">
        <v>0.8</v>
      </c>
      <c r="AW30">
        <v>0.8</v>
      </c>
      <c r="AX30">
        <v>0.8</v>
      </c>
      <c r="AY30">
        <v>0.5</v>
      </c>
      <c r="AZ30">
        <v>0.8</v>
      </c>
      <c r="BA30">
        <v>0.8</v>
      </c>
      <c r="BB30">
        <v>0.8</v>
      </c>
      <c r="BC30">
        <v>0.8</v>
      </c>
      <c r="BD30">
        <v>0.8</v>
      </c>
      <c r="BE30">
        <v>0.8</v>
      </c>
      <c r="BF30">
        <v>0.8</v>
      </c>
      <c r="BG30">
        <v>0.8</v>
      </c>
      <c r="BH30">
        <v>0.8</v>
      </c>
      <c r="BI30">
        <v>0.8</v>
      </c>
      <c r="BJ30">
        <v>0.7</v>
      </c>
      <c r="BK30">
        <v>0.7</v>
      </c>
      <c r="BL30">
        <v>0.8</v>
      </c>
      <c r="BM30">
        <v>0.7</v>
      </c>
      <c r="BN30">
        <v>0.7</v>
      </c>
      <c r="BO30">
        <v>0.7</v>
      </c>
      <c r="BP30">
        <v>0.7</v>
      </c>
      <c r="BQ30">
        <v>0.7</v>
      </c>
      <c r="BR30">
        <v>0.7</v>
      </c>
      <c r="BS30">
        <v>0.7</v>
      </c>
      <c r="BT30">
        <v>0.7</v>
      </c>
      <c r="BU30">
        <v>0.6</v>
      </c>
      <c r="BV30">
        <v>0.8</v>
      </c>
      <c r="BW30">
        <v>0.7</v>
      </c>
      <c r="BX30">
        <v>0.7</v>
      </c>
      <c r="BY30">
        <v>0.7</v>
      </c>
      <c r="BZ30">
        <v>0.7</v>
      </c>
      <c r="CA30">
        <v>0.6</v>
      </c>
      <c r="CB30">
        <v>0</v>
      </c>
      <c r="CC30">
        <v>0</v>
      </c>
      <c r="CD30">
        <v>0</v>
      </c>
      <c r="CE30">
        <v>0</v>
      </c>
      <c r="CF30">
        <v>0</v>
      </c>
    </row>
    <row r="31" spans="1:84" x14ac:dyDescent="0.15">
      <c r="A31" t="s">
        <v>202</v>
      </c>
      <c r="B31">
        <v>0</v>
      </c>
      <c r="C31">
        <v>0</v>
      </c>
      <c r="D31">
        <v>0.8</v>
      </c>
      <c r="E31">
        <v>0.8</v>
      </c>
      <c r="F31">
        <v>0.8</v>
      </c>
      <c r="G31">
        <v>0.8</v>
      </c>
      <c r="H31">
        <v>0.8</v>
      </c>
      <c r="I31">
        <v>0.8</v>
      </c>
      <c r="J31">
        <v>0.8</v>
      </c>
      <c r="K31">
        <v>0.8</v>
      </c>
      <c r="L31">
        <v>0.8</v>
      </c>
      <c r="M31">
        <v>0.8</v>
      </c>
      <c r="N31">
        <v>0.5</v>
      </c>
      <c r="O31">
        <v>0.8</v>
      </c>
      <c r="P31">
        <v>0.8</v>
      </c>
      <c r="Q31">
        <v>0.8</v>
      </c>
      <c r="R31">
        <v>0.5</v>
      </c>
      <c r="S31">
        <v>0.5</v>
      </c>
      <c r="T31">
        <v>0.5</v>
      </c>
      <c r="U31">
        <v>0.5</v>
      </c>
      <c r="V31">
        <v>0.5</v>
      </c>
      <c r="W31">
        <v>0.5</v>
      </c>
      <c r="X31">
        <v>0.5</v>
      </c>
      <c r="Y31">
        <v>0.1</v>
      </c>
      <c r="Z31">
        <v>0.1</v>
      </c>
      <c r="AA31">
        <v>0.1</v>
      </c>
      <c r="AB31">
        <v>0.1</v>
      </c>
      <c r="AC31">
        <v>0.5</v>
      </c>
      <c r="AD31">
        <v>0.5</v>
      </c>
      <c r="AE31">
        <v>0.5</v>
      </c>
      <c r="AF31">
        <v>0.5</v>
      </c>
      <c r="AG31">
        <v>0.5</v>
      </c>
      <c r="AH31">
        <v>0.5</v>
      </c>
      <c r="AI31">
        <v>0.5</v>
      </c>
      <c r="AJ31">
        <v>0.5</v>
      </c>
      <c r="AK31">
        <v>0.5</v>
      </c>
      <c r="AL31">
        <v>0.5</v>
      </c>
      <c r="AM31">
        <v>0.5</v>
      </c>
      <c r="AN31">
        <v>0.8</v>
      </c>
      <c r="AO31">
        <v>0.8</v>
      </c>
      <c r="AP31">
        <v>0.8</v>
      </c>
      <c r="AQ31">
        <v>0.8</v>
      </c>
      <c r="AR31">
        <v>0.8</v>
      </c>
      <c r="AS31">
        <v>0.8</v>
      </c>
      <c r="AT31">
        <v>0.5</v>
      </c>
      <c r="AU31">
        <v>0.8</v>
      </c>
      <c r="AV31">
        <v>0.8</v>
      </c>
      <c r="AW31">
        <v>0.8</v>
      </c>
      <c r="AX31">
        <v>0.8</v>
      </c>
      <c r="AY31">
        <v>0.5</v>
      </c>
      <c r="AZ31">
        <v>0.8</v>
      </c>
      <c r="BA31">
        <v>0.8</v>
      </c>
      <c r="BB31">
        <v>0.8</v>
      </c>
      <c r="BC31">
        <v>0.8</v>
      </c>
      <c r="BD31">
        <v>0.8</v>
      </c>
      <c r="BE31">
        <v>0.8</v>
      </c>
      <c r="BF31">
        <v>0.8</v>
      </c>
      <c r="BG31">
        <v>0.8</v>
      </c>
      <c r="BH31">
        <v>0.8</v>
      </c>
      <c r="BI31">
        <v>0.8</v>
      </c>
      <c r="BJ31">
        <v>0.7</v>
      </c>
      <c r="BK31">
        <v>0.7</v>
      </c>
      <c r="BL31">
        <v>0.8</v>
      </c>
      <c r="BM31">
        <v>0.7</v>
      </c>
      <c r="BN31">
        <v>0.7</v>
      </c>
      <c r="BO31">
        <v>0.7</v>
      </c>
      <c r="BP31">
        <v>0.7</v>
      </c>
      <c r="BQ31">
        <v>0.7</v>
      </c>
      <c r="BR31">
        <v>0.7</v>
      </c>
      <c r="BS31">
        <v>0.7</v>
      </c>
      <c r="BT31">
        <v>0.7</v>
      </c>
      <c r="BU31">
        <v>0.6</v>
      </c>
      <c r="BV31">
        <v>0.8</v>
      </c>
      <c r="BW31">
        <v>0.7</v>
      </c>
      <c r="BX31">
        <v>0.7</v>
      </c>
      <c r="BY31">
        <v>0.7</v>
      </c>
      <c r="BZ31">
        <v>0.7</v>
      </c>
      <c r="CA31">
        <v>0.6</v>
      </c>
      <c r="CB31">
        <v>0</v>
      </c>
      <c r="CC31">
        <v>0</v>
      </c>
      <c r="CD31">
        <v>0</v>
      </c>
      <c r="CE31">
        <v>0</v>
      </c>
      <c r="CF31">
        <v>0</v>
      </c>
    </row>
    <row r="32" spans="1:84" x14ac:dyDescent="0.15">
      <c r="A32" t="s">
        <v>203</v>
      </c>
      <c r="B32">
        <v>0</v>
      </c>
      <c r="C32">
        <v>0</v>
      </c>
      <c r="D32">
        <v>0.8</v>
      </c>
      <c r="E32">
        <v>0.8</v>
      </c>
      <c r="F32">
        <v>0.8</v>
      </c>
      <c r="G32">
        <v>0.8</v>
      </c>
      <c r="H32">
        <v>0.8</v>
      </c>
      <c r="I32">
        <v>0.8</v>
      </c>
      <c r="J32">
        <v>0.8</v>
      </c>
      <c r="K32">
        <v>0.8</v>
      </c>
      <c r="L32">
        <v>0.8</v>
      </c>
      <c r="M32">
        <v>0.8</v>
      </c>
      <c r="N32">
        <v>0.5</v>
      </c>
      <c r="O32">
        <v>0.8</v>
      </c>
      <c r="P32">
        <v>0.8</v>
      </c>
      <c r="Q32">
        <v>0.8</v>
      </c>
      <c r="R32">
        <v>0.5</v>
      </c>
      <c r="S32">
        <v>0.5</v>
      </c>
      <c r="T32">
        <v>0.5</v>
      </c>
      <c r="U32">
        <v>0.5</v>
      </c>
      <c r="V32">
        <v>0.5</v>
      </c>
      <c r="W32">
        <v>0.5</v>
      </c>
      <c r="X32">
        <v>0.5</v>
      </c>
      <c r="Y32">
        <v>0.1</v>
      </c>
      <c r="Z32">
        <v>0.1</v>
      </c>
      <c r="AA32">
        <v>0.1</v>
      </c>
      <c r="AB32">
        <v>0.1</v>
      </c>
      <c r="AC32">
        <v>0.5</v>
      </c>
      <c r="AD32">
        <v>0.5</v>
      </c>
      <c r="AE32">
        <v>0.5</v>
      </c>
      <c r="AF32">
        <v>0.5</v>
      </c>
      <c r="AG32">
        <v>0.5</v>
      </c>
      <c r="AH32">
        <v>0.5</v>
      </c>
      <c r="AI32">
        <v>0.5</v>
      </c>
      <c r="AJ32">
        <v>0.5</v>
      </c>
      <c r="AK32">
        <v>0.5</v>
      </c>
      <c r="AL32">
        <v>0.5</v>
      </c>
      <c r="AM32">
        <v>0.5</v>
      </c>
      <c r="AN32">
        <v>0.8</v>
      </c>
      <c r="AO32">
        <v>0.8</v>
      </c>
      <c r="AP32">
        <v>0.8</v>
      </c>
      <c r="AQ32">
        <v>0.8</v>
      </c>
      <c r="AR32">
        <v>0.8</v>
      </c>
      <c r="AS32">
        <v>0.8</v>
      </c>
      <c r="AT32">
        <v>0.5</v>
      </c>
      <c r="AU32">
        <v>0.8</v>
      </c>
      <c r="AV32">
        <v>0.8</v>
      </c>
      <c r="AW32">
        <v>0.8</v>
      </c>
      <c r="AX32">
        <v>0.8</v>
      </c>
      <c r="AY32">
        <v>0.5</v>
      </c>
      <c r="AZ32">
        <v>0.8</v>
      </c>
      <c r="BA32">
        <v>0.8</v>
      </c>
      <c r="BB32">
        <v>0.8</v>
      </c>
      <c r="BC32">
        <v>0.8</v>
      </c>
      <c r="BD32">
        <v>0.8</v>
      </c>
      <c r="BE32">
        <v>0.8</v>
      </c>
      <c r="BF32">
        <v>0.8</v>
      </c>
      <c r="BG32">
        <v>0.8</v>
      </c>
      <c r="BH32">
        <v>0.8</v>
      </c>
      <c r="BI32">
        <v>0.8</v>
      </c>
      <c r="BJ32">
        <v>0.7</v>
      </c>
      <c r="BK32">
        <v>0.7</v>
      </c>
      <c r="BL32">
        <v>0.8</v>
      </c>
      <c r="BM32">
        <v>0.7</v>
      </c>
      <c r="BN32">
        <v>0.7</v>
      </c>
      <c r="BO32">
        <v>0.7</v>
      </c>
      <c r="BP32">
        <v>0.7</v>
      </c>
      <c r="BQ32">
        <v>0.7</v>
      </c>
      <c r="BR32">
        <v>0.7</v>
      </c>
      <c r="BS32">
        <v>0.7</v>
      </c>
      <c r="BT32">
        <v>0.7</v>
      </c>
      <c r="BU32">
        <v>0.6</v>
      </c>
      <c r="BV32">
        <v>0.8</v>
      </c>
      <c r="BW32">
        <v>0.7</v>
      </c>
      <c r="BX32">
        <v>0.7</v>
      </c>
      <c r="BY32">
        <v>0.7</v>
      </c>
      <c r="BZ32">
        <v>0.7</v>
      </c>
      <c r="CA32">
        <v>0.6</v>
      </c>
      <c r="CB32">
        <v>0</v>
      </c>
      <c r="CC32">
        <v>0</v>
      </c>
      <c r="CD32">
        <v>0</v>
      </c>
      <c r="CE32">
        <v>0</v>
      </c>
      <c r="CF32">
        <v>0</v>
      </c>
    </row>
    <row r="33" spans="1:84" x14ac:dyDescent="0.15">
      <c r="A33" t="s">
        <v>204</v>
      </c>
      <c r="B33">
        <v>0</v>
      </c>
      <c r="C33">
        <v>0</v>
      </c>
      <c r="D33">
        <v>0.8</v>
      </c>
      <c r="E33">
        <v>0.8</v>
      </c>
      <c r="F33">
        <v>0.8</v>
      </c>
      <c r="G33">
        <v>0.8</v>
      </c>
      <c r="H33">
        <v>0.8</v>
      </c>
      <c r="I33">
        <v>0.8</v>
      </c>
      <c r="J33">
        <v>0.8</v>
      </c>
      <c r="K33">
        <v>0.8</v>
      </c>
      <c r="L33">
        <v>0.8</v>
      </c>
      <c r="M33">
        <v>0.8</v>
      </c>
      <c r="N33">
        <v>0.5</v>
      </c>
      <c r="O33">
        <v>0.8</v>
      </c>
      <c r="P33">
        <v>0.8</v>
      </c>
      <c r="Q33">
        <v>0.8</v>
      </c>
      <c r="R33">
        <v>0.5</v>
      </c>
      <c r="S33">
        <v>0.5</v>
      </c>
      <c r="T33">
        <v>0.5</v>
      </c>
      <c r="U33">
        <v>0.5</v>
      </c>
      <c r="V33">
        <v>0.5</v>
      </c>
      <c r="W33">
        <v>0.5</v>
      </c>
      <c r="X33">
        <v>0.5</v>
      </c>
      <c r="Y33">
        <v>0.1</v>
      </c>
      <c r="Z33">
        <v>0.1</v>
      </c>
      <c r="AA33">
        <v>0.1</v>
      </c>
      <c r="AB33">
        <v>0.1</v>
      </c>
      <c r="AC33">
        <v>0.5</v>
      </c>
      <c r="AD33">
        <v>0.5</v>
      </c>
      <c r="AE33">
        <v>0.5</v>
      </c>
      <c r="AF33">
        <v>0.5</v>
      </c>
      <c r="AG33">
        <v>0.5</v>
      </c>
      <c r="AH33">
        <v>0.5</v>
      </c>
      <c r="AI33">
        <v>0.5</v>
      </c>
      <c r="AJ33">
        <v>0.5</v>
      </c>
      <c r="AK33">
        <v>0.5</v>
      </c>
      <c r="AL33">
        <v>0.5</v>
      </c>
      <c r="AM33">
        <v>0.5</v>
      </c>
      <c r="AN33">
        <v>0.8</v>
      </c>
      <c r="AO33">
        <v>0.8</v>
      </c>
      <c r="AP33">
        <v>0.8</v>
      </c>
      <c r="AQ33">
        <v>0.8</v>
      </c>
      <c r="AR33">
        <v>0.8</v>
      </c>
      <c r="AS33">
        <v>0.8</v>
      </c>
      <c r="AT33">
        <v>0.5</v>
      </c>
      <c r="AU33">
        <v>0.8</v>
      </c>
      <c r="AV33">
        <v>0.8</v>
      </c>
      <c r="AW33">
        <v>0.8</v>
      </c>
      <c r="AX33">
        <v>0.8</v>
      </c>
      <c r="AY33">
        <v>0.5</v>
      </c>
      <c r="AZ33">
        <v>0.8</v>
      </c>
      <c r="BA33">
        <v>0.8</v>
      </c>
      <c r="BB33">
        <v>0.8</v>
      </c>
      <c r="BC33">
        <v>0.8</v>
      </c>
      <c r="BD33">
        <v>0.8</v>
      </c>
      <c r="BE33">
        <v>0.8</v>
      </c>
      <c r="BF33">
        <v>0.8</v>
      </c>
      <c r="BG33">
        <v>0.8</v>
      </c>
      <c r="BH33">
        <v>0.8</v>
      </c>
      <c r="BI33">
        <v>0.8</v>
      </c>
      <c r="BJ33">
        <v>0.7</v>
      </c>
      <c r="BK33">
        <v>0.7</v>
      </c>
      <c r="BL33">
        <v>0.8</v>
      </c>
      <c r="BM33">
        <v>0.7</v>
      </c>
      <c r="BN33">
        <v>0.7</v>
      </c>
      <c r="BO33">
        <v>0.7</v>
      </c>
      <c r="BP33">
        <v>0.7</v>
      </c>
      <c r="BQ33">
        <v>0.7</v>
      </c>
      <c r="BR33">
        <v>0.7</v>
      </c>
      <c r="BS33">
        <v>0.7</v>
      </c>
      <c r="BT33">
        <v>0.7</v>
      </c>
      <c r="BU33">
        <v>0.6</v>
      </c>
      <c r="BV33">
        <v>0.8</v>
      </c>
      <c r="BW33">
        <v>0.7</v>
      </c>
      <c r="BX33">
        <v>0.7</v>
      </c>
      <c r="BY33">
        <v>0.7</v>
      </c>
      <c r="BZ33">
        <v>0.7</v>
      </c>
      <c r="CA33">
        <v>0.6</v>
      </c>
      <c r="CB33">
        <v>0</v>
      </c>
      <c r="CC33">
        <v>0</v>
      </c>
      <c r="CD33">
        <v>0</v>
      </c>
      <c r="CE33">
        <v>0</v>
      </c>
      <c r="CF33">
        <v>0</v>
      </c>
    </row>
    <row r="34" spans="1:84" x14ac:dyDescent="0.15">
      <c r="A34" t="s">
        <v>205</v>
      </c>
      <c r="B34">
        <v>0</v>
      </c>
      <c r="C34">
        <v>0</v>
      </c>
      <c r="D34">
        <v>0.8</v>
      </c>
      <c r="E34">
        <v>0.8</v>
      </c>
      <c r="F34">
        <v>0.8</v>
      </c>
      <c r="G34">
        <v>0.8</v>
      </c>
      <c r="H34">
        <v>0.8</v>
      </c>
      <c r="I34">
        <v>0.8</v>
      </c>
      <c r="J34">
        <v>0.8</v>
      </c>
      <c r="K34">
        <v>0.8</v>
      </c>
      <c r="L34">
        <v>0.8</v>
      </c>
      <c r="M34">
        <v>0.8</v>
      </c>
      <c r="N34">
        <v>0.5</v>
      </c>
      <c r="O34">
        <v>0.8</v>
      </c>
      <c r="P34">
        <v>0.8</v>
      </c>
      <c r="Q34">
        <v>0.8</v>
      </c>
      <c r="R34">
        <v>0.5</v>
      </c>
      <c r="S34">
        <v>0.5</v>
      </c>
      <c r="T34">
        <v>0.5</v>
      </c>
      <c r="U34">
        <v>0.5</v>
      </c>
      <c r="V34">
        <v>0.5</v>
      </c>
      <c r="W34">
        <v>0.5</v>
      </c>
      <c r="X34">
        <v>0.5</v>
      </c>
      <c r="Y34">
        <v>0.1</v>
      </c>
      <c r="Z34">
        <v>0.1</v>
      </c>
      <c r="AA34">
        <v>0.1</v>
      </c>
      <c r="AB34">
        <v>0.1</v>
      </c>
      <c r="AC34">
        <v>0.5</v>
      </c>
      <c r="AD34">
        <v>0.5</v>
      </c>
      <c r="AE34">
        <v>0.5</v>
      </c>
      <c r="AF34">
        <v>0.5</v>
      </c>
      <c r="AG34">
        <v>0.5</v>
      </c>
      <c r="AH34">
        <v>0.5</v>
      </c>
      <c r="AI34">
        <v>0.5</v>
      </c>
      <c r="AJ34">
        <v>0.5</v>
      </c>
      <c r="AK34">
        <v>0.5</v>
      </c>
      <c r="AL34">
        <v>0.5</v>
      </c>
      <c r="AM34">
        <v>0.5</v>
      </c>
      <c r="AN34">
        <v>0.8</v>
      </c>
      <c r="AO34">
        <v>0.8</v>
      </c>
      <c r="AP34">
        <v>0.8</v>
      </c>
      <c r="AQ34">
        <v>0.8</v>
      </c>
      <c r="AR34">
        <v>0.8</v>
      </c>
      <c r="AS34">
        <v>0.8</v>
      </c>
      <c r="AT34">
        <v>0.5</v>
      </c>
      <c r="AU34">
        <v>0.8</v>
      </c>
      <c r="AV34">
        <v>0.8</v>
      </c>
      <c r="AW34">
        <v>0.8</v>
      </c>
      <c r="AX34">
        <v>0.8</v>
      </c>
      <c r="AY34">
        <v>0.5</v>
      </c>
      <c r="AZ34">
        <v>0.8</v>
      </c>
      <c r="BA34">
        <v>0.8</v>
      </c>
      <c r="BB34">
        <v>0.8</v>
      </c>
      <c r="BC34">
        <v>0.8</v>
      </c>
      <c r="BD34">
        <v>0.8</v>
      </c>
      <c r="BE34">
        <v>0.8</v>
      </c>
      <c r="BF34">
        <v>0.8</v>
      </c>
      <c r="BG34">
        <v>0.8</v>
      </c>
      <c r="BH34">
        <v>0.8</v>
      </c>
      <c r="BI34">
        <v>0.8</v>
      </c>
      <c r="BJ34">
        <v>0.7</v>
      </c>
      <c r="BK34">
        <v>0.7</v>
      </c>
      <c r="BL34">
        <v>0.8</v>
      </c>
      <c r="BM34">
        <v>0.7</v>
      </c>
      <c r="BN34">
        <v>0.7</v>
      </c>
      <c r="BO34">
        <v>0.7</v>
      </c>
      <c r="BP34">
        <v>0.7</v>
      </c>
      <c r="BQ34">
        <v>0.7</v>
      </c>
      <c r="BR34">
        <v>0.7</v>
      </c>
      <c r="BS34">
        <v>0.7</v>
      </c>
      <c r="BT34">
        <v>0.7</v>
      </c>
      <c r="BU34">
        <v>0.6</v>
      </c>
      <c r="BV34">
        <v>0.8</v>
      </c>
      <c r="BW34">
        <v>0.7</v>
      </c>
      <c r="BX34">
        <v>0.7</v>
      </c>
      <c r="BY34">
        <v>0.7</v>
      </c>
      <c r="BZ34">
        <v>0.7</v>
      </c>
      <c r="CA34">
        <v>0.6</v>
      </c>
      <c r="CB34">
        <v>0</v>
      </c>
      <c r="CC34">
        <v>0</v>
      </c>
      <c r="CD34">
        <v>0</v>
      </c>
      <c r="CE34">
        <v>0</v>
      </c>
      <c r="CF34">
        <v>0</v>
      </c>
    </row>
    <row r="35" spans="1:84" x14ac:dyDescent="0.15">
      <c r="A35" t="s">
        <v>206</v>
      </c>
      <c r="B35">
        <v>0</v>
      </c>
      <c r="C35">
        <v>0</v>
      </c>
      <c r="D35">
        <v>0.8</v>
      </c>
      <c r="E35">
        <v>0.8</v>
      </c>
      <c r="F35">
        <v>0.8</v>
      </c>
      <c r="G35">
        <v>0.8</v>
      </c>
      <c r="H35">
        <v>0.8</v>
      </c>
      <c r="I35">
        <v>0.8</v>
      </c>
      <c r="J35">
        <v>0.8</v>
      </c>
      <c r="K35">
        <v>0.8</v>
      </c>
      <c r="L35">
        <v>0.8</v>
      </c>
      <c r="M35">
        <v>0.8</v>
      </c>
      <c r="N35">
        <v>0.5</v>
      </c>
      <c r="O35">
        <v>0.8</v>
      </c>
      <c r="P35">
        <v>0.8</v>
      </c>
      <c r="Q35">
        <v>0.8</v>
      </c>
      <c r="R35">
        <v>0.5</v>
      </c>
      <c r="S35">
        <v>0.5</v>
      </c>
      <c r="T35">
        <v>0.5</v>
      </c>
      <c r="U35">
        <v>0.5</v>
      </c>
      <c r="V35">
        <v>0.5</v>
      </c>
      <c r="W35">
        <v>0.5</v>
      </c>
      <c r="X35">
        <v>0.5</v>
      </c>
      <c r="Y35">
        <v>0.1</v>
      </c>
      <c r="Z35">
        <v>0.1</v>
      </c>
      <c r="AA35">
        <v>0.1</v>
      </c>
      <c r="AB35">
        <v>0.1</v>
      </c>
      <c r="AC35">
        <v>0.5</v>
      </c>
      <c r="AD35">
        <v>0.5</v>
      </c>
      <c r="AE35">
        <v>0.5</v>
      </c>
      <c r="AF35">
        <v>0.5</v>
      </c>
      <c r="AG35">
        <v>0.5</v>
      </c>
      <c r="AH35">
        <v>0.5</v>
      </c>
      <c r="AI35">
        <v>0.5</v>
      </c>
      <c r="AJ35">
        <v>0.5</v>
      </c>
      <c r="AK35">
        <v>0.5</v>
      </c>
      <c r="AL35">
        <v>0.5</v>
      </c>
      <c r="AM35">
        <v>0.5</v>
      </c>
      <c r="AN35">
        <v>0.8</v>
      </c>
      <c r="AO35">
        <v>0.8</v>
      </c>
      <c r="AP35">
        <v>0.8</v>
      </c>
      <c r="AQ35">
        <v>0.8</v>
      </c>
      <c r="AR35">
        <v>0.8</v>
      </c>
      <c r="AS35">
        <v>0.8</v>
      </c>
      <c r="AT35">
        <v>0.5</v>
      </c>
      <c r="AU35">
        <v>0.8</v>
      </c>
      <c r="AV35">
        <v>0.8</v>
      </c>
      <c r="AW35">
        <v>0.8</v>
      </c>
      <c r="AX35">
        <v>0.8</v>
      </c>
      <c r="AY35">
        <v>0.5</v>
      </c>
      <c r="AZ35">
        <v>0.8</v>
      </c>
      <c r="BA35">
        <v>0.8</v>
      </c>
      <c r="BB35">
        <v>0.8</v>
      </c>
      <c r="BC35">
        <v>0.8</v>
      </c>
      <c r="BD35">
        <v>0.8</v>
      </c>
      <c r="BE35">
        <v>0.8</v>
      </c>
      <c r="BF35">
        <v>0.8</v>
      </c>
      <c r="BG35">
        <v>0.8</v>
      </c>
      <c r="BH35">
        <v>0.8</v>
      </c>
      <c r="BI35">
        <v>0.8</v>
      </c>
      <c r="BJ35">
        <v>0.7</v>
      </c>
      <c r="BK35">
        <v>0.7</v>
      </c>
      <c r="BL35">
        <v>0.8</v>
      </c>
      <c r="BM35">
        <v>0.7</v>
      </c>
      <c r="BN35">
        <v>0.7</v>
      </c>
      <c r="BO35">
        <v>0.7</v>
      </c>
      <c r="BP35">
        <v>0.7</v>
      </c>
      <c r="BQ35">
        <v>0.7</v>
      </c>
      <c r="BR35">
        <v>0.7</v>
      </c>
      <c r="BS35">
        <v>0.7</v>
      </c>
      <c r="BT35">
        <v>0.7</v>
      </c>
      <c r="BU35">
        <v>0.6</v>
      </c>
      <c r="BV35">
        <v>0.8</v>
      </c>
      <c r="BW35">
        <v>0.7</v>
      </c>
      <c r="BX35">
        <v>0.7</v>
      </c>
      <c r="BY35">
        <v>0.7</v>
      </c>
      <c r="BZ35">
        <v>0.7</v>
      </c>
      <c r="CA35">
        <v>0.6</v>
      </c>
      <c r="CB35">
        <v>0</v>
      </c>
      <c r="CC35">
        <v>0</v>
      </c>
      <c r="CD35">
        <v>0</v>
      </c>
      <c r="CE35">
        <v>0</v>
      </c>
      <c r="CF35">
        <v>0</v>
      </c>
    </row>
    <row r="36" spans="1:84" x14ac:dyDescent="0.15">
      <c r="A36" t="s">
        <v>207</v>
      </c>
      <c r="B36">
        <v>0</v>
      </c>
      <c r="C36">
        <v>0</v>
      </c>
      <c r="D36">
        <v>0.8</v>
      </c>
      <c r="E36">
        <v>0.8</v>
      </c>
      <c r="F36">
        <v>0.8</v>
      </c>
      <c r="G36">
        <v>0.8</v>
      </c>
      <c r="H36">
        <v>0.8</v>
      </c>
      <c r="I36">
        <v>0.8</v>
      </c>
      <c r="J36">
        <v>0.8</v>
      </c>
      <c r="K36">
        <v>0.8</v>
      </c>
      <c r="L36">
        <v>0.8</v>
      </c>
      <c r="M36">
        <v>0.8</v>
      </c>
      <c r="N36">
        <v>0.5</v>
      </c>
      <c r="O36">
        <v>0.8</v>
      </c>
      <c r="P36">
        <v>0.8</v>
      </c>
      <c r="Q36">
        <v>0.8</v>
      </c>
      <c r="R36">
        <v>0.5</v>
      </c>
      <c r="S36">
        <v>0.5</v>
      </c>
      <c r="T36">
        <v>0.5</v>
      </c>
      <c r="U36">
        <v>0.5</v>
      </c>
      <c r="V36">
        <v>0.5</v>
      </c>
      <c r="W36">
        <v>0.5</v>
      </c>
      <c r="X36">
        <v>0.5</v>
      </c>
      <c r="Y36">
        <v>0.1</v>
      </c>
      <c r="Z36">
        <v>0.1</v>
      </c>
      <c r="AA36">
        <v>0.1</v>
      </c>
      <c r="AB36">
        <v>0.1</v>
      </c>
      <c r="AC36">
        <v>0.5</v>
      </c>
      <c r="AD36">
        <v>0.5</v>
      </c>
      <c r="AE36">
        <v>0.5</v>
      </c>
      <c r="AF36">
        <v>0.5</v>
      </c>
      <c r="AG36">
        <v>0.5</v>
      </c>
      <c r="AH36">
        <v>0.5</v>
      </c>
      <c r="AI36">
        <v>0.5</v>
      </c>
      <c r="AJ36">
        <v>0.5</v>
      </c>
      <c r="AK36">
        <v>0.5</v>
      </c>
      <c r="AL36">
        <v>0.5</v>
      </c>
      <c r="AM36">
        <v>0.5</v>
      </c>
      <c r="AN36">
        <v>0.8</v>
      </c>
      <c r="AO36">
        <v>0.8</v>
      </c>
      <c r="AP36">
        <v>0.8</v>
      </c>
      <c r="AQ36">
        <v>0.8</v>
      </c>
      <c r="AR36">
        <v>0.8</v>
      </c>
      <c r="AS36">
        <v>0.8</v>
      </c>
      <c r="AT36">
        <v>0.5</v>
      </c>
      <c r="AU36">
        <v>0.8</v>
      </c>
      <c r="AV36">
        <v>0.8</v>
      </c>
      <c r="AW36">
        <v>0.8</v>
      </c>
      <c r="AX36">
        <v>0.8</v>
      </c>
      <c r="AY36">
        <v>0.5</v>
      </c>
      <c r="AZ36">
        <v>0.8</v>
      </c>
      <c r="BA36">
        <v>0.8</v>
      </c>
      <c r="BB36">
        <v>0.8</v>
      </c>
      <c r="BC36">
        <v>0.8</v>
      </c>
      <c r="BD36">
        <v>0.8</v>
      </c>
      <c r="BE36">
        <v>0.8</v>
      </c>
      <c r="BF36">
        <v>0.8</v>
      </c>
      <c r="BG36">
        <v>0.8</v>
      </c>
      <c r="BH36">
        <v>0.8</v>
      </c>
      <c r="BI36">
        <v>0.8</v>
      </c>
      <c r="BJ36">
        <v>0.7</v>
      </c>
      <c r="BK36">
        <v>0.7</v>
      </c>
      <c r="BL36">
        <v>0.8</v>
      </c>
      <c r="BM36">
        <v>0.7</v>
      </c>
      <c r="BN36">
        <v>0.7</v>
      </c>
      <c r="BO36">
        <v>0.7</v>
      </c>
      <c r="BP36">
        <v>0.7</v>
      </c>
      <c r="BQ36">
        <v>0.7</v>
      </c>
      <c r="BR36">
        <v>0.7</v>
      </c>
      <c r="BS36">
        <v>0.7</v>
      </c>
      <c r="BT36">
        <v>0.7</v>
      </c>
      <c r="BU36">
        <v>0.6</v>
      </c>
      <c r="BV36">
        <v>0.8</v>
      </c>
      <c r="BW36">
        <v>0.7</v>
      </c>
      <c r="BX36">
        <v>0.7</v>
      </c>
      <c r="BY36">
        <v>0.7</v>
      </c>
      <c r="BZ36">
        <v>0.7</v>
      </c>
      <c r="CA36">
        <v>0.6</v>
      </c>
      <c r="CB36">
        <v>0</v>
      </c>
      <c r="CC36">
        <v>0</v>
      </c>
      <c r="CD36">
        <v>0</v>
      </c>
      <c r="CE36">
        <v>0</v>
      </c>
      <c r="CF36">
        <v>0</v>
      </c>
    </row>
    <row r="37" spans="1:84" x14ac:dyDescent="0.15">
      <c r="A37" t="s">
        <v>208</v>
      </c>
      <c r="B37">
        <v>0</v>
      </c>
      <c r="C37">
        <v>0</v>
      </c>
      <c r="D37">
        <v>0.8</v>
      </c>
      <c r="E37">
        <v>0.8</v>
      </c>
      <c r="F37">
        <v>0.8</v>
      </c>
      <c r="G37">
        <v>0.8</v>
      </c>
      <c r="H37">
        <v>0.8</v>
      </c>
      <c r="I37">
        <v>0.8</v>
      </c>
      <c r="J37">
        <v>0.8</v>
      </c>
      <c r="K37">
        <v>0.8</v>
      </c>
      <c r="L37">
        <v>0.8</v>
      </c>
      <c r="M37">
        <v>0.8</v>
      </c>
      <c r="N37">
        <v>0.5</v>
      </c>
      <c r="O37">
        <v>0.8</v>
      </c>
      <c r="P37">
        <v>0.8</v>
      </c>
      <c r="Q37">
        <v>0.8</v>
      </c>
      <c r="R37">
        <v>0.5</v>
      </c>
      <c r="S37">
        <v>0.5</v>
      </c>
      <c r="T37">
        <v>0.5</v>
      </c>
      <c r="U37">
        <v>0.5</v>
      </c>
      <c r="V37">
        <v>0.5</v>
      </c>
      <c r="W37">
        <v>0.5</v>
      </c>
      <c r="X37">
        <v>0.5</v>
      </c>
      <c r="Y37">
        <v>0.1</v>
      </c>
      <c r="Z37">
        <v>0.1</v>
      </c>
      <c r="AA37">
        <v>0.1</v>
      </c>
      <c r="AB37">
        <v>0.1</v>
      </c>
      <c r="AC37">
        <v>0.5</v>
      </c>
      <c r="AD37">
        <v>0.5</v>
      </c>
      <c r="AE37">
        <v>0.5</v>
      </c>
      <c r="AF37">
        <v>0.5</v>
      </c>
      <c r="AG37">
        <v>0.5</v>
      </c>
      <c r="AH37">
        <v>0.5</v>
      </c>
      <c r="AI37">
        <v>0.5</v>
      </c>
      <c r="AJ37">
        <v>0.5</v>
      </c>
      <c r="AK37">
        <v>0.5</v>
      </c>
      <c r="AL37">
        <v>0.5</v>
      </c>
      <c r="AM37">
        <v>0.5</v>
      </c>
      <c r="AN37">
        <v>0.8</v>
      </c>
      <c r="AO37">
        <v>0.8</v>
      </c>
      <c r="AP37">
        <v>0.8</v>
      </c>
      <c r="AQ37">
        <v>0.8</v>
      </c>
      <c r="AR37">
        <v>0.8</v>
      </c>
      <c r="AS37">
        <v>0.8</v>
      </c>
      <c r="AT37">
        <v>0.5</v>
      </c>
      <c r="AU37">
        <v>0.8</v>
      </c>
      <c r="AV37">
        <v>0.8</v>
      </c>
      <c r="AW37">
        <v>0.8</v>
      </c>
      <c r="AX37">
        <v>0.8</v>
      </c>
      <c r="AY37">
        <v>0.5</v>
      </c>
      <c r="AZ37">
        <v>0.8</v>
      </c>
      <c r="BA37">
        <v>0.8</v>
      </c>
      <c r="BB37">
        <v>0.8</v>
      </c>
      <c r="BC37">
        <v>0.8</v>
      </c>
      <c r="BD37">
        <v>0.8</v>
      </c>
      <c r="BE37">
        <v>0.8</v>
      </c>
      <c r="BF37">
        <v>0.8</v>
      </c>
      <c r="BG37">
        <v>0.8</v>
      </c>
      <c r="BH37">
        <v>0.8</v>
      </c>
      <c r="BI37">
        <v>0.8</v>
      </c>
      <c r="BJ37">
        <v>0.7</v>
      </c>
      <c r="BK37">
        <v>0.7</v>
      </c>
      <c r="BL37">
        <v>0.8</v>
      </c>
      <c r="BM37">
        <v>0.7</v>
      </c>
      <c r="BN37">
        <v>0.7</v>
      </c>
      <c r="BO37">
        <v>0.7</v>
      </c>
      <c r="BP37">
        <v>0.7</v>
      </c>
      <c r="BQ37">
        <v>0.7</v>
      </c>
      <c r="BR37">
        <v>0.7</v>
      </c>
      <c r="BS37">
        <v>0.7</v>
      </c>
      <c r="BT37">
        <v>0.7</v>
      </c>
      <c r="BU37">
        <v>0.6</v>
      </c>
      <c r="BV37">
        <v>0.8</v>
      </c>
      <c r="BW37">
        <v>0.7</v>
      </c>
      <c r="BX37">
        <v>0.7</v>
      </c>
      <c r="BY37">
        <v>0.7</v>
      </c>
      <c r="BZ37">
        <v>0.7</v>
      </c>
      <c r="CA37">
        <v>0.6</v>
      </c>
      <c r="CB37">
        <v>0</v>
      </c>
      <c r="CC37">
        <v>0</v>
      </c>
      <c r="CD37">
        <v>0</v>
      </c>
      <c r="CE37">
        <v>0</v>
      </c>
      <c r="CF37">
        <v>0</v>
      </c>
    </row>
    <row r="38" spans="1:84" x14ac:dyDescent="0.15">
      <c r="A38" t="s">
        <v>209</v>
      </c>
      <c r="B38">
        <v>0</v>
      </c>
      <c r="C38">
        <v>0</v>
      </c>
      <c r="D38">
        <v>0.8</v>
      </c>
      <c r="E38">
        <v>0.8</v>
      </c>
      <c r="F38">
        <v>0.8</v>
      </c>
      <c r="G38">
        <v>0.8</v>
      </c>
      <c r="H38">
        <v>0.8</v>
      </c>
      <c r="I38">
        <v>0.8</v>
      </c>
      <c r="J38">
        <v>0.8</v>
      </c>
      <c r="K38">
        <v>0.8</v>
      </c>
      <c r="L38">
        <v>0.8</v>
      </c>
      <c r="M38">
        <v>0.8</v>
      </c>
      <c r="N38">
        <v>0.5</v>
      </c>
      <c r="O38">
        <v>0.8</v>
      </c>
      <c r="P38">
        <v>0.8</v>
      </c>
      <c r="Q38">
        <v>0.8</v>
      </c>
      <c r="R38">
        <v>0.5</v>
      </c>
      <c r="S38">
        <v>0.5</v>
      </c>
      <c r="T38">
        <v>0.5</v>
      </c>
      <c r="U38">
        <v>0.5</v>
      </c>
      <c r="V38">
        <v>0.5</v>
      </c>
      <c r="W38">
        <v>0.5</v>
      </c>
      <c r="X38">
        <v>0.5</v>
      </c>
      <c r="Y38">
        <v>0.1</v>
      </c>
      <c r="Z38">
        <v>0.1</v>
      </c>
      <c r="AA38">
        <v>0.1</v>
      </c>
      <c r="AB38">
        <v>0.1</v>
      </c>
      <c r="AC38">
        <v>0.5</v>
      </c>
      <c r="AD38">
        <v>0.5</v>
      </c>
      <c r="AE38">
        <v>0.5</v>
      </c>
      <c r="AF38">
        <v>0.5</v>
      </c>
      <c r="AG38">
        <v>0.5</v>
      </c>
      <c r="AH38">
        <v>0.5</v>
      </c>
      <c r="AI38">
        <v>0.5</v>
      </c>
      <c r="AJ38">
        <v>0.5</v>
      </c>
      <c r="AK38">
        <v>0.5</v>
      </c>
      <c r="AL38">
        <v>0.5</v>
      </c>
      <c r="AM38">
        <v>0.5</v>
      </c>
      <c r="AN38">
        <v>0.8</v>
      </c>
      <c r="AO38">
        <v>0.8</v>
      </c>
      <c r="AP38">
        <v>0.8</v>
      </c>
      <c r="AQ38">
        <v>0.8</v>
      </c>
      <c r="AR38">
        <v>0.8</v>
      </c>
      <c r="AS38">
        <v>0.8</v>
      </c>
      <c r="AT38">
        <v>0.5</v>
      </c>
      <c r="AU38">
        <v>0.8</v>
      </c>
      <c r="AV38">
        <v>0.8</v>
      </c>
      <c r="AW38">
        <v>0.8</v>
      </c>
      <c r="AX38">
        <v>0.8</v>
      </c>
      <c r="AY38">
        <v>0.5</v>
      </c>
      <c r="AZ38">
        <v>0.8</v>
      </c>
      <c r="BA38">
        <v>0.8</v>
      </c>
      <c r="BB38">
        <v>0.8</v>
      </c>
      <c r="BC38">
        <v>0.8</v>
      </c>
      <c r="BD38">
        <v>0.8</v>
      </c>
      <c r="BE38">
        <v>0.8</v>
      </c>
      <c r="BF38">
        <v>0.8</v>
      </c>
      <c r="BG38">
        <v>0.8</v>
      </c>
      <c r="BH38">
        <v>0.8</v>
      </c>
      <c r="BI38">
        <v>0.8</v>
      </c>
      <c r="BJ38">
        <v>0.7</v>
      </c>
      <c r="BK38">
        <v>0.7</v>
      </c>
      <c r="BL38">
        <v>0.8</v>
      </c>
      <c r="BM38">
        <v>0.7</v>
      </c>
      <c r="BN38">
        <v>0.7</v>
      </c>
      <c r="BO38">
        <v>0.7</v>
      </c>
      <c r="BP38">
        <v>0.7</v>
      </c>
      <c r="BQ38">
        <v>0.7</v>
      </c>
      <c r="BR38">
        <v>0.7</v>
      </c>
      <c r="BS38">
        <v>0.7</v>
      </c>
      <c r="BT38">
        <v>0.7</v>
      </c>
      <c r="BU38">
        <v>0.6</v>
      </c>
      <c r="BV38">
        <v>0.8</v>
      </c>
      <c r="BW38">
        <v>0.7</v>
      </c>
      <c r="BX38">
        <v>0.7</v>
      </c>
      <c r="BY38">
        <v>0.7</v>
      </c>
      <c r="BZ38">
        <v>0.7</v>
      </c>
      <c r="CA38">
        <v>0.6</v>
      </c>
      <c r="CB38">
        <v>0</v>
      </c>
      <c r="CC38">
        <v>0</v>
      </c>
      <c r="CD38">
        <v>0</v>
      </c>
      <c r="CE38">
        <v>0</v>
      </c>
      <c r="CF38">
        <v>0</v>
      </c>
    </row>
    <row r="39" spans="1:84" x14ac:dyDescent="0.15">
      <c r="A39" t="s">
        <v>210</v>
      </c>
      <c r="B39">
        <v>0</v>
      </c>
      <c r="C39">
        <v>0</v>
      </c>
      <c r="D39">
        <v>0.8</v>
      </c>
      <c r="E39">
        <v>0.8</v>
      </c>
      <c r="F39">
        <v>0.8</v>
      </c>
      <c r="G39">
        <v>0.8</v>
      </c>
      <c r="H39">
        <v>0.8</v>
      </c>
      <c r="I39">
        <v>0.8</v>
      </c>
      <c r="J39">
        <v>0.8</v>
      </c>
      <c r="K39">
        <v>0.8</v>
      </c>
      <c r="L39">
        <v>0.8</v>
      </c>
      <c r="M39">
        <v>0.8</v>
      </c>
      <c r="N39">
        <v>0.5</v>
      </c>
      <c r="O39">
        <v>0.8</v>
      </c>
      <c r="P39">
        <v>0.8</v>
      </c>
      <c r="Q39">
        <v>0.8</v>
      </c>
      <c r="R39">
        <v>0.5</v>
      </c>
      <c r="S39">
        <v>0.5</v>
      </c>
      <c r="T39">
        <v>0.5</v>
      </c>
      <c r="U39">
        <v>0.5</v>
      </c>
      <c r="V39">
        <v>0.5</v>
      </c>
      <c r="W39">
        <v>0.5</v>
      </c>
      <c r="X39">
        <v>0.5</v>
      </c>
      <c r="Y39">
        <v>0.1</v>
      </c>
      <c r="Z39">
        <v>0.1</v>
      </c>
      <c r="AA39">
        <v>0.1</v>
      </c>
      <c r="AB39">
        <v>0.1</v>
      </c>
      <c r="AC39">
        <v>0.5</v>
      </c>
      <c r="AD39">
        <v>0.5</v>
      </c>
      <c r="AE39">
        <v>0.5</v>
      </c>
      <c r="AF39">
        <v>0.5</v>
      </c>
      <c r="AG39">
        <v>0.5</v>
      </c>
      <c r="AH39">
        <v>0.5</v>
      </c>
      <c r="AI39">
        <v>0.5</v>
      </c>
      <c r="AJ39">
        <v>0.5</v>
      </c>
      <c r="AK39">
        <v>0.5</v>
      </c>
      <c r="AL39">
        <v>0.5</v>
      </c>
      <c r="AM39">
        <v>0.5</v>
      </c>
      <c r="AN39">
        <v>0.8</v>
      </c>
      <c r="AO39">
        <v>0.8</v>
      </c>
      <c r="AP39">
        <v>0.8</v>
      </c>
      <c r="AQ39">
        <v>0.8</v>
      </c>
      <c r="AR39">
        <v>0.8</v>
      </c>
      <c r="AS39">
        <v>0.8</v>
      </c>
      <c r="AT39">
        <v>0.5</v>
      </c>
      <c r="AU39">
        <v>0.8</v>
      </c>
      <c r="AV39">
        <v>0.8</v>
      </c>
      <c r="AW39">
        <v>0.8</v>
      </c>
      <c r="AX39">
        <v>0.8</v>
      </c>
      <c r="AY39">
        <v>0.5</v>
      </c>
      <c r="AZ39">
        <v>0.8</v>
      </c>
      <c r="BA39">
        <v>0.8</v>
      </c>
      <c r="BB39">
        <v>0.8</v>
      </c>
      <c r="BC39">
        <v>0.8</v>
      </c>
      <c r="BD39">
        <v>0.8</v>
      </c>
      <c r="BE39">
        <v>0.8</v>
      </c>
      <c r="BF39">
        <v>0.8</v>
      </c>
      <c r="BG39">
        <v>0.8</v>
      </c>
      <c r="BH39">
        <v>0.8</v>
      </c>
      <c r="BI39">
        <v>0.8</v>
      </c>
      <c r="BJ39">
        <v>0.7</v>
      </c>
      <c r="BK39">
        <v>0.7</v>
      </c>
      <c r="BL39">
        <v>0.8</v>
      </c>
      <c r="BM39">
        <v>0.7</v>
      </c>
      <c r="BN39">
        <v>0.7</v>
      </c>
      <c r="BO39">
        <v>0.7</v>
      </c>
      <c r="BP39">
        <v>0.7</v>
      </c>
      <c r="BQ39">
        <v>0.7</v>
      </c>
      <c r="BR39">
        <v>0.7</v>
      </c>
      <c r="BS39">
        <v>0.7</v>
      </c>
      <c r="BT39">
        <v>0.7</v>
      </c>
      <c r="BU39">
        <v>0.6</v>
      </c>
      <c r="BV39">
        <v>0.8</v>
      </c>
      <c r="BW39">
        <v>0.7</v>
      </c>
      <c r="BX39">
        <v>0.7</v>
      </c>
      <c r="BY39">
        <v>0.7</v>
      </c>
      <c r="BZ39">
        <v>0.7</v>
      </c>
      <c r="CA39">
        <v>0.6</v>
      </c>
      <c r="CB39">
        <v>0</v>
      </c>
      <c r="CC39">
        <v>0</v>
      </c>
      <c r="CD39">
        <v>0</v>
      </c>
      <c r="CE39">
        <v>0</v>
      </c>
      <c r="CF39">
        <v>0</v>
      </c>
    </row>
    <row r="40" spans="1:84" x14ac:dyDescent="0.15">
      <c r="A40" t="s">
        <v>211</v>
      </c>
      <c r="B40">
        <v>0</v>
      </c>
      <c r="C40">
        <v>0</v>
      </c>
      <c r="D40">
        <v>0.8</v>
      </c>
      <c r="E40">
        <v>0.8</v>
      </c>
      <c r="F40">
        <v>0.8</v>
      </c>
      <c r="G40">
        <v>0.8</v>
      </c>
      <c r="H40">
        <v>0.8</v>
      </c>
      <c r="I40">
        <v>0.8</v>
      </c>
      <c r="J40">
        <v>0.8</v>
      </c>
      <c r="K40">
        <v>0.8</v>
      </c>
      <c r="L40">
        <v>0.8</v>
      </c>
      <c r="M40">
        <v>0.8</v>
      </c>
      <c r="N40">
        <v>0.5</v>
      </c>
      <c r="O40">
        <v>0.8</v>
      </c>
      <c r="P40">
        <v>0.8</v>
      </c>
      <c r="Q40">
        <v>0.8</v>
      </c>
      <c r="R40">
        <v>0.5</v>
      </c>
      <c r="S40">
        <v>0.5</v>
      </c>
      <c r="T40">
        <v>0.5</v>
      </c>
      <c r="U40">
        <v>0.5</v>
      </c>
      <c r="V40">
        <v>0.5</v>
      </c>
      <c r="W40">
        <v>0.5</v>
      </c>
      <c r="X40">
        <v>0.5</v>
      </c>
      <c r="Y40">
        <v>0.1</v>
      </c>
      <c r="Z40">
        <v>0.1</v>
      </c>
      <c r="AA40">
        <v>0.1</v>
      </c>
      <c r="AB40">
        <v>0.1</v>
      </c>
      <c r="AC40">
        <v>0.5</v>
      </c>
      <c r="AD40">
        <v>0.5</v>
      </c>
      <c r="AE40">
        <v>0.5</v>
      </c>
      <c r="AF40">
        <v>0.5</v>
      </c>
      <c r="AG40">
        <v>0.5</v>
      </c>
      <c r="AH40">
        <v>0.5</v>
      </c>
      <c r="AI40">
        <v>0.5</v>
      </c>
      <c r="AJ40">
        <v>0.5</v>
      </c>
      <c r="AK40">
        <v>0.5</v>
      </c>
      <c r="AL40">
        <v>0.5</v>
      </c>
      <c r="AM40">
        <v>0.5</v>
      </c>
      <c r="AN40">
        <v>0.8</v>
      </c>
      <c r="AO40">
        <v>0.8</v>
      </c>
      <c r="AP40">
        <v>0.8</v>
      </c>
      <c r="AQ40">
        <v>0.8</v>
      </c>
      <c r="AR40">
        <v>0.8</v>
      </c>
      <c r="AS40">
        <v>0.8</v>
      </c>
      <c r="AT40">
        <v>0.5</v>
      </c>
      <c r="AU40">
        <v>0.8</v>
      </c>
      <c r="AV40">
        <v>0.8</v>
      </c>
      <c r="AW40">
        <v>0.8</v>
      </c>
      <c r="AX40">
        <v>0.8</v>
      </c>
      <c r="AY40">
        <v>0.5</v>
      </c>
      <c r="AZ40">
        <v>0.8</v>
      </c>
      <c r="BA40">
        <v>0.8</v>
      </c>
      <c r="BB40">
        <v>0.8</v>
      </c>
      <c r="BC40">
        <v>0.8</v>
      </c>
      <c r="BD40">
        <v>0.8</v>
      </c>
      <c r="BE40">
        <v>0.8</v>
      </c>
      <c r="BF40">
        <v>0.8</v>
      </c>
      <c r="BG40">
        <v>0.8</v>
      </c>
      <c r="BH40">
        <v>0.8</v>
      </c>
      <c r="BI40">
        <v>0.8</v>
      </c>
      <c r="BJ40">
        <v>0.7</v>
      </c>
      <c r="BK40">
        <v>0.7</v>
      </c>
      <c r="BL40">
        <v>0.8</v>
      </c>
      <c r="BM40">
        <v>0.7</v>
      </c>
      <c r="BN40">
        <v>0.7</v>
      </c>
      <c r="BO40">
        <v>0.7</v>
      </c>
      <c r="BP40">
        <v>0.7</v>
      </c>
      <c r="BQ40">
        <v>0.7</v>
      </c>
      <c r="BR40">
        <v>0.7</v>
      </c>
      <c r="BS40">
        <v>0.7</v>
      </c>
      <c r="BT40">
        <v>0.7</v>
      </c>
      <c r="BU40">
        <v>0.6</v>
      </c>
      <c r="BV40">
        <v>0.8</v>
      </c>
      <c r="BW40">
        <v>0.7</v>
      </c>
      <c r="BX40">
        <v>0.7</v>
      </c>
      <c r="BY40">
        <v>0.7</v>
      </c>
      <c r="BZ40">
        <v>0.7</v>
      </c>
      <c r="CA40">
        <v>0.6</v>
      </c>
      <c r="CB40">
        <v>0</v>
      </c>
      <c r="CC40">
        <v>0</v>
      </c>
      <c r="CD40">
        <v>0</v>
      </c>
      <c r="CE40">
        <v>0</v>
      </c>
      <c r="CF40">
        <v>0</v>
      </c>
    </row>
    <row r="41" spans="1:84" x14ac:dyDescent="0.15">
      <c r="A41" t="s">
        <v>212</v>
      </c>
      <c r="B41">
        <v>0</v>
      </c>
      <c r="C41">
        <v>0</v>
      </c>
      <c r="D41">
        <v>0.8</v>
      </c>
      <c r="E41">
        <v>0.8</v>
      </c>
      <c r="F41">
        <v>0.8</v>
      </c>
      <c r="G41">
        <v>0.8</v>
      </c>
      <c r="H41">
        <v>0.8</v>
      </c>
      <c r="I41">
        <v>0.8</v>
      </c>
      <c r="J41">
        <v>0.8</v>
      </c>
      <c r="K41">
        <v>0.8</v>
      </c>
      <c r="L41">
        <v>0.8</v>
      </c>
      <c r="M41">
        <v>0.8</v>
      </c>
      <c r="N41">
        <v>0.5</v>
      </c>
      <c r="O41">
        <v>0.8</v>
      </c>
      <c r="P41">
        <v>0.8</v>
      </c>
      <c r="Q41">
        <v>0.8</v>
      </c>
      <c r="R41">
        <v>0.5</v>
      </c>
      <c r="S41">
        <v>0.5</v>
      </c>
      <c r="T41">
        <v>0.5</v>
      </c>
      <c r="U41">
        <v>0.5</v>
      </c>
      <c r="V41">
        <v>0.5</v>
      </c>
      <c r="W41">
        <v>0.5</v>
      </c>
      <c r="X41">
        <v>0.5</v>
      </c>
      <c r="Y41">
        <v>0.1</v>
      </c>
      <c r="Z41">
        <v>0.1</v>
      </c>
      <c r="AA41">
        <v>0.1</v>
      </c>
      <c r="AB41">
        <v>0.1</v>
      </c>
      <c r="AC41">
        <v>0.5</v>
      </c>
      <c r="AD41">
        <v>0.5</v>
      </c>
      <c r="AE41">
        <v>0.5</v>
      </c>
      <c r="AF41">
        <v>0.5</v>
      </c>
      <c r="AG41">
        <v>0.5</v>
      </c>
      <c r="AH41">
        <v>0.5</v>
      </c>
      <c r="AI41">
        <v>0.5</v>
      </c>
      <c r="AJ41">
        <v>0.5</v>
      </c>
      <c r="AK41">
        <v>0.5</v>
      </c>
      <c r="AL41">
        <v>0.5</v>
      </c>
      <c r="AM41">
        <v>0.5</v>
      </c>
      <c r="AN41">
        <v>0.8</v>
      </c>
      <c r="AO41">
        <v>0.8</v>
      </c>
      <c r="AP41">
        <v>0.8</v>
      </c>
      <c r="AQ41">
        <v>0.8</v>
      </c>
      <c r="AR41">
        <v>0.8</v>
      </c>
      <c r="AS41">
        <v>0.8</v>
      </c>
      <c r="AT41">
        <v>0.5</v>
      </c>
      <c r="AU41">
        <v>0.8</v>
      </c>
      <c r="AV41">
        <v>0.8</v>
      </c>
      <c r="AW41">
        <v>0.8</v>
      </c>
      <c r="AX41">
        <v>0.8</v>
      </c>
      <c r="AY41">
        <v>0.5</v>
      </c>
      <c r="AZ41">
        <v>0.8</v>
      </c>
      <c r="BA41">
        <v>0.8</v>
      </c>
      <c r="BB41">
        <v>0.8</v>
      </c>
      <c r="BC41">
        <v>0.8</v>
      </c>
      <c r="BD41">
        <v>0.8</v>
      </c>
      <c r="BE41">
        <v>0.8</v>
      </c>
      <c r="BF41">
        <v>0.8</v>
      </c>
      <c r="BG41">
        <v>0.8</v>
      </c>
      <c r="BH41">
        <v>0.8</v>
      </c>
      <c r="BI41">
        <v>0.8</v>
      </c>
      <c r="BJ41">
        <v>0.7</v>
      </c>
      <c r="BK41">
        <v>0.7</v>
      </c>
      <c r="BL41">
        <v>0.8</v>
      </c>
      <c r="BM41">
        <v>0.7</v>
      </c>
      <c r="BN41">
        <v>0.7</v>
      </c>
      <c r="BO41">
        <v>0.7</v>
      </c>
      <c r="BP41">
        <v>0.7</v>
      </c>
      <c r="BQ41">
        <v>0.7</v>
      </c>
      <c r="BR41">
        <v>0.7</v>
      </c>
      <c r="BS41">
        <v>0.7</v>
      </c>
      <c r="BT41">
        <v>0.7</v>
      </c>
      <c r="BU41">
        <v>0.6</v>
      </c>
      <c r="BV41">
        <v>0.8</v>
      </c>
      <c r="BW41">
        <v>0.7</v>
      </c>
      <c r="BX41">
        <v>0.7</v>
      </c>
      <c r="BY41">
        <v>0.7</v>
      </c>
      <c r="BZ41">
        <v>0.7</v>
      </c>
      <c r="CA41">
        <v>0.6</v>
      </c>
      <c r="CB41">
        <v>0</v>
      </c>
      <c r="CC41">
        <v>0</v>
      </c>
      <c r="CD41">
        <v>0</v>
      </c>
      <c r="CE41">
        <v>0</v>
      </c>
      <c r="CF41">
        <v>0</v>
      </c>
    </row>
    <row r="42" spans="1:84" x14ac:dyDescent="0.15">
      <c r="A42" t="s">
        <v>213</v>
      </c>
      <c r="B42">
        <v>0</v>
      </c>
      <c r="C42">
        <v>0</v>
      </c>
      <c r="D42">
        <v>0.8</v>
      </c>
      <c r="E42">
        <v>0.8</v>
      </c>
      <c r="F42">
        <v>0.8</v>
      </c>
      <c r="G42">
        <v>0.8</v>
      </c>
      <c r="H42">
        <v>0.8</v>
      </c>
      <c r="I42">
        <v>0.8</v>
      </c>
      <c r="J42">
        <v>0.8</v>
      </c>
      <c r="K42">
        <v>0.8</v>
      </c>
      <c r="L42">
        <v>0.8</v>
      </c>
      <c r="M42">
        <v>0.8</v>
      </c>
      <c r="N42">
        <v>0.5</v>
      </c>
      <c r="O42">
        <v>0.8</v>
      </c>
      <c r="P42">
        <v>0.8</v>
      </c>
      <c r="Q42">
        <v>0.8</v>
      </c>
      <c r="R42">
        <v>0.5</v>
      </c>
      <c r="S42">
        <v>0.5</v>
      </c>
      <c r="T42">
        <v>0.5</v>
      </c>
      <c r="U42">
        <v>0.5</v>
      </c>
      <c r="V42">
        <v>0.5</v>
      </c>
      <c r="W42">
        <v>0.5</v>
      </c>
      <c r="X42">
        <v>0.5</v>
      </c>
      <c r="Y42">
        <v>0.1</v>
      </c>
      <c r="Z42">
        <v>0.1</v>
      </c>
      <c r="AA42">
        <v>0.1</v>
      </c>
      <c r="AB42">
        <v>0.1</v>
      </c>
      <c r="AC42">
        <v>0.5</v>
      </c>
      <c r="AD42">
        <v>0.5</v>
      </c>
      <c r="AE42">
        <v>0.5</v>
      </c>
      <c r="AF42">
        <v>0.5</v>
      </c>
      <c r="AG42">
        <v>0.5</v>
      </c>
      <c r="AH42">
        <v>0.5</v>
      </c>
      <c r="AI42">
        <v>0.5</v>
      </c>
      <c r="AJ42">
        <v>0.5</v>
      </c>
      <c r="AK42">
        <v>0.5</v>
      </c>
      <c r="AL42">
        <v>0.5</v>
      </c>
      <c r="AM42">
        <v>0.5</v>
      </c>
      <c r="AN42">
        <v>0.8</v>
      </c>
      <c r="AO42">
        <v>0.8</v>
      </c>
      <c r="AP42">
        <v>0.8</v>
      </c>
      <c r="AQ42">
        <v>0.8</v>
      </c>
      <c r="AR42">
        <v>0.8</v>
      </c>
      <c r="AS42">
        <v>0.8</v>
      </c>
      <c r="AT42">
        <v>0.5</v>
      </c>
      <c r="AU42">
        <v>0.8</v>
      </c>
      <c r="AV42">
        <v>0.8</v>
      </c>
      <c r="AW42">
        <v>0.8</v>
      </c>
      <c r="AX42">
        <v>0.8</v>
      </c>
      <c r="AY42">
        <v>0.5</v>
      </c>
      <c r="AZ42">
        <v>0.8</v>
      </c>
      <c r="BA42">
        <v>0.8</v>
      </c>
      <c r="BB42">
        <v>0.8</v>
      </c>
      <c r="BC42">
        <v>0.8</v>
      </c>
      <c r="BD42">
        <v>0.8</v>
      </c>
      <c r="BE42">
        <v>0.8</v>
      </c>
      <c r="BF42">
        <v>0.8</v>
      </c>
      <c r="BG42">
        <v>0.8</v>
      </c>
      <c r="BH42">
        <v>0.8</v>
      </c>
      <c r="BI42">
        <v>0.8</v>
      </c>
      <c r="BJ42">
        <v>0.7</v>
      </c>
      <c r="BK42">
        <v>0.7</v>
      </c>
      <c r="BL42">
        <v>0.8</v>
      </c>
      <c r="BM42">
        <v>0.7</v>
      </c>
      <c r="BN42">
        <v>0.7</v>
      </c>
      <c r="BO42">
        <v>0.7</v>
      </c>
      <c r="BP42">
        <v>0.7</v>
      </c>
      <c r="BQ42">
        <v>0.7</v>
      </c>
      <c r="BR42">
        <v>0.7</v>
      </c>
      <c r="BS42">
        <v>0.7</v>
      </c>
      <c r="BT42">
        <v>0.7</v>
      </c>
      <c r="BU42">
        <v>0.6</v>
      </c>
      <c r="BV42">
        <v>0.8</v>
      </c>
      <c r="BW42">
        <v>0.7</v>
      </c>
      <c r="BX42">
        <v>0.7</v>
      </c>
      <c r="BY42">
        <v>0.7</v>
      </c>
      <c r="BZ42">
        <v>0.7</v>
      </c>
      <c r="CA42">
        <v>0.6</v>
      </c>
      <c r="CB42">
        <v>0</v>
      </c>
      <c r="CC42">
        <v>0</v>
      </c>
      <c r="CD42">
        <v>0</v>
      </c>
      <c r="CE42">
        <v>0</v>
      </c>
      <c r="CF42">
        <v>0</v>
      </c>
    </row>
    <row r="43" spans="1:84" x14ac:dyDescent="0.15">
      <c r="A43" t="s">
        <v>214</v>
      </c>
      <c r="B43">
        <v>0</v>
      </c>
      <c r="C43">
        <v>0</v>
      </c>
      <c r="D43">
        <v>0.8</v>
      </c>
      <c r="E43">
        <v>0.8</v>
      </c>
      <c r="F43">
        <v>0.8</v>
      </c>
      <c r="G43">
        <v>0.8</v>
      </c>
      <c r="H43">
        <v>0.8</v>
      </c>
      <c r="I43">
        <v>0.8</v>
      </c>
      <c r="J43">
        <v>0.8</v>
      </c>
      <c r="K43">
        <v>0.8</v>
      </c>
      <c r="L43">
        <v>0.8</v>
      </c>
      <c r="M43">
        <v>0.8</v>
      </c>
      <c r="N43">
        <v>0.5</v>
      </c>
      <c r="O43">
        <v>0.8</v>
      </c>
      <c r="P43">
        <v>0.8</v>
      </c>
      <c r="Q43">
        <v>0.8</v>
      </c>
      <c r="R43">
        <v>0.5</v>
      </c>
      <c r="S43">
        <v>0.5</v>
      </c>
      <c r="T43">
        <v>0.5</v>
      </c>
      <c r="U43">
        <v>0.5</v>
      </c>
      <c r="V43">
        <v>0.5</v>
      </c>
      <c r="W43">
        <v>0.5</v>
      </c>
      <c r="X43">
        <v>0.5</v>
      </c>
      <c r="Y43">
        <v>0.1</v>
      </c>
      <c r="Z43">
        <v>0.1</v>
      </c>
      <c r="AA43">
        <v>0.1</v>
      </c>
      <c r="AB43">
        <v>0.1</v>
      </c>
      <c r="AC43">
        <v>0.5</v>
      </c>
      <c r="AD43">
        <v>0.5</v>
      </c>
      <c r="AE43">
        <v>0.5</v>
      </c>
      <c r="AF43">
        <v>0.5</v>
      </c>
      <c r="AG43">
        <v>0.5</v>
      </c>
      <c r="AH43">
        <v>0.5</v>
      </c>
      <c r="AI43">
        <v>0.5</v>
      </c>
      <c r="AJ43">
        <v>0.5</v>
      </c>
      <c r="AK43">
        <v>0.5</v>
      </c>
      <c r="AL43">
        <v>0.5</v>
      </c>
      <c r="AM43">
        <v>0.5</v>
      </c>
      <c r="AN43">
        <v>0.8</v>
      </c>
      <c r="AO43">
        <v>0.8</v>
      </c>
      <c r="AP43">
        <v>0.8</v>
      </c>
      <c r="AQ43">
        <v>0.8</v>
      </c>
      <c r="AR43">
        <v>0.8</v>
      </c>
      <c r="AS43">
        <v>0.8</v>
      </c>
      <c r="AT43">
        <v>0.5</v>
      </c>
      <c r="AU43">
        <v>0.8</v>
      </c>
      <c r="AV43">
        <v>0.8</v>
      </c>
      <c r="AW43">
        <v>0.8</v>
      </c>
      <c r="AX43">
        <v>0.8</v>
      </c>
      <c r="AY43">
        <v>0.5</v>
      </c>
      <c r="AZ43">
        <v>0.8</v>
      </c>
      <c r="BA43">
        <v>0.8</v>
      </c>
      <c r="BB43">
        <v>0.8</v>
      </c>
      <c r="BC43">
        <v>0.8</v>
      </c>
      <c r="BD43">
        <v>0.8</v>
      </c>
      <c r="BE43">
        <v>0.8</v>
      </c>
      <c r="BF43">
        <v>0.8</v>
      </c>
      <c r="BG43">
        <v>0.8</v>
      </c>
      <c r="BH43">
        <v>0.8</v>
      </c>
      <c r="BI43">
        <v>0.8</v>
      </c>
      <c r="BJ43">
        <v>0.7</v>
      </c>
      <c r="BK43">
        <v>0.7</v>
      </c>
      <c r="BL43">
        <v>0.8</v>
      </c>
      <c r="BM43">
        <v>0.7</v>
      </c>
      <c r="BN43">
        <v>0.7</v>
      </c>
      <c r="BO43">
        <v>0.7</v>
      </c>
      <c r="BP43">
        <v>0.7</v>
      </c>
      <c r="BQ43">
        <v>0.7</v>
      </c>
      <c r="BR43">
        <v>0.7</v>
      </c>
      <c r="BS43">
        <v>0.7</v>
      </c>
      <c r="BT43">
        <v>0.7</v>
      </c>
      <c r="BU43">
        <v>0.6</v>
      </c>
      <c r="BV43">
        <v>0.8</v>
      </c>
      <c r="BW43">
        <v>0.7</v>
      </c>
      <c r="BX43">
        <v>0.7</v>
      </c>
      <c r="BY43">
        <v>0.7</v>
      </c>
      <c r="BZ43">
        <v>0.7</v>
      </c>
      <c r="CA43">
        <v>0.6</v>
      </c>
      <c r="CB43">
        <v>0</v>
      </c>
      <c r="CC43">
        <v>0</v>
      </c>
      <c r="CD43">
        <v>0</v>
      </c>
      <c r="CE43">
        <v>0</v>
      </c>
      <c r="CF43">
        <v>0</v>
      </c>
    </row>
    <row r="44" spans="1:84" x14ac:dyDescent="0.15">
      <c r="A44" t="s">
        <v>215</v>
      </c>
      <c r="B44">
        <v>0</v>
      </c>
      <c r="C44">
        <v>0</v>
      </c>
      <c r="D44">
        <v>0.8</v>
      </c>
      <c r="E44">
        <v>0.8</v>
      </c>
      <c r="F44">
        <v>0.8</v>
      </c>
      <c r="G44">
        <v>0.8</v>
      </c>
      <c r="H44">
        <v>0.8</v>
      </c>
      <c r="I44">
        <v>0.8</v>
      </c>
      <c r="J44">
        <v>0.8</v>
      </c>
      <c r="K44">
        <v>0.8</v>
      </c>
      <c r="L44">
        <v>0.8</v>
      </c>
      <c r="M44">
        <v>0.8</v>
      </c>
      <c r="N44">
        <v>0.5</v>
      </c>
      <c r="O44">
        <v>0.8</v>
      </c>
      <c r="P44">
        <v>0.8</v>
      </c>
      <c r="Q44">
        <v>0.8</v>
      </c>
      <c r="R44">
        <v>0.5</v>
      </c>
      <c r="S44">
        <v>0.5</v>
      </c>
      <c r="T44">
        <v>0.5</v>
      </c>
      <c r="U44">
        <v>0.5</v>
      </c>
      <c r="V44">
        <v>0.5</v>
      </c>
      <c r="W44">
        <v>0.5</v>
      </c>
      <c r="X44">
        <v>0.5</v>
      </c>
      <c r="Y44">
        <v>0.1</v>
      </c>
      <c r="Z44">
        <v>0.1</v>
      </c>
      <c r="AA44">
        <v>0.1</v>
      </c>
      <c r="AB44">
        <v>0.1</v>
      </c>
      <c r="AC44">
        <v>0.5</v>
      </c>
      <c r="AD44">
        <v>0.5</v>
      </c>
      <c r="AE44">
        <v>0.5</v>
      </c>
      <c r="AF44">
        <v>0.5</v>
      </c>
      <c r="AG44">
        <v>0.5</v>
      </c>
      <c r="AH44">
        <v>0.5</v>
      </c>
      <c r="AI44">
        <v>0.5</v>
      </c>
      <c r="AJ44">
        <v>0.5</v>
      </c>
      <c r="AK44">
        <v>0.5</v>
      </c>
      <c r="AL44">
        <v>0.5</v>
      </c>
      <c r="AM44">
        <v>0.5</v>
      </c>
      <c r="AN44">
        <v>0.8</v>
      </c>
      <c r="AO44">
        <v>0.8</v>
      </c>
      <c r="AP44">
        <v>0.8</v>
      </c>
      <c r="AQ44">
        <v>0.8</v>
      </c>
      <c r="AR44">
        <v>0.8</v>
      </c>
      <c r="AS44">
        <v>0.8</v>
      </c>
      <c r="AT44">
        <v>0.5</v>
      </c>
      <c r="AU44">
        <v>0.8</v>
      </c>
      <c r="AV44">
        <v>0.8</v>
      </c>
      <c r="AW44">
        <v>0.8</v>
      </c>
      <c r="AX44">
        <v>0.8</v>
      </c>
      <c r="AY44">
        <v>0.5</v>
      </c>
      <c r="AZ44">
        <v>0.8</v>
      </c>
      <c r="BA44">
        <v>0.8</v>
      </c>
      <c r="BB44">
        <v>0.8</v>
      </c>
      <c r="BC44">
        <v>0.8</v>
      </c>
      <c r="BD44">
        <v>0.8</v>
      </c>
      <c r="BE44">
        <v>0.8</v>
      </c>
      <c r="BF44">
        <v>0.8</v>
      </c>
      <c r="BG44">
        <v>0.8</v>
      </c>
      <c r="BH44">
        <v>0.8</v>
      </c>
      <c r="BI44">
        <v>0.8</v>
      </c>
      <c r="BJ44">
        <v>0.7</v>
      </c>
      <c r="BK44">
        <v>0.7</v>
      </c>
      <c r="BL44">
        <v>0.8</v>
      </c>
      <c r="BM44">
        <v>0.7</v>
      </c>
      <c r="BN44">
        <v>0.7</v>
      </c>
      <c r="BO44">
        <v>0.7</v>
      </c>
      <c r="BP44">
        <v>0.7</v>
      </c>
      <c r="BQ44">
        <v>0.7</v>
      </c>
      <c r="BR44">
        <v>0.7</v>
      </c>
      <c r="BS44">
        <v>0.7</v>
      </c>
      <c r="BT44">
        <v>0.7</v>
      </c>
      <c r="BU44">
        <v>0.6</v>
      </c>
      <c r="BV44">
        <v>0.8</v>
      </c>
      <c r="BW44">
        <v>0.7</v>
      </c>
      <c r="BX44">
        <v>0.7</v>
      </c>
      <c r="BY44">
        <v>0.7</v>
      </c>
      <c r="BZ44">
        <v>0.7</v>
      </c>
      <c r="CA44">
        <v>0.6</v>
      </c>
      <c r="CB44">
        <v>0</v>
      </c>
      <c r="CC44">
        <v>0</v>
      </c>
      <c r="CD44">
        <v>0</v>
      </c>
      <c r="CE44">
        <v>0</v>
      </c>
      <c r="CF44">
        <v>0</v>
      </c>
    </row>
    <row r="45" spans="1:84" x14ac:dyDescent="0.15">
      <c r="A45" t="s">
        <v>216</v>
      </c>
      <c r="B45">
        <v>0</v>
      </c>
      <c r="C45">
        <v>0</v>
      </c>
      <c r="D45">
        <v>0.8</v>
      </c>
      <c r="E45">
        <v>0.8</v>
      </c>
      <c r="F45">
        <v>0.8</v>
      </c>
      <c r="G45">
        <v>0.8</v>
      </c>
      <c r="H45">
        <v>0.8</v>
      </c>
      <c r="I45">
        <v>0.8</v>
      </c>
      <c r="J45">
        <v>0.8</v>
      </c>
      <c r="K45">
        <v>0.8</v>
      </c>
      <c r="L45">
        <v>0.8</v>
      </c>
      <c r="M45">
        <v>0.8</v>
      </c>
      <c r="N45">
        <v>0.5</v>
      </c>
      <c r="O45">
        <v>0.8</v>
      </c>
      <c r="P45">
        <v>0.8</v>
      </c>
      <c r="Q45">
        <v>0.8</v>
      </c>
      <c r="R45">
        <v>0.5</v>
      </c>
      <c r="S45">
        <v>0.5</v>
      </c>
      <c r="T45">
        <v>0.5</v>
      </c>
      <c r="U45">
        <v>0.5</v>
      </c>
      <c r="V45">
        <v>0.5</v>
      </c>
      <c r="W45">
        <v>0.5</v>
      </c>
      <c r="X45">
        <v>0.5</v>
      </c>
      <c r="Y45">
        <v>0.1</v>
      </c>
      <c r="Z45">
        <v>0.1</v>
      </c>
      <c r="AA45">
        <v>0.1</v>
      </c>
      <c r="AB45">
        <v>0.1</v>
      </c>
      <c r="AC45">
        <v>0.5</v>
      </c>
      <c r="AD45">
        <v>0.5</v>
      </c>
      <c r="AE45">
        <v>0.5</v>
      </c>
      <c r="AF45">
        <v>0.5</v>
      </c>
      <c r="AG45">
        <v>0.5</v>
      </c>
      <c r="AH45">
        <v>0.5</v>
      </c>
      <c r="AI45">
        <v>0.5</v>
      </c>
      <c r="AJ45">
        <v>0.5</v>
      </c>
      <c r="AK45">
        <v>0.5</v>
      </c>
      <c r="AL45">
        <v>0.5</v>
      </c>
      <c r="AM45">
        <v>0.5</v>
      </c>
      <c r="AN45">
        <v>0.8</v>
      </c>
      <c r="AO45">
        <v>0.8</v>
      </c>
      <c r="AP45">
        <v>0.8</v>
      </c>
      <c r="AQ45">
        <v>0.8</v>
      </c>
      <c r="AR45">
        <v>0.8</v>
      </c>
      <c r="AS45">
        <v>0.8</v>
      </c>
      <c r="AT45">
        <v>0.5</v>
      </c>
      <c r="AU45">
        <v>0.8</v>
      </c>
      <c r="AV45">
        <v>0.8</v>
      </c>
      <c r="AW45">
        <v>0.8</v>
      </c>
      <c r="AX45">
        <v>0.8</v>
      </c>
      <c r="AY45">
        <v>0.5</v>
      </c>
      <c r="AZ45">
        <v>0.8</v>
      </c>
      <c r="BA45">
        <v>0.8</v>
      </c>
      <c r="BB45">
        <v>0.8</v>
      </c>
      <c r="BC45">
        <v>0.8</v>
      </c>
      <c r="BD45">
        <v>0.8</v>
      </c>
      <c r="BE45">
        <v>0.8</v>
      </c>
      <c r="BF45">
        <v>0.8</v>
      </c>
      <c r="BG45">
        <v>0.8</v>
      </c>
      <c r="BH45">
        <v>0.8</v>
      </c>
      <c r="BI45">
        <v>0.8</v>
      </c>
      <c r="BJ45">
        <v>0.7</v>
      </c>
      <c r="BK45">
        <v>0.7</v>
      </c>
      <c r="BL45">
        <v>0.8</v>
      </c>
      <c r="BM45">
        <v>0.7</v>
      </c>
      <c r="BN45">
        <v>0.7</v>
      </c>
      <c r="BO45">
        <v>0.7</v>
      </c>
      <c r="BP45">
        <v>0.7</v>
      </c>
      <c r="BQ45">
        <v>0.7</v>
      </c>
      <c r="BR45">
        <v>0.7</v>
      </c>
      <c r="BS45">
        <v>0.7</v>
      </c>
      <c r="BT45">
        <v>0.7</v>
      </c>
      <c r="BU45">
        <v>0.6</v>
      </c>
      <c r="BV45">
        <v>0.8</v>
      </c>
      <c r="BW45">
        <v>0.7</v>
      </c>
      <c r="BX45">
        <v>0.7</v>
      </c>
      <c r="BY45">
        <v>0.7</v>
      </c>
      <c r="BZ45">
        <v>0.7</v>
      </c>
      <c r="CA45">
        <v>0.6</v>
      </c>
      <c r="CB45">
        <v>0</v>
      </c>
      <c r="CC45">
        <v>0</v>
      </c>
      <c r="CD45">
        <v>0</v>
      </c>
      <c r="CE45">
        <v>0</v>
      </c>
      <c r="CF45">
        <v>0</v>
      </c>
    </row>
    <row r="46" spans="1:84" x14ac:dyDescent="0.15">
      <c r="A46" t="s">
        <v>217</v>
      </c>
      <c r="B46">
        <v>0</v>
      </c>
      <c r="C46">
        <v>0</v>
      </c>
      <c r="D46">
        <v>0.8</v>
      </c>
      <c r="E46">
        <v>0.8</v>
      </c>
      <c r="F46">
        <v>0.8</v>
      </c>
      <c r="G46">
        <v>0.8</v>
      </c>
      <c r="H46">
        <v>0.8</v>
      </c>
      <c r="I46">
        <v>0.8</v>
      </c>
      <c r="J46">
        <v>0.8</v>
      </c>
      <c r="K46">
        <v>0.8</v>
      </c>
      <c r="L46">
        <v>0.8</v>
      </c>
      <c r="M46">
        <v>0.8</v>
      </c>
      <c r="N46">
        <v>0.5</v>
      </c>
      <c r="O46">
        <v>0.8</v>
      </c>
      <c r="P46">
        <v>0.8</v>
      </c>
      <c r="Q46">
        <v>0.8</v>
      </c>
      <c r="R46">
        <v>0.5</v>
      </c>
      <c r="S46">
        <v>0.5</v>
      </c>
      <c r="T46">
        <v>0.5</v>
      </c>
      <c r="U46">
        <v>0.5</v>
      </c>
      <c r="V46">
        <v>0.5</v>
      </c>
      <c r="W46">
        <v>0.5</v>
      </c>
      <c r="X46">
        <v>0.5</v>
      </c>
      <c r="Y46">
        <v>0.1</v>
      </c>
      <c r="Z46">
        <v>0.1</v>
      </c>
      <c r="AA46">
        <v>0.1</v>
      </c>
      <c r="AB46">
        <v>0.1</v>
      </c>
      <c r="AC46">
        <v>0.5</v>
      </c>
      <c r="AD46">
        <v>0.5</v>
      </c>
      <c r="AE46">
        <v>0.5</v>
      </c>
      <c r="AF46">
        <v>0.5</v>
      </c>
      <c r="AG46">
        <v>0.5</v>
      </c>
      <c r="AH46">
        <v>0.5</v>
      </c>
      <c r="AI46">
        <v>0.5</v>
      </c>
      <c r="AJ46">
        <v>0.5</v>
      </c>
      <c r="AK46">
        <v>0.5</v>
      </c>
      <c r="AL46">
        <v>0.5</v>
      </c>
      <c r="AM46">
        <v>0.5</v>
      </c>
      <c r="AN46">
        <v>0.8</v>
      </c>
      <c r="AO46">
        <v>0.8</v>
      </c>
      <c r="AP46">
        <v>0.8</v>
      </c>
      <c r="AQ46">
        <v>0.8</v>
      </c>
      <c r="AR46">
        <v>0.8</v>
      </c>
      <c r="AS46">
        <v>0.8</v>
      </c>
      <c r="AT46">
        <v>0.5</v>
      </c>
      <c r="AU46">
        <v>0.8</v>
      </c>
      <c r="AV46">
        <v>0.8</v>
      </c>
      <c r="AW46">
        <v>0.8</v>
      </c>
      <c r="AX46">
        <v>0.8</v>
      </c>
      <c r="AY46">
        <v>0.5</v>
      </c>
      <c r="AZ46">
        <v>0.8</v>
      </c>
      <c r="BA46">
        <v>0.8</v>
      </c>
      <c r="BB46">
        <v>0.8</v>
      </c>
      <c r="BC46">
        <v>0.8</v>
      </c>
      <c r="BD46">
        <v>0.8</v>
      </c>
      <c r="BE46">
        <v>0.8</v>
      </c>
      <c r="BF46">
        <v>0.8</v>
      </c>
      <c r="BG46">
        <v>0.8</v>
      </c>
      <c r="BH46">
        <v>0.8</v>
      </c>
      <c r="BI46">
        <v>0.8</v>
      </c>
      <c r="BJ46">
        <v>0.7</v>
      </c>
      <c r="BK46">
        <v>0.7</v>
      </c>
      <c r="BL46">
        <v>0.8</v>
      </c>
      <c r="BM46">
        <v>0.7</v>
      </c>
      <c r="BN46">
        <v>0.7</v>
      </c>
      <c r="BO46">
        <v>0.7</v>
      </c>
      <c r="BP46">
        <v>0.7</v>
      </c>
      <c r="BQ46">
        <v>0.7</v>
      </c>
      <c r="BR46">
        <v>0.7</v>
      </c>
      <c r="BS46">
        <v>0.7</v>
      </c>
      <c r="BT46">
        <v>0.7</v>
      </c>
      <c r="BU46">
        <v>0.6</v>
      </c>
      <c r="BV46">
        <v>0.8</v>
      </c>
      <c r="BW46">
        <v>0.7</v>
      </c>
      <c r="BX46">
        <v>0.7</v>
      </c>
      <c r="BY46">
        <v>0.7</v>
      </c>
      <c r="BZ46">
        <v>0.7</v>
      </c>
      <c r="CA46">
        <v>0.6</v>
      </c>
      <c r="CB46">
        <v>0</v>
      </c>
      <c r="CC46">
        <v>0</v>
      </c>
      <c r="CD46">
        <v>0</v>
      </c>
      <c r="CE46">
        <v>0</v>
      </c>
      <c r="CF46">
        <v>0</v>
      </c>
    </row>
    <row r="47" spans="1:84" x14ac:dyDescent="0.15">
      <c r="A47" t="s">
        <v>218</v>
      </c>
      <c r="B47">
        <v>0</v>
      </c>
      <c r="C47">
        <v>0</v>
      </c>
      <c r="D47">
        <v>0.8</v>
      </c>
      <c r="E47">
        <v>0.8</v>
      </c>
      <c r="F47">
        <v>0.8</v>
      </c>
      <c r="G47">
        <v>0.8</v>
      </c>
      <c r="H47">
        <v>0.8</v>
      </c>
      <c r="I47">
        <v>0.8</v>
      </c>
      <c r="J47">
        <v>0.8</v>
      </c>
      <c r="K47">
        <v>0.8</v>
      </c>
      <c r="L47">
        <v>0.8</v>
      </c>
      <c r="M47">
        <v>0.8</v>
      </c>
      <c r="N47">
        <v>0.5</v>
      </c>
      <c r="O47">
        <v>0.8</v>
      </c>
      <c r="P47">
        <v>0.8</v>
      </c>
      <c r="Q47">
        <v>0.8</v>
      </c>
      <c r="R47">
        <v>0.5</v>
      </c>
      <c r="S47">
        <v>0.5</v>
      </c>
      <c r="T47">
        <v>0.5</v>
      </c>
      <c r="U47">
        <v>0.5</v>
      </c>
      <c r="V47">
        <v>0.5</v>
      </c>
      <c r="W47">
        <v>0.5</v>
      </c>
      <c r="X47">
        <v>0.5</v>
      </c>
      <c r="Y47">
        <v>0.1</v>
      </c>
      <c r="Z47">
        <v>0.1</v>
      </c>
      <c r="AA47">
        <v>0.1</v>
      </c>
      <c r="AB47">
        <v>0.1</v>
      </c>
      <c r="AC47">
        <v>0.5</v>
      </c>
      <c r="AD47">
        <v>0.5</v>
      </c>
      <c r="AE47">
        <v>0.5</v>
      </c>
      <c r="AF47">
        <v>0.5</v>
      </c>
      <c r="AG47">
        <v>0.5</v>
      </c>
      <c r="AH47">
        <v>0.5</v>
      </c>
      <c r="AI47">
        <v>0.5</v>
      </c>
      <c r="AJ47">
        <v>0.5</v>
      </c>
      <c r="AK47">
        <v>0.5</v>
      </c>
      <c r="AL47">
        <v>0.5</v>
      </c>
      <c r="AM47">
        <v>0.5</v>
      </c>
      <c r="AN47">
        <v>0.8</v>
      </c>
      <c r="AO47">
        <v>0.8</v>
      </c>
      <c r="AP47">
        <v>0.8</v>
      </c>
      <c r="AQ47">
        <v>0.8</v>
      </c>
      <c r="AR47">
        <v>0.8</v>
      </c>
      <c r="AS47">
        <v>0.8</v>
      </c>
      <c r="AT47">
        <v>0.5</v>
      </c>
      <c r="AU47">
        <v>0.8</v>
      </c>
      <c r="AV47">
        <v>0.8</v>
      </c>
      <c r="AW47">
        <v>0.8</v>
      </c>
      <c r="AX47">
        <v>0.8</v>
      </c>
      <c r="AY47">
        <v>0.5</v>
      </c>
      <c r="AZ47">
        <v>0.8</v>
      </c>
      <c r="BA47">
        <v>0.8</v>
      </c>
      <c r="BB47">
        <v>0.8</v>
      </c>
      <c r="BC47">
        <v>0.8</v>
      </c>
      <c r="BD47">
        <v>0.8</v>
      </c>
      <c r="BE47">
        <v>0.8</v>
      </c>
      <c r="BF47">
        <v>0.8</v>
      </c>
      <c r="BG47">
        <v>0.8</v>
      </c>
      <c r="BH47">
        <v>0.8</v>
      </c>
      <c r="BI47">
        <v>0.8</v>
      </c>
      <c r="BJ47">
        <v>0.7</v>
      </c>
      <c r="BK47">
        <v>0.7</v>
      </c>
      <c r="BL47">
        <v>0.8</v>
      </c>
      <c r="BM47">
        <v>0.7</v>
      </c>
      <c r="BN47">
        <v>0.7</v>
      </c>
      <c r="BO47">
        <v>0.7</v>
      </c>
      <c r="BP47">
        <v>0.7</v>
      </c>
      <c r="BQ47">
        <v>0.7</v>
      </c>
      <c r="BR47">
        <v>0.7</v>
      </c>
      <c r="BS47">
        <v>0.7</v>
      </c>
      <c r="BT47">
        <v>0.7</v>
      </c>
      <c r="BU47">
        <v>0.6</v>
      </c>
      <c r="BV47">
        <v>0.8</v>
      </c>
      <c r="BW47">
        <v>0.7</v>
      </c>
      <c r="BX47">
        <v>0.7</v>
      </c>
      <c r="BY47">
        <v>0.7</v>
      </c>
      <c r="BZ47">
        <v>0.7</v>
      </c>
      <c r="CA47">
        <v>0.6</v>
      </c>
      <c r="CB47">
        <v>0</v>
      </c>
      <c r="CC47">
        <v>0</v>
      </c>
      <c r="CD47">
        <v>0</v>
      </c>
      <c r="CE47">
        <v>0</v>
      </c>
      <c r="CF47">
        <v>0</v>
      </c>
    </row>
    <row r="48" spans="1:84" x14ac:dyDescent="0.15">
      <c r="A48" t="s">
        <v>219</v>
      </c>
      <c r="B48">
        <v>0</v>
      </c>
      <c r="C48">
        <v>0</v>
      </c>
      <c r="D48">
        <v>0.8</v>
      </c>
      <c r="E48">
        <v>0.8</v>
      </c>
      <c r="F48">
        <v>0.8</v>
      </c>
      <c r="G48">
        <v>0.8</v>
      </c>
      <c r="H48">
        <v>0.8</v>
      </c>
      <c r="I48">
        <v>0.8</v>
      </c>
      <c r="J48">
        <v>0.8</v>
      </c>
      <c r="K48">
        <v>0.8</v>
      </c>
      <c r="L48">
        <v>0.8</v>
      </c>
      <c r="M48">
        <v>0.8</v>
      </c>
      <c r="N48">
        <v>0.5</v>
      </c>
      <c r="O48">
        <v>0.8</v>
      </c>
      <c r="P48">
        <v>0.8</v>
      </c>
      <c r="Q48">
        <v>0.8</v>
      </c>
      <c r="R48">
        <v>0.5</v>
      </c>
      <c r="S48">
        <v>0.5</v>
      </c>
      <c r="T48">
        <v>0.5</v>
      </c>
      <c r="U48">
        <v>0.5</v>
      </c>
      <c r="V48">
        <v>0.5</v>
      </c>
      <c r="W48">
        <v>0.5</v>
      </c>
      <c r="X48">
        <v>0.5</v>
      </c>
      <c r="Y48">
        <v>0.1</v>
      </c>
      <c r="Z48">
        <v>0.1</v>
      </c>
      <c r="AA48">
        <v>0.1</v>
      </c>
      <c r="AB48">
        <v>0.1</v>
      </c>
      <c r="AC48">
        <v>0.5</v>
      </c>
      <c r="AD48">
        <v>0.5</v>
      </c>
      <c r="AE48">
        <v>0.5</v>
      </c>
      <c r="AF48">
        <v>0.5</v>
      </c>
      <c r="AG48">
        <v>0.5</v>
      </c>
      <c r="AH48">
        <v>0.5</v>
      </c>
      <c r="AI48">
        <v>0.5</v>
      </c>
      <c r="AJ48">
        <v>0.5</v>
      </c>
      <c r="AK48">
        <v>0.5</v>
      </c>
      <c r="AL48">
        <v>0.5</v>
      </c>
      <c r="AM48">
        <v>0.5</v>
      </c>
      <c r="AN48">
        <v>0.8</v>
      </c>
      <c r="AO48">
        <v>0.8</v>
      </c>
      <c r="AP48">
        <v>0.8</v>
      </c>
      <c r="AQ48">
        <v>0.8</v>
      </c>
      <c r="AR48">
        <v>0.8</v>
      </c>
      <c r="AS48">
        <v>0.8</v>
      </c>
      <c r="AT48">
        <v>0.5</v>
      </c>
      <c r="AU48">
        <v>0.8</v>
      </c>
      <c r="AV48">
        <v>0.8</v>
      </c>
      <c r="AW48">
        <v>0.8</v>
      </c>
      <c r="AX48">
        <v>0.8</v>
      </c>
      <c r="AY48">
        <v>0.5</v>
      </c>
      <c r="AZ48">
        <v>0.8</v>
      </c>
      <c r="BA48">
        <v>0.8</v>
      </c>
      <c r="BB48">
        <v>0.8</v>
      </c>
      <c r="BC48">
        <v>0.8</v>
      </c>
      <c r="BD48">
        <v>0.8</v>
      </c>
      <c r="BE48">
        <v>0.8</v>
      </c>
      <c r="BF48">
        <v>0.8</v>
      </c>
      <c r="BG48">
        <v>0.8</v>
      </c>
      <c r="BH48">
        <v>0.8</v>
      </c>
      <c r="BI48">
        <v>0.8</v>
      </c>
      <c r="BJ48">
        <v>0.7</v>
      </c>
      <c r="BK48">
        <v>0.7</v>
      </c>
      <c r="BL48">
        <v>0.8</v>
      </c>
      <c r="BM48">
        <v>0.7</v>
      </c>
      <c r="BN48">
        <v>0.7</v>
      </c>
      <c r="BO48">
        <v>0.7</v>
      </c>
      <c r="BP48">
        <v>0.7</v>
      </c>
      <c r="BQ48">
        <v>0.7</v>
      </c>
      <c r="BR48">
        <v>0.7</v>
      </c>
      <c r="BS48">
        <v>0.7</v>
      </c>
      <c r="BT48">
        <v>0.7</v>
      </c>
      <c r="BU48">
        <v>0.6</v>
      </c>
      <c r="BV48">
        <v>0.8</v>
      </c>
      <c r="BW48">
        <v>0.7</v>
      </c>
      <c r="BX48">
        <v>0.7</v>
      </c>
      <c r="BY48">
        <v>0.7</v>
      </c>
      <c r="BZ48">
        <v>0.7</v>
      </c>
      <c r="CA48">
        <v>0.6</v>
      </c>
      <c r="CB48">
        <v>0</v>
      </c>
      <c r="CC48">
        <v>0</v>
      </c>
      <c r="CD48">
        <v>0</v>
      </c>
      <c r="CE48">
        <v>0</v>
      </c>
      <c r="CF48">
        <v>0</v>
      </c>
    </row>
    <row r="49" spans="1:84" x14ac:dyDescent="0.15">
      <c r="A49" t="s">
        <v>220</v>
      </c>
      <c r="B49">
        <v>0</v>
      </c>
      <c r="C49">
        <v>0</v>
      </c>
      <c r="D49">
        <v>0.8</v>
      </c>
      <c r="E49">
        <v>0.8</v>
      </c>
      <c r="F49">
        <v>0.8</v>
      </c>
      <c r="G49">
        <v>0.8</v>
      </c>
      <c r="H49">
        <v>0.8</v>
      </c>
      <c r="I49">
        <v>0.8</v>
      </c>
      <c r="J49">
        <v>0.8</v>
      </c>
      <c r="K49">
        <v>0.8</v>
      </c>
      <c r="L49">
        <v>0.8</v>
      </c>
      <c r="M49">
        <v>0.8</v>
      </c>
      <c r="N49">
        <v>0.5</v>
      </c>
      <c r="O49">
        <v>0.8</v>
      </c>
      <c r="P49">
        <v>0.8</v>
      </c>
      <c r="Q49">
        <v>0.8</v>
      </c>
      <c r="R49">
        <v>0.5</v>
      </c>
      <c r="S49">
        <v>0.5</v>
      </c>
      <c r="T49">
        <v>0.5</v>
      </c>
      <c r="U49">
        <v>0.5</v>
      </c>
      <c r="V49">
        <v>0.5</v>
      </c>
      <c r="W49">
        <v>0.5</v>
      </c>
      <c r="X49">
        <v>0.5</v>
      </c>
      <c r="Y49">
        <v>0.1</v>
      </c>
      <c r="Z49">
        <v>0.1</v>
      </c>
      <c r="AA49">
        <v>0.1</v>
      </c>
      <c r="AB49">
        <v>0.1</v>
      </c>
      <c r="AC49">
        <v>0.5</v>
      </c>
      <c r="AD49">
        <v>0.5</v>
      </c>
      <c r="AE49">
        <v>0.5</v>
      </c>
      <c r="AF49">
        <v>0.5</v>
      </c>
      <c r="AG49">
        <v>0.5</v>
      </c>
      <c r="AH49">
        <v>0.5</v>
      </c>
      <c r="AI49">
        <v>0.5</v>
      </c>
      <c r="AJ49">
        <v>0.5</v>
      </c>
      <c r="AK49">
        <v>0.5</v>
      </c>
      <c r="AL49">
        <v>0.5</v>
      </c>
      <c r="AM49">
        <v>0.5</v>
      </c>
      <c r="AN49">
        <v>0.8</v>
      </c>
      <c r="AO49">
        <v>0.8</v>
      </c>
      <c r="AP49">
        <v>0.8</v>
      </c>
      <c r="AQ49">
        <v>0.8</v>
      </c>
      <c r="AR49">
        <v>0.8</v>
      </c>
      <c r="AS49">
        <v>0.8</v>
      </c>
      <c r="AT49">
        <v>0.5</v>
      </c>
      <c r="AU49">
        <v>0.8</v>
      </c>
      <c r="AV49">
        <v>0.8</v>
      </c>
      <c r="AW49">
        <v>0.8</v>
      </c>
      <c r="AX49">
        <v>0.8</v>
      </c>
      <c r="AY49">
        <v>0.5</v>
      </c>
      <c r="AZ49">
        <v>0.8</v>
      </c>
      <c r="BA49">
        <v>0.8</v>
      </c>
      <c r="BB49">
        <v>0.8</v>
      </c>
      <c r="BC49">
        <v>0.8</v>
      </c>
      <c r="BD49">
        <v>0.8</v>
      </c>
      <c r="BE49">
        <v>0.8</v>
      </c>
      <c r="BF49">
        <v>0.8</v>
      </c>
      <c r="BG49">
        <v>0.8</v>
      </c>
      <c r="BH49">
        <v>0.8</v>
      </c>
      <c r="BI49">
        <v>0.8</v>
      </c>
      <c r="BJ49">
        <v>0.7</v>
      </c>
      <c r="BK49">
        <v>0.7</v>
      </c>
      <c r="BL49">
        <v>0.8</v>
      </c>
      <c r="BM49">
        <v>0.7</v>
      </c>
      <c r="BN49">
        <v>0.7</v>
      </c>
      <c r="BO49">
        <v>0.7</v>
      </c>
      <c r="BP49">
        <v>0.7</v>
      </c>
      <c r="BQ49">
        <v>0.7</v>
      </c>
      <c r="BR49">
        <v>0.7</v>
      </c>
      <c r="BS49">
        <v>0.7</v>
      </c>
      <c r="BT49">
        <v>0.7</v>
      </c>
      <c r="BU49">
        <v>0.6</v>
      </c>
      <c r="BV49">
        <v>0.8</v>
      </c>
      <c r="BW49">
        <v>0.7</v>
      </c>
      <c r="BX49">
        <v>0.7</v>
      </c>
      <c r="BY49">
        <v>0.7</v>
      </c>
      <c r="BZ49">
        <v>0.7</v>
      </c>
      <c r="CA49">
        <v>0.6</v>
      </c>
      <c r="CB49">
        <v>0</v>
      </c>
      <c r="CC49">
        <v>0</v>
      </c>
      <c r="CD49">
        <v>0</v>
      </c>
      <c r="CE49">
        <v>0</v>
      </c>
      <c r="CF49">
        <v>0</v>
      </c>
    </row>
    <row r="50" spans="1:84" x14ac:dyDescent="0.15">
      <c r="A50" t="s">
        <v>221</v>
      </c>
      <c r="B50">
        <v>0</v>
      </c>
      <c r="C50">
        <v>0</v>
      </c>
      <c r="D50">
        <v>0.8</v>
      </c>
      <c r="E50">
        <v>0.8</v>
      </c>
      <c r="F50">
        <v>0.8</v>
      </c>
      <c r="G50">
        <v>0.8</v>
      </c>
      <c r="H50">
        <v>0.8</v>
      </c>
      <c r="I50">
        <v>0.8</v>
      </c>
      <c r="J50">
        <v>0.8</v>
      </c>
      <c r="K50">
        <v>0.8</v>
      </c>
      <c r="L50">
        <v>0.8</v>
      </c>
      <c r="M50">
        <v>0.8</v>
      </c>
      <c r="N50">
        <v>0.5</v>
      </c>
      <c r="O50">
        <v>0.8</v>
      </c>
      <c r="P50">
        <v>0.8</v>
      </c>
      <c r="Q50">
        <v>0.8</v>
      </c>
      <c r="R50">
        <v>0.5</v>
      </c>
      <c r="S50">
        <v>0.5</v>
      </c>
      <c r="T50">
        <v>0.5</v>
      </c>
      <c r="U50">
        <v>0.5</v>
      </c>
      <c r="V50">
        <v>0.5</v>
      </c>
      <c r="W50">
        <v>0.5</v>
      </c>
      <c r="X50">
        <v>0.5</v>
      </c>
      <c r="Y50">
        <v>0.1</v>
      </c>
      <c r="Z50">
        <v>0.1</v>
      </c>
      <c r="AA50">
        <v>0.1</v>
      </c>
      <c r="AB50">
        <v>0.1</v>
      </c>
      <c r="AC50">
        <v>0.5</v>
      </c>
      <c r="AD50">
        <v>0.5</v>
      </c>
      <c r="AE50">
        <v>0.5</v>
      </c>
      <c r="AF50">
        <v>0.5</v>
      </c>
      <c r="AG50">
        <v>0.5</v>
      </c>
      <c r="AH50">
        <v>0.5</v>
      </c>
      <c r="AI50">
        <v>0.5</v>
      </c>
      <c r="AJ50">
        <v>0.5</v>
      </c>
      <c r="AK50">
        <v>0.5</v>
      </c>
      <c r="AL50">
        <v>0.5</v>
      </c>
      <c r="AM50">
        <v>0.5</v>
      </c>
      <c r="AN50">
        <v>0.8</v>
      </c>
      <c r="AO50">
        <v>0.8</v>
      </c>
      <c r="AP50">
        <v>0.8</v>
      </c>
      <c r="AQ50">
        <v>0.8</v>
      </c>
      <c r="AR50">
        <v>0.8</v>
      </c>
      <c r="AS50">
        <v>0.8</v>
      </c>
      <c r="AT50">
        <v>0.5</v>
      </c>
      <c r="AU50">
        <v>0.8</v>
      </c>
      <c r="AV50">
        <v>0.8</v>
      </c>
      <c r="AW50">
        <v>0.8</v>
      </c>
      <c r="AX50">
        <v>0.8</v>
      </c>
      <c r="AY50">
        <v>0.5</v>
      </c>
      <c r="AZ50">
        <v>0.8</v>
      </c>
      <c r="BA50">
        <v>0.8</v>
      </c>
      <c r="BB50">
        <v>0.8</v>
      </c>
      <c r="BC50">
        <v>0.8</v>
      </c>
      <c r="BD50">
        <v>0.8</v>
      </c>
      <c r="BE50">
        <v>0.8</v>
      </c>
      <c r="BF50">
        <v>0.8</v>
      </c>
      <c r="BG50">
        <v>0.8</v>
      </c>
      <c r="BH50">
        <v>0.8</v>
      </c>
      <c r="BI50">
        <v>0.8</v>
      </c>
      <c r="BJ50">
        <v>0.7</v>
      </c>
      <c r="BK50">
        <v>0.7</v>
      </c>
      <c r="BL50">
        <v>0.8</v>
      </c>
      <c r="BM50">
        <v>0.7</v>
      </c>
      <c r="BN50">
        <v>0.7</v>
      </c>
      <c r="BO50">
        <v>0.7</v>
      </c>
      <c r="BP50">
        <v>0.7</v>
      </c>
      <c r="BQ50">
        <v>0.7</v>
      </c>
      <c r="BR50">
        <v>0.7</v>
      </c>
      <c r="BS50">
        <v>0.7</v>
      </c>
      <c r="BT50">
        <v>0.7</v>
      </c>
      <c r="BU50">
        <v>0.6</v>
      </c>
      <c r="BV50">
        <v>0.8</v>
      </c>
      <c r="BW50">
        <v>0.7</v>
      </c>
      <c r="BX50">
        <v>0.7</v>
      </c>
      <c r="BY50">
        <v>0.7</v>
      </c>
      <c r="BZ50">
        <v>0.7</v>
      </c>
      <c r="CA50">
        <v>0.6</v>
      </c>
      <c r="CB50">
        <v>0</v>
      </c>
      <c r="CC50">
        <v>0</v>
      </c>
      <c r="CD50">
        <v>0</v>
      </c>
      <c r="CE50">
        <v>0</v>
      </c>
      <c r="CF50">
        <v>0</v>
      </c>
    </row>
    <row r="51" spans="1:84" x14ac:dyDescent="0.15">
      <c r="A51" t="s">
        <v>222</v>
      </c>
      <c r="B51">
        <v>0</v>
      </c>
      <c r="C51">
        <v>0</v>
      </c>
      <c r="D51">
        <v>0.8</v>
      </c>
      <c r="E51">
        <v>0.8</v>
      </c>
      <c r="F51">
        <v>0.8</v>
      </c>
      <c r="G51">
        <v>0.8</v>
      </c>
      <c r="H51">
        <v>0.8</v>
      </c>
      <c r="I51">
        <v>0.8</v>
      </c>
      <c r="J51">
        <v>0.8</v>
      </c>
      <c r="K51">
        <v>0.8</v>
      </c>
      <c r="L51">
        <v>0.8</v>
      </c>
      <c r="M51">
        <v>0.8</v>
      </c>
      <c r="N51">
        <v>0.5</v>
      </c>
      <c r="O51">
        <v>0.8</v>
      </c>
      <c r="P51">
        <v>0.8</v>
      </c>
      <c r="Q51">
        <v>0.8</v>
      </c>
      <c r="R51">
        <v>0.5</v>
      </c>
      <c r="S51">
        <v>0.5</v>
      </c>
      <c r="T51">
        <v>0.5</v>
      </c>
      <c r="U51">
        <v>0.5</v>
      </c>
      <c r="V51">
        <v>0.5</v>
      </c>
      <c r="W51">
        <v>0.5</v>
      </c>
      <c r="X51">
        <v>0.5</v>
      </c>
      <c r="Y51">
        <v>0.1</v>
      </c>
      <c r="Z51">
        <v>0.1</v>
      </c>
      <c r="AA51">
        <v>0.1</v>
      </c>
      <c r="AB51">
        <v>0.1</v>
      </c>
      <c r="AC51">
        <v>0.5</v>
      </c>
      <c r="AD51">
        <v>0.5</v>
      </c>
      <c r="AE51">
        <v>0.5</v>
      </c>
      <c r="AF51">
        <v>0.5</v>
      </c>
      <c r="AG51">
        <v>0.5</v>
      </c>
      <c r="AH51">
        <v>0.5</v>
      </c>
      <c r="AI51">
        <v>0.5</v>
      </c>
      <c r="AJ51">
        <v>0.5</v>
      </c>
      <c r="AK51">
        <v>0.5</v>
      </c>
      <c r="AL51">
        <v>0.5</v>
      </c>
      <c r="AM51">
        <v>0.5</v>
      </c>
      <c r="AN51">
        <v>0.8</v>
      </c>
      <c r="AO51">
        <v>0.8</v>
      </c>
      <c r="AP51">
        <v>0.8</v>
      </c>
      <c r="AQ51">
        <v>0.8</v>
      </c>
      <c r="AR51">
        <v>0.8</v>
      </c>
      <c r="AS51">
        <v>0.8</v>
      </c>
      <c r="AT51">
        <v>0.5</v>
      </c>
      <c r="AU51">
        <v>0.8</v>
      </c>
      <c r="AV51">
        <v>0.8</v>
      </c>
      <c r="AW51">
        <v>0.8</v>
      </c>
      <c r="AX51">
        <v>0.8</v>
      </c>
      <c r="AY51">
        <v>0.5</v>
      </c>
      <c r="AZ51">
        <v>0.8</v>
      </c>
      <c r="BA51">
        <v>0.8</v>
      </c>
      <c r="BB51">
        <v>0.8</v>
      </c>
      <c r="BC51">
        <v>0.8</v>
      </c>
      <c r="BD51">
        <v>0.8</v>
      </c>
      <c r="BE51">
        <v>0.8</v>
      </c>
      <c r="BF51">
        <v>0.8</v>
      </c>
      <c r="BG51">
        <v>0.8</v>
      </c>
      <c r="BH51">
        <v>0.8</v>
      </c>
      <c r="BI51">
        <v>0.8</v>
      </c>
      <c r="BJ51">
        <v>0.7</v>
      </c>
      <c r="BK51">
        <v>0.7</v>
      </c>
      <c r="BL51">
        <v>0.8</v>
      </c>
      <c r="BM51">
        <v>0.7</v>
      </c>
      <c r="BN51">
        <v>0.7</v>
      </c>
      <c r="BO51">
        <v>0.7</v>
      </c>
      <c r="BP51">
        <v>0.7</v>
      </c>
      <c r="BQ51">
        <v>0.7</v>
      </c>
      <c r="BR51">
        <v>0.7</v>
      </c>
      <c r="BS51">
        <v>0.7</v>
      </c>
      <c r="BT51">
        <v>0.7</v>
      </c>
      <c r="BU51">
        <v>0.6</v>
      </c>
      <c r="BV51">
        <v>0.8</v>
      </c>
      <c r="BW51">
        <v>0.7</v>
      </c>
      <c r="BX51">
        <v>0.7</v>
      </c>
      <c r="BY51">
        <v>0.7</v>
      </c>
      <c r="BZ51">
        <v>0.7</v>
      </c>
      <c r="CA51">
        <v>0.6</v>
      </c>
      <c r="CB51">
        <v>0</v>
      </c>
      <c r="CC51">
        <v>0</v>
      </c>
      <c r="CD51">
        <v>0</v>
      </c>
      <c r="CE51">
        <v>0</v>
      </c>
      <c r="CF51">
        <v>0</v>
      </c>
    </row>
    <row r="52" spans="1:84" x14ac:dyDescent="0.15">
      <c r="A52" t="s">
        <v>223</v>
      </c>
      <c r="B52">
        <v>0</v>
      </c>
      <c r="C52">
        <v>0</v>
      </c>
      <c r="D52">
        <v>0.8</v>
      </c>
      <c r="E52">
        <v>0.8</v>
      </c>
      <c r="F52">
        <v>0.8</v>
      </c>
      <c r="G52">
        <v>0.8</v>
      </c>
      <c r="H52">
        <v>0.8</v>
      </c>
      <c r="I52">
        <v>0.8</v>
      </c>
      <c r="J52">
        <v>0.8</v>
      </c>
      <c r="K52">
        <v>0.8</v>
      </c>
      <c r="L52">
        <v>0.8</v>
      </c>
      <c r="M52">
        <v>0.8</v>
      </c>
      <c r="N52">
        <v>0.5</v>
      </c>
      <c r="O52">
        <v>0.8</v>
      </c>
      <c r="P52">
        <v>0.8</v>
      </c>
      <c r="Q52">
        <v>0.8</v>
      </c>
      <c r="R52">
        <v>0.5</v>
      </c>
      <c r="S52">
        <v>0.5</v>
      </c>
      <c r="T52">
        <v>0.5</v>
      </c>
      <c r="U52">
        <v>0.5</v>
      </c>
      <c r="V52">
        <v>0.5</v>
      </c>
      <c r="W52">
        <v>0.5</v>
      </c>
      <c r="X52">
        <v>0.5</v>
      </c>
      <c r="Y52">
        <v>0.1</v>
      </c>
      <c r="Z52">
        <v>0.1</v>
      </c>
      <c r="AA52">
        <v>0.1</v>
      </c>
      <c r="AB52">
        <v>0.1</v>
      </c>
      <c r="AC52">
        <v>0.5</v>
      </c>
      <c r="AD52">
        <v>0.5</v>
      </c>
      <c r="AE52">
        <v>0.5</v>
      </c>
      <c r="AF52">
        <v>0.5</v>
      </c>
      <c r="AG52">
        <v>0.5</v>
      </c>
      <c r="AH52">
        <v>0.5</v>
      </c>
      <c r="AI52">
        <v>0.5</v>
      </c>
      <c r="AJ52">
        <v>0.5</v>
      </c>
      <c r="AK52">
        <v>0.5</v>
      </c>
      <c r="AL52">
        <v>0.5</v>
      </c>
      <c r="AM52">
        <v>0.5</v>
      </c>
      <c r="AN52">
        <v>0.8</v>
      </c>
      <c r="AO52">
        <v>0.8</v>
      </c>
      <c r="AP52">
        <v>0.8</v>
      </c>
      <c r="AQ52">
        <v>0.8</v>
      </c>
      <c r="AR52">
        <v>0.8</v>
      </c>
      <c r="AS52">
        <v>0.8</v>
      </c>
      <c r="AT52">
        <v>0.5</v>
      </c>
      <c r="AU52">
        <v>0.8</v>
      </c>
      <c r="AV52">
        <v>0.8</v>
      </c>
      <c r="AW52">
        <v>0.8</v>
      </c>
      <c r="AX52">
        <v>0.8</v>
      </c>
      <c r="AY52">
        <v>0.5</v>
      </c>
      <c r="AZ52">
        <v>0.8</v>
      </c>
      <c r="BA52">
        <v>0.8</v>
      </c>
      <c r="BB52">
        <v>0.8</v>
      </c>
      <c r="BC52">
        <v>0.8</v>
      </c>
      <c r="BD52">
        <v>0.8</v>
      </c>
      <c r="BE52">
        <v>0.8</v>
      </c>
      <c r="BF52">
        <v>0.8</v>
      </c>
      <c r="BG52">
        <v>0.8</v>
      </c>
      <c r="BH52">
        <v>0.8</v>
      </c>
      <c r="BI52">
        <v>0.8</v>
      </c>
      <c r="BJ52">
        <v>0.7</v>
      </c>
      <c r="BK52">
        <v>0.7</v>
      </c>
      <c r="BL52">
        <v>0.8</v>
      </c>
      <c r="BM52">
        <v>0.7</v>
      </c>
      <c r="BN52">
        <v>0.7</v>
      </c>
      <c r="BO52">
        <v>0.7</v>
      </c>
      <c r="BP52">
        <v>0.7</v>
      </c>
      <c r="BQ52">
        <v>0.7</v>
      </c>
      <c r="BR52">
        <v>0.7</v>
      </c>
      <c r="BS52">
        <v>0.7</v>
      </c>
      <c r="BT52">
        <v>0.7</v>
      </c>
      <c r="BU52">
        <v>0.6</v>
      </c>
      <c r="BV52">
        <v>0.8</v>
      </c>
      <c r="BW52">
        <v>0.7</v>
      </c>
      <c r="BX52">
        <v>0.7</v>
      </c>
      <c r="BY52">
        <v>0.7</v>
      </c>
      <c r="BZ52">
        <v>0.7</v>
      </c>
      <c r="CA52">
        <v>0.6</v>
      </c>
      <c r="CB52">
        <v>0</v>
      </c>
      <c r="CC52">
        <v>0</v>
      </c>
      <c r="CD52">
        <v>0</v>
      </c>
      <c r="CE52">
        <v>0</v>
      </c>
      <c r="CF52">
        <v>0</v>
      </c>
    </row>
    <row r="53" spans="1:84" x14ac:dyDescent="0.15">
      <c r="A53" t="s">
        <v>224</v>
      </c>
      <c r="B53">
        <v>0</v>
      </c>
      <c r="C53">
        <v>0</v>
      </c>
      <c r="D53">
        <v>0.8</v>
      </c>
      <c r="E53">
        <v>0.8</v>
      </c>
      <c r="F53">
        <v>0.8</v>
      </c>
      <c r="G53">
        <v>0.8</v>
      </c>
      <c r="H53">
        <v>0.8</v>
      </c>
      <c r="I53">
        <v>0.8</v>
      </c>
      <c r="J53">
        <v>0.8</v>
      </c>
      <c r="K53">
        <v>0.8</v>
      </c>
      <c r="L53">
        <v>0.8</v>
      </c>
      <c r="M53">
        <v>0.8</v>
      </c>
      <c r="N53">
        <v>0.5</v>
      </c>
      <c r="O53">
        <v>0.8</v>
      </c>
      <c r="P53">
        <v>0.8</v>
      </c>
      <c r="Q53">
        <v>0.8</v>
      </c>
      <c r="R53">
        <v>0.5</v>
      </c>
      <c r="S53">
        <v>0.5</v>
      </c>
      <c r="T53">
        <v>0.5</v>
      </c>
      <c r="U53">
        <v>0.5</v>
      </c>
      <c r="V53">
        <v>0.5</v>
      </c>
      <c r="W53">
        <v>0.5</v>
      </c>
      <c r="X53">
        <v>0.5</v>
      </c>
      <c r="Y53">
        <v>0.1</v>
      </c>
      <c r="Z53">
        <v>0.1</v>
      </c>
      <c r="AA53">
        <v>0.1</v>
      </c>
      <c r="AB53">
        <v>0.1</v>
      </c>
      <c r="AC53">
        <v>0.5</v>
      </c>
      <c r="AD53">
        <v>0.5</v>
      </c>
      <c r="AE53">
        <v>0.5</v>
      </c>
      <c r="AF53">
        <v>0.5</v>
      </c>
      <c r="AG53">
        <v>0.5</v>
      </c>
      <c r="AH53">
        <v>0.5</v>
      </c>
      <c r="AI53">
        <v>0.5</v>
      </c>
      <c r="AJ53">
        <v>0.5</v>
      </c>
      <c r="AK53">
        <v>0.5</v>
      </c>
      <c r="AL53">
        <v>0.5</v>
      </c>
      <c r="AM53">
        <v>0.5</v>
      </c>
      <c r="AN53">
        <v>0.8</v>
      </c>
      <c r="AO53">
        <v>0.8</v>
      </c>
      <c r="AP53">
        <v>0.8</v>
      </c>
      <c r="AQ53">
        <v>0.8</v>
      </c>
      <c r="AR53">
        <v>0.8</v>
      </c>
      <c r="AS53">
        <v>0.8</v>
      </c>
      <c r="AT53">
        <v>0.5</v>
      </c>
      <c r="AU53">
        <v>0.8</v>
      </c>
      <c r="AV53">
        <v>0.8</v>
      </c>
      <c r="AW53">
        <v>0.8</v>
      </c>
      <c r="AX53">
        <v>0.8</v>
      </c>
      <c r="AY53">
        <v>0.5</v>
      </c>
      <c r="AZ53">
        <v>0.8</v>
      </c>
      <c r="BA53">
        <v>0.8</v>
      </c>
      <c r="BB53">
        <v>0.8</v>
      </c>
      <c r="BC53">
        <v>0.8</v>
      </c>
      <c r="BD53">
        <v>0.8</v>
      </c>
      <c r="BE53">
        <v>0.8</v>
      </c>
      <c r="BF53">
        <v>0.8</v>
      </c>
      <c r="BG53">
        <v>0.8</v>
      </c>
      <c r="BH53">
        <v>0.8</v>
      </c>
      <c r="BI53">
        <v>0.8</v>
      </c>
      <c r="BJ53">
        <v>0.7</v>
      </c>
      <c r="BK53">
        <v>0.7</v>
      </c>
      <c r="BL53">
        <v>0.8</v>
      </c>
      <c r="BM53">
        <v>0.7</v>
      </c>
      <c r="BN53">
        <v>0.7</v>
      </c>
      <c r="BO53">
        <v>0.7</v>
      </c>
      <c r="BP53">
        <v>0.7</v>
      </c>
      <c r="BQ53">
        <v>0.7</v>
      </c>
      <c r="BR53">
        <v>0.7</v>
      </c>
      <c r="BS53">
        <v>0.7</v>
      </c>
      <c r="BT53">
        <v>0.7</v>
      </c>
      <c r="BU53">
        <v>0.6</v>
      </c>
      <c r="BV53">
        <v>0.8</v>
      </c>
      <c r="BW53">
        <v>0.7</v>
      </c>
      <c r="BX53">
        <v>0.7</v>
      </c>
      <c r="BY53">
        <v>0.7</v>
      </c>
      <c r="BZ53">
        <v>0.7</v>
      </c>
      <c r="CA53">
        <v>0.6</v>
      </c>
      <c r="CB53">
        <v>0</v>
      </c>
      <c r="CC53">
        <v>0</v>
      </c>
      <c r="CD53">
        <v>0</v>
      </c>
      <c r="CE53">
        <v>0</v>
      </c>
      <c r="CF53">
        <v>0</v>
      </c>
    </row>
    <row r="54" spans="1:84" x14ac:dyDescent="0.15">
      <c r="A54" t="s">
        <v>225</v>
      </c>
      <c r="B54">
        <v>0</v>
      </c>
      <c r="C54">
        <v>0</v>
      </c>
      <c r="D54">
        <v>0.8</v>
      </c>
      <c r="E54">
        <v>0.8</v>
      </c>
      <c r="F54">
        <v>0.8</v>
      </c>
      <c r="G54">
        <v>0.8</v>
      </c>
      <c r="H54">
        <v>0.8</v>
      </c>
      <c r="I54">
        <v>0.8</v>
      </c>
      <c r="J54">
        <v>0.8</v>
      </c>
      <c r="K54">
        <v>0.8</v>
      </c>
      <c r="L54">
        <v>0.8</v>
      </c>
      <c r="M54">
        <v>0.8</v>
      </c>
      <c r="N54">
        <v>0.5</v>
      </c>
      <c r="O54">
        <v>0.8</v>
      </c>
      <c r="P54">
        <v>0.8</v>
      </c>
      <c r="Q54">
        <v>0.8</v>
      </c>
      <c r="R54">
        <v>0.5</v>
      </c>
      <c r="S54">
        <v>0.5</v>
      </c>
      <c r="T54">
        <v>0.5</v>
      </c>
      <c r="U54">
        <v>0.5</v>
      </c>
      <c r="V54">
        <v>0.5</v>
      </c>
      <c r="W54">
        <v>0.5</v>
      </c>
      <c r="X54">
        <v>0.5</v>
      </c>
      <c r="Y54">
        <v>0.1</v>
      </c>
      <c r="Z54">
        <v>0.1</v>
      </c>
      <c r="AA54">
        <v>0.1</v>
      </c>
      <c r="AB54">
        <v>0.1</v>
      </c>
      <c r="AC54">
        <v>0.5</v>
      </c>
      <c r="AD54">
        <v>0.5</v>
      </c>
      <c r="AE54">
        <v>0.5</v>
      </c>
      <c r="AF54">
        <v>0.5</v>
      </c>
      <c r="AG54">
        <v>0.5</v>
      </c>
      <c r="AH54">
        <v>0.5</v>
      </c>
      <c r="AI54">
        <v>0.5</v>
      </c>
      <c r="AJ54">
        <v>0.5</v>
      </c>
      <c r="AK54">
        <v>0.5</v>
      </c>
      <c r="AL54">
        <v>0.5</v>
      </c>
      <c r="AM54">
        <v>0.5</v>
      </c>
      <c r="AN54">
        <v>0.8</v>
      </c>
      <c r="AO54">
        <v>0.8</v>
      </c>
      <c r="AP54">
        <v>0.8</v>
      </c>
      <c r="AQ54">
        <v>0.8</v>
      </c>
      <c r="AR54">
        <v>0.8</v>
      </c>
      <c r="AS54">
        <v>0.8</v>
      </c>
      <c r="AT54">
        <v>0.5</v>
      </c>
      <c r="AU54">
        <v>0.8</v>
      </c>
      <c r="AV54">
        <v>0.8</v>
      </c>
      <c r="AW54">
        <v>0.8</v>
      </c>
      <c r="AX54">
        <v>0.8</v>
      </c>
      <c r="AY54">
        <v>0.5</v>
      </c>
      <c r="AZ54">
        <v>0.8</v>
      </c>
      <c r="BA54">
        <v>0.8</v>
      </c>
      <c r="BB54">
        <v>0.8</v>
      </c>
      <c r="BC54">
        <v>0.8</v>
      </c>
      <c r="BD54">
        <v>0.8</v>
      </c>
      <c r="BE54">
        <v>0.8</v>
      </c>
      <c r="BF54">
        <v>0.8</v>
      </c>
      <c r="BG54">
        <v>0.8</v>
      </c>
      <c r="BH54">
        <v>0.8</v>
      </c>
      <c r="BI54">
        <v>0.8</v>
      </c>
      <c r="BJ54">
        <v>0.7</v>
      </c>
      <c r="BK54">
        <v>0.7</v>
      </c>
      <c r="BL54">
        <v>0.8</v>
      </c>
      <c r="BM54">
        <v>0.7</v>
      </c>
      <c r="BN54">
        <v>0.7</v>
      </c>
      <c r="BO54">
        <v>0.7</v>
      </c>
      <c r="BP54">
        <v>0.7</v>
      </c>
      <c r="BQ54">
        <v>0.7</v>
      </c>
      <c r="BR54">
        <v>0.7</v>
      </c>
      <c r="BS54">
        <v>0.7</v>
      </c>
      <c r="BT54">
        <v>0.7</v>
      </c>
      <c r="BU54">
        <v>0.6</v>
      </c>
      <c r="BV54">
        <v>0.8</v>
      </c>
      <c r="BW54">
        <v>0.7</v>
      </c>
      <c r="BX54">
        <v>0.7</v>
      </c>
      <c r="BY54">
        <v>0.7</v>
      </c>
      <c r="BZ54">
        <v>0.7</v>
      </c>
      <c r="CA54">
        <v>0.6</v>
      </c>
      <c r="CB54">
        <v>0</v>
      </c>
      <c r="CC54">
        <v>0</v>
      </c>
      <c r="CD54">
        <v>0</v>
      </c>
      <c r="CE54">
        <v>0</v>
      </c>
      <c r="CF54">
        <v>0</v>
      </c>
    </row>
    <row r="55" spans="1:84" x14ac:dyDescent="0.15">
      <c r="A55" t="s">
        <v>226</v>
      </c>
      <c r="B55">
        <v>0</v>
      </c>
      <c r="C55">
        <v>0</v>
      </c>
      <c r="D55">
        <v>0.8</v>
      </c>
      <c r="E55">
        <v>0.8</v>
      </c>
      <c r="F55">
        <v>0.8</v>
      </c>
      <c r="G55">
        <v>0.8</v>
      </c>
      <c r="H55">
        <v>0.8</v>
      </c>
      <c r="I55">
        <v>0.8</v>
      </c>
      <c r="J55">
        <v>0.8</v>
      </c>
      <c r="K55">
        <v>0.8</v>
      </c>
      <c r="L55">
        <v>0.8</v>
      </c>
      <c r="M55">
        <v>0.8</v>
      </c>
      <c r="N55">
        <v>0.5</v>
      </c>
      <c r="O55">
        <v>0.8</v>
      </c>
      <c r="P55">
        <v>0.8</v>
      </c>
      <c r="Q55">
        <v>0.8</v>
      </c>
      <c r="R55">
        <v>0.5</v>
      </c>
      <c r="S55">
        <v>0.5</v>
      </c>
      <c r="T55">
        <v>0.5</v>
      </c>
      <c r="U55">
        <v>0.5</v>
      </c>
      <c r="V55">
        <v>0.5</v>
      </c>
      <c r="W55">
        <v>0.5</v>
      </c>
      <c r="X55">
        <v>0.5</v>
      </c>
      <c r="Y55">
        <v>0.1</v>
      </c>
      <c r="Z55">
        <v>0.1</v>
      </c>
      <c r="AA55">
        <v>0.1</v>
      </c>
      <c r="AB55">
        <v>0.1</v>
      </c>
      <c r="AC55">
        <v>0.5</v>
      </c>
      <c r="AD55">
        <v>0.5</v>
      </c>
      <c r="AE55">
        <v>0.5</v>
      </c>
      <c r="AF55">
        <v>0.5</v>
      </c>
      <c r="AG55">
        <v>0.5</v>
      </c>
      <c r="AH55">
        <v>0.5</v>
      </c>
      <c r="AI55">
        <v>0.5</v>
      </c>
      <c r="AJ55">
        <v>0.5</v>
      </c>
      <c r="AK55">
        <v>0.5</v>
      </c>
      <c r="AL55">
        <v>0.5</v>
      </c>
      <c r="AM55">
        <v>0.5</v>
      </c>
      <c r="AN55">
        <v>0.8</v>
      </c>
      <c r="AO55">
        <v>0.8</v>
      </c>
      <c r="AP55">
        <v>0.8</v>
      </c>
      <c r="AQ55">
        <v>0.8</v>
      </c>
      <c r="AR55">
        <v>0.8</v>
      </c>
      <c r="AS55">
        <v>0.8</v>
      </c>
      <c r="AT55">
        <v>0.5</v>
      </c>
      <c r="AU55">
        <v>0.8</v>
      </c>
      <c r="AV55">
        <v>0.8</v>
      </c>
      <c r="AW55">
        <v>0.8</v>
      </c>
      <c r="AX55">
        <v>0.8</v>
      </c>
      <c r="AY55">
        <v>0.5</v>
      </c>
      <c r="AZ55">
        <v>0.8</v>
      </c>
      <c r="BA55">
        <v>0.8</v>
      </c>
      <c r="BB55">
        <v>0.8</v>
      </c>
      <c r="BC55">
        <v>0.8</v>
      </c>
      <c r="BD55">
        <v>0.8</v>
      </c>
      <c r="BE55">
        <v>0.8</v>
      </c>
      <c r="BF55">
        <v>0.8</v>
      </c>
      <c r="BG55">
        <v>0.8</v>
      </c>
      <c r="BH55">
        <v>0.8</v>
      </c>
      <c r="BI55">
        <v>0.8</v>
      </c>
      <c r="BJ55">
        <v>0.7</v>
      </c>
      <c r="BK55">
        <v>0.7</v>
      </c>
      <c r="BL55">
        <v>0.8</v>
      </c>
      <c r="BM55">
        <v>0.7</v>
      </c>
      <c r="BN55">
        <v>0.7</v>
      </c>
      <c r="BO55">
        <v>0.7</v>
      </c>
      <c r="BP55">
        <v>0.7</v>
      </c>
      <c r="BQ55">
        <v>0.7</v>
      </c>
      <c r="BR55">
        <v>0.7</v>
      </c>
      <c r="BS55">
        <v>0.7</v>
      </c>
      <c r="BT55">
        <v>0.7</v>
      </c>
      <c r="BU55">
        <v>0.6</v>
      </c>
      <c r="BV55">
        <v>0.8</v>
      </c>
      <c r="BW55">
        <v>0.7</v>
      </c>
      <c r="BX55">
        <v>0.7</v>
      </c>
      <c r="BY55">
        <v>0.7</v>
      </c>
      <c r="BZ55">
        <v>0.7</v>
      </c>
      <c r="CA55">
        <v>0.6</v>
      </c>
      <c r="CB55">
        <v>0</v>
      </c>
      <c r="CC55">
        <v>0</v>
      </c>
      <c r="CD55">
        <v>0</v>
      </c>
      <c r="CE55">
        <v>0</v>
      </c>
      <c r="CF55">
        <v>0</v>
      </c>
    </row>
    <row r="56" spans="1:84" x14ac:dyDescent="0.15">
      <c r="A56" t="s">
        <v>227</v>
      </c>
      <c r="B56">
        <v>0</v>
      </c>
      <c r="C56">
        <v>0</v>
      </c>
      <c r="D56">
        <v>0.8</v>
      </c>
      <c r="E56">
        <v>0.8</v>
      </c>
      <c r="F56">
        <v>0.8</v>
      </c>
      <c r="G56">
        <v>0.8</v>
      </c>
      <c r="H56">
        <v>0.8</v>
      </c>
      <c r="I56">
        <v>0.8</v>
      </c>
      <c r="J56">
        <v>0.8</v>
      </c>
      <c r="K56">
        <v>0.8</v>
      </c>
      <c r="L56">
        <v>0.8</v>
      </c>
      <c r="M56">
        <v>0.8</v>
      </c>
      <c r="N56">
        <v>0.5</v>
      </c>
      <c r="O56">
        <v>0.8</v>
      </c>
      <c r="P56">
        <v>0.8</v>
      </c>
      <c r="Q56">
        <v>0.8</v>
      </c>
      <c r="R56">
        <v>0.5</v>
      </c>
      <c r="S56">
        <v>0.5</v>
      </c>
      <c r="T56">
        <v>0.5</v>
      </c>
      <c r="U56">
        <v>0.5</v>
      </c>
      <c r="V56">
        <v>0.5</v>
      </c>
      <c r="W56">
        <v>0.5</v>
      </c>
      <c r="X56">
        <v>0.5</v>
      </c>
      <c r="Y56">
        <v>0.1</v>
      </c>
      <c r="Z56">
        <v>0.1</v>
      </c>
      <c r="AA56">
        <v>0.1</v>
      </c>
      <c r="AB56">
        <v>0.1</v>
      </c>
      <c r="AC56">
        <v>0.5</v>
      </c>
      <c r="AD56">
        <v>0.5</v>
      </c>
      <c r="AE56">
        <v>0.5</v>
      </c>
      <c r="AF56">
        <v>0.5</v>
      </c>
      <c r="AG56">
        <v>0.5</v>
      </c>
      <c r="AH56">
        <v>0.5</v>
      </c>
      <c r="AI56">
        <v>0.5</v>
      </c>
      <c r="AJ56">
        <v>0.5</v>
      </c>
      <c r="AK56">
        <v>0.5</v>
      </c>
      <c r="AL56">
        <v>0.5</v>
      </c>
      <c r="AM56">
        <v>0.5</v>
      </c>
      <c r="AN56">
        <v>0.8</v>
      </c>
      <c r="AO56">
        <v>0.8</v>
      </c>
      <c r="AP56">
        <v>0.8</v>
      </c>
      <c r="AQ56">
        <v>0.8</v>
      </c>
      <c r="AR56">
        <v>0.8</v>
      </c>
      <c r="AS56">
        <v>0.8</v>
      </c>
      <c r="AT56">
        <v>0.5</v>
      </c>
      <c r="AU56">
        <v>0.8</v>
      </c>
      <c r="AV56">
        <v>0.8</v>
      </c>
      <c r="AW56">
        <v>0.8</v>
      </c>
      <c r="AX56">
        <v>0.8</v>
      </c>
      <c r="AY56">
        <v>0.5</v>
      </c>
      <c r="AZ56">
        <v>0.8</v>
      </c>
      <c r="BA56">
        <v>0.8</v>
      </c>
      <c r="BB56">
        <v>0.8</v>
      </c>
      <c r="BC56">
        <v>0.8</v>
      </c>
      <c r="BD56">
        <v>0.8</v>
      </c>
      <c r="BE56">
        <v>0.8</v>
      </c>
      <c r="BF56">
        <v>0.8</v>
      </c>
      <c r="BG56">
        <v>0.8</v>
      </c>
      <c r="BH56">
        <v>0.8</v>
      </c>
      <c r="BI56">
        <v>0.8</v>
      </c>
      <c r="BJ56">
        <v>0.7</v>
      </c>
      <c r="BK56">
        <v>0.7</v>
      </c>
      <c r="BL56">
        <v>0.8</v>
      </c>
      <c r="BM56">
        <v>0.7</v>
      </c>
      <c r="BN56">
        <v>0.7</v>
      </c>
      <c r="BO56">
        <v>0.7</v>
      </c>
      <c r="BP56">
        <v>0.7</v>
      </c>
      <c r="BQ56">
        <v>0.7</v>
      </c>
      <c r="BR56">
        <v>0.7</v>
      </c>
      <c r="BS56">
        <v>0.7</v>
      </c>
      <c r="BT56">
        <v>0.7</v>
      </c>
      <c r="BU56">
        <v>0.6</v>
      </c>
      <c r="BV56">
        <v>0.8</v>
      </c>
      <c r="BW56">
        <v>0.7</v>
      </c>
      <c r="BX56">
        <v>0.7</v>
      </c>
      <c r="BY56">
        <v>0.7</v>
      </c>
      <c r="BZ56">
        <v>0.7</v>
      </c>
      <c r="CA56">
        <v>0.6</v>
      </c>
      <c r="CB56">
        <v>0</v>
      </c>
      <c r="CC56">
        <v>0</v>
      </c>
      <c r="CD56">
        <v>0</v>
      </c>
      <c r="CE56">
        <v>0</v>
      </c>
      <c r="CF56">
        <v>0</v>
      </c>
    </row>
    <row r="57" spans="1:84" x14ac:dyDescent="0.15">
      <c r="A57" t="s">
        <v>228</v>
      </c>
      <c r="B57">
        <v>0</v>
      </c>
      <c r="C57">
        <v>0</v>
      </c>
      <c r="D57">
        <v>0.8</v>
      </c>
      <c r="E57">
        <v>0.8</v>
      </c>
      <c r="F57">
        <v>0.8</v>
      </c>
      <c r="G57">
        <v>0.8</v>
      </c>
      <c r="H57">
        <v>0.8</v>
      </c>
      <c r="I57">
        <v>0.8</v>
      </c>
      <c r="J57">
        <v>0.8</v>
      </c>
      <c r="K57">
        <v>0.8</v>
      </c>
      <c r="L57">
        <v>0.8</v>
      </c>
      <c r="M57">
        <v>0.8</v>
      </c>
      <c r="N57">
        <v>0.5</v>
      </c>
      <c r="O57">
        <v>0.8</v>
      </c>
      <c r="P57">
        <v>0.8</v>
      </c>
      <c r="Q57">
        <v>0.8</v>
      </c>
      <c r="R57">
        <v>0.5</v>
      </c>
      <c r="S57">
        <v>0.5</v>
      </c>
      <c r="T57">
        <v>0.5</v>
      </c>
      <c r="U57">
        <v>0.5</v>
      </c>
      <c r="V57">
        <v>0.5</v>
      </c>
      <c r="W57">
        <v>0.5</v>
      </c>
      <c r="X57">
        <v>0.5</v>
      </c>
      <c r="Y57">
        <v>0.1</v>
      </c>
      <c r="Z57">
        <v>0.1</v>
      </c>
      <c r="AA57">
        <v>0.1</v>
      </c>
      <c r="AB57">
        <v>0.1</v>
      </c>
      <c r="AC57">
        <v>0.5</v>
      </c>
      <c r="AD57">
        <v>0.5</v>
      </c>
      <c r="AE57">
        <v>0.5</v>
      </c>
      <c r="AF57">
        <v>0.5</v>
      </c>
      <c r="AG57">
        <v>0.5</v>
      </c>
      <c r="AH57">
        <v>0.5</v>
      </c>
      <c r="AI57">
        <v>0.5</v>
      </c>
      <c r="AJ57">
        <v>0.5</v>
      </c>
      <c r="AK57">
        <v>0.5</v>
      </c>
      <c r="AL57">
        <v>0.5</v>
      </c>
      <c r="AM57">
        <v>0.5</v>
      </c>
      <c r="AN57">
        <v>0.8</v>
      </c>
      <c r="AO57">
        <v>0.8</v>
      </c>
      <c r="AP57">
        <v>0.8</v>
      </c>
      <c r="AQ57">
        <v>0.8</v>
      </c>
      <c r="AR57">
        <v>0.8</v>
      </c>
      <c r="AS57">
        <v>0.8</v>
      </c>
      <c r="AT57">
        <v>0.5</v>
      </c>
      <c r="AU57">
        <v>0.8</v>
      </c>
      <c r="AV57">
        <v>0.8</v>
      </c>
      <c r="AW57">
        <v>0.8</v>
      </c>
      <c r="AX57">
        <v>0.8</v>
      </c>
      <c r="AY57">
        <v>0.5</v>
      </c>
      <c r="AZ57">
        <v>0.8</v>
      </c>
      <c r="BA57">
        <v>0.8</v>
      </c>
      <c r="BB57">
        <v>0.8</v>
      </c>
      <c r="BC57">
        <v>0.8</v>
      </c>
      <c r="BD57">
        <v>0.8</v>
      </c>
      <c r="BE57">
        <v>0.8</v>
      </c>
      <c r="BF57">
        <v>0.8</v>
      </c>
      <c r="BG57">
        <v>0.8</v>
      </c>
      <c r="BH57">
        <v>0.8</v>
      </c>
      <c r="BI57">
        <v>0.8</v>
      </c>
      <c r="BJ57">
        <v>0.7</v>
      </c>
      <c r="BK57">
        <v>0.7</v>
      </c>
      <c r="BL57">
        <v>0.8</v>
      </c>
      <c r="BM57">
        <v>0.7</v>
      </c>
      <c r="BN57">
        <v>0.7</v>
      </c>
      <c r="BO57">
        <v>0.7</v>
      </c>
      <c r="BP57">
        <v>0.7</v>
      </c>
      <c r="BQ57">
        <v>0.7</v>
      </c>
      <c r="BR57">
        <v>0.7</v>
      </c>
      <c r="BS57">
        <v>0.7</v>
      </c>
      <c r="BT57">
        <v>0.7</v>
      </c>
      <c r="BU57">
        <v>0.6</v>
      </c>
      <c r="BV57">
        <v>0.8</v>
      </c>
      <c r="BW57">
        <v>0.7</v>
      </c>
      <c r="BX57">
        <v>0.7</v>
      </c>
      <c r="BY57">
        <v>0.7</v>
      </c>
      <c r="BZ57">
        <v>0.7</v>
      </c>
      <c r="CA57">
        <v>0.6</v>
      </c>
      <c r="CB57">
        <v>0</v>
      </c>
      <c r="CC57">
        <v>0</v>
      </c>
      <c r="CD57">
        <v>0</v>
      </c>
      <c r="CE57">
        <v>0</v>
      </c>
      <c r="CF57">
        <v>0</v>
      </c>
    </row>
    <row r="58" spans="1:84" x14ac:dyDescent="0.15">
      <c r="A58" t="s">
        <v>229</v>
      </c>
      <c r="B58">
        <v>0</v>
      </c>
      <c r="C58">
        <v>0</v>
      </c>
      <c r="D58">
        <v>0.8</v>
      </c>
      <c r="E58">
        <v>0.8</v>
      </c>
      <c r="F58">
        <v>0.8</v>
      </c>
      <c r="G58">
        <v>0.8</v>
      </c>
      <c r="H58">
        <v>0.8</v>
      </c>
      <c r="I58">
        <v>0.8</v>
      </c>
      <c r="J58">
        <v>0.8</v>
      </c>
      <c r="K58">
        <v>0.8</v>
      </c>
      <c r="L58">
        <v>0.8</v>
      </c>
      <c r="M58">
        <v>0.8</v>
      </c>
      <c r="N58">
        <v>0.5</v>
      </c>
      <c r="O58">
        <v>0.8</v>
      </c>
      <c r="P58">
        <v>0.8</v>
      </c>
      <c r="Q58">
        <v>0.8</v>
      </c>
      <c r="R58">
        <v>0.5</v>
      </c>
      <c r="S58">
        <v>0.5</v>
      </c>
      <c r="T58">
        <v>0.5</v>
      </c>
      <c r="U58">
        <v>0.5</v>
      </c>
      <c r="V58">
        <v>0.5</v>
      </c>
      <c r="W58">
        <v>0.5</v>
      </c>
      <c r="X58">
        <v>0.5</v>
      </c>
      <c r="Y58">
        <v>0.1</v>
      </c>
      <c r="Z58">
        <v>0.1</v>
      </c>
      <c r="AA58">
        <v>0.1</v>
      </c>
      <c r="AB58">
        <v>0.1</v>
      </c>
      <c r="AC58">
        <v>0.5</v>
      </c>
      <c r="AD58">
        <v>0.5</v>
      </c>
      <c r="AE58">
        <v>0.5</v>
      </c>
      <c r="AF58">
        <v>0.5</v>
      </c>
      <c r="AG58">
        <v>0.5</v>
      </c>
      <c r="AH58">
        <v>0.5</v>
      </c>
      <c r="AI58">
        <v>0.5</v>
      </c>
      <c r="AJ58">
        <v>0.5</v>
      </c>
      <c r="AK58">
        <v>0.5</v>
      </c>
      <c r="AL58">
        <v>0.5</v>
      </c>
      <c r="AM58">
        <v>0.5</v>
      </c>
      <c r="AN58">
        <v>0.8</v>
      </c>
      <c r="AO58">
        <v>0.8</v>
      </c>
      <c r="AP58">
        <v>0.8</v>
      </c>
      <c r="AQ58">
        <v>0.8</v>
      </c>
      <c r="AR58">
        <v>0.8</v>
      </c>
      <c r="AS58">
        <v>0.8</v>
      </c>
      <c r="AT58">
        <v>0.5</v>
      </c>
      <c r="AU58">
        <v>0.8</v>
      </c>
      <c r="AV58">
        <v>0.8</v>
      </c>
      <c r="AW58">
        <v>0.8</v>
      </c>
      <c r="AX58">
        <v>0.8</v>
      </c>
      <c r="AY58">
        <v>0.5</v>
      </c>
      <c r="AZ58">
        <v>0.8</v>
      </c>
      <c r="BA58">
        <v>0.8</v>
      </c>
      <c r="BB58">
        <v>0.8</v>
      </c>
      <c r="BC58">
        <v>0.8</v>
      </c>
      <c r="BD58">
        <v>0.8</v>
      </c>
      <c r="BE58">
        <v>0.8</v>
      </c>
      <c r="BF58">
        <v>0.8</v>
      </c>
      <c r="BG58">
        <v>0.8</v>
      </c>
      <c r="BH58">
        <v>0.8</v>
      </c>
      <c r="BI58">
        <v>0.8</v>
      </c>
      <c r="BJ58">
        <v>0.7</v>
      </c>
      <c r="BK58">
        <v>0.7</v>
      </c>
      <c r="BL58">
        <v>0.8</v>
      </c>
      <c r="BM58">
        <v>0.7</v>
      </c>
      <c r="BN58">
        <v>0.7</v>
      </c>
      <c r="BO58">
        <v>0.7</v>
      </c>
      <c r="BP58">
        <v>0.7</v>
      </c>
      <c r="BQ58">
        <v>0.7</v>
      </c>
      <c r="BR58">
        <v>0.7</v>
      </c>
      <c r="BS58">
        <v>0.7</v>
      </c>
      <c r="BT58">
        <v>0.7</v>
      </c>
      <c r="BU58">
        <v>0.6</v>
      </c>
      <c r="BV58">
        <v>0.8</v>
      </c>
      <c r="BW58">
        <v>0.7</v>
      </c>
      <c r="BX58">
        <v>0.7</v>
      </c>
      <c r="BY58">
        <v>0.7</v>
      </c>
      <c r="BZ58">
        <v>0.7</v>
      </c>
      <c r="CA58">
        <v>0.6</v>
      </c>
      <c r="CB58">
        <v>0</v>
      </c>
      <c r="CC58">
        <v>0</v>
      </c>
      <c r="CD58">
        <v>0</v>
      </c>
      <c r="CE58">
        <v>0</v>
      </c>
      <c r="CF58">
        <v>0</v>
      </c>
    </row>
    <row r="59" spans="1:84" x14ac:dyDescent="0.15">
      <c r="A59" t="s">
        <v>230</v>
      </c>
      <c r="B59">
        <v>0</v>
      </c>
      <c r="C59">
        <v>0</v>
      </c>
      <c r="D59">
        <v>0.8</v>
      </c>
      <c r="E59">
        <v>0.8</v>
      </c>
      <c r="F59">
        <v>0.8</v>
      </c>
      <c r="G59">
        <v>0.8</v>
      </c>
      <c r="H59">
        <v>0.8</v>
      </c>
      <c r="I59">
        <v>0.8</v>
      </c>
      <c r="J59">
        <v>0.8</v>
      </c>
      <c r="K59">
        <v>0.8</v>
      </c>
      <c r="L59">
        <v>0.8</v>
      </c>
      <c r="M59">
        <v>0.8</v>
      </c>
      <c r="N59">
        <v>0.5</v>
      </c>
      <c r="O59">
        <v>0.8</v>
      </c>
      <c r="P59">
        <v>0.8</v>
      </c>
      <c r="Q59">
        <v>0.8</v>
      </c>
      <c r="R59">
        <v>0.5</v>
      </c>
      <c r="S59">
        <v>0.5</v>
      </c>
      <c r="T59">
        <v>0.5</v>
      </c>
      <c r="U59">
        <v>0.5</v>
      </c>
      <c r="V59">
        <v>0.5</v>
      </c>
      <c r="W59">
        <v>0.5</v>
      </c>
      <c r="X59">
        <v>0.5</v>
      </c>
      <c r="Y59">
        <v>0.1</v>
      </c>
      <c r="Z59">
        <v>0.1</v>
      </c>
      <c r="AA59">
        <v>0.1</v>
      </c>
      <c r="AB59">
        <v>0.1</v>
      </c>
      <c r="AC59">
        <v>0.5</v>
      </c>
      <c r="AD59">
        <v>0.5</v>
      </c>
      <c r="AE59">
        <v>0.5</v>
      </c>
      <c r="AF59">
        <v>0.5</v>
      </c>
      <c r="AG59">
        <v>0.5</v>
      </c>
      <c r="AH59">
        <v>0.5</v>
      </c>
      <c r="AI59">
        <v>0.5</v>
      </c>
      <c r="AJ59">
        <v>0.5</v>
      </c>
      <c r="AK59">
        <v>0.5</v>
      </c>
      <c r="AL59">
        <v>0.5</v>
      </c>
      <c r="AM59">
        <v>0.5</v>
      </c>
      <c r="AN59">
        <v>0.8</v>
      </c>
      <c r="AO59">
        <v>0.8</v>
      </c>
      <c r="AP59">
        <v>0.8</v>
      </c>
      <c r="AQ59">
        <v>0.8</v>
      </c>
      <c r="AR59">
        <v>0.8</v>
      </c>
      <c r="AS59">
        <v>0.8</v>
      </c>
      <c r="AT59">
        <v>0.5</v>
      </c>
      <c r="AU59">
        <v>0.8</v>
      </c>
      <c r="AV59">
        <v>0.8</v>
      </c>
      <c r="AW59">
        <v>0.8</v>
      </c>
      <c r="AX59">
        <v>0.8</v>
      </c>
      <c r="AY59">
        <v>0.5</v>
      </c>
      <c r="AZ59">
        <v>0.8</v>
      </c>
      <c r="BA59">
        <v>0.8</v>
      </c>
      <c r="BB59">
        <v>0.8</v>
      </c>
      <c r="BC59">
        <v>0.8</v>
      </c>
      <c r="BD59">
        <v>0.8</v>
      </c>
      <c r="BE59">
        <v>0.8</v>
      </c>
      <c r="BF59">
        <v>0.8</v>
      </c>
      <c r="BG59">
        <v>0.8</v>
      </c>
      <c r="BH59">
        <v>0.8</v>
      </c>
      <c r="BI59">
        <v>0.8</v>
      </c>
      <c r="BJ59">
        <v>0.7</v>
      </c>
      <c r="BK59">
        <v>0.7</v>
      </c>
      <c r="BL59">
        <v>0.8</v>
      </c>
      <c r="BM59">
        <v>0.7</v>
      </c>
      <c r="BN59">
        <v>0.7</v>
      </c>
      <c r="BO59">
        <v>0.7</v>
      </c>
      <c r="BP59">
        <v>0.7</v>
      </c>
      <c r="BQ59">
        <v>0.7</v>
      </c>
      <c r="BR59">
        <v>0.7</v>
      </c>
      <c r="BS59">
        <v>0.7</v>
      </c>
      <c r="BT59">
        <v>0.7</v>
      </c>
      <c r="BU59">
        <v>0.6</v>
      </c>
      <c r="BV59">
        <v>0.8</v>
      </c>
      <c r="BW59">
        <v>0.7</v>
      </c>
      <c r="BX59">
        <v>0.7</v>
      </c>
      <c r="BY59">
        <v>0.7</v>
      </c>
      <c r="BZ59">
        <v>0.7</v>
      </c>
      <c r="CA59">
        <v>0.6</v>
      </c>
      <c r="CB59">
        <v>0</v>
      </c>
      <c r="CC59">
        <v>0</v>
      </c>
      <c r="CD59">
        <v>0</v>
      </c>
      <c r="CE59">
        <v>0</v>
      </c>
      <c r="CF59">
        <v>0</v>
      </c>
    </row>
    <row r="60" spans="1:84" x14ac:dyDescent="0.15">
      <c r="A60" t="s">
        <v>231</v>
      </c>
      <c r="B60">
        <v>0</v>
      </c>
      <c r="C60">
        <v>0</v>
      </c>
      <c r="D60">
        <v>0.8</v>
      </c>
      <c r="E60">
        <v>0.8</v>
      </c>
      <c r="F60">
        <v>0.8</v>
      </c>
      <c r="G60">
        <v>0.8</v>
      </c>
      <c r="H60">
        <v>0.8</v>
      </c>
      <c r="I60">
        <v>0.8</v>
      </c>
      <c r="J60">
        <v>0.8</v>
      </c>
      <c r="K60">
        <v>0.8</v>
      </c>
      <c r="L60">
        <v>0.8</v>
      </c>
      <c r="M60">
        <v>0.8</v>
      </c>
      <c r="N60">
        <v>0.5</v>
      </c>
      <c r="O60">
        <v>0.8</v>
      </c>
      <c r="P60">
        <v>0.8</v>
      </c>
      <c r="Q60">
        <v>0.8</v>
      </c>
      <c r="R60">
        <v>0.5</v>
      </c>
      <c r="S60">
        <v>0.5</v>
      </c>
      <c r="T60">
        <v>0.5</v>
      </c>
      <c r="U60">
        <v>0.5</v>
      </c>
      <c r="V60">
        <v>0.5</v>
      </c>
      <c r="W60">
        <v>0.5</v>
      </c>
      <c r="X60">
        <v>0.5</v>
      </c>
      <c r="Y60">
        <v>0.1</v>
      </c>
      <c r="Z60">
        <v>0.1</v>
      </c>
      <c r="AA60">
        <v>0.1</v>
      </c>
      <c r="AB60">
        <v>0.1</v>
      </c>
      <c r="AC60">
        <v>0.5</v>
      </c>
      <c r="AD60">
        <v>0.5</v>
      </c>
      <c r="AE60">
        <v>0.5</v>
      </c>
      <c r="AF60">
        <v>0.5</v>
      </c>
      <c r="AG60">
        <v>0.5</v>
      </c>
      <c r="AH60">
        <v>0.5</v>
      </c>
      <c r="AI60">
        <v>0.5</v>
      </c>
      <c r="AJ60">
        <v>0.5</v>
      </c>
      <c r="AK60">
        <v>0.5</v>
      </c>
      <c r="AL60">
        <v>0.5</v>
      </c>
      <c r="AM60">
        <v>0.5</v>
      </c>
      <c r="AN60">
        <v>0.8</v>
      </c>
      <c r="AO60">
        <v>0.8</v>
      </c>
      <c r="AP60">
        <v>0.8</v>
      </c>
      <c r="AQ60">
        <v>0.8</v>
      </c>
      <c r="AR60">
        <v>0.8</v>
      </c>
      <c r="AS60">
        <v>0.8</v>
      </c>
      <c r="AT60">
        <v>0.5</v>
      </c>
      <c r="AU60">
        <v>0.8</v>
      </c>
      <c r="AV60">
        <v>0.8</v>
      </c>
      <c r="AW60">
        <v>0.8</v>
      </c>
      <c r="AX60">
        <v>0.8</v>
      </c>
      <c r="AY60">
        <v>0.5</v>
      </c>
      <c r="AZ60">
        <v>0.8</v>
      </c>
      <c r="BA60">
        <v>0.8</v>
      </c>
      <c r="BB60">
        <v>0.8</v>
      </c>
      <c r="BC60">
        <v>0.8</v>
      </c>
      <c r="BD60">
        <v>0.8</v>
      </c>
      <c r="BE60">
        <v>0.8</v>
      </c>
      <c r="BF60">
        <v>0.8</v>
      </c>
      <c r="BG60">
        <v>0.8</v>
      </c>
      <c r="BH60">
        <v>0.8</v>
      </c>
      <c r="BI60">
        <v>0.8</v>
      </c>
      <c r="BJ60">
        <v>0.7</v>
      </c>
      <c r="BK60">
        <v>0.7</v>
      </c>
      <c r="BL60">
        <v>0.8</v>
      </c>
      <c r="BM60">
        <v>0.7</v>
      </c>
      <c r="BN60">
        <v>0.7</v>
      </c>
      <c r="BO60">
        <v>0.7</v>
      </c>
      <c r="BP60">
        <v>0.7</v>
      </c>
      <c r="BQ60">
        <v>0.7</v>
      </c>
      <c r="BR60">
        <v>0.7</v>
      </c>
      <c r="BS60">
        <v>0.7</v>
      </c>
      <c r="BT60">
        <v>0.7</v>
      </c>
      <c r="BU60">
        <v>0.6</v>
      </c>
      <c r="BV60">
        <v>0.8</v>
      </c>
      <c r="BW60">
        <v>0.7</v>
      </c>
      <c r="BX60">
        <v>0.7</v>
      </c>
      <c r="BY60">
        <v>0.7</v>
      </c>
      <c r="BZ60">
        <v>0.7</v>
      </c>
      <c r="CA60">
        <v>0.6</v>
      </c>
      <c r="CB60">
        <v>0</v>
      </c>
      <c r="CC60">
        <v>0</v>
      </c>
      <c r="CD60">
        <v>0</v>
      </c>
      <c r="CE60">
        <v>0</v>
      </c>
      <c r="CF60">
        <v>0</v>
      </c>
    </row>
    <row r="61" spans="1:84" x14ac:dyDescent="0.15">
      <c r="A61" t="s">
        <v>232</v>
      </c>
      <c r="B61">
        <v>0</v>
      </c>
      <c r="C61">
        <v>0</v>
      </c>
      <c r="D61">
        <v>0.8</v>
      </c>
      <c r="E61">
        <v>0.8</v>
      </c>
      <c r="F61">
        <v>0.8</v>
      </c>
      <c r="G61">
        <v>0.8</v>
      </c>
      <c r="H61">
        <v>0.8</v>
      </c>
      <c r="I61">
        <v>0.8</v>
      </c>
      <c r="J61">
        <v>0.8</v>
      </c>
      <c r="K61">
        <v>0.8</v>
      </c>
      <c r="L61">
        <v>0.8</v>
      </c>
      <c r="M61">
        <v>0.8</v>
      </c>
      <c r="N61">
        <v>0.5</v>
      </c>
      <c r="O61">
        <v>0.8</v>
      </c>
      <c r="P61">
        <v>0.8</v>
      </c>
      <c r="Q61">
        <v>0.8</v>
      </c>
      <c r="R61">
        <v>0.5</v>
      </c>
      <c r="S61">
        <v>0.5</v>
      </c>
      <c r="T61">
        <v>0.5</v>
      </c>
      <c r="U61">
        <v>0.5</v>
      </c>
      <c r="V61">
        <v>0.5</v>
      </c>
      <c r="W61">
        <v>0.5</v>
      </c>
      <c r="X61">
        <v>0.5</v>
      </c>
      <c r="Y61">
        <v>0.1</v>
      </c>
      <c r="Z61">
        <v>0.1</v>
      </c>
      <c r="AA61">
        <v>0.1</v>
      </c>
      <c r="AB61">
        <v>0.1</v>
      </c>
      <c r="AC61">
        <v>0.5</v>
      </c>
      <c r="AD61">
        <v>0.5</v>
      </c>
      <c r="AE61">
        <v>0.5</v>
      </c>
      <c r="AF61">
        <v>0.5</v>
      </c>
      <c r="AG61">
        <v>0.5</v>
      </c>
      <c r="AH61">
        <v>0.5</v>
      </c>
      <c r="AI61">
        <v>0.5</v>
      </c>
      <c r="AJ61">
        <v>0.5</v>
      </c>
      <c r="AK61">
        <v>0.5</v>
      </c>
      <c r="AL61">
        <v>0.5</v>
      </c>
      <c r="AM61">
        <v>0.5</v>
      </c>
      <c r="AN61">
        <v>0.8</v>
      </c>
      <c r="AO61">
        <v>0.8</v>
      </c>
      <c r="AP61">
        <v>0.8</v>
      </c>
      <c r="AQ61">
        <v>0.8</v>
      </c>
      <c r="AR61">
        <v>0.8</v>
      </c>
      <c r="AS61">
        <v>0.8</v>
      </c>
      <c r="AT61">
        <v>0.5</v>
      </c>
      <c r="AU61">
        <v>0.8</v>
      </c>
      <c r="AV61">
        <v>0.8</v>
      </c>
      <c r="AW61">
        <v>0.8</v>
      </c>
      <c r="AX61">
        <v>0.8</v>
      </c>
      <c r="AY61">
        <v>0.5</v>
      </c>
      <c r="AZ61">
        <v>0.8</v>
      </c>
      <c r="BA61">
        <v>0.8</v>
      </c>
      <c r="BB61">
        <v>0.8</v>
      </c>
      <c r="BC61">
        <v>0.8</v>
      </c>
      <c r="BD61">
        <v>0.8</v>
      </c>
      <c r="BE61">
        <v>0.8</v>
      </c>
      <c r="BF61">
        <v>0.8</v>
      </c>
      <c r="BG61">
        <v>0.8</v>
      </c>
      <c r="BH61">
        <v>0.8</v>
      </c>
      <c r="BI61">
        <v>0.8</v>
      </c>
      <c r="BJ61">
        <v>0.7</v>
      </c>
      <c r="BK61">
        <v>0.7</v>
      </c>
      <c r="BL61">
        <v>0.8</v>
      </c>
      <c r="BM61">
        <v>0.7</v>
      </c>
      <c r="BN61">
        <v>0.7</v>
      </c>
      <c r="BO61">
        <v>0.7</v>
      </c>
      <c r="BP61">
        <v>0.7</v>
      </c>
      <c r="BQ61">
        <v>0.7</v>
      </c>
      <c r="BR61">
        <v>0.7</v>
      </c>
      <c r="BS61">
        <v>0.7</v>
      </c>
      <c r="BT61">
        <v>0.7</v>
      </c>
      <c r="BU61">
        <v>0.6</v>
      </c>
      <c r="BV61">
        <v>0.8</v>
      </c>
      <c r="BW61">
        <v>0.7</v>
      </c>
      <c r="BX61">
        <v>0.7</v>
      </c>
      <c r="BY61">
        <v>0.7</v>
      </c>
      <c r="BZ61">
        <v>0.7</v>
      </c>
      <c r="CA61">
        <v>0.6</v>
      </c>
      <c r="CB61">
        <v>0</v>
      </c>
      <c r="CC61">
        <v>0</v>
      </c>
      <c r="CD61">
        <v>0</v>
      </c>
      <c r="CE61">
        <v>0</v>
      </c>
      <c r="CF61">
        <v>0</v>
      </c>
    </row>
    <row r="62" spans="1:84" x14ac:dyDescent="0.15">
      <c r="A62" t="s">
        <v>233</v>
      </c>
      <c r="B62">
        <v>0</v>
      </c>
      <c r="C62">
        <v>0</v>
      </c>
      <c r="D62">
        <v>0.8</v>
      </c>
      <c r="E62">
        <v>0.8</v>
      </c>
      <c r="F62">
        <v>0.8</v>
      </c>
      <c r="G62">
        <v>0.8</v>
      </c>
      <c r="H62">
        <v>0.8</v>
      </c>
      <c r="I62">
        <v>0.8</v>
      </c>
      <c r="J62">
        <v>0.8</v>
      </c>
      <c r="K62">
        <v>0.8</v>
      </c>
      <c r="L62">
        <v>0.8</v>
      </c>
      <c r="M62">
        <v>0.8</v>
      </c>
      <c r="N62">
        <v>0.5</v>
      </c>
      <c r="O62">
        <v>0.8</v>
      </c>
      <c r="P62">
        <v>0.8</v>
      </c>
      <c r="Q62">
        <v>0.8</v>
      </c>
      <c r="R62">
        <v>0.5</v>
      </c>
      <c r="S62">
        <v>0.5</v>
      </c>
      <c r="T62">
        <v>0.5</v>
      </c>
      <c r="U62">
        <v>0.5</v>
      </c>
      <c r="V62">
        <v>0.5</v>
      </c>
      <c r="W62">
        <v>0.5</v>
      </c>
      <c r="X62">
        <v>0.5</v>
      </c>
      <c r="Y62">
        <v>0.1</v>
      </c>
      <c r="Z62">
        <v>0.1</v>
      </c>
      <c r="AA62">
        <v>0.1</v>
      </c>
      <c r="AB62">
        <v>0.1</v>
      </c>
      <c r="AC62">
        <v>0.5</v>
      </c>
      <c r="AD62">
        <v>0.5</v>
      </c>
      <c r="AE62">
        <v>0.5</v>
      </c>
      <c r="AF62">
        <v>0.5</v>
      </c>
      <c r="AG62">
        <v>0.5</v>
      </c>
      <c r="AH62">
        <v>0.5</v>
      </c>
      <c r="AI62">
        <v>0.5</v>
      </c>
      <c r="AJ62">
        <v>0.5</v>
      </c>
      <c r="AK62">
        <v>0.5</v>
      </c>
      <c r="AL62">
        <v>0.5</v>
      </c>
      <c r="AM62">
        <v>0.5</v>
      </c>
      <c r="AN62">
        <v>0.8</v>
      </c>
      <c r="AO62">
        <v>0.8</v>
      </c>
      <c r="AP62">
        <v>0.8</v>
      </c>
      <c r="AQ62">
        <v>0.8</v>
      </c>
      <c r="AR62">
        <v>0.8</v>
      </c>
      <c r="AS62">
        <v>0.8</v>
      </c>
      <c r="AT62">
        <v>0.5</v>
      </c>
      <c r="AU62">
        <v>0.8</v>
      </c>
      <c r="AV62">
        <v>0.8</v>
      </c>
      <c r="AW62">
        <v>0.8</v>
      </c>
      <c r="AX62">
        <v>0.8</v>
      </c>
      <c r="AY62">
        <v>0.5</v>
      </c>
      <c r="AZ62">
        <v>0.8</v>
      </c>
      <c r="BA62">
        <v>0.8</v>
      </c>
      <c r="BB62">
        <v>0.8</v>
      </c>
      <c r="BC62">
        <v>0.8</v>
      </c>
      <c r="BD62">
        <v>0.8</v>
      </c>
      <c r="BE62">
        <v>0.8</v>
      </c>
      <c r="BF62">
        <v>0.8</v>
      </c>
      <c r="BG62">
        <v>0.8</v>
      </c>
      <c r="BH62">
        <v>0.8</v>
      </c>
      <c r="BI62">
        <v>0.8</v>
      </c>
      <c r="BJ62">
        <v>0.7</v>
      </c>
      <c r="BK62">
        <v>0.7</v>
      </c>
      <c r="BL62">
        <v>0.8</v>
      </c>
      <c r="BM62">
        <v>0.7</v>
      </c>
      <c r="BN62">
        <v>0.7</v>
      </c>
      <c r="BO62">
        <v>0.7</v>
      </c>
      <c r="BP62">
        <v>0.7</v>
      </c>
      <c r="BQ62">
        <v>0.7</v>
      </c>
      <c r="BR62">
        <v>0.7</v>
      </c>
      <c r="BS62">
        <v>0.7</v>
      </c>
      <c r="BT62">
        <v>0.7</v>
      </c>
      <c r="BU62">
        <v>0.6</v>
      </c>
      <c r="BV62">
        <v>0.8</v>
      </c>
      <c r="BW62">
        <v>0.7</v>
      </c>
      <c r="BX62">
        <v>0.7</v>
      </c>
      <c r="BY62">
        <v>0.7</v>
      </c>
      <c r="BZ62">
        <v>0.7</v>
      </c>
      <c r="CA62">
        <v>0.6</v>
      </c>
      <c r="CB62">
        <v>0</v>
      </c>
      <c r="CC62">
        <v>0</v>
      </c>
      <c r="CD62">
        <v>0</v>
      </c>
      <c r="CE62">
        <v>0</v>
      </c>
      <c r="CF62">
        <v>0</v>
      </c>
    </row>
    <row r="63" spans="1:84" x14ac:dyDescent="0.15">
      <c r="A63" t="s">
        <v>234</v>
      </c>
      <c r="B63">
        <v>0</v>
      </c>
      <c r="C63">
        <v>0</v>
      </c>
      <c r="D63">
        <v>0.8</v>
      </c>
      <c r="E63">
        <v>0.8</v>
      </c>
      <c r="F63">
        <v>0.8</v>
      </c>
      <c r="G63">
        <v>0.8</v>
      </c>
      <c r="H63">
        <v>0.8</v>
      </c>
      <c r="I63">
        <v>0.8</v>
      </c>
      <c r="J63">
        <v>0.8</v>
      </c>
      <c r="K63">
        <v>0.8</v>
      </c>
      <c r="L63">
        <v>0.8</v>
      </c>
      <c r="M63">
        <v>0.8</v>
      </c>
      <c r="N63">
        <v>0.5</v>
      </c>
      <c r="O63">
        <v>0.8</v>
      </c>
      <c r="P63">
        <v>0.8</v>
      </c>
      <c r="Q63">
        <v>0.8</v>
      </c>
      <c r="R63">
        <v>0.5</v>
      </c>
      <c r="S63">
        <v>0.5</v>
      </c>
      <c r="T63">
        <v>0.5</v>
      </c>
      <c r="U63">
        <v>0.5</v>
      </c>
      <c r="V63">
        <v>0.5</v>
      </c>
      <c r="W63">
        <v>0.5</v>
      </c>
      <c r="X63">
        <v>0.5</v>
      </c>
      <c r="Y63">
        <v>0.1</v>
      </c>
      <c r="Z63">
        <v>0.1</v>
      </c>
      <c r="AA63">
        <v>0.1</v>
      </c>
      <c r="AB63">
        <v>0.1</v>
      </c>
      <c r="AC63">
        <v>0.5</v>
      </c>
      <c r="AD63">
        <v>0.5</v>
      </c>
      <c r="AE63">
        <v>0.5</v>
      </c>
      <c r="AF63">
        <v>0.5</v>
      </c>
      <c r="AG63">
        <v>0.5</v>
      </c>
      <c r="AH63">
        <v>0.5</v>
      </c>
      <c r="AI63">
        <v>0.5</v>
      </c>
      <c r="AJ63">
        <v>0.5</v>
      </c>
      <c r="AK63">
        <v>0.5</v>
      </c>
      <c r="AL63">
        <v>0.5</v>
      </c>
      <c r="AM63">
        <v>0.5</v>
      </c>
      <c r="AN63">
        <v>0.8</v>
      </c>
      <c r="AO63">
        <v>0.8</v>
      </c>
      <c r="AP63">
        <v>0.8</v>
      </c>
      <c r="AQ63">
        <v>0.8</v>
      </c>
      <c r="AR63">
        <v>0.8</v>
      </c>
      <c r="AS63">
        <v>0.8</v>
      </c>
      <c r="AT63">
        <v>0.5</v>
      </c>
      <c r="AU63">
        <v>0.8</v>
      </c>
      <c r="AV63">
        <v>0.8</v>
      </c>
      <c r="AW63">
        <v>0.8</v>
      </c>
      <c r="AX63">
        <v>0.8</v>
      </c>
      <c r="AY63">
        <v>0.5</v>
      </c>
      <c r="AZ63">
        <v>0.8</v>
      </c>
      <c r="BA63">
        <v>0.8</v>
      </c>
      <c r="BB63">
        <v>0.8</v>
      </c>
      <c r="BC63">
        <v>0.8</v>
      </c>
      <c r="BD63">
        <v>0.8</v>
      </c>
      <c r="BE63">
        <v>0.8</v>
      </c>
      <c r="BF63">
        <v>0.8</v>
      </c>
      <c r="BG63">
        <v>0.8</v>
      </c>
      <c r="BH63">
        <v>0.8</v>
      </c>
      <c r="BI63">
        <v>0.8</v>
      </c>
      <c r="BJ63">
        <v>0.7</v>
      </c>
      <c r="BK63">
        <v>0.7</v>
      </c>
      <c r="BL63">
        <v>0.8</v>
      </c>
      <c r="BM63">
        <v>0.7</v>
      </c>
      <c r="BN63">
        <v>0.7</v>
      </c>
      <c r="BO63">
        <v>0.7</v>
      </c>
      <c r="BP63">
        <v>0.7</v>
      </c>
      <c r="BQ63">
        <v>0.7</v>
      </c>
      <c r="BR63">
        <v>0.7</v>
      </c>
      <c r="BS63">
        <v>0.7</v>
      </c>
      <c r="BT63">
        <v>0.7</v>
      </c>
      <c r="BU63">
        <v>0.6</v>
      </c>
      <c r="BV63">
        <v>0.8</v>
      </c>
      <c r="BW63">
        <v>0.7</v>
      </c>
      <c r="BX63">
        <v>0.7</v>
      </c>
      <c r="BY63">
        <v>0.7</v>
      </c>
      <c r="BZ63">
        <v>0.7</v>
      </c>
      <c r="CA63">
        <v>0.6</v>
      </c>
      <c r="CB63">
        <v>0</v>
      </c>
      <c r="CC63">
        <v>0</v>
      </c>
      <c r="CD63">
        <v>0</v>
      </c>
      <c r="CE63">
        <v>0</v>
      </c>
      <c r="CF63">
        <v>0</v>
      </c>
    </row>
    <row r="64" spans="1:84" x14ac:dyDescent="0.15">
      <c r="A64" t="s">
        <v>235</v>
      </c>
      <c r="B64">
        <v>0</v>
      </c>
      <c r="C64">
        <v>0</v>
      </c>
      <c r="D64">
        <v>0.8</v>
      </c>
      <c r="E64">
        <v>0.8</v>
      </c>
      <c r="F64">
        <v>0.8</v>
      </c>
      <c r="G64">
        <v>0.8</v>
      </c>
      <c r="H64">
        <v>0.8</v>
      </c>
      <c r="I64">
        <v>0.8</v>
      </c>
      <c r="J64">
        <v>0.8</v>
      </c>
      <c r="K64">
        <v>0.8</v>
      </c>
      <c r="L64">
        <v>0.8</v>
      </c>
      <c r="M64">
        <v>0.8</v>
      </c>
      <c r="N64">
        <v>0.5</v>
      </c>
      <c r="O64">
        <v>0.8</v>
      </c>
      <c r="P64">
        <v>0.8</v>
      </c>
      <c r="Q64">
        <v>0.8</v>
      </c>
      <c r="R64">
        <v>0.5</v>
      </c>
      <c r="S64">
        <v>0.5</v>
      </c>
      <c r="T64">
        <v>0.5</v>
      </c>
      <c r="U64">
        <v>0.5</v>
      </c>
      <c r="V64">
        <v>0.5</v>
      </c>
      <c r="W64">
        <v>0.5</v>
      </c>
      <c r="X64">
        <v>0.5</v>
      </c>
      <c r="Y64">
        <v>0.1</v>
      </c>
      <c r="Z64">
        <v>0.1</v>
      </c>
      <c r="AA64">
        <v>0.1</v>
      </c>
      <c r="AB64">
        <v>0.1</v>
      </c>
      <c r="AC64">
        <v>0.5</v>
      </c>
      <c r="AD64">
        <v>0.5</v>
      </c>
      <c r="AE64">
        <v>0.5</v>
      </c>
      <c r="AF64">
        <v>0.5</v>
      </c>
      <c r="AG64">
        <v>0.5</v>
      </c>
      <c r="AH64">
        <v>0.5</v>
      </c>
      <c r="AI64">
        <v>0.5</v>
      </c>
      <c r="AJ64">
        <v>0.5</v>
      </c>
      <c r="AK64">
        <v>0.5</v>
      </c>
      <c r="AL64">
        <v>0.5</v>
      </c>
      <c r="AM64">
        <v>0.5</v>
      </c>
      <c r="AN64">
        <v>0.8</v>
      </c>
      <c r="AO64">
        <v>0.8</v>
      </c>
      <c r="AP64">
        <v>0.8</v>
      </c>
      <c r="AQ64">
        <v>0.8</v>
      </c>
      <c r="AR64">
        <v>0.8</v>
      </c>
      <c r="AS64">
        <v>0.8</v>
      </c>
      <c r="AT64">
        <v>0.5</v>
      </c>
      <c r="AU64">
        <v>0.8</v>
      </c>
      <c r="AV64">
        <v>0.8</v>
      </c>
      <c r="AW64">
        <v>0.8</v>
      </c>
      <c r="AX64">
        <v>0.8</v>
      </c>
      <c r="AY64">
        <v>0.5</v>
      </c>
      <c r="AZ64">
        <v>0.8</v>
      </c>
      <c r="BA64">
        <v>0.8</v>
      </c>
      <c r="BB64">
        <v>0.8</v>
      </c>
      <c r="BC64">
        <v>0.8</v>
      </c>
      <c r="BD64">
        <v>0.8</v>
      </c>
      <c r="BE64">
        <v>0.8</v>
      </c>
      <c r="BF64">
        <v>0.8</v>
      </c>
      <c r="BG64">
        <v>0.8</v>
      </c>
      <c r="BH64">
        <v>0.8</v>
      </c>
      <c r="BI64">
        <v>0.8</v>
      </c>
      <c r="BJ64">
        <v>0.7</v>
      </c>
      <c r="BK64">
        <v>0.7</v>
      </c>
      <c r="BL64">
        <v>0.8</v>
      </c>
      <c r="BM64">
        <v>0.7</v>
      </c>
      <c r="BN64">
        <v>0.7</v>
      </c>
      <c r="BO64">
        <v>0.7</v>
      </c>
      <c r="BP64">
        <v>0.7</v>
      </c>
      <c r="BQ64">
        <v>0.7</v>
      </c>
      <c r="BR64">
        <v>0.7</v>
      </c>
      <c r="BS64">
        <v>0.7</v>
      </c>
      <c r="BT64">
        <v>0.7</v>
      </c>
      <c r="BU64">
        <v>0.6</v>
      </c>
      <c r="BV64">
        <v>0.8</v>
      </c>
      <c r="BW64">
        <v>0.7</v>
      </c>
      <c r="BX64">
        <v>0.7</v>
      </c>
      <c r="BY64">
        <v>0.7</v>
      </c>
      <c r="BZ64">
        <v>0.7</v>
      </c>
      <c r="CA64">
        <v>0.6</v>
      </c>
      <c r="CB64">
        <v>0</v>
      </c>
      <c r="CC64">
        <v>0</v>
      </c>
      <c r="CD64">
        <v>0</v>
      </c>
      <c r="CE64">
        <v>0</v>
      </c>
      <c r="CF64">
        <v>0</v>
      </c>
    </row>
    <row r="65" spans="1:84" x14ac:dyDescent="0.15">
      <c r="A65" t="s">
        <v>236</v>
      </c>
      <c r="B65">
        <v>0</v>
      </c>
      <c r="C65">
        <v>0</v>
      </c>
      <c r="D65">
        <v>0.8</v>
      </c>
      <c r="E65">
        <v>0.8</v>
      </c>
      <c r="F65">
        <v>0.8</v>
      </c>
      <c r="G65">
        <v>0.8</v>
      </c>
      <c r="H65">
        <v>0.8</v>
      </c>
      <c r="I65">
        <v>0.8</v>
      </c>
      <c r="J65">
        <v>0.8</v>
      </c>
      <c r="K65">
        <v>0.8</v>
      </c>
      <c r="L65">
        <v>0.8</v>
      </c>
      <c r="M65">
        <v>0.8</v>
      </c>
      <c r="N65">
        <v>0.5</v>
      </c>
      <c r="O65">
        <v>0.8</v>
      </c>
      <c r="P65">
        <v>0.8</v>
      </c>
      <c r="Q65">
        <v>0.8</v>
      </c>
      <c r="R65">
        <v>0.5</v>
      </c>
      <c r="S65">
        <v>0.5</v>
      </c>
      <c r="T65">
        <v>0.5</v>
      </c>
      <c r="U65">
        <v>0.5</v>
      </c>
      <c r="V65">
        <v>0.5</v>
      </c>
      <c r="W65">
        <v>0.5</v>
      </c>
      <c r="X65">
        <v>0.5</v>
      </c>
      <c r="Y65">
        <v>0.1</v>
      </c>
      <c r="Z65">
        <v>0.1</v>
      </c>
      <c r="AA65">
        <v>0.1</v>
      </c>
      <c r="AB65">
        <v>0.1</v>
      </c>
      <c r="AC65">
        <v>0.5</v>
      </c>
      <c r="AD65">
        <v>0.5</v>
      </c>
      <c r="AE65">
        <v>0.5</v>
      </c>
      <c r="AF65">
        <v>0.5</v>
      </c>
      <c r="AG65">
        <v>0.5</v>
      </c>
      <c r="AH65">
        <v>0.5</v>
      </c>
      <c r="AI65">
        <v>0.5</v>
      </c>
      <c r="AJ65">
        <v>0.5</v>
      </c>
      <c r="AK65">
        <v>0.5</v>
      </c>
      <c r="AL65">
        <v>0.5</v>
      </c>
      <c r="AM65">
        <v>0.5</v>
      </c>
      <c r="AN65">
        <v>0.8</v>
      </c>
      <c r="AO65">
        <v>0.8</v>
      </c>
      <c r="AP65">
        <v>0.8</v>
      </c>
      <c r="AQ65">
        <v>0.8</v>
      </c>
      <c r="AR65">
        <v>0.8</v>
      </c>
      <c r="AS65">
        <v>0.8</v>
      </c>
      <c r="AT65">
        <v>0.5</v>
      </c>
      <c r="AU65">
        <v>0.8</v>
      </c>
      <c r="AV65">
        <v>0.8</v>
      </c>
      <c r="AW65">
        <v>0.8</v>
      </c>
      <c r="AX65">
        <v>0.8</v>
      </c>
      <c r="AY65">
        <v>0.5</v>
      </c>
      <c r="AZ65">
        <v>0.8</v>
      </c>
      <c r="BA65">
        <v>0.8</v>
      </c>
      <c r="BB65">
        <v>0.8</v>
      </c>
      <c r="BC65">
        <v>0.8</v>
      </c>
      <c r="BD65">
        <v>0.8</v>
      </c>
      <c r="BE65">
        <v>0.8</v>
      </c>
      <c r="BF65">
        <v>0.8</v>
      </c>
      <c r="BG65">
        <v>0.8</v>
      </c>
      <c r="BH65">
        <v>0.8</v>
      </c>
      <c r="BI65">
        <v>0.8</v>
      </c>
      <c r="BJ65">
        <v>0.7</v>
      </c>
      <c r="BK65">
        <v>0.7</v>
      </c>
      <c r="BL65">
        <v>0.8</v>
      </c>
      <c r="BM65">
        <v>0.7</v>
      </c>
      <c r="BN65">
        <v>0.7</v>
      </c>
      <c r="BO65">
        <v>0.7</v>
      </c>
      <c r="BP65">
        <v>0.7</v>
      </c>
      <c r="BQ65">
        <v>0.7</v>
      </c>
      <c r="BR65">
        <v>0.7</v>
      </c>
      <c r="BS65">
        <v>0.7</v>
      </c>
      <c r="BT65">
        <v>0.7</v>
      </c>
      <c r="BU65">
        <v>0.6</v>
      </c>
      <c r="BV65">
        <v>0.8</v>
      </c>
      <c r="BW65">
        <v>0.7</v>
      </c>
      <c r="BX65">
        <v>0.7</v>
      </c>
      <c r="BY65">
        <v>0.7</v>
      </c>
      <c r="BZ65">
        <v>0.7</v>
      </c>
      <c r="CA65">
        <v>0.6</v>
      </c>
      <c r="CB65">
        <v>0</v>
      </c>
      <c r="CC65">
        <v>0</v>
      </c>
      <c r="CD65">
        <v>0</v>
      </c>
      <c r="CE65">
        <v>0</v>
      </c>
      <c r="CF65">
        <v>0</v>
      </c>
    </row>
    <row r="66" spans="1:84" x14ac:dyDescent="0.15">
      <c r="A66" t="s">
        <v>237</v>
      </c>
      <c r="B66">
        <v>0</v>
      </c>
      <c r="C66">
        <v>0</v>
      </c>
      <c r="D66">
        <v>0.8</v>
      </c>
      <c r="E66">
        <v>0.8</v>
      </c>
      <c r="F66">
        <v>0.8</v>
      </c>
      <c r="G66">
        <v>0.8</v>
      </c>
      <c r="H66">
        <v>0.8</v>
      </c>
      <c r="I66">
        <v>0.8</v>
      </c>
      <c r="J66">
        <v>0.8</v>
      </c>
      <c r="K66">
        <v>0.8</v>
      </c>
      <c r="L66">
        <v>0.8</v>
      </c>
      <c r="M66">
        <v>0.8</v>
      </c>
      <c r="N66">
        <v>0.5</v>
      </c>
      <c r="O66">
        <v>0.8</v>
      </c>
      <c r="P66">
        <v>0.8</v>
      </c>
      <c r="Q66">
        <v>0.8</v>
      </c>
      <c r="R66">
        <v>0.5</v>
      </c>
      <c r="S66">
        <v>0.5</v>
      </c>
      <c r="T66">
        <v>0.5</v>
      </c>
      <c r="U66">
        <v>0.5</v>
      </c>
      <c r="V66">
        <v>0.5</v>
      </c>
      <c r="W66">
        <v>0.5</v>
      </c>
      <c r="X66">
        <v>0.5</v>
      </c>
      <c r="Y66">
        <v>0.1</v>
      </c>
      <c r="Z66">
        <v>0.1</v>
      </c>
      <c r="AA66">
        <v>0.1</v>
      </c>
      <c r="AB66">
        <v>0.1</v>
      </c>
      <c r="AC66">
        <v>0.5</v>
      </c>
      <c r="AD66">
        <v>0.5</v>
      </c>
      <c r="AE66">
        <v>0.5</v>
      </c>
      <c r="AF66">
        <v>0.5</v>
      </c>
      <c r="AG66">
        <v>0.5</v>
      </c>
      <c r="AH66">
        <v>0.5</v>
      </c>
      <c r="AI66">
        <v>0.5</v>
      </c>
      <c r="AJ66">
        <v>0.5</v>
      </c>
      <c r="AK66">
        <v>0.5</v>
      </c>
      <c r="AL66">
        <v>0.5</v>
      </c>
      <c r="AM66">
        <v>0.5</v>
      </c>
      <c r="AN66">
        <v>0.8</v>
      </c>
      <c r="AO66">
        <v>0.8</v>
      </c>
      <c r="AP66">
        <v>0.8</v>
      </c>
      <c r="AQ66">
        <v>0.8</v>
      </c>
      <c r="AR66">
        <v>0.8</v>
      </c>
      <c r="AS66">
        <v>0.8</v>
      </c>
      <c r="AT66">
        <v>0.5</v>
      </c>
      <c r="AU66">
        <v>0.8</v>
      </c>
      <c r="AV66">
        <v>0.8</v>
      </c>
      <c r="AW66">
        <v>0.8</v>
      </c>
      <c r="AX66">
        <v>0.8</v>
      </c>
      <c r="AY66">
        <v>0.5</v>
      </c>
      <c r="AZ66">
        <v>0.8</v>
      </c>
      <c r="BA66">
        <v>0.8</v>
      </c>
      <c r="BB66">
        <v>0.8</v>
      </c>
      <c r="BC66">
        <v>0.8</v>
      </c>
      <c r="BD66">
        <v>0.8</v>
      </c>
      <c r="BE66">
        <v>0.8</v>
      </c>
      <c r="BF66">
        <v>0.8</v>
      </c>
      <c r="BG66">
        <v>0.8</v>
      </c>
      <c r="BH66">
        <v>0.8</v>
      </c>
      <c r="BI66">
        <v>0.8</v>
      </c>
      <c r="BJ66">
        <v>0.7</v>
      </c>
      <c r="BK66">
        <v>0.7</v>
      </c>
      <c r="BL66">
        <v>0.8</v>
      </c>
      <c r="BM66">
        <v>0.7</v>
      </c>
      <c r="BN66">
        <v>0.7</v>
      </c>
      <c r="BO66">
        <v>0.7</v>
      </c>
      <c r="BP66">
        <v>0.7</v>
      </c>
      <c r="BQ66">
        <v>0.7</v>
      </c>
      <c r="BR66">
        <v>0.7</v>
      </c>
      <c r="BS66">
        <v>0.7</v>
      </c>
      <c r="BT66">
        <v>0.7</v>
      </c>
      <c r="BU66">
        <v>0.6</v>
      </c>
      <c r="BV66">
        <v>0.8</v>
      </c>
      <c r="BW66">
        <v>0.7</v>
      </c>
      <c r="BX66">
        <v>0.7</v>
      </c>
      <c r="BY66">
        <v>0.7</v>
      </c>
      <c r="BZ66">
        <v>0.7</v>
      </c>
      <c r="CA66">
        <v>0.6</v>
      </c>
      <c r="CB66">
        <v>0</v>
      </c>
      <c r="CC66">
        <v>0</v>
      </c>
      <c r="CD66">
        <v>0</v>
      </c>
      <c r="CE66">
        <v>0</v>
      </c>
      <c r="CF66">
        <v>0</v>
      </c>
    </row>
    <row r="67" spans="1:84" x14ac:dyDescent="0.15">
      <c r="A67" t="s">
        <v>238</v>
      </c>
      <c r="B67">
        <v>0</v>
      </c>
      <c r="C67">
        <v>0</v>
      </c>
      <c r="D67">
        <v>0.8</v>
      </c>
      <c r="E67">
        <v>0.8</v>
      </c>
      <c r="F67">
        <v>0.8</v>
      </c>
      <c r="G67">
        <v>0.8</v>
      </c>
      <c r="H67">
        <v>0.8</v>
      </c>
      <c r="I67">
        <v>0.8</v>
      </c>
      <c r="J67">
        <v>0.8</v>
      </c>
      <c r="K67">
        <v>0.8</v>
      </c>
      <c r="L67">
        <v>0.8</v>
      </c>
      <c r="M67">
        <v>0.8</v>
      </c>
      <c r="N67">
        <v>0.5</v>
      </c>
      <c r="O67">
        <v>0.8</v>
      </c>
      <c r="P67">
        <v>0.8</v>
      </c>
      <c r="Q67">
        <v>0.8</v>
      </c>
      <c r="R67">
        <v>0.5</v>
      </c>
      <c r="S67">
        <v>0.5</v>
      </c>
      <c r="T67">
        <v>0.5</v>
      </c>
      <c r="U67">
        <v>0.5</v>
      </c>
      <c r="V67">
        <v>0.5</v>
      </c>
      <c r="W67">
        <v>0.5</v>
      </c>
      <c r="X67">
        <v>0.5</v>
      </c>
      <c r="Y67">
        <v>0.1</v>
      </c>
      <c r="Z67">
        <v>0.1</v>
      </c>
      <c r="AA67">
        <v>0.1</v>
      </c>
      <c r="AB67">
        <v>0.1</v>
      </c>
      <c r="AC67">
        <v>0.5</v>
      </c>
      <c r="AD67">
        <v>0.5</v>
      </c>
      <c r="AE67">
        <v>0.5</v>
      </c>
      <c r="AF67">
        <v>0.5</v>
      </c>
      <c r="AG67">
        <v>0.5</v>
      </c>
      <c r="AH67">
        <v>0.5</v>
      </c>
      <c r="AI67">
        <v>0.5</v>
      </c>
      <c r="AJ67">
        <v>0.5</v>
      </c>
      <c r="AK67">
        <v>0.5</v>
      </c>
      <c r="AL67">
        <v>0.5</v>
      </c>
      <c r="AM67">
        <v>0.5</v>
      </c>
      <c r="AN67">
        <v>0.8</v>
      </c>
      <c r="AO67">
        <v>0.8</v>
      </c>
      <c r="AP67">
        <v>0.8</v>
      </c>
      <c r="AQ67">
        <v>0.8</v>
      </c>
      <c r="AR67">
        <v>0.8</v>
      </c>
      <c r="AS67">
        <v>0.8</v>
      </c>
      <c r="AT67">
        <v>0.5</v>
      </c>
      <c r="AU67">
        <v>0.8</v>
      </c>
      <c r="AV67">
        <v>0.8</v>
      </c>
      <c r="AW67">
        <v>0.8</v>
      </c>
      <c r="AX67">
        <v>0.8</v>
      </c>
      <c r="AY67">
        <v>0.5</v>
      </c>
      <c r="AZ67">
        <v>0.8</v>
      </c>
      <c r="BA67">
        <v>0.8</v>
      </c>
      <c r="BB67">
        <v>0.8</v>
      </c>
      <c r="BC67">
        <v>0.8</v>
      </c>
      <c r="BD67">
        <v>0.8</v>
      </c>
      <c r="BE67">
        <v>0.8</v>
      </c>
      <c r="BF67">
        <v>0.8</v>
      </c>
      <c r="BG67">
        <v>0.8</v>
      </c>
      <c r="BH67">
        <v>0.8</v>
      </c>
      <c r="BI67">
        <v>0.8</v>
      </c>
      <c r="BJ67">
        <v>0.7</v>
      </c>
      <c r="BK67">
        <v>0.7</v>
      </c>
      <c r="BL67">
        <v>0.8</v>
      </c>
      <c r="BM67">
        <v>0.7</v>
      </c>
      <c r="BN67">
        <v>0.7</v>
      </c>
      <c r="BO67">
        <v>0.7</v>
      </c>
      <c r="BP67">
        <v>0.7</v>
      </c>
      <c r="BQ67">
        <v>0.7</v>
      </c>
      <c r="BR67">
        <v>0.7</v>
      </c>
      <c r="BS67">
        <v>0.7</v>
      </c>
      <c r="BT67">
        <v>0.7</v>
      </c>
      <c r="BU67">
        <v>0.6</v>
      </c>
      <c r="BV67">
        <v>0.8</v>
      </c>
      <c r="BW67">
        <v>0.7</v>
      </c>
      <c r="BX67">
        <v>0.7</v>
      </c>
      <c r="BY67">
        <v>0.7</v>
      </c>
      <c r="BZ67">
        <v>0.7</v>
      </c>
      <c r="CA67">
        <v>0.6</v>
      </c>
      <c r="CB67">
        <v>0</v>
      </c>
      <c r="CC67">
        <v>0</v>
      </c>
      <c r="CD67">
        <v>0</v>
      </c>
      <c r="CE67">
        <v>0</v>
      </c>
      <c r="CF67">
        <v>0</v>
      </c>
    </row>
    <row r="68" spans="1:84" x14ac:dyDescent="0.15">
      <c r="A68" t="s">
        <v>239</v>
      </c>
      <c r="B68">
        <v>0</v>
      </c>
      <c r="C68">
        <v>0</v>
      </c>
      <c r="D68">
        <v>0.8</v>
      </c>
      <c r="E68">
        <v>0.8</v>
      </c>
      <c r="F68">
        <v>0.8</v>
      </c>
      <c r="G68">
        <v>0.8</v>
      </c>
      <c r="H68">
        <v>0.8</v>
      </c>
      <c r="I68">
        <v>0.8</v>
      </c>
      <c r="J68">
        <v>0.8</v>
      </c>
      <c r="K68">
        <v>0.8</v>
      </c>
      <c r="L68">
        <v>0.8</v>
      </c>
      <c r="M68">
        <v>0.8</v>
      </c>
      <c r="N68">
        <v>0.5</v>
      </c>
      <c r="O68">
        <v>0.8</v>
      </c>
      <c r="P68">
        <v>0.8</v>
      </c>
      <c r="Q68">
        <v>0.8</v>
      </c>
      <c r="R68">
        <v>0.5</v>
      </c>
      <c r="S68">
        <v>0.5</v>
      </c>
      <c r="T68">
        <v>0.5</v>
      </c>
      <c r="U68">
        <v>0.5</v>
      </c>
      <c r="V68">
        <v>0.5</v>
      </c>
      <c r="W68">
        <v>0.5</v>
      </c>
      <c r="X68">
        <v>0.5</v>
      </c>
      <c r="Y68">
        <v>0.1</v>
      </c>
      <c r="Z68">
        <v>0.1</v>
      </c>
      <c r="AA68">
        <v>0.1</v>
      </c>
      <c r="AB68">
        <v>0.1</v>
      </c>
      <c r="AC68">
        <v>0.5</v>
      </c>
      <c r="AD68">
        <v>0.5</v>
      </c>
      <c r="AE68">
        <v>0.5</v>
      </c>
      <c r="AF68">
        <v>0.5</v>
      </c>
      <c r="AG68">
        <v>0.5</v>
      </c>
      <c r="AH68">
        <v>0.5</v>
      </c>
      <c r="AI68">
        <v>0.5</v>
      </c>
      <c r="AJ68">
        <v>0.5</v>
      </c>
      <c r="AK68">
        <v>0.5</v>
      </c>
      <c r="AL68">
        <v>0.5</v>
      </c>
      <c r="AM68">
        <v>0.5</v>
      </c>
      <c r="AN68">
        <v>0.8</v>
      </c>
      <c r="AO68">
        <v>0.8</v>
      </c>
      <c r="AP68">
        <v>0.8</v>
      </c>
      <c r="AQ68">
        <v>0.8</v>
      </c>
      <c r="AR68">
        <v>0.8</v>
      </c>
      <c r="AS68">
        <v>0.8</v>
      </c>
      <c r="AT68">
        <v>0.5</v>
      </c>
      <c r="AU68">
        <v>0.8</v>
      </c>
      <c r="AV68">
        <v>0.8</v>
      </c>
      <c r="AW68">
        <v>0.8</v>
      </c>
      <c r="AX68">
        <v>0.8</v>
      </c>
      <c r="AY68">
        <v>0.5</v>
      </c>
      <c r="AZ68">
        <v>0.8</v>
      </c>
      <c r="BA68">
        <v>0.8</v>
      </c>
      <c r="BB68">
        <v>0.8</v>
      </c>
      <c r="BC68">
        <v>0.8</v>
      </c>
      <c r="BD68">
        <v>0.8</v>
      </c>
      <c r="BE68">
        <v>0.8</v>
      </c>
      <c r="BF68">
        <v>0.8</v>
      </c>
      <c r="BG68">
        <v>0.8</v>
      </c>
      <c r="BH68">
        <v>0.8</v>
      </c>
      <c r="BI68">
        <v>0.8</v>
      </c>
      <c r="BJ68">
        <v>0.7</v>
      </c>
      <c r="BK68">
        <v>0.7</v>
      </c>
      <c r="BL68">
        <v>0.8</v>
      </c>
      <c r="BM68">
        <v>0.7</v>
      </c>
      <c r="BN68">
        <v>0.7</v>
      </c>
      <c r="BO68">
        <v>0.7</v>
      </c>
      <c r="BP68">
        <v>0.7</v>
      </c>
      <c r="BQ68">
        <v>0.7</v>
      </c>
      <c r="BR68">
        <v>0.7</v>
      </c>
      <c r="BS68">
        <v>0.7</v>
      </c>
      <c r="BT68">
        <v>0.7</v>
      </c>
      <c r="BU68">
        <v>0.6</v>
      </c>
      <c r="BV68">
        <v>0.8</v>
      </c>
      <c r="BW68">
        <v>0.7</v>
      </c>
      <c r="BX68">
        <v>0.7</v>
      </c>
      <c r="BY68">
        <v>0.7</v>
      </c>
      <c r="BZ68">
        <v>0.7</v>
      </c>
      <c r="CA68">
        <v>0.6</v>
      </c>
      <c r="CB68">
        <v>0</v>
      </c>
      <c r="CC68">
        <v>0</v>
      </c>
      <c r="CD68">
        <v>0</v>
      </c>
      <c r="CE68">
        <v>0</v>
      </c>
      <c r="CF68">
        <v>0</v>
      </c>
    </row>
    <row r="69" spans="1:84" x14ac:dyDescent="0.15">
      <c r="A69" t="s">
        <v>240</v>
      </c>
      <c r="B69">
        <v>0</v>
      </c>
      <c r="C69">
        <v>0</v>
      </c>
      <c r="D69">
        <v>0.8</v>
      </c>
      <c r="E69">
        <v>0.8</v>
      </c>
      <c r="F69">
        <v>0.8</v>
      </c>
      <c r="G69">
        <v>0.8</v>
      </c>
      <c r="H69">
        <v>0.8</v>
      </c>
      <c r="I69">
        <v>0.8</v>
      </c>
      <c r="J69">
        <v>0.8</v>
      </c>
      <c r="K69">
        <v>0.8</v>
      </c>
      <c r="L69">
        <v>0.8</v>
      </c>
      <c r="M69">
        <v>0.8</v>
      </c>
      <c r="N69">
        <v>0.5</v>
      </c>
      <c r="O69">
        <v>0.8</v>
      </c>
      <c r="P69">
        <v>0.8</v>
      </c>
      <c r="Q69">
        <v>0.8</v>
      </c>
      <c r="R69">
        <v>0.5</v>
      </c>
      <c r="S69">
        <v>0.5</v>
      </c>
      <c r="T69">
        <v>0.5</v>
      </c>
      <c r="U69">
        <v>0.5</v>
      </c>
      <c r="V69">
        <v>0.5</v>
      </c>
      <c r="W69">
        <v>0.5</v>
      </c>
      <c r="X69">
        <v>0.5</v>
      </c>
      <c r="Y69">
        <v>0.1</v>
      </c>
      <c r="Z69">
        <v>0.1</v>
      </c>
      <c r="AA69">
        <v>0.1</v>
      </c>
      <c r="AB69">
        <v>0.1</v>
      </c>
      <c r="AC69">
        <v>0.5</v>
      </c>
      <c r="AD69">
        <v>0.5</v>
      </c>
      <c r="AE69">
        <v>0.5</v>
      </c>
      <c r="AF69">
        <v>0.5</v>
      </c>
      <c r="AG69">
        <v>0.5</v>
      </c>
      <c r="AH69">
        <v>0.5</v>
      </c>
      <c r="AI69">
        <v>0.5</v>
      </c>
      <c r="AJ69">
        <v>0.5</v>
      </c>
      <c r="AK69">
        <v>0.5</v>
      </c>
      <c r="AL69">
        <v>0.5</v>
      </c>
      <c r="AM69">
        <v>0.5</v>
      </c>
      <c r="AN69">
        <v>0.8</v>
      </c>
      <c r="AO69">
        <v>0.8</v>
      </c>
      <c r="AP69">
        <v>0.8</v>
      </c>
      <c r="AQ69">
        <v>0.8</v>
      </c>
      <c r="AR69">
        <v>0.8</v>
      </c>
      <c r="AS69">
        <v>0.8</v>
      </c>
      <c r="AT69">
        <v>0.5</v>
      </c>
      <c r="AU69">
        <v>0.8</v>
      </c>
      <c r="AV69">
        <v>0.8</v>
      </c>
      <c r="AW69">
        <v>0.8</v>
      </c>
      <c r="AX69">
        <v>0.8</v>
      </c>
      <c r="AY69">
        <v>0.5</v>
      </c>
      <c r="AZ69">
        <v>0.8</v>
      </c>
      <c r="BA69">
        <v>0.8</v>
      </c>
      <c r="BB69">
        <v>0.8</v>
      </c>
      <c r="BC69">
        <v>0.8</v>
      </c>
      <c r="BD69">
        <v>0.8</v>
      </c>
      <c r="BE69">
        <v>0.8</v>
      </c>
      <c r="BF69">
        <v>0.8</v>
      </c>
      <c r="BG69">
        <v>0.8</v>
      </c>
      <c r="BH69">
        <v>0.8</v>
      </c>
      <c r="BI69">
        <v>0.8</v>
      </c>
      <c r="BJ69">
        <v>0.7</v>
      </c>
      <c r="BK69">
        <v>0.7</v>
      </c>
      <c r="BL69">
        <v>0.8</v>
      </c>
      <c r="BM69">
        <v>0.7</v>
      </c>
      <c r="BN69">
        <v>0.7</v>
      </c>
      <c r="BO69">
        <v>0.7</v>
      </c>
      <c r="BP69">
        <v>0.7</v>
      </c>
      <c r="BQ69">
        <v>0.7</v>
      </c>
      <c r="BR69">
        <v>0.7</v>
      </c>
      <c r="BS69">
        <v>0.7</v>
      </c>
      <c r="BT69">
        <v>0.7</v>
      </c>
      <c r="BU69">
        <v>0.6</v>
      </c>
      <c r="BV69">
        <v>0.8</v>
      </c>
      <c r="BW69">
        <v>0.7</v>
      </c>
      <c r="BX69">
        <v>0.7</v>
      </c>
      <c r="BY69">
        <v>0.7</v>
      </c>
      <c r="BZ69">
        <v>0.7</v>
      </c>
      <c r="CA69">
        <v>0.6</v>
      </c>
      <c r="CB69">
        <v>0</v>
      </c>
      <c r="CC69">
        <v>0</v>
      </c>
      <c r="CD69">
        <v>0</v>
      </c>
      <c r="CE69">
        <v>0</v>
      </c>
      <c r="CF69">
        <v>0</v>
      </c>
    </row>
    <row r="70" spans="1:84" x14ac:dyDescent="0.15">
      <c r="A70" t="s">
        <v>241</v>
      </c>
      <c r="B70">
        <v>0</v>
      </c>
      <c r="C70">
        <v>0</v>
      </c>
      <c r="D70">
        <v>0.8</v>
      </c>
      <c r="E70">
        <v>0.8</v>
      </c>
      <c r="F70">
        <v>0.8</v>
      </c>
      <c r="G70">
        <v>0.8</v>
      </c>
      <c r="H70">
        <v>0.8</v>
      </c>
      <c r="I70">
        <v>0.8</v>
      </c>
      <c r="J70">
        <v>0.8</v>
      </c>
      <c r="K70">
        <v>0.8</v>
      </c>
      <c r="L70">
        <v>0.8</v>
      </c>
      <c r="M70">
        <v>0.8</v>
      </c>
      <c r="N70">
        <v>0.5</v>
      </c>
      <c r="O70">
        <v>0.8</v>
      </c>
      <c r="P70">
        <v>0.8</v>
      </c>
      <c r="Q70">
        <v>0.8</v>
      </c>
      <c r="R70">
        <v>0.5</v>
      </c>
      <c r="S70">
        <v>0.5</v>
      </c>
      <c r="T70">
        <v>0.5</v>
      </c>
      <c r="U70">
        <v>0.5</v>
      </c>
      <c r="V70">
        <v>0.5</v>
      </c>
      <c r="W70">
        <v>0.5</v>
      </c>
      <c r="X70">
        <v>0.5</v>
      </c>
      <c r="Y70">
        <v>0.1</v>
      </c>
      <c r="Z70">
        <v>0.1</v>
      </c>
      <c r="AA70">
        <v>0.1</v>
      </c>
      <c r="AB70">
        <v>0.1</v>
      </c>
      <c r="AC70">
        <v>0.5</v>
      </c>
      <c r="AD70">
        <v>0.5</v>
      </c>
      <c r="AE70">
        <v>0.5</v>
      </c>
      <c r="AF70">
        <v>0.5</v>
      </c>
      <c r="AG70">
        <v>0.5</v>
      </c>
      <c r="AH70">
        <v>0.5</v>
      </c>
      <c r="AI70">
        <v>0.5</v>
      </c>
      <c r="AJ70">
        <v>0.5</v>
      </c>
      <c r="AK70">
        <v>0.5</v>
      </c>
      <c r="AL70">
        <v>0.5</v>
      </c>
      <c r="AM70">
        <v>0.5</v>
      </c>
      <c r="AN70">
        <v>0.8</v>
      </c>
      <c r="AO70">
        <v>0.8</v>
      </c>
      <c r="AP70">
        <v>0.8</v>
      </c>
      <c r="AQ70">
        <v>0.8</v>
      </c>
      <c r="AR70">
        <v>0.8</v>
      </c>
      <c r="AS70">
        <v>0.8</v>
      </c>
      <c r="AT70">
        <v>0.5</v>
      </c>
      <c r="AU70">
        <v>0.8</v>
      </c>
      <c r="AV70">
        <v>0.8</v>
      </c>
      <c r="AW70">
        <v>0.8</v>
      </c>
      <c r="AX70">
        <v>0.8</v>
      </c>
      <c r="AY70">
        <v>0.5</v>
      </c>
      <c r="AZ70">
        <v>0.8</v>
      </c>
      <c r="BA70">
        <v>0.8</v>
      </c>
      <c r="BB70">
        <v>0.8</v>
      </c>
      <c r="BC70">
        <v>0.8</v>
      </c>
      <c r="BD70">
        <v>0.8</v>
      </c>
      <c r="BE70">
        <v>0.8</v>
      </c>
      <c r="BF70">
        <v>0.8</v>
      </c>
      <c r="BG70">
        <v>0.8</v>
      </c>
      <c r="BH70">
        <v>0.8</v>
      </c>
      <c r="BI70">
        <v>0.8</v>
      </c>
      <c r="BJ70">
        <v>0.7</v>
      </c>
      <c r="BK70">
        <v>0.7</v>
      </c>
      <c r="BL70">
        <v>0.8</v>
      </c>
      <c r="BM70">
        <v>0.7</v>
      </c>
      <c r="BN70">
        <v>0.7</v>
      </c>
      <c r="BO70">
        <v>0.7</v>
      </c>
      <c r="BP70">
        <v>0.7</v>
      </c>
      <c r="BQ70">
        <v>0.7</v>
      </c>
      <c r="BR70">
        <v>0.7</v>
      </c>
      <c r="BS70">
        <v>0.7</v>
      </c>
      <c r="BT70">
        <v>0.7</v>
      </c>
      <c r="BU70">
        <v>0.6</v>
      </c>
      <c r="BV70">
        <v>0.8</v>
      </c>
      <c r="BW70">
        <v>0.7</v>
      </c>
      <c r="BX70">
        <v>0.7</v>
      </c>
      <c r="BY70">
        <v>0.7</v>
      </c>
      <c r="BZ70">
        <v>0.7</v>
      </c>
      <c r="CA70">
        <v>0.6</v>
      </c>
      <c r="CB70">
        <v>0</v>
      </c>
      <c r="CC70">
        <v>0</v>
      </c>
      <c r="CD70">
        <v>0</v>
      </c>
      <c r="CE70">
        <v>0</v>
      </c>
      <c r="CF70">
        <v>0</v>
      </c>
    </row>
    <row r="71" spans="1:84" x14ac:dyDescent="0.15">
      <c r="A71" t="s">
        <v>242</v>
      </c>
      <c r="B71">
        <v>0</v>
      </c>
      <c r="C71">
        <v>0</v>
      </c>
      <c r="D71">
        <v>0.8</v>
      </c>
      <c r="E71">
        <v>0.8</v>
      </c>
      <c r="F71">
        <v>0.8</v>
      </c>
      <c r="G71">
        <v>0.8</v>
      </c>
      <c r="H71">
        <v>0.8</v>
      </c>
      <c r="I71">
        <v>0.8</v>
      </c>
      <c r="J71">
        <v>0.8</v>
      </c>
      <c r="K71">
        <v>0.8</v>
      </c>
      <c r="L71">
        <v>0.8</v>
      </c>
      <c r="M71">
        <v>0.8</v>
      </c>
      <c r="N71">
        <v>0.5</v>
      </c>
      <c r="O71">
        <v>0.8</v>
      </c>
      <c r="P71">
        <v>0.8</v>
      </c>
      <c r="Q71">
        <v>0.8</v>
      </c>
      <c r="R71">
        <v>0.5</v>
      </c>
      <c r="S71">
        <v>0.5</v>
      </c>
      <c r="T71">
        <v>0.5</v>
      </c>
      <c r="U71">
        <v>0.5</v>
      </c>
      <c r="V71">
        <v>0.5</v>
      </c>
      <c r="W71">
        <v>0.5</v>
      </c>
      <c r="X71">
        <v>0.5</v>
      </c>
      <c r="Y71">
        <v>0.1</v>
      </c>
      <c r="Z71">
        <v>0.1</v>
      </c>
      <c r="AA71">
        <v>0.1</v>
      </c>
      <c r="AB71">
        <v>0.1</v>
      </c>
      <c r="AC71">
        <v>0.5</v>
      </c>
      <c r="AD71">
        <v>0.5</v>
      </c>
      <c r="AE71">
        <v>0.5</v>
      </c>
      <c r="AF71">
        <v>0.5</v>
      </c>
      <c r="AG71">
        <v>0.5</v>
      </c>
      <c r="AH71">
        <v>0.5</v>
      </c>
      <c r="AI71">
        <v>0.5</v>
      </c>
      <c r="AJ71">
        <v>0.5</v>
      </c>
      <c r="AK71">
        <v>0.5</v>
      </c>
      <c r="AL71">
        <v>0.5</v>
      </c>
      <c r="AM71">
        <v>0.5</v>
      </c>
      <c r="AN71">
        <v>0.8</v>
      </c>
      <c r="AO71">
        <v>0.8</v>
      </c>
      <c r="AP71">
        <v>0.8</v>
      </c>
      <c r="AQ71">
        <v>0.8</v>
      </c>
      <c r="AR71">
        <v>0.8</v>
      </c>
      <c r="AS71">
        <v>0.8</v>
      </c>
      <c r="AT71">
        <v>0.5</v>
      </c>
      <c r="AU71">
        <v>0.8</v>
      </c>
      <c r="AV71">
        <v>0.8</v>
      </c>
      <c r="AW71">
        <v>0.8</v>
      </c>
      <c r="AX71">
        <v>0.8</v>
      </c>
      <c r="AY71">
        <v>0.5</v>
      </c>
      <c r="AZ71">
        <v>0.8</v>
      </c>
      <c r="BA71">
        <v>0.8</v>
      </c>
      <c r="BB71">
        <v>0.8</v>
      </c>
      <c r="BC71">
        <v>0.8</v>
      </c>
      <c r="BD71">
        <v>0.8</v>
      </c>
      <c r="BE71">
        <v>0.8</v>
      </c>
      <c r="BF71">
        <v>0.8</v>
      </c>
      <c r="BG71">
        <v>0.8</v>
      </c>
      <c r="BH71">
        <v>0.8</v>
      </c>
      <c r="BI71">
        <v>0.8</v>
      </c>
      <c r="BJ71">
        <v>0.7</v>
      </c>
      <c r="BK71">
        <v>0.7</v>
      </c>
      <c r="BL71">
        <v>0.8</v>
      </c>
      <c r="BM71">
        <v>0.7</v>
      </c>
      <c r="BN71">
        <v>0.7</v>
      </c>
      <c r="BO71">
        <v>0.7</v>
      </c>
      <c r="BP71">
        <v>0.7</v>
      </c>
      <c r="BQ71">
        <v>0.7</v>
      </c>
      <c r="BR71">
        <v>0.7</v>
      </c>
      <c r="BS71">
        <v>0.7</v>
      </c>
      <c r="BT71">
        <v>0.7</v>
      </c>
      <c r="BU71">
        <v>0.6</v>
      </c>
      <c r="BV71">
        <v>0.8</v>
      </c>
      <c r="BW71">
        <v>0.7</v>
      </c>
      <c r="BX71">
        <v>0.7</v>
      </c>
      <c r="BY71">
        <v>0.7</v>
      </c>
      <c r="BZ71">
        <v>0.7</v>
      </c>
      <c r="CA71">
        <v>0.6</v>
      </c>
      <c r="CB71">
        <v>0</v>
      </c>
      <c r="CC71">
        <v>0</v>
      </c>
      <c r="CD71">
        <v>0</v>
      </c>
      <c r="CE71">
        <v>0</v>
      </c>
      <c r="CF71">
        <v>0</v>
      </c>
    </row>
    <row r="72" spans="1:84" x14ac:dyDescent="0.15">
      <c r="A72" t="s">
        <v>243</v>
      </c>
      <c r="B72">
        <v>0</v>
      </c>
      <c r="C72">
        <v>0</v>
      </c>
      <c r="D72">
        <v>0.8</v>
      </c>
      <c r="E72">
        <v>0.8</v>
      </c>
      <c r="F72">
        <v>0.8</v>
      </c>
      <c r="G72">
        <v>0.8</v>
      </c>
      <c r="H72">
        <v>0.8</v>
      </c>
      <c r="I72">
        <v>0.8</v>
      </c>
      <c r="J72">
        <v>0.8</v>
      </c>
      <c r="K72">
        <v>0.8</v>
      </c>
      <c r="L72">
        <v>0.8</v>
      </c>
      <c r="M72">
        <v>0.8</v>
      </c>
      <c r="N72">
        <v>0.5</v>
      </c>
      <c r="O72">
        <v>0.8</v>
      </c>
      <c r="P72">
        <v>0.8</v>
      </c>
      <c r="Q72">
        <v>0.8</v>
      </c>
      <c r="R72">
        <v>0.5</v>
      </c>
      <c r="S72">
        <v>0.5</v>
      </c>
      <c r="T72">
        <v>0.5</v>
      </c>
      <c r="U72">
        <v>0.5</v>
      </c>
      <c r="V72">
        <v>0.5</v>
      </c>
      <c r="W72">
        <v>0.5</v>
      </c>
      <c r="X72">
        <v>0.5</v>
      </c>
      <c r="Y72">
        <v>0.1</v>
      </c>
      <c r="Z72">
        <v>0.1</v>
      </c>
      <c r="AA72">
        <v>0.1</v>
      </c>
      <c r="AB72">
        <v>0.1</v>
      </c>
      <c r="AC72">
        <v>0.5</v>
      </c>
      <c r="AD72">
        <v>0.5</v>
      </c>
      <c r="AE72">
        <v>0.5</v>
      </c>
      <c r="AF72">
        <v>0.5</v>
      </c>
      <c r="AG72">
        <v>0.5</v>
      </c>
      <c r="AH72">
        <v>0.5</v>
      </c>
      <c r="AI72">
        <v>0.5</v>
      </c>
      <c r="AJ72">
        <v>0.5</v>
      </c>
      <c r="AK72">
        <v>0.5</v>
      </c>
      <c r="AL72">
        <v>0.5</v>
      </c>
      <c r="AM72">
        <v>0.5</v>
      </c>
      <c r="AN72">
        <v>0.8</v>
      </c>
      <c r="AO72">
        <v>0.8</v>
      </c>
      <c r="AP72">
        <v>0.8</v>
      </c>
      <c r="AQ72">
        <v>0.8</v>
      </c>
      <c r="AR72">
        <v>0.8</v>
      </c>
      <c r="AS72">
        <v>0.8</v>
      </c>
      <c r="AT72">
        <v>0.5</v>
      </c>
      <c r="AU72">
        <v>0.8</v>
      </c>
      <c r="AV72">
        <v>0.8</v>
      </c>
      <c r="AW72">
        <v>0.8</v>
      </c>
      <c r="AX72">
        <v>0.8</v>
      </c>
      <c r="AY72">
        <v>0.5</v>
      </c>
      <c r="AZ72">
        <v>0.8</v>
      </c>
      <c r="BA72">
        <v>0.8</v>
      </c>
      <c r="BB72">
        <v>0.8</v>
      </c>
      <c r="BC72">
        <v>0.8</v>
      </c>
      <c r="BD72">
        <v>0.8</v>
      </c>
      <c r="BE72">
        <v>0.8</v>
      </c>
      <c r="BF72">
        <v>0.8</v>
      </c>
      <c r="BG72">
        <v>0.8</v>
      </c>
      <c r="BH72">
        <v>0.8</v>
      </c>
      <c r="BI72">
        <v>0.8</v>
      </c>
      <c r="BJ72">
        <v>0.7</v>
      </c>
      <c r="BK72">
        <v>0.7</v>
      </c>
      <c r="BL72">
        <v>0.8</v>
      </c>
      <c r="BM72">
        <v>0.7</v>
      </c>
      <c r="BN72">
        <v>0.7</v>
      </c>
      <c r="BO72">
        <v>0.7</v>
      </c>
      <c r="BP72">
        <v>0.7</v>
      </c>
      <c r="BQ72">
        <v>0.7</v>
      </c>
      <c r="BR72">
        <v>0.7</v>
      </c>
      <c r="BS72">
        <v>0.7</v>
      </c>
      <c r="BT72">
        <v>0.7</v>
      </c>
      <c r="BU72">
        <v>0.6</v>
      </c>
      <c r="BV72">
        <v>0.8</v>
      </c>
      <c r="BW72">
        <v>0.7</v>
      </c>
      <c r="BX72">
        <v>0.7</v>
      </c>
      <c r="BY72">
        <v>0.7</v>
      </c>
      <c r="BZ72">
        <v>0.7</v>
      </c>
      <c r="CA72">
        <v>0.6</v>
      </c>
      <c r="CB72">
        <v>0</v>
      </c>
      <c r="CC72">
        <v>0</v>
      </c>
      <c r="CD72">
        <v>0</v>
      </c>
      <c r="CE72">
        <v>0</v>
      </c>
      <c r="CF72">
        <v>0</v>
      </c>
    </row>
    <row r="73" spans="1:84" x14ac:dyDescent="0.15">
      <c r="A73" t="s">
        <v>244</v>
      </c>
      <c r="B73">
        <v>0</v>
      </c>
      <c r="C73">
        <v>0</v>
      </c>
      <c r="D73">
        <v>0.8</v>
      </c>
      <c r="E73">
        <v>0.8</v>
      </c>
      <c r="F73">
        <v>0.8</v>
      </c>
      <c r="G73">
        <v>0.8</v>
      </c>
      <c r="H73">
        <v>0.8</v>
      </c>
      <c r="I73">
        <v>0.8</v>
      </c>
      <c r="J73">
        <v>0.8</v>
      </c>
      <c r="K73">
        <v>0.8</v>
      </c>
      <c r="L73">
        <v>0.8</v>
      </c>
      <c r="M73">
        <v>0.8</v>
      </c>
      <c r="N73">
        <v>0.5</v>
      </c>
      <c r="O73">
        <v>0.8</v>
      </c>
      <c r="P73">
        <v>0.8</v>
      </c>
      <c r="Q73">
        <v>0.8</v>
      </c>
      <c r="R73">
        <v>0.5</v>
      </c>
      <c r="S73">
        <v>0.5</v>
      </c>
      <c r="T73">
        <v>0.5</v>
      </c>
      <c r="U73">
        <v>0.5</v>
      </c>
      <c r="V73">
        <v>0.5</v>
      </c>
      <c r="W73">
        <v>0.5</v>
      </c>
      <c r="X73">
        <v>0.5</v>
      </c>
      <c r="Y73">
        <v>0.1</v>
      </c>
      <c r="Z73">
        <v>0.1</v>
      </c>
      <c r="AA73">
        <v>0.1</v>
      </c>
      <c r="AB73">
        <v>0.1</v>
      </c>
      <c r="AC73">
        <v>0.5</v>
      </c>
      <c r="AD73">
        <v>0.5</v>
      </c>
      <c r="AE73">
        <v>0.5</v>
      </c>
      <c r="AF73">
        <v>0.5</v>
      </c>
      <c r="AG73">
        <v>0.5</v>
      </c>
      <c r="AH73">
        <v>0.5</v>
      </c>
      <c r="AI73">
        <v>0.5</v>
      </c>
      <c r="AJ73">
        <v>0.5</v>
      </c>
      <c r="AK73">
        <v>0.5</v>
      </c>
      <c r="AL73">
        <v>0.5</v>
      </c>
      <c r="AM73">
        <v>0.5</v>
      </c>
      <c r="AN73">
        <v>0.8</v>
      </c>
      <c r="AO73">
        <v>0.8</v>
      </c>
      <c r="AP73">
        <v>0.8</v>
      </c>
      <c r="AQ73">
        <v>0.8</v>
      </c>
      <c r="AR73">
        <v>0.8</v>
      </c>
      <c r="AS73">
        <v>0.8</v>
      </c>
      <c r="AT73">
        <v>0.5</v>
      </c>
      <c r="AU73">
        <v>0.8</v>
      </c>
      <c r="AV73">
        <v>0.8</v>
      </c>
      <c r="AW73">
        <v>0.8</v>
      </c>
      <c r="AX73">
        <v>0.8</v>
      </c>
      <c r="AY73">
        <v>0.5</v>
      </c>
      <c r="AZ73">
        <v>0.8</v>
      </c>
      <c r="BA73">
        <v>0.8</v>
      </c>
      <c r="BB73">
        <v>0.8</v>
      </c>
      <c r="BC73">
        <v>0.8</v>
      </c>
      <c r="BD73">
        <v>0.8</v>
      </c>
      <c r="BE73">
        <v>0.8</v>
      </c>
      <c r="BF73">
        <v>0.8</v>
      </c>
      <c r="BG73">
        <v>0.8</v>
      </c>
      <c r="BH73">
        <v>0.8</v>
      </c>
      <c r="BI73">
        <v>0.8</v>
      </c>
      <c r="BJ73">
        <v>0.7</v>
      </c>
      <c r="BK73">
        <v>0.7</v>
      </c>
      <c r="BL73">
        <v>0.8</v>
      </c>
      <c r="BM73">
        <v>0.7</v>
      </c>
      <c r="BN73">
        <v>0.7</v>
      </c>
      <c r="BO73">
        <v>0.7</v>
      </c>
      <c r="BP73">
        <v>0.7</v>
      </c>
      <c r="BQ73">
        <v>0.7</v>
      </c>
      <c r="BR73">
        <v>0.7</v>
      </c>
      <c r="BS73">
        <v>0.7</v>
      </c>
      <c r="BT73">
        <v>0.7</v>
      </c>
      <c r="BU73">
        <v>0.6</v>
      </c>
      <c r="BV73">
        <v>0.8</v>
      </c>
      <c r="BW73">
        <v>0.7</v>
      </c>
      <c r="BX73">
        <v>0.7</v>
      </c>
      <c r="BY73">
        <v>0.7</v>
      </c>
      <c r="BZ73">
        <v>0.7</v>
      </c>
      <c r="CA73">
        <v>0.6</v>
      </c>
      <c r="CB73">
        <v>0</v>
      </c>
      <c r="CC73">
        <v>0</v>
      </c>
      <c r="CD73">
        <v>0</v>
      </c>
      <c r="CE73">
        <v>0</v>
      </c>
      <c r="CF73">
        <v>0</v>
      </c>
    </row>
    <row r="74" spans="1:84" x14ac:dyDescent="0.15">
      <c r="A74" t="s">
        <v>245</v>
      </c>
      <c r="B74">
        <v>0</v>
      </c>
      <c r="C74">
        <v>0</v>
      </c>
      <c r="D74">
        <v>0.8</v>
      </c>
      <c r="E74">
        <v>0.8</v>
      </c>
      <c r="F74">
        <v>0.8</v>
      </c>
      <c r="G74">
        <v>0.8</v>
      </c>
      <c r="H74">
        <v>0.8</v>
      </c>
      <c r="I74">
        <v>0.8</v>
      </c>
      <c r="J74">
        <v>0.8</v>
      </c>
      <c r="K74">
        <v>0.8</v>
      </c>
      <c r="L74">
        <v>0.8</v>
      </c>
      <c r="M74">
        <v>0.8</v>
      </c>
      <c r="N74">
        <v>0.5</v>
      </c>
      <c r="O74">
        <v>0.8</v>
      </c>
      <c r="P74">
        <v>0.8</v>
      </c>
      <c r="Q74">
        <v>0.8</v>
      </c>
      <c r="R74">
        <v>0.5</v>
      </c>
      <c r="S74">
        <v>0.5</v>
      </c>
      <c r="T74">
        <v>0.5</v>
      </c>
      <c r="U74">
        <v>0.5</v>
      </c>
      <c r="V74">
        <v>0.5</v>
      </c>
      <c r="W74">
        <v>0.5</v>
      </c>
      <c r="X74">
        <v>0.5</v>
      </c>
      <c r="Y74">
        <v>0.1</v>
      </c>
      <c r="Z74">
        <v>0.1</v>
      </c>
      <c r="AA74">
        <v>0.1</v>
      </c>
      <c r="AB74">
        <v>0.1</v>
      </c>
      <c r="AC74">
        <v>0.5</v>
      </c>
      <c r="AD74">
        <v>0.5</v>
      </c>
      <c r="AE74">
        <v>0.5</v>
      </c>
      <c r="AF74">
        <v>0.5</v>
      </c>
      <c r="AG74">
        <v>0.5</v>
      </c>
      <c r="AH74">
        <v>0.5</v>
      </c>
      <c r="AI74">
        <v>0.5</v>
      </c>
      <c r="AJ74">
        <v>0.5</v>
      </c>
      <c r="AK74">
        <v>0.5</v>
      </c>
      <c r="AL74">
        <v>0.5</v>
      </c>
      <c r="AM74">
        <v>0.5</v>
      </c>
      <c r="AN74">
        <v>0.8</v>
      </c>
      <c r="AO74">
        <v>0.8</v>
      </c>
      <c r="AP74">
        <v>0.8</v>
      </c>
      <c r="AQ74">
        <v>0.8</v>
      </c>
      <c r="AR74">
        <v>0.8</v>
      </c>
      <c r="AS74">
        <v>0.8</v>
      </c>
      <c r="AT74">
        <v>0.5</v>
      </c>
      <c r="AU74">
        <v>0.8</v>
      </c>
      <c r="AV74">
        <v>0.8</v>
      </c>
      <c r="AW74">
        <v>0.8</v>
      </c>
      <c r="AX74">
        <v>0.8</v>
      </c>
      <c r="AY74">
        <v>0.5</v>
      </c>
      <c r="AZ74">
        <v>0.8</v>
      </c>
      <c r="BA74">
        <v>0.8</v>
      </c>
      <c r="BB74">
        <v>0.8</v>
      </c>
      <c r="BC74">
        <v>0.8</v>
      </c>
      <c r="BD74">
        <v>0.8</v>
      </c>
      <c r="BE74">
        <v>0.8</v>
      </c>
      <c r="BF74">
        <v>0.8</v>
      </c>
      <c r="BG74">
        <v>0.8</v>
      </c>
      <c r="BH74">
        <v>0.8</v>
      </c>
      <c r="BI74">
        <v>0.8</v>
      </c>
      <c r="BJ74">
        <v>0.7</v>
      </c>
      <c r="BK74">
        <v>0.7</v>
      </c>
      <c r="BL74">
        <v>0.8</v>
      </c>
      <c r="BM74">
        <v>0.7</v>
      </c>
      <c r="BN74">
        <v>0.7</v>
      </c>
      <c r="BO74">
        <v>0.7</v>
      </c>
      <c r="BP74">
        <v>0.7</v>
      </c>
      <c r="BQ74">
        <v>0.7</v>
      </c>
      <c r="BR74">
        <v>0.7</v>
      </c>
      <c r="BS74">
        <v>0.7</v>
      </c>
      <c r="BT74">
        <v>0.7</v>
      </c>
      <c r="BU74">
        <v>0.6</v>
      </c>
      <c r="BV74">
        <v>0.8</v>
      </c>
      <c r="BW74">
        <v>0.7</v>
      </c>
      <c r="BX74">
        <v>0.7</v>
      </c>
      <c r="BY74">
        <v>0.7</v>
      </c>
      <c r="BZ74">
        <v>0.7</v>
      </c>
      <c r="CA74">
        <v>0.6</v>
      </c>
      <c r="CB74">
        <v>0</v>
      </c>
      <c r="CC74">
        <v>0</v>
      </c>
      <c r="CD74">
        <v>0</v>
      </c>
      <c r="CE74">
        <v>0</v>
      </c>
      <c r="CF74">
        <v>0</v>
      </c>
    </row>
    <row r="75" spans="1:84" x14ac:dyDescent="0.15">
      <c r="A75" t="s">
        <v>246</v>
      </c>
      <c r="B75">
        <v>0</v>
      </c>
      <c r="C75">
        <v>0</v>
      </c>
      <c r="D75">
        <v>0.8</v>
      </c>
      <c r="E75">
        <v>0.8</v>
      </c>
      <c r="F75">
        <v>0.8</v>
      </c>
      <c r="G75">
        <v>0.8</v>
      </c>
      <c r="H75">
        <v>0.8</v>
      </c>
      <c r="I75">
        <v>0.8</v>
      </c>
      <c r="J75">
        <v>0.8</v>
      </c>
      <c r="K75">
        <v>0.8</v>
      </c>
      <c r="L75">
        <v>0.8</v>
      </c>
      <c r="M75">
        <v>0.8</v>
      </c>
      <c r="N75">
        <v>0.5</v>
      </c>
      <c r="O75">
        <v>0.8</v>
      </c>
      <c r="P75">
        <v>0.8</v>
      </c>
      <c r="Q75">
        <v>0.8</v>
      </c>
      <c r="R75">
        <v>0.5</v>
      </c>
      <c r="S75">
        <v>0.5</v>
      </c>
      <c r="T75">
        <v>0.5</v>
      </c>
      <c r="U75">
        <v>0.5</v>
      </c>
      <c r="V75">
        <v>0.5</v>
      </c>
      <c r="W75">
        <v>0.5</v>
      </c>
      <c r="X75">
        <v>0.5</v>
      </c>
      <c r="Y75">
        <v>0.1</v>
      </c>
      <c r="Z75">
        <v>0.1</v>
      </c>
      <c r="AA75">
        <v>0.1</v>
      </c>
      <c r="AB75">
        <v>0.1</v>
      </c>
      <c r="AC75">
        <v>0.5</v>
      </c>
      <c r="AD75">
        <v>0.5</v>
      </c>
      <c r="AE75">
        <v>0.5</v>
      </c>
      <c r="AF75">
        <v>0.5</v>
      </c>
      <c r="AG75">
        <v>0.5</v>
      </c>
      <c r="AH75">
        <v>0.5</v>
      </c>
      <c r="AI75">
        <v>0.5</v>
      </c>
      <c r="AJ75">
        <v>0.5</v>
      </c>
      <c r="AK75">
        <v>0.5</v>
      </c>
      <c r="AL75">
        <v>0.5</v>
      </c>
      <c r="AM75">
        <v>0.5</v>
      </c>
      <c r="AN75">
        <v>0.8</v>
      </c>
      <c r="AO75">
        <v>0.8</v>
      </c>
      <c r="AP75">
        <v>0.8</v>
      </c>
      <c r="AQ75">
        <v>0.8</v>
      </c>
      <c r="AR75">
        <v>0.8</v>
      </c>
      <c r="AS75">
        <v>0.8</v>
      </c>
      <c r="AT75">
        <v>0.5</v>
      </c>
      <c r="AU75">
        <v>0.8</v>
      </c>
      <c r="AV75">
        <v>0.8</v>
      </c>
      <c r="AW75">
        <v>0.8</v>
      </c>
      <c r="AX75">
        <v>0.8</v>
      </c>
      <c r="AY75">
        <v>0.5</v>
      </c>
      <c r="AZ75">
        <v>0.8</v>
      </c>
      <c r="BA75">
        <v>0.8</v>
      </c>
      <c r="BB75">
        <v>0.8</v>
      </c>
      <c r="BC75">
        <v>0.8</v>
      </c>
      <c r="BD75">
        <v>0.8</v>
      </c>
      <c r="BE75">
        <v>0.8</v>
      </c>
      <c r="BF75">
        <v>0.8</v>
      </c>
      <c r="BG75">
        <v>0.8</v>
      </c>
      <c r="BH75">
        <v>0.8</v>
      </c>
      <c r="BI75">
        <v>0.8</v>
      </c>
      <c r="BJ75">
        <v>0.7</v>
      </c>
      <c r="BK75">
        <v>0.7</v>
      </c>
      <c r="BL75">
        <v>0.8</v>
      </c>
      <c r="BM75">
        <v>0.7</v>
      </c>
      <c r="BN75">
        <v>0.7</v>
      </c>
      <c r="BO75">
        <v>0.7</v>
      </c>
      <c r="BP75">
        <v>0.7</v>
      </c>
      <c r="BQ75">
        <v>0.7</v>
      </c>
      <c r="BR75">
        <v>0.7</v>
      </c>
      <c r="BS75">
        <v>0.7</v>
      </c>
      <c r="BT75">
        <v>0.7</v>
      </c>
      <c r="BU75">
        <v>0.6</v>
      </c>
      <c r="BV75">
        <v>0.8</v>
      </c>
      <c r="BW75">
        <v>0.7</v>
      </c>
      <c r="BX75">
        <v>0.7</v>
      </c>
      <c r="BY75">
        <v>0.7</v>
      </c>
      <c r="BZ75">
        <v>0.7</v>
      </c>
      <c r="CA75">
        <v>0.6</v>
      </c>
      <c r="CB75">
        <v>0</v>
      </c>
      <c r="CC75">
        <v>0</v>
      </c>
      <c r="CD75">
        <v>0</v>
      </c>
      <c r="CE75">
        <v>0</v>
      </c>
      <c r="CF75">
        <v>0</v>
      </c>
    </row>
    <row r="76" spans="1:84" x14ac:dyDescent="0.15">
      <c r="A76" t="s">
        <v>247</v>
      </c>
      <c r="B76">
        <v>0</v>
      </c>
      <c r="C76">
        <v>0</v>
      </c>
      <c r="D76">
        <v>0.8</v>
      </c>
      <c r="E76">
        <v>0.8</v>
      </c>
      <c r="F76">
        <v>0.8</v>
      </c>
      <c r="G76">
        <v>0.8</v>
      </c>
      <c r="H76">
        <v>0.8</v>
      </c>
      <c r="I76">
        <v>0.8</v>
      </c>
      <c r="J76">
        <v>0.8</v>
      </c>
      <c r="K76">
        <v>0.8</v>
      </c>
      <c r="L76">
        <v>0.8</v>
      </c>
      <c r="M76">
        <v>0.8</v>
      </c>
      <c r="N76">
        <v>0.5</v>
      </c>
      <c r="O76">
        <v>0.8</v>
      </c>
      <c r="P76">
        <v>0.8</v>
      </c>
      <c r="Q76">
        <v>0.8</v>
      </c>
      <c r="R76">
        <v>0.5</v>
      </c>
      <c r="S76">
        <v>0.5</v>
      </c>
      <c r="T76">
        <v>0.5</v>
      </c>
      <c r="U76">
        <v>0.5</v>
      </c>
      <c r="V76">
        <v>0.5</v>
      </c>
      <c r="W76">
        <v>0.5</v>
      </c>
      <c r="X76">
        <v>0.5</v>
      </c>
      <c r="Y76">
        <v>0.1</v>
      </c>
      <c r="Z76">
        <v>0.1</v>
      </c>
      <c r="AA76">
        <v>0.1</v>
      </c>
      <c r="AB76">
        <v>0.1</v>
      </c>
      <c r="AC76">
        <v>0.5</v>
      </c>
      <c r="AD76">
        <v>0.5</v>
      </c>
      <c r="AE76">
        <v>0.5</v>
      </c>
      <c r="AF76">
        <v>0.5</v>
      </c>
      <c r="AG76">
        <v>0.5</v>
      </c>
      <c r="AH76">
        <v>0.5</v>
      </c>
      <c r="AI76">
        <v>0.5</v>
      </c>
      <c r="AJ76">
        <v>0.5</v>
      </c>
      <c r="AK76">
        <v>0.5</v>
      </c>
      <c r="AL76">
        <v>0.5</v>
      </c>
      <c r="AM76">
        <v>0.5</v>
      </c>
      <c r="AN76">
        <v>0.8</v>
      </c>
      <c r="AO76">
        <v>0.8</v>
      </c>
      <c r="AP76">
        <v>0.8</v>
      </c>
      <c r="AQ76">
        <v>0.8</v>
      </c>
      <c r="AR76">
        <v>0.8</v>
      </c>
      <c r="AS76">
        <v>0.8</v>
      </c>
      <c r="AT76">
        <v>0.5</v>
      </c>
      <c r="AU76">
        <v>0.8</v>
      </c>
      <c r="AV76">
        <v>0.8</v>
      </c>
      <c r="AW76">
        <v>0.8</v>
      </c>
      <c r="AX76">
        <v>0.8</v>
      </c>
      <c r="AY76">
        <v>0.5</v>
      </c>
      <c r="AZ76">
        <v>0.8</v>
      </c>
      <c r="BA76">
        <v>0.8</v>
      </c>
      <c r="BB76">
        <v>0.8</v>
      </c>
      <c r="BC76">
        <v>0.8</v>
      </c>
      <c r="BD76">
        <v>0.8</v>
      </c>
      <c r="BE76">
        <v>0.8</v>
      </c>
      <c r="BF76">
        <v>0.8</v>
      </c>
      <c r="BG76">
        <v>0.8</v>
      </c>
      <c r="BH76">
        <v>0.8</v>
      </c>
      <c r="BI76">
        <v>0.8</v>
      </c>
      <c r="BJ76">
        <v>0.7</v>
      </c>
      <c r="BK76">
        <v>0.7</v>
      </c>
      <c r="BL76">
        <v>0.8</v>
      </c>
      <c r="BM76">
        <v>0.7</v>
      </c>
      <c r="BN76">
        <v>0.7</v>
      </c>
      <c r="BO76">
        <v>0.7</v>
      </c>
      <c r="BP76">
        <v>0.7</v>
      </c>
      <c r="BQ76">
        <v>0.7</v>
      </c>
      <c r="BR76">
        <v>0.7</v>
      </c>
      <c r="BS76">
        <v>0.7</v>
      </c>
      <c r="BT76">
        <v>0.7</v>
      </c>
      <c r="BU76">
        <v>0.6</v>
      </c>
      <c r="BV76">
        <v>0.8</v>
      </c>
      <c r="BW76">
        <v>0.7</v>
      </c>
      <c r="BX76">
        <v>0.7</v>
      </c>
      <c r="BY76">
        <v>0.7</v>
      </c>
      <c r="BZ76">
        <v>0.7</v>
      </c>
      <c r="CA76">
        <v>0.6</v>
      </c>
      <c r="CB76">
        <v>0</v>
      </c>
      <c r="CC76">
        <v>0</v>
      </c>
      <c r="CD76">
        <v>0</v>
      </c>
      <c r="CE76">
        <v>0</v>
      </c>
      <c r="CF76">
        <v>0</v>
      </c>
    </row>
    <row r="77" spans="1:84" x14ac:dyDescent="0.15">
      <c r="A77" t="s">
        <v>248</v>
      </c>
      <c r="B77">
        <v>0</v>
      </c>
      <c r="C77">
        <v>0</v>
      </c>
      <c r="D77">
        <v>0.8</v>
      </c>
      <c r="E77">
        <v>0.8</v>
      </c>
      <c r="F77">
        <v>0.8</v>
      </c>
      <c r="G77">
        <v>0.8</v>
      </c>
      <c r="H77">
        <v>0.8</v>
      </c>
      <c r="I77">
        <v>0.8</v>
      </c>
      <c r="J77">
        <v>0.8</v>
      </c>
      <c r="K77">
        <v>0.8</v>
      </c>
      <c r="L77">
        <v>0.8</v>
      </c>
      <c r="M77">
        <v>0.8</v>
      </c>
      <c r="N77">
        <v>0.5</v>
      </c>
      <c r="O77">
        <v>0.8</v>
      </c>
      <c r="P77">
        <v>0.8</v>
      </c>
      <c r="Q77">
        <v>0.8</v>
      </c>
      <c r="R77">
        <v>0.5</v>
      </c>
      <c r="S77">
        <v>0.5</v>
      </c>
      <c r="T77">
        <v>0.5</v>
      </c>
      <c r="U77">
        <v>0.5</v>
      </c>
      <c r="V77">
        <v>0.5</v>
      </c>
      <c r="W77">
        <v>0.5</v>
      </c>
      <c r="X77">
        <v>0.5</v>
      </c>
      <c r="Y77">
        <v>0.1</v>
      </c>
      <c r="Z77">
        <v>0.1</v>
      </c>
      <c r="AA77">
        <v>0.1</v>
      </c>
      <c r="AB77">
        <v>0.1</v>
      </c>
      <c r="AC77">
        <v>0.5</v>
      </c>
      <c r="AD77">
        <v>0.5</v>
      </c>
      <c r="AE77">
        <v>0.5</v>
      </c>
      <c r="AF77">
        <v>0.5</v>
      </c>
      <c r="AG77">
        <v>0.5</v>
      </c>
      <c r="AH77">
        <v>0.5</v>
      </c>
      <c r="AI77">
        <v>0.5</v>
      </c>
      <c r="AJ77">
        <v>0.5</v>
      </c>
      <c r="AK77">
        <v>0.5</v>
      </c>
      <c r="AL77">
        <v>0.5</v>
      </c>
      <c r="AM77">
        <v>0.5</v>
      </c>
      <c r="AN77">
        <v>0.8</v>
      </c>
      <c r="AO77">
        <v>0.8</v>
      </c>
      <c r="AP77">
        <v>0.8</v>
      </c>
      <c r="AQ77">
        <v>0.8</v>
      </c>
      <c r="AR77">
        <v>0.8</v>
      </c>
      <c r="AS77">
        <v>0.8</v>
      </c>
      <c r="AT77">
        <v>0.5</v>
      </c>
      <c r="AU77">
        <v>0.8</v>
      </c>
      <c r="AV77">
        <v>0.8</v>
      </c>
      <c r="AW77">
        <v>0.8</v>
      </c>
      <c r="AX77">
        <v>0.8</v>
      </c>
      <c r="AY77">
        <v>0.5</v>
      </c>
      <c r="AZ77">
        <v>0.8</v>
      </c>
      <c r="BA77">
        <v>0.8</v>
      </c>
      <c r="BB77">
        <v>0.8</v>
      </c>
      <c r="BC77">
        <v>0.8</v>
      </c>
      <c r="BD77">
        <v>0.8</v>
      </c>
      <c r="BE77">
        <v>0.8</v>
      </c>
      <c r="BF77">
        <v>0.8</v>
      </c>
      <c r="BG77">
        <v>0.8</v>
      </c>
      <c r="BH77">
        <v>0.8</v>
      </c>
      <c r="BI77">
        <v>0.8</v>
      </c>
      <c r="BJ77">
        <v>0.7</v>
      </c>
      <c r="BK77">
        <v>0.7</v>
      </c>
      <c r="BL77">
        <v>0.8</v>
      </c>
      <c r="BM77">
        <v>0.7</v>
      </c>
      <c r="BN77">
        <v>0.7</v>
      </c>
      <c r="BO77">
        <v>0.7</v>
      </c>
      <c r="BP77">
        <v>0.7</v>
      </c>
      <c r="BQ77">
        <v>0.7</v>
      </c>
      <c r="BR77">
        <v>0.7</v>
      </c>
      <c r="BS77">
        <v>0.7</v>
      </c>
      <c r="BT77">
        <v>0.7</v>
      </c>
      <c r="BU77">
        <v>0.6</v>
      </c>
      <c r="BV77">
        <v>0.8</v>
      </c>
      <c r="BW77">
        <v>0.7</v>
      </c>
      <c r="BX77">
        <v>0.7</v>
      </c>
      <c r="BY77">
        <v>0.7</v>
      </c>
      <c r="BZ77">
        <v>0.7</v>
      </c>
      <c r="CA77">
        <v>0.6</v>
      </c>
      <c r="CB77">
        <v>0</v>
      </c>
      <c r="CC77">
        <v>0</v>
      </c>
      <c r="CD77">
        <v>0</v>
      </c>
      <c r="CE77">
        <v>0</v>
      </c>
      <c r="CF77">
        <v>0</v>
      </c>
    </row>
    <row r="78" spans="1:84" x14ac:dyDescent="0.15">
      <c r="A78" t="s">
        <v>249</v>
      </c>
      <c r="B78">
        <v>0</v>
      </c>
      <c r="C78">
        <v>0</v>
      </c>
      <c r="D78">
        <v>0.8</v>
      </c>
      <c r="E78">
        <v>0.8</v>
      </c>
      <c r="F78">
        <v>0.8</v>
      </c>
      <c r="G78">
        <v>0.8</v>
      </c>
      <c r="H78">
        <v>0.8</v>
      </c>
      <c r="I78">
        <v>0.8</v>
      </c>
      <c r="J78">
        <v>0.8</v>
      </c>
      <c r="K78">
        <v>0.8</v>
      </c>
      <c r="L78">
        <v>0.8</v>
      </c>
      <c r="M78">
        <v>0.8</v>
      </c>
      <c r="N78">
        <v>0.5</v>
      </c>
      <c r="O78">
        <v>0.8</v>
      </c>
      <c r="P78">
        <v>0.8</v>
      </c>
      <c r="Q78">
        <v>0.8</v>
      </c>
      <c r="R78">
        <v>0.5</v>
      </c>
      <c r="S78">
        <v>0.5</v>
      </c>
      <c r="T78">
        <v>0.5</v>
      </c>
      <c r="U78">
        <v>0.5</v>
      </c>
      <c r="V78">
        <v>0.5</v>
      </c>
      <c r="W78">
        <v>0.5</v>
      </c>
      <c r="X78">
        <v>0.5</v>
      </c>
      <c r="Y78">
        <v>0.1</v>
      </c>
      <c r="Z78">
        <v>0.1</v>
      </c>
      <c r="AA78">
        <v>0.1</v>
      </c>
      <c r="AB78">
        <v>0.1</v>
      </c>
      <c r="AC78">
        <v>0.5</v>
      </c>
      <c r="AD78">
        <v>0.5</v>
      </c>
      <c r="AE78">
        <v>0.5</v>
      </c>
      <c r="AF78">
        <v>0.5</v>
      </c>
      <c r="AG78">
        <v>0.5</v>
      </c>
      <c r="AH78">
        <v>0.5</v>
      </c>
      <c r="AI78">
        <v>0.5</v>
      </c>
      <c r="AJ78">
        <v>0.5</v>
      </c>
      <c r="AK78">
        <v>0.5</v>
      </c>
      <c r="AL78">
        <v>0.5</v>
      </c>
      <c r="AM78">
        <v>0.5</v>
      </c>
      <c r="AN78">
        <v>0.8</v>
      </c>
      <c r="AO78">
        <v>0.8</v>
      </c>
      <c r="AP78">
        <v>0.8</v>
      </c>
      <c r="AQ78">
        <v>0.8</v>
      </c>
      <c r="AR78">
        <v>0.8</v>
      </c>
      <c r="AS78">
        <v>0.8</v>
      </c>
      <c r="AT78">
        <v>0.5</v>
      </c>
      <c r="AU78">
        <v>0.8</v>
      </c>
      <c r="AV78">
        <v>0.8</v>
      </c>
      <c r="AW78">
        <v>0.8</v>
      </c>
      <c r="AX78">
        <v>0.8</v>
      </c>
      <c r="AY78">
        <v>0.5</v>
      </c>
      <c r="AZ78">
        <v>0.8</v>
      </c>
      <c r="BA78">
        <v>0.8</v>
      </c>
      <c r="BB78">
        <v>0.8</v>
      </c>
      <c r="BC78">
        <v>0.8</v>
      </c>
      <c r="BD78">
        <v>0.8</v>
      </c>
      <c r="BE78">
        <v>0.8</v>
      </c>
      <c r="BF78">
        <v>0.8</v>
      </c>
      <c r="BG78">
        <v>0.8</v>
      </c>
      <c r="BH78">
        <v>0.8</v>
      </c>
      <c r="BI78">
        <v>0.8</v>
      </c>
      <c r="BJ78">
        <v>0.7</v>
      </c>
      <c r="BK78">
        <v>0.7</v>
      </c>
      <c r="BL78">
        <v>0.8</v>
      </c>
      <c r="BM78">
        <v>0.7</v>
      </c>
      <c r="BN78">
        <v>0.7</v>
      </c>
      <c r="BO78">
        <v>0.7</v>
      </c>
      <c r="BP78">
        <v>0.7</v>
      </c>
      <c r="BQ78">
        <v>0.7</v>
      </c>
      <c r="BR78">
        <v>0.7</v>
      </c>
      <c r="BS78">
        <v>0.7</v>
      </c>
      <c r="BT78">
        <v>0.7</v>
      </c>
      <c r="BU78">
        <v>0.6</v>
      </c>
      <c r="BV78">
        <v>0.8</v>
      </c>
      <c r="BW78">
        <v>0.7</v>
      </c>
      <c r="BX78">
        <v>0.7</v>
      </c>
      <c r="BY78">
        <v>0.7</v>
      </c>
      <c r="BZ78">
        <v>0.7</v>
      </c>
      <c r="CA78">
        <v>0.6</v>
      </c>
      <c r="CB78">
        <v>0</v>
      </c>
      <c r="CC78">
        <v>0</v>
      </c>
      <c r="CD78">
        <v>0</v>
      </c>
      <c r="CE78">
        <v>0</v>
      </c>
      <c r="CF78">
        <v>0</v>
      </c>
    </row>
    <row r="79" spans="1:84" x14ac:dyDescent="0.15">
      <c r="A79" t="s">
        <v>250</v>
      </c>
      <c r="B79">
        <v>0</v>
      </c>
      <c r="C79">
        <v>0</v>
      </c>
      <c r="D79">
        <v>0.8</v>
      </c>
      <c r="E79">
        <v>0.8</v>
      </c>
      <c r="F79">
        <v>0.8</v>
      </c>
      <c r="G79">
        <v>0.8</v>
      </c>
      <c r="H79">
        <v>0.8</v>
      </c>
      <c r="I79">
        <v>0.8</v>
      </c>
      <c r="J79">
        <v>0.8</v>
      </c>
      <c r="K79">
        <v>0.8</v>
      </c>
      <c r="L79">
        <v>0.8</v>
      </c>
      <c r="M79">
        <v>0.8</v>
      </c>
      <c r="N79">
        <v>0.5</v>
      </c>
      <c r="O79">
        <v>0.8</v>
      </c>
      <c r="P79">
        <v>0.8</v>
      </c>
      <c r="Q79">
        <v>0.8</v>
      </c>
      <c r="R79">
        <v>0.5</v>
      </c>
      <c r="S79">
        <v>0.5</v>
      </c>
      <c r="T79">
        <v>0.5</v>
      </c>
      <c r="U79">
        <v>0.5</v>
      </c>
      <c r="V79">
        <v>0.5</v>
      </c>
      <c r="W79">
        <v>0.5</v>
      </c>
      <c r="X79">
        <v>0.5</v>
      </c>
      <c r="Y79">
        <v>0.1</v>
      </c>
      <c r="Z79">
        <v>0.1</v>
      </c>
      <c r="AA79">
        <v>0.1</v>
      </c>
      <c r="AB79">
        <v>0.1</v>
      </c>
      <c r="AC79">
        <v>0.5</v>
      </c>
      <c r="AD79">
        <v>0.5</v>
      </c>
      <c r="AE79">
        <v>0.5</v>
      </c>
      <c r="AF79">
        <v>0.5</v>
      </c>
      <c r="AG79">
        <v>0.5</v>
      </c>
      <c r="AH79">
        <v>0.5</v>
      </c>
      <c r="AI79">
        <v>0.5</v>
      </c>
      <c r="AJ79">
        <v>0.5</v>
      </c>
      <c r="AK79">
        <v>0.5</v>
      </c>
      <c r="AL79">
        <v>0.5</v>
      </c>
      <c r="AM79">
        <v>0.5</v>
      </c>
      <c r="AN79">
        <v>0.8</v>
      </c>
      <c r="AO79">
        <v>0.8</v>
      </c>
      <c r="AP79">
        <v>0.8</v>
      </c>
      <c r="AQ79">
        <v>0.8</v>
      </c>
      <c r="AR79">
        <v>0.8</v>
      </c>
      <c r="AS79">
        <v>0.8</v>
      </c>
      <c r="AT79">
        <v>0.5</v>
      </c>
      <c r="AU79">
        <v>0.8</v>
      </c>
      <c r="AV79">
        <v>0.8</v>
      </c>
      <c r="AW79">
        <v>0.8</v>
      </c>
      <c r="AX79">
        <v>0.8</v>
      </c>
      <c r="AY79">
        <v>0.5</v>
      </c>
      <c r="AZ79">
        <v>0.8</v>
      </c>
      <c r="BA79">
        <v>0.8</v>
      </c>
      <c r="BB79">
        <v>0.8</v>
      </c>
      <c r="BC79">
        <v>0.8</v>
      </c>
      <c r="BD79">
        <v>0.8</v>
      </c>
      <c r="BE79">
        <v>0.8</v>
      </c>
      <c r="BF79">
        <v>0.8</v>
      </c>
      <c r="BG79">
        <v>0.8</v>
      </c>
      <c r="BH79">
        <v>0.8</v>
      </c>
      <c r="BI79">
        <v>0.8</v>
      </c>
      <c r="BJ79">
        <v>0.7</v>
      </c>
      <c r="BK79">
        <v>0.7</v>
      </c>
      <c r="BL79">
        <v>0.8</v>
      </c>
      <c r="BM79">
        <v>0.7</v>
      </c>
      <c r="BN79">
        <v>0.7</v>
      </c>
      <c r="BO79">
        <v>0.7</v>
      </c>
      <c r="BP79">
        <v>0.7</v>
      </c>
      <c r="BQ79">
        <v>0.7</v>
      </c>
      <c r="BR79">
        <v>0.7</v>
      </c>
      <c r="BS79">
        <v>0.7</v>
      </c>
      <c r="BT79">
        <v>0.7</v>
      </c>
      <c r="BU79">
        <v>0.6</v>
      </c>
      <c r="BV79">
        <v>0.8</v>
      </c>
      <c r="BW79">
        <v>0.7</v>
      </c>
      <c r="BX79">
        <v>0.7</v>
      </c>
      <c r="BY79">
        <v>0.7</v>
      </c>
      <c r="BZ79">
        <v>0.7</v>
      </c>
      <c r="CA79">
        <v>0.6</v>
      </c>
      <c r="CB79">
        <v>0</v>
      </c>
      <c r="CC79">
        <v>0</v>
      </c>
      <c r="CD79">
        <v>0</v>
      </c>
      <c r="CE79">
        <v>0</v>
      </c>
      <c r="CF79">
        <v>0</v>
      </c>
    </row>
    <row r="80" spans="1:84" x14ac:dyDescent="0.15">
      <c r="A80" t="s">
        <v>251</v>
      </c>
      <c r="B80">
        <v>0</v>
      </c>
      <c r="C80">
        <v>0</v>
      </c>
      <c r="D80">
        <v>0.8</v>
      </c>
      <c r="E80">
        <v>0.8</v>
      </c>
      <c r="F80">
        <v>0.8</v>
      </c>
      <c r="G80">
        <v>0.8</v>
      </c>
      <c r="H80">
        <v>0.8</v>
      </c>
      <c r="I80">
        <v>0.8</v>
      </c>
      <c r="J80">
        <v>0.8</v>
      </c>
      <c r="K80">
        <v>0.8</v>
      </c>
      <c r="L80">
        <v>0.8</v>
      </c>
      <c r="M80">
        <v>0.8</v>
      </c>
      <c r="N80">
        <v>0.5</v>
      </c>
      <c r="O80">
        <v>0.8</v>
      </c>
      <c r="P80">
        <v>0.8</v>
      </c>
      <c r="Q80">
        <v>0.8</v>
      </c>
      <c r="R80">
        <v>0.5</v>
      </c>
      <c r="S80">
        <v>0.5</v>
      </c>
      <c r="T80">
        <v>0.5</v>
      </c>
      <c r="U80">
        <v>0.5</v>
      </c>
      <c r="V80">
        <v>0.5</v>
      </c>
      <c r="W80">
        <v>0.5</v>
      </c>
      <c r="X80">
        <v>0.5</v>
      </c>
      <c r="Y80">
        <v>0.1</v>
      </c>
      <c r="Z80">
        <v>0.1</v>
      </c>
      <c r="AA80">
        <v>0.1</v>
      </c>
      <c r="AB80">
        <v>0.1</v>
      </c>
      <c r="AC80">
        <v>0.5</v>
      </c>
      <c r="AD80">
        <v>0.5</v>
      </c>
      <c r="AE80">
        <v>0.5</v>
      </c>
      <c r="AF80">
        <v>0.5</v>
      </c>
      <c r="AG80">
        <v>0.5</v>
      </c>
      <c r="AH80">
        <v>0.5</v>
      </c>
      <c r="AI80">
        <v>0.5</v>
      </c>
      <c r="AJ80">
        <v>0.5</v>
      </c>
      <c r="AK80">
        <v>0.5</v>
      </c>
      <c r="AL80">
        <v>0.5</v>
      </c>
      <c r="AM80">
        <v>0.5</v>
      </c>
      <c r="AN80">
        <v>0.8</v>
      </c>
      <c r="AO80">
        <v>0.8</v>
      </c>
      <c r="AP80">
        <v>0.8</v>
      </c>
      <c r="AQ80">
        <v>0.8</v>
      </c>
      <c r="AR80">
        <v>0.8</v>
      </c>
      <c r="AS80">
        <v>0.8</v>
      </c>
      <c r="AT80">
        <v>0.5</v>
      </c>
      <c r="AU80">
        <v>0.8</v>
      </c>
      <c r="AV80">
        <v>0.8</v>
      </c>
      <c r="AW80">
        <v>0.8</v>
      </c>
      <c r="AX80">
        <v>0.8</v>
      </c>
      <c r="AY80">
        <v>0.5</v>
      </c>
      <c r="AZ80">
        <v>0.8</v>
      </c>
      <c r="BA80">
        <v>0.8</v>
      </c>
      <c r="BB80">
        <v>0.8</v>
      </c>
      <c r="BC80">
        <v>0.8</v>
      </c>
      <c r="BD80">
        <v>0.8</v>
      </c>
      <c r="BE80">
        <v>0.8</v>
      </c>
      <c r="BF80">
        <v>0.8</v>
      </c>
      <c r="BG80">
        <v>0.8</v>
      </c>
      <c r="BH80">
        <v>0.8</v>
      </c>
      <c r="BI80">
        <v>0.8</v>
      </c>
      <c r="BJ80">
        <v>0.7</v>
      </c>
      <c r="BK80">
        <v>0.7</v>
      </c>
      <c r="BL80">
        <v>0.8</v>
      </c>
      <c r="BM80">
        <v>0.7</v>
      </c>
      <c r="BN80">
        <v>0.7</v>
      </c>
      <c r="BO80">
        <v>0.7</v>
      </c>
      <c r="BP80">
        <v>0.7</v>
      </c>
      <c r="BQ80">
        <v>0.7</v>
      </c>
      <c r="BR80">
        <v>0.7</v>
      </c>
      <c r="BS80">
        <v>0.7</v>
      </c>
      <c r="BT80">
        <v>0.7</v>
      </c>
      <c r="BU80">
        <v>0.6</v>
      </c>
      <c r="BV80">
        <v>0.8</v>
      </c>
      <c r="BW80">
        <v>0.7</v>
      </c>
      <c r="BX80">
        <v>0.7</v>
      </c>
      <c r="BY80">
        <v>0.7</v>
      </c>
      <c r="BZ80">
        <v>0.7</v>
      </c>
      <c r="CA80">
        <v>0.6</v>
      </c>
      <c r="CB80">
        <v>0</v>
      </c>
      <c r="CC80">
        <v>0</v>
      </c>
      <c r="CD80">
        <v>0</v>
      </c>
      <c r="CE80">
        <v>0</v>
      </c>
      <c r="CF80">
        <v>0</v>
      </c>
    </row>
    <row r="81" spans="1:84" x14ac:dyDescent="0.15">
      <c r="A81" t="s">
        <v>252</v>
      </c>
      <c r="B81">
        <v>0</v>
      </c>
      <c r="C81">
        <v>0</v>
      </c>
      <c r="D81">
        <v>0.8</v>
      </c>
      <c r="E81">
        <v>0.8</v>
      </c>
      <c r="F81">
        <v>0.8</v>
      </c>
      <c r="G81">
        <v>0.8</v>
      </c>
      <c r="H81">
        <v>0.8</v>
      </c>
      <c r="I81">
        <v>0.8</v>
      </c>
      <c r="J81">
        <v>0.8</v>
      </c>
      <c r="K81">
        <v>0.8</v>
      </c>
      <c r="L81">
        <v>0.8</v>
      </c>
      <c r="M81">
        <v>0.8</v>
      </c>
      <c r="N81">
        <v>0.5</v>
      </c>
      <c r="O81">
        <v>0.8</v>
      </c>
      <c r="P81">
        <v>0.8</v>
      </c>
      <c r="Q81">
        <v>0.8</v>
      </c>
      <c r="R81">
        <v>0.5</v>
      </c>
      <c r="S81">
        <v>0.5</v>
      </c>
      <c r="T81">
        <v>0.5</v>
      </c>
      <c r="U81">
        <v>0.5</v>
      </c>
      <c r="V81">
        <v>0.5</v>
      </c>
      <c r="W81">
        <v>0.5</v>
      </c>
      <c r="X81">
        <v>0.5</v>
      </c>
      <c r="Y81">
        <v>0.1</v>
      </c>
      <c r="Z81">
        <v>0.1</v>
      </c>
      <c r="AA81">
        <v>0.1</v>
      </c>
      <c r="AB81">
        <v>0.1</v>
      </c>
      <c r="AC81">
        <v>0.5</v>
      </c>
      <c r="AD81">
        <v>0.5</v>
      </c>
      <c r="AE81">
        <v>0.5</v>
      </c>
      <c r="AF81">
        <v>0.5</v>
      </c>
      <c r="AG81">
        <v>0.5</v>
      </c>
      <c r="AH81">
        <v>0.5</v>
      </c>
      <c r="AI81">
        <v>0.5</v>
      </c>
      <c r="AJ81">
        <v>0.5</v>
      </c>
      <c r="AK81">
        <v>0.5</v>
      </c>
      <c r="AL81">
        <v>0.5</v>
      </c>
      <c r="AM81">
        <v>0.5</v>
      </c>
      <c r="AN81">
        <v>0.8</v>
      </c>
      <c r="AO81">
        <v>0.8</v>
      </c>
      <c r="AP81">
        <v>0.8</v>
      </c>
      <c r="AQ81">
        <v>0.8</v>
      </c>
      <c r="AR81">
        <v>0.8</v>
      </c>
      <c r="AS81">
        <v>0.8</v>
      </c>
      <c r="AT81">
        <v>0.5</v>
      </c>
      <c r="AU81">
        <v>0.8</v>
      </c>
      <c r="AV81">
        <v>0.8</v>
      </c>
      <c r="AW81">
        <v>0.8</v>
      </c>
      <c r="AX81">
        <v>0.8</v>
      </c>
      <c r="AY81">
        <v>0.5</v>
      </c>
      <c r="AZ81">
        <v>0.8</v>
      </c>
      <c r="BA81">
        <v>0.8</v>
      </c>
      <c r="BB81">
        <v>0.8</v>
      </c>
      <c r="BC81">
        <v>0.8</v>
      </c>
      <c r="BD81">
        <v>0.8</v>
      </c>
      <c r="BE81">
        <v>0.8</v>
      </c>
      <c r="BF81">
        <v>0.8</v>
      </c>
      <c r="BG81">
        <v>0.8</v>
      </c>
      <c r="BH81">
        <v>0.8</v>
      </c>
      <c r="BI81">
        <v>0.8</v>
      </c>
      <c r="BJ81">
        <v>0.7</v>
      </c>
      <c r="BK81">
        <v>0.7</v>
      </c>
      <c r="BL81">
        <v>0.8</v>
      </c>
      <c r="BM81">
        <v>0.7</v>
      </c>
      <c r="BN81">
        <v>0.7</v>
      </c>
      <c r="BO81">
        <v>0.7</v>
      </c>
      <c r="BP81">
        <v>0.7</v>
      </c>
      <c r="BQ81">
        <v>0.7</v>
      </c>
      <c r="BR81">
        <v>0.7</v>
      </c>
      <c r="BS81">
        <v>0.7</v>
      </c>
      <c r="BT81">
        <v>0.7</v>
      </c>
      <c r="BU81">
        <v>0.6</v>
      </c>
      <c r="BV81">
        <v>0.8</v>
      </c>
      <c r="BW81">
        <v>0.7</v>
      </c>
      <c r="BX81">
        <v>0.7</v>
      </c>
      <c r="BY81">
        <v>0.7</v>
      </c>
      <c r="BZ81">
        <v>0.7</v>
      </c>
      <c r="CA81">
        <v>0.6</v>
      </c>
      <c r="CB81">
        <v>0</v>
      </c>
      <c r="CC81">
        <v>0</v>
      </c>
      <c r="CD81">
        <v>0</v>
      </c>
      <c r="CE81">
        <v>0</v>
      </c>
      <c r="CF81">
        <v>0</v>
      </c>
    </row>
    <row r="82" spans="1:84" x14ac:dyDescent="0.15">
      <c r="A82" t="s">
        <v>253</v>
      </c>
      <c r="B82">
        <v>0</v>
      </c>
      <c r="C82">
        <v>0</v>
      </c>
      <c r="D82">
        <v>0.8</v>
      </c>
      <c r="E82">
        <v>0.8</v>
      </c>
      <c r="F82">
        <v>0.8</v>
      </c>
      <c r="G82">
        <v>0.8</v>
      </c>
      <c r="H82">
        <v>0.8</v>
      </c>
      <c r="I82">
        <v>0.8</v>
      </c>
      <c r="J82">
        <v>0.8</v>
      </c>
      <c r="K82">
        <v>0.8</v>
      </c>
      <c r="L82">
        <v>0.8</v>
      </c>
      <c r="M82">
        <v>0.8</v>
      </c>
      <c r="N82">
        <v>0.5</v>
      </c>
      <c r="O82">
        <v>0.8</v>
      </c>
      <c r="P82">
        <v>0.8</v>
      </c>
      <c r="Q82">
        <v>0.8</v>
      </c>
      <c r="R82">
        <v>0.5</v>
      </c>
      <c r="S82">
        <v>0.5</v>
      </c>
      <c r="T82">
        <v>0.5</v>
      </c>
      <c r="U82">
        <v>0.5</v>
      </c>
      <c r="V82">
        <v>0.5</v>
      </c>
      <c r="W82">
        <v>0.5</v>
      </c>
      <c r="X82">
        <v>0.5</v>
      </c>
      <c r="Y82">
        <v>0.1</v>
      </c>
      <c r="Z82">
        <v>0.1</v>
      </c>
      <c r="AA82">
        <v>0.1</v>
      </c>
      <c r="AB82">
        <v>0.1</v>
      </c>
      <c r="AC82">
        <v>0.5</v>
      </c>
      <c r="AD82">
        <v>0.5</v>
      </c>
      <c r="AE82">
        <v>0.5</v>
      </c>
      <c r="AF82">
        <v>0.5</v>
      </c>
      <c r="AG82">
        <v>0.5</v>
      </c>
      <c r="AH82">
        <v>0.5</v>
      </c>
      <c r="AI82">
        <v>0.5</v>
      </c>
      <c r="AJ82">
        <v>0.5</v>
      </c>
      <c r="AK82">
        <v>0.5</v>
      </c>
      <c r="AL82">
        <v>0.5</v>
      </c>
      <c r="AM82">
        <v>0.5</v>
      </c>
      <c r="AN82">
        <v>0.8</v>
      </c>
      <c r="AO82">
        <v>0.8</v>
      </c>
      <c r="AP82">
        <v>0.8</v>
      </c>
      <c r="AQ82">
        <v>0.8</v>
      </c>
      <c r="AR82">
        <v>0.8</v>
      </c>
      <c r="AS82">
        <v>0.8</v>
      </c>
      <c r="AT82">
        <v>0.5</v>
      </c>
      <c r="AU82">
        <v>0.8</v>
      </c>
      <c r="AV82">
        <v>0.8</v>
      </c>
      <c r="AW82">
        <v>0.8</v>
      </c>
      <c r="AX82">
        <v>0.8</v>
      </c>
      <c r="AY82">
        <v>0.5</v>
      </c>
      <c r="AZ82">
        <v>0.8</v>
      </c>
      <c r="BA82">
        <v>0.8</v>
      </c>
      <c r="BB82">
        <v>0.8</v>
      </c>
      <c r="BC82">
        <v>0.8</v>
      </c>
      <c r="BD82">
        <v>0.8</v>
      </c>
      <c r="BE82">
        <v>0.8</v>
      </c>
      <c r="BF82">
        <v>0.8</v>
      </c>
      <c r="BG82">
        <v>0.8</v>
      </c>
      <c r="BH82">
        <v>0.8</v>
      </c>
      <c r="BI82">
        <v>0.8</v>
      </c>
      <c r="BJ82">
        <v>0.7</v>
      </c>
      <c r="BK82">
        <v>0.7</v>
      </c>
      <c r="BL82">
        <v>0.8</v>
      </c>
      <c r="BM82">
        <v>0.7</v>
      </c>
      <c r="BN82">
        <v>0.7</v>
      </c>
      <c r="BO82">
        <v>0.7</v>
      </c>
      <c r="BP82">
        <v>0.7</v>
      </c>
      <c r="BQ82">
        <v>0.7</v>
      </c>
      <c r="BR82">
        <v>0.7</v>
      </c>
      <c r="BS82">
        <v>0.7</v>
      </c>
      <c r="BT82">
        <v>0.7</v>
      </c>
      <c r="BU82">
        <v>0.6</v>
      </c>
      <c r="BV82">
        <v>0.8</v>
      </c>
      <c r="BW82">
        <v>0.7</v>
      </c>
      <c r="BX82">
        <v>0.7</v>
      </c>
      <c r="BY82">
        <v>0.7</v>
      </c>
      <c r="BZ82">
        <v>0.7</v>
      </c>
      <c r="CA82">
        <v>0.6</v>
      </c>
      <c r="CB82">
        <v>0</v>
      </c>
      <c r="CC82">
        <v>0</v>
      </c>
      <c r="CD82">
        <v>0</v>
      </c>
      <c r="CE82">
        <v>0</v>
      </c>
      <c r="CF82">
        <v>0</v>
      </c>
    </row>
    <row r="83" spans="1:84" x14ac:dyDescent="0.15">
      <c r="A83" t="s">
        <v>254</v>
      </c>
      <c r="B83">
        <v>0</v>
      </c>
      <c r="C83">
        <v>0</v>
      </c>
      <c r="D83">
        <v>0.8</v>
      </c>
      <c r="E83">
        <v>0.8</v>
      </c>
      <c r="F83">
        <v>0.8</v>
      </c>
      <c r="G83">
        <v>0.8</v>
      </c>
      <c r="H83">
        <v>0.8</v>
      </c>
      <c r="I83">
        <v>0.8</v>
      </c>
      <c r="J83">
        <v>0.8</v>
      </c>
      <c r="K83">
        <v>0.8</v>
      </c>
      <c r="L83">
        <v>0.8</v>
      </c>
      <c r="M83">
        <v>0.8</v>
      </c>
      <c r="N83">
        <v>0.5</v>
      </c>
      <c r="O83">
        <v>0.8</v>
      </c>
      <c r="P83">
        <v>0.8</v>
      </c>
      <c r="Q83">
        <v>0.8</v>
      </c>
      <c r="R83">
        <v>0.5</v>
      </c>
      <c r="S83">
        <v>0.5</v>
      </c>
      <c r="T83">
        <v>0.5</v>
      </c>
      <c r="U83">
        <v>0.5</v>
      </c>
      <c r="V83">
        <v>0.5</v>
      </c>
      <c r="W83">
        <v>0.5</v>
      </c>
      <c r="X83">
        <v>0.5</v>
      </c>
      <c r="Y83">
        <v>0.1</v>
      </c>
      <c r="Z83">
        <v>0.1</v>
      </c>
      <c r="AA83">
        <v>0.1</v>
      </c>
      <c r="AB83">
        <v>0.1</v>
      </c>
      <c r="AC83">
        <v>0.5</v>
      </c>
      <c r="AD83">
        <v>0.5</v>
      </c>
      <c r="AE83">
        <v>0.5</v>
      </c>
      <c r="AF83">
        <v>0.5</v>
      </c>
      <c r="AG83">
        <v>0.5</v>
      </c>
      <c r="AH83">
        <v>0.5</v>
      </c>
      <c r="AI83">
        <v>0.5</v>
      </c>
      <c r="AJ83">
        <v>0.5</v>
      </c>
      <c r="AK83">
        <v>0.5</v>
      </c>
      <c r="AL83">
        <v>0.5</v>
      </c>
      <c r="AM83">
        <v>0.5</v>
      </c>
      <c r="AN83">
        <v>0.8</v>
      </c>
      <c r="AO83">
        <v>0.8</v>
      </c>
      <c r="AP83">
        <v>0.8</v>
      </c>
      <c r="AQ83">
        <v>0.8</v>
      </c>
      <c r="AR83">
        <v>0.8</v>
      </c>
      <c r="AS83">
        <v>0.8</v>
      </c>
      <c r="AT83">
        <v>0.5</v>
      </c>
      <c r="AU83">
        <v>0.8</v>
      </c>
      <c r="AV83">
        <v>0.8</v>
      </c>
      <c r="AW83">
        <v>0.8</v>
      </c>
      <c r="AX83">
        <v>0.8</v>
      </c>
      <c r="AY83">
        <v>0.5</v>
      </c>
      <c r="AZ83">
        <v>0.8</v>
      </c>
      <c r="BA83">
        <v>0.8</v>
      </c>
      <c r="BB83">
        <v>0.8</v>
      </c>
      <c r="BC83">
        <v>0.8</v>
      </c>
      <c r="BD83">
        <v>0.8</v>
      </c>
      <c r="BE83">
        <v>0.8</v>
      </c>
      <c r="BF83">
        <v>0.8</v>
      </c>
      <c r="BG83">
        <v>0.8</v>
      </c>
      <c r="BH83">
        <v>0.8</v>
      </c>
      <c r="BI83">
        <v>0.8</v>
      </c>
      <c r="BJ83">
        <v>0.7</v>
      </c>
      <c r="BK83">
        <v>0.7</v>
      </c>
      <c r="BL83">
        <v>0.8</v>
      </c>
      <c r="BM83">
        <v>0.7</v>
      </c>
      <c r="BN83">
        <v>0.7</v>
      </c>
      <c r="BO83">
        <v>0.7</v>
      </c>
      <c r="BP83">
        <v>0.7</v>
      </c>
      <c r="BQ83">
        <v>0.7</v>
      </c>
      <c r="BR83">
        <v>0.7</v>
      </c>
      <c r="BS83">
        <v>0.7</v>
      </c>
      <c r="BT83">
        <v>0.7</v>
      </c>
      <c r="BU83">
        <v>0.6</v>
      </c>
      <c r="BV83">
        <v>0.8</v>
      </c>
      <c r="BW83">
        <v>0.7</v>
      </c>
      <c r="BX83">
        <v>0.7</v>
      </c>
      <c r="BY83">
        <v>0.7</v>
      </c>
      <c r="BZ83">
        <v>0.7</v>
      </c>
      <c r="CA83">
        <v>0.6</v>
      </c>
      <c r="CB83">
        <v>0</v>
      </c>
      <c r="CC83">
        <v>0</v>
      </c>
      <c r="CD83">
        <v>0</v>
      </c>
      <c r="CE83">
        <v>0</v>
      </c>
      <c r="CF83">
        <v>0</v>
      </c>
    </row>
    <row r="84" spans="1:84" x14ac:dyDescent="0.15">
      <c r="A84" t="s">
        <v>255</v>
      </c>
      <c r="B84">
        <v>0</v>
      </c>
      <c r="C84">
        <v>0</v>
      </c>
      <c r="D84">
        <v>0.8</v>
      </c>
      <c r="E84">
        <v>0.8</v>
      </c>
      <c r="F84">
        <v>0.8</v>
      </c>
      <c r="G84">
        <v>0.8</v>
      </c>
      <c r="H84">
        <v>0.8</v>
      </c>
      <c r="I84">
        <v>0.8</v>
      </c>
      <c r="J84">
        <v>0.8</v>
      </c>
      <c r="K84">
        <v>0.8</v>
      </c>
      <c r="L84">
        <v>0.8</v>
      </c>
      <c r="M84">
        <v>0.8</v>
      </c>
      <c r="N84">
        <v>0.5</v>
      </c>
      <c r="O84">
        <v>0.8</v>
      </c>
      <c r="P84">
        <v>0.8</v>
      </c>
      <c r="Q84">
        <v>0.8</v>
      </c>
      <c r="R84">
        <v>0.5</v>
      </c>
      <c r="S84">
        <v>0.5</v>
      </c>
      <c r="T84">
        <v>0.5</v>
      </c>
      <c r="U84">
        <v>0.5</v>
      </c>
      <c r="V84">
        <v>0.5</v>
      </c>
      <c r="W84">
        <v>0.5</v>
      </c>
      <c r="X84">
        <v>0.5</v>
      </c>
      <c r="Y84">
        <v>0.1</v>
      </c>
      <c r="Z84">
        <v>0.1</v>
      </c>
      <c r="AA84">
        <v>0.1</v>
      </c>
      <c r="AB84">
        <v>0.1</v>
      </c>
      <c r="AC84">
        <v>0.5</v>
      </c>
      <c r="AD84">
        <v>0.5</v>
      </c>
      <c r="AE84">
        <v>0.5</v>
      </c>
      <c r="AF84">
        <v>0.5</v>
      </c>
      <c r="AG84">
        <v>0.5</v>
      </c>
      <c r="AH84">
        <v>0.5</v>
      </c>
      <c r="AI84">
        <v>0.5</v>
      </c>
      <c r="AJ84">
        <v>0.5</v>
      </c>
      <c r="AK84">
        <v>0.5</v>
      </c>
      <c r="AL84">
        <v>0.5</v>
      </c>
      <c r="AM84">
        <v>0.5</v>
      </c>
      <c r="AN84">
        <v>0.8</v>
      </c>
      <c r="AO84">
        <v>0.8</v>
      </c>
      <c r="AP84">
        <v>0.8</v>
      </c>
      <c r="AQ84">
        <v>0.8</v>
      </c>
      <c r="AR84">
        <v>0.8</v>
      </c>
      <c r="AS84">
        <v>0.8</v>
      </c>
      <c r="AT84">
        <v>0.5</v>
      </c>
      <c r="AU84">
        <v>0.8</v>
      </c>
      <c r="AV84">
        <v>0.8</v>
      </c>
      <c r="AW84">
        <v>0.8</v>
      </c>
      <c r="AX84">
        <v>0.8</v>
      </c>
      <c r="AY84">
        <v>0.5</v>
      </c>
      <c r="AZ84">
        <v>0.8</v>
      </c>
      <c r="BA84">
        <v>0.8</v>
      </c>
      <c r="BB84">
        <v>0.8</v>
      </c>
      <c r="BC84">
        <v>0.8</v>
      </c>
      <c r="BD84">
        <v>0.8</v>
      </c>
      <c r="BE84">
        <v>0.8</v>
      </c>
      <c r="BF84">
        <v>0.8</v>
      </c>
      <c r="BG84">
        <v>0.8</v>
      </c>
      <c r="BH84">
        <v>0.8</v>
      </c>
      <c r="BI84">
        <v>0.8</v>
      </c>
      <c r="BJ84">
        <v>0.7</v>
      </c>
      <c r="BK84">
        <v>0.7</v>
      </c>
      <c r="BL84">
        <v>0.8</v>
      </c>
      <c r="BM84">
        <v>0.7</v>
      </c>
      <c r="BN84">
        <v>0.7</v>
      </c>
      <c r="BO84">
        <v>0.7</v>
      </c>
      <c r="BP84">
        <v>0.7</v>
      </c>
      <c r="BQ84">
        <v>0.7</v>
      </c>
      <c r="BR84">
        <v>0.7</v>
      </c>
      <c r="BS84">
        <v>0.7</v>
      </c>
      <c r="BT84">
        <v>0.7</v>
      </c>
      <c r="BU84">
        <v>0.6</v>
      </c>
      <c r="BV84">
        <v>0.8</v>
      </c>
      <c r="BW84">
        <v>0.7</v>
      </c>
      <c r="BX84">
        <v>0.7</v>
      </c>
      <c r="BY84">
        <v>0.7</v>
      </c>
      <c r="BZ84">
        <v>0.7</v>
      </c>
      <c r="CA84">
        <v>0.6</v>
      </c>
      <c r="CB84">
        <v>0</v>
      </c>
      <c r="CC84">
        <v>0</v>
      </c>
      <c r="CD84">
        <v>0</v>
      </c>
      <c r="CE84">
        <v>0</v>
      </c>
      <c r="CF84">
        <v>0</v>
      </c>
    </row>
    <row r="85" spans="1:84" x14ac:dyDescent="0.15">
      <c r="A85" t="s">
        <v>274</v>
      </c>
      <c r="B85">
        <v>0</v>
      </c>
      <c r="C85">
        <v>0</v>
      </c>
      <c r="D85">
        <v>0.8</v>
      </c>
      <c r="E85">
        <v>0.8</v>
      </c>
      <c r="F85">
        <v>0.8</v>
      </c>
      <c r="G85">
        <v>0.8</v>
      </c>
      <c r="H85">
        <v>0.8</v>
      </c>
      <c r="I85">
        <v>0.8</v>
      </c>
      <c r="J85">
        <v>0.8</v>
      </c>
      <c r="K85">
        <v>0.8</v>
      </c>
      <c r="L85">
        <v>0.8</v>
      </c>
      <c r="M85">
        <v>0.8</v>
      </c>
      <c r="N85">
        <v>0.5</v>
      </c>
      <c r="O85">
        <v>0.8</v>
      </c>
      <c r="P85">
        <v>0.8</v>
      </c>
      <c r="Q85">
        <v>0.8</v>
      </c>
      <c r="R85">
        <v>0.5</v>
      </c>
      <c r="S85">
        <v>0.5</v>
      </c>
      <c r="T85">
        <v>0.5</v>
      </c>
      <c r="U85">
        <v>0.5</v>
      </c>
      <c r="V85">
        <v>0.5</v>
      </c>
      <c r="W85">
        <v>0.5</v>
      </c>
      <c r="X85">
        <v>0.5</v>
      </c>
      <c r="Y85">
        <v>0.1</v>
      </c>
      <c r="Z85">
        <v>0.1</v>
      </c>
      <c r="AA85">
        <v>0.1</v>
      </c>
      <c r="AB85">
        <v>0.1</v>
      </c>
      <c r="AC85">
        <v>0.5</v>
      </c>
      <c r="AD85">
        <v>0.5</v>
      </c>
      <c r="AE85">
        <v>0.5</v>
      </c>
      <c r="AF85">
        <v>0.5</v>
      </c>
      <c r="AG85">
        <v>0.5</v>
      </c>
      <c r="AH85">
        <v>0.5</v>
      </c>
      <c r="AI85">
        <v>0.5</v>
      </c>
      <c r="AJ85">
        <v>0.5</v>
      </c>
      <c r="AK85">
        <v>0.5</v>
      </c>
      <c r="AL85">
        <v>0.5</v>
      </c>
      <c r="AM85">
        <v>0.5</v>
      </c>
      <c r="AN85">
        <v>0.8</v>
      </c>
      <c r="AO85">
        <v>0.8</v>
      </c>
      <c r="AP85">
        <v>0.8</v>
      </c>
      <c r="AQ85">
        <v>0.8</v>
      </c>
      <c r="AR85">
        <v>0.8</v>
      </c>
      <c r="AS85">
        <v>0.8</v>
      </c>
      <c r="AT85">
        <v>0.5</v>
      </c>
      <c r="AU85">
        <v>0.8</v>
      </c>
      <c r="AV85">
        <v>0.8</v>
      </c>
      <c r="AW85">
        <v>0.8</v>
      </c>
      <c r="AX85">
        <v>0.8</v>
      </c>
      <c r="AY85">
        <v>0.5</v>
      </c>
      <c r="AZ85">
        <v>0.8</v>
      </c>
      <c r="BA85">
        <v>0.8</v>
      </c>
      <c r="BB85">
        <v>0.8</v>
      </c>
      <c r="BC85">
        <v>0.8</v>
      </c>
      <c r="BD85">
        <v>0.8</v>
      </c>
      <c r="BE85">
        <v>0.8</v>
      </c>
      <c r="BF85">
        <v>0.8</v>
      </c>
      <c r="BG85">
        <v>0.8</v>
      </c>
      <c r="BH85">
        <v>0.8</v>
      </c>
      <c r="BI85">
        <v>0.8</v>
      </c>
      <c r="BJ85">
        <v>0.7</v>
      </c>
      <c r="BK85">
        <v>0.7</v>
      </c>
      <c r="BL85">
        <v>0.8</v>
      </c>
      <c r="BM85">
        <v>0.7</v>
      </c>
      <c r="BN85">
        <v>0.7</v>
      </c>
      <c r="BO85">
        <v>0.7</v>
      </c>
      <c r="BP85">
        <v>0.7</v>
      </c>
      <c r="BQ85">
        <v>0.7</v>
      </c>
      <c r="BR85">
        <v>0.7</v>
      </c>
      <c r="BS85">
        <v>0.7</v>
      </c>
      <c r="BT85">
        <v>0.7</v>
      </c>
      <c r="BU85">
        <v>0.6</v>
      </c>
      <c r="BV85">
        <v>0.8</v>
      </c>
      <c r="BW85">
        <v>0.7</v>
      </c>
      <c r="BX85">
        <v>0.7</v>
      </c>
      <c r="BY85">
        <v>0.7</v>
      </c>
      <c r="BZ85">
        <v>0.7</v>
      </c>
      <c r="CA85">
        <v>0.6</v>
      </c>
      <c r="CB85">
        <v>0</v>
      </c>
      <c r="CC85">
        <v>0</v>
      </c>
      <c r="CD85">
        <v>0</v>
      </c>
      <c r="CE85">
        <v>0</v>
      </c>
      <c r="CF85">
        <v>0</v>
      </c>
    </row>
    <row r="89" spans="1:84" ht="15" customHeight="1" x14ac:dyDescent="0.15"/>
    <row r="90" spans="1:84" ht="15" customHeight="1" x14ac:dyDescent="0.15"/>
    <row r="91" spans="1:84" ht="15" customHeight="1" x14ac:dyDescent="0.15"/>
    <row r="92" spans="1:84" ht="15" customHeight="1" x14ac:dyDescent="0.15"/>
    <row r="93" spans="1:84" ht="15" customHeight="1" x14ac:dyDescent="0.15"/>
    <row r="94" spans="1:84" ht="15" customHeight="1" x14ac:dyDescent="0.15"/>
    <row r="95" spans="1:84" ht="15" customHeight="1" x14ac:dyDescent="0.15"/>
    <row r="96" spans="1:84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1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CF171"/>
  <sheetViews>
    <sheetView workbookViewId="0">
      <pane xSplit="1" ySplit="1" topLeftCell="V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RowHeight="13" x14ac:dyDescent="0.15"/>
  <cols>
    <col min="1" max="1" width="39.83203125" bestFit="1" customWidth="1"/>
  </cols>
  <sheetData>
    <row r="1" spans="1:84" x14ac:dyDescent="0.15">
      <c r="A1" s="4" t="s">
        <v>141</v>
      </c>
      <c r="B1" t="s">
        <v>176</v>
      </c>
      <c r="C1" t="s">
        <v>177</v>
      </c>
      <c r="D1" t="s">
        <v>178</v>
      </c>
      <c r="E1" t="s">
        <v>179</v>
      </c>
      <c r="F1" t="s">
        <v>180</v>
      </c>
      <c r="G1" t="s">
        <v>181</v>
      </c>
      <c r="H1" t="s">
        <v>182</v>
      </c>
      <c r="I1" t="s">
        <v>183</v>
      </c>
      <c r="J1" t="s">
        <v>184</v>
      </c>
      <c r="K1" t="s">
        <v>185</v>
      </c>
      <c r="L1" t="s">
        <v>186</v>
      </c>
      <c r="M1" t="s">
        <v>187</v>
      </c>
      <c r="N1" t="s">
        <v>188</v>
      </c>
      <c r="O1" t="s">
        <v>189</v>
      </c>
      <c r="P1" t="s">
        <v>190</v>
      </c>
      <c r="Q1" t="s">
        <v>191</v>
      </c>
      <c r="R1" t="s">
        <v>192</v>
      </c>
      <c r="S1" t="s">
        <v>193</v>
      </c>
      <c r="T1" t="s">
        <v>194</v>
      </c>
      <c r="U1" t="s">
        <v>195</v>
      </c>
      <c r="V1" t="s">
        <v>196</v>
      </c>
      <c r="W1" t="s">
        <v>197</v>
      </c>
      <c r="X1" t="s">
        <v>198</v>
      </c>
      <c r="Y1" t="s">
        <v>273</v>
      </c>
      <c r="Z1" t="s">
        <v>398</v>
      </c>
      <c r="AA1" t="s">
        <v>399</v>
      </c>
      <c r="AB1" t="s">
        <v>199</v>
      </c>
      <c r="AC1" t="s">
        <v>200</v>
      </c>
      <c r="AD1" t="s">
        <v>201</v>
      </c>
      <c r="AE1" t="s">
        <v>202</v>
      </c>
      <c r="AF1" t="s">
        <v>203</v>
      </c>
      <c r="AG1" t="s">
        <v>204</v>
      </c>
      <c r="AH1" t="s">
        <v>205</v>
      </c>
      <c r="AI1" t="s">
        <v>206</v>
      </c>
      <c r="AJ1" t="s">
        <v>207</v>
      </c>
      <c r="AK1" t="s">
        <v>208</v>
      </c>
      <c r="AL1" t="s">
        <v>209</v>
      </c>
      <c r="AM1" t="s">
        <v>210</v>
      </c>
      <c r="AN1" t="s">
        <v>211</v>
      </c>
      <c r="AO1" t="s">
        <v>212</v>
      </c>
      <c r="AP1" t="s">
        <v>213</v>
      </c>
      <c r="AQ1" t="s">
        <v>214</v>
      </c>
      <c r="AR1" t="s">
        <v>215</v>
      </c>
      <c r="AS1" t="s">
        <v>216</v>
      </c>
      <c r="AT1" t="s">
        <v>217</v>
      </c>
      <c r="AU1" t="s">
        <v>218</v>
      </c>
      <c r="AV1" t="s">
        <v>219</v>
      </c>
      <c r="AW1" t="s">
        <v>220</v>
      </c>
      <c r="AX1" t="s">
        <v>221</v>
      </c>
      <c r="AY1" t="s">
        <v>222</v>
      </c>
      <c r="AZ1" t="s">
        <v>223</v>
      </c>
      <c r="BA1" t="s">
        <v>224</v>
      </c>
      <c r="BB1" t="s">
        <v>225</v>
      </c>
      <c r="BC1" t="s">
        <v>226</v>
      </c>
      <c r="BD1" t="s">
        <v>227</v>
      </c>
      <c r="BE1" t="s">
        <v>228</v>
      </c>
      <c r="BF1" t="s">
        <v>229</v>
      </c>
      <c r="BG1" t="s">
        <v>230</v>
      </c>
      <c r="BH1" t="s">
        <v>231</v>
      </c>
      <c r="BI1" t="s">
        <v>232</v>
      </c>
      <c r="BJ1" t="s">
        <v>233</v>
      </c>
      <c r="BK1" t="s">
        <v>234</v>
      </c>
      <c r="BL1" t="s">
        <v>235</v>
      </c>
      <c r="BM1" t="s">
        <v>236</v>
      </c>
      <c r="BN1" t="s">
        <v>237</v>
      </c>
      <c r="BO1" t="s">
        <v>238</v>
      </c>
      <c r="BP1" t="s">
        <v>239</v>
      </c>
      <c r="BQ1" t="s">
        <v>240</v>
      </c>
      <c r="BR1" t="s">
        <v>241</v>
      </c>
      <c r="BS1" t="s">
        <v>242</v>
      </c>
      <c r="BT1" t="s">
        <v>243</v>
      </c>
      <c r="BU1" t="s">
        <v>244</v>
      </c>
      <c r="BV1" t="s">
        <v>245</v>
      </c>
      <c r="BW1" t="s">
        <v>246</v>
      </c>
      <c r="BX1" t="s">
        <v>247</v>
      </c>
      <c r="BY1" t="s">
        <v>248</v>
      </c>
      <c r="BZ1" t="s">
        <v>249</v>
      </c>
      <c r="CA1" t="s">
        <v>250</v>
      </c>
      <c r="CB1" t="s">
        <v>251</v>
      </c>
      <c r="CC1" t="s">
        <v>252</v>
      </c>
      <c r="CD1" t="s">
        <v>253</v>
      </c>
      <c r="CE1" t="s">
        <v>254</v>
      </c>
      <c r="CF1" t="s">
        <v>255</v>
      </c>
    </row>
    <row r="2" spans="1:84" x14ac:dyDescent="0.15">
      <c r="A2" t="s">
        <v>176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  <c r="V2">
        <v>1</v>
      </c>
      <c r="W2">
        <v>0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1</v>
      </c>
      <c r="BO2">
        <v>1</v>
      </c>
      <c r="BP2">
        <v>1</v>
      </c>
      <c r="BQ2">
        <v>1</v>
      </c>
      <c r="BR2">
        <v>1</v>
      </c>
      <c r="BS2">
        <v>1</v>
      </c>
      <c r="BT2">
        <v>1</v>
      </c>
      <c r="BU2">
        <v>1</v>
      </c>
      <c r="BV2">
        <v>1</v>
      </c>
      <c r="BW2">
        <v>1</v>
      </c>
      <c r="BX2">
        <v>1</v>
      </c>
      <c r="BY2">
        <v>1</v>
      </c>
      <c r="BZ2">
        <v>1</v>
      </c>
      <c r="CA2">
        <v>1</v>
      </c>
      <c r="CB2">
        <v>1</v>
      </c>
      <c r="CC2">
        <v>1</v>
      </c>
      <c r="CD2">
        <v>1</v>
      </c>
      <c r="CE2">
        <v>1</v>
      </c>
      <c r="CF2">
        <v>1</v>
      </c>
    </row>
    <row r="3" spans="1:84" x14ac:dyDescent="0.15">
      <c r="A3" t="s">
        <v>177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0</v>
      </c>
      <c r="V3">
        <v>1</v>
      </c>
      <c r="W3">
        <v>0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1</v>
      </c>
      <c r="BJ3">
        <v>1</v>
      </c>
      <c r="BK3">
        <v>1</v>
      </c>
      <c r="BL3">
        <v>1</v>
      </c>
      <c r="BM3">
        <v>1</v>
      </c>
      <c r="BN3">
        <v>1</v>
      </c>
      <c r="BO3">
        <v>1</v>
      </c>
      <c r="BP3">
        <v>1</v>
      </c>
      <c r="BQ3">
        <v>1</v>
      </c>
      <c r="BR3">
        <v>1</v>
      </c>
      <c r="BS3">
        <v>1</v>
      </c>
      <c r="BT3">
        <v>1</v>
      </c>
      <c r="BU3">
        <v>1</v>
      </c>
      <c r="BV3">
        <v>1</v>
      </c>
      <c r="BW3">
        <v>1</v>
      </c>
      <c r="BX3">
        <v>1</v>
      </c>
      <c r="BY3">
        <v>1</v>
      </c>
      <c r="BZ3">
        <v>1</v>
      </c>
      <c r="CA3">
        <v>1</v>
      </c>
      <c r="CB3">
        <v>1</v>
      </c>
      <c r="CC3">
        <v>1</v>
      </c>
      <c r="CD3">
        <v>1</v>
      </c>
      <c r="CE3">
        <v>1</v>
      </c>
      <c r="CF3">
        <v>1</v>
      </c>
    </row>
    <row r="4" spans="1:84" x14ac:dyDescent="0.15">
      <c r="A4" t="s">
        <v>178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>
        <v>1</v>
      </c>
      <c r="AV4">
        <v>1</v>
      </c>
      <c r="AW4">
        <v>1</v>
      </c>
      <c r="AX4">
        <v>1</v>
      </c>
      <c r="AY4">
        <v>1</v>
      </c>
      <c r="AZ4">
        <v>1</v>
      </c>
      <c r="BA4">
        <v>1</v>
      </c>
      <c r="BB4">
        <v>1</v>
      </c>
      <c r="BC4">
        <v>1</v>
      </c>
      <c r="BD4">
        <v>1</v>
      </c>
      <c r="BE4">
        <v>1</v>
      </c>
      <c r="BF4">
        <v>1</v>
      </c>
      <c r="BG4">
        <v>1</v>
      </c>
      <c r="BH4">
        <v>1</v>
      </c>
      <c r="BI4">
        <v>1</v>
      </c>
      <c r="BJ4">
        <v>1</v>
      </c>
      <c r="BK4">
        <v>1</v>
      </c>
      <c r="BL4">
        <v>1</v>
      </c>
      <c r="BM4">
        <v>1</v>
      </c>
      <c r="BN4">
        <v>1</v>
      </c>
      <c r="BO4">
        <v>1</v>
      </c>
      <c r="BP4">
        <v>1</v>
      </c>
      <c r="BQ4">
        <v>1</v>
      </c>
      <c r="BR4">
        <v>1</v>
      </c>
      <c r="BS4">
        <v>1</v>
      </c>
      <c r="BT4">
        <v>1</v>
      </c>
      <c r="BU4">
        <v>1</v>
      </c>
      <c r="BV4">
        <v>1</v>
      </c>
      <c r="BW4">
        <v>1</v>
      </c>
      <c r="BX4">
        <v>1</v>
      </c>
      <c r="BY4">
        <v>1</v>
      </c>
      <c r="BZ4">
        <v>1</v>
      </c>
      <c r="CA4">
        <v>1</v>
      </c>
      <c r="CB4">
        <v>1</v>
      </c>
      <c r="CC4">
        <v>1</v>
      </c>
      <c r="CD4">
        <v>1</v>
      </c>
      <c r="CE4">
        <v>1</v>
      </c>
      <c r="CF4">
        <v>1</v>
      </c>
    </row>
    <row r="5" spans="1:84" x14ac:dyDescent="0.15">
      <c r="A5" t="s">
        <v>179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0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0</v>
      </c>
      <c r="Z5">
        <v>0</v>
      </c>
      <c r="AA5">
        <v>0</v>
      </c>
      <c r="AB5">
        <v>0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0</v>
      </c>
      <c r="BQ5">
        <v>1</v>
      </c>
      <c r="BR5">
        <v>0</v>
      </c>
      <c r="BS5">
        <v>1</v>
      </c>
      <c r="BT5">
        <v>0</v>
      </c>
      <c r="BU5">
        <v>1</v>
      </c>
      <c r="BV5">
        <v>1</v>
      </c>
      <c r="BW5">
        <v>1</v>
      </c>
      <c r="BX5">
        <v>1</v>
      </c>
      <c r="BY5">
        <v>1</v>
      </c>
      <c r="BZ5">
        <v>1</v>
      </c>
      <c r="CA5">
        <v>1</v>
      </c>
      <c r="CB5">
        <v>1</v>
      </c>
      <c r="CC5">
        <v>1</v>
      </c>
      <c r="CD5">
        <v>1</v>
      </c>
      <c r="CE5">
        <v>1</v>
      </c>
      <c r="CF5">
        <v>1</v>
      </c>
    </row>
    <row r="6" spans="1:84" x14ac:dyDescent="0.15">
      <c r="A6" t="s">
        <v>180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0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0</v>
      </c>
      <c r="Z6">
        <v>0</v>
      </c>
      <c r="AA6">
        <v>0</v>
      </c>
      <c r="AB6">
        <v>0</v>
      </c>
      <c r="AC6">
        <v>1</v>
      </c>
      <c r="AD6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S6">
        <v>1</v>
      </c>
      <c r="AT6">
        <v>1</v>
      </c>
      <c r="AU6">
        <v>1</v>
      </c>
      <c r="AV6">
        <v>1</v>
      </c>
      <c r="AW6">
        <v>1</v>
      </c>
      <c r="AX6">
        <v>1</v>
      </c>
      <c r="AY6">
        <v>1</v>
      </c>
      <c r="AZ6">
        <v>1</v>
      </c>
      <c r="BA6">
        <v>1</v>
      </c>
      <c r="BB6">
        <v>1</v>
      </c>
      <c r="BC6">
        <v>1</v>
      </c>
      <c r="BD6">
        <v>1</v>
      </c>
      <c r="BE6">
        <v>1</v>
      </c>
      <c r="BF6">
        <v>1</v>
      </c>
      <c r="BG6">
        <v>1</v>
      </c>
      <c r="BH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1</v>
      </c>
      <c r="BP6">
        <v>0</v>
      </c>
      <c r="BQ6">
        <v>1</v>
      </c>
      <c r="BR6">
        <v>0</v>
      </c>
      <c r="BS6">
        <v>1</v>
      </c>
      <c r="BT6">
        <v>0</v>
      </c>
      <c r="BU6">
        <v>1</v>
      </c>
      <c r="BV6">
        <v>1</v>
      </c>
      <c r="BW6">
        <v>1</v>
      </c>
      <c r="BX6">
        <v>1</v>
      </c>
      <c r="BY6">
        <v>1</v>
      </c>
      <c r="BZ6">
        <v>1</v>
      </c>
      <c r="CA6">
        <v>1</v>
      </c>
      <c r="CB6">
        <v>1</v>
      </c>
      <c r="CC6">
        <v>1</v>
      </c>
      <c r="CD6">
        <v>1</v>
      </c>
      <c r="CE6">
        <v>1</v>
      </c>
      <c r="CF6">
        <v>1</v>
      </c>
    </row>
    <row r="7" spans="1:84" x14ac:dyDescent="0.15">
      <c r="A7" t="s">
        <v>181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0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0</v>
      </c>
      <c r="Z7">
        <v>0</v>
      </c>
      <c r="AA7">
        <v>0</v>
      </c>
      <c r="AB7">
        <v>0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v>1</v>
      </c>
      <c r="AV7">
        <v>1</v>
      </c>
      <c r="AW7">
        <v>1</v>
      </c>
      <c r="AX7">
        <v>1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1</v>
      </c>
      <c r="BO7">
        <v>1</v>
      </c>
      <c r="BP7">
        <v>0</v>
      </c>
      <c r="BQ7">
        <v>1</v>
      </c>
      <c r="BR7">
        <v>0</v>
      </c>
      <c r="BS7">
        <v>1</v>
      </c>
      <c r="BT7">
        <v>0</v>
      </c>
      <c r="BU7">
        <v>1</v>
      </c>
      <c r="BV7">
        <v>1</v>
      </c>
      <c r="BW7">
        <v>1</v>
      </c>
      <c r="BX7">
        <v>1</v>
      </c>
      <c r="BY7">
        <v>1</v>
      </c>
      <c r="BZ7">
        <v>1</v>
      </c>
      <c r="CA7">
        <v>1</v>
      </c>
      <c r="CB7">
        <v>1</v>
      </c>
      <c r="CC7">
        <v>1</v>
      </c>
      <c r="CD7">
        <v>1</v>
      </c>
      <c r="CE7">
        <v>1</v>
      </c>
      <c r="CF7">
        <v>1</v>
      </c>
    </row>
    <row r="8" spans="1:84" x14ac:dyDescent="0.15">
      <c r="A8" t="s">
        <v>182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0</v>
      </c>
      <c r="O8">
        <v>1</v>
      </c>
      <c r="P8">
        <v>1</v>
      </c>
      <c r="Q8">
        <v>1</v>
      </c>
      <c r="R8">
        <v>1</v>
      </c>
      <c r="S8">
        <v>0</v>
      </c>
      <c r="T8">
        <v>0</v>
      </c>
      <c r="U8">
        <v>0</v>
      </c>
      <c r="V8">
        <v>1</v>
      </c>
      <c r="W8">
        <v>1</v>
      </c>
      <c r="X8">
        <v>1</v>
      </c>
      <c r="Y8">
        <v>0</v>
      </c>
      <c r="Z8">
        <v>0</v>
      </c>
      <c r="AA8">
        <v>0</v>
      </c>
      <c r="AB8">
        <v>0</v>
      </c>
      <c r="AC8">
        <v>1</v>
      </c>
      <c r="AD8">
        <v>1</v>
      </c>
      <c r="AE8">
        <v>0</v>
      </c>
      <c r="AF8">
        <v>0</v>
      </c>
      <c r="AG8">
        <v>1</v>
      </c>
      <c r="AH8">
        <v>0</v>
      </c>
      <c r="AI8">
        <v>1</v>
      </c>
      <c r="AJ8">
        <v>1</v>
      </c>
      <c r="AK8">
        <v>0</v>
      </c>
      <c r="AL8">
        <v>1</v>
      </c>
      <c r="AM8">
        <v>0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>
        <v>1</v>
      </c>
      <c r="AU8">
        <v>1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F8">
        <v>1</v>
      </c>
      <c r="BG8">
        <v>1</v>
      </c>
      <c r="BH8">
        <v>1</v>
      </c>
      <c r="BI8">
        <v>1</v>
      </c>
      <c r="BJ8">
        <v>1</v>
      </c>
      <c r="BK8">
        <v>1</v>
      </c>
      <c r="BL8">
        <v>1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1</v>
      </c>
      <c r="BW8">
        <v>1</v>
      </c>
      <c r="BX8">
        <v>1</v>
      </c>
      <c r="BY8">
        <v>1</v>
      </c>
      <c r="BZ8">
        <v>1</v>
      </c>
      <c r="CA8">
        <v>1</v>
      </c>
      <c r="CB8">
        <v>1</v>
      </c>
      <c r="CC8">
        <v>1</v>
      </c>
      <c r="CD8">
        <v>1</v>
      </c>
      <c r="CE8">
        <v>1</v>
      </c>
      <c r="CF8">
        <v>1</v>
      </c>
    </row>
    <row r="9" spans="1:84" x14ac:dyDescent="0.15">
      <c r="A9" t="s">
        <v>183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0</v>
      </c>
      <c r="O9">
        <v>1</v>
      </c>
      <c r="P9">
        <v>1</v>
      </c>
      <c r="Q9">
        <v>1</v>
      </c>
      <c r="R9">
        <v>1</v>
      </c>
      <c r="S9">
        <v>0</v>
      </c>
      <c r="T9">
        <v>0</v>
      </c>
      <c r="U9">
        <v>0</v>
      </c>
      <c r="V9">
        <v>1</v>
      </c>
      <c r="W9">
        <v>1</v>
      </c>
      <c r="X9">
        <v>1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0</v>
      </c>
      <c r="AF9">
        <v>0</v>
      </c>
      <c r="AG9">
        <v>1</v>
      </c>
      <c r="AH9">
        <v>0</v>
      </c>
      <c r="AI9">
        <v>1</v>
      </c>
      <c r="AJ9">
        <v>1</v>
      </c>
      <c r="AK9">
        <v>0</v>
      </c>
      <c r="AL9">
        <v>1</v>
      </c>
      <c r="AM9">
        <v>0</v>
      </c>
      <c r="AN9">
        <v>1</v>
      </c>
      <c r="AO9">
        <v>1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1</v>
      </c>
      <c r="BW9">
        <v>1</v>
      </c>
      <c r="BX9">
        <v>1</v>
      </c>
      <c r="BY9">
        <v>1</v>
      </c>
      <c r="BZ9">
        <v>1</v>
      </c>
      <c r="CA9">
        <v>1</v>
      </c>
      <c r="CB9">
        <v>1</v>
      </c>
      <c r="CC9">
        <v>1</v>
      </c>
      <c r="CD9">
        <v>1</v>
      </c>
      <c r="CE9">
        <v>1</v>
      </c>
      <c r="CF9">
        <v>1</v>
      </c>
    </row>
    <row r="10" spans="1:84" x14ac:dyDescent="0.15">
      <c r="A10" t="s">
        <v>184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0</v>
      </c>
      <c r="K10">
        <v>0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0</v>
      </c>
      <c r="S10">
        <v>0</v>
      </c>
      <c r="T10">
        <v>1</v>
      </c>
      <c r="U10">
        <v>0</v>
      </c>
      <c r="V10">
        <v>0</v>
      </c>
      <c r="W10">
        <v>0</v>
      </c>
      <c r="X10">
        <v>0</v>
      </c>
      <c r="Y10">
        <v>1</v>
      </c>
      <c r="Z10">
        <v>0</v>
      </c>
      <c r="AA10">
        <v>0</v>
      </c>
      <c r="AB10">
        <v>0</v>
      </c>
      <c r="AC10">
        <v>1</v>
      </c>
      <c r="AD10">
        <v>0</v>
      </c>
      <c r="AE10">
        <v>0</v>
      </c>
      <c r="AF10">
        <v>0</v>
      </c>
      <c r="AG10">
        <v>0</v>
      </c>
      <c r="AH10">
        <v>1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1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1</v>
      </c>
      <c r="BC10">
        <v>0</v>
      </c>
      <c r="BD10">
        <v>0</v>
      </c>
      <c r="BE10">
        <v>0</v>
      </c>
      <c r="BF10">
        <v>1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</row>
    <row r="11" spans="1:84" x14ac:dyDescent="0.15">
      <c r="A11" t="s">
        <v>185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0</v>
      </c>
      <c r="O11">
        <v>1</v>
      </c>
      <c r="P11">
        <v>1</v>
      </c>
      <c r="Q11">
        <v>1</v>
      </c>
      <c r="R11">
        <v>1</v>
      </c>
      <c r="S11">
        <v>0</v>
      </c>
      <c r="T11">
        <v>0</v>
      </c>
      <c r="U11">
        <v>0</v>
      </c>
      <c r="V11">
        <v>1</v>
      </c>
      <c r="W11">
        <v>1</v>
      </c>
      <c r="X11">
        <v>1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0</v>
      </c>
      <c r="AF11">
        <v>0</v>
      </c>
      <c r="AG11">
        <v>1</v>
      </c>
      <c r="AH11">
        <v>0</v>
      </c>
      <c r="AI11">
        <v>1</v>
      </c>
      <c r="AJ11">
        <v>1</v>
      </c>
      <c r="AK11">
        <v>0</v>
      </c>
      <c r="AL11">
        <v>1</v>
      </c>
      <c r="AM11">
        <v>0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1</v>
      </c>
      <c r="BW11">
        <v>1</v>
      </c>
      <c r="BX11">
        <v>1</v>
      </c>
      <c r="BY11">
        <v>1</v>
      </c>
      <c r="BZ11">
        <v>1</v>
      </c>
      <c r="CA11">
        <v>1</v>
      </c>
      <c r="CB11">
        <v>1</v>
      </c>
      <c r="CC11">
        <v>1</v>
      </c>
      <c r="CD11">
        <v>1</v>
      </c>
      <c r="CE11">
        <v>1</v>
      </c>
      <c r="CF11">
        <v>1</v>
      </c>
    </row>
    <row r="12" spans="1:84" x14ac:dyDescent="0.15">
      <c r="A12" t="s">
        <v>186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1</v>
      </c>
      <c r="BO12">
        <v>1</v>
      </c>
      <c r="BP12">
        <v>1</v>
      </c>
      <c r="BQ12">
        <v>1</v>
      </c>
      <c r="BR12">
        <v>1</v>
      </c>
      <c r="BS12">
        <v>1</v>
      </c>
      <c r="BT12">
        <v>1</v>
      </c>
      <c r="BU12">
        <v>1</v>
      </c>
      <c r="BV12">
        <v>1</v>
      </c>
      <c r="BW12">
        <v>1</v>
      </c>
      <c r="BX12">
        <v>1</v>
      </c>
      <c r="BY12">
        <v>1</v>
      </c>
      <c r="BZ12">
        <v>1</v>
      </c>
      <c r="CA12">
        <v>1</v>
      </c>
      <c r="CB12">
        <v>1</v>
      </c>
      <c r="CC12">
        <v>1</v>
      </c>
      <c r="CD12">
        <v>1</v>
      </c>
      <c r="CE12">
        <v>1</v>
      </c>
      <c r="CF12">
        <v>1</v>
      </c>
    </row>
    <row r="13" spans="1:84" x14ac:dyDescent="0.15">
      <c r="A13" t="s">
        <v>187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AX13">
        <v>1</v>
      </c>
      <c r="AY13">
        <v>1</v>
      </c>
      <c r="AZ13">
        <v>1</v>
      </c>
      <c r="BA13">
        <v>1</v>
      </c>
      <c r="BB13">
        <v>1</v>
      </c>
      <c r="BC13">
        <v>1</v>
      </c>
      <c r="BD13">
        <v>1</v>
      </c>
      <c r="BE13">
        <v>1</v>
      </c>
      <c r="BF13">
        <v>1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1</v>
      </c>
      <c r="BO13">
        <v>1</v>
      </c>
      <c r="BP13">
        <v>1</v>
      </c>
      <c r="BQ13">
        <v>1</v>
      </c>
      <c r="BR13">
        <v>1</v>
      </c>
      <c r="BS13">
        <v>1</v>
      </c>
      <c r="BT13">
        <v>1</v>
      </c>
      <c r="BU13">
        <v>1</v>
      </c>
      <c r="BV13">
        <v>1</v>
      </c>
      <c r="BW13">
        <v>1</v>
      </c>
      <c r="BX13">
        <v>1</v>
      </c>
      <c r="BY13">
        <v>1</v>
      </c>
      <c r="BZ13">
        <v>1</v>
      </c>
      <c r="CA13">
        <v>1</v>
      </c>
      <c r="CB13">
        <v>1</v>
      </c>
      <c r="CC13">
        <v>1</v>
      </c>
      <c r="CD13">
        <v>1</v>
      </c>
      <c r="CE13">
        <v>1</v>
      </c>
      <c r="CF13">
        <v>1</v>
      </c>
    </row>
    <row r="14" spans="1:84" x14ac:dyDescent="0.15">
      <c r="A14" t="s">
        <v>188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</v>
      </c>
      <c r="BG14">
        <v>1</v>
      </c>
      <c r="BH14">
        <v>1</v>
      </c>
      <c r="BI14">
        <v>1</v>
      </c>
      <c r="BJ14">
        <v>1</v>
      </c>
      <c r="BK14">
        <v>1</v>
      </c>
      <c r="BL14">
        <v>1</v>
      </c>
      <c r="BM14">
        <v>1</v>
      </c>
      <c r="BN14">
        <v>1</v>
      </c>
      <c r="BO14">
        <v>1</v>
      </c>
      <c r="BP14">
        <v>1</v>
      </c>
      <c r="BQ14">
        <v>1</v>
      </c>
      <c r="BR14">
        <v>1</v>
      </c>
      <c r="BS14">
        <v>1</v>
      </c>
      <c r="BT14">
        <v>1</v>
      </c>
      <c r="BU14">
        <v>1</v>
      </c>
      <c r="BV14">
        <v>1</v>
      </c>
      <c r="BW14">
        <v>1</v>
      </c>
      <c r="BX14">
        <v>1</v>
      </c>
      <c r="BY14">
        <v>1</v>
      </c>
      <c r="BZ14">
        <v>1</v>
      </c>
      <c r="CA14">
        <v>1</v>
      </c>
      <c r="CB14">
        <v>1</v>
      </c>
      <c r="CC14">
        <v>1</v>
      </c>
      <c r="CD14">
        <v>1</v>
      </c>
      <c r="CE14">
        <v>1</v>
      </c>
      <c r="CF14">
        <v>1</v>
      </c>
    </row>
    <row r="15" spans="1:84" x14ac:dyDescent="0.15">
      <c r="A15" t="s">
        <v>189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0</v>
      </c>
      <c r="Z15">
        <v>0</v>
      </c>
      <c r="AA15">
        <v>0</v>
      </c>
      <c r="AB15">
        <v>0</v>
      </c>
      <c r="AC15">
        <v>0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1</v>
      </c>
      <c r="AZ15">
        <v>1</v>
      </c>
      <c r="BA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1</v>
      </c>
      <c r="BQ15">
        <v>1</v>
      </c>
      <c r="BR15">
        <v>1</v>
      </c>
      <c r="BS15">
        <v>1</v>
      </c>
      <c r="BT15">
        <v>1</v>
      </c>
      <c r="BU15">
        <v>1</v>
      </c>
      <c r="BV15">
        <v>1</v>
      </c>
      <c r="BW15">
        <v>1</v>
      </c>
      <c r="BX15">
        <v>1</v>
      </c>
      <c r="BY15">
        <v>1</v>
      </c>
      <c r="BZ15">
        <v>1</v>
      </c>
      <c r="CA15">
        <v>1</v>
      </c>
      <c r="CB15">
        <v>1</v>
      </c>
      <c r="CC15">
        <v>1</v>
      </c>
      <c r="CD15">
        <v>1</v>
      </c>
      <c r="CE15">
        <v>1</v>
      </c>
      <c r="CF15">
        <v>1</v>
      </c>
    </row>
    <row r="16" spans="1:84" x14ac:dyDescent="0.15">
      <c r="A16" t="s">
        <v>190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0</v>
      </c>
      <c r="Z16">
        <v>0</v>
      </c>
      <c r="AA16">
        <v>0</v>
      </c>
      <c r="AB16">
        <v>0</v>
      </c>
      <c r="AC16">
        <v>0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F16">
        <v>1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1</v>
      </c>
      <c r="CD16">
        <v>1</v>
      </c>
      <c r="CE16">
        <v>1</v>
      </c>
      <c r="CF16">
        <v>1</v>
      </c>
    </row>
    <row r="17" spans="1:84" x14ac:dyDescent="0.15">
      <c r="A17" t="s">
        <v>191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1</v>
      </c>
      <c r="BU17">
        <v>1</v>
      </c>
      <c r="BV17">
        <v>1</v>
      </c>
      <c r="BW17">
        <v>1</v>
      </c>
      <c r="BX17">
        <v>1</v>
      </c>
      <c r="BY17">
        <v>1</v>
      </c>
      <c r="BZ17">
        <v>1</v>
      </c>
      <c r="CA17">
        <v>1</v>
      </c>
      <c r="CB17">
        <v>1</v>
      </c>
      <c r="CC17">
        <v>1</v>
      </c>
      <c r="CD17">
        <v>1</v>
      </c>
      <c r="CE17">
        <v>1</v>
      </c>
      <c r="CF17">
        <v>1</v>
      </c>
    </row>
    <row r="18" spans="1:84" x14ac:dyDescent="0.15">
      <c r="A18" t="s">
        <v>192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1</v>
      </c>
      <c r="BP18">
        <v>1</v>
      </c>
      <c r="BQ18">
        <v>1</v>
      </c>
      <c r="BR18">
        <v>1</v>
      </c>
      <c r="BS18">
        <v>1</v>
      </c>
      <c r="BT18">
        <v>1</v>
      </c>
      <c r="BU18">
        <v>1</v>
      </c>
      <c r="BV18">
        <v>1</v>
      </c>
      <c r="BW18">
        <v>1</v>
      </c>
      <c r="BX18">
        <v>1</v>
      </c>
      <c r="BY18">
        <v>1</v>
      </c>
      <c r="BZ18">
        <v>1</v>
      </c>
      <c r="CA18">
        <v>1</v>
      </c>
      <c r="CB18">
        <v>1</v>
      </c>
      <c r="CC18">
        <v>1</v>
      </c>
      <c r="CD18">
        <v>1</v>
      </c>
      <c r="CE18">
        <v>1</v>
      </c>
      <c r="CF18">
        <v>1</v>
      </c>
    </row>
    <row r="19" spans="1:84" x14ac:dyDescent="0.15">
      <c r="A19" t="s">
        <v>193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AY19">
        <v>1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1</v>
      </c>
      <c r="BQ19">
        <v>1</v>
      </c>
      <c r="BR19">
        <v>1</v>
      </c>
      <c r="BS19">
        <v>1</v>
      </c>
      <c r="BT19">
        <v>1</v>
      </c>
      <c r="BU19">
        <v>1</v>
      </c>
      <c r="BV19">
        <v>1</v>
      </c>
      <c r="BW19">
        <v>1</v>
      </c>
      <c r="BX19">
        <v>1</v>
      </c>
      <c r="BY19">
        <v>1</v>
      </c>
      <c r="BZ19">
        <v>1</v>
      </c>
      <c r="CA19">
        <v>1</v>
      </c>
      <c r="CB19">
        <v>1</v>
      </c>
      <c r="CC19">
        <v>1</v>
      </c>
      <c r="CD19">
        <v>1</v>
      </c>
      <c r="CE19">
        <v>1</v>
      </c>
      <c r="CF19">
        <v>1</v>
      </c>
    </row>
    <row r="20" spans="1:84" x14ac:dyDescent="0.15">
      <c r="A20" t="s">
        <v>194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1</v>
      </c>
      <c r="AQ20">
        <v>1</v>
      </c>
      <c r="AR20">
        <v>1</v>
      </c>
      <c r="AS20">
        <v>1</v>
      </c>
      <c r="AT20">
        <v>1</v>
      </c>
      <c r="AU20">
        <v>1</v>
      </c>
      <c r="AV20">
        <v>1</v>
      </c>
      <c r="AW20">
        <v>1</v>
      </c>
      <c r="AX20">
        <v>1</v>
      </c>
      <c r="AY20">
        <v>1</v>
      </c>
      <c r="AZ20">
        <v>1</v>
      </c>
      <c r="BA20">
        <v>1</v>
      </c>
      <c r="BB20">
        <v>1</v>
      </c>
      <c r="BC20">
        <v>1</v>
      </c>
      <c r="BD20">
        <v>1</v>
      </c>
      <c r="BE20">
        <v>1</v>
      </c>
      <c r="BF20">
        <v>1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  <c r="BS20">
        <v>1</v>
      </c>
      <c r="BT20">
        <v>1</v>
      </c>
      <c r="BU20">
        <v>1</v>
      </c>
      <c r="BV20">
        <v>1</v>
      </c>
      <c r="BW20">
        <v>1</v>
      </c>
      <c r="BX20">
        <v>1</v>
      </c>
      <c r="BY20">
        <v>1</v>
      </c>
      <c r="BZ20">
        <v>1</v>
      </c>
      <c r="CA20">
        <v>1</v>
      </c>
      <c r="CB20">
        <v>1</v>
      </c>
      <c r="CC20">
        <v>1</v>
      </c>
      <c r="CD20">
        <v>1</v>
      </c>
      <c r="CE20">
        <v>1</v>
      </c>
      <c r="CF20">
        <v>1</v>
      </c>
    </row>
    <row r="21" spans="1:84" x14ac:dyDescent="0.15">
      <c r="A21" t="s">
        <v>195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AL21">
        <v>1</v>
      </c>
      <c r="AM21">
        <v>1</v>
      </c>
      <c r="AN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BN21">
        <v>1</v>
      </c>
      <c r="BO21">
        <v>1</v>
      </c>
      <c r="BP21">
        <v>1</v>
      </c>
      <c r="BQ21">
        <v>1</v>
      </c>
      <c r="BR21">
        <v>1</v>
      </c>
      <c r="BS21">
        <v>1</v>
      </c>
      <c r="BT21">
        <v>1</v>
      </c>
      <c r="BU21">
        <v>1</v>
      </c>
      <c r="BV21">
        <v>1</v>
      </c>
      <c r="BW21">
        <v>1</v>
      </c>
      <c r="BX21">
        <v>1</v>
      </c>
      <c r="BY21">
        <v>1</v>
      </c>
      <c r="BZ21">
        <v>1</v>
      </c>
      <c r="CA21">
        <v>1</v>
      </c>
      <c r="CB21">
        <v>1</v>
      </c>
      <c r="CC21">
        <v>1</v>
      </c>
      <c r="CD21">
        <v>1</v>
      </c>
      <c r="CE21">
        <v>1</v>
      </c>
      <c r="CF21">
        <v>1</v>
      </c>
    </row>
    <row r="22" spans="1:84" x14ac:dyDescent="0.15">
      <c r="A22" t="s">
        <v>196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1</v>
      </c>
      <c r="BJ22">
        <v>1</v>
      </c>
      <c r="BK22">
        <v>1</v>
      </c>
      <c r="BL22">
        <v>1</v>
      </c>
      <c r="BM22">
        <v>1</v>
      </c>
      <c r="BN22">
        <v>1</v>
      </c>
      <c r="BO22">
        <v>1</v>
      </c>
      <c r="BP22">
        <v>1</v>
      </c>
      <c r="BQ22">
        <v>1</v>
      </c>
      <c r="BR22">
        <v>1</v>
      </c>
      <c r="BS22">
        <v>1</v>
      </c>
      <c r="BT22">
        <v>1</v>
      </c>
      <c r="BU22">
        <v>1</v>
      </c>
      <c r="BV22">
        <v>1</v>
      </c>
      <c r="BW22">
        <v>1</v>
      </c>
      <c r="BX22">
        <v>1</v>
      </c>
      <c r="BY22">
        <v>1</v>
      </c>
      <c r="BZ22">
        <v>1</v>
      </c>
      <c r="CA22">
        <v>1</v>
      </c>
      <c r="CB22">
        <v>1</v>
      </c>
      <c r="CC22">
        <v>1</v>
      </c>
      <c r="CD22">
        <v>1</v>
      </c>
      <c r="CE22">
        <v>1</v>
      </c>
      <c r="CF22">
        <v>1</v>
      </c>
    </row>
    <row r="23" spans="1:84" x14ac:dyDescent="0.15">
      <c r="A23" t="s">
        <v>197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BN23">
        <v>1</v>
      </c>
      <c r="BO23">
        <v>1</v>
      </c>
      <c r="BP23">
        <v>1</v>
      </c>
      <c r="BQ23">
        <v>1</v>
      </c>
      <c r="BR23">
        <v>1</v>
      </c>
      <c r="BS23">
        <v>1</v>
      </c>
      <c r="BT23">
        <v>1</v>
      </c>
      <c r="BU23">
        <v>1</v>
      </c>
      <c r="BV23">
        <v>1</v>
      </c>
      <c r="BW23">
        <v>1</v>
      </c>
      <c r="BX23">
        <v>1</v>
      </c>
      <c r="BY23">
        <v>1</v>
      </c>
      <c r="BZ23">
        <v>1</v>
      </c>
      <c r="CA23">
        <v>1</v>
      </c>
      <c r="CB23">
        <v>1</v>
      </c>
      <c r="CC23">
        <v>1</v>
      </c>
      <c r="CD23">
        <v>1</v>
      </c>
      <c r="CE23">
        <v>1</v>
      </c>
      <c r="CF23">
        <v>1</v>
      </c>
    </row>
    <row r="24" spans="1:84" x14ac:dyDescent="0.15">
      <c r="A24" t="s">
        <v>198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AL24">
        <v>1</v>
      </c>
      <c r="AM24">
        <v>1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BN24">
        <v>1</v>
      </c>
      <c r="BO24">
        <v>1</v>
      </c>
      <c r="BP24">
        <v>1</v>
      </c>
      <c r="BQ24">
        <v>1</v>
      </c>
      <c r="BR24">
        <v>1</v>
      </c>
      <c r="BS24">
        <v>1</v>
      </c>
      <c r="BT24">
        <v>1</v>
      </c>
      <c r="BU24">
        <v>1</v>
      </c>
      <c r="BV24">
        <v>1</v>
      </c>
      <c r="BW24">
        <v>1</v>
      </c>
      <c r="BX24">
        <v>1</v>
      </c>
      <c r="BY24">
        <v>1</v>
      </c>
      <c r="BZ24">
        <v>1</v>
      </c>
      <c r="CA24">
        <v>1</v>
      </c>
      <c r="CB24">
        <v>1</v>
      </c>
      <c r="CC24">
        <v>1</v>
      </c>
      <c r="CD24">
        <v>1</v>
      </c>
      <c r="CE24">
        <v>1</v>
      </c>
      <c r="CF24">
        <v>1</v>
      </c>
    </row>
    <row r="25" spans="1:84" x14ac:dyDescent="0.15">
      <c r="A25" t="s">
        <v>273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L25">
        <v>1</v>
      </c>
      <c r="BM25">
        <v>1</v>
      </c>
      <c r="BN25">
        <v>1</v>
      </c>
      <c r="BO25">
        <v>1</v>
      </c>
      <c r="BP25">
        <v>1</v>
      </c>
      <c r="BQ25">
        <v>1</v>
      </c>
      <c r="BR25">
        <v>1</v>
      </c>
      <c r="BS25">
        <v>1</v>
      </c>
      <c r="BT25">
        <v>1</v>
      </c>
      <c r="BU25">
        <v>1</v>
      </c>
      <c r="BV25">
        <v>1</v>
      </c>
      <c r="BW25">
        <v>1</v>
      </c>
      <c r="BX25">
        <v>1</v>
      </c>
      <c r="BY25">
        <v>1</v>
      </c>
      <c r="BZ25">
        <v>1</v>
      </c>
      <c r="CA25">
        <v>1</v>
      </c>
      <c r="CB25">
        <v>1</v>
      </c>
      <c r="CC25">
        <v>1</v>
      </c>
      <c r="CD25">
        <v>1</v>
      </c>
      <c r="CE25">
        <v>1</v>
      </c>
      <c r="CF25">
        <v>1</v>
      </c>
    </row>
    <row r="26" spans="1:84" x14ac:dyDescent="0.15">
      <c r="A26" t="s">
        <v>398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AV26">
        <v>1</v>
      </c>
      <c r="AW26">
        <v>1</v>
      </c>
      <c r="AX26">
        <v>1</v>
      </c>
      <c r="AY26">
        <v>1</v>
      </c>
      <c r="AZ26">
        <v>1</v>
      </c>
      <c r="BA26">
        <v>1</v>
      </c>
      <c r="BB26">
        <v>1</v>
      </c>
      <c r="BC26">
        <v>1</v>
      </c>
      <c r="BD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BN26">
        <v>1</v>
      </c>
      <c r="BO26">
        <v>1</v>
      </c>
      <c r="BP26">
        <v>1</v>
      </c>
      <c r="BQ26">
        <v>1</v>
      </c>
      <c r="BR26">
        <v>1</v>
      </c>
      <c r="BS26">
        <v>1</v>
      </c>
      <c r="BT26">
        <v>1</v>
      </c>
      <c r="BU26">
        <v>1</v>
      </c>
      <c r="BV26">
        <v>1</v>
      </c>
      <c r="BW26">
        <v>1</v>
      </c>
      <c r="BX26">
        <v>1</v>
      </c>
      <c r="BY26">
        <v>1</v>
      </c>
      <c r="BZ26">
        <v>1</v>
      </c>
      <c r="CA26">
        <v>1</v>
      </c>
      <c r="CB26">
        <v>1</v>
      </c>
      <c r="CC26">
        <v>1</v>
      </c>
      <c r="CD26">
        <v>1</v>
      </c>
      <c r="CE26">
        <v>1</v>
      </c>
      <c r="CF26">
        <v>1</v>
      </c>
    </row>
    <row r="27" spans="1:84" x14ac:dyDescent="0.15">
      <c r="A27" t="s">
        <v>399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BN27">
        <v>1</v>
      </c>
      <c r="BO27">
        <v>1</v>
      </c>
      <c r="BP27">
        <v>1</v>
      </c>
      <c r="BQ27">
        <v>1</v>
      </c>
      <c r="BR27">
        <v>1</v>
      </c>
      <c r="BS27">
        <v>1</v>
      </c>
      <c r="BT27">
        <v>1</v>
      </c>
      <c r="BU27">
        <v>1</v>
      </c>
      <c r="BV27">
        <v>1</v>
      </c>
      <c r="BW27">
        <v>1</v>
      </c>
      <c r="BX27">
        <v>1</v>
      </c>
      <c r="BY27">
        <v>1</v>
      </c>
      <c r="BZ27">
        <v>1</v>
      </c>
      <c r="CA27">
        <v>1</v>
      </c>
      <c r="CB27">
        <v>1</v>
      </c>
      <c r="CC27">
        <v>1</v>
      </c>
      <c r="CD27">
        <v>1</v>
      </c>
      <c r="CE27">
        <v>1</v>
      </c>
      <c r="CF27">
        <v>1</v>
      </c>
    </row>
    <row r="28" spans="1:84" x14ac:dyDescent="0.15">
      <c r="A28" t="s">
        <v>199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>
        <v>1</v>
      </c>
      <c r="AH28">
        <v>1</v>
      </c>
      <c r="AI28">
        <v>1</v>
      </c>
      <c r="AJ28">
        <v>1</v>
      </c>
      <c r="AK28">
        <v>1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D28">
        <v>1</v>
      </c>
      <c r="BE28">
        <v>1</v>
      </c>
      <c r="BF28">
        <v>1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  <c r="BO28">
        <v>1</v>
      </c>
      <c r="BP28">
        <v>1</v>
      </c>
      <c r="BQ28">
        <v>1</v>
      </c>
      <c r="BR28">
        <v>1</v>
      </c>
      <c r="BS28">
        <v>1</v>
      </c>
      <c r="BT28">
        <v>1</v>
      </c>
      <c r="BU28">
        <v>1</v>
      </c>
      <c r="BV28">
        <v>1</v>
      </c>
      <c r="BW28">
        <v>1</v>
      </c>
      <c r="BX28">
        <v>1</v>
      </c>
      <c r="BY28">
        <v>1</v>
      </c>
      <c r="BZ28">
        <v>1</v>
      </c>
      <c r="CA28">
        <v>1</v>
      </c>
      <c r="CB28">
        <v>1</v>
      </c>
      <c r="CC28">
        <v>1</v>
      </c>
      <c r="CD28">
        <v>1</v>
      </c>
      <c r="CE28">
        <v>1</v>
      </c>
      <c r="CF28">
        <v>1</v>
      </c>
    </row>
    <row r="29" spans="1:84" x14ac:dyDescent="0.15">
      <c r="A29" t="s">
        <v>200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U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D29">
        <v>1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BN29">
        <v>1</v>
      </c>
      <c r="BO29">
        <v>1</v>
      </c>
      <c r="BP29">
        <v>1</v>
      </c>
      <c r="BQ29">
        <v>1</v>
      </c>
      <c r="BR29">
        <v>1</v>
      </c>
      <c r="BS29">
        <v>1</v>
      </c>
      <c r="BT29">
        <v>1</v>
      </c>
      <c r="BU29">
        <v>1</v>
      </c>
      <c r="BV29">
        <v>1</v>
      </c>
      <c r="BW29">
        <v>1</v>
      </c>
      <c r="BX29">
        <v>1</v>
      </c>
      <c r="BY29">
        <v>1</v>
      </c>
      <c r="BZ29">
        <v>1</v>
      </c>
      <c r="CA29">
        <v>1</v>
      </c>
      <c r="CB29">
        <v>1</v>
      </c>
      <c r="CC29">
        <v>1</v>
      </c>
      <c r="CD29">
        <v>1</v>
      </c>
      <c r="CE29">
        <v>1</v>
      </c>
      <c r="CF29">
        <v>1</v>
      </c>
    </row>
    <row r="30" spans="1:84" x14ac:dyDescent="0.15">
      <c r="A30" t="s">
        <v>201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U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D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BN30">
        <v>1</v>
      </c>
      <c r="BO30">
        <v>1</v>
      </c>
      <c r="BP30">
        <v>1</v>
      </c>
      <c r="BQ30">
        <v>1</v>
      </c>
      <c r="BR30">
        <v>1</v>
      </c>
      <c r="BS30">
        <v>1</v>
      </c>
      <c r="BT30">
        <v>1</v>
      </c>
      <c r="BU30">
        <v>1</v>
      </c>
      <c r="BV30">
        <v>1</v>
      </c>
      <c r="BW30">
        <v>1</v>
      </c>
      <c r="BX30">
        <v>1</v>
      </c>
      <c r="BY30">
        <v>1</v>
      </c>
      <c r="BZ30">
        <v>1</v>
      </c>
      <c r="CA30">
        <v>1</v>
      </c>
      <c r="CB30">
        <v>1</v>
      </c>
      <c r="CC30">
        <v>1</v>
      </c>
      <c r="CD30">
        <v>1</v>
      </c>
      <c r="CE30">
        <v>1</v>
      </c>
      <c r="CF30">
        <v>1</v>
      </c>
    </row>
    <row r="31" spans="1:84" x14ac:dyDescent="0.15">
      <c r="A31" t="s">
        <v>202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U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D31">
        <v>1</v>
      </c>
      <c r="BE31">
        <v>1</v>
      </c>
      <c r="BF31">
        <v>1</v>
      </c>
      <c r="BG31">
        <v>1</v>
      </c>
      <c r="BH31">
        <v>1</v>
      </c>
      <c r="BI31">
        <v>1</v>
      </c>
      <c r="BJ31">
        <v>1</v>
      </c>
      <c r="BK31">
        <v>1</v>
      </c>
      <c r="BL31">
        <v>1</v>
      </c>
      <c r="BM31">
        <v>1</v>
      </c>
      <c r="BN31">
        <v>1</v>
      </c>
      <c r="BO31">
        <v>1</v>
      </c>
      <c r="BP31">
        <v>1</v>
      </c>
      <c r="BQ31">
        <v>1</v>
      </c>
      <c r="BR31">
        <v>1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  <c r="CE31">
        <v>1</v>
      </c>
      <c r="CF31">
        <v>1</v>
      </c>
    </row>
    <row r="32" spans="1:84" x14ac:dyDescent="0.15">
      <c r="A32" t="s">
        <v>203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BN32">
        <v>1</v>
      </c>
      <c r="BO32">
        <v>1</v>
      </c>
      <c r="BP32">
        <v>1</v>
      </c>
      <c r="BQ32">
        <v>1</v>
      </c>
      <c r="BR32">
        <v>1</v>
      </c>
      <c r="BS32">
        <v>1</v>
      </c>
      <c r="BT32">
        <v>1</v>
      </c>
      <c r="BU32">
        <v>1</v>
      </c>
      <c r="BV32">
        <v>1</v>
      </c>
      <c r="BW32">
        <v>1</v>
      </c>
      <c r="BX32">
        <v>1</v>
      </c>
      <c r="BY32">
        <v>1</v>
      </c>
      <c r="BZ32">
        <v>1</v>
      </c>
      <c r="CA32">
        <v>1</v>
      </c>
      <c r="CB32">
        <v>1</v>
      </c>
      <c r="CC32">
        <v>1</v>
      </c>
      <c r="CD32">
        <v>1</v>
      </c>
      <c r="CE32">
        <v>1</v>
      </c>
      <c r="CF32">
        <v>1</v>
      </c>
    </row>
    <row r="33" spans="1:84" x14ac:dyDescent="0.15">
      <c r="A33" t="s">
        <v>204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1</v>
      </c>
      <c r="AV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BN33">
        <v>1</v>
      </c>
      <c r="BO33">
        <v>1</v>
      </c>
      <c r="BP33">
        <v>1</v>
      </c>
      <c r="BQ33">
        <v>1</v>
      </c>
      <c r="BR33">
        <v>1</v>
      </c>
      <c r="BS33">
        <v>1</v>
      </c>
      <c r="BT33">
        <v>1</v>
      </c>
      <c r="BU33">
        <v>1</v>
      </c>
      <c r="BV33">
        <v>1</v>
      </c>
      <c r="BW33">
        <v>1</v>
      </c>
      <c r="BX33">
        <v>1</v>
      </c>
      <c r="BY33">
        <v>1</v>
      </c>
      <c r="BZ33">
        <v>1</v>
      </c>
      <c r="CA33">
        <v>1</v>
      </c>
      <c r="CB33">
        <v>1</v>
      </c>
      <c r="CC33">
        <v>1</v>
      </c>
      <c r="CD33">
        <v>1</v>
      </c>
      <c r="CE33">
        <v>1</v>
      </c>
      <c r="CF33">
        <v>1</v>
      </c>
    </row>
    <row r="34" spans="1:84" x14ac:dyDescent="0.15">
      <c r="A34" t="s">
        <v>205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P34">
        <v>1</v>
      </c>
      <c r="AQ34">
        <v>1</v>
      </c>
      <c r="AR34">
        <v>1</v>
      </c>
      <c r="AS34">
        <v>1</v>
      </c>
      <c r="AT34">
        <v>1</v>
      </c>
      <c r="AU34">
        <v>1</v>
      </c>
      <c r="AV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C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I34">
        <v>1</v>
      </c>
      <c r="BJ34">
        <v>1</v>
      </c>
      <c r="BK34">
        <v>1</v>
      </c>
      <c r="BL34">
        <v>1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</row>
    <row r="35" spans="1:84" x14ac:dyDescent="0.15">
      <c r="A35" t="s">
        <v>206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C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BN35">
        <v>1</v>
      </c>
      <c r="BO35">
        <v>1</v>
      </c>
      <c r="BP35">
        <v>1</v>
      </c>
      <c r="BQ35">
        <v>1</v>
      </c>
      <c r="BR35">
        <v>1</v>
      </c>
      <c r="BS35">
        <v>0</v>
      </c>
      <c r="BT35">
        <v>1</v>
      </c>
      <c r="BU35">
        <v>1</v>
      </c>
      <c r="BV35">
        <v>1</v>
      </c>
      <c r="BW35">
        <v>1</v>
      </c>
      <c r="BX35">
        <v>1</v>
      </c>
      <c r="BY35">
        <v>1</v>
      </c>
      <c r="BZ35">
        <v>1</v>
      </c>
      <c r="CA35">
        <v>1</v>
      </c>
      <c r="CB35">
        <v>1</v>
      </c>
      <c r="CC35">
        <v>1</v>
      </c>
      <c r="CD35">
        <v>1</v>
      </c>
      <c r="CE35">
        <v>1</v>
      </c>
      <c r="CF35">
        <v>1</v>
      </c>
    </row>
    <row r="36" spans="1:84" x14ac:dyDescent="0.15">
      <c r="A36" t="s">
        <v>207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BN36">
        <v>1</v>
      </c>
      <c r="BO36">
        <v>1</v>
      </c>
      <c r="BP36">
        <v>1</v>
      </c>
      <c r="BQ36">
        <v>1</v>
      </c>
      <c r="BR36">
        <v>1</v>
      </c>
      <c r="BS36">
        <v>0</v>
      </c>
      <c r="BT36">
        <v>1</v>
      </c>
      <c r="BU36">
        <v>1</v>
      </c>
      <c r="BV36">
        <v>1</v>
      </c>
      <c r="BW36">
        <v>1</v>
      </c>
      <c r="BX36">
        <v>1</v>
      </c>
      <c r="BY36">
        <v>1</v>
      </c>
      <c r="BZ36">
        <v>1</v>
      </c>
      <c r="CA36">
        <v>1</v>
      </c>
      <c r="CB36">
        <v>1</v>
      </c>
      <c r="CC36">
        <v>1</v>
      </c>
      <c r="CD36">
        <v>1</v>
      </c>
      <c r="CE36">
        <v>1</v>
      </c>
      <c r="CF36">
        <v>1</v>
      </c>
    </row>
    <row r="37" spans="1:84" x14ac:dyDescent="0.15">
      <c r="A37" t="s">
        <v>208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V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C37">
        <v>1</v>
      </c>
      <c r="BD37">
        <v>1</v>
      </c>
      <c r="BE37">
        <v>1</v>
      </c>
      <c r="BF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1</v>
      </c>
      <c r="BQ37">
        <v>1</v>
      </c>
      <c r="BR37">
        <v>1</v>
      </c>
      <c r="BS37">
        <v>1</v>
      </c>
      <c r="BT37">
        <v>1</v>
      </c>
      <c r="BU37">
        <v>1</v>
      </c>
      <c r="BV37">
        <v>1</v>
      </c>
      <c r="BW37">
        <v>1</v>
      </c>
      <c r="BX37">
        <v>1</v>
      </c>
      <c r="BY37">
        <v>1</v>
      </c>
      <c r="BZ37">
        <v>1</v>
      </c>
      <c r="CA37">
        <v>1</v>
      </c>
      <c r="CB37">
        <v>1</v>
      </c>
      <c r="CC37">
        <v>1</v>
      </c>
      <c r="CD37">
        <v>1</v>
      </c>
      <c r="CE37">
        <v>1</v>
      </c>
      <c r="CF37">
        <v>1</v>
      </c>
    </row>
    <row r="38" spans="1:84" x14ac:dyDescent="0.15">
      <c r="A38" t="s">
        <v>209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1</v>
      </c>
      <c r="AO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BN38">
        <v>1</v>
      </c>
      <c r="BO38">
        <v>1</v>
      </c>
      <c r="BP38">
        <v>1</v>
      </c>
      <c r="BQ38">
        <v>1</v>
      </c>
      <c r="BR38">
        <v>1</v>
      </c>
      <c r="BS38">
        <v>1</v>
      </c>
      <c r="BT38">
        <v>1</v>
      </c>
      <c r="BU38">
        <v>1</v>
      </c>
      <c r="BV38">
        <v>1</v>
      </c>
      <c r="BW38">
        <v>1</v>
      </c>
      <c r="BX38">
        <v>1</v>
      </c>
      <c r="BY38">
        <v>1</v>
      </c>
      <c r="BZ38">
        <v>1</v>
      </c>
      <c r="CA38">
        <v>1</v>
      </c>
      <c r="CB38">
        <v>1</v>
      </c>
      <c r="CC38">
        <v>1</v>
      </c>
      <c r="CD38">
        <v>1</v>
      </c>
      <c r="CE38">
        <v>1</v>
      </c>
      <c r="CF38">
        <v>1</v>
      </c>
    </row>
    <row r="39" spans="1:84" x14ac:dyDescent="0.15">
      <c r="A39" t="s">
        <v>210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  <c r="AO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V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C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BN39">
        <v>1</v>
      </c>
      <c r="BO39">
        <v>1</v>
      </c>
      <c r="BP39">
        <v>1</v>
      </c>
      <c r="BQ39">
        <v>1</v>
      </c>
      <c r="BR39">
        <v>1</v>
      </c>
      <c r="BS39">
        <v>1</v>
      </c>
      <c r="BT39">
        <v>1</v>
      </c>
      <c r="BU39">
        <v>1</v>
      </c>
      <c r="BV39">
        <v>1</v>
      </c>
      <c r="BW39">
        <v>1</v>
      </c>
      <c r="BX39">
        <v>1</v>
      </c>
      <c r="BY39">
        <v>1</v>
      </c>
      <c r="BZ39">
        <v>1</v>
      </c>
      <c r="CA39">
        <v>1</v>
      </c>
      <c r="CB39">
        <v>1</v>
      </c>
      <c r="CC39">
        <v>1</v>
      </c>
      <c r="CD39">
        <v>1</v>
      </c>
      <c r="CE39">
        <v>1</v>
      </c>
      <c r="CF39">
        <v>1</v>
      </c>
    </row>
    <row r="40" spans="1:84" x14ac:dyDescent="0.15">
      <c r="A40" t="s">
        <v>211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1</v>
      </c>
      <c r="BQ40">
        <v>1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1</v>
      </c>
      <c r="BZ40">
        <v>1</v>
      </c>
      <c r="CA40">
        <v>1</v>
      </c>
      <c r="CB40">
        <v>1</v>
      </c>
      <c r="CC40">
        <v>1</v>
      </c>
      <c r="CD40">
        <v>1</v>
      </c>
      <c r="CE40">
        <v>1</v>
      </c>
      <c r="CF40">
        <v>1</v>
      </c>
    </row>
    <row r="41" spans="1:84" x14ac:dyDescent="0.15">
      <c r="A41" t="s">
        <v>212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>
        <v>1</v>
      </c>
      <c r="AH41">
        <v>1</v>
      </c>
      <c r="AI41">
        <v>1</v>
      </c>
      <c r="AJ41">
        <v>1</v>
      </c>
      <c r="AK41">
        <v>1</v>
      </c>
      <c r="AL41">
        <v>1</v>
      </c>
      <c r="AM41">
        <v>1</v>
      </c>
      <c r="AN41">
        <v>1</v>
      </c>
      <c r="AO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V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  <c r="BO41">
        <v>1</v>
      </c>
      <c r="BP41">
        <v>1</v>
      </c>
      <c r="BQ41">
        <v>1</v>
      </c>
      <c r="BR41">
        <v>1</v>
      </c>
      <c r="BS41">
        <v>1</v>
      </c>
      <c r="BT41">
        <v>1</v>
      </c>
      <c r="BU41">
        <v>1</v>
      </c>
      <c r="BV41">
        <v>1</v>
      </c>
      <c r="BW41">
        <v>1</v>
      </c>
      <c r="BX41">
        <v>1</v>
      </c>
      <c r="BY41">
        <v>1</v>
      </c>
      <c r="BZ41">
        <v>1</v>
      </c>
      <c r="CA41">
        <v>1</v>
      </c>
      <c r="CB41">
        <v>1</v>
      </c>
      <c r="CC41">
        <v>1</v>
      </c>
      <c r="CD41">
        <v>1</v>
      </c>
      <c r="CE41">
        <v>1</v>
      </c>
      <c r="CF41">
        <v>1</v>
      </c>
    </row>
    <row r="42" spans="1:84" x14ac:dyDescent="0.15">
      <c r="A42" t="s">
        <v>213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BN42">
        <v>1</v>
      </c>
      <c r="BO42">
        <v>1</v>
      </c>
      <c r="BP42">
        <v>1</v>
      </c>
      <c r="BQ42">
        <v>1</v>
      </c>
      <c r="BR42">
        <v>1</v>
      </c>
      <c r="BS42">
        <v>1</v>
      </c>
      <c r="BT42">
        <v>1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1</v>
      </c>
      <c r="CF42">
        <v>1</v>
      </c>
    </row>
    <row r="43" spans="1:84" x14ac:dyDescent="0.15">
      <c r="A43" t="s">
        <v>214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>
        <v>1</v>
      </c>
      <c r="AH43">
        <v>0</v>
      </c>
      <c r="AI43">
        <v>1</v>
      </c>
      <c r="AJ43">
        <v>1</v>
      </c>
      <c r="AK43">
        <v>1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1</v>
      </c>
      <c r="AU43">
        <v>0</v>
      </c>
      <c r="AV43">
        <v>0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C43">
        <v>1</v>
      </c>
      <c r="BD43">
        <v>1</v>
      </c>
      <c r="BE43">
        <v>1</v>
      </c>
      <c r="BF43">
        <v>1</v>
      </c>
      <c r="BG43">
        <v>1</v>
      </c>
      <c r="BH43">
        <v>1</v>
      </c>
      <c r="BI43">
        <v>1</v>
      </c>
      <c r="BJ43">
        <v>0</v>
      </c>
      <c r="BK43">
        <v>1</v>
      </c>
      <c r="BL43">
        <v>1</v>
      </c>
      <c r="BM43">
        <v>1</v>
      </c>
      <c r="BN43">
        <v>0</v>
      </c>
      <c r="BO43">
        <v>0</v>
      </c>
      <c r="BP43">
        <v>0</v>
      </c>
      <c r="BQ43">
        <v>1</v>
      </c>
      <c r="BR43">
        <v>1</v>
      </c>
      <c r="BS43">
        <v>0</v>
      </c>
      <c r="BT43">
        <v>1</v>
      </c>
      <c r="BU43">
        <v>1</v>
      </c>
      <c r="BV43">
        <v>1</v>
      </c>
      <c r="BW43">
        <v>1</v>
      </c>
      <c r="BX43">
        <v>1</v>
      </c>
      <c r="BY43">
        <v>1</v>
      </c>
      <c r="BZ43">
        <v>0</v>
      </c>
      <c r="CA43">
        <v>1</v>
      </c>
      <c r="CB43">
        <v>1</v>
      </c>
      <c r="CC43">
        <v>1</v>
      </c>
      <c r="CD43">
        <v>1</v>
      </c>
      <c r="CE43">
        <v>1</v>
      </c>
      <c r="CF43">
        <v>1</v>
      </c>
    </row>
    <row r="44" spans="1:84" x14ac:dyDescent="0.15">
      <c r="A44" t="s">
        <v>215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1</v>
      </c>
      <c r="BB44">
        <v>1</v>
      </c>
      <c r="BC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BN44">
        <v>1</v>
      </c>
      <c r="BO44">
        <v>1</v>
      </c>
      <c r="BP44">
        <v>1</v>
      </c>
      <c r="BQ44">
        <v>1</v>
      </c>
      <c r="BR44">
        <v>1</v>
      </c>
      <c r="BS44">
        <v>1</v>
      </c>
      <c r="BT44">
        <v>1</v>
      </c>
      <c r="BU44">
        <v>1</v>
      </c>
      <c r="BV44">
        <v>1</v>
      </c>
      <c r="BW44">
        <v>1</v>
      </c>
      <c r="BX44">
        <v>1</v>
      </c>
      <c r="BY44">
        <v>1</v>
      </c>
      <c r="BZ44">
        <v>1</v>
      </c>
      <c r="CA44">
        <v>1</v>
      </c>
      <c r="CB44">
        <v>1</v>
      </c>
      <c r="CC44">
        <v>1</v>
      </c>
      <c r="CD44">
        <v>1</v>
      </c>
      <c r="CE44">
        <v>1</v>
      </c>
      <c r="CF44">
        <v>1</v>
      </c>
    </row>
    <row r="45" spans="1:84" x14ac:dyDescent="0.15">
      <c r="A45" t="s">
        <v>216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W45">
        <v>1</v>
      </c>
      <c r="AX45">
        <v>1</v>
      </c>
      <c r="AY45">
        <v>1</v>
      </c>
      <c r="AZ45">
        <v>1</v>
      </c>
      <c r="BA45">
        <v>1</v>
      </c>
      <c r="BB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BN45">
        <v>1</v>
      </c>
      <c r="BO45">
        <v>1</v>
      </c>
      <c r="BP45">
        <v>1</v>
      </c>
      <c r="BQ45">
        <v>1</v>
      </c>
      <c r="BR45">
        <v>1</v>
      </c>
      <c r="BS45">
        <v>1</v>
      </c>
      <c r="BT45">
        <v>1</v>
      </c>
      <c r="BU45">
        <v>1</v>
      </c>
      <c r="BV45">
        <v>1</v>
      </c>
      <c r="BW45">
        <v>1</v>
      </c>
      <c r="BX45">
        <v>1</v>
      </c>
      <c r="BY45">
        <v>1</v>
      </c>
      <c r="BZ45">
        <v>1</v>
      </c>
      <c r="CA45">
        <v>1</v>
      </c>
      <c r="CB45">
        <v>1</v>
      </c>
      <c r="CC45">
        <v>1</v>
      </c>
      <c r="CD45">
        <v>1</v>
      </c>
      <c r="CE45">
        <v>1</v>
      </c>
      <c r="CF45">
        <v>1</v>
      </c>
    </row>
    <row r="46" spans="1:84" x14ac:dyDescent="0.15">
      <c r="A46" t="s">
        <v>217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  <c r="BS46">
        <v>1</v>
      </c>
      <c r="BT46">
        <v>1</v>
      </c>
      <c r="BU46">
        <v>1</v>
      </c>
      <c r="BV46">
        <v>1</v>
      </c>
      <c r="BW46">
        <v>1</v>
      </c>
      <c r="BX46">
        <v>1</v>
      </c>
      <c r="BY46">
        <v>1</v>
      </c>
      <c r="BZ46">
        <v>1</v>
      </c>
      <c r="CA46">
        <v>1</v>
      </c>
      <c r="CB46">
        <v>1</v>
      </c>
      <c r="CC46">
        <v>1</v>
      </c>
      <c r="CD46">
        <v>1</v>
      </c>
      <c r="CE46">
        <v>1</v>
      </c>
      <c r="CF46">
        <v>1</v>
      </c>
    </row>
    <row r="47" spans="1:84" x14ac:dyDescent="0.15">
      <c r="A47" t="s">
        <v>218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  <c r="BO47">
        <v>1</v>
      </c>
      <c r="BP47">
        <v>1</v>
      </c>
      <c r="BQ47">
        <v>1</v>
      </c>
      <c r="BR47">
        <v>1</v>
      </c>
      <c r="BS47">
        <v>1</v>
      </c>
      <c r="BT47">
        <v>1</v>
      </c>
      <c r="BU47">
        <v>1</v>
      </c>
      <c r="BV47">
        <v>1</v>
      </c>
      <c r="BW47">
        <v>1</v>
      </c>
      <c r="BX47">
        <v>1</v>
      </c>
      <c r="BY47">
        <v>1</v>
      </c>
      <c r="BZ47">
        <v>1</v>
      </c>
      <c r="CA47">
        <v>1</v>
      </c>
      <c r="CB47">
        <v>1</v>
      </c>
      <c r="CC47">
        <v>1</v>
      </c>
      <c r="CD47">
        <v>1</v>
      </c>
      <c r="CE47">
        <v>1</v>
      </c>
      <c r="CF47">
        <v>1</v>
      </c>
    </row>
    <row r="48" spans="1:84" x14ac:dyDescent="0.15">
      <c r="A48" t="s">
        <v>219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>
        <v>1</v>
      </c>
      <c r="AH48">
        <v>0</v>
      </c>
      <c r="AI48">
        <v>1</v>
      </c>
      <c r="AJ48">
        <v>1</v>
      </c>
      <c r="AK48">
        <v>1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0</v>
      </c>
      <c r="AV48">
        <v>0</v>
      </c>
      <c r="AW48">
        <v>1</v>
      </c>
      <c r="AX48">
        <v>1</v>
      </c>
      <c r="AY48">
        <v>1</v>
      </c>
      <c r="AZ48">
        <v>1</v>
      </c>
      <c r="BA48">
        <v>1</v>
      </c>
      <c r="BB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0</v>
      </c>
      <c r="BK48">
        <v>1</v>
      </c>
      <c r="BL48">
        <v>1</v>
      </c>
      <c r="BM48">
        <v>1</v>
      </c>
      <c r="BN48">
        <v>0</v>
      </c>
      <c r="BO48">
        <v>0</v>
      </c>
      <c r="BP48">
        <v>0</v>
      </c>
      <c r="BQ48">
        <v>1</v>
      </c>
      <c r="BR48">
        <v>1</v>
      </c>
      <c r="BS48">
        <v>0</v>
      </c>
      <c r="BT48">
        <v>1</v>
      </c>
      <c r="BU48">
        <v>1</v>
      </c>
      <c r="BV48">
        <v>1</v>
      </c>
      <c r="BW48">
        <v>1</v>
      </c>
      <c r="BX48">
        <v>1</v>
      </c>
      <c r="BY48">
        <v>1</v>
      </c>
      <c r="BZ48">
        <v>0</v>
      </c>
      <c r="CA48">
        <v>1</v>
      </c>
      <c r="CB48">
        <v>1</v>
      </c>
      <c r="CC48">
        <v>1</v>
      </c>
      <c r="CD48">
        <v>1</v>
      </c>
      <c r="CE48">
        <v>1</v>
      </c>
      <c r="CF48">
        <v>1</v>
      </c>
    </row>
    <row r="49" spans="1:84" x14ac:dyDescent="0.15">
      <c r="A49" t="s">
        <v>220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0</v>
      </c>
      <c r="AI49">
        <v>1</v>
      </c>
      <c r="AJ49">
        <v>1</v>
      </c>
      <c r="AK49">
        <v>1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1</v>
      </c>
      <c r="AU49">
        <v>0</v>
      </c>
      <c r="AV49">
        <v>0</v>
      </c>
      <c r="AW49">
        <v>1</v>
      </c>
      <c r="AX49">
        <v>1</v>
      </c>
      <c r="AY49">
        <v>1</v>
      </c>
      <c r="AZ49">
        <v>1</v>
      </c>
      <c r="BA49">
        <v>1</v>
      </c>
      <c r="BB49">
        <v>1</v>
      </c>
      <c r="BC49">
        <v>1</v>
      </c>
      <c r="BD49">
        <v>1</v>
      </c>
      <c r="BE49">
        <v>1</v>
      </c>
      <c r="BF49">
        <v>1</v>
      </c>
      <c r="BG49">
        <v>1</v>
      </c>
      <c r="BH49">
        <v>1</v>
      </c>
      <c r="BI49">
        <v>1</v>
      </c>
      <c r="BJ49">
        <v>0</v>
      </c>
      <c r="BK49">
        <v>1</v>
      </c>
      <c r="BL49">
        <v>1</v>
      </c>
      <c r="BM49">
        <v>1</v>
      </c>
      <c r="BN49">
        <v>0</v>
      </c>
      <c r="BO49">
        <v>0</v>
      </c>
      <c r="BP49">
        <v>0</v>
      </c>
      <c r="BQ49">
        <v>1</v>
      </c>
      <c r="BR49">
        <v>1</v>
      </c>
      <c r="BS49">
        <v>0</v>
      </c>
      <c r="BT49">
        <v>1</v>
      </c>
      <c r="BU49">
        <v>1</v>
      </c>
      <c r="BV49">
        <v>1</v>
      </c>
      <c r="BW49">
        <v>1</v>
      </c>
      <c r="BX49">
        <v>1</v>
      </c>
      <c r="BY49">
        <v>1</v>
      </c>
      <c r="BZ49">
        <v>0</v>
      </c>
      <c r="CA49">
        <v>1</v>
      </c>
      <c r="CB49">
        <v>1</v>
      </c>
      <c r="CC49">
        <v>1</v>
      </c>
      <c r="CD49">
        <v>1</v>
      </c>
      <c r="CE49">
        <v>1</v>
      </c>
      <c r="CF49">
        <v>1</v>
      </c>
    </row>
    <row r="50" spans="1:84" x14ac:dyDescent="0.15">
      <c r="A50" t="s">
        <v>221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K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1</v>
      </c>
      <c r="BA50">
        <v>1</v>
      </c>
      <c r="BB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BN50">
        <v>1</v>
      </c>
      <c r="BO50">
        <v>1</v>
      </c>
      <c r="BP50">
        <v>1</v>
      </c>
      <c r="BQ50">
        <v>1</v>
      </c>
      <c r="BR50">
        <v>1</v>
      </c>
      <c r="BS50">
        <v>1</v>
      </c>
      <c r="BT50">
        <v>1</v>
      </c>
      <c r="BU50">
        <v>1</v>
      </c>
      <c r="BV50">
        <v>1</v>
      </c>
      <c r="BW50">
        <v>1</v>
      </c>
      <c r="BX50">
        <v>1</v>
      </c>
      <c r="BY50">
        <v>1</v>
      </c>
      <c r="BZ50">
        <v>1</v>
      </c>
      <c r="CA50">
        <v>1</v>
      </c>
      <c r="CB50">
        <v>1</v>
      </c>
      <c r="CC50">
        <v>1</v>
      </c>
      <c r="CD50">
        <v>1</v>
      </c>
      <c r="CE50">
        <v>1</v>
      </c>
      <c r="CF50">
        <v>1</v>
      </c>
    </row>
    <row r="51" spans="1:84" x14ac:dyDescent="0.15">
      <c r="A51" t="s">
        <v>222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>
        <v>1</v>
      </c>
      <c r="AH51">
        <v>1</v>
      </c>
      <c r="AI51">
        <v>1</v>
      </c>
      <c r="AJ51">
        <v>1</v>
      </c>
      <c r="AK51">
        <v>1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1</v>
      </c>
      <c r="BN51">
        <v>1</v>
      </c>
      <c r="BO51">
        <v>1</v>
      </c>
      <c r="BP51">
        <v>1</v>
      </c>
      <c r="BQ51">
        <v>1</v>
      </c>
      <c r="BR51">
        <v>1</v>
      </c>
      <c r="BS51">
        <v>1</v>
      </c>
      <c r="BT51">
        <v>1</v>
      </c>
      <c r="BU51">
        <v>1</v>
      </c>
      <c r="BV51">
        <v>1</v>
      </c>
      <c r="BW51">
        <v>1</v>
      </c>
      <c r="BX51">
        <v>1</v>
      </c>
      <c r="BY51">
        <v>1</v>
      </c>
      <c r="BZ51">
        <v>1</v>
      </c>
      <c r="CA51">
        <v>1</v>
      </c>
      <c r="CB51">
        <v>1</v>
      </c>
      <c r="CC51">
        <v>1</v>
      </c>
      <c r="CD51">
        <v>1</v>
      </c>
      <c r="CE51">
        <v>1</v>
      </c>
      <c r="CF51">
        <v>1</v>
      </c>
    </row>
    <row r="52" spans="1:84" x14ac:dyDescent="0.15">
      <c r="A52" t="s">
        <v>223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K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Q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W52">
        <v>1</v>
      </c>
      <c r="AX52">
        <v>1</v>
      </c>
      <c r="AY52">
        <v>1</v>
      </c>
      <c r="AZ52">
        <v>1</v>
      </c>
      <c r="BA52">
        <v>1</v>
      </c>
      <c r="BB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I52">
        <v>1</v>
      </c>
      <c r="BJ52">
        <v>1</v>
      </c>
      <c r="BK52">
        <v>1</v>
      </c>
      <c r="BL52">
        <v>1</v>
      </c>
      <c r="BM52">
        <v>1</v>
      </c>
      <c r="BN52">
        <v>1</v>
      </c>
      <c r="BO52">
        <v>1</v>
      </c>
      <c r="BP52">
        <v>1</v>
      </c>
      <c r="BQ52">
        <v>1</v>
      </c>
      <c r="BR52">
        <v>1</v>
      </c>
      <c r="BS52">
        <v>1</v>
      </c>
      <c r="BT52">
        <v>1</v>
      </c>
      <c r="BU52">
        <v>1</v>
      </c>
      <c r="BV52">
        <v>1</v>
      </c>
      <c r="BW52">
        <v>1</v>
      </c>
      <c r="BX52">
        <v>1</v>
      </c>
      <c r="BY52">
        <v>1</v>
      </c>
      <c r="BZ52">
        <v>1</v>
      </c>
      <c r="CA52">
        <v>1</v>
      </c>
      <c r="CB52">
        <v>1</v>
      </c>
      <c r="CC52">
        <v>1</v>
      </c>
      <c r="CD52">
        <v>1</v>
      </c>
      <c r="CE52">
        <v>1</v>
      </c>
      <c r="CF52">
        <v>1</v>
      </c>
    </row>
    <row r="53" spans="1:84" x14ac:dyDescent="0.15">
      <c r="A53" t="s">
        <v>224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>
        <v>1</v>
      </c>
      <c r="AH53">
        <v>1</v>
      </c>
      <c r="AI53">
        <v>1</v>
      </c>
      <c r="AJ53">
        <v>1</v>
      </c>
      <c r="AK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1</v>
      </c>
      <c r="AX53">
        <v>1</v>
      </c>
      <c r="AY53">
        <v>1</v>
      </c>
      <c r="AZ53">
        <v>1</v>
      </c>
      <c r="BA53">
        <v>1</v>
      </c>
      <c r="BB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BN53">
        <v>1</v>
      </c>
      <c r="BO53">
        <v>1</v>
      </c>
      <c r="BP53">
        <v>1</v>
      </c>
      <c r="BQ53">
        <v>1</v>
      </c>
      <c r="BR53">
        <v>1</v>
      </c>
      <c r="BS53">
        <v>1</v>
      </c>
      <c r="BT53">
        <v>1</v>
      </c>
      <c r="BU53">
        <v>1</v>
      </c>
      <c r="BV53">
        <v>1</v>
      </c>
      <c r="BW53">
        <v>1</v>
      </c>
      <c r="BX53">
        <v>1</v>
      </c>
      <c r="BY53">
        <v>1</v>
      </c>
      <c r="BZ53">
        <v>1</v>
      </c>
      <c r="CA53">
        <v>1</v>
      </c>
      <c r="CB53">
        <v>1</v>
      </c>
      <c r="CC53">
        <v>1</v>
      </c>
      <c r="CD53">
        <v>1</v>
      </c>
      <c r="CE53">
        <v>1</v>
      </c>
      <c r="CF53">
        <v>1</v>
      </c>
    </row>
    <row r="54" spans="1:84" x14ac:dyDescent="0.15">
      <c r="A54" t="s">
        <v>225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</row>
    <row r="55" spans="1:84" x14ac:dyDescent="0.15">
      <c r="A55" t="s">
        <v>226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  <c r="I55">
        <v>1</v>
      </c>
      <c r="J55">
        <v>0</v>
      </c>
      <c r="K55">
        <v>0</v>
      </c>
      <c r="L55">
        <v>1</v>
      </c>
      <c r="M55">
        <v>1</v>
      </c>
      <c r="N55">
        <v>1</v>
      </c>
      <c r="O55">
        <v>1</v>
      </c>
      <c r="P55">
        <v>1</v>
      </c>
      <c r="Q55">
        <v>1</v>
      </c>
      <c r="R55">
        <v>0</v>
      </c>
      <c r="S55">
        <v>0</v>
      </c>
      <c r="T55">
        <v>1</v>
      </c>
      <c r="U55">
        <v>0</v>
      </c>
      <c r="V55">
        <v>0</v>
      </c>
      <c r="W55">
        <v>0</v>
      </c>
      <c r="X55">
        <v>0</v>
      </c>
      <c r="Y55">
        <v>1</v>
      </c>
      <c r="Z55">
        <v>0</v>
      </c>
      <c r="AA55">
        <v>0</v>
      </c>
      <c r="AB55">
        <v>0</v>
      </c>
      <c r="AC55">
        <v>1</v>
      </c>
      <c r="AD55">
        <v>0</v>
      </c>
      <c r="AE55">
        <v>0</v>
      </c>
      <c r="AF55">
        <v>0</v>
      </c>
      <c r="AG55">
        <v>0</v>
      </c>
      <c r="AH55">
        <v>1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1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1</v>
      </c>
      <c r="BC55">
        <v>0</v>
      </c>
      <c r="BD55">
        <v>0</v>
      </c>
      <c r="BE55">
        <v>0</v>
      </c>
      <c r="BF55">
        <v>1</v>
      </c>
      <c r="BG55">
        <v>1</v>
      </c>
      <c r="BH55">
        <v>1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1</v>
      </c>
      <c r="BX55">
        <v>1</v>
      </c>
      <c r="BY55">
        <v>1</v>
      </c>
      <c r="BZ55">
        <v>1</v>
      </c>
      <c r="CA55">
        <v>1</v>
      </c>
      <c r="CB55">
        <v>1</v>
      </c>
      <c r="CC55">
        <v>1</v>
      </c>
      <c r="CD55">
        <v>1</v>
      </c>
      <c r="CE55">
        <v>1</v>
      </c>
      <c r="CF55">
        <v>1</v>
      </c>
    </row>
    <row r="56" spans="1:84" x14ac:dyDescent="0.15">
      <c r="A56" t="s">
        <v>227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  <c r="I56">
        <v>1</v>
      </c>
      <c r="J56">
        <v>0</v>
      </c>
      <c r="K56">
        <v>0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0</v>
      </c>
      <c r="S56">
        <v>0</v>
      </c>
      <c r="T56">
        <v>1</v>
      </c>
      <c r="U56">
        <v>0</v>
      </c>
      <c r="V56">
        <v>0</v>
      </c>
      <c r="W56">
        <v>0</v>
      </c>
      <c r="X56">
        <v>0</v>
      </c>
      <c r="Y56">
        <v>1</v>
      </c>
      <c r="Z56">
        <v>0</v>
      </c>
      <c r="AA56">
        <v>0</v>
      </c>
      <c r="AB56">
        <v>0</v>
      </c>
      <c r="AC56">
        <v>1</v>
      </c>
      <c r="AD56">
        <v>0</v>
      </c>
      <c r="AE56">
        <v>0</v>
      </c>
      <c r="AF56">
        <v>0</v>
      </c>
      <c r="AG56">
        <v>0</v>
      </c>
      <c r="AH56">
        <v>1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1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1</v>
      </c>
      <c r="BC56">
        <v>0</v>
      </c>
      <c r="BD56">
        <v>0</v>
      </c>
      <c r="BE56">
        <v>0</v>
      </c>
      <c r="BF56">
        <v>1</v>
      </c>
      <c r="BG56">
        <v>1</v>
      </c>
      <c r="BH56">
        <v>1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1</v>
      </c>
      <c r="BX56">
        <v>1</v>
      </c>
      <c r="BY56">
        <v>1</v>
      </c>
      <c r="BZ56">
        <v>1</v>
      </c>
      <c r="CA56">
        <v>1</v>
      </c>
      <c r="CB56">
        <v>1</v>
      </c>
      <c r="CC56">
        <v>1</v>
      </c>
      <c r="CD56">
        <v>1</v>
      </c>
      <c r="CE56">
        <v>1</v>
      </c>
      <c r="CF56">
        <v>1</v>
      </c>
    </row>
    <row r="57" spans="1:84" x14ac:dyDescent="0.15">
      <c r="A57" t="s">
        <v>228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1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W57">
        <v>1</v>
      </c>
      <c r="AX57">
        <v>1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1</v>
      </c>
      <c r="BS57">
        <v>1</v>
      </c>
      <c r="BT57">
        <v>1</v>
      </c>
      <c r="BU57">
        <v>1</v>
      </c>
      <c r="BV57">
        <v>1</v>
      </c>
      <c r="BW57">
        <v>1</v>
      </c>
      <c r="BX57">
        <v>1</v>
      </c>
      <c r="BY57">
        <v>1</v>
      </c>
      <c r="BZ57">
        <v>1</v>
      </c>
      <c r="CA57">
        <v>1</v>
      </c>
      <c r="CB57">
        <v>1</v>
      </c>
      <c r="CC57">
        <v>1</v>
      </c>
      <c r="CD57">
        <v>1</v>
      </c>
      <c r="CE57">
        <v>1</v>
      </c>
      <c r="CF57">
        <v>1</v>
      </c>
    </row>
    <row r="58" spans="1:84" x14ac:dyDescent="0.15">
      <c r="A58" t="s">
        <v>229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</row>
    <row r="59" spans="1:84" x14ac:dyDescent="0.15">
      <c r="A59" t="s">
        <v>230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1</v>
      </c>
      <c r="BS59">
        <v>1</v>
      </c>
      <c r="BT59">
        <v>1</v>
      </c>
      <c r="BU59">
        <v>1</v>
      </c>
      <c r="BV59">
        <v>1</v>
      </c>
      <c r="BW59">
        <v>1</v>
      </c>
      <c r="BX59">
        <v>1</v>
      </c>
      <c r="BY59">
        <v>1</v>
      </c>
      <c r="BZ59">
        <v>1</v>
      </c>
      <c r="CA59">
        <v>1</v>
      </c>
      <c r="CB59">
        <v>1</v>
      </c>
      <c r="CC59">
        <v>1</v>
      </c>
      <c r="CD59">
        <v>1</v>
      </c>
      <c r="CE59">
        <v>1</v>
      </c>
      <c r="CF59">
        <v>1</v>
      </c>
    </row>
    <row r="60" spans="1:84" x14ac:dyDescent="0.15">
      <c r="A60" t="s">
        <v>231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</row>
    <row r="61" spans="1:84" x14ac:dyDescent="0.15">
      <c r="A61" t="s">
        <v>232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</row>
    <row r="62" spans="1:84" x14ac:dyDescent="0.15">
      <c r="A62" t="s">
        <v>233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0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</row>
    <row r="63" spans="1:84" x14ac:dyDescent="0.15">
      <c r="A63" t="s">
        <v>234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1</v>
      </c>
      <c r="AH63">
        <v>1</v>
      </c>
      <c r="AI63">
        <v>1</v>
      </c>
      <c r="AJ63">
        <v>1</v>
      </c>
      <c r="AK63">
        <v>1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0</v>
      </c>
      <c r="BK63">
        <v>1</v>
      </c>
      <c r="BL63">
        <v>1</v>
      </c>
      <c r="BM63">
        <v>1</v>
      </c>
      <c r="BN63">
        <v>1</v>
      </c>
      <c r="BO63">
        <v>1</v>
      </c>
      <c r="BP63">
        <v>1</v>
      </c>
      <c r="BQ63">
        <v>1</v>
      </c>
      <c r="BR63">
        <v>1</v>
      </c>
      <c r="BS63">
        <v>1</v>
      </c>
      <c r="BT63">
        <v>1</v>
      </c>
      <c r="BU63">
        <v>1</v>
      </c>
      <c r="BV63">
        <v>1</v>
      </c>
      <c r="BW63">
        <v>1</v>
      </c>
      <c r="BX63">
        <v>1</v>
      </c>
      <c r="BY63">
        <v>1</v>
      </c>
      <c r="BZ63">
        <v>1</v>
      </c>
      <c r="CA63">
        <v>1</v>
      </c>
      <c r="CB63">
        <v>1</v>
      </c>
      <c r="CC63">
        <v>1</v>
      </c>
      <c r="CD63">
        <v>1</v>
      </c>
      <c r="CE63">
        <v>1</v>
      </c>
      <c r="CF63">
        <v>1</v>
      </c>
    </row>
    <row r="64" spans="1:84" x14ac:dyDescent="0.15">
      <c r="A64" t="s">
        <v>235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  <c r="Q64">
        <v>1</v>
      </c>
      <c r="R64">
        <v>1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>
        <v>1</v>
      </c>
      <c r="AH64">
        <v>1</v>
      </c>
      <c r="AI64">
        <v>1</v>
      </c>
      <c r="AJ64">
        <v>1</v>
      </c>
      <c r="AK64">
        <v>1</v>
      </c>
      <c r="AL64">
        <v>1</v>
      </c>
      <c r="AM64">
        <v>1</v>
      </c>
      <c r="AN64">
        <v>1</v>
      </c>
      <c r="AO64">
        <v>1</v>
      </c>
      <c r="AP64">
        <v>1</v>
      </c>
      <c r="AQ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  <c r="BO64">
        <v>1</v>
      </c>
      <c r="BP64">
        <v>1</v>
      </c>
      <c r="BQ64">
        <v>1</v>
      </c>
      <c r="BR64">
        <v>1</v>
      </c>
      <c r="BS64">
        <v>1</v>
      </c>
      <c r="BT64">
        <v>1</v>
      </c>
      <c r="BU64">
        <v>1</v>
      </c>
      <c r="BV64">
        <v>1</v>
      </c>
      <c r="BW64">
        <v>1</v>
      </c>
      <c r="BX64">
        <v>1</v>
      </c>
      <c r="BY64">
        <v>1</v>
      </c>
      <c r="BZ64">
        <v>1</v>
      </c>
      <c r="CA64">
        <v>1</v>
      </c>
      <c r="CB64">
        <v>1</v>
      </c>
      <c r="CC64">
        <v>1</v>
      </c>
      <c r="CD64">
        <v>1</v>
      </c>
      <c r="CE64">
        <v>1</v>
      </c>
      <c r="CF64">
        <v>1</v>
      </c>
    </row>
    <row r="65" spans="1:84" x14ac:dyDescent="0.15">
      <c r="A65" t="s">
        <v>236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>
        <v>1</v>
      </c>
      <c r="AH65">
        <v>1</v>
      </c>
      <c r="AI65">
        <v>1</v>
      </c>
      <c r="AJ65">
        <v>1</v>
      </c>
      <c r="AK65">
        <v>1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1</v>
      </c>
      <c r="BM65">
        <v>1</v>
      </c>
      <c r="BN65">
        <v>1</v>
      </c>
      <c r="BO65">
        <v>1</v>
      </c>
      <c r="BP65">
        <v>1</v>
      </c>
      <c r="BQ65">
        <v>1</v>
      </c>
      <c r="BR65">
        <v>1</v>
      </c>
      <c r="BS65">
        <v>1</v>
      </c>
      <c r="BT65">
        <v>1</v>
      </c>
      <c r="BU65">
        <v>1</v>
      </c>
      <c r="BV65">
        <v>1</v>
      </c>
      <c r="BW65">
        <v>1</v>
      </c>
      <c r="BX65">
        <v>1</v>
      </c>
      <c r="BY65">
        <v>1</v>
      </c>
      <c r="BZ65">
        <v>1</v>
      </c>
      <c r="CA65">
        <v>1</v>
      </c>
      <c r="CB65">
        <v>1</v>
      </c>
      <c r="CC65">
        <v>1</v>
      </c>
      <c r="CD65">
        <v>1</v>
      </c>
      <c r="CE65">
        <v>1</v>
      </c>
      <c r="CF65">
        <v>1</v>
      </c>
    </row>
    <row r="66" spans="1:84" x14ac:dyDescent="0.15">
      <c r="A66" t="s">
        <v>237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>
        <v>1</v>
      </c>
      <c r="AH66">
        <v>1</v>
      </c>
      <c r="AI66">
        <v>1</v>
      </c>
      <c r="AJ66">
        <v>1</v>
      </c>
      <c r="AK66">
        <v>1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  <c r="CB66">
        <v>1</v>
      </c>
      <c r="CC66">
        <v>1</v>
      </c>
      <c r="CD66">
        <v>1</v>
      </c>
      <c r="CE66">
        <v>1</v>
      </c>
      <c r="CF66">
        <v>1</v>
      </c>
    </row>
    <row r="67" spans="1:84" x14ac:dyDescent="0.15">
      <c r="A67" t="s">
        <v>238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>
        <v>1</v>
      </c>
      <c r="AH67">
        <v>1</v>
      </c>
      <c r="AI67">
        <v>1</v>
      </c>
      <c r="AJ67">
        <v>1</v>
      </c>
      <c r="AK67">
        <v>1</v>
      </c>
      <c r="AL67">
        <v>1</v>
      </c>
      <c r="AM67">
        <v>1</v>
      </c>
      <c r="AN67">
        <v>1</v>
      </c>
      <c r="AO67">
        <v>1</v>
      </c>
      <c r="AP67">
        <v>1</v>
      </c>
      <c r="AQ67">
        <v>1</v>
      </c>
      <c r="AR67">
        <v>1</v>
      </c>
      <c r="AS67">
        <v>1</v>
      </c>
      <c r="AT67">
        <v>1</v>
      </c>
      <c r="AU67">
        <v>1</v>
      </c>
      <c r="AV67">
        <v>1</v>
      </c>
      <c r="AW67">
        <v>1</v>
      </c>
      <c r="AX67">
        <v>1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1</v>
      </c>
      <c r="BH67">
        <v>1</v>
      </c>
      <c r="BI67">
        <v>1</v>
      </c>
      <c r="BJ67">
        <v>1</v>
      </c>
      <c r="BK67">
        <v>1</v>
      </c>
      <c r="BL67">
        <v>1</v>
      </c>
      <c r="BM67">
        <v>1</v>
      </c>
      <c r="BN67">
        <v>1</v>
      </c>
      <c r="BO67">
        <v>1</v>
      </c>
      <c r="BP67">
        <v>1</v>
      </c>
      <c r="BQ67">
        <v>1</v>
      </c>
      <c r="BR67">
        <v>1</v>
      </c>
      <c r="BS67">
        <v>1</v>
      </c>
      <c r="BT67">
        <v>1</v>
      </c>
      <c r="BU67">
        <v>1</v>
      </c>
      <c r="BV67">
        <v>1</v>
      </c>
      <c r="BW67">
        <v>1</v>
      </c>
      <c r="BX67">
        <v>1</v>
      </c>
      <c r="BY67">
        <v>1</v>
      </c>
      <c r="BZ67">
        <v>1</v>
      </c>
      <c r="CA67">
        <v>1</v>
      </c>
      <c r="CB67">
        <v>1</v>
      </c>
      <c r="CC67">
        <v>1</v>
      </c>
      <c r="CD67">
        <v>1</v>
      </c>
      <c r="CE67">
        <v>1</v>
      </c>
      <c r="CF67">
        <v>1</v>
      </c>
    </row>
    <row r="68" spans="1:84" x14ac:dyDescent="0.15">
      <c r="A68" t="s">
        <v>239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1</v>
      </c>
      <c r="Q68">
        <v>1</v>
      </c>
      <c r="R68">
        <v>1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  <c r="CD68">
        <v>1</v>
      </c>
      <c r="CE68">
        <v>1</v>
      </c>
      <c r="CF68">
        <v>1</v>
      </c>
    </row>
    <row r="69" spans="1:84" x14ac:dyDescent="0.15">
      <c r="A69" t="s">
        <v>240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  <c r="R69">
        <v>1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  <c r="CD69">
        <v>1</v>
      </c>
      <c r="CE69">
        <v>1</v>
      </c>
      <c r="CF69">
        <v>1</v>
      </c>
    </row>
    <row r="70" spans="1:84" x14ac:dyDescent="0.15">
      <c r="A70" t="s">
        <v>241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  <c r="R70">
        <v>1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  <c r="BO70">
        <v>1</v>
      </c>
      <c r="BP70">
        <v>1</v>
      </c>
      <c r="BQ70">
        <v>1</v>
      </c>
      <c r="BR70">
        <v>1</v>
      </c>
      <c r="BS70">
        <v>1</v>
      </c>
      <c r="BT70">
        <v>1</v>
      </c>
      <c r="BU70">
        <v>1</v>
      </c>
      <c r="BV70">
        <v>1</v>
      </c>
      <c r="BW70">
        <v>1</v>
      </c>
      <c r="BX70">
        <v>1</v>
      </c>
      <c r="BY70">
        <v>1</v>
      </c>
      <c r="BZ70">
        <v>1</v>
      </c>
      <c r="CA70">
        <v>1</v>
      </c>
      <c r="CB70">
        <v>1</v>
      </c>
      <c r="CC70">
        <v>1</v>
      </c>
      <c r="CD70">
        <v>1</v>
      </c>
      <c r="CE70">
        <v>1</v>
      </c>
      <c r="CF70">
        <v>1</v>
      </c>
    </row>
    <row r="71" spans="1:84" x14ac:dyDescent="0.15">
      <c r="A71" t="s">
        <v>242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>
        <v>1</v>
      </c>
      <c r="R71">
        <v>1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1</v>
      </c>
      <c r="AL71">
        <v>1</v>
      </c>
      <c r="AM71">
        <v>1</v>
      </c>
      <c r="AN71">
        <v>1</v>
      </c>
      <c r="AO71">
        <v>1</v>
      </c>
      <c r="AP71">
        <v>1</v>
      </c>
      <c r="AQ71">
        <v>1</v>
      </c>
      <c r="AR71">
        <v>1</v>
      </c>
      <c r="AS71">
        <v>1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1</v>
      </c>
      <c r="BL71">
        <v>1</v>
      </c>
      <c r="BM71">
        <v>1</v>
      </c>
      <c r="BN71">
        <v>1</v>
      </c>
      <c r="BO71">
        <v>1</v>
      </c>
      <c r="BP71">
        <v>1</v>
      </c>
      <c r="BQ71">
        <v>1</v>
      </c>
      <c r="BR71">
        <v>1</v>
      </c>
      <c r="BS71">
        <v>1</v>
      </c>
      <c r="BT71">
        <v>1</v>
      </c>
      <c r="BU71">
        <v>1</v>
      </c>
      <c r="BV71">
        <v>1</v>
      </c>
      <c r="BW71">
        <v>1</v>
      </c>
      <c r="BX71">
        <v>1</v>
      </c>
      <c r="BY71">
        <v>1</v>
      </c>
      <c r="BZ71">
        <v>1</v>
      </c>
      <c r="CA71">
        <v>1</v>
      </c>
      <c r="CB71">
        <v>1</v>
      </c>
      <c r="CC71">
        <v>1</v>
      </c>
      <c r="CD71">
        <v>1</v>
      </c>
      <c r="CE71">
        <v>1</v>
      </c>
      <c r="CF71">
        <v>1</v>
      </c>
    </row>
    <row r="72" spans="1:84" x14ac:dyDescent="0.15">
      <c r="A72" t="s">
        <v>243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>
        <v>1</v>
      </c>
      <c r="O72">
        <v>1</v>
      </c>
      <c r="P72">
        <v>1</v>
      </c>
      <c r="Q72">
        <v>1</v>
      </c>
      <c r="R72">
        <v>1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>
        <v>1</v>
      </c>
      <c r="AH72">
        <v>1</v>
      </c>
      <c r="AI72">
        <v>1</v>
      </c>
      <c r="AJ72">
        <v>1</v>
      </c>
      <c r="AK72">
        <v>1</v>
      </c>
      <c r="AL72">
        <v>1</v>
      </c>
      <c r="AM72">
        <v>1</v>
      </c>
      <c r="AN72">
        <v>1</v>
      </c>
      <c r="AO72">
        <v>1</v>
      </c>
      <c r="AP72">
        <v>1</v>
      </c>
      <c r="AQ72">
        <v>1</v>
      </c>
      <c r="AR72">
        <v>1</v>
      </c>
      <c r="AS72">
        <v>1</v>
      </c>
      <c r="AT72">
        <v>1</v>
      </c>
      <c r="AU72">
        <v>1</v>
      </c>
      <c r="AV72">
        <v>1</v>
      </c>
      <c r="AW72">
        <v>1</v>
      </c>
      <c r="AX72">
        <v>1</v>
      </c>
      <c r="AY72">
        <v>1</v>
      </c>
      <c r="AZ72">
        <v>1</v>
      </c>
      <c r="BA72">
        <v>1</v>
      </c>
      <c r="BB72">
        <v>1</v>
      </c>
      <c r="BC72">
        <v>1</v>
      </c>
      <c r="BD72">
        <v>1</v>
      </c>
      <c r="BE72">
        <v>1</v>
      </c>
      <c r="BF72">
        <v>1</v>
      </c>
      <c r="BG72">
        <v>1</v>
      </c>
      <c r="BH72">
        <v>1</v>
      </c>
      <c r="BI72">
        <v>1</v>
      </c>
      <c r="BJ72">
        <v>1</v>
      </c>
      <c r="BK72">
        <v>1</v>
      </c>
      <c r="BL72">
        <v>1</v>
      </c>
      <c r="BM72">
        <v>1</v>
      </c>
      <c r="BN72">
        <v>1</v>
      </c>
      <c r="BO72">
        <v>1</v>
      </c>
      <c r="BP72">
        <v>1</v>
      </c>
      <c r="BQ72">
        <v>1</v>
      </c>
      <c r="BR72">
        <v>1</v>
      </c>
      <c r="BS72">
        <v>1</v>
      </c>
      <c r="BT72">
        <v>1</v>
      </c>
      <c r="BU72">
        <v>1</v>
      </c>
      <c r="BV72">
        <v>1</v>
      </c>
      <c r="BW72">
        <v>1</v>
      </c>
      <c r="BX72">
        <v>1</v>
      </c>
      <c r="BY72">
        <v>1</v>
      </c>
      <c r="BZ72">
        <v>1</v>
      </c>
      <c r="CA72">
        <v>1</v>
      </c>
      <c r="CB72">
        <v>1</v>
      </c>
      <c r="CC72">
        <v>1</v>
      </c>
      <c r="CD72">
        <v>1</v>
      </c>
      <c r="CE72">
        <v>1</v>
      </c>
      <c r="CF72">
        <v>1</v>
      </c>
    </row>
    <row r="73" spans="1:84" x14ac:dyDescent="0.15">
      <c r="A73" t="s">
        <v>244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  <c r="I73">
        <v>1</v>
      </c>
      <c r="J73">
        <v>1</v>
      </c>
      <c r="K73">
        <v>1</v>
      </c>
      <c r="L73">
        <v>1</v>
      </c>
      <c r="M73">
        <v>1</v>
      </c>
      <c r="N73">
        <v>1</v>
      </c>
      <c r="O73">
        <v>1</v>
      </c>
      <c r="P73">
        <v>1</v>
      </c>
      <c r="Q73">
        <v>1</v>
      </c>
      <c r="R73">
        <v>1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>
        <v>1</v>
      </c>
      <c r="AH73">
        <v>1</v>
      </c>
      <c r="AI73">
        <v>1</v>
      </c>
      <c r="AJ73">
        <v>1</v>
      </c>
      <c r="AK73">
        <v>1</v>
      </c>
      <c r="AL73">
        <v>1</v>
      </c>
      <c r="AM73">
        <v>1</v>
      </c>
      <c r="AN73">
        <v>1</v>
      </c>
      <c r="AO73">
        <v>1</v>
      </c>
      <c r="AP73">
        <v>1</v>
      </c>
      <c r="AQ73">
        <v>1</v>
      </c>
      <c r="AR73">
        <v>1</v>
      </c>
      <c r="AS73">
        <v>1</v>
      </c>
      <c r="AT73">
        <v>1</v>
      </c>
      <c r="AU73">
        <v>1</v>
      </c>
      <c r="AV73">
        <v>1</v>
      </c>
      <c r="AW73">
        <v>1</v>
      </c>
      <c r="AX73">
        <v>1</v>
      </c>
      <c r="AY73">
        <v>1</v>
      </c>
      <c r="AZ73">
        <v>1</v>
      </c>
      <c r="BA73">
        <v>1</v>
      </c>
      <c r="BB73">
        <v>1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1</v>
      </c>
      <c r="BI73">
        <v>1</v>
      </c>
      <c r="BJ73">
        <v>1</v>
      </c>
      <c r="BK73">
        <v>1</v>
      </c>
      <c r="BL73">
        <v>1</v>
      </c>
      <c r="BM73">
        <v>1</v>
      </c>
      <c r="BN73">
        <v>1</v>
      </c>
      <c r="BO73">
        <v>1</v>
      </c>
      <c r="BP73">
        <v>1</v>
      </c>
      <c r="BQ73">
        <v>1</v>
      </c>
      <c r="BR73">
        <v>1</v>
      </c>
      <c r="BS73">
        <v>1</v>
      </c>
      <c r="BT73">
        <v>1</v>
      </c>
      <c r="BU73">
        <v>1</v>
      </c>
      <c r="BV73">
        <v>1</v>
      </c>
      <c r="BW73">
        <v>1</v>
      </c>
      <c r="BX73">
        <v>1</v>
      </c>
      <c r="BY73">
        <v>1</v>
      </c>
      <c r="BZ73">
        <v>1</v>
      </c>
      <c r="CA73">
        <v>1</v>
      </c>
      <c r="CB73">
        <v>1</v>
      </c>
      <c r="CC73">
        <v>1</v>
      </c>
      <c r="CD73">
        <v>1</v>
      </c>
      <c r="CE73">
        <v>1</v>
      </c>
      <c r="CF73">
        <v>1</v>
      </c>
    </row>
    <row r="74" spans="1:84" x14ac:dyDescent="0.15">
      <c r="A74" t="s">
        <v>245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1</v>
      </c>
      <c r="M74">
        <v>1</v>
      </c>
      <c r="N74">
        <v>1</v>
      </c>
      <c r="O74">
        <v>1</v>
      </c>
      <c r="P74">
        <v>1</v>
      </c>
      <c r="Q74">
        <v>1</v>
      </c>
      <c r="R74">
        <v>1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1</v>
      </c>
      <c r="BF74">
        <v>1</v>
      </c>
      <c r="BG74">
        <v>1</v>
      </c>
      <c r="BH74">
        <v>1</v>
      </c>
      <c r="BI74">
        <v>1</v>
      </c>
      <c r="BJ74">
        <v>1</v>
      </c>
      <c r="BK74">
        <v>1</v>
      </c>
      <c r="BL74">
        <v>1</v>
      </c>
      <c r="BM74">
        <v>1</v>
      </c>
      <c r="BN74">
        <v>1</v>
      </c>
      <c r="BO74">
        <v>1</v>
      </c>
      <c r="BP74">
        <v>1</v>
      </c>
      <c r="BQ74">
        <v>1</v>
      </c>
      <c r="BR74">
        <v>1</v>
      </c>
      <c r="BS74">
        <v>1</v>
      </c>
      <c r="BT74">
        <v>1</v>
      </c>
      <c r="BU74">
        <v>1</v>
      </c>
      <c r="BV74">
        <v>1</v>
      </c>
      <c r="BW74">
        <v>1</v>
      </c>
      <c r="BX74">
        <v>1</v>
      </c>
      <c r="BY74">
        <v>1</v>
      </c>
      <c r="BZ74">
        <v>1</v>
      </c>
      <c r="CA74">
        <v>1</v>
      </c>
      <c r="CB74">
        <v>1</v>
      </c>
      <c r="CC74">
        <v>1</v>
      </c>
      <c r="CD74">
        <v>1</v>
      </c>
      <c r="CE74">
        <v>1</v>
      </c>
      <c r="CF74">
        <v>1</v>
      </c>
    </row>
    <row r="75" spans="1:84" x14ac:dyDescent="0.15">
      <c r="A75" t="s">
        <v>246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  <c r="P75">
        <v>1</v>
      </c>
      <c r="Q75">
        <v>1</v>
      </c>
      <c r="R75">
        <v>1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>
        <v>1</v>
      </c>
      <c r="AH75">
        <v>1</v>
      </c>
      <c r="AI75">
        <v>1</v>
      </c>
      <c r="AJ75">
        <v>1</v>
      </c>
      <c r="AK75">
        <v>1</v>
      </c>
      <c r="AL75">
        <v>1</v>
      </c>
      <c r="AM75">
        <v>1</v>
      </c>
      <c r="AN75">
        <v>1</v>
      </c>
      <c r="AO75">
        <v>1</v>
      </c>
      <c r="AP75">
        <v>1</v>
      </c>
      <c r="AQ75">
        <v>1</v>
      </c>
      <c r="AR75">
        <v>1</v>
      </c>
      <c r="AS75">
        <v>1</v>
      </c>
      <c r="AT75">
        <v>1</v>
      </c>
      <c r="AU75">
        <v>1</v>
      </c>
      <c r="AV75">
        <v>1</v>
      </c>
      <c r="AW75">
        <v>1</v>
      </c>
      <c r="AX75">
        <v>1</v>
      </c>
      <c r="AY75">
        <v>1</v>
      </c>
      <c r="AZ75">
        <v>1</v>
      </c>
      <c r="BA75">
        <v>1</v>
      </c>
      <c r="BB75">
        <v>1</v>
      </c>
      <c r="BC75">
        <v>1</v>
      </c>
      <c r="BD75">
        <v>1</v>
      </c>
      <c r="BE75">
        <v>1</v>
      </c>
      <c r="BF75">
        <v>1</v>
      </c>
      <c r="BG75">
        <v>1</v>
      </c>
      <c r="BH75">
        <v>1</v>
      </c>
      <c r="BI75">
        <v>1</v>
      </c>
      <c r="BJ75">
        <v>1</v>
      </c>
      <c r="BK75">
        <v>1</v>
      </c>
      <c r="BL75">
        <v>1</v>
      </c>
      <c r="BM75">
        <v>1</v>
      </c>
      <c r="BN75">
        <v>1</v>
      </c>
      <c r="BO75">
        <v>1</v>
      </c>
      <c r="BP75">
        <v>1</v>
      </c>
      <c r="BQ75">
        <v>1</v>
      </c>
      <c r="BR75">
        <v>1</v>
      </c>
      <c r="BS75">
        <v>1</v>
      </c>
      <c r="BT75">
        <v>1</v>
      </c>
      <c r="BU75">
        <v>1</v>
      </c>
      <c r="BV75">
        <v>1</v>
      </c>
      <c r="BW75">
        <v>1</v>
      </c>
      <c r="BX75">
        <v>1</v>
      </c>
      <c r="BY75">
        <v>1</v>
      </c>
      <c r="BZ75">
        <v>1</v>
      </c>
      <c r="CA75">
        <v>1</v>
      </c>
      <c r="CB75">
        <v>1</v>
      </c>
      <c r="CC75">
        <v>1</v>
      </c>
      <c r="CD75">
        <v>1</v>
      </c>
      <c r="CE75">
        <v>1</v>
      </c>
      <c r="CF75">
        <v>1</v>
      </c>
    </row>
    <row r="76" spans="1:84" x14ac:dyDescent="0.15">
      <c r="A76" t="s">
        <v>247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1</v>
      </c>
      <c r="AH76">
        <v>1</v>
      </c>
      <c r="AI76">
        <v>1</v>
      </c>
      <c r="AJ76">
        <v>1</v>
      </c>
      <c r="AK76">
        <v>1</v>
      </c>
      <c r="AL76">
        <v>1</v>
      </c>
      <c r="AM76">
        <v>1</v>
      </c>
      <c r="AN76">
        <v>1</v>
      </c>
      <c r="AO76">
        <v>1</v>
      </c>
      <c r="AP76">
        <v>1</v>
      </c>
      <c r="AQ76">
        <v>1</v>
      </c>
      <c r="AR76">
        <v>1</v>
      </c>
      <c r="AS76">
        <v>1</v>
      </c>
      <c r="AT76">
        <v>1</v>
      </c>
      <c r="AU76">
        <v>1</v>
      </c>
      <c r="AV76">
        <v>1</v>
      </c>
      <c r="AW76">
        <v>1</v>
      </c>
      <c r="AX76">
        <v>1</v>
      </c>
      <c r="AY76">
        <v>1</v>
      </c>
      <c r="AZ76">
        <v>1</v>
      </c>
      <c r="BA76">
        <v>1</v>
      </c>
      <c r="BB76">
        <v>1</v>
      </c>
      <c r="BC76">
        <v>1</v>
      </c>
      <c r="BD76">
        <v>1</v>
      </c>
      <c r="BE76">
        <v>1</v>
      </c>
      <c r="BF76">
        <v>1</v>
      </c>
      <c r="BG76">
        <v>1</v>
      </c>
      <c r="BH76">
        <v>1</v>
      </c>
      <c r="BI76">
        <v>1</v>
      </c>
      <c r="BJ76">
        <v>1</v>
      </c>
      <c r="BK76">
        <v>1</v>
      </c>
      <c r="BL76">
        <v>1</v>
      </c>
      <c r="BM76">
        <v>1</v>
      </c>
      <c r="BN76">
        <v>1</v>
      </c>
      <c r="BO76">
        <v>1</v>
      </c>
      <c r="BP76">
        <v>1</v>
      </c>
      <c r="BQ76">
        <v>1</v>
      </c>
      <c r="BR76">
        <v>1</v>
      </c>
      <c r="BS76">
        <v>1</v>
      </c>
      <c r="BT76">
        <v>1</v>
      </c>
      <c r="BU76">
        <v>1</v>
      </c>
      <c r="BV76">
        <v>1</v>
      </c>
      <c r="BW76">
        <v>1</v>
      </c>
      <c r="BX76">
        <v>1</v>
      </c>
      <c r="BY76">
        <v>1</v>
      </c>
      <c r="BZ76">
        <v>1</v>
      </c>
      <c r="CA76">
        <v>1</v>
      </c>
      <c r="CB76">
        <v>1</v>
      </c>
      <c r="CC76">
        <v>1</v>
      </c>
      <c r="CD76">
        <v>1</v>
      </c>
      <c r="CE76">
        <v>1</v>
      </c>
      <c r="CF76">
        <v>1</v>
      </c>
    </row>
    <row r="77" spans="1:84" x14ac:dyDescent="0.15">
      <c r="A77" t="s">
        <v>248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  <c r="K77">
        <v>1</v>
      </c>
      <c r="L77">
        <v>1</v>
      </c>
      <c r="M77">
        <v>1</v>
      </c>
      <c r="N77">
        <v>1</v>
      </c>
      <c r="O77">
        <v>1</v>
      </c>
      <c r="P77">
        <v>1</v>
      </c>
      <c r="Q77">
        <v>1</v>
      </c>
      <c r="R77">
        <v>1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>
        <v>1</v>
      </c>
      <c r="AH77">
        <v>1</v>
      </c>
      <c r="AI77">
        <v>1</v>
      </c>
      <c r="AJ77">
        <v>1</v>
      </c>
      <c r="AK77">
        <v>1</v>
      </c>
      <c r="AL77">
        <v>1</v>
      </c>
      <c r="AM77">
        <v>1</v>
      </c>
      <c r="AN77">
        <v>1</v>
      </c>
      <c r="AO77">
        <v>1</v>
      </c>
      <c r="AP77">
        <v>1</v>
      </c>
      <c r="AQ77">
        <v>1</v>
      </c>
      <c r="AR77">
        <v>1</v>
      </c>
      <c r="AS77">
        <v>1</v>
      </c>
      <c r="AT77">
        <v>1</v>
      </c>
      <c r="AU77">
        <v>1</v>
      </c>
      <c r="AV77">
        <v>1</v>
      </c>
      <c r="AW77">
        <v>1</v>
      </c>
      <c r="AX77">
        <v>1</v>
      </c>
      <c r="AY77">
        <v>1</v>
      </c>
      <c r="AZ77">
        <v>1</v>
      </c>
      <c r="BA77">
        <v>1</v>
      </c>
      <c r="BB77">
        <v>1</v>
      </c>
      <c r="BC77">
        <v>1</v>
      </c>
      <c r="BD77">
        <v>1</v>
      </c>
      <c r="BE77">
        <v>1</v>
      </c>
      <c r="BF77">
        <v>1</v>
      </c>
      <c r="BG77">
        <v>1</v>
      </c>
      <c r="BH77">
        <v>1</v>
      </c>
      <c r="BI77">
        <v>1</v>
      </c>
      <c r="BJ77">
        <v>1</v>
      </c>
      <c r="BK77">
        <v>1</v>
      </c>
      <c r="BL77">
        <v>1</v>
      </c>
      <c r="BM77">
        <v>1</v>
      </c>
      <c r="BN77">
        <v>1</v>
      </c>
      <c r="BO77">
        <v>1</v>
      </c>
      <c r="BP77">
        <v>1</v>
      </c>
      <c r="BQ77">
        <v>1</v>
      </c>
      <c r="BR77">
        <v>1</v>
      </c>
      <c r="BS77">
        <v>1</v>
      </c>
      <c r="BT77">
        <v>1</v>
      </c>
      <c r="BU77">
        <v>1</v>
      </c>
      <c r="BV77">
        <v>1</v>
      </c>
      <c r="BW77">
        <v>1</v>
      </c>
      <c r="BX77">
        <v>1</v>
      </c>
      <c r="BY77">
        <v>1</v>
      </c>
      <c r="BZ77">
        <v>1</v>
      </c>
      <c r="CA77">
        <v>1</v>
      </c>
      <c r="CB77">
        <v>1</v>
      </c>
      <c r="CC77">
        <v>1</v>
      </c>
      <c r="CD77">
        <v>1</v>
      </c>
      <c r="CE77">
        <v>1</v>
      </c>
      <c r="CF77">
        <v>1</v>
      </c>
    </row>
    <row r="78" spans="1:84" x14ac:dyDescent="0.15">
      <c r="A78" t="s">
        <v>249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  <c r="I78">
        <v>1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>
        <v>1</v>
      </c>
      <c r="AH78">
        <v>1</v>
      </c>
      <c r="AI78">
        <v>1</v>
      </c>
      <c r="AJ78">
        <v>1</v>
      </c>
      <c r="AK78">
        <v>1</v>
      </c>
      <c r="AL78">
        <v>1</v>
      </c>
      <c r="AM78">
        <v>1</v>
      </c>
      <c r="AN78">
        <v>1</v>
      </c>
      <c r="AO78">
        <v>1</v>
      </c>
      <c r="AP78">
        <v>1</v>
      </c>
      <c r="AQ78">
        <v>1</v>
      </c>
      <c r="AR78">
        <v>1</v>
      </c>
      <c r="AS78">
        <v>1</v>
      </c>
      <c r="AT78">
        <v>1</v>
      </c>
      <c r="AU78">
        <v>1</v>
      </c>
      <c r="AV78">
        <v>1</v>
      </c>
      <c r="AW78">
        <v>1</v>
      </c>
      <c r="AX78">
        <v>1</v>
      </c>
      <c r="AY78">
        <v>1</v>
      </c>
      <c r="AZ78">
        <v>1</v>
      </c>
      <c r="BA78">
        <v>1</v>
      </c>
      <c r="BB78">
        <v>1</v>
      </c>
      <c r="BC78">
        <v>1</v>
      </c>
      <c r="BD78">
        <v>1</v>
      </c>
      <c r="BE78">
        <v>1</v>
      </c>
      <c r="BF78">
        <v>1</v>
      </c>
      <c r="BG78">
        <v>1</v>
      </c>
      <c r="BH78">
        <v>1</v>
      </c>
      <c r="BI78">
        <v>1</v>
      </c>
      <c r="BJ78">
        <v>1</v>
      </c>
      <c r="BK78">
        <v>1</v>
      </c>
      <c r="BL78">
        <v>1</v>
      </c>
      <c r="BM78">
        <v>1</v>
      </c>
      <c r="BN78">
        <v>1</v>
      </c>
      <c r="BO78">
        <v>1</v>
      </c>
      <c r="BP78">
        <v>1</v>
      </c>
      <c r="BQ78">
        <v>1</v>
      </c>
      <c r="BR78">
        <v>1</v>
      </c>
      <c r="BS78">
        <v>1</v>
      </c>
      <c r="BT78">
        <v>1</v>
      </c>
      <c r="BU78">
        <v>1</v>
      </c>
      <c r="BV78">
        <v>1</v>
      </c>
      <c r="BW78">
        <v>1</v>
      </c>
      <c r="BX78">
        <v>1</v>
      </c>
      <c r="BY78">
        <v>1</v>
      </c>
      <c r="BZ78">
        <v>1</v>
      </c>
      <c r="CA78">
        <v>1</v>
      </c>
      <c r="CB78">
        <v>1</v>
      </c>
      <c r="CC78">
        <v>1</v>
      </c>
      <c r="CD78">
        <v>1</v>
      </c>
      <c r="CE78">
        <v>1</v>
      </c>
      <c r="CF78">
        <v>1</v>
      </c>
    </row>
    <row r="79" spans="1:84" x14ac:dyDescent="0.15">
      <c r="A79" t="s">
        <v>250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  <c r="I79">
        <v>1</v>
      </c>
      <c r="J79">
        <v>1</v>
      </c>
      <c r="K79">
        <v>1</v>
      </c>
      <c r="L79">
        <v>1</v>
      </c>
      <c r="M79">
        <v>1</v>
      </c>
      <c r="N79">
        <v>1</v>
      </c>
      <c r="O79">
        <v>1</v>
      </c>
      <c r="P79">
        <v>1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>
        <v>1</v>
      </c>
      <c r="AH79">
        <v>1</v>
      </c>
      <c r="AI79">
        <v>1</v>
      </c>
      <c r="AJ79">
        <v>1</v>
      </c>
      <c r="AK79">
        <v>1</v>
      </c>
      <c r="AL79">
        <v>1</v>
      </c>
      <c r="AM79">
        <v>1</v>
      </c>
      <c r="AN79">
        <v>1</v>
      </c>
      <c r="AO79">
        <v>1</v>
      </c>
      <c r="AP79">
        <v>1</v>
      </c>
      <c r="AQ79">
        <v>1</v>
      </c>
      <c r="AR79">
        <v>1</v>
      </c>
      <c r="AS79">
        <v>1</v>
      </c>
      <c r="AT79">
        <v>1</v>
      </c>
      <c r="AU79">
        <v>1</v>
      </c>
      <c r="AV79">
        <v>1</v>
      </c>
      <c r="AW79">
        <v>1</v>
      </c>
      <c r="AX79">
        <v>1</v>
      </c>
      <c r="AY79">
        <v>1</v>
      </c>
      <c r="AZ79">
        <v>1</v>
      </c>
      <c r="BA79">
        <v>1</v>
      </c>
      <c r="BB79">
        <v>1</v>
      </c>
      <c r="BC79">
        <v>1</v>
      </c>
      <c r="BD79">
        <v>1</v>
      </c>
      <c r="BE79">
        <v>1</v>
      </c>
      <c r="BF79">
        <v>1</v>
      </c>
      <c r="BG79">
        <v>1</v>
      </c>
      <c r="BH79">
        <v>1</v>
      </c>
      <c r="BI79">
        <v>1</v>
      </c>
      <c r="BJ79">
        <v>1</v>
      </c>
      <c r="BK79">
        <v>1</v>
      </c>
      <c r="BL79">
        <v>1</v>
      </c>
      <c r="BM79">
        <v>1</v>
      </c>
      <c r="BN79">
        <v>1</v>
      </c>
      <c r="BO79">
        <v>1</v>
      </c>
      <c r="BP79">
        <v>1</v>
      </c>
      <c r="BQ79">
        <v>1</v>
      </c>
      <c r="BR79">
        <v>1</v>
      </c>
      <c r="BS79">
        <v>1</v>
      </c>
      <c r="BT79">
        <v>1</v>
      </c>
      <c r="BU79">
        <v>1</v>
      </c>
      <c r="BV79">
        <v>1</v>
      </c>
      <c r="BW79">
        <v>1</v>
      </c>
      <c r="BX79">
        <v>1</v>
      </c>
      <c r="BY79">
        <v>1</v>
      </c>
      <c r="BZ79">
        <v>1</v>
      </c>
      <c r="CA79">
        <v>1</v>
      </c>
      <c r="CB79">
        <v>1</v>
      </c>
      <c r="CC79">
        <v>1</v>
      </c>
      <c r="CD79">
        <v>1</v>
      </c>
      <c r="CE79">
        <v>1</v>
      </c>
      <c r="CF79">
        <v>1</v>
      </c>
    </row>
    <row r="80" spans="1:84" x14ac:dyDescent="0.15">
      <c r="A80" t="s">
        <v>251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  <c r="I80">
        <v>1</v>
      </c>
      <c r="J80">
        <v>1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</row>
    <row r="81" spans="1:84" x14ac:dyDescent="0.15">
      <c r="A81" t="s">
        <v>252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  <c r="I81">
        <v>1</v>
      </c>
      <c r="J81">
        <v>1</v>
      </c>
      <c r="K81">
        <v>1</v>
      </c>
      <c r="L81">
        <v>1</v>
      </c>
      <c r="M81">
        <v>1</v>
      </c>
      <c r="N81">
        <v>1</v>
      </c>
      <c r="O81">
        <v>1</v>
      </c>
      <c r="P81">
        <v>1</v>
      </c>
      <c r="Q81">
        <v>1</v>
      </c>
      <c r="R81">
        <v>1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1</v>
      </c>
      <c r="AK81">
        <v>1</v>
      </c>
      <c r="AL81">
        <v>1</v>
      </c>
      <c r="AM81">
        <v>1</v>
      </c>
      <c r="AN81">
        <v>1</v>
      </c>
      <c r="AO81">
        <v>1</v>
      </c>
      <c r="AP81">
        <v>1</v>
      </c>
      <c r="AQ81">
        <v>1</v>
      </c>
      <c r="AR81">
        <v>1</v>
      </c>
      <c r="AS81">
        <v>1</v>
      </c>
      <c r="AT81">
        <v>1</v>
      </c>
      <c r="AU81">
        <v>1</v>
      </c>
      <c r="AV81">
        <v>1</v>
      </c>
      <c r="AW81">
        <v>1</v>
      </c>
      <c r="AX81">
        <v>1</v>
      </c>
      <c r="AY81">
        <v>1</v>
      </c>
      <c r="AZ81">
        <v>1</v>
      </c>
      <c r="BA81">
        <v>1</v>
      </c>
      <c r="BB81">
        <v>1</v>
      </c>
      <c r="BC81">
        <v>1</v>
      </c>
      <c r="BD81">
        <v>1</v>
      </c>
      <c r="BE81">
        <v>1</v>
      </c>
      <c r="BF81">
        <v>1</v>
      </c>
      <c r="BG81">
        <v>1</v>
      </c>
      <c r="BH81">
        <v>1</v>
      </c>
      <c r="BI81">
        <v>1</v>
      </c>
      <c r="BJ81">
        <v>1</v>
      </c>
      <c r="BK81">
        <v>1</v>
      </c>
      <c r="BL81">
        <v>1</v>
      </c>
      <c r="BM81">
        <v>1</v>
      </c>
      <c r="BN81">
        <v>1</v>
      </c>
      <c r="BO81">
        <v>1</v>
      </c>
      <c r="BP81">
        <v>1</v>
      </c>
      <c r="BQ81">
        <v>1</v>
      </c>
      <c r="BR81">
        <v>1</v>
      </c>
      <c r="BS81">
        <v>1</v>
      </c>
      <c r="BT81">
        <v>1</v>
      </c>
      <c r="BU81">
        <v>1</v>
      </c>
      <c r="BV81">
        <v>1</v>
      </c>
      <c r="BW81">
        <v>1</v>
      </c>
      <c r="BX81">
        <v>1</v>
      </c>
      <c r="BY81">
        <v>1</v>
      </c>
      <c r="BZ81">
        <v>1</v>
      </c>
      <c r="CA81">
        <v>1</v>
      </c>
      <c r="CB81">
        <v>1</v>
      </c>
      <c r="CC81">
        <v>1</v>
      </c>
      <c r="CD81">
        <v>1</v>
      </c>
      <c r="CE81">
        <v>1</v>
      </c>
      <c r="CF81">
        <v>1</v>
      </c>
    </row>
    <row r="82" spans="1:84" x14ac:dyDescent="0.15">
      <c r="A82" t="s">
        <v>253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>
        <v>1</v>
      </c>
      <c r="M82">
        <v>1</v>
      </c>
      <c r="N82">
        <v>1</v>
      </c>
      <c r="O82">
        <v>1</v>
      </c>
      <c r="P82">
        <v>1</v>
      </c>
      <c r="Q82">
        <v>1</v>
      </c>
      <c r="R82">
        <v>1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>
        <v>1</v>
      </c>
      <c r="AH82">
        <v>1</v>
      </c>
      <c r="AI82">
        <v>1</v>
      </c>
      <c r="AJ82">
        <v>1</v>
      </c>
      <c r="AK82">
        <v>1</v>
      </c>
      <c r="AL82">
        <v>1</v>
      </c>
      <c r="AM82">
        <v>1</v>
      </c>
      <c r="AN82">
        <v>1</v>
      </c>
      <c r="AO82">
        <v>1</v>
      </c>
      <c r="AP82">
        <v>1</v>
      </c>
      <c r="AQ82">
        <v>1</v>
      </c>
      <c r="AR82">
        <v>1</v>
      </c>
      <c r="AS82">
        <v>1</v>
      </c>
      <c r="AT82">
        <v>1</v>
      </c>
      <c r="AU82">
        <v>1</v>
      </c>
      <c r="AV82">
        <v>1</v>
      </c>
      <c r="AW82">
        <v>1</v>
      </c>
      <c r="AX82">
        <v>1</v>
      </c>
      <c r="AY82">
        <v>1</v>
      </c>
      <c r="AZ82">
        <v>1</v>
      </c>
      <c r="BA82">
        <v>1</v>
      </c>
      <c r="BB82">
        <v>1</v>
      </c>
      <c r="BC82">
        <v>1</v>
      </c>
      <c r="BD82">
        <v>1</v>
      </c>
      <c r="BE82">
        <v>1</v>
      </c>
      <c r="BF82">
        <v>1</v>
      </c>
      <c r="BG82">
        <v>1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1</v>
      </c>
      <c r="BN82">
        <v>1</v>
      </c>
      <c r="BO82">
        <v>1</v>
      </c>
      <c r="BP82">
        <v>1</v>
      </c>
      <c r="BQ82">
        <v>1</v>
      </c>
      <c r="BR82">
        <v>1</v>
      </c>
      <c r="BS82">
        <v>1</v>
      </c>
      <c r="BT82">
        <v>1</v>
      </c>
      <c r="BU82">
        <v>1</v>
      </c>
      <c r="BV82">
        <v>1</v>
      </c>
      <c r="BW82">
        <v>1</v>
      </c>
      <c r="BX82">
        <v>1</v>
      </c>
      <c r="BY82">
        <v>1</v>
      </c>
      <c r="BZ82">
        <v>1</v>
      </c>
      <c r="CA82">
        <v>1</v>
      </c>
      <c r="CB82">
        <v>1</v>
      </c>
      <c r="CC82">
        <v>1</v>
      </c>
      <c r="CD82">
        <v>1</v>
      </c>
      <c r="CE82">
        <v>1</v>
      </c>
      <c r="CF82">
        <v>1</v>
      </c>
    </row>
    <row r="83" spans="1:84" x14ac:dyDescent="0.15">
      <c r="A83" t="s">
        <v>254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Q83">
        <v>1</v>
      </c>
      <c r="R83">
        <v>1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</row>
    <row r="84" spans="1:84" x14ac:dyDescent="0.15">
      <c r="A84" t="s">
        <v>255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  <c r="L84">
        <v>1</v>
      </c>
      <c r="M84">
        <v>1</v>
      </c>
      <c r="N84">
        <v>1</v>
      </c>
      <c r="O84">
        <v>1</v>
      </c>
      <c r="P84">
        <v>1</v>
      </c>
      <c r="Q84">
        <v>1</v>
      </c>
      <c r="R84">
        <v>1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>
        <v>1</v>
      </c>
      <c r="AH84">
        <v>1</v>
      </c>
      <c r="AI84">
        <v>1</v>
      </c>
      <c r="AJ84">
        <v>1</v>
      </c>
      <c r="AK84">
        <v>1</v>
      </c>
      <c r="AL84">
        <v>1</v>
      </c>
      <c r="AM84">
        <v>1</v>
      </c>
      <c r="AN84">
        <v>1</v>
      </c>
      <c r="AO84">
        <v>1</v>
      </c>
      <c r="AP84">
        <v>1</v>
      </c>
      <c r="AQ84">
        <v>1</v>
      </c>
      <c r="AR84">
        <v>1</v>
      </c>
      <c r="AS84">
        <v>1</v>
      </c>
      <c r="AT84">
        <v>1</v>
      </c>
      <c r="AU84">
        <v>1</v>
      </c>
      <c r="AV84">
        <v>1</v>
      </c>
      <c r="AW84">
        <v>1</v>
      </c>
      <c r="AX84">
        <v>1</v>
      </c>
      <c r="AY84">
        <v>1</v>
      </c>
      <c r="AZ84">
        <v>1</v>
      </c>
      <c r="BA84">
        <v>1</v>
      </c>
      <c r="BB84">
        <v>1</v>
      </c>
      <c r="BC84">
        <v>1</v>
      </c>
      <c r="BD84">
        <v>1</v>
      </c>
      <c r="BE84">
        <v>1</v>
      </c>
      <c r="BF84">
        <v>1</v>
      </c>
      <c r="BG84">
        <v>1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  <c r="BO84">
        <v>1</v>
      </c>
      <c r="BP84">
        <v>1</v>
      </c>
      <c r="BQ84">
        <v>1</v>
      </c>
      <c r="BR84">
        <v>1</v>
      </c>
      <c r="BS84">
        <v>1</v>
      </c>
      <c r="BT84">
        <v>1</v>
      </c>
      <c r="BU84">
        <v>1</v>
      </c>
      <c r="BV84">
        <v>1</v>
      </c>
      <c r="BW84">
        <v>1</v>
      </c>
      <c r="BX84">
        <v>1</v>
      </c>
      <c r="BY84">
        <v>1</v>
      </c>
      <c r="BZ84">
        <v>1</v>
      </c>
      <c r="CA84">
        <v>1</v>
      </c>
      <c r="CB84">
        <v>1</v>
      </c>
      <c r="CC84">
        <v>1</v>
      </c>
      <c r="CD84">
        <v>1</v>
      </c>
      <c r="CE84">
        <v>1</v>
      </c>
      <c r="CF84">
        <v>1</v>
      </c>
    </row>
    <row r="85" spans="1:84" x14ac:dyDescent="0.15">
      <c r="A85" t="s">
        <v>274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  <c r="I85">
        <v>1</v>
      </c>
      <c r="J85">
        <v>1</v>
      </c>
      <c r="K85">
        <v>1</v>
      </c>
      <c r="L85">
        <v>1</v>
      </c>
      <c r="M85">
        <v>1</v>
      </c>
      <c r="N85">
        <v>1</v>
      </c>
      <c r="O85">
        <v>1</v>
      </c>
      <c r="P85">
        <v>1</v>
      </c>
      <c r="Q85">
        <v>1</v>
      </c>
      <c r="R85">
        <v>1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>
        <v>1</v>
      </c>
      <c r="AH85">
        <v>1</v>
      </c>
      <c r="AI85">
        <v>1</v>
      </c>
      <c r="AJ85">
        <v>1</v>
      </c>
      <c r="AK85">
        <v>1</v>
      </c>
      <c r="AL85">
        <v>1</v>
      </c>
      <c r="AM85">
        <v>1</v>
      </c>
      <c r="AN85">
        <v>1</v>
      </c>
      <c r="AO85">
        <v>1</v>
      </c>
      <c r="AP85">
        <v>1</v>
      </c>
      <c r="AQ85">
        <v>1</v>
      </c>
      <c r="AR85">
        <v>1</v>
      </c>
      <c r="AS85">
        <v>1</v>
      </c>
      <c r="AT85">
        <v>1</v>
      </c>
      <c r="AU85">
        <v>1</v>
      </c>
      <c r="AV85">
        <v>1</v>
      </c>
      <c r="AW85">
        <v>1</v>
      </c>
      <c r="AX85">
        <v>1</v>
      </c>
      <c r="AY85">
        <v>1</v>
      </c>
      <c r="AZ85">
        <v>1</v>
      </c>
      <c r="BA85">
        <v>1</v>
      </c>
      <c r="BB85">
        <v>1</v>
      </c>
      <c r="BC85">
        <v>1</v>
      </c>
      <c r="BD85">
        <v>1</v>
      </c>
      <c r="BE85">
        <v>1</v>
      </c>
      <c r="BF85">
        <v>1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  <c r="BO85">
        <v>1</v>
      </c>
      <c r="BP85">
        <v>1</v>
      </c>
      <c r="BQ85">
        <v>1</v>
      </c>
      <c r="BR85">
        <v>1</v>
      </c>
      <c r="BS85">
        <v>1</v>
      </c>
      <c r="BT85">
        <v>1</v>
      </c>
      <c r="BU85">
        <v>1</v>
      </c>
      <c r="BV85">
        <v>1</v>
      </c>
      <c r="BW85">
        <v>1</v>
      </c>
      <c r="BX85">
        <v>1</v>
      </c>
      <c r="BY85">
        <v>1</v>
      </c>
      <c r="BZ85">
        <v>1</v>
      </c>
      <c r="CA85">
        <v>1</v>
      </c>
      <c r="CB85">
        <v>1</v>
      </c>
      <c r="CC85">
        <v>1</v>
      </c>
      <c r="CD85">
        <v>1</v>
      </c>
      <c r="CE85">
        <v>1</v>
      </c>
      <c r="CF85">
        <v>1</v>
      </c>
    </row>
    <row r="89" spans="1:84" ht="15" customHeight="1" x14ac:dyDescent="0.15"/>
    <row r="90" spans="1:84" ht="15" customHeight="1" x14ac:dyDescent="0.15"/>
    <row r="91" spans="1:84" ht="15" customHeight="1" x14ac:dyDescent="0.15"/>
    <row r="92" spans="1:84" ht="15" customHeight="1" x14ac:dyDescent="0.15"/>
    <row r="93" spans="1:84" ht="15" customHeight="1" x14ac:dyDescent="0.15"/>
    <row r="94" spans="1:84" ht="15" customHeight="1" x14ac:dyDescent="0.15"/>
    <row r="95" spans="1:84" ht="15" customHeight="1" x14ac:dyDescent="0.15"/>
    <row r="96" spans="1:84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1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S87"/>
  <sheetViews>
    <sheetView workbookViewId="0">
      <pane xSplit="2" ySplit="1" topLeftCell="S72" activePane="bottomRight" state="frozen"/>
      <selection pane="topRight" activeCell="C1" sqref="C1"/>
      <selection pane="bottomLeft" activeCell="A2" sqref="A2"/>
      <selection pane="bottomRight" activeCell="V90" sqref="V90"/>
    </sheetView>
  </sheetViews>
  <sheetFormatPr baseColWidth="10" defaultRowHeight="13" x14ac:dyDescent="0.15"/>
  <cols>
    <col min="1" max="1" width="12.6640625" customWidth="1"/>
    <col min="2" max="2" width="46.5" bestFit="1" customWidth="1"/>
    <col min="3" max="3" width="14.83203125" bestFit="1" customWidth="1"/>
    <col min="4" max="4" width="15.5" bestFit="1" customWidth="1"/>
    <col min="5" max="5" width="24.33203125" bestFit="1" customWidth="1"/>
    <col min="6" max="6" width="27.5" bestFit="1" customWidth="1"/>
    <col min="7" max="7" width="35.5" bestFit="1" customWidth="1"/>
    <col min="8" max="8" width="30.6640625" bestFit="1" customWidth="1"/>
    <col min="9" max="9" width="19" bestFit="1" customWidth="1"/>
    <col min="10" max="10" width="32.33203125" bestFit="1" customWidth="1"/>
    <col min="11" max="11" width="21.5" bestFit="1" customWidth="1"/>
    <col min="12" max="12" width="14.33203125" bestFit="1" customWidth="1"/>
    <col min="13" max="13" width="12.6640625" bestFit="1" customWidth="1"/>
    <col min="14" max="14" width="14.33203125" bestFit="1" customWidth="1"/>
    <col min="15" max="15" width="24" bestFit="1" customWidth="1"/>
    <col min="16" max="16" width="26.6640625" bestFit="1" customWidth="1"/>
    <col min="17" max="17" width="13" bestFit="1" customWidth="1"/>
    <col min="18" max="18" width="22" bestFit="1" customWidth="1"/>
    <col min="19" max="19" width="23" bestFit="1" customWidth="1"/>
  </cols>
  <sheetData>
    <row r="1" spans="1:19" ht="28" x14ac:dyDescent="0.15">
      <c r="A1" s="5" t="s">
        <v>85</v>
      </c>
      <c r="B1" s="3" t="s">
        <v>0</v>
      </c>
      <c r="C1" s="228" t="s">
        <v>256</v>
      </c>
      <c r="D1" s="228" t="s">
        <v>257</v>
      </c>
      <c r="E1" s="228" t="s">
        <v>258</v>
      </c>
      <c r="F1" s="228" t="s">
        <v>259</v>
      </c>
      <c r="G1" s="228" t="s">
        <v>260</v>
      </c>
      <c r="H1" s="228" t="s">
        <v>261</v>
      </c>
      <c r="I1" s="228" t="s">
        <v>262</v>
      </c>
      <c r="J1" s="228" t="s">
        <v>263</v>
      </c>
      <c r="K1" s="228" t="s">
        <v>264</v>
      </c>
      <c r="L1" s="228" t="s">
        <v>265</v>
      </c>
      <c r="M1" s="228" t="s">
        <v>266</v>
      </c>
      <c r="N1" s="228" t="s">
        <v>267</v>
      </c>
      <c r="O1" s="228" t="s">
        <v>268</v>
      </c>
      <c r="P1" s="228" t="s">
        <v>269</v>
      </c>
      <c r="Q1" s="228" t="s">
        <v>270</v>
      </c>
      <c r="R1" s="228" t="s">
        <v>271</v>
      </c>
      <c r="S1" s="228" t="s">
        <v>272</v>
      </c>
    </row>
    <row r="2" spans="1:19" x14ac:dyDescent="0.15">
      <c r="A2">
        <v>1</v>
      </c>
      <c r="B2" t="s">
        <v>176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15">
      <c r="A3">
        <v>2</v>
      </c>
      <c r="B3" t="s">
        <v>177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15">
      <c r="A4">
        <v>3</v>
      </c>
      <c r="B4" t="s">
        <v>178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15">
      <c r="A5">
        <v>4</v>
      </c>
      <c r="B5" t="s">
        <v>179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15">
      <c r="A6">
        <v>5</v>
      </c>
      <c r="B6" t="s">
        <v>180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15">
      <c r="A7">
        <v>6</v>
      </c>
      <c r="B7" t="s">
        <v>181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15">
      <c r="A8">
        <v>7</v>
      </c>
      <c r="B8" t="s">
        <v>182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15">
      <c r="A9">
        <v>8</v>
      </c>
      <c r="B9" t="s">
        <v>183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15">
      <c r="A10">
        <v>9</v>
      </c>
      <c r="B10" t="s">
        <v>184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15">
      <c r="A11">
        <v>10</v>
      </c>
      <c r="B11" t="s">
        <v>185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15">
      <c r="A12">
        <v>11</v>
      </c>
      <c r="B12" t="s">
        <v>186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1:19" x14ac:dyDescent="0.15">
      <c r="A13">
        <v>12</v>
      </c>
      <c r="B13" t="s">
        <v>187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15">
      <c r="A14">
        <v>13</v>
      </c>
      <c r="B14" t="s">
        <v>188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15">
      <c r="A15">
        <v>14</v>
      </c>
      <c r="B15" t="s">
        <v>189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15">
      <c r="A16">
        <v>15</v>
      </c>
      <c r="B16" t="s">
        <v>190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15">
      <c r="A17">
        <v>16</v>
      </c>
      <c r="B17" t="s">
        <v>191</v>
      </c>
      <c r="C17">
        <v>2.1272040289233214</v>
      </c>
      <c r="D17">
        <v>1.8831595661103269</v>
      </c>
      <c r="E17">
        <v>2.0422411389308794</v>
      </c>
      <c r="F17">
        <v>1.9094350784141716</v>
      </c>
      <c r="G17">
        <v>2.2025357199906788</v>
      </c>
      <c r="H17">
        <v>1.9947222140008871</v>
      </c>
      <c r="I17">
        <v>1.8089893715749088</v>
      </c>
      <c r="J17">
        <v>1.3913728101570311</v>
      </c>
      <c r="K17">
        <v>3.1498724235137416</v>
      </c>
      <c r="L17">
        <v>2.0058347456039805</v>
      </c>
      <c r="M17">
        <v>0.78346693469480599</v>
      </c>
      <c r="N17">
        <v>1.9839256265171863</v>
      </c>
      <c r="O17">
        <v>1.905060569800356</v>
      </c>
      <c r="P17">
        <v>1.2889366753670657</v>
      </c>
      <c r="Q17">
        <v>1.9633964339549963</v>
      </c>
      <c r="R17">
        <v>1.642478995110531</v>
      </c>
      <c r="S17">
        <v>0</v>
      </c>
    </row>
    <row r="18" spans="1:19" x14ac:dyDescent="0.15">
      <c r="A18">
        <v>17</v>
      </c>
      <c r="B18" t="s">
        <v>192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15">
      <c r="A19">
        <v>18</v>
      </c>
      <c r="B19" t="s">
        <v>193</v>
      </c>
      <c r="C19">
        <v>1.054661303548917</v>
      </c>
      <c r="D19">
        <v>1.0780821507897402</v>
      </c>
      <c r="E19">
        <v>1.1351881176371916</v>
      </c>
      <c r="F19">
        <v>1.0957801989304257</v>
      </c>
      <c r="G19">
        <v>1.2621249546812545</v>
      </c>
      <c r="H19">
        <v>1.1238495623942966</v>
      </c>
      <c r="I19">
        <v>1.0428621638163396</v>
      </c>
      <c r="J19">
        <v>1.7375565345000621</v>
      </c>
      <c r="K19">
        <v>0.89308039973563802</v>
      </c>
      <c r="L19">
        <v>1.13421666204425</v>
      </c>
      <c r="M19">
        <v>0.98039780396489884</v>
      </c>
      <c r="N19">
        <v>0.86101255403172816</v>
      </c>
      <c r="O19">
        <v>1.0351586551751302</v>
      </c>
      <c r="P19">
        <v>1.168009097672476</v>
      </c>
      <c r="Q19">
        <v>1.2406479103138497</v>
      </c>
      <c r="R19">
        <v>2.7390816607516273</v>
      </c>
      <c r="S19">
        <v>1.9321084804921018</v>
      </c>
    </row>
    <row r="20" spans="1:19" x14ac:dyDescent="0.15">
      <c r="A20">
        <v>19</v>
      </c>
      <c r="B20" t="s">
        <v>194</v>
      </c>
      <c r="C20">
        <v>0.73091413686867868</v>
      </c>
      <c r="D20">
        <v>0.91727902599870592</v>
      </c>
      <c r="E20">
        <v>0.97089801227421202</v>
      </c>
      <c r="F20">
        <v>1.0131967380616418</v>
      </c>
      <c r="G20">
        <v>0.76978955926612036</v>
      </c>
      <c r="H20">
        <v>0.89634939580933104</v>
      </c>
      <c r="I20">
        <v>0.77907332185254885</v>
      </c>
      <c r="J20">
        <v>1.1080914185630331</v>
      </c>
      <c r="K20">
        <v>1.1364641373349869</v>
      </c>
      <c r="L20">
        <v>0.83026394772936907</v>
      </c>
      <c r="M20">
        <v>0.70116138148898788</v>
      </c>
      <c r="N20">
        <v>0.89711553498234398</v>
      </c>
      <c r="O20">
        <v>0.74896031527163198</v>
      </c>
      <c r="P20">
        <v>0.85482224900620352</v>
      </c>
      <c r="Q20">
        <v>0.92383451416711737</v>
      </c>
      <c r="R20">
        <v>2.8331265497586235</v>
      </c>
      <c r="S20">
        <v>0</v>
      </c>
    </row>
    <row r="21" spans="1:19" x14ac:dyDescent="0.15">
      <c r="A21">
        <v>20</v>
      </c>
      <c r="B21" t="s">
        <v>195</v>
      </c>
      <c r="C21">
        <v>0.93248548241535478</v>
      </c>
      <c r="D21">
        <v>1.7711067337956252</v>
      </c>
      <c r="E21">
        <v>0</v>
      </c>
      <c r="F21">
        <v>0</v>
      </c>
      <c r="G21">
        <v>1.0005794921974975</v>
      </c>
      <c r="H21">
        <v>1.2242813256752878</v>
      </c>
      <c r="I21">
        <v>0.91832413824663739</v>
      </c>
      <c r="J21">
        <v>0.75276771837867051</v>
      </c>
      <c r="K21">
        <v>1.3660793318131423</v>
      </c>
      <c r="L21">
        <v>0.67807181290581242</v>
      </c>
      <c r="M21">
        <v>0.42208277618521389</v>
      </c>
      <c r="N21">
        <v>0</v>
      </c>
      <c r="O21">
        <v>1.721403772601408</v>
      </c>
      <c r="P21">
        <v>0</v>
      </c>
      <c r="Q21">
        <v>0</v>
      </c>
      <c r="R21">
        <v>0</v>
      </c>
      <c r="S21">
        <v>1.9386528364842162</v>
      </c>
    </row>
    <row r="22" spans="1:19" x14ac:dyDescent="0.15">
      <c r="A22">
        <v>21</v>
      </c>
      <c r="B22" t="s">
        <v>196</v>
      </c>
      <c r="C22">
        <v>0</v>
      </c>
      <c r="D22">
        <v>0</v>
      </c>
      <c r="E22">
        <v>0</v>
      </c>
      <c r="F22">
        <v>0</v>
      </c>
      <c r="G22">
        <v>0.44965723059697338</v>
      </c>
      <c r="H22">
        <v>0</v>
      </c>
      <c r="I22">
        <v>0</v>
      </c>
      <c r="J22">
        <v>0.76977711118780223</v>
      </c>
      <c r="K22">
        <v>2.4658861794540035</v>
      </c>
      <c r="L22">
        <v>0.52939557942347759</v>
      </c>
      <c r="M22">
        <v>1.2685964384073485</v>
      </c>
      <c r="N22">
        <v>0</v>
      </c>
      <c r="O22">
        <v>0</v>
      </c>
      <c r="P22">
        <v>0</v>
      </c>
      <c r="Q22">
        <v>0</v>
      </c>
      <c r="R22">
        <v>0.62821432675522049</v>
      </c>
      <c r="S22">
        <v>1.8394939062155808</v>
      </c>
    </row>
    <row r="23" spans="1:19" x14ac:dyDescent="0.15">
      <c r="A23">
        <v>22</v>
      </c>
      <c r="B23" t="s">
        <v>197</v>
      </c>
      <c r="C23">
        <v>1.0397444159224176</v>
      </c>
      <c r="D23">
        <v>1.2262342544081539</v>
      </c>
      <c r="E23">
        <v>0</v>
      </c>
      <c r="F23">
        <v>0</v>
      </c>
      <c r="G23">
        <v>1.0399134332647972</v>
      </c>
      <c r="H23">
        <v>1.9528801477941466</v>
      </c>
      <c r="I23">
        <v>1.1973150233198984</v>
      </c>
      <c r="J23">
        <v>1.0899911852253616</v>
      </c>
      <c r="K23">
        <v>1.4060453059366844</v>
      </c>
      <c r="L23">
        <v>1.6200666543348623</v>
      </c>
      <c r="M23">
        <v>1.3861305171429188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</row>
    <row r="24" spans="1:19" x14ac:dyDescent="0.15">
      <c r="A24">
        <v>23</v>
      </c>
      <c r="B24" t="s">
        <v>198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15">
      <c r="A25">
        <v>24</v>
      </c>
      <c r="B25" t="s">
        <v>273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15">
      <c r="A26">
        <v>25</v>
      </c>
      <c r="B26" t="s">
        <v>398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15">
      <c r="A27">
        <v>26</v>
      </c>
      <c r="B27" t="s">
        <v>399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</row>
    <row r="28" spans="1:19" x14ac:dyDescent="0.15">
      <c r="A28">
        <v>27</v>
      </c>
      <c r="B28" t="s">
        <v>199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15">
      <c r="A29">
        <v>28</v>
      </c>
      <c r="B29" t="s">
        <v>200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15">
      <c r="A30">
        <v>29</v>
      </c>
      <c r="B30" t="s">
        <v>201</v>
      </c>
      <c r="C30">
        <v>0.70089239394885527</v>
      </c>
      <c r="D30">
        <v>0.83843614409853617</v>
      </c>
      <c r="E30">
        <v>2.9072627185180653</v>
      </c>
      <c r="F30">
        <v>0.58516716724552875</v>
      </c>
      <c r="G30">
        <v>0.62937144690792068</v>
      </c>
      <c r="H30">
        <v>1.0919196287447988</v>
      </c>
      <c r="I30">
        <v>1.9088436466183265</v>
      </c>
      <c r="J30">
        <v>0</v>
      </c>
      <c r="K30">
        <v>1.7752301121792022</v>
      </c>
      <c r="L30">
        <v>0.9997435946355997</v>
      </c>
      <c r="M30">
        <v>0</v>
      </c>
      <c r="N30">
        <v>1.0850961799429892</v>
      </c>
      <c r="O30">
        <v>0.81695249004590709</v>
      </c>
      <c r="P30">
        <v>1.9779112343992469</v>
      </c>
      <c r="Q30">
        <v>1.0216067420092223</v>
      </c>
      <c r="R30">
        <v>0</v>
      </c>
      <c r="S30">
        <v>0.37225466846614225</v>
      </c>
    </row>
    <row r="31" spans="1:19" x14ac:dyDescent="0.15">
      <c r="A31">
        <v>30</v>
      </c>
      <c r="B31" t="s">
        <v>202</v>
      </c>
      <c r="C31">
        <v>0.82591380526350444</v>
      </c>
      <c r="D31">
        <v>0.74496649034918994</v>
      </c>
      <c r="E31">
        <v>0.73464488023773278</v>
      </c>
      <c r="F31">
        <v>0</v>
      </c>
      <c r="G31">
        <v>0.76612316031613248</v>
      </c>
      <c r="H31">
        <v>0</v>
      </c>
      <c r="I31">
        <v>0</v>
      </c>
      <c r="J31">
        <v>0.46168026295191927</v>
      </c>
      <c r="K31">
        <v>0.66368270390218154</v>
      </c>
      <c r="L31">
        <v>0.38258596035231318</v>
      </c>
      <c r="M31">
        <v>0.77052557713981695</v>
      </c>
      <c r="N31">
        <v>0</v>
      </c>
      <c r="O31">
        <v>0.88458112796938848</v>
      </c>
      <c r="P31">
        <v>0</v>
      </c>
      <c r="Q31">
        <v>0</v>
      </c>
      <c r="R31">
        <v>0</v>
      </c>
      <c r="S31">
        <v>0.64771910365761887</v>
      </c>
    </row>
    <row r="32" spans="1:19" x14ac:dyDescent="0.15">
      <c r="A32">
        <v>31</v>
      </c>
      <c r="B32" t="s">
        <v>203</v>
      </c>
      <c r="C32">
        <v>0.91423986397563428</v>
      </c>
      <c r="D32">
        <v>0.75665064368550772</v>
      </c>
      <c r="E32">
        <v>0.64478504404814374</v>
      </c>
      <c r="F32">
        <v>0</v>
      </c>
      <c r="G32">
        <v>0.71048911106280066</v>
      </c>
      <c r="H32">
        <v>0</v>
      </c>
      <c r="I32">
        <v>0</v>
      </c>
      <c r="J32">
        <v>0.3877196603948434</v>
      </c>
      <c r="K32">
        <v>0.79865220223515954</v>
      </c>
      <c r="L32">
        <v>0.44021507212331157</v>
      </c>
      <c r="M32">
        <v>0.53809061576737127</v>
      </c>
      <c r="N32">
        <v>0</v>
      </c>
      <c r="O32">
        <v>1.1126231352653988</v>
      </c>
      <c r="P32">
        <v>0</v>
      </c>
      <c r="Q32">
        <v>0</v>
      </c>
      <c r="R32">
        <v>0</v>
      </c>
      <c r="S32">
        <v>0.95186387721300303</v>
      </c>
    </row>
    <row r="33" spans="1:19" x14ac:dyDescent="0.15">
      <c r="A33">
        <v>32</v>
      </c>
      <c r="B33" t="s">
        <v>204</v>
      </c>
      <c r="C33">
        <v>0.78379078504868427</v>
      </c>
      <c r="D33">
        <v>0.67424123476259135</v>
      </c>
      <c r="E33">
        <v>0.54885162497802675</v>
      </c>
      <c r="F33">
        <v>0</v>
      </c>
      <c r="G33">
        <v>0.74155001740919735</v>
      </c>
      <c r="H33">
        <v>0</v>
      </c>
      <c r="I33">
        <v>0</v>
      </c>
      <c r="J33">
        <v>0.58813605572512306</v>
      </c>
      <c r="K33">
        <v>0.66853568790311269</v>
      </c>
      <c r="L33">
        <v>0.54968350482303818</v>
      </c>
      <c r="M33">
        <v>0.84743700525392063</v>
      </c>
      <c r="N33">
        <v>0</v>
      </c>
      <c r="O33">
        <v>1.1223285964683496</v>
      </c>
      <c r="P33">
        <v>0</v>
      </c>
      <c r="Q33">
        <v>0</v>
      </c>
      <c r="R33">
        <v>0</v>
      </c>
      <c r="S33">
        <v>1.1714564406842864</v>
      </c>
    </row>
    <row r="34" spans="1:19" x14ac:dyDescent="0.15">
      <c r="A34">
        <v>33</v>
      </c>
      <c r="B34" t="s">
        <v>205</v>
      </c>
      <c r="C34">
        <v>2.8052526070093733</v>
      </c>
      <c r="D34">
        <v>1.4428529164854562</v>
      </c>
      <c r="E34">
        <v>2.324896212482698</v>
      </c>
      <c r="F34">
        <v>1.0037491323076739</v>
      </c>
      <c r="G34">
        <v>2.1260572570967025</v>
      </c>
      <c r="H34">
        <v>1.0428054209348068</v>
      </c>
      <c r="I34">
        <v>1.3304988503962336</v>
      </c>
      <c r="J34">
        <v>1.2977389346355779</v>
      </c>
      <c r="K34">
        <v>1.2439961095651271</v>
      </c>
      <c r="L34">
        <v>2.9594308507638369</v>
      </c>
      <c r="M34">
        <v>1.461508236884689</v>
      </c>
      <c r="N34">
        <v>2.4563954310616367</v>
      </c>
      <c r="O34">
        <v>1.5751818045155592</v>
      </c>
      <c r="P34">
        <v>1.5789189184113033</v>
      </c>
      <c r="Q34">
        <v>2.0249075149657081</v>
      </c>
      <c r="R34">
        <v>2.8810637087605158</v>
      </c>
      <c r="S34">
        <v>3.193913425064177</v>
      </c>
    </row>
    <row r="35" spans="1:19" x14ac:dyDescent="0.15">
      <c r="A35">
        <v>34</v>
      </c>
      <c r="B35" t="s">
        <v>206</v>
      </c>
      <c r="C35">
        <v>2.0288186839816138</v>
      </c>
      <c r="D35">
        <v>2.0236173252413332</v>
      </c>
      <c r="E35">
        <v>0</v>
      </c>
      <c r="F35">
        <v>0</v>
      </c>
      <c r="G35">
        <v>1.7091265335420682</v>
      </c>
      <c r="H35">
        <v>2.920751117722113</v>
      </c>
      <c r="I35">
        <v>2.6052985424200257</v>
      </c>
      <c r="J35">
        <v>1.0495207396480275</v>
      </c>
      <c r="K35">
        <v>2.3274810711592497</v>
      </c>
      <c r="L35">
        <v>2.2776074779857804</v>
      </c>
      <c r="M35">
        <v>1.492560266879192</v>
      </c>
      <c r="N35">
        <v>0</v>
      </c>
      <c r="O35">
        <v>1.2448538485312013</v>
      </c>
      <c r="P35">
        <v>0</v>
      </c>
      <c r="Q35">
        <v>0</v>
      </c>
      <c r="R35">
        <v>0</v>
      </c>
      <c r="S35">
        <v>1.2894152525172704</v>
      </c>
    </row>
    <row r="36" spans="1:19" x14ac:dyDescent="0.15">
      <c r="A36">
        <v>35</v>
      </c>
      <c r="B36" t="s">
        <v>207</v>
      </c>
      <c r="C36">
        <v>1.3613962592721507</v>
      </c>
      <c r="D36">
        <v>1.9279275636547504</v>
      </c>
      <c r="E36">
        <v>0</v>
      </c>
      <c r="F36">
        <v>0</v>
      </c>
      <c r="G36">
        <v>1.2043332385361007</v>
      </c>
      <c r="H36">
        <v>2.1220791972820821</v>
      </c>
      <c r="I36">
        <v>1.4244072925345048</v>
      </c>
      <c r="J36">
        <v>1.2703625135934808</v>
      </c>
      <c r="K36">
        <v>1.7298453618927769</v>
      </c>
      <c r="L36">
        <v>1.2564041034607107</v>
      </c>
      <c r="M36">
        <v>0.8635167785779746</v>
      </c>
      <c r="N36">
        <v>0</v>
      </c>
      <c r="O36">
        <v>1.7243843200615074</v>
      </c>
      <c r="P36">
        <v>0</v>
      </c>
      <c r="Q36">
        <v>0</v>
      </c>
      <c r="R36">
        <v>0</v>
      </c>
      <c r="S36">
        <v>1.6761051539171727</v>
      </c>
    </row>
    <row r="37" spans="1:19" x14ac:dyDescent="0.15">
      <c r="A37">
        <v>36</v>
      </c>
      <c r="B37" t="s">
        <v>208</v>
      </c>
      <c r="C37">
        <v>0.57276677368114981</v>
      </c>
      <c r="D37">
        <v>0.7502110788301487</v>
      </c>
      <c r="E37">
        <v>2.9602628653570635</v>
      </c>
      <c r="F37">
        <v>0.45205731957465572</v>
      </c>
      <c r="G37">
        <v>0.47510675752566345</v>
      </c>
      <c r="H37">
        <v>0.96690189379028102</v>
      </c>
      <c r="I37">
        <v>1.8074485167050232</v>
      </c>
      <c r="J37">
        <v>0</v>
      </c>
      <c r="K37">
        <v>1.3929576558755505</v>
      </c>
      <c r="L37">
        <v>0.90601472799403238</v>
      </c>
      <c r="M37">
        <v>0</v>
      </c>
      <c r="N37">
        <v>0.78751468241491784</v>
      </c>
      <c r="O37">
        <v>0.65643616875249478</v>
      </c>
      <c r="P37">
        <v>1.7494585608155633</v>
      </c>
      <c r="Q37">
        <v>1.451556420653427</v>
      </c>
      <c r="R37">
        <v>0</v>
      </c>
      <c r="S37">
        <v>0.1430791318516767</v>
      </c>
    </row>
    <row r="38" spans="1:19" x14ac:dyDescent="0.15">
      <c r="A38">
        <v>37</v>
      </c>
      <c r="B38" t="s">
        <v>209</v>
      </c>
      <c r="C38">
        <v>0.58639259339246208</v>
      </c>
      <c r="D38">
        <v>0.82727783210967432</v>
      </c>
      <c r="E38">
        <v>0</v>
      </c>
      <c r="F38">
        <v>0.35863781253278271</v>
      </c>
      <c r="G38">
        <v>0.61402755184485269</v>
      </c>
      <c r="H38">
        <v>0.40843656070782014</v>
      </c>
      <c r="I38">
        <v>2.3851953460606077</v>
      </c>
      <c r="J38">
        <v>0.82896791676129045</v>
      </c>
      <c r="K38">
        <v>0.77744363904565061</v>
      </c>
      <c r="L38">
        <v>0.55305456321926116</v>
      </c>
      <c r="M38">
        <v>1.4854711608706797</v>
      </c>
      <c r="N38">
        <v>0.7186696584538862</v>
      </c>
      <c r="O38">
        <v>1.2826374515853314</v>
      </c>
      <c r="P38">
        <v>0</v>
      </c>
      <c r="Q38">
        <v>0</v>
      </c>
      <c r="R38">
        <v>0</v>
      </c>
      <c r="S38">
        <v>0.99671897988011637</v>
      </c>
    </row>
    <row r="39" spans="1:19" x14ac:dyDescent="0.15">
      <c r="A39">
        <v>38</v>
      </c>
      <c r="B39" t="s">
        <v>210</v>
      </c>
      <c r="C39">
        <v>0.2059879700544941</v>
      </c>
      <c r="D39">
        <v>0.42742767905799744</v>
      </c>
      <c r="E39">
        <v>0.55549839248313504</v>
      </c>
      <c r="F39">
        <v>0.28343900369078773</v>
      </c>
      <c r="G39">
        <v>0.2851431944641869</v>
      </c>
      <c r="H39">
        <v>0.8995722356790351</v>
      </c>
      <c r="I39">
        <v>1.1695083204260099</v>
      </c>
      <c r="J39">
        <v>0</v>
      </c>
      <c r="K39">
        <v>0.31308708548220565</v>
      </c>
      <c r="L39">
        <v>0.64492995256156249</v>
      </c>
      <c r="M39">
        <v>0</v>
      </c>
      <c r="N39">
        <v>0.21243124179404818</v>
      </c>
      <c r="O39">
        <v>0.66770347681883169</v>
      </c>
      <c r="P39">
        <v>0.98428781138394028</v>
      </c>
      <c r="Q39">
        <v>0.39374093396689691</v>
      </c>
      <c r="R39">
        <v>0</v>
      </c>
      <c r="S39">
        <v>1.7367046887771123</v>
      </c>
    </row>
    <row r="40" spans="1:19" x14ac:dyDescent="0.15">
      <c r="A40">
        <v>39</v>
      </c>
      <c r="B40" t="s">
        <v>211</v>
      </c>
      <c r="C40">
        <v>0.58353284003889638</v>
      </c>
      <c r="D40">
        <v>0.42601545952490549</v>
      </c>
      <c r="E40">
        <v>0.68242586123837279</v>
      </c>
      <c r="F40">
        <v>0</v>
      </c>
      <c r="G40">
        <v>0.69049634115951186</v>
      </c>
      <c r="H40">
        <v>0</v>
      </c>
      <c r="I40">
        <v>0</v>
      </c>
      <c r="J40">
        <v>0</v>
      </c>
      <c r="K40">
        <v>0</v>
      </c>
      <c r="L40">
        <v>0.97720191930106493</v>
      </c>
      <c r="M40">
        <v>0.54323472961539865</v>
      </c>
      <c r="N40">
        <v>0</v>
      </c>
      <c r="O40">
        <v>0</v>
      </c>
      <c r="P40">
        <v>0</v>
      </c>
      <c r="Q40">
        <v>0</v>
      </c>
      <c r="R40">
        <v>0</v>
      </c>
      <c r="S40">
        <v>0.90625776148448989</v>
      </c>
    </row>
    <row r="41" spans="1:19" x14ac:dyDescent="0.15">
      <c r="A41">
        <v>40</v>
      </c>
      <c r="B41" t="s">
        <v>212</v>
      </c>
      <c r="C41">
        <v>0.39466918437891729</v>
      </c>
      <c r="D41">
        <v>0.32555055665967308</v>
      </c>
      <c r="E41">
        <v>0.57927552603508514</v>
      </c>
      <c r="F41">
        <v>0.25425306865830039</v>
      </c>
      <c r="G41">
        <v>0.24396134853040144</v>
      </c>
      <c r="H41">
        <v>0.80046833658020522</v>
      </c>
      <c r="I41">
        <v>1.1379292903187712</v>
      </c>
      <c r="J41">
        <v>0</v>
      </c>
      <c r="K41">
        <v>0.16570421315737807</v>
      </c>
      <c r="L41">
        <v>0.58199374454862451</v>
      </c>
      <c r="M41">
        <v>0</v>
      </c>
      <c r="N41">
        <v>0.2984900695462247</v>
      </c>
      <c r="O41">
        <v>0.81253035811550811</v>
      </c>
      <c r="P41">
        <v>1.034487657172287</v>
      </c>
      <c r="Q41">
        <v>0.26255627296805606</v>
      </c>
      <c r="R41">
        <v>0</v>
      </c>
      <c r="S41">
        <v>0.95424157146803712</v>
      </c>
    </row>
    <row r="42" spans="1:19" x14ac:dyDescent="0.15">
      <c r="A42">
        <v>41</v>
      </c>
      <c r="B42" t="s">
        <v>213</v>
      </c>
      <c r="C42">
        <v>0.39011316030226345</v>
      </c>
      <c r="D42">
        <v>0.35721917742469611</v>
      </c>
      <c r="E42">
        <v>0.71216684408247477</v>
      </c>
      <c r="F42">
        <v>0.41345635620975479</v>
      </c>
      <c r="G42">
        <v>0.3282557162879936</v>
      </c>
      <c r="H42">
        <v>1.0010620845716112</v>
      </c>
      <c r="I42">
        <v>1.2470636864650275</v>
      </c>
      <c r="J42">
        <v>0</v>
      </c>
      <c r="K42">
        <v>0.24728599734362341</v>
      </c>
      <c r="L42">
        <v>0.67720558784468632</v>
      </c>
      <c r="M42">
        <v>0</v>
      </c>
      <c r="N42">
        <v>0.28028259930524496</v>
      </c>
      <c r="O42">
        <v>0.68308401123173501</v>
      </c>
      <c r="P42">
        <v>0.83943930741579975</v>
      </c>
      <c r="Q42">
        <v>0.66133162494199615</v>
      </c>
      <c r="R42">
        <v>0</v>
      </c>
      <c r="S42">
        <v>0.28509851384367385</v>
      </c>
    </row>
    <row r="43" spans="1:19" x14ac:dyDescent="0.15">
      <c r="A43">
        <v>42</v>
      </c>
      <c r="B43" t="s">
        <v>214</v>
      </c>
      <c r="C43">
        <v>0.52603455956601031</v>
      </c>
      <c r="D43">
        <v>0.67166910806909064</v>
      </c>
      <c r="E43">
        <v>1.1071682946314241</v>
      </c>
      <c r="F43">
        <v>1.2142215807149126</v>
      </c>
      <c r="G43">
        <v>0.46233858188965798</v>
      </c>
      <c r="H43">
        <v>0.29730577567324629</v>
      </c>
      <c r="I43">
        <v>0.78772892912968129</v>
      </c>
      <c r="J43">
        <v>0.67755127311568353</v>
      </c>
      <c r="K43">
        <v>0.9891879243725773</v>
      </c>
      <c r="L43">
        <v>0.71971616751278944</v>
      </c>
      <c r="M43">
        <v>0.44989379575350968</v>
      </c>
      <c r="N43">
        <v>0.5393391386945724</v>
      </c>
      <c r="O43">
        <v>0.34722098877922697</v>
      </c>
      <c r="P43">
        <v>0.80500188230627023</v>
      </c>
      <c r="Q43">
        <v>0.95849564232194551</v>
      </c>
      <c r="R43">
        <v>2.7680870179148815</v>
      </c>
      <c r="S43">
        <v>0.35271410585333046</v>
      </c>
    </row>
    <row r="44" spans="1:19" x14ac:dyDescent="0.15">
      <c r="A44">
        <v>43</v>
      </c>
      <c r="B44" t="s">
        <v>215</v>
      </c>
      <c r="C44">
        <v>0.45258756624564705</v>
      </c>
      <c r="D44">
        <v>0.85976631342937981</v>
      </c>
      <c r="E44">
        <v>0</v>
      </c>
      <c r="F44">
        <v>0.43431256866591411</v>
      </c>
      <c r="G44">
        <v>0.53594740370946492</v>
      </c>
      <c r="H44">
        <v>0.34350157346731031</v>
      </c>
      <c r="I44">
        <v>2.3310294396258033</v>
      </c>
      <c r="J44">
        <v>0.8215106784581151</v>
      </c>
      <c r="K44">
        <v>1.0266666314120398</v>
      </c>
      <c r="L44">
        <v>0.52121405124131637</v>
      </c>
      <c r="M44">
        <v>1.7095461971236858</v>
      </c>
      <c r="N44">
        <v>0.79834002450610853</v>
      </c>
      <c r="O44">
        <v>1.3968249534093133</v>
      </c>
      <c r="P44">
        <v>0</v>
      </c>
      <c r="Q44">
        <v>0</v>
      </c>
      <c r="R44">
        <v>0</v>
      </c>
      <c r="S44">
        <v>1.6181115919388687</v>
      </c>
    </row>
    <row r="45" spans="1:19" x14ac:dyDescent="0.15">
      <c r="A45">
        <v>44</v>
      </c>
      <c r="B45" t="s">
        <v>216</v>
      </c>
      <c r="C45">
        <v>0.76342578813810436</v>
      </c>
      <c r="D45">
        <v>0.99709980012086241</v>
      </c>
      <c r="E45">
        <v>0.89471595194557829</v>
      </c>
      <c r="F45">
        <v>2.1821491618092024</v>
      </c>
      <c r="G45">
        <v>0.74936143065084793</v>
      </c>
      <c r="H45">
        <v>0.88305537026311876</v>
      </c>
      <c r="I45">
        <v>0.83615589134322521</v>
      </c>
      <c r="J45">
        <v>0.91234619363786951</v>
      </c>
      <c r="K45">
        <v>2.0091836581046301</v>
      </c>
      <c r="L45">
        <v>0.77533501817404571</v>
      </c>
      <c r="M45">
        <v>0.92863012630778763</v>
      </c>
      <c r="N45">
        <v>1.5139847309302246</v>
      </c>
      <c r="O45">
        <v>0.93294679237335398</v>
      </c>
      <c r="P45">
        <v>1.4114696733698033</v>
      </c>
      <c r="Q45">
        <v>0.82014795496887649</v>
      </c>
      <c r="R45">
        <v>0.86058349369624865</v>
      </c>
      <c r="S45">
        <v>0.34982464962043947</v>
      </c>
    </row>
    <row r="46" spans="1:19" x14ac:dyDescent="0.15">
      <c r="A46">
        <v>45</v>
      </c>
      <c r="B46" t="s">
        <v>217</v>
      </c>
      <c r="C46">
        <v>0.46071023014600848</v>
      </c>
      <c r="D46">
        <v>0.43469838724700138</v>
      </c>
      <c r="E46">
        <v>2.8219469855624695</v>
      </c>
      <c r="F46">
        <v>0.32952360052122598</v>
      </c>
      <c r="G46">
        <v>0.40683886355296589</v>
      </c>
      <c r="H46">
        <v>0.55283444796857784</v>
      </c>
      <c r="I46">
        <v>1.690604481051758</v>
      </c>
      <c r="J46">
        <v>0</v>
      </c>
      <c r="K46">
        <v>0.7359299819977112</v>
      </c>
      <c r="L46">
        <v>0.7080134385115856</v>
      </c>
      <c r="M46">
        <v>0</v>
      </c>
      <c r="N46">
        <v>0.38967012379114824</v>
      </c>
      <c r="O46">
        <v>0.77425413334027238</v>
      </c>
      <c r="P46">
        <v>1.8562204464527767</v>
      </c>
      <c r="Q46">
        <v>1.3527275828805916</v>
      </c>
      <c r="R46">
        <v>0</v>
      </c>
      <c r="S46">
        <v>0.16146912509233183</v>
      </c>
    </row>
    <row r="47" spans="1:19" x14ac:dyDescent="0.15">
      <c r="A47">
        <v>46</v>
      </c>
      <c r="B47" t="s">
        <v>218</v>
      </c>
      <c r="C47">
        <v>0.86014940062139467</v>
      </c>
      <c r="D47">
        <v>0.90423477675960517</v>
      </c>
      <c r="E47">
        <v>1.0968354297364487</v>
      </c>
      <c r="F47">
        <v>1.0026941519278303</v>
      </c>
      <c r="G47">
        <v>0.90534943555508873</v>
      </c>
      <c r="H47">
        <v>0.93985594395493155</v>
      </c>
      <c r="I47">
        <v>0.84715615349695716</v>
      </c>
      <c r="J47">
        <v>0</v>
      </c>
      <c r="K47">
        <v>0.91123426575075617</v>
      </c>
      <c r="L47">
        <v>0.94918032448358214</v>
      </c>
      <c r="M47">
        <v>0</v>
      </c>
      <c r="N47">
        <v>0.94598582134439868</v>
      </c>
      <c r="O47">
        <v>1.488534884231417</v>
      </c>
      <c r="P47">
        <v>1.522243021133391</v>
      </c>
      <c r="Q47">
        <v>2.6075184182746743E-2</v>
      </c>
      <c r="R47">
        <v>0</v>
      </c>
      <c r="S47">
        <v>2.1401552040806355</v>
      </c>
    </row>
    <row r="48" spans="1:19" x14ac:dyDescent="0.15">
      <c r="A48">
        <v>47</v>
      </c>
      <c r="B48" t="s">
        <v>219</v>
      </c>
      <c r="C48">
        <v>0.38392806734528373</v>
      </c>
      <c r="D48">
        <v>1.0983415030654142</v>
      </c>
      <c r="E48">
        <v>0</v>
      </c>
      <c r="F48">
        <v>3.3166247903553998</v>
      </c>
      <c r="G48">
        <v>0.66915382395307754</v>
      </c>
      <c r="H48">
        <v>0.17770660271650188</v>
      </c>
      <c r="I48">
        <v>0.93049362101523392</v>
      </c>
      <c r="J48">
        <v>0</v>
      </c>
      <c r="K48">
        <v>0.79796932949090171</v>
      </c>
      <c r="L48">
        <v>0.90423688936138913</v>
      </c>
      <c r="M48">
        <v>0</v>
      </c>
      <c r="N48">
        <v>0.56296615207941658</v>
      </c>
      <c r="O48">
        <v>1.2440222931953366</v>
      </c>
      <c r="P48">
        <v>0</v>
      </c>
      <c r="Q48">
        <v>0</v>
      </c>
      <c r="R48">
        <v>0</v>
      </c>
      <c r="S48">
        <v>1.219839296401771</v>
      </c>
    </row>
    <row r="49" spans="1:19" x14ac:dyDescent="0.15">
      <c r="A49">
        <v>48</v>
      </c>
      <c r="B49" t="s">
        <v>220</v>
      </c>
      <c r="C49">
        <v>0.69746559753296244</v>
      </c>
      <c r="D49">
        <v>1.1138116695492954</v>
      </c>
      <c r="E49">
        <v>0</v>
      </c>
      <c r="F49">
        <v>3.3166247903553994</v>
      </c>
      <c r="G49">
        <v>0.74591641646535123</v>
      </c>
      <c r="H49">
        <v>0.39157228985425807</v>
      </c>
      <c r="I49">
        <v>1.1340735279619441</v>
      </c>
      <c r="J49">
        <v>0</v>
      </c>
      <c r="K49">
        <v>0.85704959437451111</v>
      </c>
      <c r="L49">
        <v>0.86722493525177868</v>
      </c>
      <c r="M49">
        <v>0</v>
      </c>
      <c r="N49">
        <v>0.81680486667187313</v>
      </c>
      <c r="O49">
        <v>0.97029732231681376</v>
      </c>
      <c r="P49">
        <v>0</v>
      </c>
      <c r="Q49">
        <v>0</v>
      </c>
      <c r="R49">
        <v>0</v>
      </c>
      <c r="S49">
        <v>0.82704120828803351</v>
      </c>
    </row>
    <row r="50" spans="1:19" x14ac:dyDescent="0.15">
      <c r="A50">
        <v>49</v>
      </c>
      <c r="B50" t="s">
        <v>221</v>
      </c>
      <c r="C50">
        <v>0.68471497636156997</v>
      </c>
      <c r="D50">
        <v>0.94561472418792292</v>
      </c>
      <c r="E50">
        <v>0</v>
      </c>
      <c r="F50">
        <v>0.9769747097361825</v>
      </c>
      <c r="G50">
        <v>0.63850072325577401</v>
      </c>
      <c r="H50">
        <v>0.60157048223792109</v>
      </c>
      <c r="I50">
        <v>2.648276919800574</v>
      </c>
      <c r="J50">
        <v>0.83856788629688073</v>
      </c>
      <c r="K50">
        <v>0.7256242349599662</v>
      </c>
      <c r="L50">
        <v>0.85856319954254245</v>
      </c>
      <c r="M50">
        <v>1.9050432718862662</v>
      </c>
      <c r="N50">
        <v>0.60840206205279201</v>
      </c>
      <c r="O50">
        <v>1.6789932375164274</v>
      </c>
      <c r="P50">
        <v>0</v>
      </c>
      <c r="Q50">
        <v>0</v>
      </c>
      <c r="R50">
        <v>0</v>
      </c>
      <c r="S50">
        <v>0</v>
      </c>
    </row>
    <row r="51" spans="1:19" x14ac:dyDescent="0.15">
      <c r="A51">
        <v>50</v>
      </c>
      <c r="B51" t="s">
        <v>222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</row>
    <row r="52" spans="1:19" x14ac:dyDescent="0.15">
      <c r="A52">
        <v>51</v>
      </c>
      <c r="B52" t="s">
        <v>223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15">
      <c r="A53">
        <v>52</v>
      </c>
      <c r="B53" t="s">
        <v>224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15">
      <c r="A54">
        <v>53</v>
      </c>
      <c r="B54" t="s">
        <v>225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</row>
    <row r="55" spans="1:19" x14ac:dyDescent="0.15">
      <c r="A55">
        <v>54</v>
      </c>
      <c r="B55" t="s">
        <v>226</v>
      </c>
      <c r="C55">
        <v>0.64130783417141757</v>
      </c>
      <c r="D55">
        <v>0</v>
      </c>
      <c r="E55">
        <v>0</v>
      </c>
      <c r="F55">
        <v>0</v>
      </c>
      <c r="G55">
        <v>1.2018836704448661</v>
      </c>
      <c r="H55">
        <v>1.4335544533925595</v>
      </c>
      <c r="I55">
        <v>0.32429642275782589</v>
      </c>
      <c r="J55">
        <v>0.24170827908582804</v>
      </c>
      <c r="K55">
        <v>1.6032976970951753</v>
      </c>
      <c r="L55">
        <v>0.33974984875728931</v>
      </c>
      <c r="M55">
        <v>0</v>
      </c>
      <c r="N55">
        <v>1.0561999512623892</v>
      </c>
      <c r="O55">
        <v>0.80997461919011671</v>
      </c>
      <c r="P55">
        <v>0.2759442606492733</v>
      </c>
      <c r="Q55">
        <v>0.53324101853140549</v>
      </c>
      <c r="R55">
        <v>0.13606493357295199</v>
      </c>
      <c r="S55">
        <v>0</v>
      </c>
    </row>
    <row r="56" spans="1:19" x14ac:dyDescent="0.15">
      <c r="A56">
        <v>55</v>
      </c>
      <c r="B56" t="s">
        <v>227</v>
      </c>
      <c r="C56">
        <v>0.7108978175270203</v>
      </c>
      <c r="D56">
        <v>0</v>
      </c>
      <c r="E56">
        <v>0</v>
      </c>
      <c r="F56">
        <v>0</v>
      </c>
      <c r="G56">
        <v>1.1880544780004971</v>
      </c>
      <c r="H56">
        <v>1.4773280483490367</v>
      </c>
      <c r="I56">
        <v>0.12479430005750031</v>
      </c>
      <c r="J56">
        <v>0.2867739638016164</v>
      </c>
      <c r="K56">
        <v>1.6089066192095356</v>
      </c>
      <c r="L56">
        <v>0.50917795979872571</v>
      </c>
      <c r="M56">
        <v>0</v>
      </c>
      <c r="N56">
        <v>1.0247369787795926</v>
      </c>
      <c r="O56">
        <v>1.0720685452431802</v>
      </c>
      <c r="P56">
        <v>0.34851607892713776</v>
      </c>
      <c r="Q56">
        <v>0.56506400013403035</v>
      </c>
      <c r="R56">
        <v>0.35374793008613775</v>
      </c>
      <c r="S56">
        <v>0</v>
      </c>
    </row>
    <row r="57" spans="1:19" x14ac:dyDescent="0.15">
      <c r="A57">
        <v>56</v>
      </c>
      <c r="B57" t="s">
        <v>228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15">
      <c r="A58">
        <v>57</v>
      </c>
      <c r="B58" t="s">
        <v>229</v>
      </c>
      <c r="C58">
        <v>0</v>
      </c>
      <c r="D58">
        <v>0</v>
      </c>
      <c r="E58">
        <v>0.53484041616836575</v>
      </c>
      <c r="F58">
        <v>0</v>
      </c>
      <c r="G58">
        <v>0.34827865198018332</v>
      </c>
      <c r="H58">
        <v>0.45273803454315326</v>
      </c>
      <c r="I58">
        <v>0.70080237954598235</v>
      </c>
      <c r="J58">
        <v>0.38971160450406755</v>
      </c>
      <c r="K58">
        <v>0</v>
      </c>
      <c r="L58">
        <v>0</v>
      </c>
      <c r="M58">
        <v>0.16239834854587668</v>
      </c>
      <c r="N58">
        <v>0</v>
      </c>
      <c r="O58">
        <v>1.1314224346978263</v>
      </c>
      <c r="P58">
        <v>0</v>
      </c>
      <c r="Q58">
        <v>0.30402109271679273</v>
      </c>
      <c r="R58">
        <v>0.78825136163708343</v>
      </c>
      <c r="S58">
        <v>0</v>
      </c>
    </row>
    <row r="59" spans="1:19" x14ac:dyDescent="0.15">
      <c r="A59">
        <v>58</v>
      </c>
      <c r="B59" t="s">
        <v>230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15">
      <c r="A60">
        <v>59</v>
      </c>
      <c r="B60" t="s">
        <v>231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0.4275898596499812</v>
      </c>
      <c r="S60">
        <v>0</v>
      </c>
    </row>
    <row r="61" spans="1:19" x14ac:dyDescent="0.15">
      <c r="A61">
        <v>60</v>
      </c>
      <c r="B61" t="s">
        <v>232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15">
      <c r="A62">
        <v>61</v>
      </c>
      <c r="B62" t="s">
        <v>233</v>
      </c>
      <c r="C62">
        <v>1.0092574552390852</v>
      </c>
      <c r="D62">
        <v>0.2148512348761982</v>
      </c>
      <c r="E62">
        <v>0</v>
      </c>
      <c r="F62">
        <v>0</v>
      </c>
      <c r="G62">
        <v>1.3085507383949053</v>
      </c>
      <c r="H62">
        <v>1.348600585303678</v>
      </c>
      <c r="I62">
        <v>0.5882456083486175</v>
      </c>
      <c r="J62">
        <v>0</v>
      </c>
      <c r="K62">
        <v>1.5629781648023333</v>
      </c>
      <c r="L62">
        <v>0.37655042165424429</v>
      </c>
      <c r="M62">
        <v>0</v>
      </c>
      <c r="N62">
        <v>0.74927373188102486</v>
      </c>
      <c r="O62">
        <v>0.23362284730121113</v>
      </c>
      <c r="P62">
        <v>0.60103720850482301</v>
      </c>
      <c r="Q62">
        <v>1.1698867026077249</v>
      </c>
      <c r="R62">
        <v>0.27735217415812607</v>
      </c>
      <c r="S62">
        <v>0</v>
      </c>
    </row>
    <row r="63" spans="1:19" x14ac:dyDescent="0.15">
      <c r="A63">
        <v>62</v>
      </c>
      <c r="B63" t="s">
        <v>234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15">
      <c r="A64">
        <v>63</v>
      </c>
      <c r="B64" t="s">
        <v>235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</row>
    <row r="65" spans="1:19" x14ac:dyDescent="0.15">
      <c r="A65">
        <v>64</v>
      </c>
      <c r="B65" t="s">
        <v>236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15">
      <c r="A66">
        <v>65</v>
      </c>
      <c r="B66" t="s">
        <v>237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15">
      <c r="A67">
        <v>66</v>
      </c>
      <c r="B67" t="s">
        <v>238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15">
      <c r="A68">
        <v>67</v>
      </c>
      <c r="B68" t="s">
        <v>239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15">
      <c r="A69">
        <v>68</v>
      </c>
      <c r="B69" t="s">
        <v>240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</row>
    <row r="70" spans="1:19" x14ac:dyDescent="0.15">
      <c r="A70">
        <v>69</v>
      </c>
      <c r="B70" t="s">
        <v>241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15">
      <c r="A71">
        <v>70</v>
      </c>
      <c r="B71" t="s">
        <v>242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15">
      <c r="A72">
        <v>71</v>
      </c>
      <c r="B72" t="s">
        <v>243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15">
      <c r="A73">
        <v>72</v>
      </c>
      <c r="B73" t="s">
        <v>244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15">
      <c r="A74">
        <v>73</v>
      </c>
      <c r="B74" t="s">
        <v>245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</row>
    <row r="75" spans="1:19" x14ac:dyDescent="0.15">
      <c r="A75">
        <v>74</v>
      </c>
      <c r="B75" t="s">
        <v>246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15">
      <c r="A76">
        <v>75</v>
      </c>
      <c r="B76" t="s">
        <v>247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15">
      <c r="A77">
        <v>76</v>
      </c>
      <c r="B77" t="s">
        <v>248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15">
      <c r="A78">
        <v>77</v>
      </c>
      <c r="B78" t="s">
        <v>249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15">
      <c r="A79">
        <v>78</v>
      </c>
      <c r="B79" t="s">
        <v>250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</row>
    <row r="80" spans="1:19" x14ac:dyDescent="0.15">
      <c r="A80">
        <v>79</v>
      </c>
      <c r="B80" t="s">
        <v>251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15">
      <c r="A81">
        <v>80</v>
      </c>
      <c r="B81" t="s">
        <v>252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</row>
    <row r="82" spans="1:19" x14ac:dyDescent="0.15">
      <c r="A82">
        <v>81</v>
      </c>
      <c r="B82" t="s">
        <v>253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15">
      <c r="A83">
        <v>82</v>
      </c>
      <c r="B83" t="s">
        <v>254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15">
      <c r="A84">
        <v>83</v>
      </c>
      <c r="B84" t="s">
        <v>255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ht="15" customHeight="1" x14ac:dyDescent="0.15"/>
    <row r="86" spans="1:19" ht="15" customHeight="1" x14ac:dyDescent="0.15"/>
    <row r="87" spans="1:19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S84"/>
  <sheetViews>
    <sheetView workbookViewId="0">
      <pane xSplit="2" ySplit="1" topLeftCell="P84" activePane="bottomRight" state="frozen"/>
      <selection pane="topRight" activeCell="C1" sqref="C1"/>
      <selection pane="bottomLeft" activeCell="A2" sqref="A2"/>
      <selection pane="bottomRight" activeCell="S98" sqref="S98"/>
    </sheetView>
  </sheetViews>
  <sheetFormatPr baseColWidth="10" defaultRowHeight="13" x14ac:dyDescent="0.15"/>
  <cols>
    <col min="1" max="1" width="12.6640625" customWidth="1"/>
    <col min="2" max="2" width="46.5" bestFit="1" customWidth="1"/>
    <col min="3" max="3" width="14.83203125" bestFit="1" customWidth="1"/>
    <col min="4" max="4" width="15.5" bestFit="1" customWidth="1"/>
    <col min="5" max="5" width="24.33203125" bestFit="1" customWidth="1"/>
    <col min="6" max="6" width="27.5" bestFit="1" customWidth="1"/>
    <col min="7" max="7" width="35.5" bestFit="1" customWidth="1"/>
    <col min="8" max="8" width="30.6640625" bestFit="1" customWidth="1"/>
    <col min="9" max="9" width="19" bestFit="1" customWidth="1"/>
    <col min="10" max="10" width="32.33203125" bestFit="1" customWidth="1"/>
    <col min="11" max="11" width="21.5" bestFit="1" customWidth="1"/>
    <col min="12" max="12" width="14.33203125" bestFit="1" customWidth="1"/>
    <col min="13" max="13" width="12.6640625" bestFit="1" customWidth="1"/>
    <col min="14" max="14" width="14.33203125" bestFit="1" customWidth="1"/>
    <col min="15" max="15" width="24" bestFit="1" customWidth="1"/>
    <col min="16" max="16" width="26.6640625" bestFit="1" customWidth="1"/>
    <col min="17" max="17" width="13" bestFit="1" customWidth="1"/>
    <col min="18" max="18" width="22" bestFit="1" customWidth="1"/>
    <col min="19" max="19" width="23" bestFit="1" customWidth="1"/>
  </cols>
  <sheetData>
    <row r="1" spans="1:19" ht="28" x14ac:dyDescent="0.15">
      <c r="A1" s="5" t="s">
        <v>84</v>
      </c>
      <c r="B1" s="3" t="s">
        <v>0</v>
      </c>
      <c r="C1" s="228" t="s">
        <v>256</v>
      </c>
      <c r="D1" s="228" t="s">
        <v>257</v>
      </c>
      <c r="E1" s="228" t="s">
        <v>258</v>
      </c>
      <c r="F1" s="228" t="s">
        <v>259</v>
      </c>
      <c r="G1" s="228" t="s">
        <v>260</v>
      </c>
      <c r="H1" s="228" t="s">
        <v>261</v>
      </c>
      <c r="I1" s="228" t="s">
        <v>262</v>
      </c>
      <c r="J1" s="228" t="s">
        <v>263</v>
      </c>
      <c r="K1" s="228" t="s">
        <v>264</v>
      </c>
      <c r="L1" s="228" t="s">
        <v>265</v>
      </c>
      <c r="M1" s="228" t="s">
        <v>266</v>
      </c>
      <c r="N1" s="228" t="s">
        <v>267</v>
      </c>
      <c r="O1" s="228" t="s">
        <v>268</v>
      </c>
      <c r="P1" s="228" t="s">
        <v>269</v>
      </c>
      <c r="Q1" s="228" t="s">
        <v>270</v>
      </c>
      <c r="R1" s="228" t="s">
        <v>271</v>
      </c>
      <c r="S1" s="228" t="s">
        <v>272</v>
      </c>
    </row>
    <row r="2" spans="1:19" x14ac:dyDescent="0.15">
      <c r="A2">
        <v>1</v>
      </c>
      <c r="B2" t="s">
        <v>176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15">
      <c r="A3">
        <v>2</v>
      </c>
      <c r="B3" t="s">
        <v>177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15">
      <c r="A4">
        <v>3</v>
      </c>
      <c r="B4" t="s">
        <v>178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15">
      <c r="A5">
        <v>4</v>
      </c>
      <c r="B5" t="s">
        <v>179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15">
      <c r="A6">
        <v>5</v>
      </c>
      <c r="B6" t="s">
        <v>180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15">
      <c r="A7">
        <v>6</v>
      </c>
      <c r="B7" t="s">
        <v>181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15">
      <c r="A8">
        <v>7</v>
      </c>
      <c r="B8" t="s">
        <v>182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15">
      <c r="A9">
        <v>8</v>
      </c>
      <c r="B9" t="s">
        <v>183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15">
      <c r="A10">
        <v>9</v>
      </c>
      <c r="B10" t="s">
        <v>184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15">
      <c r="A11">
        <v>10</v>
      </c>
      <c r="B11" t="s">
        <v>185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15">
      <c r="A12">
        <v>11</v>
      </c>
      <c r="B12" t="s">
        <v>186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1:19" x14ac:dyDescent="0.15">
      <c r="A13">
        <v>12</v>
      </c>
      <c r="B13" t="s">
        <v>187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15">
      <c r="A14">
        <v>13</v>
      </c>
      <c r="B14" t="s">
        <v>188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15">
      <c r="A15">
        <v>14</v>
      </c>
      <c r="B15" t="s">
        <v>189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15">
      <c r="A16">
        <v>15</v>
      </c>
      <c r="B16" t="s">
        <v>190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15">
      <c r="A17">
        <v>16</v>
      </c>
      <c r="B17" t="s">
        <v>191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0.56166417098820964</v>
      </c>
      <c r="K17">
        <v>0</v>
      </c>
      <c r="L17">
        <v>0</v>
      </c>
      <c r="M17">
        <v>0.40059834209425688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</row>
    <row r="18" spans="1:19" x14ac:dyDescent="0.15">
      <c r="A18">
        <v>17</v>
      </c>
      <c r="B18" t="s">
        <v>192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15">
      <c r="A19">
        <v>18</v>
      </c>
      <c r="B19" t="s">
        <v>193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0.39100314237732336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15">
      <c r="A20">
        <v>19</v>
      </c>
      <c r="B20" t="s">
        <v>194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15">
      <c r="A21">
        <v>20</v>
      </c>
      <c r="B21" t="s">
        <v>195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0.56166417098820876</v>
      </c>
      <c r="K21">
        <v>0</v>
      </c>
      <c r="L21">
        <v>0</v>
      </c>
      <c r="M21">
        <v>0.40059834209425732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15">
      <c r="A22">
        <v>21</v>
      </c>
      <c r="B22" t="s">
        <v>196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15">
      <c r="A23">
        <v>22</v>
      </c>
      <c r="B23" t="s">
        <v>197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0.56166417098820876</v>
      </c>
      <c r="K23">
        <v>0</v>
      </c>
      <c r="L23">
        <v>0</v>
      </c>
      <c r="M23">
        <v>0.40059834209425732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</row>
    <row r="24" spans="1:19" x14ac:dyDescent="0.15">
      <c r="A24">
        <v>23</v>
      </c>
      <c r="B24" t="s">
        <v>198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15">
      <c r="A25">
        <v>24</v>
      </c>
      <c r="B25" t="s">
        <v>273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15">
      <c r="A26">
        <v>25</v>
      </c>
      <c r="B26" t="s">
        <v>398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15">
      <c r="A27">
        <v>26</v>
      </c>
      <c r="B27" t="s">
        <v>399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</row>
    <row r="28" spans="1:19" x14ac:dyDescent="0.15">
      <c r="A28">
        <v>27</v>
      </c>
      <c r="B28" t="s">
        <v>199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15">
      <c r="A29">
        <v>28</v>
      </c>
      <c r="B29" t="s">
        <v>200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15">
      <c r="A30">
        <v>29</v>
      </c>
      <c r="B30" t="s">
        <v>201</v>
      </c>
      <c r="C30">
        <v>0.31939724554088694</v>
      </c>
      <c r="D30">
        <v>0.41072451581210073</v>
      </c>
      <c r="E30">
        <v>1.007065809199039</v>
      </c>
      <c r="F30">
        <v>0.27597190736304889</v>
      </c>
      <c r="G30">
        <v>0.38032012103483248</v>
      </c>
      <c r="H30">
        <v>0.62348213512259099</v>
      </c>
      <c r="I30">
        <v>0.36708946415348653</v>
      </c>
      <c r="J30">
        <v>0</v>
      </c>
      <c r="K30">
        <v>0.7215880327342844</v>
      </c>
      <c r="L30">
        <v>0</v>
      </c>
      <c r="M30">
        <v>0</v>
      </c>
      <c r="N30">
        <v>0.32818651487892009</v>
      </c>
      <c r="O30">
        <v>0.25734914563124656</v>
      </c>
      <c r="P30">
        <v>0.29057108034690204</v>
      </c>
      <c r="Q30">
        <v>0</v>
      </c>
      <c r="R30">
        <v>0</v>
      </c>
      <c r="S30">
        <v>0</v>
      </c>
    </row>
    <row r="31" spans="1:19" x14ac:dyDescent="0.15">
      <c r="A31">
        <v>30</v>
      </c>
      <c r="B31" t="s">
        <v>202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15">
      <c r="A32">
        <v>31</v>
      </c>
      <c r="B32" t="s">
        <v>203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15">
      <c r="A33">
        <v>32</v>
      </c>
      <c r="B33" t="s">
        <v>204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15">
      <c r="A34">
        <v>33</v>
      </c>
      <c r="B34" t="s">
        <v>205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19" x14ac:dyDescent="0.15">
      <c r="A35">
        <v>34</v>
      </c>
      <c r="B35" t="s">
        <v>206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0.56166417098821042</v>
      </c>
      <c r="K35">
        <v>0</v>
      </c>
      <c r="L35">
        <v>0</v>
      </c>
      <c r="M35">
        <v>0.4005983420942571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15">
      <c r="A36">
        <v>35</v>
      </c>
      <c r="B36" t="s">
        <v>207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0.56166417098820864</v>
      </c>
      <c r="K36">
        <v>0</v>
      </c>
      <c r="L36">
        <v>0</v>
      </c>
      <c r="M36">
        <v>0.40059834209425721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1:19" x14ac:dyDescent="0.15">
      <c r="A37">
        <v>36</v>
      </c>
      <c r="B37" t="s">
        <v>208</v>
      </c>
      <c r="C37">
        <v>0.45458282306378112</v>
      </c>
      <c r="D37">
        <v>0.4904359305478434</v>
      </c>
      <c r="E37">
        <v>1.064057013784768</v>
      </c>
      <c r="F37">
        <v>0.27054966022657656</v>
      </c>
      <c r="G37">
        <v>0.40656397798190358</v>
      </c>
      <c r="H37">
        <v>0.69089002667621446</v>
      </c>
      <c r="I37">
        <v>1.1746056834564025</v>
      </c>
      <c r="J37">
        <v>0</v>
      </c>
      <c r="K37">
        <v>0.60378232858528313</v>
      </c>
      <c r="L37">
        <v>0</v>
      </c>
      <c r="M37">
        <v>0</v>
      </c>
      <c r="N37">
        <v>0.43876077766323102</v>
      </c>
      <c r="O37">
        <v>0.27732833713301769</v>
      </c>
      <c r="P37">
        <v>0.40337683326738183</v>
      </c>
      <c r="Q37">
        <v>0</v>
      </c>
      <c r="R37">
        <v>0</v>
      </c>
      <c r="S37">
        <v>0</v>
      </c>
    </row>
    <row r="38" spans="1:19" x14ac:dyDescent="0.15">
      <c r="A38">
        <v>37</v>
      </c>
      <c r="B38" t="s">
        <v>209</v>
      </c>
      <c r="C38">
        <v>0.19541847656526345</v>
      </c>
      <c r="D38">
        <v>0.34477476502755983</v>
      </c>
      <c r="E38">
        <v>1.0214463329079551</v>
      </c>
      <c r="F38">
        <v>0.70104647087388861</v>
      </c>
      <c r="G38">
        <v>0.3318867042013548</v>
      </c>
      <c r="H38">
        <v>0.63269064783854101</v>
      </c>
      <c r="I38">
        <v>0.8913346690181515</v>
      </c>
      <c r="J38">
        <v>0</v>
      </c>
      <c r="K38">
        <v>0.50342005988924532</v>
      </c>
      <c r="L38">
        <v>0</v>
      </c>
      <c r="M38">
        <v>0</v>
      </c>
      <c r="N38">
        <v>0.17856646020006592</v>
      </c>
      <c r="O38">
        <v>0.76672219775147088</v>
      </c>
      <c r="P38">
        <v>1.0870321195699162</v>
      </c>
      <c r="Q38">
        <v>0</v>
      </c>
      <c r="R38">
        <v>0</v>
      </c>
      <c r="S38">
        <v>0</v>
      </c>
    </row>
    <row r="39" spans="1:19" x14ac:dyDescent="0.15">
      <c r="A39">
        <v>38</v>
      </c>
      <c r="B39" t="s">
        <v>210</v>
      </c>
      <c r="C39">
        <v>0.44733599513872663</v>
      </c>
      <c r="D39">
        <v>0.50738069218814197</v>
      </c>
      <c r="E39">
        <v>1.0469015317948873</v>
      </c>
      <c r="F39">
        <v>0</v>
      </c>
      <c r="G39">
        <v>0.47252770058753124</v>
      </c>
      <c r="H39">
        <v>0.6409423439048445</v>
      </c>
      <c r="I39">
        <v>0.51391174435369014</v>
      </c>
      <c r="J39">
        <v>0</v>
      </c>
      <c r="K39">
        <v>1.1677606054178162</v>
      </c>
      <c r="L39">
        <v>0</v>
      </c>
      <c r="M39">
        <v>0</v>
      </c>
      <c r="N39">
        <v>0.47591285347011675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15">
      <c r="A40">
        <v>39</v>
      </c>
      <c r="B40" t="s">
        <v>211</v>
      </c>
      <c r="C40">
        <v>0.79213713825755705</v>
      </c>
      <c r="D40">
        <v>0.775404688908236</v>
      </c>
      <c r="E40">
        <v>1.1571282512729333</v>
      </c>
      <c r="F40">
        <v>0.52571273522054129</v>
      </c>
      <c r="G40">
        <v>0.58862781935215536</v>
      </c>
      <c r="H40">
        <v>0.67900817504080391</v>
      </c>
      <c r="I40">
        <v>0.56633231598555445</v>
      </c>
      <c r="J40">
        <v>0</v>
      </c>
      <c r="K40">
        <v>0.49084502678810338</v>
      </c>
      <c r="L40">
        <v>0</v>
      </c>
      <c r="M40">
        <v>0</v>
      </c>
      <c r="N40">
        <v>0.79806449888214026</v>
      </c>
      <c r="O40">
        <v>0.574220221160059</v>
      </c>
      <c r="P40">
        <v>0.73816586132190487</v>
      </c>
      <c r="Q40">
        <v>0</v>
      </c>
      <c r="R40">
        <v>0</v>
      </c>
      <c r="S40">
        <v>0</v>
      </c>
    </row>
    <row r="41" spans="1:19" x14ac:dyDescent="0.15">
      <c r="A41">
        <v>40</v>
      </c>
      <c r="B41" t="s">
        <v>212</v>
      </c>
      <c r="C41">
        <v>0.19061929099866903</v>
      </c>
      <c r="D41">
        <v>0.33566457333522864</v>
      </c>
      <c r="E41">
        <v>1.0192576945111547</v>
      </c>
      <c r="F41">
        <v>0</v>
      </c>
      <c r="G41">
        <v>0.33075153087511305</v>
      </c>
      <c r="H41">
        <v>0.63862600227636146</v>
      </c>
      <c r="I41">
        <v>0.53920961952364244</v>
      </c>
      <c r="J41">
        <v>0</v>
      </c>
      <c r="K41">
        <v>1.1546215736160894</v>
      </c>
      <c r="L41">
        <v>0</v>
      </c>
      <c r="M41">
        <v>0</v>
      </c>
      <c r="N41">
        <v>0.17386979485618134</v>
      </c>
      <c r="O41">
        <v>0</v>
      </c>
      <c r="P41">
        <v>0</v>
      </c>
      <c r="Q41">
        <v>0</v>
      </c>
      <c r="R41">
        <v>0</v>
      </c>
      <c r="S41">
        <v>0</v>
      </c>
    </row>
    <row r="42" spans="1:19" x14ac:dyDescent="0.15">
      <c r="A42">
        <v>41</v>
      </c>
      <c r="B42" t="s">
        <v>213</v>
      </c>
      <c r="C42">
        <v>0.35889155681169832</v>
      </c>
      <c r="D42">
        <v>0.45478628282408062</v>
      </c>
      <c r="E42">
        <v>1.0469045025312946</v>
      </c>
      <c r="F42">
        <v>0.28235007352795982</v>
      </c>
      <c r="G42">
        <v>0.40140333133814243</v>
      </c>
      <c r="H42">
        <v>0.72581803740807604</v>
      </c>
      <c r="I42">
        <v>0.6934993193525455</v>
      </c>
      <c r="J42">
        <v>0</v>
      </c>
      <c r="K42">
        <v>0.59691067166606893</v>
      </c>
      <c r="L42">
        <v>0</v>
      </c>
      <c r="M42">
        <v>0</v>
      </c>
      <c r="N42">
        <v>0.35848288307272874</v>
      </c>
      <c r="O42">
        <v>0.27688807459155618</v>
      </c>
      <c r="P42">
        <v>0.3532190684575931</v>
      </c>
      <c r="Q42">
        <v>0</v>
      </c>
      <c r="R42">
        <v>0</v>
      </c>
      <c r="S42">
        <v>0</v>
      </c>
    </row>
    <row r="43" spans="1:19" x14ac:dyDescent="0.15">
      <c r="A43">
        <v>42</v>
      </c>
      <c r="B43" t="s">
        <v>214</v>
      </c>
      <c r="C43">
        <v>0.24955373043811133</v>
      </c>
      <c r="D43">
        <v>0.31713946867727127</v>
      </c>
      <c r="E43">
        <v>0.98938813191415498</v>
      </c>
      <c r="F43">
        <v>0.76261293194737412</v>
      </c>
      <c r="G43">
        <v>0.26075541071655833</v>
      </c>
      <c r="H43">
        <v>0.61114407039645846</v>
      </c>
      <c r="I43">
        <v>0.34750798167534797</v>
      </c>
      <c r="J43">
        <v>0</v>
      </c>
      <c r="K43">
        <v>0.58901115805565463</v>
      </c>
      <c r="L43">
        <v>0</v>
      </c>
      <c r="M43">
        <v>0</v>
      </c>
      <c r="N43">
        <v>0.25270210224290579</v>
      </c>
      <c r="O43">
        <v>0.88674280676453743</v>
      </c>
      <c r="P43">
        <v>1.1838192982079143</v>
      </c>
      <c r="Q43">
        <v>0</v>
      </c>
      <c r="R43">
        <v>0</v>
      </c>
      <c r="S43">
        <v>0</v>
      </c>
    </row>
    <row r="44" spans="1:19" x14ac:dyDescent="0.15">
      <c r="A44">
        <v>43</v>
      </c>
      <c r="B44" t="s">
        <v>215</v>
      </c>
      <c r="C44">
        <v>0.2795645063633389</v>
      </c>
      <c r="D44">
        <v>0.36648716231965878</v>
      </c>
      <c r="E44">
        <v>1.0447970994686655</v>
      </c>
      <c r="F44">
        <v>0</v>
      </c>
      <c r="G44">
        <v>0.33487816370096651</v>
      </c>
      <c r="H44">
        <v>0.61662140060835346</v>
      </c>
      <c r="I44">
        <v>0.38729756567420887</v>
      </c>
      <c r="J44">
        <v>0</v>
      </c>
      <c r="K44">
        <v>0.67233055800104691</v>
      </c>
      <c r="L44">
        <v>0</v>
      </c>
      <c r="M44">
        <v>0</v>
      </c>
      <c r="N44">
        <v>0.25157125754059528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15">
      <c r="A45">
        <v>44</v>
      </c>
      <c r="B45" t="s">
        <v>216</v>
      </c>
      <c r="C45">
        <v>0.35179599513443782</v>
      </c>
      <c r="D45">
        <v>0.42466036095580406</v>
      </c>
      <c r="E45">
        <v>1.0743872608545215</v>
      </c>
      <c r="F45">
        <v>0.80622192630378586</v>
      </c>
      <c r="G45">
        <v>0.38897347210519911</v>
      </c>
      <c r="H45">
        <v>0.629843003488468</v>
      </c>
      <c r="I45">
        <v>0.47886445765113717</v>
      </c>
      <c r="J45">
        <v>0</v>
      </c>
      <c r="K45">
        <v>0.75906410752036535</v>
      </c>
      <c r="L45">
        <v>0</v>
      </c>
      <c r="M45">
        <v>0</v>
      </c>
      <c r="N45">
        <v>0.36105699080644765</v>
      </c>
      <c r="O45">
        <v>0.90509347349671143</v>
      </c>
      <c r="P45">
        <v>1.3001108280356672</v>
      </c>
      <c r="Q45">
        <v>0</v>
      </c>
      <c r="R45">
        <v>0</v>
      </c>
      <c r="S45">
        <v>0</v>
      </c>
    </row>
    <row r="46" spans="1:19" x14ac:dyDescent="0.15">
      <c r="A46">
        <v>45</v>
      </c>
      <c r="B46" t="s">
        <v>217</v>
      </c>
      <c r="C46">
        <v>0.36945193730899872</v>
      </c>
      <c r="D46">
        <v>0.44358421605298226</v>
      </c>
      <c r="E46">
        <v>1.0365428210941823</v>
      </c>
      <c r="F46">
        <v>0.68665462263024535</v>
      </c>
      <c r="G46">
        <v>0.40126377879182745</v>
      </c>
      <c r="H46">
        <v>0.63329320233998876</v>
      </c>
      <c r="I46">
        <v>0.62760787534293261</v>
      </c>
      <c r="J46">
        <v>0</v>
      </c>
      <c r="K46">
        <v>0.71450657773130288</v>
      </c>
      <c r="L46">
        <v>0</v>
      </c>
      <c r="M46">
        <v>0</v>
      </c>
      <c r="N46">
        <v>0.38766672996640467</v>
      </c>
      <c r="O46">
        <v>0.81028708978026043</v>
      </c>
      <c r="P46">
        <v>1.0861596447079296</v>
      </c>
      <c r="Q46">
        <v>0</v>
      </c>
      <c r="R46">
        <v>0</v>
      </c>
      <c r="S46">
        <v>0</v>
      </c>
    </row>
    <row r="47" spans="1:19" x14ac:dyDescent="0.15">
      <c r="A47">
        <v>46</v>
      </c>
      <c r="B47" t="s">
        <v>218</v>
      </c>
      <c r="C47">
        <v>1.0357785973870484</v>
      </c>
      <c r="D47">
        <v>0.99165413541203917</v>
      </c>
      <c r="E47">
        <v>1.1626863467785558</v>
      </c>
      <c r="F47">
        <v>0</v>
      </c>
      <c r="G47">
        <v>0.7369466296094801</v>
      </c>
      <c r="H47">
        <v>0.7910765101569287</v>
      </c>
      <c r="I47">
        <v>1.3316524678483139</v>
      </c>
      <c r="J47">
        <v>0</v>
      </c>
      <c r="K47">
        <v>0.79552538525659988</v>
      </c>
      <c r="L47">
        <v>0</v>
      </c>
      <c r="M47">
        <v>0</v>
      </c>
      <c r="N47">
        <v>1.0530537505797328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15">
      <c r="A48">
        <v>47</v>
      </c>
      <c r="B48" t="s">
        <v>219</v>
      </c>
      <c r="C48">
        <v>0.23016004122200315</v>
      </c>
      <c r="D48">
        <v>0.34453659220555416</v>
      </c>
      <c r="E48">
        <v>1.0429598849500015</v>
      </c>
      <c r="F48">
        <v>0</v>
      </c>
      <c r="G48">
        <v>0.33600315549917181</v>
      </c>
      <c r="H48">
        <v>0.63537003980484497</v>
      </c>
      <c r="I48">
        <v>0.54733245759569393</v>
      </c>
      <c r="J48">
        <v>0</v>
      </c>
      <c r="K48">
        <v>0.92926886992452784</v>
      </c>
      <c r="L48">
        <v>0</v>
      </c>
      <c r="M48">
        <v>0</v>
      </c>
      <c r="N48">
        <v>0.21736945782402969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15">
      <c r="A49">
        <v>48</v>
      </c>
      <c r="B49" t="s">
        <v>220</v>
      </c>
      <c r="C49">
        <v>1.196152061141476</v>
      </c>
      <c r="D49">
        <v>1.1304744568076524</v>
      </c>
      <c r="E49">
        <v>1.1548981470365238</v>
      </c>
      <c r="F49">
        <v>0</v>
      </c>
      <c r="G49">
        <v>0.81673970805243146</v>
      </c>
      <c r="H49">
        <v>0.56207066344999423</v>
      </c>
      <c r="I49">
        <v>0.62515006316265831</v>
      </c>
      <c r="J49">
        <v>0</v>
      </c>
      <c r="K49">
        <v>1.2247521306360687</v>
      </c>
      <c r="L49">
        <v>0</v>
      </c>
      <c r="M49">
        <v>0</v>
      </c>
      <c r="N49">
        <v>1.2159905157895912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15">
      <c r="A50">
        <v>49</v>
      </c>
      <c r="B50" t="s">
        <v>221</v>
      </c>
      <c r="C50">
        <v>0.31639066419100442</v>
      </c>
      <c r="D50">
        <v>0.40303180843605119</v>
      </c>
      <c r="E50">
        <v>1.0615850826216304</v>
      </c>
      <c r="F50">
        <v>0</v>
      </c>
      <c r="G50">
        <v>0.37269132982223879</v>
      </c>
      <c r="H50">
        <v>0.63982447067691528</v>
      </c>
      <c r="I50">
        <v>0</v>
      </c>
      <c r="J50">
        <v>0</v>
      </c>
      <c r="K50">
        <v>0.8911560082249752</v>
      </c>
      <c r="L50">
        <v>0</v>
      </c>
      <c r="M50">
        <v>0</v>
      </c>
      <c r="N50">
        <v>0.3245186656119422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15">
      <c r="A51">
        <v>50</v>
      </c>
      <c r="B51" t="s">
        <v>222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</row>
    <row r="52" spans="1:19" x14ac:dyDescent="0.15">
      <c r="A52">
        <v>51</v>
      </c>
      <c r="B52" t="s">
        <v>223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15">
      <c r="A53">
        <v>52</v>
      </c>
      <c r="B53" t="s">
        <v>224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15">
      <c r="A54">
        <v>53</v>
      </c>
      <c r="B54" t="s">
        <v>225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</row>
    <row r="55" spans="1:19" x14ac:dyDescent="0.15">
      <c r="A55">
        <v>54</v>
      </c>
      <c r="B55" t="s">
        <v>226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0.33784741465658114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15">
      <c r="A56">
        <v>55</v>
      </c>
      <c r="B56" t="s">
        <v>227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15">
      <c r="A57">
        <v>56</v>
      </c>
      <c r="B57" t="s">
        <v>228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15">
      <c r="A58">
        <v>57</v>
      </c>
      <c r="B58" t="s">
        <v>229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15">
      <c r="A59">
        <v>58</v>
      </c>
      <c r="B59" t="s">
        <v>230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15">
      <c r="A60">
        <v>59</v>
      </c>
      <c r="B60" t="s">
        <v>231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15">
      <c r="A61">
        <v>60</v>
      </c>
      <c r="B61" t="s">
        <v>232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15">
      <c r="A62">
        <v>61</v>
      </c>
      <c r="B62" t="s">
        <v>233</v>
      </c>
      <c r="C62">
        <v>0.57855007344963338</v>
      </c>
      <c r="D62">
        <v>0.61497667929268429</v>
      </c>
      <c r="E62">
        <v>1.027872623306044</v>
      </c>
      <c r="F62">
        <v>0.76885121411012314</v>
      </c>
      <c r="G62">
        <v>0.56301285649092836</v>
      </c>
      <c r="H62">
        <v>0.62757354790564734</v>
      </c>
      <c r="I62">
        <v>0.61807603723445548</v>
      </c>
      <c r="J62">
        <v>0</v>
      </c>
      <c r="K62">
        <v>0</v>
      </c>
      <c r="L62">
        <v>0</v>
      </c>
      <c r="M62">
        <v>0</v>
      </c>
      <c r="N62">
        <v>0.6297897068986108</v>
      </c>
      <c r="O62">
        <v>0.88012354525090175</v>
      </c>
      <c r="P62">
        <v>1.1697754954973558</v>
      </c>
      <c r="Q62">
        <v>0</v>
      </c>
      <c r="R62">
        <v>0</v>
      </c>
      <c r="S62">
        <v>0</v>
      </c>
    </row>
    <row r="63" spans="1:19" x14ac:dyDescent="0.15">
      <c r="A63">
        <v>62</v>
      </c>
      <c r="B63" t="s">
        <v>234</v>
      </c>
      <c r="C63">
        <v>0.42128501702912974</v>
      </c>
      <c r="D63">
        <v>0.48757726513961164</v>
      </c>
      <c r="E63">
        <v>1.0532162899478823</v>
      </c>
      <c r="F63">
        <v>0</v>
      </c>
      <c r="G63">
        <v>0.43394931135622378</v>
      </c>
      <c r="H63">
        <v>0.62168047827278339</v>
      </c>
      <c r="I63">
        <v>0</v>
      </c>
      <c r="J63">
        <v>0</v>
      </c>
      <c r="K63">
        <v>0</v>
      </c>
      <c r="L63">
        <v>0</v>
      </c>
      <c r="M63">
        <v>0</v>
      </c>
      <c r="N63">
        <v>0.44925811059583987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15">
      <c r="A64">
        <v>63</v>
      </c>
      <c r="B64" t="s">
        <v>235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</row>
    <row r="65" spans="1:19" x14ac:dyDescent="0.15">
      <c r="A65">
        <v>64</v>
      </c>
      <c r="B65" t="s">
        <v>236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15">
      <c r="A66">
        <v>65</v>
      </c>
      <c r="B66" t="s">
        <v>237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15">
      <c r="A67">
        <v>66</v>
      </c>
      <c r="B67" t="s">
        <v>238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15">
      <c r="A68">
        <v>67</v>
      </c>
      <c r="B68" t="s">
        <v>239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15">
      <c r="A69">
        <v>68</v>
      </c>
      <c r="B69" t="s">
        <v>240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</row>
    <row r="70" spans="1:19" x14ac:dyDescent="0.15">
      <c r="A70">
        <v>69</v>
      </c>
      <c r="B70" t="s">
        <v>241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15">
      <c r="A71">
        <v>70</v>
      </c>
      <c r="B71" t="s">
        <v>242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15">
      <c r="A72">
        <v>71</v>
      </c>
      <c r="B72" t="s">
        <v>243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15">
      <c r="A73">
        <v>72</v>
      </c>
      <c r="B73" t="s">
        <v>244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15">
      <c r="A74">
        <v>73</v>
      </c>
      <c r="B74" t="s">
        <v>245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</row>
    <row r="75" spans="1:19" x14ac:dyDescent="0.15">
      <c r="A75">
        <v>74</v>
      </c>
      <c r="B75" t="s">
        <v>246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15">
      <c r="A76">
        <v>75</v>
      </c>
      <c r="B76" t="s">
        <v>247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15">
      <c r="A77">
        <v>76</v>
      </c>
      <c r="B77" t="s">
        <v>248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15">
      <c r="A78">
        <v>77</v>
      </c>
      <c r="B78" t="s">
        <v>249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15">
      <c r="A79">
        <v>78</v>
      </c>
      <c r="B79" t="s">
        <v>250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</row>
    <row r="80" spans="1:19" x14ac:dyDescent="0.15">
      <c r="A80">
        <v>79</v>
      </c>
      <c r="B80" t="s">
        <v>251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15">
      <c r="A81">
        <v>80</v>
      </c>
      <c r="B81" t="s">
        <v>252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</row>
    <row r="82" spans="1:19" x14ac:dyDescent="0.15">
      <c r="A82">
        <v>81</v>
      </c>
      <c r="B82" t="s">
        <v>253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15">
      <c r="A83">
        <v>82</v>
      </c>
      <c r="B83" t="s">
        <v>254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15">
      <c r="A84">
        <v>83</v>
      </c>
      <c r="B84" t="s">
        <v>255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M500"/>
  <sheetViews>
    <sheetView tabSelected="1" zoomScale="125" zoomScaleNormal="125" zoomScalePageLayoutView="125" workbookViewId="0">
      <pane xSplit="2" ySplit="1" topLeftCell="C88" activePane="bottomRight" state="frozen"/>
      <selection pane="topRight" activeCell="C1" sqref="C1"/>
      <selection pane="bottomLeft" activeCell="A3" sqref="A3"/>
      <selection pane="bottomRight" activeCell="D84" sqref="B84:D84"/>
    </sheetView>
  </sheetViews>
  <sheetFormatPr baseColWidth="10" defaultColWidth="8.83203125" defaultRowHeight="15" customHeight="1" x14ac:dyDescent="0.15"/>
  <cols>
    <col min="1" max="1" width="8.83203125" style="69"/>
    <col min="2" max="2" width="41.83203125" style="66" bestFit="1" customWidth="1"/>
    <col min="3" max="3" width="9.33203125" style="69" bestFit="1" customWidth="1"/>
    <col min="4" max="4" width="13" style="69" bestFit="1" customWidth="1"/>
    <col min="5" max="6" width="9.33203125" style="69" bestFit="1" customWidth="1"/>
    <col min="7" max="7" width="9.33203125" style="90" bestFit="1" customWidth="1"/>
    <col min="8" max="8" width="9.33203125" style="69" bestFit="1" customWidth="1"/>
    <col min="9" max="9" width="11" style="69" customWidth="1"/>
    <col min="10" max="16384" width="8.83203125" style="69"/>
  </cols>
  <sheetData>
    <row r="1" spans="1:13" ht="15" customHeight="1" x14ac:dyDescent="0.15">
      <c r="A1" s="4" t="s">
        <v>26</v>
      </c>
      <c r="B1" s="50" t="s">
        <v>0</v>
      </c>
      <c r="C1" s="1" t="s">
        <v>14</v>
      </c>
      <c r="D1" s="1" t="s">
        <v>15</v>
      </c>
      <c r="E1" s="1" t="s">
        <v>1</v>
      </c>
      <c r="F1" s="1" t="s">
        <v>2</v>
      </c>
      <c r="G1" s="89" t="s">
        <v>16</v>
      </c>
      <c r="H1" s="1" t="s">
        <v>27</v>
      </c>
      <c r="I1" s="1" t="s">
        <v>25</v>
      </c>
      <c r="K1" s="1"/>
    </row>
    <row r="2" spans="1:13" ht="15" customHeight="1" x14ac:dyDescent="0.15">
      <c r="A2" s="281">
        <v>1</v>
      </c>
      <c r="B2" s="281" t="s">
        <v>176</v>
      </c>
      <c r="C2" s="8">
        <v>1</v>
      </c>
      <c r="D2" s="9">
        <v>34.937686920166016</v>
      </c>
      <c r="E2" s="9">
        <v>215</v>
      </c>
      <c r="F2" s="10"/>
      <c r="G2" s="7">
        <v>0.84362977743148804</v>
      </c>
      <c r="H2" s="10"/>
      <c r="I2">
        <v>0</v>
      </c>
      <c r="J2"/>
      <c r="K2"/>
      <c r="L2"/>
      <c r="M2"/>
    </row>
    <row r="3" spans="1:13" ht="15" customHeight="1" x14ac:dyDescent="0.15">
      <c r="A3" s="282">
        <v>2</v>
      </c>
      <c r="B3" s="282" t="s">
        <v>177</v>
      </c>
      <c r="C3" s="8">
        <v>1</v>
      </c>
      <c r="D3" s="9">
        <v>4.7573361396789551</v>
      </c>
      <c r="E3" s="9">
        <v>215</v>
      </c>
      <c r="F3" s="10"/>
      <c r="G3" s="7">
        <v>0.8405916690826416</v>
      </c>
      <c r="H3" s="10"/>
      <c r="I3">
        <v>0</v>
      </c>
      <c r="J3"/>
      <c r="K3"/>
      <c r="L3"/>
      <c r="M3"/>
    </row>
    <row r="4" spans="1:13" ht="15" customHeight="1" x14ac:dyDescent="0.15">
      <c r="A4" s="283">
        <v>3</v>
      </c>
      <c r="B4" s="283" t="s">
        <v>178</v>
      </c>
      <c r="C4" s="8">
        <v>1.9999998807907104</v>
      </c>
      <c r="D4" s="7">
        <v>13.311502456665039</v>
      </c>
      <c r="E4" s="9">
        <v>150</v>
      </c>
      <c r="F4" s="7">
        <v>428.57144165039062</v>
      </c>
      <c r="G4" s="9">
        <v>0.90000015497207642</v>
      </c>
      <c r="H4" s="9">
        <v>0.34999999403953552</v>
      </c>
      <c r="I4">
        <v>0</v>
      </c>
      <c r="J4"/>
      <c r="K4"/>
      <c r="L4"/>
      <c r="M4"/>
    </row>
    <row r="5" spans="1:13" ht="15" customHeight="1" x14ac:dyDescent="0.15">
      <c r="A5" s="284">
        <v>4</v>
      </c>
      <c r="B5" s="284" t="s">
        <v>179</v>
      </c>
      <c r="C5" s="8">
        <v>2.5999999046325684</v>
      </c>
      <c r="D5" s="9">
        <v>2.8335573673248291</v>
      </c>
      <c r="E5" s="9">
        <v>15</v>
      </c>
      <c r="F5" s="7">
        <v>60</v>
      </c>
      <c r="G5" s="7">
        <v>0.82229304313659668</v>
      </c>
      <c r="H5" s="9">
        <v>0.25</v>
      </c>
      <c r="I5">
        <v>0</v>
      </c>
      <c r="J5"/>
      <c r="K5"/>
      <c r="L5"/>
      <c r="M5"/>
    </row>
    <row r="6" spans="1:13" ht="15" customHeight="1" x14ac:dyDescent="0.15">
      <c r="A6" s="285">
        <v>5</v>
      </c>
      <c r="B6" s="285" t="s">
        <v>180</v>
      </c>
      <c r="C6" s="8">
        <v>2.5999999046325684</v>
      </c>
      <c r="D6" s="9">
        <v>8.325469970703125</v>
      </c>
      <c r="E6" s="9">
        <v>37</v>
      </c>
      <c r="F6" s="7">
        <v>148</v>
      </c>
      <c r="G6" s="7">
        <v>0.87010616064071655</v>
      </c>
      <c r="H6" s="9">
        <v>0.25</v>
      </c>
      <c r="I6">
        <v>0</v>
      </c>
      <c r="J6"/>
      <c r="K6"/>
      <c r="L6"/>
      <c r="M6"/>
    </row>
    <row r="7" spans="1:13" ht="15" customHeight="1" x14ac:dyDescent="0.15">
      <c r="A7" s="286">
        <v>6</v>
      </c>
      <c r="B7" s="286" t="s">
        <v>181</v>
      </c>
      <c r="C7" s="8">
        <v>2.4000000953674316</v>
      </c>
      <c r="D7" s="9">
        <v>8.1779708862304688</v>
      </c>
      <c r="E7" s="9">
        <v>37</v>
      </c>
      <c r="F7" s="7">
        <v>148</v>
      </c>
      <c r="G7" s="7">
        <v>0.68110841512680054</v>
      </c>
      <c r="H7" s="9">
        <v>0.25</v>
      </c>
      <c r="I7">
        <v>0</v>
      </c>
      <c r="J7"/>
      <c r="K7"/>
      <c r="L7"/>
      <c r="M7"/>
    </row>
    <row r="8" spans="1:13" ht="15" customHeight="1" x14ac:dyDescent="0.15">
      <c r="A8" s="287">
        <v>7</v>
      </c>
      <c r="B8" s="287" t="s">
        <v>182</v>
      </c>
      <c r="C8" s="8">
        <v>2.5117623805999756</v>
      </c>
      <c r="D8" s="9">
        <v>2.9289515018463135</v>
      </c>
      <c r="E8" s="9">
        <v>15</v>
      </c>
      <c r="F8" s="7">
        <v>49.999996185302734</v>
      </c>
      <c r="G8" s="7">
        <v>0.61226248741149902</v>
      </c>
      <c r="H8" s="9">
        <v>0.30000001192092896</v>
      </c>
      <c r="I8">
        <v>0</v>
      </c>
      <c r="J8"/>
      <c r="K8"/>
      <c r="L8"/>
      <c r="M8"/>
    </row>
    <row r="9" spans="1:13" ht="15" customHeight="1" x14ac:dyDescent="0.15">
      <c r="A9" s="288">
        <v>8</v>
      </c>
      <c r="B9" s="288" t="s">
        <v>183</v>
      </c>
      <c r="C9" s="8">
        <v>2.5752968788146973</v>
      </c>
      <c r="D9" s="7">
        <v>2.1709363460540771</v>
      </c>
      <c r="E9" s="9">
        <v>14</v>
      </c>
      <c r="F9" s="7">
        <v>56</v>
      </c>
      <c r="G9" s="9">
        <v>0.85000008344650269</v>
      </c>
      <c r="H9" s="9">
        <v>0.25</v>
      </c>
      <c r="I9">
        <v>0</v>
      </c>
      <c r="J9"/>
      <c r="K9"/>
      <c r="L9"/>
      <c r="M9"/>
    </row>
    <row r="10" spans="1:13" ht="15" customHeight="1" x14ac:dyDescent="0.15">
      <c r="A10" s="289">
        <v>9</v>
      </c>
      <c r="B10" s="289" t="s">
        <v>184</v>
      </c>
      <c r="C10" s="8">
        <v>3.1398272514343262</v>
      </c>
      <c r="D10" s="7">
        <v>7.471776008605957</v>
      </c>
      <c r="E10" s="9">
        <v>3</v>
      </c>
      <c r="F10" s="7">
        <v>12</v>
      </c>
      <c r="G10" s="9">
        <v>0.84999996423721313</v>
      </c>
      <c r="H10" s="9">
        <v>0.25</v>
      </c>
      <c r="I10">
        <v>0</v>
      </c>
      <c r="J10"/>
      <c r="K10"/>
      <c r="L10"/>
      <c r="M10"/>
    </row>
    <row r="11" spans="1:13" ht="15" customHeight="1" x14ac:dyDescent="0.15">
      <c r="A11" s="290">
        <v>10</v>
      </c>
      <c r="B11" s="290" t="s">
        <v>185</v>
      </c>
      <c r="C11" s="8">
        <v>2.88266921043396</v>
      </c>
      <c r="D11" s="9">
        <v>6.128136157989502</v>
      </c>
      <c r="E11" s="9">
        <v>10</v>
      </c>
      <c r="F11" s="7">
        <v>40</v>
      </c>
      <c r="G11" s="7">
        <v>0.76125192642211914</v>
      </c>
      <c r="H11" s="9">
        <v>0.25</v>
      </c>
      <c r="I11">
        <v>0</v>
      </c>
      <c r="J11"/>
      <c r="K11"/>
      <c r="L11"/>
      <c r="M11"/>
    </row>
    <row r="12" spans="1:13" ht="15" customHeight="1" x14ac:dyDescent="0.15">
      <c r="A12" s="291">
        <v>11</v>
      </c>
      <c r="B12" s="291" t="s">
        <v>186</v>
      </c>
      <c r="C12" s="8">
        <v>2.3724567890167236</v>
      </c>
      <c r="D12" s="9">
        <v>2.8181009292602539</v>
      </c>
      <c r="E12" s="9">
        <v>45</v>
      </c>
      <c r="F12" s="7">
        <v>150</v>
      </c>
      <c r="G12" s="7">
        <v>0.50885391235351562</v>
      </c>
      <c r="H12" s="9">
        <v>0.30000001192092896</v>
      </c>
      <c r="I12">
        <v>0</v>
      </c>
      <c r="J12"/>
      <c r="K12"/>
      <c r="L12"/>
      <c r="M12"/>
    </row>
    <row r="13" spans="1:13" ht="15" customHeight="1" x14ac:dyDescent="0.15">
      <c r="A13" s="292">
        <v>12</v>
      </c>
      <c r="B13" s="292" t="s">
        <v>187</v>
      </c>
      <c r="C13" s="8">
        <v>3.3398873805999756</v>
      </c>
      <c r="D13" s="9">
        <v>1.909636378288269</v>
      </c>
      <c r="E13" s="9">
        <v>20</v>
      </c>
      <c r="F13" s="7">
        <v>66.666664123535156</v>
      </c>
      <c r="G13" s="7">
        <v>0.50921875238418579</v>
      </c>
      <c r="H13" s="9">
        <v>0.30000001192092896</v>
      </c>
      <c r="I13">
        <v>0</v>
      </c>
      <c r="J13"/>
      <c r="K13"/>
      <c r="L13"/>
      <c r="M13"/>
    </row>
    <row r="14" spans="1:13" ht="15" customHeight="1" x14ac:dyDescent="0.15">
      <c r="A14" s="293">
        <v>13</v>
      </c>
      <c r="B14" s="293" t="s">
        <v>188</v>
      </c>
      <c r="C14" s="8">
        <v>3.213578462600708</v>
      </c>
      <c r="D14" s="9">
        <v>3.7481212615966797</v>
      </c>
      <c r="E14" s="9">
        <v>15</v>
      </c>
      <c r="F14" s="7">
        <v>60</v>
      </c>
      <c r="G14" s="7">
        <v>2.1217722445726395E-2</v>
      </c>
      <c r="H14" s="9">
        <v>0.25</v>
      </c>
      <c r="I14">
        <v>0</v>
      </c>
      <c r="J14"/>
      <c r="K14"/>
      <c r="L14"/>
      <c r="M14"/>
    </row>
    <row r="15" spans="1:13" ht="15" customHeight="1" x14ac:dyDescent="0.15">
      <c r="A15" s="294">
        <v>14</v>
      </c>
      <c r="B15" s="294" t="s">
        <v>189</v>
      </c>
      <c r="C15" s="8">
        <v>2.3979775905609131</v>
      </c>
      <c r="D15" s="9">
        <v>25</v>
      </c>
      <c r="E15" s="9">
        <v>6</v>
      </c>
      <c r="F15" s="7">
        <v>24</v>
      </c>
      <c r="G15" s="7">
        <v>0.92953014373779297</v>
      </c>
      <c r="H15" s="9">
        <v>0.25</v>
      </c>
      <c r="I15">
        <v>0</v>
      </c>
      <c r="J15"/>
      <c r="K15"/>
      <c r="L15"/>
      <c r="M15"/>
    </row>
    <row r="16" spans="1:13" ht="15" customHeight="1" x14ac:dyDescent="0.15">
      <c r="A16" s="295">
        <v>15</v>
      </c>
      <c r="B16" s="295" t="s">
        <v>190</v>
      </c>
      <c r="C16" s="8">
        <v>2.397977352142334</v>
      </c>
      <c r="D16" s="9">
        <v>10</v>
      </c>
      <c r="E16" s="9">
        <v>7</v>
      </c>
      <c r="F16" s="7">
        <v>28</v>
      </c>
      <c r="G16" s="7">
        <v>0.89416557550430298</v>
      </c>
      <c r="H16" s="9">
        <v>0.25</v>
      </c>
      <c r="I16">
        <v>0</v>
      </c>
      <c r="J16"/>
      <c r="K16"/>
      <c r="L16"/>
      <c r="M16"/>
    </row>
    <row r="17" spans="1:13" ht="15" customHeight="1" x14ac:dyDescent="0.15">
      <c r="A17" s="296">
        <v>16</v>
      </c>
      <c r="B17" s="296" t="s">
        <v>191</v>
      </c>
      <c r="C17" s="8">
        <v>3.6134350299835205</v>
      </c>
      <c r="D17" s="7">
        <v>2.1105320453643799</v>
      </c>
      <c r="E17" s="9">
        <v>3</v>
      </c>
      <c r="F17" s="7">
        <v>12</v>
      </c>
      <c r="G17" s="9">
        <v>0.85000002384185791</v>
      </c>
      <c r="H17" s="9">
        <v>0.25</v>
      </c>
      <c r="I17">
        <v>2.365384716540575E-3</v>
      </c>
      <c r="J17"/>
      <c r="K17"/>
      <c r="L17"/>
      <c r="M17"/>
    </row>
    <row r="18" spans="1:13" ht="15" customHeight="1" x14ac:dyDescent="0.15">
      <c r="A18" s="297">
        <v>17</v>
      </c>
      <c r="B18" s="297" t="s">
        <v>192</v>
      </c>
      <c r="C18" s="8">
        <v>4.3852577209472656</v>
      </c>
      <c r="D18" s="9">
        <v>4.999999888241291E-3</v>
      </c>
      <c r="E18" s="9">
        <v>2.75</v>
      </c>
      <c r="F18" s="7">
        <v>11</v>
      </c>
      <c r="G18" s="7">
        <v>0.78492540121078491</v>
      </c>
      <c r="H18" s="9">
        <v>0.25</v>
      </c>
      <c r="I18">
        <v>0</v>
      </c>
      <c r="J18"/>
      <c r="K18"/>
      <c r="L18"/>
      <c r="M18"/>
    </row>
    <row r="19" spans="1:13" ht="15" customHeight="1" x14ac:dyDescent="0.15">
      <c r="A19" s="298">
        <v>18</v>
      </c>
      <c r="B19" s="298" t="s">
        <v>193</v>
      </c>
      <c r="C19" s="8">
        <v>3.6195180416107178</v>
      </c>
      <c r="D19" s="9">
        <v>1.8458199501037598</v>
      </c>
      <c r="E19" s="9">
        <v>1.7999999523162842</v>
      </c>
      <c r="F19" s="7">
        <v>7.1999998092651367</v>
      </c>
      <c r="G19" s="7">
        <v>0.9084545373916626</v>
      </c>
      <c r="H19" s="9">
        <v>0.25</v>
      </c>
      <c r="I19">
        <v>1.9438443705439568E-3</v>
      </c>
      <c r="J19"/>
      <c r="K19"/>
      <c r="L19"/>
      <c r="M19"/>
    </row>
    <row r="20" spans="1:13" ht="15" customHeight="1" x14ac:dyDescent="0.15">
      <c r="A20" s="299">
        <v>19</v>
      </c>
      <c r="B20" s="299" t="s">
        <v>194</v>
      </c>
      <c r="C20" s="8">
        <v>3.4562287330627441</v>
      </c>
      <c r="D20" s="9">
        <v>0.10212600231170654</v>
      </c>
      <c r="E20" s="9">
        <v>1.1333333253860474</v>
      </c>
      <c r="F20" s="7">
        <v>4.5333333015441895</v>
      </c>
      <c r="G20" s="7">
        <v>0.85432660579681396</v>
      </c>
      <c r="H20" s="9">
        <v>0.25</v>
      </c>
      <c r="I20">
        <v>1.3399597955867648E-3</v>
      </c>
      <c r="J20"/>
      <c r="K20"/>
      <c r="L20"/>
      <c r="M20"/>
    </row>
    <row r="21" spans="1:13" ht="15" customHeight="1" x14ac:dyDescent="0.15">
      <c r="A21" s="300">
        <v>20</v>
      </c>
      <c r="B21" s="300" t="s">
        <v>195</v>
      </c>
      <c r="C21" s="8">
        <v>2.9818825721740723</v>
      </c>
      <c r="D21" s="9">
        <v>15.20289134979248</v>
      </c>
      <c r="E21" s="9">
        <v>1.1333333253860474</v>
      </c>
      <c r="F21" s="7">
        <v>4.5333333015441895</v>
      </c>
      <c r="G21" s="7">
        <v>0.87722682952880859</v>
      </c>
      <c r="H21" s="9">
        <v>0.25</v>
      </c>
      <c r="I21">
        <v>0.59404093027114868</v>
      </c>
      <c r="J21"/>
      <c r="K21"/>
      <c r="L21"/>
      <c r="M21"/>
    </row>
    <row r="22" spans="1:13" ht="15" customHeight="1" x14ac:dyDescent="0.15">
      <c r="A22" s="301">
        <v>21</v>
      </c>
      <c r="B22" s="301" t="s">
        <v>196</v>
      </c>
      <c r="C22" s="8">
        <v>3.0043120384216309</v>
      </c>
      <c r="D22" s="9">
        <v>2.6130220890045166</v>
      </c>
      <c r="E22" s="9">
        <v>1.7999999523162842</v>
      </c>
      <c r="F22" s="7">
        <v>7.1999998092651367</v>
      </c>
      <c r="G22" s="7">
        <v>0.90972733497619629</v>
      </c>
      <c r="H22" s="9">
        <v>0.25</v>
      </c>
      <c r="I22">
        <v>8.7369168177247047E-3</v>
      </c>
      <c r="J22"/>
      <c r="K22"/>
      <c r="L22"/>
      <c r="M22"/>
    </row>
    <row r="23" spans="1:13" ht="15" customHeight="1" x14ac:dyDescent="0.15">
      <c r="A23" s="302">
        <v>22</v>
      </c>
      <c r="B23" s="302" t="s">
        <v>197</v>
      </c>
      <c r="C23" s="8">
        <v>3.300459623336792</v>
      </c>
      <c r="D23" s="9">
        <v>4.338716983795166</v>
      </c>
      <c r="E23" s="9">
        <v>1.7999999523162842</v>
      </c>
      <c r="F23" s="7">
        <v>7.1999998092651367</v>
      </c>
      <c r="G23" s="7">
        <v>0.9087369441986084</v>
      </c>
      <c r="H23" s="9">
        <v>0.25</v>
      </c>
      <c r="I23">
        <v>6.7746001295745373E-3</v>
      </c>
      <c r="J23"/>
      <c r="K23"/>
      <c r="L23"/>
      <c r="M23"/>
    </row>
    <row r="24" spans="1:13" ht="15" customHeight="1" x14ac:dyDescent="0.15">
      <c r="A24" s="303">
        <v>23</v>
      </c>
      <c r="B24" s="303" t="s">
        <v>198</v>
      </c>
      <c r="C24" s="8">
        <v>3.7536659240722656</v>
      </c>
      <c r="D24" s="9">
        <v>3.2485999166965485E-2</v>
      </c>
      <c r="E24" s="9">
        <v>1.1333333253860474</v>
      </c>
      <c r="F24" s="7">
        <v>4.5333333015441895</v>
      </c>
      <c r="G24" s="7">
        <v>0.84274959564208984</v>
      </c>
      <c r="H24" s="9">
        <v>0.25</v>
      </c>
      <c r="I24">
        <v>0</v>
      </c>
      <c r="J24"/>
      <c r="K24"/>
      <c r="L24"/>
      <c r="M24"/>
    </row>
    <row r="25" spans="1:13" ht="15" customHeight="1" x14ac:dyDescent="0.15">
      <c r="A25" s="304">
        <v>24</v>
      </c>
      <c r="B25" s="304" t="s">
        <v>273</v>
      </c>
      <c r="C25" s="8">
        <v>4.3719120025634766</v>
      </c>
      <c r="D25" s="9">
        <v>5.9714999049901962E-2</v>
      </c>
      <c r="E25" s="9">
        <v>1.7999999523162842</v>
      </c>
      <c r="F25" s="7">
        <v>7.1999998092651367</v>
      </c>
      <c r="G25" s="7">
        <v>0.90786957740783691</v>
      </c>
      <c r="H25" s="9">
        <v>0.25</v>
      </c>
      <c r="I25">
        <v>0</v>
      </c>
      <c r="J25"/>
      <c r="K25"/>
      <c r="L25"/>
      <c r="M25"/>
    </row>
    <row r="26" spans="1:13" ht="15" customHeight="1" x14ac:dyDescent="0.15">
      <c r="A26" s="305">
        <v>25</v>
      </c>
      <c r="B26" s="305" t="s">
        <v>398</v>
      </c>
      <c r="C26" s="8">
        <v>4.1532163619995117</v>
      </c>
      <c r="D26" s="9">
        <v>3.5101000219583511E-2</v>
      </c>
      <c r="E26" s="9">
        <v>1.7999999523162842</v>
      </c>
      <c r="F26" s="7">
        <v>7.1999998092651367</v>
      </c>
      <c r="G26" s="7">
        <v>0.90786969661712646</v>
      </c>
      <c r="H26" s="9">
        <v>0.25</v>
      </c>
      <c r="I26">
        <v>0</v>
      </c>
      <c r="J26"/>
      <c r="K26"/>
      <c r="L26"/>
      <c r="M26"/>
    </row>
    <row r="27" spans="1:13" ht="15" customHeight="1" x14ac:dyDescent="0.15">
      <c r="A27" s="306">
        <v>26</v>
      </c>
      <c r="B27" s="306" t="s">
        <v>399</v>
      </c>
      <c r="C27" s="8">
        <v>4.3926143646240234</v>
      </c>
      <c r="D27" s="9">
        <v>8.0462999641895294E-2</v>
      </c>
      <c r="E27" s="9">
        <v>1.1333333253860474</v>
      </c>
      <c r="F27" s="7">
        <v>4.5333333015441895</v>
      </c>
      <c r="G27" s="7">
        <v>0.84274953603744507</v>
      </c>
      <c r="H27" s="9">
        <v>0.25</v>
      </c>
      <c r="I27">
        <v>0</v>
      </c>
      <c r="J27"/>
      <c r="K27"/>
      <c r="L27"/>
      <c r="M27"/>
    </row>
    <row r="28" spans="1:13" ht="15" customHeight="1" x14ac:dyDescent="0.15">
      <c r="A28" s="307">
        <v>27</v>
      </c>
      <c r="B28" s="307" t="s">
        <v>199</v>
      </c>
      <c r="C28" s="8">
        <v>3.5112259387969971</v>
      </c>
      <c r="D28" s="9">
        <v>1.1345000006258488E-2</v>
      </c>
      <c r="E28" s="9">
        <v>1.7999999523162842</v>
      </c>
      <c r="F28" s="7">
        <v>7.1999998092651367</v>
      </c>
      <c r="G28" s="7">
        <v>0.90786957740783691</v>
      </c>
      <c r="H28" s="9">
        <v>0.25</v>
      </c>
      <c r="I28">
        <v>0</v>
      </c>
      <c r="J28"/>
      <c r="K28"/>
      <c r="L28"/>
      <c r="M28"/>
    </row>
    <row r="29" spans="1:13" ht="15" customHeight="1" x14ac:dyDescent="0.15">
      <c r="A29" s="308">
        <v>28</v>
      </c>
      <c r="B29" s="308" t="s">
        <v>200</v>
      </c>
      <c r="C29" s="8">
        <v>3.4539661407470703</v>
      </c>
      <c r="D29" s="9">
        <v>1</v>
      </c>
      <c r="E29" s="9">
        <v>1.75</v>
      </c>
      <c r="F29" s="7">
        <v>7</v>
      </c>
      <c r="G29" s="7">
        <v>0.79388362169265747</v>
      </c>
      <c r="H29" s="9">
        <v>0.25</v>
      </c>
      <c r="I29">
        <v>0</v>
      </c>
      <c r="J29"/>
      <c r="K29"/>
      <c r="L29"/>
      <c r="M29"/>
    </row>
    <row r="30" spans="1:13" ht="15" customHeight="1" x14ac:dyDescent="0.15">
      <c r="A30" s="309">
        <v>29</v>
      </c>
      <c r="B30" s="309" t="s">
        <v>201</v>
      </c>
      <c r="C30" s="8">
        <v>3.7986767292022705</v>
      </c>
      <c r="D30" s="9">
        <v>3.1517050266265869</v>
      </c>
      <c r="E30" s="9">
        <v>0.125</v>
      </c>
      <c r="F30" s="7">
        <v>1.25</v>
      </c>
      <c r="G30" s="7">
        <v>0.90829426050186157</v>
      </c>
      <c r="H30" s="9">
        <v>0.10000000149011612</v>
      </c>
      <c r="I30">
        <v>1.2346773408353329E-2</v>
      </c>
      <c r="J30"/>
      <c r="K30"/>
      <c r="L30"/>
      <c r="M30"/>
    </row>
    <row r="31" spans="1:13" ht="15" customHeight="1" x14ac:dyDescent="0.15">
      <c r="A31" s="310">
        <v>30</v>
      </c>
      <c r="B31" s="310" t="s">
        <v>202</v>
      </c>
      <c r="C31" s="8">
        <v>4.058929443359375</v>
      </c>
      <c r="D31" s="9">
        <v>0.23972299695014954</v>
      </c>
      <c r="E31" s="9">
        <v>1.7999999523162842</v>
      </c>
      <c r="F31" s="7">
        <v>10.588234901428223</v>
      </c>
      <c r="G31" s="7">
        <v>0.89301103353500366</v>
      </c>
      <c r="H31" s="9">
        <v>0.17000000178813934</v>
      </c>
      <c r="I31">
        <v>3.8687035441398621E-2</v>
      </c>
      <c r="J31"/>
      <c r="K31"/>
      <c r="L31"/>
      <c r="M31"/>
    </row>
    <row r="32" spans="1:13" ht="15" customHeight="1" x14ac:dyDescent="0.15">
      <c r="A32" s="311">
        <v>31</v>
      </c>
      <c r="B32" s="311" t="s">
        <v>203</v>
      </c>
      <c r="C32" s="8">
        <v>3.995872974395752</v>
      </c>
      <c r="D32" s="9">
        <v>0.13780200481414795</v>
      </c>
      <c r="E32" s="9">
        <v>0.75</v>
      </c>
      <c r="F32" s="7">
        <v>4.4117646217346191</v>
      </c>
      <c r="G32" s="7">
        <v>0.91832846403121948</v>
      </c>
      <c r="H32" s="9">
        <v>0.17000000178813934</v>
      </c>
      <c r="I32">
        <v>2.0624790340662003E-2</v>
      </c>
      <c r="J32"/>
      <c r="K32"/>
      <c r="L32"/>
      <c r="M32"/>
    </row>
    <row r="33" spans="1:13" ht="15" customHeight="1" x14ac:dyDescent="0.15">
      <c r="A33" s="312">
        <v>32</v>
      </c>
      <c r="B33" s="312" t="s">
        <v>204</v>
      </c>
      <c r="C33" s="8">
        <v>3.9635920524597168</v>
      </c>
      <c r="D33" s="9">
        <v>1.7914000898599625E-2</v>
      </c>
      <c r="E33" s="9">
        <v>1.8999999761581421</v>
      </c>
      <c r="F33" s="7">
        <v>11.176470756530762</v>
      </c>
      <c r="G33" s="7">
        <v>0.92960768938064575</v>
      </c>
      <c r="H33" s="9">
        <v>0.17000000178813934</v>
      </c>
      <c r="I33">
        <v>7.1762432344257832E-3</v>
      </c>
      <c r="J33"/>
      <c r="K33"/>
      <c r="L33"/>
      <c r="M33"/>
    </row>
    <row r="34" spans="1:13" ht="15" customHeight="1" x14ac:dyDescent="0.15">
      <c r="A34" s="313">
        <v>33</v>
      </c>
      <c r="B34" s="313" t="s">
        <v>205</v>
      </c>
      <c r="C34" s="8">
        <v>4.5391526222229004</v>
      </c>
      <c r="D34" s="9">
        <v>3.678266704082489E-2</v>
      </c>
      <c r="E34" s="9">
        <v>0.20000000298023224</v>
      </c>
      <c r="F34" s="7">
        <v>3.3333334922790527</v>
      </c>
      <c r="G34" s="7">
        <v>0.61073976755142212</v>
      </c>
      <c r="H34" s="9">
        <v>5.9999998658895493E-2</v>
      </c>
      <c r="I34">
        <v>1.3976733898743987E-3</v>
      </c>
      <c r="J34"/>
      <c r="K34"/>
      <c r="L34"/>
      <c r="M34"/>
    </row>
    <row r="35" spans="1:13" ht="15" customHeight="1" x14ac:dyDescent="0.15">
      <c r="A35" s="314">
        <v>34</v>
      </c>
      <c r="B35" s="314" t="s">
        <v>206</v>
      </c>
      <c r="C35" s="8">
        <v>3.6811177730560303</v>
      </c>
      <c r="D35" s="9">
        <v>1.3888226747512817</v>
      </c>
      <c r="E35" s="9">
        <v>0.23000000417232513</v>
      </c>
      <c r="F35" s="7">
        <v>2.2999999523162842</v>
      </c>
      <c r="G35" s="7">
        <v>0.6262742280960083</v>
      </c>
      <c r="H35" s="9">
        <v>0.10000000149011612</v>
      </c>
      <c r="I35">
        <v>3.3264551311731339E-3</v>
      </c>
      <c r="J35"/>
      <c r="K35"/>
      <c r="L35"/>
      <c r="M35"/>
    </row>
    <row r="36" spans="1:13" ht="15" customHeight="1" x14ac:dyDescent="0.15">
      <c r="A36" s="315">
        <v>35</v>
      </c>
      <c r="B36" s="315" t="s">
        <v>207</v>
      </c>
      <c r="C36" s="8">
        <v>3.6709635257720947</v>
      </c>
      <c r="D36" s="9">
        <v>0.43564000725746155</v>
      </c>
      <c r="E36" s="9">
        <v>0.75999999046325684</v>
      </c>
      <c r="F36" s="7">
        <v>7.5999999046325684</v>
      </c>
      <c r="G36" s="7">
        <v>0.63704568147659302</v>
      </c>
      <c r="H36" s="9">
        <v>0.10000000149011612</v>
      </c>
      <c r="I36">
        <v>7.1192728355526924E-3</v>
      </c>
      <c r="J36"/>
      <c r="K36"/>
      <c r="L36"/>
      <c r="M36"/>
    </row>
    <row r="37" spans="1:13" ht="15" customHeight="1" x14ac:dyDescent="0.15">
      <c r="A37" s="316">
        <v>36</v>
      </c>
      <c r="B37" s="316" t="s">
        <v>208</v>
      </c>
      <c r="C37" s="8">
        <v>3.8846883773803711</v>
      </c>
      <c r="D37" s="9">
        <v>3.3977744579315186</v>
      </c>
      <c r="E37" s="9">
        <v>0.17190000414848328</v>
      </c>
      <c r="F37" s="7">
        <v>1.718999981880188</v>
      </c>
      <c r="G37" s="7">
        <v>0.94800287485122681</v>
      </c>
      <c r="H37" s="9">
        <v>0.10000000149011612</v>
      </c>
      <c r="I37">
        <v>4.1199881583452225E-2</v>
      </c>
      <c r="J37"/>
      <c r="K37"/>
      <c r="L37"/>
      <c r="M37"/>
    </row>
    <row r="38" spans="1:13" ht="15" customHeight="1" x14ac:dyDescent="0.15">
      <c r="A38" s="317">
        <v>37</v>
      </c>
      <c r="B38" s="317" t="s">
        <v>209</v>
      </c>
      <c r="C38" s="8">
        <v>3.9631407260894775</v>
      </c>
      <c r="D38" s="9">
        <v>2.3299860954284668</v>
      </c>
      <c r="E38" s="9">
        <v>0.20000000298023224</v>
      </c>
      <c r="F38" s="9">
        <v>2.5</v>
      </c>
      <c r="G38" s="7">
        <v>0.64037024974822998</v>
      </c>
      <c r="H38" s="7">
        <v>7.9999998211860657E-2</v>
      </c>
      <c r="I38">
        <v>3.8030587136745453E-2</v>
      </c>
      <c r="J38"/>
      <c r="K38"/>
      <c r="L38"/>
      <c r="M38"/>
    </row>
    <row r="39" spans="1:13" ht="15" customHeight="1" x14ac:dyDescent="0.15">
      <c r="A39" s="318">
        <v>38</v>
      </c>
      <c r="B39" s="318" t="s">
        <v>210</v>
      </c>
      <c r="C39" s="8">
        <v>3.725071907043457</v>
      </c>
      <c r="D39" s="9">
        <v>21.807960510253906</v>
      </c>
      <c r="E39" s="9">
        <v>0.35400000214576721</v>
      </c>
      <c r="F39" s="7">
        <v>3.5399999618530273</v>
      </c>
      <c r="G39" s="7">
        <v>0.9397284984588623</v>
      </c>
      <c r="H39" s="9">
        <v>0.10000000149011612</v>
      </c>
      <c r="I39">
        <v>4.7045135498046875</v>
      </c>
      <c r="J39"/>
      <c r="K39"/>
      <c r="L39"/>
      <c r="M39"/>
    </row>
    <row r="40" spans="1:13" ht="15" customHeight="1" x14ac:dyDescent="0.15">
      <c r="A40" s="319">
        <v>39</v>
      </c>
      <c r="B40" s="319" t="s">
        <v>211</v>
      </c>
      <c r="C40" s="8">
        <v>4.1525459289550781</v>
      </c>
      <c r="D40" s="9">
        <v>0.20000000298023224</v>
      </c>
      <c r="E40" s="9">
        <v>0.30000001192092896</v>
      </c>
      <c r="F40" s="7">
        <v>3</v>
      </c>
      <c r="G40" s="7">
        <v>0.8404228687286377</v>
      </c>
      <c r="H40" s="9">
        <v>0.10000000149011612</v>
      </c>
      <c r="I40">
        <v>4.7195848077535629E-2</v>
      </c>
      <c r="J40"/>
      <c r="K40"/>
      <c r="L40"/>
      <c r="M40"/>
    </row>
    <row r="41" spans="1:13" ht="15" customHeight="1" x14ac:dyDescent="0.15">
      <c r="A41" s="320">
        <v>40</v>
      </c>
      <c r="B41" s="320" t="s">
        <v>212</v>
      </c>
      <c r="C41" s="8">
        <v>4.1088089942932129</v>
      </c>
      <c r="D41" s="9">
        <v>1.3582446575164795</v>
      </c>
      <c r="E41" s="9">
        <v>0.23000000417232513</v>
      </c>
      <c r="F41" s="7">
        <v>2.2999999523162842</v>
      </c>
      <c r="G41" s="7">
        <v>0.83813101053237915</v>
      </c>
      <c r="H41" s="9">
        <v>0.10000000149011612</v>
      </c>
      <c r="I41">
        <v>5.7372342795133591E-2</v>
      </c>
      <c r="J41"/>
      <c r="K41"/>
      <c r="L41"/>
      <c r="M41"/>
    </row>
    <row r="42" spans="1:13" ht="15" customHeight="1" x14ac:dyDescent="0.15">
      <c r="A42" s="321">
        <v>41</v>
      </c>
      <c r="B42" s="321" t="s">
        <v>213</v>
      </c>
      <c r="C42" s="8">
        <v>4.4401679039001465</v>
      </c>
      <c r="D42" s="9">
        <v>0.68783801794052124</v>
      </c>
      <c r="E42" s="9">
        <v>0.30000001192092896</v>
      </c>
      <c r="F42" s="7">
        <v>3</v>
      </c>
      <c r="G42" s="7">
        <v>0.89061164855957031</v>
      </c>
      <c r="H42" s="9">
        <v>0.10000000149011612</v>
      </c>
      <c r="I42">
        <v>9.1733625158667564E-3</v>
      </c>
      <c r="J42"/>
      <c r="K42"/>
      <c r="L42"/>
      <c r="M42"/>
    </row>
    <row r="43" spans="1:13" ht="15" customHeight="1" x14ac:dyDescent="0.15">
      <c r="A43" s="322">
        <v>42</v>
      </c>
      <c r="B43" s="322" t="s">
        <v>214</v>
      </c>
      <c r="C43" s="8">
        <v>4.3096365928649902</v>
      </c>
      <c r="D43" s="9">
        <v>2.8329284191131592</v>
      </c>
      <c r="E43" s="9">
        <v>0.27500000596046448</v>
      </c>
      <c r="F43" s="7">
        <v>1.375</v>
      </c>
      <c r="G43" s="7">
        <v>0.91921383142471313</v>
      </c>
      <c r="H43" s="9">
        <v>0.20000000298023224</v>
      </c>
      <c r="I43">
        <v>0.12412067502737045</v>
      </c>
      <c r="J43"/>
      <c r="K43"/>
      <c r="L43"/>
      <c r="M43"/>
    </row>
    <row r="44" spans="1:13" ht="15" customHeight="1" x14ac:dyDescent="0.15">
      <c r="A44" s="323">
        <v>43</v>
      </c>
      <c r="B44" s="323" t="s">
        <v>215</v>
      </c>
      <c r="C44" s="8">
        <v>3.8908412456512451</v>
      </c>
      <c r="D44" s="9">
        <v>1.0169210433959961</v>
      </c>
      <c r="E44" s="9">
        <v>0.23000000417232513</v>
      </c>
      <c r="F44" s="7">
        <v>2.2999999523162842</v>
      </c>
      <c r="G44" s="7">
        <v>0.72903484106063843</v>
      </c>
      <c r="H44" s="9">
        <v>0.10000000149011612</v>
      </c>
      <c r="I44">
        <v>3.1275689601898193E-2</v>
      </c>
      <c r="J44"/>
      <c r="K44"/>
      <c r="L44"/>
      <c r="M44"/>
    </row>
    <row r="45" spans="1:13" ht="15" customHeight="1" x14ac:dyDescent="0.15">
      <c r="A45" s="324">
        <v>44</v>
      </c>
      <c r="B45" s="324" t="s">
        <v>216</v>
      </c>
      <c r="C45" s="8">
        <v>3.4859492778778076</v>
      </c>
      <c r="D45" s="7">
        <v>11.109232902526855</v>
      </c>
      <c r="E45" s="9">
        <v>0.40000000596046448</v>
      </c>
      <c r="F45" s="7">
        <v>4</v>
      </c>
      <c r="G45" s="9">
        <v>0.85000002384185791</v>
      </c>
      <c r="H45" s="9">
        <v>0.10000000149011612</v>
      </c>
      <c r="I45">
        <v>9.3382103368639946E-3</v>
      </c>
      <c r="J45"/>
      <c r="K45"/>
      <c r="L45"/>
      <c r="M45"/>
    </row>
    <row r="46" spans="1:13" ht="15" customHeight="1" x14ac:dyDescent="0.15">
      <c r="A46" s="325">
        <v>45</v>
      </c>
      <c r="B46" s="325" t="s">
        <v>217</v>
      </c>
      <c r="C46" s="8">
        <v>3.905698299407959</v>
      </c>
      <c r="D46" s="9">
        <v>2.8452968597412109</v>
      </c>
      <c r="E46" s="9">
        <v>7.0000000298023224E-2</v>
      </c>
      <c r="F46" s="7">
        <v>0.69999998807907104</v>
      </c>
      <c r="G46" s="7">
        <v>0.84504806995391846</v>
      </c>
      <c r="H46" s="9">
        <v>0.10000000149011612</v>
      </c>
      <c r="I46">
        <v>2.2951336577534676E-2</v>
      </c>
      <c r="J46"/>
      <c r="K46"/>
      <c r="L46"/>
      <c r="M46"/>
    </row>
    <row r="47" spans="1:13" ht="15" customHeight="1" x14ac:dyDescent="0.15">
      <c r="A47" s="326">
        <v>46</v>
      </c>
      <c r="B47" s="326" t="s">
        <v>218</v>
      </c>
      <c r="C47" s="8">
        <v>3.6847164630889893</v>
      </c>
      <c r="D47" s="7">
        <v>0.92595797777175903</v>
      </c>
      <c r="E47" s="9">
        <v>0.34999999403953552</v>
      </c>
      <c r="F47" s="7">
        <v>3.5</v>
      </c>
      <c r="G47" s="9">
        <v>0.85000008344650269</v>
      </c>
      <c r="H47" s="9">
        <v>0.10000000149011612</v>
      </c>
      <c r="I47">
        <v>1.0055809281766415E-2</v>
      </c>
      <c r="J47"/>
      <c r="K47"/>
      <c r="L47"/>
      <c r="M47"/>
    </row>
    <row r="48" spans="1:13" ht="15" customHeight="1" x14ac:dyDescent="0.15">
      <c r="A48" s="327">
        <v>47</v>
      </c>
      <c r="B48" s="327" t="s">
        <v>219</v>
      </c>
      <c r="C48" s="8">
        <v>3.3040745258331299</v>
      </c>
      <c r="D48" s="9">
        <v>4.1881980895996094</v>
      </c>
      <c r="E48" s="9">
        <v>0.30000001192092896</v>
      </c>
      <c r="F48" s="7">
        <v>3</v>
      </c>
      <c r="G48" s="7">
        <v>0.90800690650939941</v>
      </c>
      <c r="H48" s="9">
        <v>0.10000000149011612</v>
      </c>
      <c r="I48">
        <v>7.2049744427204132E-2</v>
      </c>
      <c r="J48"/>
      <c r="K48"/>
      <c r="L48"/>
      <c r="M48"/>
    </row>
    <row r="49" spans="1:13" ht="15" customHeight="1" x14ac:dyDescent="0.15">
      <c r="A49" s="328">
        <v>48</v>
      </c>
      <c r="B49" s="328" t="s">
        <v>220</v>
      </c>
      <c r="C49" s="8">
        <v>3.6492302417755127</v>
      </c>
      <c r="D49" s="9">
        <v>3.0802164077758789</v>
      </c>
      <c r="E49" s="9">
        <v>0.37999999523162842</v>
      </c>
      <c r="F49" s="7">
        <v>1.8999999761581421</v>
      </c>
      <c r="G49" s="7">
        <v>0.93707412481307983</v>
      </c>
      <c r="H49" s="9">
        <v>0.20000000298023224</v>
      </c>
      <c r="I49">
        <v>1.2862459756433964E-2</v>
      </c>
      <c r="J49"/>
      <c r="K49"/>
      <c r="L49"/>
      <c r="M49"/>
    </row>
    <row r="50" spans="1:13" ht="15" customHeight="1" x14ac:dyDescent="0.15">
      <c r="A50" s="329">
        <v>49</v>
      </c>
      <c r="B50" s="329" t="s">
        <v>221</v>
      </c>
      <c r="C50" s="8">
        <v>3.7696011066436768</v>
      </c>
      <c r="D50" s="9">
        <v>0.27692121267318726</v>
      </c>
      <c r="E50" s="9">
        <v>0.20000000298023224</v>
      </c>
      <c r="F50" s="9">
        <v>1</v>
      </c>
      <c r="G50" s="7">
        <v>0.83272427320480347</v>
      </c>
      <c r="H50" s="7">
        <v>0.20000000298023224</v>
      </c>
      <c r="I50">
        <v>4.6631880104541779E-3</v>
      </c>
      <c r="J50"/>
      <c r="K50"/>
      <c r="L50"/>
      <c r="M50"/>
    </row>
    <row r="51" spans="1:13" ht="15" customHeight="1" x14ac:dyDescent="0.15">
      <c r="A51" s="330">
        <v>50</v>
      </c>
      <c r="B51" s="330" t="s">
        <v>222</v>
      </c>
      <c r="C51" s="8">
        <v>3.6108553409576416</v>
      </c>
      <c r="D51" s="7">
        <v>1.7700119018554688</v>
      </c>
      <c r="E51" s="9">
        <v>2.7000000476837158</v>
      </c>
      <c r="F51" s="7">
        <v>10.800000190734863</v>
      </c>
      <c r="G51" s="9">
        <v>0.85000014305114746</v>
      </c>
      <c r="H51" s="9">
        <v>0.25</v>
      </c>
      <c r="I51">
        <v>0</v>
      </c>
      <c r="J51"/>
      <c r="K51"/>
      <c r="L51"/>
      <c r="M51"/>
    </row>
    <row r="52" spans="1:13" ht="15" customHeight="1" x14ac:dyDescent="0.15">
      <c r="A52" s="331">
        <v>51</v>
      </c>
      <c r="B52" s="331" t="s">
        <v>223</v>
      </c>
      <c r="C52" s="8">
        <v>3.3769915103912354</v>
      </c>
      <c r="D52" s="7">
        <v>3.0115602016448975</v>
      </c>
      <c r="E52" s="9">
        <v>2.7000000476837158</v>
      </c>
      <c r="F52" s="7">
        <v>10.800000190734863</v>
      </c>
      <c r="G52" s="9">
        <v>0.84999990463256836</v>
      </c>
      <c r="H52" s="9">
        <v>0.25</v>
      </c>
      <c r="I52">
        <v>0</v>
      </c>
      <c r="J52"/>
      <c r="K52"/>
      <c r="L52"/>
      <c r="M52"/>
    </row>
    <row r="53" spans="1:13" ht="15" customHeight="1" x14ac:dyDescent="0.15">
      <c r="A53" s="332">
        <v>52</v>
      </c>
      <c r="B53" s="332" t="s">
        <v>224</v>
      </c>
      <c r="C53" s="8">
        <v>3.4894959926605225</v>
      </c>
      <c r="D53" s="7">
        <v>0.42664080858230591</v>
      </c>
      <c r="E53" s="9">
        <v>2.7000000476837158</v>
      </c>
      <c r="F53" s="7">
        <v>10.800000190734863</v>
      </c>
      <c r="G53" s="9">
        <v>0.85000002384185791</v>
      </c>
      <c r="H53" s="9">
        <v>0.25</v>
      </c>
      <c r="I53">
        <v>0</v>
      </c>
      <c r="J53"/>
      <c r="K53"/>
      <c r="L53"/>
      <c r="M53"/>
    </row>
    <row r="54" spans="1:13" ht="15" customHeight="1" x14ac:dyDescent="0.15">
      <c r="A54" s="333">
        <v>53</v>
      </c>
      <c r="B54" s="333" t="s">
        <v>225</v>
      </c>
      <c r="C54" s="8">
        <v>2</v>
      </c>
      <c r="D54" s="9">
        <v>80</v>
      </c>
      <c r="E54" s="9">
        <v>4.5</v>
      </c>
      <c r="F54" s="7">
        <v>18</v>
      </c>
      <c r="G54" s="7">
        <v>0.60720336437225342</v>
      </c>
      <c r="H54" s="9">
        <v>0.25</v>
      </c>
      <c r="I54">
        <v>0</v>
      </c>
      <c r="J54"/>
      <c r="K54"/>
      <c r="L54"/>
      <c r="M54"/>
    </row>
    <row r="55" spans="1:13" ht="15" customHeight="1" x14ac:dyDescent="0.15">
      <c r="A55" s="334">
        <v>54</v>
      </c>
      <c r="B55" s="334" t="s">
        <v>226</v>
      </c>
      <c r="C55" s="8">
        <v>3.0439522266387939</v>
      </c>
      <c r="D55" s="7">
        <v>3.8721704483032227</v>
      </c>
      <c r="E55" s="9">
        <v>3</v>
      </c>
      <c r="F55" s="7">
        <v>12</v>
      </c>
      <c r="G55" s="9">
        <v>0.85000020265579224</v>
      </c>
      <c r="H55" s="9">
        <v>0.25</v>
      </c>
      <c r="I55">
        <v>0.41273456811904907</v>
      </c>
      <c r="J55"/>
      <c r="K55"/>
      <c r="L55"/>
      <c r="M55"/>
    </row>
    <row r="56" spans="1:13" ht="15" customHeight="1" x14ac:dyDescent="0.15">
      <c r="A56" s="335">
        <v>55</v>
      </c>
      <c r="B56" s="335" t="s">
        <v>227</v>
      </c>
      <c r="C56" s="8">
        <v>2.8219826221466064</v>
      </c>
      <c r="D56" s="7">
        <v>7.2341299057006836</v>
      </c>
      <c r="E56" s="9">
        <v>4.1999998092651367</v>
      </c>
      <c r="F56" s="7">
        <v>16.799999237060547</v>
      </c>
      <c r="G56" s="9">
        <v>0.85000008344650269</v>
      </c>
      <c r="H56" s="9">
        <v>0.25</v>
      </c>
      <c r="I56">
        <v>8.4102600812911987E-3</v>
      </c>
      <c r="J56"/>
      <c r="K56"/>
      <c r="L56"/>
      <c r="M56"/>
    </row>
    <row r="57" spans="1:13" ht="15" customHeight="1" x14ac:dyDescent="0.15">
      <c r="A57" s="336">
        <v>56</v>
      </c>
      <c r="B57" s="336" t="s">
        <v>228</v>
      </c>
      <c r="C57" s="8">
        <v>2.9112269878387451</v>
      </c>
      <c r="D57" s="7">
        <v>1.3218079805374146</v>
      </c>
      <c r="E57" s="9">
        <v>22</v>
      </c>
      <c r="F57" s="7">
        <v>110</v>
      </c>
      <c r="G57" s="9">
        <v>0.85000008344650269</v>
      </c>
      <c r="H57" s="9">
        <v>0.20000000298023224</v>
      </c>
      <c r="I57">
        <v>0</v>
      </c>
      <c r="J57"/>
      <c r="K57"/>
      <c r="L57"/>
      <c r="M57"/>
    </row>
    <row r="58" spans="1:13" ht="15" customHeight="1" x14ac:dyDescent="0.15">
      <c r="A58" s="337">
        <v>57</v>
      </c>
      <c r="B58" s="337" t="s">
        <v>229</v>
      </c>
      <c r="C58" s="8">
        <v>2.0526437759399414</v>
      </c>
      <c r="D58" s="7">
        <v>11.176137924194336</v>
      </c>
      <c r="E58" s="9">
        <v>1.2100000381469727</v>
      </c>
      <c r="F58" s="7">
        <v>6.0500001907348633</v>
      </c>
      <c r="G58" s="9">
        <v>0.85000008344650269</v>
      </c>
      <c r="H58" s="9">
        <v>0.20000000298023224</v>
      </c>
      <c r="I58">
        <v>1.536733191460371E-2</v>
      </c>
      <c r="J58"/>
      <c r="K58"/>
      <c r="L58"/>
      <c r="M58"/>
    </row>
    <row r="59" spans="1:13" ht="15" customHeight="1" x14ac:dyDescent="0.15">
      <c r="A59" s="338">
        <v>58</v>
      </c>
      <c r="B59" s="338" t="s">
        <v>230</v>
      </c>
      <c r="C59" s="8">
        <v>2.0528721809387207</v>
      </c>
      <c r="D59" s="7">
        <v>3.8017854690551758</v>
      </c>
      <c r="E59" s="9">
        <v>21.5</v>
      </c>
      <c r="F59" s="7">
        <v>107.5</v>
      </c>
      <c r="G59" s="9">
        <v>0.84999990463256836</v>
      </c>
      <c r="H59" s="9">
        <v>0.20000000298023224</v>
      </c>
      <c r="I59">
        <v>0</v>
      </c>
      <c r="J59"/>
      <c r="K59"/>
      <c r="L59"/>
      <c r="M59"/>
    </row>
    <row r="60" spans="1:13" ht="15" customHeight="1" x14ac:dyDescent="0.15">
      <c r="A60" s="339">
        <v>59</v>
      </c>
      <c r="B60" s="339" t="s">
        <v>231</v>
      </c>
      <c r="C60" s="8">
        <v>2.0299999713897705</v>
      </c>
      <c r="D60" s="7">
        <v>31.654207229614258</v>
      </c>
      <c r="E60" s="9">
        <v>1.2999999523162842</v>
      </c>
      <c r="F60" s="7">
        <v>6.4999995231628418</v>
      </c>
      <c r="G60" s="9">
        <v>0.85000020265579224</v>
      </c>
      <c r="H60" s="9">
        <v>0.20000000298023224</v>
      </c>
      <c r="I60">
        <v>1.3809789670631289E-3</v>
      </c>
      <c r="J60"/>
      <c r="K60"/>
      <c r="L60"/>
      <c r="M60"/>
    </row>
    <row r="61" spans="1:13" ht="15" customHeight="1" x14ac:dyDescent="0.15">
      <c r="A61" s="340">
        <v>60</v>
      </c>
      <c r="B61" s="340" t="s">
        <v>232</v>
      </c>
      <c r="C61" s="8">
        <v>2.1431255340576172</v>
      </c>
      <c r="D61" s="7">
        <v>1.6244043111801147</v>
      </c>
      <c r="E61" s="9">
        <v>7.4000000953674316</v>
      </c>
      <c r="F61" s="7">
        <v>37</v>
      </c>
      <c r="G61" s="9">
        <v>0.85000002384185791</v>
      </c>
      <c r="H61" s="9">
        <v>0.20000000298023224</v>
      </c>
      <c r="I61">
        <v>0</v>
      </c>
      <c r="J61"/>
      <c r="K61"/>
      <c r="L61"/>
      <c r="M61"/>
    </row>
    <row r="62" spans="1:13" ht="15" customHeight="1" x14ac:dyDescent="0.15">
      <c r="A62" s="341">
        <v>61</v>
      </c>
      <c r="B62" s="341" t="s">
        <v>233</v>
      </c>
      <c r="C62" s="8">
        <v>3.4114484786987305</v>
      </c>
      <c r="D62" s="9">
        <v>1.0165350437164307</v>
      </c>
      <c r="E62" s="9">
        <v>1.5</v>
      </c>
      <c r="F62" s="7">
        <v>6</v>
      </c>
      <c r="G62" s="7">
        <v>0.95055705308914185</v>
      </c>
      <c r="H62" s="9">
        <v>0.25</v>
      </c>
      <c r="I62">
        <v>7.623811811208725E-2</v>
      </c>
      <c r="J62"/>
      <c r="K62"/>
      <c r="L62"/>
      <c r="M62"/>
    </row>
    <row r="63" spans="1:13" ht="15" customHeight="1" x14ac:dyDescent="0.15">
      <c r="A63" s="342">
        <v>62</v>
      </c>
      <c r="B63" s="342" t="s">
        <v>234</v>
      </c>
      <c r="C63" s="8">
        <v>3.0019626617431641</v>
      </c>
      <c r="D63" s="9">
        <v>0.27042374014854431</v>
      </c>
      <c r="E63" s="9">
        <v>1</v>
      </c>
      <c r="F63" s="7">
        <v>4</v>
      </c>
      <c r="G63" s="7">
        <v>0.94444602727890015</v>
      </c>
      <c r="H63" s="9">
        <v>0.25</v>
      </c>
      <c r="I63">
        <v>6.7801391705870628E-3</v>
      </c>
      <c r="J63"/>
      <c r="K63"/>
      <c r="L63"/>
      <c r="M63"/>
    </row>
    <row r="64" spans="1:13" ht="15" customHeight="1" x14ac:dyDescent="0.15">
      <c r="A64" s="343">
        <v>63</v>
      </c>
      <c r="B64" s="343" t="s">
        <v>235</v>
      </c>
      <c r="C64" s="8">
        <v>2.7290918827056885</v>
      </c>
      <c r="D64" s="7">
        <v>16.508020401000977</v>
      </c>
      <c r="E64" s="9">
        <v>3</v>
      </c>
      <c r="F64" s="7">
        <v>15</v>
      </c>
      <c r="G64" s="9">
        <v>0.85000008344650269</v>
      </c>
      <c r="H64" s="9">
        <v>0.20000000298023224</v>
      </c>
      <c r="I64">
        <v>4.2856760273934924E-7</v>
      </c>
      <c r="J64"/>
      <c r="K64"/>
      <c r="L64"/>
      <c r="M64"/>
    </row>
    <row r="65" spans="1:13" ht="15" customHeight="1" x14ac:dyDescent="0.15">
      <c r="A65" s="344">
        <v>64</v>
      </c>
      <c r="B65" s="344" t="s">
        <v>236</v>
      </c>
      <c r="C65" s="8">
        <v>4.163599967956543</v>
      </c>
      <c r="D65" s="9">
        <v>3.8770373910665512E-2</v>
      </c>
      <c r="E65" s="9">
        <v>0.10000000149011612</v>
      </c>
      <c r="F65" s="9">
        <v>73</v>
      </c>
      <c r="G65" s="7">
        <v>0.10519462078809738</v>
      </c>
      <c r="H65" s="7">
        <v>1.3698630500584841E-3</v>
      </c>
      <c r="I65">
        <v>0</v>
      </c>
      <c r="J65"/>
      <c r="K65"/>
      <c r="L65"/>
      <c r="M65"/>
    </row>
    <row r="66" spans="1:13" ht="15" customHeight="1" x14ac:dyDescent="0.15">
      <c r="A66" s="345">
        <v>65</v>
      </c>
      <c r="B66" s="345" t="s">
        <v>237</v>
      </c>
      <c r="C66" s="8">
        <v>4.2900567054748535</v>
      </c>
      <c r="D66" s="9">
        <v>4.0908999741077423E-2</v>
      </c>
      <c r="E66" s="9">
        <v>0.16899999976158142</v>
      </c>
      <c r="F66" s="9">
        <v>72</v>
      </c>
      <c r="G66" s="7">
        <v>0.4466533362865448</v>
      </c>
      <c r="H66" s="7">
        <v>2.3472222965210676E-3</v>
      </c>
      <c r="I66">
        <v>0</v>
      </c>
      <c r="J66"/>
      <c r="K66"/>
      <c r="L66"/>
      <c r="M66"/>
    </row>
    <row r="67" spans="1:13" ht="15" customHeight="1" x14ac:dyDescent="0.15">
      <c r="A67" s="346">
        <v>66</v>
      </c>
      <c r="B67" s="346" t="s">
        <v>238</v>
      </c>
      <c r="C67" s="8">
        <v>3.7134997844696045</v>
      </c>
      <c r="D67" s="9">
        <v>4.537499975413084E-3</v>
      </c>
      <c r="E67" s="9">
        <v>0.16599999368190765</v>
      </c>
      <c r="F67" s="9">
        <v>73</v>
      </c>
      <c r="G67" s="7">
        <v>0.51955115795135498</v>
      </c>
      <c r="H67" s="7">
        <v>2.273972611874342E-3</v>
      </c>
      <c r="I67">
        <v>0</v>
      </c>
      <c r="J67"/>
      <c r="K67"/>
      <c r="L67"/>
      <c r="M67"/>
    </row>
    <row r="68" spans="1:13" ht="15" customHeight="1" x14ac:dyDescent="0.15">
      <c r="A68" s="347">
        <v>67</v>
      </c>
      <c r="B68" s="347" t="s">
        <v>239</v>
      </c>
      <c r="C68" s="8">
        <v>3.9401640892028809</v>
      </c>
      <c r="D68" s="9">
        <v>9.4724999507889152E-4</v>
      </c>
      <c r="E68" s="9">
        <v>0.16899999976158142</v>
      </c>
      <c r="F68" s="9">
        <v>110</v>
      </c>
      <c r="G68" s="7">
        <v>0.41125857830047607</v>
      </c>
      <c r="H68" s="7">
        <v>1.5363636193796992E-3</v>
      </c>
      <c r="I68">
        <v>0</v>
      </c>
      <c r="J68"/>
      <c r="K68"/>
      <c r="L68"/>
      <c r="M68"/>
    </row>
    <row r="69" spans="1:13" ht="15" customHeight="1" x14ac:dyDescent="0.15">
      <c r="A69" s="348">
        <v>68</v>
      </c>
      <c r="B69" s="348" t="s">
        <v>240</v>
      </c>
      <c r="C69" s="8">
        <v>4.1274504661560059</v>
      </c>
      <c r="D69" s="9">
        <v>3.1999999191612005E-3</v>
      </c>
      <c r="E69" s="9">
        <v>6.759999692440033E-2</v>
      </c>
      <c r="F69" s="9">
        <v>75</v>
      </c>
      <c r="G69" s="7">
        <v>0.75414854288101196</v>
      </c>
      <c r="H69" s="7">
        <v>9.0133328922092915E-4</v>
      </c>
      <c r="I69">
        <v>0</v>
      </c>
      <c r="J69"/>
      <c r="K69"/>
      <c r="L69"/>
      <c r="M69"/>
    </row>
    <row r="70" spans="1:13" ht="15" customHeight="1" x14ac:dyDescent="0.15">
      <c r="A70" s="349">
        <v>69</v>
      </c>
      <c r="B70" s="349" t="s">
        <v>241</v>
      </c>
      <c r="C70" s="8">
        <v>4.1483407020568848</v>
      </c>
      <c r="D70" s="9">
        <v>1.1614999966695905E-3</v>
      </c>
      <c r="E70" s="9">
        <v>0.10000000149011612</v>
      </c>
      <c r="F70" s="9">
        <v>73</v>
      </c>
      <c r="G70" s="7">
        <v>0.70227032899856567</v>
      </c>
      <c r="H70" s="7">
        <v>1.3698630500584841E-3</v>
      </c>
      <c r="I70">
        <v>0</v>
      </c>
      <c r="J70"/>
      <c r="K70"/>
      <c r="L70"/>
      <c r="M70"/>
    </row>
    <row r="71" spans="1:13" ht="15" customHeight="1" x14ac:dyDescent="0.15">
      <c r="A71" s="350">
        <v>70</v>
      </c>
      <c r="B71" s="350" t="s">
        <v>242</v>
      </c>
      <c r="C71" s="8">
        <v>4.192194938659668</v>
      </c>
      <c r="D71" s="9">
        <v>1.3896250165998936E-3</v>
      </c>
      <c r="E71" s="9">
        <v>0.15899999439716339</v>
      </c>
      <c r="F71" s="9">
        <v>73</v>
      </c>
      <c r="G71" s="7">
        <v>0.4112585186958313</v>
      </c>
      <c r="H71" s="7">
        <v>2.1780820097774267E-3</v>
      </c>
      <c r="I71">
        <v>0</v>
      </c>
      <c r="J71"/>
      <c r="K71"/>
      <c r="L71"/>
      <c r="M71"/>
    </row>
    <row r="72" spans="1:13" ht="15" customHeight="1" x14ac:dyDescent="0.15">
      <c r="A72" s="351">
        <v>71</v>
      </c>
      <c r="B72" s="351" t="s">
        <v>243</v>
      </c>
      <c r="C72" s="8">
        <v>3.7890892028808594</v>
      </c>
      <c r="D72" s="9">
        <v>5.2999999752501026E-5</v>
      </c>
      <c r="E72" s="9">
        <v>0.11999999731779099</v>
      </c>
      <c r="F72" s="9">
        <v>144</v>
      </c>
      <c r="G72" s="7">
        <v>0.41125857830047607</v>
      </c>
      <c r="H72" s="7">
        <v>8.333332953043282E-4</v>
      </c>
      <c r="I72">
        <v>0</v>
      </c>
      <c r="J72"/>
      <c r="K72"/>
      <c r="L72"/>
      <c r="M72"/>
    </row>
    <row r="73" spans="1:13" ht="15" customHeight="1" x14ac:dyDescent="0.15">
      <c r="A73" s="352">
        <v>72</v>
      </c>
      <c r="B73" s="352" t="s">
        <v>244</v>
      </c>
      <c r="C73" s="8">
        <v>3.7547507286071777</v>
      </c>
      <c r="D73" s="9">
        <v>0.14598192274570465</v>
      </c>
      <c r="E73" s="9">
        <v>6.3000001013278961E-2</v>
      </c>
      <c r="F73" s="9">
        <v>8.8999996185302734</v>
      </c>
      <c r="G73" s="7">
        <v>4.434594139456749E-2</v>
      </c>
      <c r="H73" s="7">
        <v>7.0786522701382637E-3</v>
      </c>
      <c r="I73">
        <v>0</v>
      </c>
      <c r="J73"/>
      <c r="K73"/>
      <c r="L73"/>
      <c r="M73"/>
    </row>
    <row r="74" spans="1:13" ht="15" customHeight="1" x14ac:dyDescent="0.15">
      <c r="A74" s="353">
        <v>73</v>
      </c>
      <c r="B74" s="353" t="s">
        <v>245</v>
      </c>
      <c r="C74" s="8">
        <v>3.8161520957946777</v>
      </c>
      <c r="D74" s="9">
        <v>0.57161200046539307</v>
      </c>
      <c r="E74" s="9">
        <v>3.9999999105930328E-2</v>
      </c>
      <c r="F74" s="9">
        <v>7.5999999046325684</v>
      </c>
      <c r="G74" s="7">
        <v>3.5674851387739182E-2</v>
      </c>
      <c r="H74" s="7">
        <v>5.2631576545536518E-3</v>
      </c>
      <c r="I74">
        <v>0</v>
      </c>
      <c r="J74"/>
      <c r="K74"/>
      <c r="L74"/>
      <c r="M74"/>
    </row>
    <row r="75" spans="1:13" ht="15" customHeight="1" x14ac:dyDescent="0.15">
      <c r="A75" s="354">
        <v>74</v>
      </c>
      <c r="B75" s="354" t="s">
        <v>246</v>
      </c>
      <c r="C75" s="8">
        <v>4.6509137153625488</v>
      </c>
      <c r="D75" s="9">
        <v>2.3328166455030441E-2</v>
      </c>
      <c r="E75" s="9">
        <v>8.2999996840953827E-2</v>
      </c>
      <c r="F75" s="9">
        <v>8.3000001907348633</v>
      </c>
      <c r="G75" s="7">
        <v>0.63191127777099609</v>
      </c>
      <c r="H75" s="7">
        <v>9.9999997764825821E-3</v>
      </c>
      <c r="I75">
        <v>0</v>
      </c>
      <c r="J75"/>
      <c r="K75"/>
      <c r="L75"/>
      <c r="M75"/>
    </row>
    <row r="76" spans="1:13" ht="15" customHeight="1" x14ac:dyDescent="0.15">
      <c r="A76" s="355">
        <v>75</v>
      </c>
      <c r="B76" s="355" t="s">
        <v>247</v>
      </c>
      <c r="C76" s="8">
        <v>4.544182300567627</v>
      </c>
      <c r="D76" s="9">
        <v>0.10495287179946899</v>
      </c>
      <c r="E76" s="9">
        <v>7.0000000298023224E-2</v>
      </c>
      <c r="F76" s="9">
        <v>24</v>
      </c>
      <c r="G76" s="7">
        <v>0.66616594791412354</v>
      </c>
      <c r="H76" s="7">
        <v>2.916666679084301E-3</v>
      </c>
      <c r="I76">
        <v>0</v>
      </c>
      <c r="J76"/>
      <c r="K76"/>
      <c r="L76"/>
      <c r="M76"/>
    </row>
    <row r="77" spans="1:13" ht="15" customHeight="1" x14ac:dyDescent="0.15">
      <c r="A77" s="356">
        <v>76</v>
      </c>
      <c r="B77" s="356" t="s">
        <v>248</v>
      </c>
      <c r="C77" s="8">
        <v>4.3638548851013184</v>
      </c>
      <c r="D77" s="9">
        <v>7.1590997278690338E-2</v>
      </c>
      <c r="E77" s="9">
        <v>0.10000000149011612</v>
      </c>
      <c r="F77" s="9">
        <v>25.799999237060547</v>
      </c>
      <c r="G77" s="7">
        <v>0.56968545913696289</v>
      </c>
      <c r="H77" s="7">
        <v>3.875969210639596E-3</v>
      </c>
      <c r="I77">
        <v>0</v>
      </c>
      <c r="J77"/>
      <c r="K77"/>
      <c r="L77"/>
      <c r="M77"/>
    </row>
    <row r="78" spans="1:13" ht="15" customHeight="1" x14ac:dyDescent="0.15">
      <c r="A78" s="357">
        <v>77</v>
      </c>
      <c r="B78" s="357" t="s">
        <v>249</v>
      </c>
      <c r="C78" s="8">
        <v>4.5408291816711426</v>
      </c>
      <c r="D78" s="9">
        <v>6.7212000489234924E-2</v>
      </c>
      <c r="E78" s="9">
        <v>4.6999998390674591E-2</v>
      </c>
      <c r="F78" s="9">
        <v>6.6100001335144043</v>
      </c>
      <c r="G78" s="7">
        <v>5.164269357919693E-2</v>
      </c>
      <c r="H78" s="7">
        <v>7.11043830960989E-3</v>
      </c>
      <c r="I78">
        <v>0</v>
      </c>
      <c r="J78"/>
      <c r="K78"/>
      <c r="L78"/>
      <c r="M78"/>
    </row>
    <row r="79" spans="1:13" ht="15" customHeight="1" x14ac:dyDescent="0.15">
      <c r="A79" s="358">
        <v>78</v>
      </c>
      <c r="B79" s="358" t="s">
        <v>250</v>
      </c>
      <c r="C79" s="8">
        <v>4.862572193145752</v>
      </c>
      <c r="D79" s="9">
        <v>7.3109879158437252E-3</v>
      </c>
      <c r="E79" s="9">
        <v>2.500000037252903E-2</v>
      </c>
      <c r="F79" s="9">
        <v>11.156999588012695</v>
      </c>
      <c r="G79" s="7">
        <v>0</v>
      </c>
      <c r="H79" s="7">
        <v>2.2407458163797855E-3</v>
      </c>
      <c r="I79">
        <v>0</v>
      </c>
      <c r="J79"/>
      <c r="K79"/>
      <c r="L79"/>
      <c r="M79"/>
    </row>
    <row r="80" spans="1:13" ht="15" customHeight="1" x14ac:dyDescent="0.15">
      <c r="A80" s="359">
        <v>79</v>
      </c>
      <c r="B80" s="359" t="s">
        <v>251</v>
      </c>
      <c r="C80" s="8">
        <v>1</v>
      </c>
      <c r="D80" s="9">
        <v>0.30124899744987488</v>
      </c>
      <c r="E80" s="10"/>
      <c r="F80" s="10"/>
      <c r="G80" s="7">
        <v>0.52252715826034546</v>
      </c>
      <c r="H80" s="10"/>
      <c r="I80">
        <v>0</v>
      </c>
      <c r="J80"/>
      <c r="K80"/>
      <c r="L80"/>
      <c r="M80"/>
    </row>
    <row r="81" spans="1:13" ht="15" customHeight="1" x14ac:dyDescent="0.15">
      <c r="A81" s="360">
        <v>80</v>
      </c>
      <c r="B81" s="360" t="s">
        <v>252</v>
      </c>
      <c r="C81" s="8">
        <v>1</v>
      </c>
      <c r="D81" s="9">
        <v>0.2339819073677063</v>
      </c>
      <c r="E81" s="10"/>
      <c r="F81" s="10"/>
      <c r="G81" s="7">
        <v>0.84247249364852905</v>
      </c>
      <c r="H81" s="10"/>
      <c r="I81">
        <v>0</v>
      </c>
      <c r="J81"/>
      <c r="K81"/>
      <c r="L81"/>
      <c r="M81"/>
    </row>
    <row r="82" spans="1:13" ht="15" customHeight="1" x14ac:dyDescent="0.15">
      <c r="A82" s="361">
        <v>81</v>
      </c>
      <c r="B82" s="361" t="s">
        <v>253</v>
      </c>
      <c r="C82" s="8">
        <v>1</v>
      </c>
      <c r="D82" s="9">
        <v>10</v>
      </c>
      <c r="E82" s="10"/>
      <c r="F82" s="10"/>
      <c r="G82" s="7">
        <v>0.23309127986431122</v>
      </c>
      <c r="H82" s="10"/>
      <c r="I82">
        <v>0</v>
      </c>
      <c r="J82"/>
      <c r="K82"/>
      <c r="L82"/>
      <c r="M82"/>
    </row>
    <row r="83" spans="1:13" ht="15" customHeight="1" x14ac:dyDescent="0.15">
      <c r="A83" s="362">
        <v>82</v>
      </c>
      <c r="B83" s="362" t="s">
        <v>254</v>
      </c>
      <c r="C83" s="8">
        <v>1</v>
      </c>
      <c r="D83" s="9">
        <v>5</v>
      </c>
      <c r="E83" s="10"/>
      <c r="F83" s="10"/>
      <c r="G83" s="7">
        <v>0.5546872615814209</v>
      </c>
      <c r="H83" s="10"/>
      <c r="I83">
        <v>0</v>
      </c>
      <c r="J83"/>
      <c r="K83"/>
      <c r="L83"/>
      <c r="M83"/>
    </row>
    <row r="84" spans="1:13" ht="15" customHeight="1" x14ac:dyDescent="0.15">
      <c r="A84" s="363">
        <v>83</v>
      </c>
      <c r="B84" s="363" t="s">
        <v>255</v>
      </c>
      <c r="C84" s="8">
        <v>1</v>
      </c>
      <c r="D84" s="9">
        <v>10</v>
      </c>
      <c r="E84" s="10"/>
      <c r="F84" s="10"/>
      <c r="G84" s="7">
        <v>0.6112712025642395</v>
      </c>
      <c r="H84" s="10"/>
      <c r="I84">
        <v>0</v>
      </c>
      <c r="J84"/>
      <c r="K84"/>
      <c r="L84"/>
      <c r="M84"/>
    </row>
    <row r="85" spans="1:13" ht="15" customHeight="1" x14ac:dyDescent="0.15">
      <c r="A85" s="364">
        <v>84</v>
      </c>
      <c r="B85" s="364" t="s">
        <v>256</v>
      </c>
      <c r="C85" s="8">
        <v>4.8127961158752441</v>
      </c>
      <c r="D85" s="10"/>
      <c r="E85" s="10"/>
      <c r="F85" s="10"/>
      <c r="G85" s="10"/>
      <c r="H85" s="10"/>
      <c r="I85">
        <v>0.19524909555912018</v>
      </c>
      <c r="J85"/>
      <c r="K85"/>
      <c r="L85"/>
      <c r="M85"/>
    </row>
    <row r="86" spans="1:13" ht="15" customHeight="1" x14ac:dyDescent="0.15">
      <c r="A86" s="365">
        <v>85</v>
      </c>
      <c r="B86" s="365" t="s">
        <v>257</v>
      </c>
      <c r="C86" s="8">
        <v>5.1043658256530762</v>
      </c>
      <c r="D86" s="10"/>
      <c r="E86" s="10"/>
      <c r="F86" s="10"/>
      <c r="G86" s="10"/>
      <c r="H86" s="10"/>
      <c r="I86">
        <v>5.0552301108837128E-2</v>
      </c>
      <c r="J86"/>
      <c r="K86"/>
      <c r="L86"/>
      <c r="M86"/>
    </row>
    <row r="87" spans="1:13" ht="15" customHeight="1" x14ac:dyDescent="0.15">
      <c r="A87" s="366">
        <v>86</v>
      </c>
      <c r="B87" s="366" t="s">
        <v>258</v>
      </c>
      <c r="C87" s="8">
        <v>4.7827296257019043</v>
      </c>
      <c r="D87" s="10"/>
      <c r="E87" s="10"/>
      <c r="F87" s="10"/>
      <c r="G87" s="10"/>
      <c r="H87" s="10"/>
      <c r="I87">
        <v>1.0678077524062246E-4</v>
      </c>
      <c r="J87"/>
      <c r="K87"/>
      <c r="L87"/>
      <c r="M87"/>
    </row>
    <row r="88" spans="1:13" ht="15" customHeight="1" x14ac:dyDescent="0.15">
      <c r="A88" s="367">
        <v>87</v>
      </c>
      <c r="B88" s="367" t="s">
        <v>259</v>
      </c>
      <c r="C88" s="8">
        <v>4.7329444885253906</v>
      </c>
      <c r="D88" s="10"/>
      <c r="E88" s="10"/>
      <c r="F88" s="10"/>
      <c r="G88" s="10"/>
      <c r="H88" s="10"/>
      <c r="I88">
        <v>7.0903846062719822E-3</v>
      </c>
      <c r="J88"/>
      <c r="K88"/>
      <c r="L88"/>
      <c r="M88"/>
    </row>
    <row r="89" spans="1:13" ht="15" customHeight="1" x14ac:dyDescent="0.15">
      <c r="A89" s="368">
        <v>88</v>
      </c>
      <c r="B89" s="368" t="s">
        <v>260</v>
      </c>
      <c r="C89" s="8">
        <v>4.9329791069030762</v>
      </c>
      <c r="D89" s="10"/>
      <c r="E89" s="10"/>
      <c r="F89" s="10"/>
      <c r="G89" s="10"/>
      <c r="H89" s="10"/>
      <c r="I89">
        <v>8.7275188416242599E-3</v>
      </c>
      <c r="J89"/>
      <c r="K89"/>
      <c r="L89"/>
      <c r="M89"/>
    </row>
    <row r="90" spans="1:13" ht="15" customHeight="1" x14ac:dyDescent="0.15">
      <c r="A90" s="369">
        <v>89</v>
      </c>
      <c r="B90" s="369" t="s">
        <v>261</v>
      </c>
      <c r="C90" s="8">
        <v>4.766730785369873</v>
      </c>
      <c r="D90" s="10"/>
      <c r="E90" s="10"/>
      <c r="F90" s="10"/>
      <c r="G90" s="10"/>
      <c r="H90" s="10"/>
      <c r="I90">
        <v>0.50489425659179688</v>
      </c>
      <c r="J90"/>
      <c r="K90"/>
      <c r="L90"/>
      <c r="M90"/>
    </row>
    <row r="91" spans="1:13" ht="15" customHeight="1" x14ac:dyDescent="0.15">
      <c r="A91" s="370">
        <v>90</v>
      </c>
      <c r="B91" s="370" t="s">
        <v>262</v>
      </c>
      <c r="C91" s="8">
        <v>4.1018009185791016</v>
      </c>
      <c r="D91" s="10"/>
      <c r="E91" s="10"/>
      <c r="F91" s="10"/>
      <c r="G91" s="10"/>
      <c r="H91" s="10"/>
      <c r="I91">
        <v>0.43502062559127808</v>
      </c>
      <c r="J91"/>
      <c r="K91"/>
      <c r="L91"/>
      <c r="M91"/>
    </row>
    <row r="92" spans="1:13" ht="15" customHeight="1" x14ac:dyDescent="0.15">
      <c r="A92" s="371">
        <v>91</v>
      </c>
      <c r="B92" s="371" t="s">
        <v>263</v>
      </c>
      <c r="C92" s="8">
        <v>4.073112964630127</v>
      </c>
      <c r="D92" s="10"/>
      <c r="E92" s="10"/>
      <c r="F92" s="10"/>
      <c r="G92" s="10"/>
      <c r="H92" s="10"/>
      <c r="I92">
        <v>0.14720642566680908</v>
      </c>
      <c r="J92"/>
      <c r="K92"/>
      <c r="L92"/>
      <c r="M92"/>
    </row>
    <row r="93" spans="1:13" ht="15" customHeight="1" x14ac:dyDescent="0.15">
      <c r="A93" s="372">
        <v>92</v>
      </c>
      <c r="B93" s="372" t="s">
        <v>264</v>
      </c>
      <c r="C93" s="8">
        <v>4.7299323081970215</v>
      </c>
      <c r="D93" s="10"/>
      <c r="E93" s="10"/>
      <c r="F93" s="10"/>
      <c r="G93" s="10"/>
      <c r="H93" s="10"/>
      <c r="I93">
        <v>4.2894668579101562</v>
      </c>
      <c r="J93"/>
      <c r="K93"/>
      <c r="L93"/>
      <c r="M93"/>
    </row>
    <row r="94" spans="1:13" ht="15" customHeight="1" x14ac:dyDescent="0.15">
      <c r="A94" s="373">
        <v>93</v>
      </c>
      <c r="B94" s="373" t="s">
        <v>265</v>
      </c>
      <c r="C94" s="8">
        <v>4.7568974494934082</v>
      </c>
      <c r="D94" s="10"/>
      <c r="E94" s="10"/>
      <c r="F94" s="10"/>
      <c r="G94" s="10"/>
      <c r="H94" s="10"/>
      <c r="I94">
        <v>1.9090110436081886E-2</v>
      </c>
      <c r="J94"/>
      <c r="K94"/>
      <c r="L94"/>
      <c r="M94"/>
    </row>
    <row r="95" spans="1:13" ht="15" customHeight="1" x14ac:dyDescent="0.15">
      <c r="A95" s="374">
        <v>94</v>
      </c>
      <c r="B95" s="374" t="s">
        <v>266</v>
      </c>
      <c r="C95" s="8">
        <v>4.034325122833252</v>
      </c>
      <c r="D95" s="10"/>
      <c r="E95" s="10"/>
      <c r="F95" s="10"/>
      <c r="G95" s="10"/>
      <c r="H95" s="10"/>
      <c r="I95">
        <v>0.51140469312667847</v>
      </c>
      <c r="J95"/>
      <c r="K95"/>
      <c r="L95"/>
      <c r="M95"/>
    </row>
    <row r="96" spans="1:13" ht="15" customHeight="1" x14ac:dyDescent="0.15">
      <c r="A96" s="375">
        <v>95</v>
      </c>
      <c r="B96" s="375" t="s">
        <v>267</v>
      </c>
      <c r="C96" s="8">
        <v>4.8061246871948242</v>
      </c>
      <c r="D96" s="10"/>
      <c r="E96" s="10"/>
      <c r="F96" s="10"/>
      <c r="G96" s="10"/>
      <c r="H96" s="10"/>
      <c r="I96">
        <v>6.1970200389623642E-2</v>
      </c>
      <c r="J96"/>
      <c r="K96"/>
      <c r="L96"/>
      <c r="M96"/>
    </row>
    <row r="97" spans="1:13" ht="15" customHeight="1" x14ac:dyDescent="0.15">
      <c r="A97" s="376">
        <v>96</v>
      </c>
      <c r="B97" s="376" t="s">
        <v>268</v>
      </c>
      <c r="C97" s="8">
        <v>4.4631376266479492</v>
      </c>
      <c r="D97" s="10"/>
      <c r="E97" s="10"/>
      <c r="F97" s="10"/>
      <c r="G97" s="10"/>
      <c r="H97" s="10"/>
      <c r="I97">
        <v>8.1760510802268982E-2</v>
      </c>
      <c r="J97"/>
      <c r="K97"/>
      <c r="L97"/>
      <c r="M97"/>
    </row>
    <row r="98" spans="1:13" ht="15" customHeight="1" x14ac:dyDescent="0.15">
      <c r="A98" s="377">
        <v>97</v>
      </c>
      <c r="B98" s="377" t="s">
        <v>269</v>
      </c>
      <c r="C98" s="8">
        <v>4.10284423828125</v>
      </c>
      <c r="D98" s="10"/>
      <c r="E98" s="10"/>
      <c r="F98" s="10"/>
      <c r="G98" s="10"/>
      <c r="H98" s="10"/>
      <c r="I98">
        <v>8.5011646151542664E-3</v>
      </c>
      <c r="J98"/>
      <c r="K98"/>
      <c r="L98"/>
      <c r="M98"/>
    </row>
    <row r="99" spans="1:13" ht="15" customHeight="1" x14ac:dyDescent="0.15">
      <c r="A99" s="378">
        <v>98</v>
      </c>
      <c r="B99" s="378" t="s">
        <v>270</v>
      </c>
      <c r="C99" s="8">
        <v>3.0565245151519775</v>
      </c>
      <c r="D99" s="10"/>
      <c r="E99" s="10"/>
      <c r="F99" s="10"/>
      <c r="G99" s="10"/>
      <c r="H99" s="10"/>
      <c r="I99">
        <v>1.3345860876142979E-2</v>
      </c>
      <c r="J99"/>
      <c r="K99"/>
      <c r="L99"/>
      <c r="M99"/>
    </row>
    <row r="100" spans="1:13" ht="15" customHeight="1" x14ac:dyDescent="0.15">
      <c r="A100" s="379">
        <v>99</v>
      </c>
      <c r="B100" s="379" t="s">
        <v>271</v>
      </c>
      <c r="C100" s="8">
        <v>3.6211025714874268</v>
      </c>
      <c r="D100" s="10"/>
      <c r="E100" s="10"/>
      <c r="F100" s="10"/>
      <c r="G100" s="10"/>
      <c r="H100" s="10"/>
      <c r="I100">
        <v>4.7587179578840733E-3</v>
      </c>
      <c r="J100"/>
      <c r="K100"/>
      <c r="L100"/>
      <c r="M100"/>
    </row>
    <row r="101" spans="1:13" ht="15" customHeight="1" x14ac:dyDescent="0.15">
      <c r="A101" s="380">
        <v>100</v>
      </c>
      <c r="B101" s="380" t="s">
        <v>272</v>
      </c>
      <c r="C101" s="8">
        <v>5.0851969718933105</v>
      </c>
      <c r="D101" s="10"/>
      <c r="E101" s="10"/>
      <c r="F101" s="10"/>
      <c r="G101" s="10"/>
      <c r="H101" s="10"/>
      <c r="I101">
        <v>7.2448410093784332E-2</v>
      </c>
      <c r="J101"/>
      <c r="K101"/>
      <c r="L101"/>
      <c r="M101"/>
    </row>
    <row r="102" spans="1:13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</row>
    <row r="103" spans="1:13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</row>
    <row r="104" spans="1:13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</row>
    <row r="105" spans="1:13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</row>
    <row r="106" spans="1:13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</row>
    <row r="107" spans="1:13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</row>
    <row r="108" spans="1:13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</row>
    <row r="109" spans="1:13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</row>
    <row r="110" spans="1:13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</row>
    <row r="111" spans="1:13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</row>
    <row r="112" spans="1:13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</row>
    <row r="113" spans="1:13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</row>
    <row r="114" spans="1:13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</row>
    <row r="115" spans="1:13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</row>
    <row r="116" spans="1:13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</row>
    <row r="117" spans="1:13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</row>
    <row r="118" spans="1:13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</row>
    <row r="119" spans="1:13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</row>
    <row r="120" spans="1:13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</row>
    <row r="121" spans="1:13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</row>
    <row r="122" spans="1:13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</row>
    <row r="123" spans="1:13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</row>
    <row r="124" spans="1:13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</row>
    <row r="125" spans="1:13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</row>
    <row r="126" spans="1:13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</row>
    <row r="127" spans="1:13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</row>
    <row r="128" spans="1:13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</row>
    <row r="129" spans="1:13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</row>
    <row r="130" spans="1:13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</row>
    <row r="131" spans="1:13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</row>
    <row r="132" spans="1:13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</row>
    <row r="133" spans="1:13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</row>
    <row r="134" spans="1:13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</row>
    <row r="135" spans="1:13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</row>
    <row r="136" spans="1:13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</row>
    <row r="137" spans="1:13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</row>
    <row r="138" spans="1:13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</row>
    <row r="139" spans="1:13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</row>
    <row r="140" spans="1:13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</row>
    <row r="141" spans="1:13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</row>
    <row r="142" spans="1:13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</row>
    <row r="143" spans="1:13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</row>
    <row r="144" spans="1:13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</row>
    <row r="145" spans="1:13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</row>
    <row r="146" spans="1:13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</row>
    <row r="147" spans="1:13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</row>
    <row r="148" spans="1:13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</row>
    <row r="149" spans="1:13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</row>
    <row r="150" spans="1:13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</row>
    <row r="151" spans="1:13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</row>
    <row r="152" spans="1:13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</row>
    <row r="153" spans="1:13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</row>
    <row r="154" spans="1:13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</row>
    <row r="155" spans="1:13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</row>
    <row r="156" spans="1:13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</row>
    <row r="157" spans="1:13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</row>
    <row r="158" spans="1:13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</row>
    <row r="159" spans="1:13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</row>
    <row r="160" spans="1:13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</row>
    <row r="161" spans="1:13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</row>
    <row r="162" spans="1:13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</row>
    <row r="163" spans="1:13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</row>
    <row r="164" spans="1:13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</row>
    <row r="165" spans="1:13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</row>
    <row r="166" spans="1:13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</row>
    <row r="167" spans="1:13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</row>
    <row r="168" spans="1:13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</row>
    <row r="169" spans="1:13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</row>
    <row r="170" spans="1:13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</row>
    <row r="171" spans="1:13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</row>
    <row r="172" spans="1:13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</row>
    <row r="173" spans="1:13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</row>
    <row r="174" spans="1:13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</row>
    <row r="175" spans="1:13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</row>
    <row r="176" spans="1:13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</row>
    <row r="177" spans="1:13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</row>
    <row r="178" spans="1:13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</row>
    <row r="179" spans="1:13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</row>
    <row r="180" spans="1:13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</row>
    <row r="181" spans="1:13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</row>
    <row r="182" spans="1:13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</row>
    <row r="183" spans="1:13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</row>
    <row r="184" spans="1:13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</row>
    <row r="185" spans="1:13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</row>
    <row r="186" spans="1:13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</row>
    <row r="187" spans="1:13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</row>
    <row r="188" spans="1:13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</row>
    <row r="189" spans="1:13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</row>
    <row r="190" spans="1:13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</row>
    <row r="191" spans="1:13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</row>
    <row r="192" spans="1:13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</row>
    <row r="193" spans="1:13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</row>
    <row r="194" spans="1:13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</row>
    <row r="195" spans="1:13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</row>
    <row r="196" spans="1:13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</row>
    <row r="197" spans="1:13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</row>
    <row r="198" spans="1:13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</row>
    <row r="199" spans="1:13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</row>
    <row r="200" spans="1:13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</row>
    <row r="201" spans="1:13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</row>
    <row r="202" spans="1:13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</row>
    <row r="203" spans="1:13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</row>
    <row r="204" spans="1:13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</row>
    <row r="205" spans="1:13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</row>
    <row r="206" spans="1:13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</row>
    <row r="207" spans="1:13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</row>
    <row r="208" spans="1:13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</row>
    <row r="209" spans="1:13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</row>
    <row r="210" spans="1:13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</row>
    <row r="211" spans="1:13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</row>
    <row r="212" spans="1:13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</row>
    <row r="213" spans="1:13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</row>
    <row r="214" spans="1:13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</row>
    <row r="215" spans="1:13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</row>
    <row r="216" spans="1:13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</row>
    <row r="217" spans="1:13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</row>
    <row r="218" spans="1:13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</row>
    <row r="219" spans="1:13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</row>
    <row r="220" spans="1:13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</row>
    <row r="221" spans="1:13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</row>
    <row r="222" spans="1:13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</row>
    <row r="223" spans="1:13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</row>
    <row r="224" spans="1:13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</row>
    <row r="225" spans="1:13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</row>
    <row r="226" spans="1:13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</row>
    <row r="227" spans="1:13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</row>
    <row r="228" spans="1:13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</row>
    <row r="229" spans="1:13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</row>
    <row r="230" spans="1:13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</row>
    <row r="231" spans="1:13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</row>
    <row r="232" spans="1:13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</row>
    <row r="233" spans="1:13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</row>
    <row r="234" spans="1:13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</row>
    <row r="235" spans="1:13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</row>
    <row r="236" spans="1:13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</row>
    <row r="237" spans="1:13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</row>
    <row r="238" spans="1:13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</row>
    <row r="239" spans="1:13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</row>
    <row r="240" spans="1:13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</row>
    <row r="241" spans="1:13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</row>
    <row r="242" spans="1:13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</row>
    <row r="243" spans="1:13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</row>
    <row r="244" spans="1:13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</row>
    <row r="245" spans="1:13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</row>
    <row r="246" spans="1:13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</row>
    <row r="247" spans="1:13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</row>
    <row r="248" spans="1:13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</row>
    <row r="249" spans="1:13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</row>
    <row r="250" spans="1:13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</row>
    <row r="251" spans="1:13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</row>
    <row r="252" spans="1:13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</row>
    <row r="253" spans="1:13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</row>
    <row r="254" spans="1:13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</row>
    <row r="255" spans="1:13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</row>
    <row r="256" spans="1:13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</row>
    <row r="257" spans="1:13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</row>
    <row r="258" spans="1:13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</row>
    <row r="259" spans="1:13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</row>
    <row r="260" spans="1:13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</row>
    <row r="261" spans="1:13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</row>
    <row r="262" spans="1:13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</row>
    <row r="263" spans="1:13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</row>
    <row r="264" spans="1:13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</row>
    <row r="265" spans="1:13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</row>
    <row r="266" spans="1:13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</row>
    <row r="267" spans="1:13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</row>
    <row r="268" spans="1:13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</row>
    <row r="269" spans="1:13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</row>
    <row r="270" spans="1:13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</row>
    <row r="271" spans="1:13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</row>
    <row r="272" spans="1:13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</row>
    <row r="273" spans="1:13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</row>
    <row r="274" spans="1:13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</row>
    <row r="275" spans="1:13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</row>
    <row r="276" spans="1:13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</row>
    <row r="277" spans="1:13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</row>
    <row r="278" spans="1:13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</row>
    <row r="279" spans="1:13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</row>
    <row r="280" spans="1:13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</row>
    <row r="281" spans="1:13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</row>
    <row r="282" spans="1:13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</row>
    <row r="283" spans="1:13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</row>
    <row r="284" spans="1:13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</row>
    <row r="285" spans="1:13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</row>
    <row r="286" spans="1:13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</row>
    <row r="287" spans="1:13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</row>
    <row r="288" spans="1:13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</row>
    <row r="289" spans="1:13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</row>
    <row r="290" spans="1:13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</row>
    <row r="291" spans="1:13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</row>
    <row r="292" spans="1:13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</row>
    <row r="293" spans="1:13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</row>
    <row r="294" spans="1:13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</row>
    <row r="295" spans="1:13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</row>
    <row r="296" spans="1:13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</row>
    <row r="297" spans="1:13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</row>
    <row r="298" spans="1:13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</row>
    <row r="299" spans="1:13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</row>
    <row r="300" spans="1:13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</row>
    <row r="301" spans="1:13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</row>
    <row r="302" spans="1:13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</row>
    <row r="303" spans="1:13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</row>
    <row r="304" spans="1:13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</row>
    <row r="305" spans="1:13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</row>
    <row r="306" spans="1:13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</row>
    <row r="307" spans="1:13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</row>
    <row r="308" spans="1:13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</row>
    <row r="309" spans="1:13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</row>
    <row r="310" spans="1:13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</row>
    <row r="311" spans="1:13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</row>
    <row r="312" spans="1:13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</row>
    <row r="313" spans="1:13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</row>
    <row r="314" spans="1:13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</row>
    <row r="315" spans="1:13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</row>
    <row r="316" spans="1:13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</row>
    <row r="317" spans="1:13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</row>
    <row r="318" spans="1:13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</row>
    <row r="319" spans="1:13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</row>
    <row r="320" spans="1:13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</row>
    <row r="321" spans="1:13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</row>
    <row r="322" spans="1:13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</row>
    <row r="323" spans="1:13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</row>
    <row r="324" spans="1:13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</row>
    <row r="325" spans="1:13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</row>
    <row r="326" spans="1:13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</row>
    <row r="327" spans="1:13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</row>
    <row r="328" spans="1:13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</row>
    <row r="329" spans="1:13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</row>
    <row r="330" spans="1:13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</row>
    <row r="331" spans="1:13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</row>
    <row r="332" spans="1:13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</row>
    <row r="333" spans="1:13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</row>
    <row r="334" spans="1:13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</row>
    <row r="335" spans="1:13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</row>
    <row r="336" spans="1:13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</row>
    <row r="337" spans="1:13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</row>
    <row r="338" spans="1:13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</row>
    <row r="339" spans="1:13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</row>
    <row r="340" spans="1:13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</row>
    <row r="341" spans="1:13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</row>
    <row r="342" spans="1:13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</row>
    <row r="343" spans="1:13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</row>
    <row r="344" spans="1:13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</row>
    <row r="345" spans="1:13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</row>
    <row r="346" spans="1:13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</row>
    <row r="347" spans="1:13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</row>
    <row r="348" spans="1:13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</row>
    <row r="349" spans="1:13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</row>
    <row r="350" spans="1:13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</row>
    <row r="351" spans="1:13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</row>
    <row r="352" spans="1:13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</row>
    <row r="353" spans="1:13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</row>
    <row r="354" spans="1:13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</row>
    <row r="355" spans="1:13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</row>
    <row r="356" spans="1:13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</row>
    <row r="357" spans="1:13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</row>
    <row r="358" spans="1:13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</row>
    <row r="359" spans="1:13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</row>
    <row r="360" spans="1:13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</row>
    <row r="361" spans="1:13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</row>
    <row r="362" spans="1:13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</row>
    <row r="363" spans="1:13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</row>
    <row r="364" spans="1:13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</row>
    <row r="365" spans="1:13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</row>
    <row r="366" spans="1:13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</row>
    <row r="367" spans="1:13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</row>
    <row r="368" spans="1:13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</row>
    <row r="369" spans="1:13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</row>
    <row r="370" spans="1:13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</row>
    <row r="371" spans="1:13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</row>
    <row r="372" spans="1:13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</row>
    <row r="373" spans="1:13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</row>
    <row r="374" spans="1:13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</row>
    <row r="375" spans="1:13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</row>
    <row r="376" spans="1:13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</row>
    <row r="377" spans="1:13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</row>
    <row r="378" spans="1:13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</row>
    <row r="379" spans="1:13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</row>
    <row r="380" spans="1:13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</row>
    <row r="381" spans="1:13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</row>
    <row r="382" spans="1:13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</row>
    <row r="383" spans="1:13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</row>
    <row r="384" spans="1:13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</row>
    <row r="385" spans="1:13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</row>
    <row r="386" spans="1:13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</row>
    <row r="387" spans="1:13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</row>
    <row r="388" spans="1:13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</row>
    <row r="389" spans="1:13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</row>
    <row r="390" spans="1:13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</row>
    <row r="391" spans="1:13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</row>
    <row r="392" spans="1:13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</row>
    <row r="393" spans="1:13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</row>
    <row r="394" spans="1:13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</row>
    <row r="395" spans="1:13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</row>
    <row r="396" spans="1:13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</row>
    <row r="397" spans="1:13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</row>
    <row r="398" spans="1:13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</row>
    <row r="399" spans="1:13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</row>
    <row r="400" spans="1:13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</row>
    <row r="401" spans="1:13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</row>
    <row r="402" spans="1:13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</row>
    <row r="403" spans="1:13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</row>
    <row r="404" spans="1:13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</row>
    <row r="405" spans="1:13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</row>
    <row r="406" spans="1:13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</row>
    <row r="407" spans="1:13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</row>
    <row r="408" spans="1:13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</row>
    <row r="409" spans="1:13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</row>
    <row r="410" spans="1:13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</row>
    <row r="411" spans="1:13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</row>
    <row r="412" spans="1:13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</row>
    <row r="413" spans="1:13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</row>
    <row r="414" spans="1:13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</row>
    <row r="415" spans="1:13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</row>
    <row r="416" spans="1:13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</row>
    <row r="417" spans="1:13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</row>
    <row r="418" spans="1:13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</row>
    <row r="419" spans="1:13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</row>
    <row r="420" spans="1:13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</row>
    <row r="421" spans="1:13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</row>
    <row r="422" spans="1:13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</row>
    <row r="423" spans="1:13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</row>
    <row r="424" spans="1:13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</row>
    <row r="425" spans="1:13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</row>
    <row r="426" spans="1:13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</row>
    <row r="427" spans="1:13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</row>
    <row r="428" spans="1:13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</row>
    <row r="429" spans="1:13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</row>
    <row r="430" spans="1:13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</row>
    <row r="431" spans="1:13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</row>
    <row r="432" spans="1:13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</row>
    <row r="433" spans="1:13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</row>
    <row r="434" spans="1:13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</row>
    <row r="435" spans="1:13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</row>
    <row r="436" spans="1:13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</row>
    <row r="437" spans="1:13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</row>
    <row r="438" spans="1:13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</row>
    <row r="439" spans="1:13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</row>
    <row r="440" spans="1:13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</row>
    <row r="441" spans="1:13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</row>
    <row r="442" spans="1:13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</row>
    <row r="443" spans="1:13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</row>
    <row r="444" spans="1:13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</row>
    <row r="445" spans="1:13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</row>
    <row r="446" spans="1:13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</row>
    <row r="447" spans="1:13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</row>
    <row r="448" spans="1:13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</row>
    <row r="449" spans="1:13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</row>
    <row r="450" spans="1:13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</row>
    <row r="451" spans="1:13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</row>
    <row r="452" spans="1:13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</row>
    <row r="453" spans="1:13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</row>
    <row r="454" spans="1:13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</row>
    <row r="455" spans="1:13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</row>
    <row r="456" spans="1:13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</row>
    <row r="457" spans="1:13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</row>
    <row r="458" spans="1:13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</row>
    <row r="459" spans="1:13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</row>
    <row r="460" spans="1:13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</row>
    <row r="461" spans="1:13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</row>
    <row r="462" spans="1:13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</row>
    <row r="463" spans="1:13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</row>
    <row r="464" spans="1:13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</row>
    <row r="465" spans="1:13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</row>
    <row r="466" spans="1:13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</row>
    <row r="467" spans="1:13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</row>
    <row r="468" spans="1:13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</row>
    <row r="469" spans="1:13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</row>
    <row r="470" spans="1:13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</row>
    <row r="471" spans="1:13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</row>
    <row r="472" spans="1:13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</row>
    <row r="473" spans="1:13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</row>
    <row r="474" spans="1:13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</row>
    <row r="475" spans="1:13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</row>
    <row r="476" spans="1:13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</row>
    <row r="477" spans="1:13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</row>
    <row r="478" spans="1:13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</row>
    <row r="479" spans="1:13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</row>
    <row r="480" spans="1:13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</row>
    <row r="481" spans="1:13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</row>
    <row r="482" spans="1:13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</row>
    <row r="483" spans="1:13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</row>
    <row r="484" spans="1:13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</row>
    <row r="485" spans="1:13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</row>
    <row r="486" spans="1:13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</row>
    <row r="487" spans="1:13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</row>
    <row r="488" spans="1:13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</row>
    <row r="489" spans="1:13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</row>
    <row r="490" spans="1:13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</row>
    <row r="491" spans="1:13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</row>
    <row r="492" spans="1:13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</row>
    <row r="493" spans="1:13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</row>
    <row r="494" spans="1:13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</row>
    <row r="495" spans="1:13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</row>
    <row r="496" spans="1:13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</row>
    <row r="497" spans="1:13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</row>
    <row r="498" spans="1:13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</row>
    <row r="499" spans="1:13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</row>
    <row r="500" spans="1:13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75" zoomScaleNormal="75" zoomScalePageLayoutView="7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19" sqref="A19:XFD19"/>
    </sheetView>
  </sheetViews>
  <sheetFormatPr baseColWidth="10" defaultColWidth="8.83203125" defaultRowHeight="15" customHeight="1" x14ac:dyDescent="0.15"/>
  <cols>
    <col min="1" max="1" width="40.33203125" style="69" bestFit="1" customWidth="1"/>
    <col min="2" max="4" width="9.5" style="69" bestFit="1" customWidth="1"/>
    <col min="5" max="7" width="9" style="69" bestFit="1" customWidth="1"/>
    <col min="8" max="16" width="12.6640625" style="69" bestFit="1" customWidth="1"/>
    <col min="17" max="17" width="12.33203125" style="69" bestFit="1" customWidth="1"/>
    <col min="18" max="18" width="8.83203125" style="69"/>
    <col min="19" max="21" width="9.33203125" style="69" bestFit="1" customWidth="1"/>
    <col min="22" max="23" width="8.83203125" style="69"/>
    <col min="24" max="24" width="9.33203125" style="69" bestFit="1" customWidth="1"/>
    <col min="25" max="27" width="8.83203125" style="69"/>
    <col min="28" max="58" width="9" style="69" bestFit="1" customWidth="1"/>
    <col min="59" max="59" width="12.33203125" style="69" bestFit="1" customWidth="1"/>
    <col min="60" max="60" width="9" style="69" bestFit="1" customWidth="1"/>
    <col min="61" max="61" width="11.33203125" style="69" bestFit="1" customWidth="1"/>
    <col min="62" max="77" width="9" style="69" bestFit="1" customWidth="1"/>
    <col min="78" max="78" width="12.33203125" style="69" bestFit="1" customWidth="1"/>
    <col min="79" max="79" width="9" style="69" bestFit="1" customWidth="1"/>
    <col min="80" max="80" width="12.33203125" style="69" bestFit="1" customWidth="1"/>
    <col min="81" max="107" width="9" style="69" bestFit="1" customWidth="1"/>
    <col min="108" max="108" width="11.33203125" style="69" bestFit="1" customWidth="1"/>
    <col min="109" max="124" width="9" style="69" bestFit="1" customWidth="1"/>
    <col min="125" max="125" width="10.33203125" style="69" bestFit="1" customWidth="1"/>
    <col min="126" max="129" width="9.33203125" style="69" bestFit="1" customWidth="1"/>
    <col min="130" max="130" width="9" style="69" bestFit="1" customWidth="1"/>
    <col min="131" max="134" width="9.33203125" style="69" bestFit="1" customWidth="1"/>
    <col min="135" max="165" width="9" style="69" bestFit="1" customWidth="1"/>
    <col min="166" max="166" width="12.33203125" style="69" bestFit="1" customWidth="1"/>
    <col min="167" max="170" width="9" style="69" bestFit="1" customWidth="1"/>
    <col min="171" max="176" width="8.83203125" style="69"/>
    <col min="177" max="177" width="13.83203125" style="69" bestFit="1" customWidth="1"/>
    <col min="178" max="16384" width="8.83203125" style="69"/>
  </cols>
  <sheetData>
    <row r="1" spans="1:209" ht="15" customHeight="1" x14ac:dyDescent="0.15">
      <c r="A1" t="s">
        <v>17</v>
      </c>
      <c r="B1" t="s">
        <v>1</v>
      </c>
      <c r="C1" t="s">
        <v>18</v>
      </c>
      <c r="D1" t="s">
        <v>375</v>
      </c>
      <c r="E1" t="s">
        <v>376</v>
      </c>
      <c r="F1" t="s">
        <v>377</v>
      </c>
      <c r="G1" t="s">
        <v>378</v>
      </c>
      <c r="H1" t="s">
        <v>379</v>
      </c>
      <c r="I1" t="s">
        <v>380</v>
      </c>
      <c r="J1" t="s">
        <v>381</v>
      </c>
      <c r="K1" t="s">
        <v>382</v>
      </c>
      <c r="L1" t="s">
        <v>383</v>
      </c>
      <c r="M1" t="s">
        <v>384</v>
      </c>
      <c r="N1" t="s">
        <v>385</v>
      </c>
      <c r="O1" t="s">
        <v>386</v>
      </c>
      <c r="P1" t="s">
        <v>387</v>
      </c>
      <c r="Q1" t="s">
        <v>388</v>
      </c>
      <c r="R1" t="s">
        <v>389</v>
      </c>
      <c r="S1" t="s">
        <v>390</v>
      </c>
      <c r="T1" t="s">
        <v>391</v>
      </c>
      <c r="U1" t="s">
        <v>176</v>
      </c>
      <c r="V1" t="s">
        <v>177</v>
      </c>
      <c r="W1" t="s">
        <v>178</v>
      </c>
      <c r="X1" t="s">
        <v>179</v>
      </c>
      <c r="Y1" t="s">
        <v>180</v>
      </c>
      <c r="Z1" t="s">
        <v>181</v>
      </c>
      <c r="AA1" t="s">
        <v>182</v>
      </c>
      <c r="AB1" t="s">
        <v>183</v>
      </c>
      <c r="AC1" t="s">
        <v>184</v>
      </c>
      <c r="AD1" t="s">
        <v>185</v>
      </c>
      <c r="AE1" t="s">
        <v>186</v>
      </c>
      <c r="AF1" t="s">
        <v>187</v>
      </c>
      <c r="AG1" t="s">
        <v>188</v>
      </c>
      <c r="AH1" t="s">
        <v>189</v>
      </c>
      <c r="AI1" t="s">
        <v>190</v>
      </c>
      <c r="AJ1" t="s">
        <v>191</v>
      </c>
      <c r="AK1" t="s">
        <v>192</v>
      </c>
      <c r="AL1" t="s">
        <v>193</v>
      </c>
      <c r="AM1" t="s">
        <v>194</v>
      </c>
      <c r="AN1" t="s">
        <v>195</v>
      </c>
      <c r="AO1" t="s">
        <v>196</v>
      </c>
      <c r="AP1" t="s">
        <v>197</v>
      </c>
      <c r="AQ1" t="s">
        <v>198</v>
      </c>
      <c r="AR1" t="s">
        <v>273</v>
      </c>
      <c r="AS1" t="s">
        <v>398</v>
      </c>
      <c r="AT1" t="s">
        <v>399</v>
      </c>
      <c r="AU1" t="s">
        <v>199</v>
      </c>
      <c r="AV1" t="s">
        <v>200</v>
      </c>
      <c r="AW1" t="s">
        <v>201</v>
      </c>
      <c r="AX1" t="s">
        <v>202</v>
      </c>
      <c r="AY1" t="s">
        <v>203</v>
      </c>
      <c r="AZ1" t="s">
        <v>204</v>
      </c>
      <c r="BA1" t="s">
        <v>205</v>
      </c>
      <c r="BB1" t="s">
        <v>206</v>
      </c>
      <c r="BC1" t="s">
        <v>207</v>
      </c>
      <c r="BD1" t="s">
        <v>208</v>
      </c>
      <c r="BE1" t="s">
        <v>209</v>
      </c>
      <c r="BF1" t="s">
        <v>210</v>
      </c>
      <c r="BG1" t="s">
        <v>211</v>
      </c>
      <c r="BH1" t="s">
        <v>212</v>
      </c>
      <c r="BI1" t="s">
        <v>213</v>
      </c>
      <c r="BJ1" t="s">
        <v>214</v>
      </c>
      <c r="BK1" t="s">
        <v>215</v>
      </c>
      <c r="BL1" t="s">
        <v>216</v>
      </c>
      <c r="BM1" t="s">
        <v>217</v>
      </c>
      <c r="BN1" t="s">
        <v>218</v>
      </c>
      <c r="BO1" t="s">
        <v>219</v>
      </c>
      <c r="BP1" t="s">
        <v>220</v>
      </c>
      <c r="BQ1" t="s">
        <v>221</v>
      </c>
      <c r="BR1" t="s">
        <v>222</v>
      </c>
      <c r="BS1" t="s">
        <v>223</v>
      </c>
      <c r="BT1" t="s">
        <v>224</v>
      </c>
      <c r="BU1" t="s">
        <v>225</v>
      </c>
      <c r="BV1" t="s">
        <v>226</v>
      </c>
      <c r="BW1" t="s">
        <v>227</v>
      </c>
      <c r="BX1" t="s">
        <v>228</v>
      </c>
      <c r="BY1" t="s">
        <v>229</v>
      </c>
      <c r="BZ1" t="s">
        <v>230</v>
      </c>
      <c r="CA1" t="s">
        <v>231</v>
      </c>
      <c r="CB1" t="s">
        <v>232</v>
      </c>
      <c r="CC1" t="s">
        <v>233</v>
      </c>
      <c r="CD1" t="s">
        <v>234</v>
      </c>
      <c r="CE1" t="s">
        <v>235</v>
      </c>
      <c r="CF1" t="s">
        <v>236</v>
      </c>
      <c r="CG1" t="s">
        <v>237</v>
      </c>
      <c r="CH1" t="s">
        <v>238</v>
      </c>
      <c r="CI1" t="s">
        <v>239</v>
      </c>
      <c r="CJ1" t="s">
        <v>240</v>
      </c>
      <c r="CK1" t="s">
        <v>241</v>
      </c>
      <c r="CL1" t="s">
        <v>242</v>
      </c>
      <c r="CM1" t="s">
        <v>243</v>
      </c>
      <c r="CN1" t="s">
        <v>244</v>
      </c>
      <c r="CO1" t="s">
        <v>245</v>
      </c>
      <c r="CP1" t="s">
        <v>246</v>
      </c>
      <c r="CQ1" t="s">
        <v>247</v>
      </c>
      <c r="CR1" t="s">
        <v>248</v>
      </c>
      <c r="CS1" t="s">
        <v>249</v>
      </c>
      <c r="CT1" t="s">
        <v>250</v>
      </c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176</v>
      </c>
      <c r="B2">
        <v>215</v>
      </c>
      <c r="C2">
        <v>33.619598388671875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 s="277">
        <v>122.16117095947266</v>
      </c>
      <c r="X2" s="22">
        <v>1.7131965160369873</v>
      </c>
      <c r="Y2" s="107">
        <v>12.416362762451172</v>
      </c>
      <c r="Z2" s="159">
        <v>18.294578552246094</v>
      </c>
      <c r="AA2" s="15">
        <v>2.1766974925994873</v>
      </c>
      <c r="AB2" s="22">
        <v>1.5312753915786743</v>
      </c>
      <c r="AC2" s="14">
        <v>0.4517652690410614</v>
      </c>
      <c r="AD2" s="15">
        <v>2.0378637313842773</v>
      </c>
      <c r="AE2" s="25">
        <v>6.8686513900756836</v>
      </c>
      <c r="AF2"/>
      <c r="AG2"/>
      <c r="AH2" s="20">
        <v>9.2202997207641602</v>
      </c>
      <c r="AI2" s="16">
        <v>3.244739294052124</v>
      </c>
      <c r="AJ2"/>
      <c r="AK2"/>
      <c r="AL2"/>
      <c r="AM2"/>
      <c r="AN2" s="12">
        <v>0.64445608854293823</v>
      </c>
      <c r="AO2" s="11">
        <v>0.15640603005886078</v>
      </c>
      <c r="AP2" s="11">
        <v>8.9409708976745605E-2</v>
      </c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 s="11">
        <v>8.4414675831794739E-2</v>
      </c>
      <c r="BT2"/>
      <c r="BU2"/>
      <c r="BV2"/>
      <c r="BW2"/>
      <c r="BX2"/>
      <c r="BY2" s="11">
        <v>0.17033781111240387</v>
      </c>
      <c r="BZ2"/>
      <c r="CA2" s="11">
        <v>0.10366656631231308</v>
      </c>
      <c r="CB2" s="11">
        <v>1.5141182579100132E-2</v>
      </c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177</v>
      </c>
      <c r="B3">
        <v>215</v>
      </c>
      <c r="C3">
        <v>34.272792816162109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 s="277">
        <v>122.16117095947266</v>
      </c>
      <c r="X3" s="22">
        <v>1.7131966352462769</v>
      </c>
      <c r="Y3" s="107">
        <v>12.416362762451172</v>
      </c>
      <c r="Z3" s="159">
        <v>18.294580459594727</v>
      </c>
      <c r="AA3" s="15">
        <v>2.1766977310180664</v>
      </c>
      <c r="AB3" s="22">
        <v>1.5312755107879639</v>
      </c>
      <c r="AC3" s="14">
        <v>0.45176520943641663</v>
      </c>
      <c r="AD3" s="15">
        <v>2.0378637313842773</v>
      </c>
      <c r="AE3" s="25">
        <v>6.8686513900756836</v>
      </c>
      <c r="AF3"/>
      <c r="AG3"/>
      <c r="AH3" s="20">
        <v>9.2202997207641602</v>
      </c>
      <c r="AI3" s="16">
        <v>3.244739294052124</v>
      </c>
      <c r="AJ3"/>
      <c r="AK3"/>
      <c r="AL3"/>
      <c r="AM3"/>
      <c r="AN3" s="11">
        <v>4.7806665301322937E-2</v>
      </c>
      <c r="AO3" s="11">
        <v>0.15640603005886078</v>
      </c>
      <c r="AP3" s="11">
        <v>3.2831069082021713E-2</v>
      </c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 s="11">
        <v>8.4414675831794739E-2</v>
      </c>
      <c r="BT3"/>
      <c r="BU3"/>
      <c r="BV3"/>
      <c r="BW3"/>
      <c r="BX3"/>
      <c r="BY3" s="11">
        <v>0.17033782601356506</v>
      </c>
      <c r="BZ3"/>
      <c r="CA3" s="11">
        <v>0.10366655886173248</v>
      </c>
      <c r="CB3" s="11">
        <v>1.5141181647777557E-2</v>
      </c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178</v>
      </c>
      <c r="B4">
        <v>150</v>
      </c>
      <c r="C4">
        <v>14.999977111816406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 s="141">
        <v>7.6631522178649902</v>
      </c>
      <c r="Y4" s="278">
        <v>55.538566589355469</v>
      </c>
      <c r="Z4" s="160">
        <v>36.369739532470703</v>
      </c>
      <c r="AA4" s="18">
        <v>1.6502372026443481</v>
      </c>
      <c r="AB4" s="16">
        <v>2.3594717979431152</v>
      </c>
      <c r="AC4" s="14">
        <v>0.34218069911003113</v>
      </c>
      <c r="AD4" s="21">
        <v>2.796436071395874</v>
      </c>
      <c r="AE4" s="96">
        <v>7.9389076232910156</v>
      </c>
      <c r="AF4"/>
      <c r="AG4"/>
      <c r="AH4" s="151">
        <v>13.522139549255371</v>
      </c>
      <c r="AI4" s="98">
        <v>6.3103318214416504</v>
      </c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 s="12">
        <v>0.46370196342468262</v>
      </c>
      <c r="CB4" s="11">
        <v>4.515114426612854E-2</v>
      </c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179</v>
      </c>
      <c r="B5">
        <v>15</v>
      </c>
      <c r="C5">
        <v>2.6656043529510498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 s="96">
        <v>0.80720627307891846</v>
      </c>
      <c r="AB5" s="61">
        <v>0.43359273672103882</v>
      </c>
      <c r="AC5" s="27">
        <v>0.7011762261390686</v>
      </c>
      <c r="AD5" s="143">
        <v>1.9214307069778442</v>
      </c>
      <c r="AE5" s="63">
        <v>0.67957442998886108</v>
      </c>
      <c r="AF5" s="233">
        <v>1.6081007719039917</v>
      </c>
      <c r="AG5" s="157">
        <v>2.7777996063232422</v>
      </c>
      <c r="AH5" s="153">
        <v>0.89568603038787842</v>
      </c>
      <c r="AI5" s="24">
        <v>0.41798681020736694</v>
      </c>
      <c r="AJ5" s="14">
        <v>4.071575403213501E-2</v>
      </c>
      <c r="AK5"/>
      <c r="AL5" s="12">
        <v>6.580149382352829E-2</v>
      </c>
      <c r="AM5" s="11">
        <v>4.6039759181439877E-3</v>
      </c>
      <c r="AN5" s="19">
        <v>0.26907813549041748</v>
      </c>
      <c r="AO5" s="23">
        <v>7.8206948935985565E-2</v>
      </c>
      <c r="AP5" s="16">
        <v>0.24822531640529633</v>
      </c>
      <c r="AQ5" s="11">
        <v>4.6842161100357771E-4</v>
      </c>
      <c r="AR5"/>
      <c r="AS5" s="11">
        <v>8.9190791186410934E-5</v>
      </c>
      <c r="AT5"/>
      <c r="AU5" s="11">
        <v>2.9288928490132093E-3</v>
      </c>
      <c r="AV5" s="11">
        <v>9.9470978602766991E-3</v>
      </c>
      <c r="AW5" s="11">
        <v>2.7322368696331978E-3</v>
      </c>
      <c r="AX5"/>
      <c r="AY5"/>
      <c r="AZ5" s="11">
        <v>5.4718105820938945E-4</v>
      </c>
      <c r="BA5"/>
      <c r="BB5" s="11">
        <v>1.4672432735096663E-4</v>
      </c>
      <c r="BC5" s="11">
        <v>6.3108853064477444E-3</v>
      </c>
      <c r="BD5" s="11">
        <v>1.3414288696367294E-4</v>
      </c>
      <c r="BE5"/>
      <c r="BF5"/>
      <c r="BG5"/>
      <c r="BH5"/>
      <c r="BI5"/>
      <c r="BJ5"/>
      <c r="BK5"/>
      <c r="BL5"/>
      <c r="BM5" s="11">
        <v>6.4494815887883306E-4</v>
      </c>
      <c r="BN5" s="11">
        <v>1.5257855411618948E-3</v>
      </c>
      <c r="BO5" s="11">
        <v>5.7943221181631088E-3</v>
      </c>
      <c r="BP5" s="11">
        <v>9.4889206811785698E-3</v>
      </c>
      <c r="BQ5"/>
      <c r="BR5" s="16">
        <v>0.23962889611721039</v>
      </c>
      <c r="BS5" s="25">
        <v>0.47832560539245605</v>
      </c>
      <c r="BT5" s="11">
        <v>1.0582233779132366E-2</v>
      </c>
      <c r="BU5"/>
      <c r="BV5" s="22">
        <v>0.11738689243793488</v>
      </c>
      <c r="BW5"/>
      <c r="BX5" s="25">
        <v>0.4841693639755249</v>
      </c>
      <c r="BY5"/>
      <c r="BZ5"/>
      <c r="CA5"/>
      <c r="CB5" s="11">
        <v>6.9017154164612293E-3</v>
      </c>
      <c r="CC5"/>
      <c r="CD5"/>
      <c r="CE5"/>
      <c r="CF5"/>
      <c r="CG5"/>
      <c r="CH5"/>
      <c r="CI5" s="11">
        <v>5.5884080938994884E-3</v>
      </c>
      <c r="CJ5"/>
      <c r="CK5" s="11">
        <v>2.9923339025117457E-4</v>
      </c>
      <c r="CL5"/>
      <c r="CM5" s="11">
        <v>5.608711508102715E-4</v>
      </c>
      <c r="CN5"/>
      <c r="CO5" s="11">
        <v>1.0076910257339478E-3</v>
      </c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180</v>
      </c>
      <c r="B6">
        <v>37</v>
      </c>
      <c r="C6">
        <v>4.8060722351074219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 s="96">
        <v>1.9911088943481445</v>
      </c>
      <c r="AB6" s="61">
        <v>1.0695288181304932</v>
      </c>
      <c r="AC6" s="27">
        <v>1.7295681238174438</v>
      </c>
      <c r="AD6" s="143">
        <v>4.7395286560058594</v>
      </c>
      <c r="AE6" s="63">
        <v>1.6762834787368774</v>
      </c>
      <c r="AF6" s="233">
        <v>3.9666483402252197</v>
      </c>
      <c r="AG6" s="158">
        <v>8.6438274383544922</v>
      </c>
      <c r="AH6" s="153">
        <v>2.2093586921691895</v>
      </c>
      <c r="AI6" s="24">
        <v>1.0310341119766235</v>
      </c>
      <c r="AJ6" s="14">
        <v>0.10043218731880188</v>
      </c>
      <c r="AK6"/>
      <c r="AL6" s="12">
        <v>0.16231034696102142</v>
      </c>
      <c r="AM6" s="11">
        <v>1.1356474831700325E-2</v>
      </c>
      <c r="AN6" s="19">
        <v>0.66372615098953247</v>
      </c>
      <c r="AO6" s="23">
        <v>0.19291047751903534</v>
      </c>
      <c r="AP6" s="16">
        <v>0.61228913068771362</v>
      </c>
      <c r="AQ6" s="11">
        <v>1.1554399970918894E-3</v>
      </c>
      <c r="AR6" s="11">
        <v>5.164249159861356E-5</v>
      </c>
      <c r="AS6" s="11">
        <v>9.1067726316396147E-5</v>
      </c>
      <c r="AT6" s="11">
        <v>4.3813230149680749E-5</v>
      </c>
      <c r="AU6" s="11">
        <v>3.3260800410062075E-4</v>
      </c>
      <c r="AV6" s="11">
        <v>2.4536173790693283E-2</v>
      </c>
      <c r="AW6" s="11">
        <v>6.7395172081887722E-3</v>
      </c>
      <c r="AX6"/>
      <c r="AY6"/>
      <c r="AZ6" s="11">
        <v>1.3497134204953909E-3</v>
      </c>
      <c r="BA6"/>
      <c r="BB6" s="11">
        <v>3.6192001425661147E-4</v>
      </c>
      <c r="BC6" s="11">
        <v>1.5566850081086159E-2</v>
      </c>
      <c r="BD6" s="11">
        <v>3.3088572672568262E-4</v>
      </c>
      <c r="BE6"/>
      <c r="BF6"/>
      <c r="BG6"/>
      <c r="BH6"/>
      <c r="BI6"/>
      <c r="BJ6"/>
      <c r="BK6"/>
      <c r="BL6"/>
      <c r="BM6" s="11">
        <v>1.5908721834421158E-3</v>
      </c>
      <c r="BN6" s="11">
        <v>3.7636042106896639E-3</v>
      </c>
      <c r="BO6" s="11">
        <v>1.4292662963271141E-2</v>
      </c>
      <c r="BP6" s="11">
        <v>2.3406004533171654E-2</v>
      </c>
      <c r="BQ6"/>
      <c r="BR6" s="16">
        <v>0.59108459949493408</v>
      </c>
      <c r="BS6" s="25">
        <v>1.1798697710037231</v>
      </c>
      <c r="BT6" s="11">
        <v>2.6102842763066292E-2</v>
      </c>
      <c r="BU6"/>
      <c r="BV6" s="22">
        <v>0.28955435752868652</v>
      </c>
      <c r="BW6"/>
      <c r="BX6" s="25">
        <v>1.1942844390869141</v>
      </c>
      <c r="BY6"/>
      <c r="BZ6"/>
      <c r="CA6"/>
      <c r="CB6" s="11">
        <v>1.702423207461834E-2</v>
      </c>
      <c r="CC6"/>
      <c r="CD6"/>
      <c r="CE6"/>
      <c r="CF6"/>
      <c r="CG6"/>
      <c r="CH6"/>
      <c r="CI6"/>
      <c r="CJ6"/>
      <c r="CK6"/>
      <c r="CL6"/>
      <c r="CM6"/>
      <c r="CN6"/>
      <c r="CO6" s="11">
        <v>2.4856380186975002E-3</v>
      </c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181</v>
      </c>
      <c r="B7">
        <v>37</v>
      </c>
      <c r="C7">
        <v>11.798988342285156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 s="96">
        <v>1.991108775138855</v>
      </c>
      <c r="AB7" s="61">
        <v>1.0695288181304932</v>
      </c>
      <c r="AC7" s="27">
        <v>1.7295681238174438</v>
      </c>
      <c r="AD7" s="143">
        <v>4.7395291328430176</v>
      </c>
      <c r="AE7" s="63">
        <v>1.6762837171554565</v>
      </c>
      <c r="AF7" s="233">
        <v>3.9666485786437988</v>
      </c>
      <c r="AG7" s="63">
        <v>1.6499491930007935</v>
      </c>
      <c r="AH7" s="153">
        <v>2.2093586921691895</v>
      </c>
      <c r="AI7" s="24">
        <v>1.0310341119766235</v>
      </c>
      <c r="AJ7" s="14">
        <v>0.10043219476938248</v>
      </c>
      <c r="AK7"/>
      <c r="AL7" s="12">
        <v>0.16231033205986023</v>
      </c>
      <c r="AM7" s="11">
        <v>1.135647390037775E-2</v>
      </c>
      <c r="AN7" s="19">
        <v>0.6637260913848877</v>
      </c>
      <c r="AO7" s="23">
        <v>0.19291049242019653</v>
      </c>
      <c r="AP7" s="16">
        <v>0.6122891902923584</v>
      </c>
      <c r="AQ7" s="11">
        <v>1.1554398806765676E-3</v>
      </c>
      <c r="AR7"/>
      <c r="AS7" s="11">
        <v>5.2535801660269499E-4</v>
      </c>
      <c r="AT7" s="11">
        <v>1.7869597650133073E-4</v>
      </c>
      <c r="AU7" s="11">
        <v>6.9933995837345719E-4</v>
      </c>
      <c r="AV7" s="11">
        <v>2.4536173790693283E-2</v>
      </c>
      <c r="AW7" s="11">
        <v>6.7395167425274849E-3</v>
      </c>
      <c r="AX7"/>
      <c r="AY7"/>
      <c r="AZ7" s="11">
        <v>1.3497134204953909E-3</v>
      </c>
      <c r="BA7"/>
      <c r="BB7" s="11">
        <v>3.6192001425661147E-4</v>
      </c>
      <c r="BC7" s="11">
        <v>1.5566849149763584E-2</v>
      </c>
      <c r="BD7" s="11">
        <v>3.3088572672568262E-4</v>
      </c>
      <c r="BE7"/>
      <c r="BF7"/>
      <c r="BG7"/>
      <c r="BH7"/>
      <c r="BI7"/>
      <c r="BJ7"/>
      <c r="BK7"/>
      <c r="BL7"/>
      <c r="BM7" s="11">
        <v>1.5908721834421158E-3</v>
      </c>
      <c r="BN7" s="11">
        <v>3.7636044435203075E-3</v>
      </c>
      <c r="BO7" s="11">
        <v>1.4292661100625992E-2</v>
      </c>
      <c r="BP7" s="11">
        <v>2.3406006395816803E-2</v>
      </c>
      <c r="BQ7"/>
      <c r="BR7" s="16">
        <v>0.59108465909957886</v>
      </c>
      <c r="BS7" s="25">
        <v>1.1798697710037231</v>
      </c>
      <c r="BT7" s="11">
        <v>2.6102844625711441E-2</v>
      </c>
      <c r="BU7"/>
      <c r="BV7" s="22">
        <v>0.28955432772636414</v>
      </c>
      <c r="BW7"/>
      <c r="BX7" s="25">
        <v>1.1942843198776245</v>
      </c>
      <c r="BY7"/>
      <c r="BZ7"/>
      <c r="CA7"/>
      <c r="CB7" s="11">
        <v>1.702423021197319E-2</v>
      </c>
      <c r="CC7"/>
      <c r="CD7"/>
      <c r="CE7"/>
      <c r="CF7"/>
      <c r="CG7"/>
      <c r="CH7"/>
      <c r="CI7"/>
      <c r="CJ7"/>
      <c r="CK7" s="11">
        <v>5.1840183004969731E-5</v>
      </c>
      <c r="CL7"/>
      <c r="CM7" s="11">
        <v>2.4291792215080932E-5</v>
      </c>
      <c r="CN7"/>
      <c r="CO7" s="11">
        <v>2.4856380186975002E-3</v>
      </c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182</v>
      </c>
      <c r="B8">
        <v>15</v>
      </c>
      <c r="C8">
        <v>5.8160629272460938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 s="64">
        <v>0.49860817193984985</v>
      </c>
      <c r="AD8" s="13">
        <v>0.54525268077850342</v>
      </c>
      <c r="AE8" s="25">
        <v>0.47013035416603088</v>
      </c>
      <c r="AF8" s="244">
        <v>2.1238369941711426</v>
      </c>
      <c r="AG8" s="266">
        <v>2.3034243583679199</v>
      </c>
      <c r="AH8"/>
      <c r="AI8"/>
      <c r="AJ8" s="100">
        <v>0.9774019718170166</v>
      </c>
      <c r="AK8" s="11">
        <v>7.4626493733376265E-4</v>
      </c>
      <c r="AL8" s="23">
        <v>7.7199690043926239E-2</v>
      </c>
      <c r="AM8"/>
      <c r="AN8" s="16">
        <v>0.23765531182289124</v>
      </c>
      <c r="AO8" s="15">
        <v>0.15065328776836395</v>
      </c>
      <c r="AP8" s="14">
        <v>3.7173468619585037E-2</v>
      </c>
      <c r="AQ8" s="11">
        <v>1.2873273808509111E-3</v>
      </c>
      <c r="AR8"/>
      <c r="AS8"/>
      <c r="AT8"/>
      <c r="AU8"/>
      <c r="AV8" s="23">
        <v>9.5717243850231171E-2</v>
      </c>
      <c r="AW8" s="12">
        <v>5.7831525802612305E-2</v>
      </c>
      <c r="AX8" s="11">
        <v>3.5508410073816776E-3</v>
      </c>
      <c r="AY8" s="11">
        <v>1.0377898579463363E-3</v>
      </c>
      <c r="AZ8" s="11">
        <v>5.1214308477938175E-3</v>
      </c>
      <c r="BA8"/>
      <c r="BB8" s="14">
        <v>1.6128994524478912E-2</v>
      </c>
      <c r="BC8" s="11">
        <v>5.7072015479207039E-3</v>
      </c>
      <c r="BD8"/>
      <c r="BE8" s="11">
        <v>9.9438047036528587E-3</v>
      </c>
      <c r="BF8"/>
      <c r="BG8" s="11">
        <v>1.9881594926118851E-3</v>
      </c>
      <c r="BH8" s="11">
        <v>4.1344654746353626E-3</v>
      </c>
      <c r="BI8"/>
      <c r="BJ8" s="11">
        <v>8.6647731950506568E-4</v>
      </c>
      <c r="BK8"/>
      <c r="BL8"/>
      <c r="BM8" s="11">
        <v>3.3890381455421448E-3</v>
      </c>
      <c r="BN8" s="11">
        <v>1.1075964430347085E-3</v>
      </c>
      <c r="BO8"/>
      <c r="BP8" s="11">
        <v>9.191783145070076E-3</v>
      </c>
      <c r="BQ8"/>
      <c r="BR8" s="25">
        <v>0.46872061491012573</v>
      </c>
      <c r="BS8" s="21">
        <v>0.29885965585708618</v>
      </c>
      <c r="BT8" s="12">
        <v>5.1245614886283875E-2</v>
      </c>
      <c r="BU8"/>
      <c r="BV8" s="17">
        <v>0.2067122757434845</v>
      </c>
      <c r="BW8"/>
      <c r="BX8" s="25">
        <v>0.48509842157363892</v>
      </c>
      <c r="BY8"/>
      <c r="BZ8"/>
      <c r="CA8"/>
      <c r="CB8"/>
      <c r="CC8"/>
      <c r="CD8"/>
      <c r="CE8"/>
      <c r="CF8"/>
      <c r="CG8" s="11">
        <v>1.0056321509182453E-2</v>
      </c>
      <c r="CH8"/>
      <c r="CI8"/>
      <c r="CJ8"/>
      <c r="CK8"/>
      <c r="CL8"/>
      <c r="CM8"/>
      <c r="CN8"/>
      <c r="CO8" s="14">
        <v>2.4157688021659851E-2</v>
      </c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183</v>
      </c>
      <c r="B9">
        <v>14</v>
      </c>
      <c r="C9">
        <v>2.099998950958252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 s="64">
        <v>0.45408192276954651</v>
      </c>
      <c r="AD9" s="103">
        <v>0.4965609610080719</v>
      </c>
      <c r="AE9" s="25">
        <v>0.42814719676971436</v>
      </c>
      <c r="AF9" s="91">
        <v>1.9341758489608765</v>
      </c>
      <c r="AG9" s="269">
        <v>4.6615495681762695</v>
      </c>
      <c r="AH9"/>
      <c r="AI9"/>
      <c r="AJ9" s="139">
        <v>0.89011889696121216</v>
      </c>
      <c r="AK9" s="11">
        <v>6.7962257890030742E-4</v>
      </c>
      <c r="AL9" s="108">
        <v>1.0415512323379517</v>
      </c>
      <c r="AM9" s="11">
        <v>1.7060701502487063E-3</v>
      </c>
      <c r="AN9" s="18">
        <v>0.15873081982135773</v>
      </c>
      <c r="AO9" s="15">
        <v>0.1371997743844986</v>
      </c>
      <c r="AP9" s="14">
        <v>3.3853843808174133E-2</v>
      </c>
      <c r="AQ9" s="11">
        <v>1.1723677162081003E-3</v>
      </c>
      <c r="AR9" s="11">
        <v>1.9804725889116526E-4</v>
      </c>
      <c r="AS9" s="11">
        <v>4.0744873695075512E-3</v>
      </c>
      <c r="AT9" s="11">
        <v>1.3441784540191293E-3</v>
      </c>
      <c r="AU9" s="11">
        <v>4.2490815394558012E-4</v>
      </c>
      <c r="AV9" s="23">
        <v>8.71695876121521E-2</v>
      </c>
      <c r="AW9" s="12">
        <v>5.2667107433080673E-2</v>
      </c>
      <c r="AX9"/>
      <c r="AY9"/>
      <c r="AZ9" s="11">
        <v>4.6640811488032341E-3</v>
      </c>
      <c r="BA9"/>
      <c r="BB9" s="14">
        <v>1.4688656665384769E-2</v>
      </c>
      <c r="BC9" s="11">
        <v>5.1975417882204056E-3</v>
      </c>
      <c r="BD9"/>
      <c r="BE9" s="11">
        <v>8.0495011061429977E-3</v>
      </c>
      <c r="BF9" s="14">
        <v>3.5561442375183105E-2</v>
      </c>
      <c r="BG9" s="11">
        <v>1.810614368878305E-3</v>
      </c>
      <c r="BH9" s="11">
        <v>3.7652533501386642E-3</v>
      </c>
      <c r="BI9"/>
      <c r="BJ9" s="11">
        <v>7.8909983858466148E-4</v>
      </c>
      <c r="BK9"/>
      <c r="BL9"/>
      <c r="BM9" s="11">
        <v>3.0863932333886623E-3</v>
      </c>
      <c r="BN9" s="11">
        <v>1.0086867259815335E-3</v>
      </c>
      <c r="BO9"/>
      <c r="BP9" s="11">
        <v>8.3709470927715302E-3</v>
      </c>
      <c r="BQ9"/>
      <c r="BR9" s="25">
        <v>0.42686328291893005</v>
      </c>
      <c r="BS9" s="21">
        <v>0.27217119932174683</v>
      </c>
      <c r="BT9" s="12">
        <v>4.6669322997331619E-2</v>
      </c>
      <c r="BU9"/>
      <c r="BV9" s="17">
        <v>0.18825262784957886</v>
      </c>
      <c r="BW9"/>
      <c r="BX9" s="25">
        <v>0.44177857041358948</v>
      </c>
      <c r="BY9"/>
      <c r="BZ9"/>
      <c r="CA9"/>
      <c r="CB9"/>
      <c r="CC9"/>
      <c r="CD9"/>
      <c r="CE9"/>
      <c r="CF9" s="14">
        <v>1.9555414095520973E-2</v>
      </c>
      <c r="CG9" s="11">
        <v>6.7838192917406559E-3</v>
      </c>
      <c r="CH9" s="11">
        <v>7.6289102435112E-4</v>
      </c>
      <c r="CI9" s="11">
        <v>7.2952889604493976E-4</v>
      </c>
      <c r="CJ9" s="11">
        <v>1.3376834103837609E-3</v>
      </c>
      <c r="CK9" s="11">
        <v>5.8584974613040686E-4</v>
      </c>
      <c r="CL9"/>
      <c r="CM9" s="11">
        <v>1.098093343898654E-4</v>
      </c>
      <c r="CN9"/>
      <c r="CO9" s="14">
        <v>2.2000377997756004E-2</v>
      </c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184</v>
      </c>
      <c r="B10">
        <v>3</v>
      </c>
      <c r="C10">
        <v>0.4500001072883606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 s="21">
        <v>6.0001902282238007E-2</v>
      </c>
      <c r="AD10" s="109">
        <v>0.16731834411621094</v>
      </c>
      <c r="AE10"/>
      <c r="AF10" s="154">
        <v>0.85193330049514771</v>
      </c>
      <c r="AG10"/>
      <c r="AH10"/>
      <c r="AI10"/>
      <c r="AJ10" s="87">
        <v>6.5860316157341003E-2</v>
      </c>
      <c r="AK10" s="11">
        <v>2.9444138635881245E-4</v>
      </c>
      <c r="AL10" s="93">
        <v>0.18159240484237671</v>
      </c>
      <c r="AM10"/>
      <c r="AN10" s="95">
        <v>0.23059746623039246</v>
      </c>
      <c r="AO10" s="24">
        <v>8.0575264990329742E-2</v>
      </c>
      <c r="AP10" s="65">
        <v>0.11873351782560349</v>
      </c>
      <c r="AQ10" s="11">
        <v>1.0702172294259071E-3</v>
      </c>
      <c r="AR10"/>
      <c r="AS10"/>
      <c r="AT10"/>
      <c r="AU10"/>
      <c r="AV10"/>
      <c r="AW10" s="65">
        <v>0.11693859845399857</v>
      </c>
      <c r="AX10" s="23">
        <v>1.9840948283672333E-2</v>
      </c>
      <c r="AY10" s="11">
        <v>8.1363151548430324E-4</v>
      </c>
      <c r="AZ10" s="11">
        <v>3.5370650584809482E-4</v>
      </c>
      <c r="BA10"/>
      <c r="BB10" s="17">
        <v>4.3094083666801453E-2</v>
      </c>
      <c r="BC10" s="14">
        <v>4.6081910841166973E-3</v>
      </c>
      <c r="BD10" s="11">
        <v>7.8172254143282771E-4</v>
      </c>
      <c r="BE10" s="23">
        <v>1.9489960744976997E-2</v>
      </c>
      <c r="BF10" s="19">
        <v>5.1662161946296692E-2</v>
      </c>
      <c r="BG10" s="11">
        <v>9.5508067170158029E-4</v>
      </c>
      <c r="BH10"/>
      <c r="BI10"/>
      <c r="BJ10" s="11">
        <v>1.0427084052935243E-3</v>
      </c>
      <c r="BK10"/>
      <c r="BL10"/>
      <c r="BM10" s="23">
        <v>1.7459508031606674E-2</v>
      </c>
      <c r="BN10"/>
      <c r="BO10"/>
      <c r="BP10" s="14">
        <v>3.916220273822546E-3</v>
      </c>
      <c r="BQ10"/>
      <c r="BR10" s="151">
        <v>0.26859650015830994</v>
      </c>
      <c r="BS10" s="63">
        <v>0.13497540354728699</v>
      </c>
      <c r="BT10" s="23">
        <v>1.9117189571261406E-2</v>
      </c>
      <c r="BU10"/>
      <c r="BV10" s="87">
        <v>6.2188763171434402E-2</v>
      </c>
      <c r="BW10"/>
      <c r="BX10"/>
      <c r="BY10"/>
      <c r="BZ10"/>
      <c r="CA10"/>
      <c r="CB10"/>
      <c r="CC10"/>
      <c r="CD10"/>
      <c r="CE10"/>
      <c r="CF10" s="14">
        <v>7.5758085586130619E-3</v>
      </c>
      <c r="CG10" s="14">
        <v>3.9420989342033863E-3</v>
      </c>
      <c r="CH10" s="11">
        <v>2.2165919654071331E-4</v>
      </c>
      <c r="CI10" s="11">
        <v>2.1196578745730221E-4</v>
      </c>
      <c r="CJ10" s="11">
        <v>3.533327835611999E-4</v>
      </c>
      <c r="CK10" s="11">
        <v>2.2695942607242614E-4</v>
      </c>
      <c r="CL10" s="11">
        <v>1.3576776836998761E-4</v>
      </c>
      <c r="CM10" s="11">
        <v>3.1871648388914764E-5</v>
      </c>
      <c r="CN10"/>
      <c r="CO10" s="12">
        <v>1.3488976284861565E-2</v>
      </c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185</v>
      </c>
      <c r="B11">
        <v>10</v>
      </c>
      <c r="C11">
        <v>2.3874807357788086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 s="64">
        <v>0.3324054479598999</v>
      </c>
      <c r="AD11" s="13">
        <v>0.36350175738334656</v>
      </c>
      <c r="AE11" s="25">
        <v>0.31342026591300964</v>
      </c>
      <c r="AF11" s="244">
        <v>1.415891170501709</v>
      </c>
      <c r="AG11" s="157">
        <v>1.8348749876022339</v>
      </c>
      <c r="AH11"/>
      <c r="AI11"/>
      <c r="AJ11" s="100">
        <v>0.65160137414932251</v>
      </c>
      <c r="AK11" s="11">
        <v>4.9750990001484752E-4</v>
      </c>
      <c r="AL11" s="64">
        <v>0.32715967297554016</v>
      </c>
      <c r="AM11" s="11">
        <v>1.5109691594261676E-4</v>
      </c>
      <c r="AN11" s="63">
        <v>0.44985228776931763</v>
      </c>
      <c r="AO11" s="15">
        <v>0.1004355251789093</v>
      </c>
      <c r="AP11" s="14">
        <v>2.4782314896583557E-2</v>
      </c>
      <c r="AQ11" s="11">
        <v>8.582182927057147E-4</v>
      </c>
      <c r="AR11" s="14">
        <v>1.0523950681090355E-2</v>
      </c>
      <c r="AS11" s="11">
        <v>4.8251347616314888E-3</v>
      </c>
      <c r="AT11" s="11">
        <v>6.0832621529698372E-3</v>
      </c>
      <c r="AU11" s="11">
        <v>1.3848464004695415E-3</v>
      </c>
      <c r="AV11" s="23">
        <v>6.3811495900154114E-2</v>
      </c>
      <c r="AW11" s="12">
        <v>3.8554348051548004E-2</v>
      </c>
      <c r="AX11" s="14">
        <v>2.2911248728632927E-2</v>
      </c>
      <c r="AY11" s="11">
        <v>9.9202629644423723E-4</v>
      </c>
      <c r="AZ11" s="11">
        <v>3.4142874646931887E-3</v>
      </c>
      <c r="BA11" s="11">
        <v>1.0003935312852263E-4</v>
      </c>
      <c r="BB11" s="14">
        <v>1.0752663016319275E-2</v>
      </c>
      <c r="BC11" s="11">
        <v>3.8048010319471359E-3</v>
      </c>
      <c r="BD11" s="22">
        <v>8.5780888795852661E-2</v>
      </c>
      <c r="BE11" s="11">
        <v>9.4958068802952766E-3</v>
      </c>
      <c r="BF11" s="20">
        <v>0.44092640280723572</v>
      </c>
      <c r="BG11" s="11">
        <v>1.3254394289106131E-3</v>
      </c>
      <c r="BH11" s="11">
        <v>2.7563103940337896E-3</v>
      </c>
      <c r="BI11"/>
      <c r="BJ11" s="11">
        <v>5.7765154633671045E-4</v>
      </c>
      <c r="BK11"/>
      <c r="BL11"/>
      <c r="BM11" s="11">
        <v>2.2593585308641195E-3</v>
      </c>
      <c r="BN11" s="11">
        <v>7.3839753167703748E-4</v>
      </c>
      <c r="BO11"/>
      <c r="BP11" s="11">
        <v>6.1278557404875755E-3</v>
      </c>
      <c r="BQ11"/>
      <c r="BR11" s="25">
        <v>0.3124803900718689</v>
      </c>
      <c r="BS11" s="21">
        <v>0.19923979043960571</v>
      </c>
      <c r="BT11" s="12">
        <v>3.4163743257522583E-2</v>
      </c>
      <c r="BU11"/>
      <c r="BV11" s="17">
        <v>0.1378081887960434</v>
      </c>
      <c r="BW11"/>
      <c r="BX11" s="25">
        <v>0.32339894771575928</v>
      </c>
      <c r="BY11"/>
      <c r="BZ11"/>
      <c r="CA11"/>
      <c r="CB11"/>
      <c r="CC11"/>
      <c r="CD11"/>
      <c r="CE11"/>
      <c r="CF11" s="14">
        <v>1.8473722040653229E-2</v>
      </c>
      <c r="CG11" s="11">
        <v>9.6128666773438454E-3</v>
      </c>
      <c r="CH11" s="11">
        <v>5.4051924962550402E-4</v>
      </c>
      <c r="CI11" s="11">
        <v>5.3388439118862152E-4</v>
      </c>
      <c r="CJ11" s="11">
        <v>9.8301563411951065E-4</v>
      </c>
      <c r="CK11" s="11">
        <v>6.9180491846054792E-4</v>
      </c>
      <c r="CL11" s="11">
        <v>3.310717293061316E-4</v>
      </c>
      <c r="CM11" s="11">
        <v>1.36152608320117E-4</v>
      </c>
      <c r="CN11" s="14">
        <v>2.5441452860832214E-2</v>
      </c>
      <c r="CO11" s="14">
        <v>1.6105124726891518E-2</v>
      </c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186</v>
      </c>
      <c r="B12">
        <v>45</v>
      </c>
      <c r="C12">
        <v>22.101573944091797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 s="13">
        <v>1.6576727628707886</v>
      </c>
      <c r="AC12" s="24">
        <v>1.2226392030715942</v>
      </c>
      <c r="AD12" s="108">
        <v>3.3425405025482178</v>
      </c>
      <c r="AE12"/>
      <c r="AF12" s="65">
        <v>1.7359564304351807</v>
      </c>
      <c r="AG12" s="270">
        <v>13.492642402648926</v>
      </c>
      <c r="AH12"/>
      <c r="AI12"/>
      <c r="AJ12"/>
      <c r="AK12" s="11">
        <v>2.9998680474818684E-5</v>
      </c>
      <c r="AL12" s="14">
        <v>0.12980437278747559</v>
      </c>
      <c r="AM12"/>
      <c r="AN12" s="14">
        <v>0.10149427503347397</v>
      </c>
      <c r="AO12"/>
      <c r="AP12" s="23">
        <v>0.30512118339538574</v>
      </c>
      <c r="AQ12" s="11">
        <v>9.1785541735589504E-4</v>
      </c>
      <c r="AR12"/>
      <c r="AS12"/>
      <c r="AT12" s="11">
        <v>4.1946124838432297E-5</v>
      </c>
      <c r="AU12" s="11">
        <v>7.6784176053479314E-4</v>
      </c>
      <c r="AV12" s="14">
        <v>5.3245630115270615E-2</v>
      </c>
      <c r="AW12" s="11">
        <v>2.2794187534600496E-3</v>
      </c>
      <c r="AX12" s="11">
        <v>4.4778157025575638E-3</v>
      </c>
      <c r="AY12"/>
      <c r="AZ12" s="11">
        <v>2.9514094348996878E-3</v>
      </c>
      <c r="BA12" s="11">
        <v>6.6875756601803005E-5</v>
      </c>
      <c r="BB12" s="11">
        <v>1.8483528401702642E-3</v>
      </c>
      <c r="BC12" s="11">
        <v>8.867582306265831E-3</v>
      </c>
      <c r="BD12"/>
      <c r="BE12" s="11">
        <v>1.4468926005065441E-2</v>
      </c>
      <c r="BF12" s="17">
        <v>0.6316218376159668</v>
      </c>
      <c r="BG12"/>
      <c r="BH12" s="11">
        <v>8.5194455459713936E-3</v>
      </c>
      <c r="BI12"/>
      <c r="BJ12"/>
      <c r="BK12"/>
      <c r="BL12"/>
      <c r="BM12" s="11">
        <v>1.1524402070790529E-3</v>
      </c>
      <c r="BN12" s="11">
        <v>5.7166456244885921E-3</v>
      </c>
      <c r="BO12" s="11">
        <v>3.6208704113960266E-3</v>
      </c>
      <c r="BP12"/>
      <c r="BQ12"/>
      <c r="BR12" s="14">
        <v>6.9107227027416229E-2</v>
      </c>
      <c r="BS12" s="14">
        <v>7.7139101922512054E-2</v>
      </c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 s="11">
        <v>2.2808493667980656E-5</v>
      </c>
      <c r="CN12"/>
      <c r="CO12" s="11">
        <v>2.369486540555954E-2</v>
      </c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187</v>
      </c>
      <c r="B13">
        <v>20</v>
      </c>
      <c r="C13">
        <v>9.8156251907348633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 s="13">
        <v>0.7367435097694397</v>
      </c>
      <c r="AC13" s="24">
        <v>0.54339522123336792</v>
      </c>
      <c r="AD13" s="108">
        <v>1.4855735301971436</v>
      </c>
      <c r="AE13"/>
      <c r="AF13" s="65">
        <v>0.77153623104095459</v>
      </c>
      <c r="AG13" s="270">
        <v>5.996729850769043</v>
      </c>
      <c r="AH13"/>
      <c r="AI13"/>
      <c r="AJ13"/>
      <c r="AK13" s="11">
        <v>1.3332744856597856E-5</v>
      </c>
      <c r="AL13" s="14">
        <v>5.7690825313329697E-2</v>
      </c>
      <c r="AM13"/>
      <c r="AN13" s="14">
        <v>4.5108567923307419E-2</v>
      </c>
      <c r="AO13"/>
      <c r="AP13" s="23">
        <v>0.13560940325260162</v>
      </c>
      <c r="AQ13" s="11">
        <v>4.0793573134578764E-4</v>
      </c>
      <c r="AR13"/>
      <c r="AS13"/>
      <c r="AT13" s="11">
        <v>1.8642722352524288E-5</v>
      </c>
      <c r="AU13" s="11">
        <v>3.4126298851333559E-4</v>
      </c>
      <c r="AV13" s="14">
        <v>2.3664725944399834E-2</v>
      </c>
      <c r="AW13" s="11">
        <v>1.0130750015377998E-3</v>
      </c>
      <c r="AX13" s="11">
        <v>1.9901406485587358E-3</v>
      </c>
      <c r="AY13"/>
      <c r="AZ13" s="11">
        <v>1.3117374619469047E-3</v>
      </c>
      <c r="BA13" s="11">
        <v>2.9722559702349827E-5</v>
      </c>
      <c r="BB13" s="11">
        <v>8.2149007357656956E-4</v>
      </c>
      <c r="BC13" s="11">
        <v>3.9411471225321293E-3</v>
      </c>
      <c r="BD13"/>
      <c r="BE13" s="11">
        <v>1.3726398348808289E-2</v>
      </c>
      <c r="BF13" s="17">
        <v>0.28072082996368408</v>
      </c>
      <c r="BG13"/>
      <c r="BH13" s="11">
        <v>3.7864204496145248E-3</v>
      </c>
      <c r="BI13"/>
      <c r="BJ13"/>
      <c r="BK13"/>
      <c r="BL13"/>
      <c r="BM13" s="11">
        <v>5.1219569286331534E-4</v>
      </c>
      <c r="BN13" s="11">
        <v>2.5407315697520971E-3</v>
      </c>
      <c r="BO13" s="11">
        <v>1.6092759324237704E-3</v>
      </c>
      <c r="BP13"/>
      <c r="BQ13"/>
      <c r="BR13" s="14">
        <v>3.0714321881532669E-2</v>
      </c>
      <c r="BS13" s="14">
        <v>3.4284044057130814E-2</v>
      </c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 s="11">
        <v>1.0137109711649828E-5</v>
      </c>
      <c r="CN13"/>
      <c r="CO13" s="11">
        <v>1.0531052947044373E-2</v>
      </c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188</v>
      </c>
      <c r="B14">
        <v>15</v>
      </c>
      <c r="C14">
        <v>14.681734085083008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 s="12">
        <v>4.4691704213619232E-2</v>
      </c>
      <c r="AC14" s="14">
        <v>3.2696213573217392E-2</v>
      </c>
      <c r="AD14" s="12">
        <v>4.4140350073575974E-2</v>
      </c>
      <c r="AE14"/>
      <c r="AF14"/>
      <c r="AG14"/>
      <c r="AH14"/>
      <c r="AI14"/>
      <c r="AJ14"/>
      <c r="AK14" s="11">
        <v>1.4674018530058675E-5</v>
      </c>
      <c r="AL14"/>
      <c r="AM14"/>
      <c r="AN14"/>
      <c r="AO14"/>
      <c r="AP14"/>
      <c r="AQ14"/>
      <c r="AR14"/>
      <c r="AS14"/>
      <c r="AT14"/>
      <c r="AU14"/>
      <c r="AV14"/>
      <c r="AW14"/>
      <c r="AX14"/>
      <c r="AY14" s="11">
        <v>2.1644786102115177E-5</v>
      </c>
      <c r="AZ14" s="11">
        <v>9.379042312502861E-4</v>
      </c>
      <c r="BA14" s="11">
        <v>6.5425294451415539E-5</v>
      </c>
      <c r="BB14"/>
      <c r="BC14"/>
      <c r="BD14"/>
      <c r="BE14" s="11">
        <v>9.3246474862098694E-3</v>
      </c>
      <c r="BF14" s="22">
        <v>0.10298709571361542</v>
      </c>
      <c r="BG14" s="11">
        <v>1.6004820645321161E-4</v>
      </c>
      <c r="BH14" s="11">
        <v>6.2510003335773945E-3</v>
      </c>
      <c r="BI14"/>
      <c r="BJ14"/>
      <c r="BK14"/>
      <c r="BL14"/>
      <c r="BM14"/>
      <c r="BN14"/>
      <c r="BO14"/>
      <c r="BP14" s="11">
        <v>2.1000341512262821E-3</v>
      </c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 s="11">
        <v>5.6330714869545773E-5</v>
      </c>
      <c r="CJ14" s="11">
        <v>4.2874220525845885E-5</v>
      </c>
      <c r="CK14"/>
      <c r="CL14"/>
      <c r="CM14"/>
      <c r="CN14"/>
      <c r="CO14" s="14">
        <v>2.5499043986201286E-2</v>
      </c>
      <c r="CP14"/>
      <c r="CQ14"/>
      <c r="CR14" s="12">
        <v>4.9276836216449738E-2</v>
      </c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189</v>
      </c>
      <c r="B15">
        <v>6</v>
      </c>
      <c r="C15">
        <v>0.42281913757324219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 s="155">
        <v>0.62675249576568604</v>
      </c>
      <c r="AD15" s="107">
        <v>0.33894854784011841</v>
      </c>
      <c r="AE15"/>
      <c r="AF15" s="61">
        <v>0.17360331118106842</v>
      </c>
      <c r="AG15"/>
      <c r="AH15"/>
      <c r="AI15"/>
      <c r="AJ15" s="141">
        <v>0.31082382798194885</v>
      </c>
      <c r="AK15" s="11">
        <v>1.3500000932253897E-4</v>
      </c>
      <c r="AL15" s="19">
        <v>0.10688065737485886</v>
      </c>
      <c r="AM15" s="14">
        <v>6.9445683620870113E-3</v>
      </c>
      <c r="AN15" s="106">
        <v>0.7565416693687439</v>
      </c>
      <c r="AO15" s="25">
        <v>0.18984794616699219</v>
      </c>
      <c r="AP15" s="100">
        <v>0.38652375340461731</v>
      </c>
      <c r="AQ15" s="11">
        <v>1.0904214577749372E-3</v>
      </c>
      <c r="AR15" s="11">
        <v>5.159375723451376E-5</v>
      </c>
      <c r="AS15" s="11">
        <v>7.8850885620340705E-4</v>
      </c>
      <c r="AT15" s="11">
        <v>4.3771884520538151E-5</v>
      </c>
      <c r="AU15" s="11">
        <v>5.5346911540254951E-4</v>
      </c>
      <c r="AV15" s="103">
        <v>0.21642091870307922</v>
      </c>
      <c r="AW15" s="23">
        <v>4.0395841002464294E-2</v>
      </c>
      <c r="AX15" s="14">
        <v>1.0633915662765503E-2</v>
      </c>
      <c r="AY15" s="11">
        <v>4.0504531934857368E-3</v>
      </c>
      <c r="AZ15" s="11">
        <v>4.3136868043802679E-4</v>
      </c>
      <c r="BA15" s="11">
        <v>3.3439355320297182E-5</v>
      </c>
      <c r="BB15" s="22">
        <v>5.2689161151647568E-2</v>
      </c>
      <c r="BC15" s="15">
        <v>5.5719226598739624E-2</v>
      </c>
      <c r="BD15" s="15">
        <v>6.4530827105045319E-2</v>
      </c>
      <c r="BE15" s="23">
        <v>3.2725822180509567E-2</v>
      </c>
      <c r="BF15" s="271">
        <v>1.1672885417938232</v>
      </c>
      <c r="BG15" s="11">
        <v>3.2720726449042559E-4</v>
      </c>
      <c r="BH15" s="11">
        <v>5.5293645709753036E-3</v>
      </c>
      <c r="BI15"/>
      <c r="BJ15" s="11">
        <v>5.3119654767215252E-3</v>
      </c>
      <c r="BK15"/>
      <c r="BL15"/>
      <c r="BM15" s="11">
        <v>2.1727167768403888E-4</v>
      </c>
      <c r="BN15" s="12">
        <v>2.7160612866282463E-2</v>
      </c>
      <c r="BO15"/>
      <c r="BP15" s="14">
        <v>1.6104256734251976E-2</v>
      </c>
      <c r="BQ15"/>
      <c r="BR15" s="22">
        <v>4.3786760419607162E-2</v>
      </c>
      <c r="BS15" s="23">
        <v>3.6643370985984802E-2</v>
      </c>
      <c r="BT15" s="14">
        <v>1.2566512450575829E-2</v>
      </c>
      <c r="BU15"/>
      <c r="BV15" s="20">
        <v>0.25345119833946228</v>
      </c>
      <c r="BW15" s="24">
        <v>0.16572733223438263</v>
      </c>
      <c r="BX15" s="112">
        <v>0.40127971768379211</v>
      </c>
      <c r="BY15"/>
      <c r="BZ15"/>
      <c r="CA15"/>
      <c r="CB15" s="14">
        <v>8.1958584487438202E-3</v>
      </c>
      <c r="CC15" s="11">
        <v>3.3268418628722429E-3</v>
      </c>
      <c r="CD15"/>
      <c r="CE15"/>
      <c r="CF15" s="11">
        <v>1.5437657712027431E-3</v>
      </c>
      <c r="CG15" s="11">
        <v>1.204955973662436E-3</v>
      </c>
      <c r="CH15" s="11">
        <v>9.0337518486194313E-5</v>
      </c>
      <c r="CI15" s="11">
        <v>7.1979657514020801E-4</v>
      </c>
      <c r="CJ15" s="11">
        <v>2.629599766805768E-4</v>
      </c>
      <c r="CK15" s="11">
        <v>5.7811022998066619E-5</v>
      </c>
      <c r="CL15" s="11">
        <v>2.76661739917472E-5</v>
      </c>
      <c r="CM15" s="11">
        <v>3.2494157494511455E-5</v>
      </c>
      <c r="CN15" s="11">
        <v>1.7716896254569292E-3</v>
      </c>
      <c r="CO15" s="22">
        <v>4.7391824424266815E-2</v>
      </c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190</v>
      </c>
      <c r="B16">
        <v>7</v>
      </c>
      <c r="C16">
        <v>0.74084097146987915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 s="155">
        <v>0.73121130466461182</v>
      </c>
      <c r="AD16" s="107">
        <v>0.39544001221656799</v>
      </c>
      <c r="AE16"/>
      <c r="AF16" s="61">
        <v>0.2025371789932251</v>
      </c>
      <c r="AG16"/>
      <c r="AH16"/>
      <c r="AI16"/>
      <c r="AJ16" s="141">
        <v>0.36262780427932739</v>
      </c>
      <c r="AK16" s="11">
        <v>1.5750000602565706E-4</v>
      </c>
      <c r="AL16" s="19">
        <v>0.1246940940618515</v>
      </c>
      <c r="AM16" s="14">
        <v>8.1019960343837738E-3</v>
      </c>
      <c r="AN16" s="106">
        <v>0.88263177871704102</v>
      </c>
      <c r="AO16" s="25">
        <v>0.22148926556110382</v>
      </c>
      <c r="AP16" s="100">
        <v>0.45094436407089233</v>
      </c>
      <c r="AQ16" s="11">
        <v>1.2721583480015397E-3</v>
      </c>
      <c r="AR16" s="11">
        <v>4.299480133340694E-5</v>
      </c>
      <c r="AS16"/>
      <c r="AT16"/>
      <c r="AU16" s="11">
        <v>1.1622852180153131E-3</v>
      </c>
      <c r="AV16" s="11">
        <v>5.4105231538414955E-3</v>
      </c>
      <c r="AW16" s="23">
        <v>4.7128476202487946E-2</v>
      </c>
      <c r="AX16" s="14">
        <v>1.2406235560774803E-2</v>
      </c>
      <c r="AY16" s="11">
        <v>4.7255288809537888E-3</v>
      </c>
      <c r="AZ16" s="11">
        <v>5.0326349446550012E-4</v>
      </c>
      <c r="BA16" s="11">
        <v>3.9012578781694174E-5</v>
      </c>
      <c r="BB16" s="22">
        <v>6.1470694839954376E-2</v>
      </c>
      <c r="BC16" s="15">
        <v>6.5005764365196228E-2</v>
      </c>
      <c r="BD16" s="15">
        <v>7.5285971164703369E-2</v>
      </c>
      <c r="BE16" s="23">
        <v>3.8180124014616013E-2</v>
      </c>
      <c r="BF16" s="271">
        <v>1.3618366718292236</v>
      </c>
      <c r="BG16" s="11">
        <v>3.8174184737727046E-4</v>
      </c>
      <c r="BH16" s="11">
        <v>6.4509240910410881E-3</v>
      </c>
      <c r="BI16"/>
      <c r="BJ16" s="11">
        <v>6.1972928233444691E-3</v>
      </c>
      <c r="BK16"/>
      <c r="BL16"/>
      <c r="BM16" s="11">
        <v>2.5348359486088157E-4</v>
      </c>
      <c r="BN16" s="12">
        <v>3.1687382608652115E-2</v>
      </c>
      <c r="BO16"/>
      <c r="BP16" s="14">
        <v>1.8788298591971397E-2</v>
      </c>
      <c r="BQ16"/>
      <c r="BR16" s="22">
        <v>5.1084548234939575E-2</v>
      </c>
      <c r="BS16" s="23">
        <v>4.2750600725412369E-2</v>
      </c>
      <c r="BT16" s="14">
        <v>1.4660930261015892E-2</v>
      </c>
      <c r="BU16"/>
      <c r="BV16" s="20">
        <v>0.295693039894104</v>
      </c>
      <c r="BW16" s="24">
        <v>0.19334855675697327</v>
      </c>
      <c r="BX16" s="112">
        <v>0.46815973520278931</v>
      </c>
      <c r="BY16"/>
      <c r="BZ16"/>
      <c r="CA16"/>
      <c r="CB16" s="14">
        <v>9.5618348568677902E-3</v>
      </c>
      <c r="CC16" s="11">
        <v>3.8813154678791761E-3</v>
      </c>
      <c r="CD16"/>
      <c r="CE16"/>
      <c r="CF16" s="11">
        <v>1.8010601634159684E-3</v>
      </c>
      <c r="CG16" s="11">
        <v>1.4057820662856102E-3</v>
      </c>
      <c r="CH16" s="11">
        <v>1.053937739925459E-4</v>
      </c>
      <c r="CI16" s="11">
        <v>8.3976268069818616E-4</v>
      </c>
      <c r="CJ16" s="11">
        <v>3.0678667826578021E-4</v>
      </c>
      <c r="CK16" s="11">
        <v>6.7446191678754985E-5</v>
      </c>
      <c r="CL16" s="11">
        <v>3.2277202990371734E-5</v>
      </c>
      <c r="CM16" s="11">
        <v>3.7909845559624955E-5</v>
      </c>
      <c r="CN16" s="11">
        <v>2.066971268504858E-3</v>
      </c>
      <c r="CO16" s="22">
        <v>5.5290460586547852E-2</v>
      </c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191</v>
      </c>
      <c r="B17">
        <v>3</v>
      </c>
      <c r="C17">
        <v>0.44999992847442627</v>
      </c>
      <c r="D17" s="11">
        <v>1.5172026178333908E-4</v>
      </c>
      <c r="E17" s="11">
        <v>2.4329431198566454E-6</v>
      </c>
      <c r="F17" s="11">
        <v>1.4025580696852558E-7</v>
      </c>
      <c r="G17" s="11">
        <v>2.1073833522677887E-6</v>
      </c>
      <c r="H17" s="11">
        <v>1.6799556760815904E-5</v>
      </c>
      <c r="I17" s="11">
        <v>1.8901464500231668E-5</v>
      </c>
      <c r="J17" s="11">
        <v>3.5299519822729053E-6</v>
      </c>
      <c r="K17" s="11">
        <v>1.126178030972369E-4</v>
      </c>
      <c r="L17" s="11">
        <v>1.0751268564490601E-4</v>
      </c>
      <c r="M17" s="11">
        <v>2.286062044731807E-5</v>
      </c>
      <c r="N17" s="11">
        <v>3.1199798104353249E-4</v>
      </c>
      <c r="O17" s="11">
        <v>3.0981245799921453E-4</v>
      </c>
      <c r="P17" s="11">
        <v>6.0114609368611127E-5</v>
      </c>
      <c r="Q17" s="11">
        <v>4.1016704699359252E-8</v>
      </c>
      <c r="R17" s="11">
        <v>1.4600152553612133E-7</v>
      </c>
      <c r="S17" s="11">
        <v>1.7817290753896486E-8</v>
      </c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 s="12">
        <v>1.2000001966953278E-2</v>
      </c>
      <c r="AK17" s="14">
        <v>3.1271732877939939E-3</v>
      </c>
      <c r="AL17"/>
      <c r="AM17" s="11">
        <v>1.535536372102797E-3</v>
      </c>
      <c r="AN17"/>
      <c r="AO17"/>
      <c r="AP17" s="18">
        <v>3.3578213304281235E-2</v>
      </c>
      <c r="AQ17"/>
      <c r="AR17" s="11">
        <v>2.037154627032578E-4</v>
      </c>
      <c r="AS17" s="11">
        <v>7.1847438812255859E-4</v>
      </c>
      <c r="AT17" s="12">
        <v>1.1078689247369766E-2</v>
      </c>
      <c r="AU17"/>
      <c r="AV17"/>
      <c r="AW17" s="15">
        <v>2.8220314532518387E-2</v>
      </c>
      <c r="AX17" s="64">
        <v>9.8555639386177063E-2</v>
      </c>
      <c r="AY17" s="11">
        <v>1.4414719771593809E-3</v>
      </c>
      <c r="AZ17" s="12">
        <v>1.2492271140217781E-2</v>
      </c>
      <c r="BA17" s="11">
        <v>1.2780857505276799E-3</v>
      </c>
      <c r="BB17" s="12">
        <v>9.1534042730927467E-3</v>
      </c>
      <c r="BC17" s="20">
        <v>0.13011555373668671</v>
      </c>
      <c r="BD17" s="11">
        <v>2.7661460917443037E-3</v>
      </c>
      <c r="BE17" s="17">
        <v>4.2643561959266663E-2</v>
      </c>
      <c r="BF17" s="262">
        <v>0.92204499244689941</v>
      </c>
      <c r="BG17" s="12">
        <v>1.0317608714103699E-2</v>
      </c>
      <c r="BH17" s="24">
        <v>8.0001384019851685E-2</v>
      </c>
      <c r="BI17" s="94">
        <v>0.14666885137557983</v>
      </c>
      <c r="BJ17" s="23">
        <v>1.845715194940567E-2</v>
      </c>
      <c r="BK17" s="12">
        <v>1.1082126758992672E-2</v>
      </c>
      <c r="BL17" s="22">
        <v>2.1054849028587341E-2</v>
      </c>
      <c r="BM17" s="11">
        <v>9.5118494937196374E-4</v>
      </c>
      <c r="BN17" s="15">
        <v>3.1455498188734055E-2</v>
      </c>
      <c r="BO17"/>
      <c r="BP17" s="12">
        <v>1.3985541649162769E-2</v>
      </c>
      <c r="BQ17" s="17">
        <v>3.936275839805603E-2</v>
      </c>
      <c r="BR17"/>
      <c r="BS17"/>
      <c r="BT17"/>
      <c r="BU17"/>
      <c r="BV17"/>
      <c r="BW17"/>
      <c r="BX17"/>
      <c r="BY17"/>
      <c r="BZ17"/>
      <c r="CA17"/>
      <c r="CB17"/>
      <c r="CC17" s="15">
        <v>2.8898922726511955E-2</v>
      </c>
      <c r="CD17"/>
      <c r="CE17"/>
      <c r="CF17" s="112">
        <v>0.20115098357200623</v>
      </c>
      <c r="CG17" s="102">
        <v>0.27911901473999023</v>
      </c>
      <c r="CH17" s="14">
        <v>7.8472532331943512E-3</v>
      </c>
      <c r="CI17" s="11">
        <v>2.500960836187005E-4</v>
      </c>
      <c r="CJ17" s="87">
        <v>6.2816224992275238E-2</v>
      </c>
      <c r="CK17" s="14">
        <v>6.0261702165007591E-3</v>
      </c>
      <c r="CL17" s="11">
        <v>7.2097434895113111E-4</v>
      </c>
      <c r="CM17" s="11">
        <v>3.7650708691217005E-5</v>
      </c>
      <c r="CN17"/>
      <c r="CO17" s="17">
        <v>4.1167348623275757E-2</v>
      </c>
      <c r="CP17" s="11">
        <v>9.1741699725389481E-4</v>
      </c>
      <c r="CQ17" s="12">
        <v>1.4314779080450535E-2</v>
      </c>
      <c r="CR17" s="63">
        <v>0.13341109454631805</v>
      </c>
      <c r="CS17" s="24">
        <v>8.4200829267501831E-2</v>
      </c>
      <c r="CT17" s="14">
        <v>3.7102471105754375E-3</v>
      </c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192</v>
      </c>
      <c r="B18">
        <v>2.75</v>
      </c>
      <c r="C18">
        <v>0.59145516157150269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 s="21">
        <v>5.4999999701976776E-2</v>
      </c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 s="15">
        <v>2.4522194638848305E-2</v>
      </c>
      <c r="BB18"/>
      <c r="BC18"/>
      <c r="BD18"/>
      <c r="BE18"/>
      <c r="BF18"/>
      <c r="BG18"/>
      <c r="BH18"/>
      <c r="BI18"/>
      <c r="BJ18" s="238">
        <v>0.77908837795257568</v>
      </c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 s="17">
        <v>3.8724761456251144E-2</v>
      </c>
      <c r="CQ18" s="186">
        <v>0.50377374887466431</v>
      </c>
      <c r="CR18" s="101">
        <v>0.36939114332199097</v>
      </c>
      <c r="CS18" s="236">
        <v>0.35541713237762451</v>
      </c>
      <c r="CT18" s="18">
        <v>3.262748196721077E-2</v>
      </c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193</v>
      </c>
      <c r="B19">
        <v>1.7999999523162842</v>
      </c>
      <c r="C19">
        <v>0.16478182375431061</v>
      </c>
      <c r="D19" s="11">
        <v>3.6738583003170788E-4</v>
      </c>
      <c r="E19" s="11">
        <v>7.2746161094983108E-6</v>
      </c>
      <c r="F19" s="11">
        <v>3.6299812222750916E-7</v>
      </c>
      <c r="G19" s="11">
        <v>8.0325287399318768E-7</v>
      </c>
      <c r="H19" s="11">
        <v>4.2366544221295044E-5</v>
      </c>
      <c r="I19" s="11">
        <v>5.5865129979792982E-5</v>
      </c>
      <c r="J19" s="11">
        <v>1.301775046158582E-4</v>
      </c>
      <c r="K19" s="11">
        <v>1.151169853983447E-4</v>
      </c>
      <c r="L19" s="11">
        <v>1.7631751688895747E-5</v>
      </c>
      <c r="M19" s="11">
        <v>7.886644743848592E-5</v>
      </c>
      <c r="N19" s="11">
        <v>1.934768988576252E-5</v>
      </c>
      <c r="O19" s="11">
        <v>1.2598875036928803E-4</v>
      </c>
      <c r="P19" s="11">
        <v>8.6258594819810241E-5</v>
      </c>
      <c r="Q19" s="11">
        <v>3.3823627632045827E-7</v>
      </c>
      <c r="R19" s="11">
        <v>4.1694306673889514E-7</v>
      </c>
      <c r="S19" s="11">
        <v>1.142444943980081E-6</v>
      </c>
      <c r="T19" s="11">
        <v>3.7624163269356359E-6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 s="96">
        <v>9.6712060272693634E-2</v>
      </c>
      <c r="AK19" s="11">
        <v>2.4708770797587931E-4</v>
      </c>
      <c r="AL19"/>
      <c r="AM19"/>
      <c r="AN19"/>
      <c r="AO19"/>
      <c r="AP19"/>
      <c r="AQ19"/>
      <c r="AR19" s="14">
        <v>3.9596632122993469E-3</v>
      </c>
      <c r="AS19" s="14">
        <v>2.2139870561659336E-3</v>
      </c>
      <c r="AT19" s="14">
        <v>2.9947455041110516E-3</v>
      </c>
      <c r="AU19" s="11">
        <v>1.6697125101927668E-4</v>
      </c>
      <c r="AV19"/>
      <c r="AW19"/>
      <c r="AX19" s="63">
        <v>8.1018172204494476E-2</v>
      </c>
      <c r="AY19" s="18">
        <v>1.9941596314311028E-2</v>
      </c>
      <c r="AZ19" s="14">
        <v>2.9744778294116259E-3</v>
      </c>
      <c r="BA19" s="14">
        <v>2.0258021540939808E-3</v>
      </c>
      <c r="BB19" s="19">
        <v>3.1134424731135368E-2</v>
      </c>
      <c r="BC19" s="22">
        <v>1.2914577499032021E-2</v>
      </c>
      <c r="BD19" s="96">
        <v>9.4118610024452209E-2</v>
      </c>
      <c r="BE19" s="24">
        <v>4.8355501145124435E-2</v>
      </c>
      <c r="BF19" s="177">
        <v>0.62221479415893555</v>
      </c>
      <c r="BG19" s="17">
        <v>2.6349645107984543E-2</v>
      </c>
      <c r="BH19" s="26">
        <v>4.5353397727012634E-2</v>
      </c>
      <c r="BI19" s="23">
        <v>1.1642612516880035E-2</v>
      </c>
      <c r="BJ19" s="62">
        <v>4.3535415083169937E-2</v>
      </c>
      <c r="BK19" s="11">
        <v>1.3823893386870623E-3</v>
      </c>
      <c r="BL19" s="19">
        <v>3.3272180706262589E-2</v>
      </c>
      <c r="BM19" s="11">
        <v>5.3506577387452126E-4</v>
      </c>
      <c r="BN19" s="23">
        <v>1.1596989817917347E-2</v>
      </c>
      <c r="BO19"/>
      <c r="BP19" s="18">
        <v>2.2084558382630348E-2</v>
      </c>
      <c r="BQ19"/>
      <c r="BR19"/>
      <c r="BS19"/>
      <c r="BT19"/>
      <c r="BU19"/>
      <c r="BV19"/>
      <c r="BW19"/>
      <c r="BX19"/>
      <c r="BY19"/>
      <c r="BZ19"/>
      <c r="CA19"/>
      <c r="CB19"/>
      <c r="CC19" s="15">
        <v>1.7125455662608147E-2</v>
      </c>
      <c r="CD19"/>
      <c r="CE19"/>
      <c r="CF19" s="139">
        <v>0.11405301094055176</v>
      </c>
      <c r="CG19" s="96">
        <v>9.4956621527671814E-2</v>
      </c>
      <c r="CH19" s="12">
        <v>8.5428636521100998E-3</v>
      </c>
      <c r="CI19" s="12">
        <v>5.9284302406013012E-3</v>
      </c>
      <c r="CJ19" s="14">
        <v>3.2379026524722576E-3</v>
      </c>
      <c r="CK19" s="14">
        <v>3.2801763154566288E-3</v>
      </c>
      <c r="CL19" s="14">
        <v>3.4175170585513115E-3</v>
      </c>
      <c r="CM19" s="11">
        <v>3.1237813527695835E-4</v>
      </c>
      <c r="CN19"/>
      <c r="CO19" s="141">
        <v>9.3367874622344971E-2</v>
      </c>
      <c r="CP19" s="14">
        <v>3.2402127981185913E-3</v>
      </c>
      <c r="CQ19" s="18">
        <v>2.1981382742524147E-2</v>
      </c>
      <c r="CR19" s="62">
        <v>4.182891920208931E-2</v>
      </c>
      <c r="CS19" s="12">
        <v>5.4903342388570309E-3</v>
      </c>
      <c r="CT19" s="11">
        <v>6.5741169964894652E-4</v>
      </c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194</v>
      </c>
      <c r="B20">
        <v>1.1333333253860474</v>
      </c>
      <c r="C20">
        <v>0.16509650647640228</v>
      </c>
      <c r="D20" s="12">
        <v>5.335658323019743E-3</v>
      </c>
      <c r="E20" s="11">
        <v>1.129370866692625E-4</v>
      </c>
      <c r="F20" s="11">
        <v>5.6379826673946809E-6</v>
      </c>
      <c r="G20" s="11">
        <v>1.1231030839553569E-5</v>
      </c>
      <c r="H20" s="11">
        <v>5.5104464991018176E-4</v>
      </c>
      <c r="I20" s="11">
        <v>8.2766864215955138E-4</v>
      </c>
      <c r="J20" s="11">
        <v>1.8972490215674043E-4</v>
      </c>
      <c r="K20" s="14">
        <v>1.2034975225105882E-3</v>
      </c>
      <c r="L20" s="11">
        <v>3.5777766606770456E-4</v>
      </c>
      <c r="M20" s="14">
        <v>1.1199414730072021E-3</v>
      </c>
      <c r="N20" s="11">
        <v>2.7736206538975239E-4</v>
      </c>
      <c r="O20" s="14">
        <v>1.8603475764393806E-3</v>
      </c>
      <c r="P20" s="14">
        <v>1.2388169998303056E-3</v>
      </c>
      <c r="Q20" s="11">
        <v>3.9385222407872789E-6</v>
      </c>
      <c r="R20" s="11">
        <v>5.6823387240001466E-6</v>
      </c>
      <c r="S20" s="11">
        <v>1.9385026462259702E-5</v>
      </c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 s="26">
        <v>2.7925120666623116E-2</v>
      </c>
      <c r="AK20" s="11">
        <v>1.783633342711255E-4</v>
      </c>
      <c r="AL20"/>
      <c r="AM20"/>
      <c r="AN20"/>
      <c r="AO20"/>
      <c r="AP20"/>
      <c r="AQ20"/>
      <c r="AR20"/>
      <c r="AS20"/>
      <c r="AT20"/>
      <c r="AU20"/>
      <c r="AV20"/>
      <c r="AW20"/>
      <c r="AX20" s="63">
        <v>5.1011446863412857E-2</v>
      </c>
      <c r="AY20" s="18">
        <v>1.2555819936096668E-2</v>
      </c>
      <c r="AZ20" s="14">
        <v>1.872819266282022E-3</v>
      </c>
      <c r="BA20" s="14">
        <v>1.2755051720887423E-3</v>
      </c>
      <c r="BB20" s="19">
        <v>1.9603155553340912E-2</v>
      </c>
      <c r="BC20" s="22">
        <v>8.1314016133546829E-3</v>
      </c>
      <c r="BD20" s="96">
        <v>5.9259869158267975E-2</v>
      </c>
      <c r="BE20" s="24">
        <v>3.0446058139204979E-2</v>
      </c>
      <c r="BF20" s="177">
        <v>0.39176484942436218</v>
      </c>
      <c r="BG20" s="17">
        <v>1.659051701426506E-2</v>
      </c>
      <c r="BH20" s="26">
        <v>2.8555845841765404E-2</v>
      </c>
      <c r="BI20" s="23">
        <v>7.3305340483784676E-3</v>
      </c>
      <c r="BJ20" s="62">
        <v>2.7411183342337608E-2</v>
      </c>
      <c r="BK20" s="11">
        <v>8.703932398930192E-4</v>
      </c>
      <c r="BL20" s="22">
        <v>9.6071753650903702E-3</v>
      </c>
      <c r="BM20" s="11">
        <v>3.3689331030473113E-4</v>
      </c>
      <c r="BN20" s="23">
        <v>7.3018083348870277E-3</v>
      </c>
      <c r="BO20"/>
      <c r="BP20" s="23">
        <v>6.3768043182790279E-3</v>
      </c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 s="139">
        <v>7.181115448474884E-2</v>
      </c>
      <c r="CG20" s="96">
        <v>5.978749692440033E-2</v>
      </c>
      <c r="CH20" s="12">
        <v>5.3788395598530769E-3</v>
      </c>
      <c r="CI20"/>
      <c r="CJ20" s="14">
        <v>2.0386793185025454E-3</v>
      </c>
      <c r="CK20" s="14">
        <v>2.0652962848544121E-3</v>
      </c>
      <c r="CL20" s="14">
        <v>2.1517700515687466E-3</v>
      </c>
      <c r="CM20"/>
      <c r="CN20"/>
      <c r="CO20" s="141">
        <v>5.8787181973457336E-2</v>
      </c>
      <c r="CP20" s="14">
        <v>1.2558322632685304E-3</v>
      </c>
      <c r="CQ20" s="18">
        <v>1.3226781971752644E-2</v>
      </c>
      <c r="CR20" s="62">
        <v>2.6336727663874626E-2</v>
      </c>
      <c r="CS20" s="12">
        <v>3.4568770788609982E-3</v>
      </c>
      <c r="CT20" s="11">
        <v>4.1392585262656212E-4</v>
      </c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195</v>
      </c>
      <c r="B21">
        <v>1.1333333253860474</v>
      </c>
      <c r="C21">
        <v>0.13914293050765991</v>
      </c>
      <c r="D21" s="11">
        <v>2.7104729269922245E-6</v>
      </c>
      <c r="E21" s="11">
        <v>4.1671687540656421E-6</v>
      </c>
      <c r="F21"/>
      <c r="G21" s="11">
        <v>1.6732101357774809E-5</v>
      </c>
      <c r="H21" s="11">
        <v>1.7295457155341865E-6</v>
      </c>
      <c r="I21" s="11">
        <v>1.6255148693744559E-6</v>
      </c>
      <c r="J21" s="11">
        <v>9.0754475934318179E-8</v>
      </c>
      <c r="K21" s="23">
        <v>7.5640701688826084E-3</v>
      </c>
      <c r="L21" s="11">
        <v>2.0914374545100145E-5</v>
      </c>
      <c r="M21" s="11">
        <v>6.0489230691018747E-7</v>
      </c>
      <c r="N21" s="24">
        <v>3.1452320516109467E-2</v>
      </c>
      <c r="O21" s="11">
        <v>2.4174375994334696E-6</v>
      </c>
      <c r="P21" s="11">
        <v>6.751044111297233E-6</v>
      </c>
      <c r="Q21"/>
      <c r="R21"/>
      <c r="S21"/>
      <c r="T21" s="11">
        <v>7.3891641250156681E-8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 s="26">
        <v>2.7925122529268265E-2</v>
      </c>
      <c r="AK21" s="11">
        <v>1.783633342711255E-4</v>
      </c>
      <c r="AL21"/>
      <c r="AM21"/>
      <c r="AN21"/>
      <c r="AO21"/>
      <c r="AP21"/>
      <c r="AQ21"/>
      <c r="AR21"/>
      <c r="AS21"/>
      <c r="AT21"/>
      <c r="AU21"/>
      <c r="AV21"/>
      <c r="AW21"/>
      <c r="AX21" s="63">
        <v>5.101143941283226E-2</v>
      </c>
      <c r="AY21" s="18">
        <v>1.2555819004774094E-2</v>
      </c>
      <c r="AZ21" s="14">
        <v>1.8728193826973438E-3</v>
      </c>
      <c r="BA21" s="14">
        <v>1.2755051720887423E-3</v>
      </c>
      <c r="BB21" s="19">
        <v>1.9603155553340912E-2</v>
      </c>
      <c r="BC21" s="22">
        <v>8.1314016133546829E-3</v>
      </c>
      <c r="BD21" s="96">
        <v>5.9259865432977676E-2</v>
      </c>
      <c r="BE21" s="24">
        <v>3.044605441391468E-2</v>
      </c>
      <c r="BF21" s="177">
        <v>0.39176490902900696</v>
      </c>
      <c r="BG21" s="17">
        <v>1.659051887691021E-2</v>
      </c>
      <c r="BH21" s="26">
        <v>2.8555845841765404E-2</v>
      </c>
      <c r="BI21" s="23">
        <v>7.3305340483784676E-3</v>
      </c>
      <c r="BJ21" s="62">
        <v>2.7411185204982758E-2</v>
      </c>
      <c r="BK21" s="11">
        <v>8.703932398930192E-4</v>
      </c>
      <c r="BL21" s="22">
        <v>9.6071753650903702E-3</v>
      </c>
      <c r="BM21" s="11">
        <v>3.3689325209707022E-4</v>
      </c>
      <c r="BN21" s="23">
        <v>7.3018092662096024E-3</v>
      </c>
      <c r="BO21"/>
      <c r="BP21" s="23">
        <v>6.3768057152628899E-3</v>
      </c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 s="139">
        <v>7.181115448474884E-2</v>
      </c>
      <c r="CG21" s="96">
        <v>5.9787500649690628E-2</v>
      </c>
      <c r="CH21" s="12">
        <v>5.3788395598530769E-3</v>
      </c>
      <c r="CI21"/>
      <c r="CJ21" s="14">
        <v>2.0386793185025454E-3</v>
      </c>
      <c r="CK21" s="14">
        <v>2.0652962848544121E-3</v>
      </c>
      <c r="CL21" s="14">
        <v>2.1517700515687466E-3</v>
      </c>
      <c r="CM21"/>
      <c r="CN21"/>
      <c r="CO21" s="141">
        <v>5.8787178248167038E-2</v>
      </c>
      <c r="CP21" s="14">
        <v>1.2558322632685304E-3</v>
      </c>
      <c r="CQ21" s="18">
        <v>1.3226783834397793E-2</v>
      </c>
      <c r="CR21" s="62">
        <v>2.6336725801229477E-2</v>
      </c>
      <c r="CS21" s="12">
        <v>3.4568773116916418E-3</v>
      </c>
      <c r="CT21" s="11">
        <v>4.1392588173039258E-4</v>
      </c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196</v>
      </c>
      <c r="B22">
        <v>1.7999999523162842</v>
      </c>
      <c r="C22">
        <v>0.16249080002307892</v>
      </c>
      <c r="D22"/>
      <c r="E22"/>
      <c r="F22"/>
      <c r="G22" s="11">
        <v>2.0829416769174713E-7</v>
      </c>
      <c r="H22" s="11">
        <v>5.0573885346238967E-6</v>
      </c>
      <c r="I22"/>
      <c r="J22"/>
      <c r="K22" s="11">
        <v>9.8303239792585373E-4</v>
      </c>
      <c r="L22" s="11">
        <v>4.1391776903765276E-5</v>
      </c>
      <c r="M22" s="14">
        <v>1.9176126224920154E-3</v>
      </c>
      <c r="N22" s="11">
        <v>3.3576806890778244E-4</v>
      </c>
      <c r="O22"/>
      <c r="P22"/>
      <c r="Q22"/>
      <c r="R22"/>
      <c r="S22" s="11">
        <v>5.9258254623273388E-5</v>
      </c>
      <c r="T22" s="11">
        <v>1.2773074331562384E-6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 s="96">
        <v>9.6712067723274231E-2</v>
      </c>
      <c r="AK22" s="11">
        <v>2.4708770797587931E-4</v>
      </c>
      <c r="AL22"/>
      <c r="AM22"/>
      <c r="AN22"/>
      <c r="AO22"/>
      <c r="AP22"/>
      <c r="AQ22"/>
      <c r="AR22" s="14">
        <v>3.9596636779606342E-3</v>
      </c>
      <c r="AS22" s="14">
        <v>2.2139870561659336E-3</v>
      </c>
      <c r="AT22" s="14">
        <v>2.9947452712804079E-3</v>
      </c>
      <c r="AU22" s="11">
        <v>1.6697122191544622E-4</v>
      </c>
      <c r="AV22"/>
      <c r="AW22"/>
      <c r="AX22" s="63">
        <v>8.1018172204494476E-2</v>
      </c>
      <c r="AY22" s="18">
        <v>1.9941596314311028E-2</v>
      </c>
      <c r="AZ22" s="14">
        <v>2.9744780622422695E-3</v>
      </c>
      <c r="BA22" s="14">
        <v>2.0258023869246244E-3</v>
      </c>
      <c r="BB22" s="19">
        <v>3.1134424731135368E-2</v>
      </c>
      <c r="BC22" s="22">
        <v>1.291457936167717E-2</v>
      </c>
      <c r="BD22" s="96">
        <v>9.4118610024452209E-2</v>
      </c>
      <c r="BE22" s="24">
        <v>4.8355501145124435E-2</v>
      </c>
      <c r="BF22" s="177">
        <v>0.62221479415893555</v>
      </c>
      <c r="BG22" s="17">
        <v>2.6349646970629692E-2</v>
      </c>
      <c r="BH22" s="26">
        <v>4.5353401452302933E-2</v>
      </c>
      <c r="BI22" s="23">
        <v>1.1642612516880035E-2</v>
      </c>
      <c r="BJ22" s="62">
        <v>4.3535411357879639E-2</v>
      </c>
      <c r="BK22" s="11">
        <v>1.3823892222717404E-3</v>
      </c>
      <c r="BL22" s="19">
        <v>3.3272184431552887E-2</v>
      </c>
      <c r="BM22" s="11">
        <v>5.3506571566686034E-4</v>
      </c>
      <c r="BN22" s="23">
        <v>1.1596990749239922E-2</v>
      </c>
      <c r="BO22"/>
      <c r="BP22" s="18">
        <v>2.2084560245275497E-2</v>
      </c>
      <c r="BQ22"/>
      <c r="BR22"/>
      <c r="BS22"/>
      <c r="BT22"/>
      <c r="BU22"/>
      <c r="BV22"/>
      <c r="BW22"/>
      <c r="BX22"/>
      <c r="BY22"/>
      <c r="BZ22"/>
      <c r="CA22"/>
      <c r="CB22"/>
      <c r="CC22" s="15">
        <v>1.7125455662608147E-2</v>
      </c>
      <c r="CD22"/>
      <c r="CE22"/>
      <c r="CF22" s="139">
        <v>0.11405300348997116</v>
      </c>
      <c r="CG22" s="96">
        <v>9.4956614077091217E-2</v>
      </c>
      <c r="CH22" s="12">
        <v>8.5428627207875252E-3</v>
      </c>
      <c r="CI22" s="12">
        <v>5.9284302406013012E-3</v>
      </c>
      <c r="CJ22" s="14">
        <v>3.237902419641614E-3</v>
      </c>
      <c r="CK22" s="14">
        <v>3.2801763154566288E-3</v>
      </c>
      <c r="CL22" s="14">
        <v>3.4175172913819551E-3</v>
      </c>
      <c r="CM22" s="11">
        <v>3.1237813527695835E-4</v>
      </c>
      <c r="CN22"/>
      <c r="CO22" s="141">
        <v>9.3367874622344971E-2</v>
      </c>
      <c r="CP22" s="14">
        <v>3.2402127981185913E-3</v>
      </c>
      <c r="CQ22" s="18">
        <v>2.1981382742524147E-2</v>
      </c>
      <c r="CR22" s="62">
        <v>4.182891920208931E-2</v>
      </c>
      <c r="CS22" s="12">
        <v>5.4903347045183182E-3</v>
      </c>
      <c r="CT22" s="11">
        <v>6.5741169964894652E-4</v>
      </c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197</v>
      </c>
      <c r="B23">
        <v>1.7999999523162842</v>
      </c>
      <c r="C23">
        <v>0.16427350044250488</v>
      </c>
      <c r="D23" s="11">
        <v>3.6546463633158055E-8</v>
      </c>
      <c r="E23" s="11">
        <v>6.3521845561353985E-9</v>
      </c>
      <c r="F23"/>
      <c r="G23" s="11">
        <v>1.7050616918368178E-8</v>
      </c>
      <c r="H23" s="11">
        <v>1.7396951434989205E-8</v>
      </c>
      <c r="I23" s="11">
        <v>1.72061067615914E-8</v>
      </c>
      <c r="J23" s="11">
        <v>2.7505631106095052E-9</v>
      </c>
      <c r="K23" s="11">
        <v>2.9670013464055955E-4</v>
      </c>
      <c r="L23" s="11">
        <v>1.9476635770843131E-7</v>
      </c>
      <c r="M23" s="11">
        <v>1.1535539634621728E-8</v>
      </c>
      <c r="N23" s="11">
        <v>1.2644085800275207E-3</v>
      </c>
      <c r="O23"/>
      <c r="P23" s="11">
        <v>1.7040973077087074E-8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 s="96">
        <v>9.6712067723274231E-2</v>
      </c>
      <c r="AK23" s="11">
        <v>2.4708770797587931E-4</v>
      </c>
      <c r="AL23"/>
      <c r="AM23"/>
      <c r="AN23"/>
      <c r="AO23"/>
      <c r="AP23"/>
      <c r="AQ23"/>
      <c r="AR23" s="14">
        <v>3.9596632122993469E-3</v>
      </c>
      <c r="AS23" s="14">
        <v>2.2139870561659336E-3</v>
      </c>
      <c r="AT23" s="14">
        <v>2.9947457369416952E-3</v>
      </c>
      <c r="AU23" s="11">
        <v>1.6697123646736145E-4</v>
      </c>
      <c r="AV23"/>
      <c r="AW23"/>
      <c r="AX23" s="63">
        <v>8.1018179655075073E-2</v>
      </c>
      <c r="AY23" s="18">
        <v>1.9941594451665878E-2</v>
      </c>
      <c r="AZ23" s="14">
        <v>2.9744778294116259E-3</v>
      </c>
      <c r="BA23" s="14">
        <v>2.0258023869246244E-3</v>
      </c>
      <c r="BB23" s="19">
        <v>3.1134422868490219E-2</v>
      </c>
      <c r="BC23" s="22">
        <v>1.2914578430354595E-2</v>
      </c>
      <c r="BD23" s="96">
        <v>9.4118617475032806E-2</v>
      </c>
      <c r="BE23" s="24">
        <v>4.8355501145124435E-2</v>
      </c>
      <c r="BF23" s="177">
        <v>0.62221479415893555</v>
      </c>
      <c r="BG23" s="17">
        <v>2.6349645107984543E-2</v>
      </c>
      <c r="BH23" s="26">
        <v>4.5353401452302933E-2</v>
      </c>
      <c r="BI23" s="23">
        <v>1.1642612516880035E-2</v>
      </c>
      <c r="BJ23" s="62">
        <v>4.353540763258934E-2</v>
      </c>
      <c r="BK23" s="11">
        <v>1.3823892222717404E-3</v>
      </c>
      <c r="BL23" s="19">
        <v>3.3272184431552887E-2</v>
      </c>
      <c r="BM23" s="11">
        <v>5.3506577387452126E-4</v>
      </c>
      <c r="BN23" s="23">
        <v>1.1596990749239922E-2</v>
      </c>
      <c r="BO23"/>
      <c r="BP23" s="18">
        <v>2.2084558382630348E-2</v>
      </c>
      <c r="BQ23"/>
      <c r="BR23"/>
      <c r="BS23"/>
      <c r="BT23"/>
      <c r="BU23"/>
      <c r="BV23"/>
      <c r="BW23"/>
      <c r="BX23"/>
      <c r="BY23"/>
      <c r="BZ23"/>
      <c r="CA23"/>
      <c r="CB23"/>
      <c r="CC23" s="15">
        <v>1.7125455662608147E-2</v>
      </c>
      <c r="CD23"/>
      <c r="CE23"/>
      <c r="CF23" s="139">
        <v>0.11405301094055176</v>
      </c>
      <c r="CG23" s="96">
        <v>9.4956614077091217E-2</v>
      </c>
      <c r="CH23" s="12">
        <v>8.5428627207875252E-3</v>
      </c>
      <c r="CI23" s="12">
        <v>5.9284297749400139E-3</v>
      </c>
      <c r="CJ23" s="14">
        <v>3.237902419641614E-3</v>
      </c>
      <c r="CK23" s="14">
        <v>3.2801765482872725E-3</v>
      </c>
      <c r="CL23" s="14">
        <v>3.4175170585513115E-3</v>
      </c>
      <c r="CM23" s="11">
        <v>3.123781643807888E-4</v>
      </c>
      <c r="CN23"/>
      <c r="CO23" s="141">
        <v>9.3367874622344971E-2</v>
      </c>
      <c r="CP23" s="14">
        <v>3.2402127981185913E-3</v>
      </c>
      <c r="CQ23" s="18">
        <v>2.1981382742524147E-2</v>
      </c>
      <c r="CR23" s="62">
        <v>4.182891920208931E-2</v>
      </c>
      <c r="CS23" s="12">
        <v>5.4903342388570309E-3</v>
      </c>
      <c r="CT23" s="11">
        <v>6.5741164144128561E-4</v>
      </c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198</v>
      </c>
      <c r="B24">
        <v>1.1333333253860474</v>
      </c>
      <c r="C24">
        <v>0.17821712791919708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 s="26">
        <v>2.7925120666623116E-2</v>
      </c>
      <c r="AK24" s="11">
        <v>1.783633342711255E-4</v>
      </c>
      <c r="AL24"/>
      <c r="AM24"/>
      <c r="AN24"/>
      <c r="AO24"/>
      <c r="AP24"/>
      <c r="AQ24"/>
      <c r="AR24"/>
      <c r="AS24"/>
      <c r="AT24"/>
      <c r="AU24"/>
      <c r="AV24"/>
      <c r="AW24"/>
      <c r="AX24" s="63">
        <v>5.1011443138122559E-2</v>
      </c>
      <c r="AY24" s="18">
        <v>1.2555819936096668E-2</v>
      </c>
      <c r="AZ24" s="14">
        <v>1.872819266282022E-3</v>
      </c>
      <c r="BA24" s="14">
        <v>1.2755051720887423E-3</v>
      </c>
      <c r="BB24" s="19">
        <v>1.9603157415986061E-2</v>
      </c>
      <c r="BC24" s="22">
        <v>8.1314016133546829E-3</v>
      </c>
      <c r="BD24" s="96">
        <v>5.9259861707687378E-2</v>
      </c>
      <c r="BE24" s="24">
        <v>3.0446058139204979E-2</v>
      </c>
      <c r="BF24" s="177">
        <v>0.39176487922668457</v>
      </c>
      <c r="BG24" s="17">
        <v>1.659051701426506E-2</v>
      </c>
      <c r="BH24" s="26">
        <v>2.8555845841765404E-2</v>
      </c>
      <c r="BI24" s="23">
        <v>7.3305335827171803E-3</v>
      </c>
      <c r="BJ24" s="62">
        <v>2.7411185204982758E-2</v>
      </c>
      <c r="BK24" s="11">
        <v>8.7039318168535829E-4</v>
      </c>
      <c r="BL24" s="22">
        <v>9.6071753650903702E-3</v>
      </c>
      <c r="BM24" s="11">
        <v>3.3689325209707022E-4</v>
      </c>
      <c r="BN24" s="23">
        <v>7.3018092662096024E-3</v>
      </c>
      <c r="BO24"/>
      <c r="BP24" s="23">
        <v>6.3768047839403152E-3</v>
      </c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 s="139">
        <v>7.181115448474884E-2</v>
      </c>
      <c r="CG24" s="96">
        <v>5.9787500649690628E-2</v>
      </c>
      <c r="CH24" s="12">
        <v>5.3788395598530769E-3</v>
      </c>
      <c r="CI24"/>
      <c r="CJ24" s="14">
        <v>2.0386793185025454E-3</v>
      </c>
      <c r="CK24" s="14">
        <v>2.0652962848544121E-3</v>
      </c>
      <c r="CL24" s="14">
        <v>2.1517698187381029E-3</v>
      </c>
      <c r="CM24"/>
      <c r="CN24"/>
      <c r="CO24" s="141">
        <v>5.8787181973457336E-2</v>
      </c>
      <c r="CP24" s="14">
        <v>1.2558322632685304E-3</v>
      </c>
      <c r="CQ24" s="18">
        <v>1.3226783834397793E-2</v>
      </c>
      <c r="CR24" s="62">
        <v>2.6336727663874626E-2</v>
      </c>
      <c r="CS24" s="12">
        <v>3.4568770788609982E-3</v>
      </c>
      <c r="CT24" s="11">
        <v>4.1392588173039258E-4</v>
      </c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273</v>
      </c>
      <c r="B25">
        <v>1.7999999523162842</v>
      </c>
      <c r="C25">
        <v>0.16583475470542908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 s="96">
        <v>9.6712060272693634E-2</v>
      </c>
      <c r="AK25" s="11">
        <v>2.4708773707970977E-4</v>
      </c>
      <c r="AL25"/>
      <c r="AM25"/>
      <c r="AN25"/>
      <c r="AO25"/>
      <c r="AP25"/>
      <c r="AQ25"/>
      <c r="AR25" s="14">
        <v>3.9596632122993469E-3</v>
      </c>
      <c r="AS25" s="14">
        <v>2.2139870561659336E-3</v>
      </c>
      <c r="AT25" s="14">
        <v>2.9947455041110516E-3</v>
      </c>
      <c r="AU25" s="11">
        <v>1.6697122191544622E-4</v>
      </c>
      <c r="AV25"/>
      <c r="AW25"/>
      <c r="AX25" s="63">
        <v>8.1018179655075073E-2</v>
      </c>
      <c r="AY25" s="18">
        <v>1.9941596314311028E-2</v>
      </c>
      <c r="AZ25" s="14">
        <v>2.9744775965809822E-3</v>
      </c>
      <c r="BA25" s="14">
        <v>2.0258023869246244E-3</v>
      </c>
      <c r="BB25" s="19">
        <v>3.1134422868490219E-2</v>
      </c>
      <c r="BC25" s="22">
        <v>1.2914578430354595E-2</v>
      </c>
      <c r="BD25" s="96">
        <v>9.4118610024452209E-2</v>
      </c>
      <c r="BE25" s="24">
        <v>4.8355497419834137E-2</v>
      </c>
      <c r="BF25" s="177">
        <v>0.62221479415893555</v>
      </c>
      <c r="BG25" s="17">
        <v>2.6349645107984543E-2</v>
      </c>
      <c r="BH25" s="26">
        <v>4.5353401452302933E-2</v>
      </c>
      <c r="BI25" s="23">
        <v>1.1642612516880035E-2</v>
      </c>
      <c r="BJ25" s="62">
        <v>4.353540763258934E-2</v>
      </c>
      <c r="BK25" s="11">
        <v>1.3823893386870623E-3</v>
      </c>
      <c r="BL25" s="19">
        <v>3.3272184431552887E-2</v>
      </c>
      <c r="BM25" s="11">
        <v>5.3506577387452126E-4</v>
      </c>
      <c r="BN25" s="23">
        <v>1.1596990749239922E-2</v>
      </c>
      <c r="BO25"/>
      <c r="BP25" s="18">
        <v>2.2084558382630348E-2</v>
      </c>
      <c r="BQ25"/>
      <c r="BR25"/>
      <c r="BS25"/>
      <c r="BT25"/>
      <c r="BU25"/>
      <c r="BV25"/>
      <c r="BW25"/>
      <c r="BX25"/>
      <c r="BY25"/>
      <c r="BZ25"/>
      <c r="CA25"/>
      <c r="CB25"/>
      <c r="CC25" s="15">
        <v>1.7125455662608147E-2</v>
      </c>
      <c r="CD25"/>
      <c r="CE25"/>
      <c r="CF25" s="139">
        <v>0.11405300348997116</v>
      </c>
      <c r="CG25" s="96">
        <v>9.4956614077091217E-2</v>
      </c>
      <c r="CH25" s="12">
        <v>8.5428627207875252E-3</v>
      </c>
      <c r="CI25" s="12">
        <v>5.9284302406013012E-3</v>
      </c>
      <c r="CJ25" s="14">
        <v>3.237902419641614E-3</v>
      </c>
      <c r="CK25" s="14">
        <v>3.2801765482872725E-3</v>
      </c>
      <c r="CL25" s="14">
        <v>3.4175170585513115E-3</v>
      </c>
      <c r="CM25" s="11">
        <v>3.123781643807888E-4</v>
      </c>
      <c r="CN25"/>
      <c r="CO25" s="141">
        <v>9.3367867171764374E-2</v>
      </c>
      <c r="CP25" s="14">
        <v>3.2402125652879477E-3</v>
      </c>
      <c r="CQ25" s="18">
        <v>2.1981382742524147E-2</v>
      </c>
      <c r="CR25" s="62">
        <v>4.1828922927379608E-2</v>
      </c>
      <c r="CS25" s="12">
        <v>5.4903347045183182E-3</v>
      </c>
      <c r="CT25" s="11">
        <v>6.5741169964894652E-4</v>
      </c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398</v>
      </c>
      <c r="B26">
        <v>1.7999999523162842</v>
      </c>
      <c r="C26">
        <v>0.16583454608917236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 s="96">
        <v>9.6712060272693634E-2</v>
      </c>
      <c r="AK26" s="11">
        <v>2.4708770797587931E-4</v>
      </c>
      <c r="AL26"/>
      <c r="AM26"/>
      <c r="AN26"/>
      <c r="AO26"/>
      <c r="AP26"/>
      <c r="AQ26"/>
      <c r="AR26" s="14">
        <v>3.9596636779606342E-3</v>
      </c>
      <c r="AS26" s="14">
        <v>2.2139870561659336E-3</v>
      </c>
      <c r="AT26" s="14">
        <v>2.9947455041110516E-3</v>
      </c>
      <c r="AU26" s="11">
        <v>1.6697125101927668E-4</v>
      </c>
      <c r="AV26"/>
      <c r="AW26"/>
      <c r="AX26" s="63">
        <v>8.1018179655075073E-2</v>
      </c>
      <c r="AY26" s="18">
        <v>1.9941594451665878E-2</v>
      </c>
      <c r="AZ26" s="14">
        <v>2.9744778294116259E-3</v>
      </c>
      <c r="BA26" s="14">
        <v>2.0258023869246244E-3</v>
      </c>
      <c r="BB26" s="19">
        <v>3.1134422868490219E-2</v>
      </c>
      <c r="BC26" s="22">
        <v>1.2914577499032021E-2</v>
      </c>
      <c r="BD26" s="96">
        <v>9.4118602573871613E-2</v>
      </c>
      <c r="BE26" s="24">
        <v>4.8355501145124435E-2</v>
      </c>
      <c r="BF26" s="177">
        <v>0.62221485376358032</v>
      </c>
      <c r="BG26" s="17">
        <v>2.6349645107984543E-2</v>
      </c>
      <c r="BH26" s="26">
        <v>4.5353405177593231E-2</v>
      </c>
      <c r="BI26" s="23">
        <v>1.1642611585557461E-2</v>
      </c>
      <c r="BJ26" s="62">
        <v>4.353540763258934E-2</v>
      </c>
      <c r="BK26" s="11">
        <v>1.3823892222717404E-3</v>
      </c>
      <c r="BL26" s="19">
        <v>3.3272184431552887E-2</v>
      </c>
      <c r="BM26" s="11">
        <v>5.3506571566686034E-4</v>
      </c>
      <c r="BN26" s="23">
        <v>1.1596990749239922E-2</v>
      </c>
      <c r="BO26"/>
      <c r="BP26" s="18">
        <v>2.2084560245275497E-2</v>
      </c>
      <c r="BQ26"/>
      <c r="BR26"/>
      <c r="BS26"/>
      <c r="BT26"/>
      <c r="BU26"/>
      <c r="BV26"/>
      <c r="BW26"/>
      <c r="BX26"/>
      <c r="BY26"/>
      <c r="BZ26"/>
      <c r="CA26"/>
      <c r="CB26"/>
      <c r="CC26" s="15">
        <v>1.7125453799962997E-2</v>
      </c>
      <c r="CD26"/>
      <c r="CE26"/>
      <c r="CF26" s="139">
        <v>0.11405301094055176</v>
      </c>
      <c r="CG26" s="96">
        <v>9.4956621527671814E-2</v>
      </c>
      <c r="CH26" s="12">
        <v>8.5428627207875252E-3</v>
      </c>
      <c r="CI26" s="12">
        <v>5.9284297749400139E-3</v>
      </c>
      <c r="CJ26" s="14">
        <v>3.237902419641614E-3</v>
      </c>
      <c r="CK26" s="14">
        <v>3.2801765482872725E-3</v>
      </c>
      <c r="CL26" s="14">
        <v>3.4175170585513115E-3</v>
      </c>
      <c r="CM26" s="11">
        <v>3.1237813527695835E-4</v>
      </c>
      <c r="CN26"/>
      <c r="CO26" s="141">
        <v>9.3367874622344971E-2</v>
      </c>
      <c r="CP26" s="14">
        <v>3.2402127981185913E-3</v>
      </c>
      <c r="CQ26" s="18">
        <v>2.1981382742524147E-2</v>
      </c>
      <c r="CR26" s="62">
        <v>4.182891920208931E-2</v>
      </c>
      <c r="CS26" s="12">
        <v>5.4903342388570309E-3</v>
      </c>
      <c r="CT26" s="11">
        <v>6.5741169964894652E-4</v>
      </c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399</v>
      </c>
      <c r="B27">
        <v>1.1333333253860474</v>
      </c>
      <c r="C27">
        <v>0.17821718752384186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 s="26">
        <v>2.7925118803977966E-2</v>
      </c>
      <c r="AK27" s="11">
        <v>1.7836334882304072E-4</v>
      </c>
      <c r="AL27"/>
      <c r="AM27"/>
      <c r="AN27"/>
      <c r="AO27"/>
      <c r="AP27"/>
      <c r="AQ27"/>
      <c r="AR27"/>
      <c r="AS27"/>
      <c r="AT27"/>
      <c r="AU27"/>
      <c r="AV27"/>
      <c r="AW27"/>
      <c r="AX27" s="63">
        <v>5.1011446863412857E-2</v>
      </c>
      <c r="AY27" s="18">
        <v>1.2555819936096668E-2</v>
      </c>
      <c r="AZ27" s="14">
        <v>1.8728193826973438E-3</v>
      </c>
      <c r="BA27" s="14">
        <v>1.2755051720887423E-3</v>
      </c>
      <c r="BB27" s="19">
        <v>1.9603155553340912E-2</v>
      </c>
      <c r="BC27" s="22">
        <v>8.1314006820321083E-3</v>
      </c>
      <c r="BD27" s="96">
        <v>5.9259861707687378E-2</v>
      </c>
      <c r="BE27" s="24">
        <v>3.0446058139204979E-2</v>
      </c>
      <c r="BF27" s="177">
        <v>0.39176490902900696</v>
      </c>
      <c r="BG27" s="17">
        <v>1.659051887691021E-2</v>
      </c>
      <c r="BH27" s="26">
        <v>2.8555845841765404E-2</v>
      </c>
      <c r="BI27" s="23">
        <v>7.3305335827171803E-3</v>
      </c>
      <c r="BJ27" s="62">
        <v>2.7411183342337608E-2</v>
      </c>
      <c r="BK27" s="11">
        <v>8.7039329810068011E-4</v>
      </c>
      <c r="BL27" s="22">
        <v>9.6071753650903702E-3</v>
      </c>
      <c r="BM27" s="11">
        <v>3.3689322299323976E-4</v>
      </c>
      <c r="BN27" s="23">
        <v>7.3018092662096024E-3</v>
      </c>
      <c r="BO27"/>
      <c r="BP27" s="23">
        <v>6.3768052496016026E-3</v>
      </c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 s="139">
        <v>7.1811147034168243E-2</v>
      </c>
      <c r="CG27" s="96">
        <v>5.9787500649690628E-2</v>
      </c>
      <c r="CH27" s="12">
        <v>5.3788395598530769E-3</v>
      </c>
      <c r="CI27"/>
      <c r="CJ27" s="14">
        <v>2.0386790856719017E-3</v>
      </c>
      <c r="CK27" s="14">
        <v>2.0652962848544121E-3</v>
      </c>
      <c r="CL27" s="14">
        <v>2.1517700515687466E-3</v>
      </c>
      <c r="CM27"/>
      <c r="CN27"/>
      <c r="CO27" s="141">
        <v>5.8787185698747635E-2</v>
      </c>
      <c r="CP27" s="14">
        <v>1.2558323796838522E-3</v>
      </c>
      <c r="CQ27" s="18">
        <v>1.3226781971752644E-2</v>
      </c>
      <c r="CR27" s="62">
        <v>2.6336729526519775E-2</v>
      </c>
      <c r="CS27" s="12">
        <v>3.4568770788609982E-3</v>
      </c>
      <c r="CT27" s="11">
        <v>4.1392588173039258E-4</v>
      </c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199</v>
      </c>
      <c r="B28">
        <v>1.7999999523162842</v>
      </c>
      <c r="C28">
        <v>0.16583475470542908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 s="96">
        <v>9.6712075173854828E-2</v>
      </c>
      <c r="AK28" s="11">
        <v>2.4708773707970977E-4</v>
      </c>
      <c r="AL28"/>
      <c r="AM28"/>
      <c r="AN28"/>
      <c r="AO28"/>
      <c r="AP28"/>
      <c r="AQ28"/>
      <c r="AR28" s="14">
        <v>3.9596636779606342E-3</v>
      </c>
      <c r="AS28" s="14">
        <v>2.2139870561659336E-3</v>
      </c>
      <c r="AT28" s="14">
        <v>2.9947452712804079E-3</v>
      </c>
      <c r="AU28" s="11">
        <v>1.6697123646736145E-4</v>
      </c>
      <c r="AV28"/>
      <c r="AW28"/>
      <c r="AX28" s="63">
        <v>8.1018172204494476E-2</v>
      </c>
      <c r="AY28" s="18">
        <v>1.9941596314311028E-2</v>
      </c>
      <c r="AZ28" s="14">
        <v>2.9744778294116259E-3</v>
      </c>
      <c r="BA28" s="14">
        <v>2.0258021540939808E-3</v>
      </c>
      <c r="BB28" s="19">
        <v>3.1134422868490219E-2</v>
      </c>
      <c r="BC28" s="22">
        <v>1.291457936167717E-2</v>
      </c>
      <c r="BD28" s="96">
        <v>9.4118610024452209E-2</v>
      </c>
      <c r="BE28" s="24">
        <v>4.8355508595705032E-2</v>
      </c>
      <c r="BF28" s="177">
        <v>0.62221479415893555</v>
      </c>
      <c r="BG28" s="17">
        <v>2.6349646970629692E-2</v>
      </c>
      <c r="BH28" s="26">
        <v>4.5353401452302933E-2</v>
      </c>
      <c r="BI28" s="23">
        <v>1.1642612516880035E-2</v>
      </c>
      <c r="BJ28" s="62">
        <v>4.3535411357879639E-2</v>
      </c>
      <c r="BK28" s="11">
        <v>1.3823893386870623E-3</v>
      </c>
      <c r="BL28" s="19">
        <v>3.3272184431552887E-2</v>
      </c>
      <c r="BM28" s="11">
        <v>5.3506571566686034E-4</v>
      </c>
      <c r="BN28" s="23">
        <v>1.1596991680562496E-2</v>
      </c>
      <c r="BO28"/>
      <c r="BP28" s="18">
        <v>2.2084558382630348E-2</v>
      </c>
      <c r="BQ28"/>
      <c r="BR28"/>
      <c r="BS28"/>
      <c r="BT28"/>
      <c r="BU28"/>
      <c r="BV28"/>
      <c r="BW28"/>
      <c r="BX28"/>
      <c r="BY28"/>
      <c r="BZ28"/>
      <c r="CA28"/>
      <c r="CB28"/>
      <c r="CC28" s="15">
        <v>1.7125453799962997E-2</v>
      </c>
      <c r="CD28"/>
      <c r="CE28"/>
      <c r="CF28" s="139">
        <v>0.11405299603939056</v>
      </c>
      <c r="CG28" s="96">
        <v>9.4956614077091217E-2</v>
      </c>
      <c r="CH28" s="12">
        <v>8.5428636521100998E-3</v>
      </c>
      <c r="CI28" s="12">
        <v>5.9284297749400139E-3</v>
      </c>
      <c r="CJ28" s="14">
        <v>3.2379021868109703E-3</v>
      </c>
      <c r="CK28" s="14">
        <v>3.2801765482872725E-3</v>
      </c>
      <c r="CL28" s="14">
        <v>3.4175172913819551E-3</v>
      </c>
      <c r="CM28" s="11">
        <v>3.123781643807888E-4</v>
      </c>
      <c r="CN28"/>
      <c r="CO28" s="141">
        <v>9.3367867171764374E-2</v>
      </c>
      <c r="CP28" s="14">
        <v>3.2402125652879477E-3</v>
      </c>
      <c r="CQ28" s="18">
        <v>2.1981380879878998E-2</v>
      </c>
      <c r="CR28" s="62">
        <v>4.1828922927379608E-2</v>
      </c>
      <c r="CS28" s="12">
        <v>5.4903342388570309E-3</v>
      </c>
      <c r="CT28" s="11">
        <v>6.5741164144128561E-4</v>
      </c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200</v>
      </c>
      <c r="B29">
        <v>1.75</v>
      </c>
      <c r="C29">
        <v>0.36070364713668823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 s="259">
        <v>0.50652772188186646</v>
      </c>
      <c r="AK29" s="11">
        <v>1.3749999925494194E-3</v>
      </c>
      <c r="AL29"/>
      <c r="AM29"/>
      <c r="AN29"/>
      <c r="AO29"/>
      <c r="AP29"/>
      <c r="AQ29"/>
      <c r="AR29"/>
      <c r="AS29" s="11">
        <v>1.0109088616445661E-3</v>
      </c>
      <c r="AT29" s="12">
        <v>5.8454819954931736E-3</v>
      </c>
      <c r="AU29"/>
      <c r="AV29"/>
      <c r="AW29" s="149">
        <v>0.19853293895721436</v>
      </c>
      <c r="AX29"/>
      <c r="AY29"/>
      <c r="AZ29" s="12">
        <v>5.2730669267475605E-3</v>
      </c>
      <c r="BA29" s="14">
        <v>3.0786145944148302E-3</v>
      </c>
      <c r="BB29"/>
      <c r="BC29"/>
      <c r="BD29" s="19">
        <v>2.9190197587013245E-2</v>
      </c>
      <c r="BE29"/>
      <c r="BF29" s="63">
        <v>7.7840223908424377E-2</v>
      </c>
      <c r="BG29" s="18">
        <v>2.1955609321594238E-2</v>
      </c>
      <c r="BH29" s="15">
        <v>1.6884550452232361E-2</v>
      </c>
      <c r="BI29"/>
      <c r="BJ29" s="12">
        <v>7.793644443154335E-3</v>
      </c>
      <c r="BK29"/>
      <c r="BL29"/>
      <c r="BM29" s="62">
        <v>4.0150124579668045E-2</v>
      </c>
      <c r="BN29"/>
      <c r="BO29"/>
      <c r="BP29"/>
      <c r="BQ29" s="22">
        <v>1.3846061192452908E-2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 s="144">
        <v>0.41556498408317566</v>
      </c>
      <c r="CS29" s="26">
        <v>4.4427137821912766E-2</v>
      </c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201</v>
      </c>
      <c r="B30">
        <v>0.125</v>
      </c>
      <c r="C30">
        <v>1.1463217437267303E-2</v>
      </c>
      <c r="D30" s="14">
        <v>1.3727454643230885E-4</v>
      </c>
      <c r="E30" s="11">
        <v>2.0854560716543347E-5</v>
      </c>
      <c r="F30" s="11">
        <v>1.0571617394816712E-6</v>
      </c>
      <c r="G30" s="11">
        <v>6.1420643760357052E-5</v>
      </c>
      <c r="H30" s="11">
        <v>3.7267556763254106E-5</v>
      </c>
      <c r="I30" s="19">
        <v>2.0934124477207661E-3</v>
      </c>
      <c r="J30" s="14">
        <v>1.6812959802336991E-4</v>
      </c>
      <c r="K30"/>
      <c r="L30" s="23">
        <v>7.2631565853953362E-4</v>
      </c>
      <c r="M30" s="11">
        <v>3.5220396057411563E-6</v>
      </c>
      <c r="N30"/>
      <c r="O30" s="11">
        <v>1.982097455766052E-5</v>
      </c>
      <c r="P30" s="14">
        <v>3.4284262801520526E-4</v>
      </c>
      <c r="Q30" s="11">
        <v>3.5580414987634867E-5</v>
      </c>
      <c r="R30" s="11">
        <v>1.0313055298638574E-7</v>
      </c>
      <c r="S30"/>
      <c r="T30" s="14">
        <v>2.6988860918208957E-4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 s="22">
        <v>9.9252595100551844E-4</v>
      </c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 s="23">
        <v>6.5360538428649306E-4</v>
      </c>
      <c r="BB30"/>
      <c r="BC30"/>
      <c r="BD30" s="248">
        <v>3.1001070514321327E-2</v>
      </c>
      <c r="BE30" s="247">
        <v>2.0343277603387833E-2</v>
      </c>
      <c r="BF30"/>
      <c r="BG30" s="15">
        <v>1.2735753552988172E-3</v>
      </c>
      <c r="BH30" s="113">
        <v>1.3264537788927555E-2</v>
      </c>
      <c r="BI30" s="99">
        <v>9.8359230905771255E-3</v>
      </c>
      <c r="BJ30" s="112">
        <v>8.2702171057462692E-3</v>
      </c>
      <c r="BK30"/>
      <c r="BL30"/>
      <c r="BM30" s="23">
        <v>6.3930527539923787E-4</v>
      </c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 s="18">
        <v>1.356540946289897E-3</v>
      </c>
      <c r="CQ30" s="245">
        <v>1.8716894090175629E-2</v>
      </c>
      <c r="CR30" s="22">
        <v>9.8029477521777153E-4</v>
      </c>
      <c r="CS30" s="16">
        <v>2.0750625990331173E-3</v>
      </c>
      <c r="CT30" s="14">
        <v>2.1646804816555232E-4</v>
      </c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202</v>
      </c>
      <c r="B31">
        <v>1.7999999523162842</v>
      </c>
      <c r="C31">
        <v>0.19258013367652893</v>
      </c>
      <c r="D31" s="11">
        <v>3.0019118639756925E-5</v>
      </c>
      <c r="E31" s="15">
        <v>1.7548946663737297E-2</v>
      </c>
      <c r="F31" s="11">
        <v>7.8796674642944708E-6</v>
      </c>
      <c r="G31" s="11">
        <v>8.0490419350098819E-5</v>
      </c>
      <c r="H31" s="11">
        <v>1.2134030112065375E-4</v>
      </c>
      <c r="I31"/>
      <c r="J31"/>
      <c r="K31" s="15">
        <v>1.8716005608439445E-2</v>
      </c>
      <c r="L31" s="11">
        <v>4.5124877942726016E-5</v>
      </c>
      <c r="M31" s="18">
        <v>2.2895034402608871E-2</v>
      </c>
      <c r="N31" s="19">
        <v>3.0251894146203995E-2</v>
      </c>
      <c r="O31"/>
      <c r="P31" s="11">
        <v>8.6800573626533151E-6</v>
      </c>
      <c r="Q31"/>
      <c r="R31"/>
      <c r="S31"/>
      <c r="T31" s="65">
        <v>7.1676842868328094E-2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 s="18">
        <v>2.1337160840630531E-2</v>
      </c>
      <c r="BB31"/>
      <c r="BC31"/>
      <c r="BD31"/>
      <c r="BE31"/>
      <c r="BF31"/>
      <c r="BG31"/>
      <c r="BH31" s="103">
        <v>6.4248040318489075E-2</v>
      </c>
      <c r="BI31"/>
      <c r="BJ31" s="140">
        <v>0.30813518166542053</v>
      </c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 s="19">
        <v>3.0631856992840767E-2</v>
      </c>
      <c r="CQ31" s="175">
        <v>0.63044470548629761</v>
      </c>
      <c r="CR31" s="241">
        <v>0.30388158559799194</v>
      </c>
      <c r="CS31" s="16">
        <v>2.6708316057920456E-2</v>
      </c>
      <c r="CT31" s="64">
        <v>6.0650724917650223E-2</v>
      </c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203</v>
      </c>
      <c r="B32">
        <v>0.75</v>
      </c>
      <c r="C32">
        <v>6.1253651976585388E-2</v>
      </c>
      <c r="D32" s="11">
        <v>3.3162406907649711E-5</v>
      </c>
      <c r="E32" s="61">
        <v>2.2215424105525017E-2</v>
      </c>
      <c r="F32" s="11">
        <v>8.2345095506752841E-6</v>
      </c>
      <c r="G32" s="11">
        <v>1.2582578347064555E-4</v>
      </c>
      <c r="H32" s="11">
        <v>1.4250591630116105E-4</v>
      </c>
      <c r="I32"/>
      <c r="J32"/>
      <c r="K32" s="61">
        <v>2.1862611174583435E-2</v>
      </c>
      <c r="L32" s="11">
        <v>5.480027903104201E-5</v>
      </c>
      <c r="M32" s="13">
        <v>2.7683727443218231E-2</v>
      </c>
      <c r="N32" s="63">
        <v>3.4547291696071625E-2</v>
      </c>
      <c r="O32"/>
      <c r="P32" s="11">
        <v>1.1053761227231007E-5</v>
      </c>
      <c r="Q32"/>
      <c r="R32"/>
      <c r="S32"/>
      <c r="T32" s="107">
        <v>4.2985100299119949E-2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 s="18">
        <v>8.890482597053051E-3</v>
      </c>
      <c r="BB32"/>
      <c r="BC32"/>
      <c r="BD32"/>
      <c r="BE32"/>
      <c r="BF32"/>
      <c r="BG32"/>
      <c r="BH32" s="103">
        <v>2.6770012453198433E-2</v>
      </c>
      <c r="BI32"/>
      <c r="BJ32" s="140">
        <v>0.12838965654373169</v>
      </c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 s="19">
        <v>1.2763273902237415E-2</v>
      </c>
      <c r="CQ32" s="189">
        <v>0.19924621284008026</v>
      </c>
      <c r="CR32" s="241">
        <v>0.12661731243133545</v>
      </c>
      <c r="CS32" s="16">
        <v>1.1128464713692665E-2</v>
      </c>
      <c r="CT32" s="64">
        <v>2.5271132588386536E-2</v>
      </c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204</v>
      </c>
      <c r="B33">
        <v>1.8999999761581421</v>
      </c>
      <c r="C33">
        <v>0.13374538719654083</v>
      </c>
      <c r="D33" s="11">
        <v>5.810380753246136E-5</v>
      </c>
      <c r="E33" s="103">
        <v>6.6857717931270599E-2</v>
      </c>
      <c r="F33" s="11">
        <v>1.6234527720371261E-5</v>
      </c>
      <c r="G33" s="11">
        <v>4.9428560305386782E-4</v>
      </c>
      <c r="H33" s="11">
        <v>5.1860627718269825E-4</v>
      </c>
      <c r="I33"/>
      <c r="J33"/>
      <c r="K33" s="20">
        <v>8.3402559161186218E-2</v>
      </c>
      <c r="L33" s="11">
        <v>1.8697715131565928E-4</v>
      </c>
      <c r="M33" s="109">
        <v>0.10377614200115204</v>
      </c>
      <c r="N33" s="95">
        <v>0.14519993960857391</v>
      </c>
      <c r="O33"/>
      <c r="P33" s="11">
        <v>3.5505265259416774E-5</v>
      </c>
      <c r="Q33"/>
      <c r="R33"/>
      <c r="S33"/>
      <c r="T33" s="11">
        <v>4.8025169235188514E-5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 s="18">
        <v>2.2522557526826859E-2</v>
      </c>
      <c r="BB33"/>
      <c r="BC33"/>
      <c r="BD33"/>
      <c r="BE33"/>
      <c r="BF33"/>
      <c r="BG33"/>
      <c r="BH33" s="103">
        <v>6.7817360162734985E-2</v>
      </c>
      <c r="BI33"/>
      <c r="BJ33" s="140">
        <v>0.32525375485420227</v>
      </c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 s="19">
        <v>3.2333623617887497E-2</v>
      </c>
      <c r="CQ33" s="189">
        <v>0.50475698709487915</v>
      </c>
      <c r="CR33" s="241">
        <v>0.32076388597488403</v>
      </c>
      <c r="CS33" s="16">
        <v>2.8192108497023582E-2</v>
      </c>
      <c r="CT33" s="64">
        <v>6.4020201563835144E-2</v>
      </c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205</v>
      </c>
      <c r="B34">
        <v>0.20000000298023224</v>
      </c>
      <c r="C34">
        <v>7.7852047979831696E-2</v>
      </c>
      <c r="D34" s="15">
        <v>1.793132396414876E-3</v>
      </c>
      <c r="E34" s="11">
        <v>6.2573221839556936E-6</v>
      </c>
      <c r="F34" s="11">
        <v>2.9099291509737668E-7</v>
      </c>
      <c r="G34" s="11">
        <v>4.9759654530134867E-7</v>
      </c>
      <c r="H34" s="11">
        <v>5.182887616683729E-5</v>
      </c>
      <c r="I34" s="14">
        <v>2.1337738144211471E-4</v>
      </c>
      <c r="J34" s="11">
        <v>7.9216160884243436E-6</v>
      </c>
      <c r="K34" s="11">
        <v>4.2762538214446977E-5</v>
      </c>
      <c r="L34" s="11">
        <v>3.7788158806506544E-5</v>
      </c>
      <c r="M34" s="23">
        <v>1.189515576697886E-3</v>
      </c>
      <c r="N34" s="11">
        <v>1.4583297343051527E-5</v>
      </c>
      <c r="O34" s="14">
        <v>2.5737419491633773E-4</v>
      </c>
      <c r="P34" s="11">
        <v>6.7674904130399227E-5</v>
      </c>
      <c r="Q34" s="11">
        <v>1.1448738490571486E-7</v>
      </c>
      <c r="R34" s="11">
        <v>2.9562656322923431E-7</v>
      </c>
      <c r="S34" s="11">
        <v>9.8296652140561491E-5</v>
      </c>
      <c r="T34" s="140">
        <v>3.4216441214084625E-2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 s="93">
        <v>1.2078281491994858E-2</v>
      </c>
      <c r="CT34" s="237">
        <v>7.207152247428894E-2</v>
      </c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206</v>
      </c>
      <c r="B35">
        <v>0.23000000417232513</v>
      </c>
      <c r="C35">
        <v>8.5956931114196777E-2</v>
      </c>
      <c r="D35" s="11">
        <v>1.7498820170658291E-7</v>
      </c>
      <c r="E35" s="11">
        <v>2.4577661861258093E-7</v>
      </c>
      <c r="F35"/>
      <c r="G35" s="11">
        <v>5.1152159130651853E-7</v>
      </c>
      <c r="H35" s="11">
        <v>1.8817745228716376E-7</v>
      </c>
      <c r="I35" s="11">
        <v>8.5284085571402102E-7</v>
      </c>
      <c r="J35" s="11">
        <v>5.6372329026999068E-9</v>
      </c>
      <c r="K35" s="14">
        <v>3.5500354715622962E-4</v>
      </c>
      <c r="L35" s="11">
        <v>3.6286576232669177E-6</v>
      </c>
      <c r="M35" s="11">
        <v>5.3891699991481801E-8</v>
      </c>
      <c r="N35" s="15">
        <v>2.0323074422776699E-3</v>
      </c>
      <c r="O35" s="11">
        <v>4.466049290385854E-7</v>
      </c>
      <c r="P35" s="11">
        <v>1.3586840097445929E-8</v>
      </c>
      <c r="Q35"/>
      <c r="R35"/>
      <c r="S35"/>
      <c r="T35" s="11">
        <v>1.7290869891439797E-6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 s="11">
        <v>1.9446112855803221E-4</v>
      </c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 s="18">
        <v>2.748455386608839E-3</v>
      </c>
      <c r="BB35"/>
      <c r="BC35"/>
      <c r="BD35"/>
      <c r="BE35"/>
      <c r="BF35"/>
      <c r="BG35" s="11">
        <v>2.1209701662883162E-4</v>
      </c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 s="11">
        <v>7.3042188887484372E-5</v>
      </c>
      <c r="CM35"/>
      <c r="CN35"/>
      <c r="CO35" s="17">
        <v>3.0719561036676168E-3</v>
      </c>
      <c r="CP35"/>
      <c r="CQ35" s="253">
        <v>0.12022903561592102</v>
      </c>
      <c r="CR35" s="25">
        <v>7.2485231794416904E-3</v>
      </c>
      <c r="CS35" s="21">
        <v>4.7123734839260578E-3</v>
      </c>
      <c r="CT35" s="17">
        <v>3.1579681672155857E-3</v>
      </c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207</v>
      </c>
      <c r="B36">
        <v>0.75999999046325684</v>
      </c>
      <c r="C36">
        <v>0.27584528923034668</v>
      </c>
      <c r="D36" s="11">
        <v>9.6329972620878834E-7</v>
      </c>
      <c r="E36" s="11">
        <v>2.2683877887175186E-6</v>
      </c>
      <c r="F36"/>
      <c r="G36" s="11">
        <v>1.3857345493306639E-6</v>
      </c>
      <c r="H36" s="11">
        <v>7.3659526833580458E-7</v>
      </c>
      <c r="I36" s="11">
        <v>1.9504466308717383E-6</v>
      </c>
      <c r="J36" s="11">
        <v>3.1395682498214228E-8</v>
      </c>
      <c r="K36" s="12">
        <v>3.2260599546134472E-3</v>
      </c>
      <c r="L36" s="11">
        <v>1.0199137250310741E-5</v>
      </c>
      <c r="M36" s="11">
        <v>2.1269703154302988E-7</v>
      </c>
      <c r="N36" s="19">
        <v>1.3077004812657833E-2</v>
      </c>
      <c r="O36" s="11">
        <v>1.0545526265559602E-6</v>
      </c>
      <c r="P36" s="11">
        <v>4.3874688344658352E-6</v>
      </c>
      <c r="Q36"/>
      <c r="R36"/>
      <c r="S36"/>
      <c r="T36" s="11">
        <v>1.5845942471059971E-5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 s="11">
        <v>6.4256717450916767E-4</v>
      </c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 s="18">
        <v>9.0818526223301888E-3</v>
      </c>
      <c r="BB36"/>
      <c r="BC36"/>
      <c r="BD36"/>
      <c r="BE36"/>
      <c r="BF36"/>
      <c r="BG36" s="11">
        <v>7.0084212347865105E-4</v>
      </c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 s="17">
        <v>1.0150809772312641E-2</v>
      </c>
      <c r="CP36"/>
      <c r="CQ36" s="253">
        <v>0.3972785472869873</v>
      </c>
      <c r="CR36" s="25">
        <v>2.3951642215251923E-2</v>
      </c>
      <c r="CS36" s="21">
        <v>1.5571320429444313E-2</v>
      </c>
      <c r="CT36" s="17">
        <v>1.0435025207698345E-2</v>
      </c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208</v>
      </c>
      <c r="B37">
        <v>0.17190000414848328</v>
      </c>
      <c r="C37">
        <v>8.9383060112595558E-3</v>
      </c>
      <c r="D37" s="14">
        <v>4.162510740570724E-4</v>
      </c>
      <c r="E37" s="11">
        <v>2.4845676307450049E-5</v>
      </c>
      <c r="F37" s="11">
        <v>4.4946677917323541E-6</v>
      </c>
      <c r="G37" s="14">
        <v>1.8086833006236702E-4</v>
      </c>
      <c r="H37" s="11">
        <v>1.607143203727901E-4</v>
      </c>
      <c r="I37" s="87">
        <v>3.7035809364169836E-3</v>
      </c>
      <c r="J37" s="11">
        <v>4.0961480408441275E-5</v>
      </c>
      <c r="K37"/>
      <c r="L37" s="15">
        <v>1.6314152162522078E-3</v>
      </c>
      <c r="M37" s="11">
        <v>1.5922722013783641E-5</v>
      </c>
      <c r="N37"/>
      <c r="O37" s="11">
        <v>2.1429559637908824E-5</v>
      </c>
      <c r="P37" s="14">
        <v>3.3554155379533768E-4</v>
      </c>
      <c r="Q37" s="11">
        <v>3.5409633710514754E-5</v>
      </c>
      <c r="R37" s="11">
        <v>7.3335320394107839E-7</v>
      </c>
      <c r="S37"/>
      <c r="T37" s="25">
        <v>5.5533801205456257E-3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 s="22">
        <v>1.3657156378030777E-3</v>
      </c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 s="23">
        <v>8.9936086442321539E-4</v>
      </c>
      <c r="BB37"/>
      <c r="BC37"/>
      <c r="BD37" s="251">
        <v>4.2657472193241119E-2</v>
      </c>
      <c r="BE37" s="247">
        <v>2.7992349117994308E-2</v>
      </c>
      <c r="BF37"/>
      <c r="BG37" s="15">
        <v>1.7524397699162364E-3</v>
      </c>
      <c r="BH37" s="113">
        <v>1.825200580060482E-2</v>
      </c>
      <c r="BI37" s="99">
        <v>1.3534230180084705E-2</v>
      </c>
      <c r="BJ37" s="112">
        <v>1.1379819363355637E-2</v>
      </c>
      <c r="BK37"/>
      <c r="BL37"/>
      <c r="BM37" s="23">
        <v>8.7968411389738321E-4</v>
      </c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 s="18">
        <v>1.8666005926206708E-3</v>
      </c>
      <c r="CQ37" s="245">
        <v>2.5754446163773537E-2</v>
      </c>
      <c r="CR37" s="22">
        <v>1.3488858239725232E-3</v>
      </c>
      <c r="CS37" s="16">
        <v>2.8552862349897623E-3</v>
      </c>
      <c r="CT37" s="14">
        <v>2.9786000959575176E-4</v>
      </c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209</v>
      </c>
      <c r="B38">
        <v>0.20000000298023224</v>
      </c>
      <c r="C38">
        <v>7.1925953030586243E-2</v>
      </c>
      <c r="D38" s="26">
        <v>5.1327189430594444E-3</v>
      </c>
      <c r="E38" s="22">
        <v>1.3831545365974307E-3</v>
      </c>
      <c r="F38" s="11">
        <v>1.8504533727536909E-6</v>
      </c>
      <c r="G38" s="11">
        <v>1.5286580037354724E-6</v>
      </c>
      <c r="H38" s="14">
        <v>2.0019954536110163E-4</v>
      </c>
      <c r="I38" s="25">
        <v>6.3281310722231865E-3</v>
      </c>
      <c r="J38" s="11">
        <v>4.9522401241119951E-5</v>
      </c>
      <c r="K38" s="11">
        <v>1.951330341398716E-5</v>
      </c>
      <c r="L38" s="15">
        <v>1.7870009178295732E-3</v>
      </c>
      <c r="M38" s="11">
        <v>7.9329212894663215E-5</v>
      </c>
      <c r="N38" s="11">
        <v>8.2422690184102976E-7</v>
      </c>
      <c r="O38" s="23">
        <v>1.3221135595813394E-3</v>
      </c>
      <c r="P38" s="11">
        <v>1.4302568160928786E-5</v>
      </c>
      <c r="Q38" s="11">
        <v>1.4646984709543176E-6</v>
      </c>
      <c r="R38"/>
      <c r="S38"/>
      <c r="T38" s="11">
        <v>5.8220967957822722E-7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 s="14">
        <v>2.6426036492921412E-4</v>
      </c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 s="15">
        <v>2.0775210577994585E-3</v>
      </c>
      <c r="CQ38" s="256">
        <v>0.1081065759062767</v>
      </c>
      <c r="CR38"/>
      <c r="CS38" s="12">
        <v>9.5337774837389588E-4</v>
      </c>
      <c r="CT38" s="14">
        <v>3.500823222566396E-4</v>
      </c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210</v>
      </c>
      <c r="B39">
        <v>0.35400000214576721</v>
      </c>
      <c r="C39">
        <v>2.1336112171411514E-2</v>
      </c>
      <c r="D39" s="19">
        <v>6.4921709708869457E-3</v>
      </c>
      <c r="E39" s="11">
        <v>2.5343324523419142E-5</v>
      </c>
      <c r="F39" s="11">
        <v>1.8467659401721903E-6</v>
      </c>
      <c r="G39" s="11">
        <v>2.4341496464330703E-4</v>
      </c>
      <c r="H39" s="11">
        <v>1.4340932830236852E-4</v>
      </c>
      <c r="I39" s="64">
        <v>1.186795998364687E-2</v>
      </c>
      <c r="J39" s="12">
        <v>1.5463416930288076E-3</v>
      </c>
      <c r="K39"/>
      <c r="L39" s="230">
        <v>0.19335688650608063</v>
      </c>
      <c r="M39" s="11">
        <v>6.6680363488558214E-6</v>
      </c>
      <c r="N39"/>
      <c r="O39" s="23">
        <v>2.0346355158835649E-3</v>
      </c>
      <c r="P39" s="11">
        <v>4.0176873881136999E-6</v>
      </c>
      <c r="Q39" s="11">
        <v>1.3190988283895422E-6</v>
      </c>
      <c r="R39" s="11">
        <v>3.8512231981258083E-7</v>
      </c>
      <c r="S39"/>
      <c r="T39" s="11">
        <v>2.0009194656722684E-7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 s="14">
        <v>7.061641663312912E-4</v>
      </c>
      <c r="AL39"/>
      <c r="AM39"/>
      <c r="AN39"/>
      <c r="AO39"/>
      <c r="AP39"/>
      <c r="AQ39"/>
      <c r="AR39"/>
      <c r="AS39"/>
      <c r="AT39"/>
      <c r="AU39"/>
      <c r="AV39"/>
      <c r="AW39"/>
      <c r="AX39"/>
      <c r="AY39" s="11">
        <v>2.7900570421479642E-4</v>
      </c>
      <c r="AZ39"/>
      <c r="BA39" s="12">
        <v>1.4117604587227106E-3</v>
      </c>
      <c r="BB39"/>
      <c r="BC39"/>
      <c r="BD39"/>
      <c r="BE39" s="93">
        <v>2.136828750371933E-2</v>
      </c>
      <c r="BF39"/>
      <c r="BG39" s="11">
        <v>5.5014777899486944E-5</v>
      </c>
      <c r="BH39" s="98">
        <v>1.4324743300676346E-2</v>
      </c>
      <c r="BI39" s="24">
        <v>9.4628827646374702E-3</v>
      </c>
      <c r="BJ39" s="115">
        <v>3.9297446608543396E-2</v>
      </c>
      <c r="BK39" s="16">
        <v>5.3625330328941345E-3</v>
      </c>
      <c r="BL39"/>
      <c r="BM39"/>
      <c r="BN39"/>
      <c r="BO39"/>
      <c r="BP39"/>
      <c r="BQ39" s="14">
        <v>6.3490855973213911E-4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 s="12">
        <v>1.3506297254934907E-3</v>
      </c>
      <c r="CH39"/>
      <c r="CI39" s="11">
        <v>9.6815265351324342E-6</v>
      </c>
      <c r="CJ39"/>
      <c r="CK39"/>
      <c r="CL39" s="11">
        <v>9.3032676886650734E-6</v>
      </c>
      <c r="CM39"/>
      <c r="CN39"/>
      <c r="CO39"/>
      <c r="CP39" s="14">
        <v>8.8785839034244418E-4</v>
      </c>
      <c r="CQ39" s="94">
        <v>1.732533797621727E-2</v>
      </c>
      <c r="CR39" s="23">
        <v>2.1172950509935617E-3</v>
      </c>
      <c r="CS39" s="23">
        <v>2.0371982827782631E-3</v>
      </c>
      <c r="CT39" s="11">
        <v>2.9922538669779897E-4</v>
      </c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211</v>
      </c>
      <c r="B40">
        <v>0.30000001192092896</v>
      </c>
      <c r="C40">
        <v>4.787314310669899E-2</v>
      </c>
      <c r="D40" s="14">
        <v>6.7645229864865541E-4</v>
      </c>
      <c r="E40" s="82">
        <v>0.15015292167663574</v>
      </c>
      <c r="F40" s="11">
        <v>4.8119021812453866E-5</v>
      </c>
      <c r="G40" s="11">
        <v>1.994573904084973E-5</v>
      </c>
      <c r="H40" s="25">
        <v>9.4216456636786461E-3</v>
      </c>
      <c r="I40" s="14">
        <v>5.9425103245303035E-4</v>
      </c>
      <c r="J40" s="11">
        <v>1.3754375686403364E-5</v>
      </c>
      <c r="K40"/>
      <c r="L40" s="19">
        <v>5.1193991675972939E-3</v>
      </c>
      <c r="M40" s="14">
        <v>4.57259506219998E-4</v>
      </c>
      <c r="N40" s="98">
        <v>1.2565377168357372E-2</v>
      </c>
      <c r="O40" s="11">
        <v>8.0865611380431801E-6</v>
      </c>
      <c r="P40" s="11">
        <v>2.4211130221374333E-4</v>
      </c>
      <c r="Q40" s="11">
        <v>2.5153551177936606E-5</v>
      </c>
      <c r="R40"/>
      <c r="S40"/>
      <c r="T40" s="88">
        <v>5.6634768843650818E-2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 s="14">
        <v>6.1305484268814325E-4</v>
      </c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 s="25">
        <v>9.2347785830497742E-3</v>
      </c>
      <c r="CS40" s="22">
        <v>2.2213568445295095E-3</v>
      </c>
      <c r="CT40" s="17">
        <v>4.0784347802400589E-3</v>
      </c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212</v>
      </c>
      <c r="B41">
        <v>0.23000000417232513</v>
      </c>
      <c r="C41">
        <v>3.7229869514703751E-2</v>
      </c>
      <c r="D41" s="19">
        <v>4.0302001871168613E-3</v>
      </c>
      <c r="E41" s="12">
        <v>9.509989176876843E-4</v>
      </c>
      <c r="F41" s="11">
        <v>1.5657104768251884E-6</v>
      </c>
      <c r="G41" s="11">
        <v>4.1492767195450142E-5</v>
      </c>
      <c r="H41" s="11">
        <v>1.5493729733861983E-4</v>
      </c>
      <c r="I41" s="16">
        <v>3.5734463017433882E-3</v>
      </c>
      <c r="J41" s="11">
        <v>2.6293806513422169E-5</v>
      </c>
      <c r="K41"/>
      <c r="L41" s="114">
        <v>3.2116256654262543E-2</v>
      </c>
      <c r="M41" s="11">
        <v>1.0407987929283991E-6</v>
      </c>
      <c r="N41"/>
      <c r="O41" s="23">
        <v>1.2648558476939797E-3</v>
      </c>
      <c r="P41" s="11">
        <v>7.3426377866780967E-7</v>
      </c>
      <c r="Q41" s="11">
        <v>2.383605277600509E-7</v>
      </c>
      <c r="R41" s="11">
        <v>6.2045344861871854E-8</v>
      </c>
      <c r="S41"/>
      <c r="T41" s="11">
        <v>7.7941251220181584E-5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 s="11">
        <v>9.0271641965955496E-5</v>
      </c>
      <c r="BB41"/>
      <c r="BC41"/>
      <c r="BD41"/>
      <c r="BE41"/>
      <c r="BF41"/>
      <c r="BG41"/>
      <c r="BH41"/>
      <c r="BI41"/>
      <c r="BJ41" s="254">
        <v>0.14339984953403473</v>
      </c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 s="11">
        <v>7.7723241702187806E-5</v>
      </c>
      <c r="CJ41"/>
      <c r="CK41"/>
      <c r="CL41"/>
      <c r="CM41"/>
      <c r="CN41"/>
      <c r="CO41"/>
      <c r="CP41"/>
      <c r="CQ41"/>
      <c r="CR41"/>
      <c r="CS41" s="61">
        <v>6.5418458543717861E-3</v>
      </c>
      <c r="CT41" s="14">
        <v>4.2038146057166159E-4</v>
      </c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213</v>
      </c>
      <c r="B42">
        <v>0.30000001192092896</v>
      </c>
      <c r="C42">
        <v>3.2816506922245026E-2</v>
      </c>
      <c r="D42" s="14">
        <v>6.0732336714863777E-4</v>
      </c>
      <c r="E42" s="11">
        <v>1.5986310609150678E-4</v>
      </c>
      <c r="F42" s="11">
        <v>2.4323526304215193E-7</v>
      </c>
      <c r="G42" s="11">
        <v>4.6605895477114245E-5</v>
      </c>
      <c r="H42" s="11">
        <v>2.4166423827409744E-5</v>
      </c>
      <c r="I42" s="12">
        <v>8.9388864580541849E-4</v>
      </c>
      <c r="J42" s="11">
        <v>1.3963130186311901E-5</v>
      </c>
      <c r="K42"/>
      <c r="L42" s="18">
        <v>3.6544904578477144E-3</v>
      </c>
      <c r="M42" s="11">
        <v>1.1982328373960627E-7</v>
      </c>
      <c r="N42"/>
      <c r="O42" s="11">
        <v>1.9008571689482778E-4</v>
      </c>
      <c r="P42" s="14">
        <v>5.0404446665197611E-4</v>
      </c>
      <c r="Q42" s="11">
        <v>5.2584375225706026E-5</v>
      </c>
      <c r="R42" s="11">
        <v>8.8415204047009865E-9</v>
      </c>
      <c r="S42"/>
      <c r="T42" s="62">
        <v>7.1891285479068756E-3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 s="23">
        <v>1.7825557151809335E-3</v>
      </c>
      <c r="BB42"/>
      <c r="BC42"/>
      <c r="BD42"/>
      <c r="BE42" s="244">
        <v>4.2342707514762878E-2</v>
      </c>
      <c r="BF42"/>
      <c r="BG42"/>
      <c r="BH42" s="83">
        <v>2.9456730931997299E-2</v>
      </c>
      <c r="BI42"/>
      <c r="BJ42" s="92">
        <v>2.8326598927378654E-2</v>
      </c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 s="61">
        <v>8.867219090461731E-3</v>
      </c>
      <c r="CD42"/>
      <c r="CE42"/>
      <c r="CF42"/>
      <c r="CG42" s="174">
        <v>6.4232736825942993E-2</v>
      </c>
      <c r="CH42"/>
      <c r="CI42" s="14">
        <v>3.0695358873344958E-4</v>
      </c>
      <c r="CJ42"/>
      <c r="CK42"/>
      <c r="CL42"/>
      <c r="CM42"/>
      <c r="CN42"/>
      <c r="CO42"/>
      <c r="CP42" s="99">
        <v>2.336418628692627E-2</v>
      </c>
      <c r="CQ42" s="186">
        <v>5.4930116981267929E-2</v>
      </c>
      <c r="CR42"/>
      <c r="CS42"/>
      <c r="CT42" s="11">
        <v>2.3717415751889348E-4</v>
      </c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214</v>
      </c>
      <c r="B43">
        <v>0.27500000596046448</v>
      </c>
      <c r="C43">
        <v>2.2216197103261948E-2</v>
      </c>
      <c r="D43" s="62">
        <v>6.4988867379724979E-3</v>
      </c>
      <c r="E43" s="23">
        <v>1.348149380646646E-3</v>
      </c>
      <c r="F43" s="11">
        <v>4.0646700654178858E-6</v>
      </c>
      <c r="G43" s="11">
        <v>1.3006932022108231E-5</v>
      </c>
      <c r="H43" s="14">
        <v>4.3260987149551511E-4</v>
      </c>
      <c r="I43" s="83">
        <v>2.7121502906084061E-2</v>
      </c>
      <c r="J43" s="14">
        <v>2.9941686079837382E-4</v>
      </c>
      <c r="K43" s="14">
        <v>5.3170626051723957E-4</v>
      </c>
      <c r="L43" s="11">
        <v>2.5304479640908539E-4</v>
      </c>
      <c r="M43" s="14">
        <v>5.283463979139924E-4</v>
      </c>
      <c r="N43" s="11">
        <v>1.3682017743121833E-4</v>
      </c>
      <c r="O43" s="22">
        <v>2.3603965528309345E-3</v>
      </c>
      <c r="P43" s="14">
        <v>6.5251783234998584E-4</v>
      </c>
      <c r="Q43" s="11">
        <v>8.7134521891130134E-6</v>
      </c>
      <c r="R43" s="11">
        <v>2.7077987851953367E-6</v>
      </c>
      <c r="S43" s="11">
        <v>6.7870532802771777E-6</v>
      </c>
      <c r="T43" s="17">
        <v>3.6148803774267435E-3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 s="22">
        <v>2.3804353550076485E-3</v>
      </c>
      <c r="BB43"/>
      <c r="BC43"/>
      <c r="BD43" s="146">
        <v>3.0060572549700737E-2</v>
      </c>
      <c r="BE43" s="257">
        <v>0.10280854254961014</v>
      </c>
      <c r="BF43" s="145">
        <v>2.7251528576016426E-2</v>
      </c>
      <c r="BG43" s="14">
        <v>4.2350526200607419E-4</v>
      </c>
      <c r="BH43"/>
      <c r="BI43" s="65">
        <v>1.0926829650998116E-2</v>
      </c>
      <c r="BJ43" s="23">
        <v>1.3750583166256547E-3</v>
      </c>
      <c r="BK43" s="63">
        <v>1.2384276837110519E-2</v>
      </c>
      <c r="BL43"/>
      <c r="BM43" s="12">
        <v>8.5418927483260632E-4</v>
      </c>
      <c r="BN43" s="61">
        <v>8.2365497946739197E-3</v>
      </c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 s="19">
        <v>4.9825259484350681E-3</v>
      </c>
      <c r="CQ43" s="19">
        <v>4.9693877808749676E-3</v>
      </c>
      <c r="CR43"/>
      <c r="CS43" s="23">
        <v>1.5682406956329942E-3</v>
      </c>
      <c r="CT43" s="14">
        <v>7.4861978646367788E-4</v>
      </c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215</v>
      </c>
      <c r="B44">
        <v>0.23000000417232513</v>
      </c>
      <c r="C44">
        <v>6.2321987003087997E-2</v>
      </c>
      <c r="D44" s="64">
        <v>7.5121200643479824E-3</v>
      </c>
      <c r="E44" s="23">
        <v>1.5760906971991062E-3</v>
      </c>
      <c r="F44" s="11">
        <v>2.0624238459276967E-6</v>
      </c>
      <c r="G44" s="11">
        <v>1.4027915540282265E-6</v>
      </c>
      <c r="H44" s="14">
        <v>2.443511039018631E-4</v>
      </c>
      <c r="I44" s="176">
        <v>1.9059067592024803E-2</v>
      </c>
      <c r="J44" s="11">
        <v>6.2847801018506289E-5</v>
      </c>
      <c r="K44" s="11">
        <v>5.3140836826059967E-5</v>
      </c>
      <c r="L44" s="14">
        <v>4.9403082812204957E-4</v>
      </c>
      <c r="M44" s="14">
        <v>2.3047755530569702E-4</v>
      </c>
      <c r="N44" s="11">
        <v>2.6162754238612251E-6</v>
      </c>
      <c r="O44" s="23">
        <v>1.5141414478421211E-3</v>
      </c>
      <c r="P44" s="11">
        <v>1.2440794989743154E-6</v>
      </c>
      <c r="Q44"/>
      <c r="R44"/>
      <c r="S44"/>
      <c r="T44" s="11">
        <v>1.6857458149388549E-6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 s="17">
        <v>3.0719537753611803E-3</v>
      </c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 s="16">
        <v>3.8080399390310049E-3</v>
      </c>
      <c r="CQ44" s="249">
        <v>0.12384777516126633</v>
      </c>
      <c r="CR44"/>
      <c r="CS44" s="15">
        <v>2.1843945141881704E-3</v>
      </c>
      <c r="CT44" s="19">
        <v>4.0105720981955528E-3</v>
      </c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216</v>
      </c>
      <c r="B45">
        <v>0.40000000596046448</v>
      </c>
      <c r="C45">
        <v>5.9999991208314896E-2</v>
      </c>
      <c r="D45" s="11">
        <v>1.5909099602140486E-4</v>
      </c>
      <c r="E45" s="11">
        <v>8.5092951849219389E-6</v>
      </c>
      <c r="F45" s="11">
        <v>8.4185515447643411E-8</v>
      </c>
      <c r="G45" s="11">
        <v>7.6885853559360839E-6</v>
      </c>
      <c r="H45" s="11">
        <v>1.6495665477123111E-5</v>
      </c>
      <c r="I45" s="11">
        <v>2.3880126536823809E-4</v>
      </c>
      <c r="J45" s="11">
        <v>6.2163690017769113E-6</v>
      </c>
      <c r="K45" s="11">
        <v>3.0470977435470559E-5</v>
      </c>
      <c r="L45" s="11">
        <v>2.9972607080708258E-5</v>
      </c>
      <c r="M45" s="11">
        <v>2.454452078382019E-5</v>
      </c>
      <c r="N45" s="11">
        <v>8.9987534011015669E-6</v>
      </c>
      <c r="O45" s="11">
        <v>1.7575056699570268E-4</v>
      </c>
      <c r="P45" s="11">
        <v>1.2509824591688812E-4</v>
      </c>
      <c r="Q45" s="11">
        <v>8.3085269579896703E-6</v>
      </c>
      <c r="R45" s="11">
        <v>9.2367798742998275E-8</v>
      </c>
      <c r="S45" s="11">
        <v>5.9715127065373963E-8</v>
      </c>
      <c r="T45" s="11">
        <v>3.9834299059293699E-7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 s="15">
        <v>3.5741974133998156E-3</v>
      </c>
      <c r="AX45"/>
      <c r="AY45" s="11">
        <v>2.7385083376429975E-4</v>
      </c>
      <c r="AZ45"/>
      <c r="BA45"/>
      <c r="BB45"/>
      <c r="BC45"/>
      <c r="BD45" s="17">
        <v>5.2551240660250187E-3</v>
      </c>
      <c r="BE45"/>
      <c r="BF45" s="261">
        <v>0.17373302578926086</v>
      </c>
      <c r="BG45"/>
      <c r="BH45" s="93">
        <v>2.4317862465977669E-2</v>
      </c>
      <c r="BI45" s="173">
        <v>4.6440239995718002E-2</v>
      </c>
      <c r="BJ45" s="111">
        <v>3.5077325999736786E-2</v>
      </c>
      <c r="BK45" s="26">
        <v>1.0526911355555058E-2</v>
      </c>
      <c r="BL45"/>
      <c r="BM45" s="17">
        <v>5.421182606369257E-3</v>
      </c>
      <c r="BN45" s="21">
        <v>7.469892967492342E-3</v>
      </c>
      <c r="BO45"/>
      <c r="BP45" s="24">
        <v>1.0627892799675465E-2</v>
      </c>
      <c r="BQ45" s="12">
        <v>1.2463561724871397E-3</v>
      </c>
      <c r="BR45"/>
      <c r="BS45"/>
      <c r="BT45"/>
      <c r="BU45"/>
      <c r="BV45"/>
      <c r="BW45"/>
      <c r="BX45"/>
      <c r="BY45"/>
      <c r="BZ45"/>
      <c r="CA45"/>
      <c r="CB45"/>
      <c r="CC45" s="17">
        <v>5.4902173578739166E-3</v>
      </c>
      <c r="CD45"/>
      <c r="CE45"/>
      <c r="CF45"/>
      <c r="CG45" s="15">
        <v>3.9770267903804779E-3</v>
      </c>
      <c r="CH45" s="11">
        <v>1.4908210141584277E-4</v>
      </c>
      <c r="CI45" s="11">
        <v>4.7513254685327411E-5</v>
      </c>
      <c r="CJ45"/>
      <c r="CK45"/>
      <c r="CL45" s="14">
        <v>9.131380938924849E-4</v>
      </c>
      <c r="CM45"/>
      <c r="CN45"/>
      <c r="CO45"/>
      <c r="CP45" s="14">
        <v>5.9258902911096811E-4</v>
      </c>
      <c r="CQ45" s="15">
        <v>3.6260294727981091E-3</v>
      </c>
      <c r="CR45"/>
      <c r="CS45" s="14">
        <v>3.9991183439269662E-4</v>
      </c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217</v>
      </c>
      <c r="B46">
        <v>7.0000000298023224E-2</v>
      </c>
      <c r="C46">
        <v>1.0846635326743126E-2</v>
      </c>
      <c r="D46" s="18">
        <v>8.698992314748466E-4</v>
      </c>
      <c r="E46" s="12">
        <v>2.2209317830856889E-4</v>
      </c>
      <c r="F46" s="11">
        <v>1.6686672097421251E-6</v>
      </c>
      <c r="G46" s="14">
        <v>1.4826488040853292E-4</v>
      </c>
      <c r="H46" s="14">
        <v>1.1785729293478653E-4</v>
      </c>
      <c r="I46" s="139">
        <v>4.3260590173304081E-3</v>
      </c>
      <c r="J46" s="14">
        <v>1.0301763541065156E-4</v>
      </c>
      <c r="K46"/>
      <c r="L46" s="15">
        <v>6.945714121684432E-4</v>
      </c>
      <c r="M46" s="11">
        <v>7.052360160741955E-6</v>
      </c>
      <c r="N46"/>
      <c r="O46" s="12">
        <v>2.1432901849038899E-4</v>
      </c>
      <c r="P46" s="18">
        <v>7.6944404281675816E-4</v>
      </c>
      <c r="Q46" s="14">
        <v>7.9068733612075448E-5</v>
      </c>
      <c r="R46" s="11">
        <v>2.1098301772326522E-7</v>
      </c>
      <c r="S46"/>
      <c r="T46" s="22">
        <v>5.1287532551214099E-4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 s="22">
        <v>5.5581447668373585E-4</v>
      </c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 s="23">
        <v>3.6601896863430738E-4</v>
      </c>
      <c r="BB46"/>
      <c r="BC46"/>
      <c r="BD46" s="110">
        <v>1.0264051146805286E-2</v>
      </c>
      <c r="BE46" s="142">
        <v>8.1889312714338303E-3</v>
      </c>
      <c r="BF46"/>
      <c r="BG46" s="15">
        <v>7.1320222923532128E-4</v>
      </c>
      <c r="BH46" s="113">
        <v>7.4281413108110428E-3</v>
      </c>
      <c r="BI46" s="99">
        <v>5.5081169120967388E-3</v>
      </c>
      <c r="BJ46" s="112">
        <v>4.6313218772411346E-3</v>
      </c>
      <c r="BK46"/>
      <c r="BL46"/>
      <c r="BM46" s="23">
        <v>3.5801099147647619E-4</v>
      </c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 s="18">
        <v>7.5966300209984183E-4</v>
      </c>
      <c r="CQ46" s="245">
        <v>1.0481459088623524E-2</v>
      </c>
      <c r="CR46" s="22">
        <v>5.4896506480872631E-4</v>
      </c>
      <c r="CS46" s="16">
        <v>1.1620351579040289E-3</v>
      </c>
      <c r="CT46" s="14">
        <v>1.2122210318921134E-4</v>
      </c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218</v>
      </c>
      <c r="B47">
        <v>0.34999999403953552</v>
      </c>
      <c r="C47">
        <v>5.2499968558549881E-2</v>
      </c>
      <c r="D47" s="11">
        <v>3.2809461117722094E-4</v>
      </c>
      <c r="E47" s="11">
        <v>2.2986184831097489E-6</v>
      </c>
      <c r="F47" s="11">
        <v>1.1767477303692431E-7</v>
      </c>
      <c r="G47" s="11">
        <v>1.3493424376065377E-5</v>
      </c>
      <c r="H47" s="11">
        <v>7.6488950071507134E-6</v>
      </c>
      <c r="I47" s="14">
        <v>6.048642098903656E-4</v>
      </c>
      <c r="J47" s="11">
        <v>3.1248735012923134E-6</v>
      </c>
      <c r="K47"/>
      <c r="L47" s="24">
        <v>9.59025789052248E-3</v>
      </c>
      <c r="M47" s="11">
        <v>2.7438565552984073E-7</v>
      </c>
      <c r="N47"/>
      <c r="O47" s="11">
        <v>1.0684246080927551E-4</v>
      </c>
      <c r="P47" s="11">
        <v>2.4704090151317359E-7</v>
      </c>
      <c r="Q47" s="11">
        <v>9.9709282608273497E-8</v>
      </c>
      <c r="R47" s="11">
        <v>4.0477527107896094E-8</v>
      </c>
      <c r="S47"/>
      <c r="T47" s="11">
        <v>2.0249310182407498E-4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 s="11">
        <v>1.3241526903584599E-4</v>
      </c>
      <c r="BB47"/>
      <c r="BC47"/>
      <c r="BD47" s="19">
        <v>6.3048647716641426E-3</v>
      </c>
      <c r="BE47"/>
      <c r="BF47" s="144">
        <v>8.3374872803688049E-2</v>
      </c>
      <c r="BG47"/>
      <c r="BH47" s="96">
        <v>1.8234683200716972E-2</v>
      </c>
      <c r="BI47"/>
      <c r="BJ47"/>
      <c r="BK47"/>
      <c r="BL47"/>
      <c r="BM47"/>
      <c r="BN47" s="15">
        <v>3.5848189145326614E-3</v>
      </c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 s="252">
        <v>0.15904869139194489</v>
      </c>
      <c r="CH47"/>
      <c r="CI47"/>
      <c r="CJ47"/>
      <c r="CK47"/>
      <c r="CL47" s="23">
        <v>2.191085135564208E-3</v>
      </c>
      <c r="CM47"/>
      <c r="CN47"/>
      <c r="CO47"/>
      <c r="CP47" s="25">
        <v>1.0873536579310894E-2</v>
      </c>
      <c r="CQ47" s="22">
        <v>2.7189683169126511E-3</v>
      </c>
      <c r="CR47"/>
      <c r="CS47"/>
      <c r="CT47" s="11">
        <v>1.7618229321669787E-4</v>
      </c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219</v>
      </c>
      <c r="B48">
        <v>0.30000001192092896</v>
      </c>
      <c r="C48">
        <v>2.7597928419709206E-2</v>
      </c>
      <c r="D48" s="11">
        <v>9.3817929155193269E-5</v>
      </c>
      <c r="E48" s="11">
        <v>3.0142406103550456E-5</v>
      </c>
      <c r="F48" s="11">
        <v>1.0023423868688042E-7</v>
      </c>
      <c r="G48" s="11">
        <v>1.5695798438741804E-8</v>
      </c>
      <c r="H48" s="11">
        <v>7.0921832957537845E-6</v>
      </c>
      <c r="I48" s="107">
        <v>1.691780611872673E-2</v>
      </c>
      <c r="J48" s="11">
        <v>1.1124875891255215E-4</v>
      </c>
      <c r="K48"/>
      <c r="L48" s="11">
        <v>1.2116308425902389E-5</v>
      </c>
      <c r="M48" s="11">
        <v>1.3516994386009173E-6</v>
      </c>
      <c r="N48" s="11">
        <v>1.9811199081232189E-7</v>
      </c>
      <c r="O48" s="11">
        <v>2.8653224944719113E-5</v>
      </c>
      <c r="P48" s="11">
        <v>4.0082599639390537E-7</v>
      </c>
      <c r="Q48"/>
      <c r="R48"/>
      <c r="S48"/>
      <c r="T48" s="11">
        <v>9.8839009865514527E-8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 s="12">
        <v>1.4696225989609957E-3</v>
      </c>
      <c r="BB48"/>
      <c r="BC48"/>
      <c r="BD48" s="146">
        <v>3.2793350517749786E-2</v>
      </c>
      <c r="BE48" s="150">
        <v>8.6374379694461823E-2</v>
      </c>
      <c r="BF48" s="93">
        <v>1.8433136865496635E-2</v>
      </c>
      <c r="BG48"/>
      <c r="BH48" s="15">
        <v>3.2073261681944132E-3</v>
      </c>
      <c r="BI48" s="147">
        <v>3.6462213844060898E-2</v>
      </c>
      <c r="BJ48" s="233">
        <v>3.2553486526012421E-2</v>
      </c>
      <c r="BK48" s="250">
        <v>3.0714999884366989E-2</v>
      </c>
      <c r="BL48"/>
      <c r="BM48" s="12">
        <v>9.3184283468872309E-4</v>
      </c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 s="14">
        <v>7.2663201717659831E-4</v>
      </c>
      <c r="CM48"/>
      <c r="CN48"/>
      <c r="CO48"/>
      <c r="CP48" s="19">
        <v>5.4354825988411903E-3</v>
      </c>
      <c r="CQ48" s="19">
        <v>5.4211504757404327E-3</v>
      </c>
      <c r="CR48"/>
      <c r="CS48" s="14">
        <v>6.3646183116361499E-4</v>
      </c>
      <c r="CT48" s="11">
        <v>3.8951693568378687E-5</v>
      </c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220</v>
      </c>
      <c r="B49">
        <v>0.37999999523162842</v>
      </c>
      <c r="C49">
        <v>2.3911831900477409E-2</v>
      </c>
      <c r="D49" s="11">
        <v>1.503534576841048E-6</v>
      </c>
      <c r="E49" s="11">
        <v>4.4794938958148123E-7</v>
      </c>
      <c r="F49" s="11">
        <v>1.2822869877027188E-8</v>
      </c>
      <c r="G49" s="11">
        <v>3.7481551196094642E-9</v>
      </c>
      <c r="H49" s="11">
        <v>4.9826667236629874E-7</v>
      </c>
      <c r="I49" s="22">
        <v>3.2621994614601135E-3</v>
      </c>
      <c r="J49" s="14">
        <v>8.761649951338768E-4</v>
      </c>
      <c r="K49"/>
      <c r="L49" s="11">
        <v>1.3465189113048837E-5</v>
      </c>
      <c r="M49" s="11">
        <v>2.0495194519298821E-7</v>
      </c>
      <c r="N49" s="11">
        <v>9.9189367830376796E-9</v>
      </c>
      <c r="O49" s="11">
        <v>3.1206187145471631E-7</v>
      </c>
      <c r="P49" s="11">
        <v>5.1983672477717846E-8</v>
      </c>
      <c r="Q49"/>
      <c r="R49"/>
      <c r="S49"/>
      <c r="T49" s="11">
        <v>2.0954657884431072E-5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 s="11">
        <v>1.7855888290796429E-4</v>
      </c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 s="14">
        <v>8.000996895134449E-4</v>
      </c>
      <c r="BB49"/>
      <c r="BC49"/>
      <c r="BD49" s="146">
        <v>4.1538242250680923E-2</v>
      </c>
      <c r="BE49" s="94">
        <v>1.8910959362983704E-2</v>
      </c>
      <c r="BF49" s="148">
        <v>5.0127405673265457E-2</v>
      </c>
      <c r="BG49"/>
      <c r="BH49" s="65">
        <v>1.5212897211313248E-2</v>
      </c>
      <c r="BI49" s="111">
        <v>3.3498648554086685E-2</v>
      </c>
      <c r="BJ49" s="176">
        <v>3.1616624444723129E-2</v>
      </c>
      <c r="BK49" s="111">
        <v>3.3410768955945969E-2</v>
      </c>
      <c r="BL49" s="95">
        <v>2.8853125870227814E-2</v>
      </c>
      <c r="BM49" s="12">
        <v>1.1803341330960393E-3</v>
      </c>
      <c r="BN49" s="22">
        <v>3.2615866512060165E-3</v>
      </c>
      <c r="BO49" s="87">
        <v>8.1585412845015526E-3</v>
      </c>
      <c r="BP49"/>
      <c r="BQ49"/>
      <c r="BR49"/>
      <c r="BS49"/>
      <c r="BT49"/>
      <c r="BU49"/>
      <c r="BV49"/>
      <c r="BW49"/>
      <c r="BX49"/>
      <c r="BY49"/>
      <c r="BZ49"/>
      <c r="CA49"/>
      <c r="CB49"/>
      <c r="CC49" s="96">
        <v>1.9801240414381027E-2</v>
      </c>
      <c r="CD49"/>
      <c r="CE49"/>
      <c r="CF49"/>
      <c r="CG49" s="106">
        <v>4.7812357544898987E-2</v>
      </c>
      <c r="CH49" s="14">
        <v>5.3768552606925368E-4</v>
      </c>
      <c r="CI49" s="11">
        <v>1.725182228256017E-4</v>
      </c>
      <c r="CJ49"/>
      <c r="CK49"/>
      <c r="CL49" s="12">
        <v>1.6466802917420864E-3</v>
      </c>
      <c r="CM49"/>
      <c r="CN49"/>
      <c r="CO49"/>
      <c r="CP49" s="19">
        <v>6.8849450908601284E-3</v>
      </c>
      <c r="CQ49" s="19">
        <v>6.8667903542518616E-3</v>
      </c>
      <c r="CR49"/>
      <c r="CS49" s="12">
        <v>1.4423382235690951E-3</v>
      </c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221</v>
      </c>
      <c r="B50">
        <v>0.20000000298023224</v>
      </c>
      <c r="C50">
        <v>3.3455144613981247E-2</v>
      </c>
      <c r="D50" s="19">
        <v>3.5286610946059227E-3</v>
      </c>
      <c r="E50" s="23">
        <v>1.0383733315393329E-3</v>
      </c>
      <c r="F50" s="11">
        <v>1.3486395573636401E-6</v>
      </c>
      <c r="G50" s="11">
        <v>1.5930784513784602E-7</v>
      </c>
      <c r="H50" s="11">
        <v>1.4649136574007571E-4</v>
      </c>
      <c r="I50" s="109">
        <v>1.1022479273378849E-2</v>
      </c>
      <c r="J50" s="11">
        <v>6.5919498410949018E-6</v>
      </c>
      <c r="K50" s="11">
        <v>9.4474116849596612E-6</v>
      </c>
      <c r="L50" s="11">
        <v>4.8974288802128285E-5</v>
      </c>
      <c r="M50" s="11">
        <v>3.229705907870084E-5</v>
      </c>
      <c r="N50" s="11">
        <v>4.9037436156140757E-7</v>
      </c>
      <c r="O50" s="23">
        <v>1.0038396576419473E-3</v>
      </c>
      <c r="P50" s="11">
        <v>2.4895629735510738E-7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 s="243">
        <v>9.1375693678855896E-2</v>
      </c>
      <c r="BI50"/>
      <c r="BJ50" s="242">
        <v>5.6267872452735901E-2</v>
      </c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 s="15">
        <v>2.061889274045825E-3</v>
      </c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222</v>
      </c>
      <c r="B51">
        <v>2.7000000476837158</v>
      </c>
      <c r="C51">
        <v>0.40499961376190186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 s="20">
        <v>0.1144687831401825</v>
      </c>
      <c r="AK51" s="11">
        <v>1.5536618593614548E-4</v>
      </c>
      <c r="AL51"/>
      <c r="AM51"/>
      <c r="AN51"/>
      <c r="AO51"/>
      <c r="AP51"/>
      <c r="AQ51" s="12">
        <v>9.9364044144749641E-3</v>
      </c>
      <c r="AR51" s="64">
        <v>8.7932273745536804E-2</v>
      </c>
      <c r="AS51" s="14">
        <v>6.1396593227982521E-3</v>
      </c>
      <c r="AT51" s="61">
        <v>8.0705083906650543E-2</v>
      </c>
      <c r="AU51" s="11">
        <v>1.5634617011528462E-4</v>
      </c>
      <c r="AV51" s="12">
        <v>1.3100452721118927E-2</v>
      </c>
      <c r="AW51" s="64">
        <v>8.9731805026531219E-2</v>
      </c>
      <c r="AX51" s="17">
        <v>3.6723770201206207E-2</v>
      </c>
      <c r="AY51" s="23">
        <v>1.7187867313623428E-2</v>
      </c>
      <c r="AZ51" s="14">
        <v>2.9791137203574181E-3</v>
      </c>
      <c r="BA51" s="11">
        <v>1.8088914221152663E-3</v>
      </c>
      <c r="BB51" s="18">
        <v>2.9777532443404198E-2</v>
      </c>
      <c r="BC51" s="16">
        <v>4.4604919850826263E-2</v>
      </c>
      <c r="BD51" s="17">
        <v>3.7790406495332718E-2</v>
      </c>
      <c r="BE51" s="13">
        <v>0.1020188182592392</v>
      </c>
      <c r="BF51" s="260">
        <v>0.98137009143829346</v>
      </c>
      <c r="BG51" s="11">
        <v>1.016738940961659E-3</v>
      </c>
      <c r="BH51" s="62">
        <v>6.2958911061286926E-2</v>
      </c>
      <c r="BI51" s="22">
        <v>1.9828656688332558E-2</v>
      </c>
      <c r="BJ51" s="17">
        <v>3.9614390581846237E-2</v>
      </c>
      <c r="BK51" s="18">
        <v>3.0392520129680634E-2</v>
      </c>
      <c r="BL51" s="108">
        <v>0.20084355771541595</v>
      </c>
      <c r="BM51" s="14">
        <v>7.9392371699213982E-3</v>
      </c>
      <c r="BN51" s="14">
        <v>5.6260493583977222E-3</v>
      </c>
      <c r="BO51"/>
      <c r="BP51" s="12">
        <v>1.000567339360714E-2</v>
      </c>
      <c r="BQ51"/>
      <c r="BR51" s="26">
        <v>6.8012028932571411E-2</v>
      </c>
      <c r="BS51" s="20">
        <v>0.11387491971254349</v>
      </c>
      <c r="BT51"/>
      <c r="BU51"/>
      <c r="BV51"/>
      <c r="BW51"/>
      <c r="BX51"/>
      <c r="BY51"/>
      <c r="BZ51"/>
      <c r="CA51"/>
      <c r="CB51"/>
      <c r="CC51" s="16">
        <v>4.135030135512352E-2</v>
      </c>
      <c r="CD51"/>
      <c r="CE51"/>
      <c r="CF51"/>
      <c r="CG51"/>
      <c r="CH51"/>
      <c r="CI51"/>
      <c r="CJ51"/>
      <c r="CK51"/>
      <c r="CL51"/>
      <c r="CM51"/>
      <c r="CN51"/>
      <c r="CO51" s="18">
        <v>3.4361071884632111E-2</v>
      </c>
      <c r="CP51"/>
      <c r="CQ51"/>
      <c r="CR51" s="11">
        <v>2.0869416184723377E-3</v>
      </c>
      <c r="CS51" s="11">
        <v>5.0199817633256316E-4</v>
      </c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223</v>
      </c>
      <c r="B52">
        <v>2.7000000476837158</v>
      </c>
      <c r="C52">
        <v>0.40500026941299438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 s="18">
        <v>3.3638894557952881E-2</v>
      </c>
      <c r="AK52" s="11">
        <v>7.3051836807280779E-5</v>
      </c>
      <c r="AL52" s="19">
        <v>5.005471408367157E-2</v>
      </c>
      <c r="AM52"/>
      <c r="AN52" s="22">
        <v>2.3030243813991547E-2</v>
      </c>
      <c r="AO52" s="62">
        <v>6.247180700302124E-2</v>
      </c>
      <c r="AP52" s="12">
        <v>1.1765977367758751E-2</v>
      </c>
      <c r="AQ52" s="12">
        <v>1.1680028401315212E-2</v>
      </c>
      <c r="AR52" s="87">
        <v>5.6249748915433884E-2</v>
      </c>
      <c r="AS52" s="19">
        <v>4.5400191098451614E-2</v>
      </c>
      <c r="AT52" s="17">
        <v>3.5302199423313141E-2</v>
      </c>
      <c r="AU52" s="14">
        <v>2.7873532380908728E-3</v>
      </c>
      <c r="AV52" s="14">
        <v>7.6996493153274059E-3</v>
      </c>
      <c r="AW52" s="15">
        <v>2.6369448751211166E-2</v>
      </c>
      <c r="AX52" s="23">
        <v>1.7267199233174324E-2</v>
      </c>
      <c r="AY52" s="12">
        <v>1.0101983323693275E-2</v>
      </c>
      <c r="AZ52" s="11">
        <v>1.7509418539702892E-3</v>
      </c>
      <c r="BA52" s="11">
        <v>1.2711533345282078E-3</v>
      </c>
      <c r="BB52" s="18">
        <v>3.0654005706310272E-2</v>
      </c>
      <c r="BC52" s="21">
        <v>5.3571950644254684E-2</v>
      </c>
      <c r="BD52" s="12">
        <v>9.6973897889256477E-3</v>
      </c>
      <c r="BE52" s="16">
        <v>4.3301120400428772E-2</v>
      </c>
      <c r="BF52" s="263">
        <v>0.89379322528839111</v>
      </c>
      <c r="BG52" s="11">
        <v>1.9919245096389204E-4</v>
      </c>
      <c r="BH52" s="16">
        <v>4.1766099631786346E-2</v>
      </c>
      <c r="BI52" s="22">
        <v>2.0557401701807976E-2</v>
      </c>
      <c r="BJ52" s="15">
        <v>2.586992084980011E-2</v>
      </c>
      <c r="BK52" s="23">
        <v>1.5532934106886387E-2</v>
      </c>
      <c r="BL52" s="111">
        <v>0.23608724772930145</v>
      </c>
      <c r="BM52" s="11">
        <v>1.9998000934720039E-3</v>
      </c>
      <c r="BN52" s="14">
        <v>7.7155157923698425E-3</v>
      </c>
      <c r="BO52"/>
      <c r="BP52" s="23">
        <v>1.372169516980648E-2</v>
      </c>
      <c r="BQ52"/>
      <c r="BR52" s="103">
        <v>9.3271113932132721E-2</v>
      </c>
      <c r="BS52" s="107">
        <v>0.15616708993911743</v>
      </c>
      <c r="BT52"/>
      <c r="BU52"/>
      <c r="BV52"/>
      <c r="BW52" s="108">
        <v>0.20177808403968811</v>
      </c>
      <c r="BX52"/>
      <c r="BY52"/>
      <c r="BZ52"/>
      <c r="CA52"/>
      <c r="CB52"/>
      <c r="CC52" s="17">
        <v>3.6454785615205765E-2</v>
      </c>
      <c r="CD52"/>
      <c r="CE52"/>
      <c r="CF52"/>
      <c r="CG52"/>
      <c r="CH52"/>
      <c r="CI52"/>
      <c r="CJ52"/>
      <c r="CK52"/>
      <c r="CL52"/>
      <c r="CM52"/>
      <c r="CN52"/>
      <c r="CO52" s="23">
        <v>1.442524790763855E-2</v>
      </c>
      <c r="CP52"/>
      <c r="CQ52"/>
      <c r="CR52" s="11">
        <v>1.2265773257240653E-3</v>
      </c>
      <c r="CS52" s="11">
        <v>2.9504401027224958E-4</v>
      </c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 t="s">
        <v>224</v>
      </c>
      <c r="B53">
        <v>2.7000000476837158</v>
      </c>
      <c r="C53">
        <v>0.40499994158744812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 s="11">
        <v>1.289140636799857E-4</v>
      </c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 s="11">
        <v>1.4369342243298888E-3</v>
      </c>
      <c r="BB53" s="17">
        <v>3.7435922771692276E-2</v>
      </c>
      <c r="BC53" s="17">
        <v>3.8799718022346497E-2</v>
      </c>
      <c r="BD53" s="15">
        <v>2.7380669489502907E-2</v>
      </c>
      <c r="BE53" s="255">
        <v>0.54612541198730469</v>
      </c>
      <c r="BF53" s="258">
        <v>0.90476137399673462</v>
      </c>
      <c r="BG53"/>
      <c r="BH53" s="97">
        <v>0.21966494619846344</v>
      </c>
      <c r="BI53" s="23">
        <v>1.4511001296341419E-2</v>
      </c>
      <c r="BJ53" s="23">
        <v>1.8260989338159561E-2</v>
      </c>
      <c r="BK53" s="109">
        <v>0.14801864326000214</v>
      </c>
      <c r="BL53" s="65">
        <v>0.10415537655353546</v>
      </c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 s="97">
        <v>0.21443834900856018</v>
      </c>
      <c r="CD53"/>
      <c r="CE53"/>
      <c r="CF53"/>
      <c r="CG53"/>
      <c r="CH53"/>
      <c r="CI53"/>
      <c r="CJ53"/>
      <c r="CK53"/>
      <c r="CL53"/>
      <c r="CM53"/>
      <c r="CN53"/>
      <c r="CO53" s="12">
        <v>1.01824551820755E-2</v>
      </c>
      <c r="CP53"/>
      <c r="CQ53"/>
      <c r="CR53" s="12">
        <v>8.6581297218799591E-3</v>
      </c>
      <c r="CS53" s="11">
        <v>1.041324227117002E-3</v>
      </c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 t="s">
        <v>225</v>
      </c>
      <c r="B54">
        <v>4.5</v>
      </c>
      <c r="C54">
        <v>1.7675848007202148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 s="14">
        <v>8.3734160289168358E-3</v>
      </c>
      <c r="BF54"/>
      <c r="BG54"/>
      <c r="BH54" s="11">
        <v>1.7767377430573106E-3</v>
      </c>
      <c r="BI54"/>
      <c r="BJ54" s="11">
        <v>6.3300924375653267E-4</v>
      </c>
      <c r="BK54" s="11">
        <v>1.1402226518839598E-3</v>
      </c>
      <c r="BL54" s="20">
        <v>0.19441157579421997</v>
      </c>
      <c r="BM54"/>
      <c r="BN54" s="11">
        <v>2.074619522318244E-3</v>
      </c>
      <c r="BO54" s="87">
        <v>9.4611242413520813E-2</v>
      </c>
      <c r="BP54" s="14">
        <v>1.1068850755691528E-2</v>
      </c>
      <c r="BQ54" s="11">
        <v>5.1922729471698403E-4</v>
      </c>
      <c r="BR54"/>
      <c r="BS54" s="11">
        <v>4.1991658508777618E-3</v>
      </c>
      <c r="BT54" s="11">
        <v>2.8798256535083055E-3</v>
      </c>
      <c r="BU54"/>
      <c r="BV54" s="26">
        <v>0.11616512387990952</v>
      </c>
      <c r="BW54" s="83">
        <v>0.44359683990478516</v>
      </c>
      <c r="BX54" s="147">
        <v>0.54510295391082764</v>
      </c>
      <c r="BY54"/>
      <c r="BZ54" s="107">
        <v>0.25543245673179626</v>
      </c>
      <c r="CA54"/>
      <c r="CB54"/>
      <c r="CC54" s="14">
        <v>7.6240128837525845E-3</v>
      </c>
      <c r="CD54" s="14">
        <v>5.4084747098386288E-3</v>
      </c>
      <c r="CE54" s="276">
        <v>1.0369100570678711</v>
      </c>
      <c r="CF54"/>
      <c r="CG54"/>
      <c r="CH54"/>
      <c r="CI54"/>
      <c r="CJ54"/>
      <c r="CK54"/>
      <c r="CL54"/>
      <c r="CM54"/>
      <c r="CN54" s="11">
        <v>4.8721465282142162E-4</v>
      </c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 t="s">
        <v>226</v>
      </c>
      <c r="B55">
        <v>3</v>
      </c>
      <c r="C55">
        <v>0.44999939203262329</v>
      </c>
      <c r="D55" s="11">
        <v>5.1042493396380451E-6</v>
      </c>
      <c r="E55"/>
      <c r="F55"/>
      <c r="G55"/>
      <c r="H55" s="11">
        <v>8.3064770706187119E-7</v>
      </c>
      <c r="I55" s="11">
        <v>2.1137262228876352E-4</v>
      </c>
      <c r="J55" s="64">
        <v>0.10015119612216949</v>
      </c>
      <c r="K55" s="14">
        <v>3.4795999526977539E-3</v>
      </c>
      <c r="L55" s="11">
        <v>8.1571961345616728E-5</v>
      </c>
      <c r="M55" s="11">
        <v>1.0911960544035537E-6</v>
      </c>
      <c r="N55" s="11">
        <v>2.2149013148009544E-6</v>
      </c>
      <c r="O55" s="11">
        <v>1.4359083252202254E-5</v>
      </c>
      <c r="P55" s="11">
        <v>2.5522584110149182E-5</v>
      </c>
      <c r="Q55" s="11">
        <v>1.9792136736214161E-3</v>
      </c>
      <c r="R55" s="11">
        <v>2.3991799480427289E-6</v>
      </c>
      <c r="S55" s="11">
        <v>6.3549302285537124E-4</v>
      </c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 s="16">
        <v>4.7328848391771317E-2</v>
      </c>
      <c r="AK55" s="11">
        <v>3.5509798908606172E-4</v>
      </c>
      <c r="AL55"/>
      <c r="AM55"/>
      <c r="AN55"/>
      <c r="AO55"/>
      <c r="AP55"/>
      <c r="AQ55"/>
      <c r="AR55"/>
      <c r="AS55" s="11">
        <v>6.5267588070128113E-5</v>
      </c>
      <c r="AT55" s="11">
        <v>2.8260561521165073E-4</v>
      </c>
      <c r="AU55"/>
      <c r="AV55"/>
      <c r="AW55" s="23">
        <v>2.0550249144434929E-2</v>
      </c>
      <c r="AX55"/>
      <c r="AY55"/>
      <c r="AZ55"/>
      <c r="BA55"/>
      <c r="BB55"/>
      <c r="BC55"/>
      <c r="BD55" s="26">
        <v>7.5420938432216644E-2</v>
      </c>
      <c r="BE55"/>
      <c r="BF55" s="263">
        <v>0.99687796831130981</v>
      </c>
      <c r="BG55" s="11">
        <v>6.8634474882856011E-4</v>
      </c>
      <c r="BH55" s="22">
        <v>2.6381239295005798E-2</v>
      </c>
      <c r="BI55" s="15">
        <v>2.6647351682186127E-2</v>
      </c>
      <c r="BJ55" s="18">
        <v>3.3097725361585617E-2</v>
      </c>
      <c r="BK55" s="12">
        <v>1.2080657295882702E-2</v>
      </c>
      <c r="BL55" s="173">
        <v>0.34427925944328308</v>
      </c>
      <c r="BM55" s="27">
        <v>0.1399550586938858</v>
      </c>
      <c r="BN55" s="61">
        <v>8.5702590644359589E-2</v>
      </c>
      <c r="BO55" s="87">
        <v>6.5223686397075653E-2</v>
      </c>
      <c r="BP55" s="26">
        <v>7.6172292232513428E-2</v>
      </c>
      <c r="BQ55" s="11">
        <v>1.430315081961453E-3</v>
      </c>
      <c r="BR55"/>
      <c r="BS55"/>
      <c r="BT55" s="21">
        <v>5.9497911483049393E-2</v>
      </c>
      <c r="BU55"/>
      <c r="BV55"/>
      <c r="BW55"/>
      <c r="BX55"/>
      <c r="BY55"/>
      <c r="BZ55"/>
      <c r="CA55"/>
      <c r="CB55" s="26">
        <v>7.7608875930309296E-2</v>
      </c>
      <c r="CC55"/>
      <c r="CD55"/>
      <c r="CE55" s="113">
        <v>0.31974354386329651</v>
      </c>
      <c r="CF55"/>
      <c r="CG55"/>
      <c r="CH55"/>
      <c r="CI55"/>
      <c r="CJ55"/>
      <c r="CK55"/>
      <c r="CL55"/>
      <c r="CM55"/>
      <c r="CN55" s="15">
        <v>2.6842599734663963E-2</v>
      </c>
      <c r="CO55" s="14">
        <v>7.1802632883191109E-3</v>
      </c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 t="s">
        <v>227</v>
      </c>
      <c r="B56">
        <v>4.1999998092651367</v>
      </c>
      <c r="C56">
        <v>0.62999963760375977</v>
      </c>
      <c r="D56" s="11">
        <v>5.2370129566270407E-8</v>
      </c>
      <c r="E56"/>
      <c r="F56"/>
      <c r="G56"/>
      <c r="H56" s="11">
        <v>8.9660385782508456E-9</v>
      </c>
      <c r="I56" s="11">
        <v>2.1941498289379524E-6</v>
      </c>
      <c r="J56" s="11">
        <v>1.0901330970227718E-3</v>
      </c>
      <c r="K56" s="11">
        <v>3.7664729461539537E-5</v>
      </c>
      <c r="L56" s="11">
        <v>9.0494222604320385E-7</v>
      </c>
      <c r="M56" s="11">
        <v>1.1322945248082306E-8</v>
      </c>
      <c r="N56" s="11">
        <v>2.4627548000921706E-8</v>
      </c>
      <c r="O56" s="11">
        <v>1.6094250554488099E-7</v>
      </c>
      <c r="P56" s="11">
        <v>3.3351426509398152E-7</v>
      </c>
      <c r="Q56" s="11">
        <v>2.3433827664121054E-5</v>
      </c>
      <c r="R56" s="11">
        <v>2.5156886351851426E-8</v>
      </c>
      <c r="S56" s="11">
        <v>7.6330688898451626E-6</v>
      </c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 s="19">
        <v>7.8189648687839508E-2</v>
      </c>
      <c r="AK56"/>
      <c r="AL56"/>
      <c r="AM56"/>
      <c r="AN56"/>
      <c r="AO56"/>
      <c r="AP56"/>
      <c r="AQ56"/>
      <c r="AR56"/>
      <c r="AS56" s="11">
        <v>6.9870795414317399E-5</v>
      </c>
      <c r="AT56"/>
      <c r="AU56" s="11">
        <v>1.129160045820754E-5</v>
      </c>
      <c r="AV56"/>
      <c r="AW56" s="14">
        <v>1.0999811813235283E-2</v>
      </c>
      <c r="AX56"/>
      <c r="AY56"/>
      <c r="AZ56"/>
      <c r="BA56"/>
      <c r="BB56" s="11">
        <v>2.2078249603509903E-3</v>
      </c>
      <c r="BC56" s="12">
        <v>1.4232954941689968E-2</v>
      </c>
      <c r="BD56" s="14">
        <v>8.0740256235003471E-3</v>
      </c>
      <c r="BE56"/>
      <c r="BF56" s="250">
        <v>0.42687439918518066</v>
      </c>
      <c r="BG56" s="11">
        <v>1.1338760377839208E-3</v>
      </c>
      <c r="BH56" s="11">
        <v>2.9580541886389256E-3</v>
      </c>
      <c r="BI56" s="11">
        <v>2.8526745736598969E-3</v>
      </c>
      <c r="BJ56" s="23">
        <v>2.6924051344394684E-2</v>
      </c>
      <c r="BK56" s="22">
        <v>3.2331712543964386E-2</v>
      </c>
      <c r="BL56" s="148">
        <v>0.55284106731414795</v>
      </c>
      <c r="BM56" s="15">
        <v>3.7194922566413879E-2</v>
      </c>
      <c r="BN56" s="18">
        <v>4.5873522758483887E-2</v>
      </c>
      <c r="BO56" s="98">
        <v>0.17438578605651855</v>
      </c>
      <c r="BP56" s="26">
        <v>0.11018227785825729</v>
      </c>
      <c r="BQ56" s="11">
        <v>1.9139911746606231E-3</v>
      </c>
      <c r="BR56"/>
      <c r="BS56" s="23">
        <v>2.3384807631373405E-2</v>
      </c>
      <c r="BT56" s="22">
        <v>3.1847096979618073E-2</v>
      </c>
      <c r="BU56"/>
      <c r="BV56" s="102">
        <v>0.38539022207260132</v>
      </c>
      <c r="BW56" s="12">
        <v>1.679999940097332E-2</v>
      </c>
      <c r="BX56" s="264">
        <v>0.40195906162261963</v>
      </c>
      <c r="BY56"/>
      <c r="BZ56"/>
      <c r="CA56"/>
      <c r="CB56" s="21">
        <v>8.3082497119903564E-2</v>
      </c>
      <c r="CC56" s="15">
        <v>4.2155798524618149E-2</v>
      </c>
      <c r="CD56" s="11">
        <v>1.4952661003917456E-3</v>
      </c>
      <c r="CE56" s="156">
        <v>1.0268834829330444</v>
      </c>
      <c r="CF56"/>
      <c r="CG56"/>
      <c r="CH56"/>
      <c r="CI56" s="11">
        <v>2.8806449336116202E-5</v>
      </c>
      <c r="CJ56"/>
      <c r="CK56"/>
      <c r="CL56"/>
      <c r="CM56"/>
      <c r="CN56" s="12">
        <v>1.4367882162332535E-2</v>
      </c>
      <c r="CO56" s="14">
        <v>1.219058595597744E-2</v>
      </c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 t="s">
        <v>228</v>
      </c>
      <c r="B57">
        <v>22</v>
      </c>
      <c r="C57">
        <v>3.2999982833862305</v>
      </c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 s="139">
        <v>1.3907016515731812</v>
      </c>
      <c r="AD57" s="152">
        <v>1.8774667978286743</v>
      </c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 s="11">
        <v>2.6767738163471222E-3</v>
      </c>
      <c r="AT57" s="11">
        <v>1.0779448784887791E-2</v>
      </c>
      <c r="AU57" s="11">
        <v>1.0468031978234649E-3</v>
      </c>
      <c r="AV57"/>
      <c r="AW57" s="11">
        <v>3.0039604753255844E-3</v>
      </c>
      <c r="AX57"/>
      <c r="AY57"/>
      <c r="AZ57"/>
      <c r="BA57"/>
      <c r="BB57"/>
      <c r="BC57"/>
      <c r="BD57"/>
      <c r="BE57"/>
      <c r="BF57" s="17">
        <v>0.29203039407730103</v>
      </c>
      <c r="BG57"/>
      <c r="BH57"/>
      <c r="BI57"/>
      <c r="BJ57" s="14">
        <v>5.8941103518009186E-2</v>
      </c>
      <c r="BK57" s="12">
        <v>8.8474206626415253E-2</v>
      </c>
      <c r="BL57" s="95">
        <v>1.6809147596359253</v>
      </c>
      <c r="BM57"/>
      <c r="BN57" s="14">
        <v>5.0225026905536652E-2</v>
      </c>
      <c r="BO57" s="19">
        <v>0.38174474239349365</v>
      </c>
      <c r="BP57" s="21">
        <v>0.44661453366279602</v>
      </c>
      <c r="BQ57" s="11">
        <v>1.0475092567503452E-2</v>
      </c>
      <c r="BR57"/>
      <c r="BS57" s="23">
        <v>0.12707340717315674</v>
      </c>
      <c r="BT57" s="22">
        <v>0.17429615557193756</v>
      </c>
      <c r="BU57"/>
      <c r="BV57" s="115">
        <v>2.4607384204864502</v>
      </c>
      <c r="BW57" s="265">
        <v>4.5972399711608887</v>
      </c>
      <c r="BX57" s="23">
        <v>0.10997118800878525</v>
      </c>
      <c r="BY57"/>
      <c r="BZ57"/>
      <c r="CA57"/>
      <c r="CB57" s="87">
        <v>0.45470264554023743</v>
      </c>
      <c r="CC57" s="15">
        <v>0.23071469366550446</v>
      </c>
      <c r="CD57" s="11">
        <v>8.1834495067596436E-3</v>
      </c>
      <c r="CE57" s="140">
        <v>3.7466909885406494</v>
      </c>
      <c r="CF57"/>
      <c r="CG57"/>
      <c r="CH57"/>
      <c r="CI57" s="11">
        <v>1.597314840182662E-4</v>
      </c>
      <c r="CJ57"/>
      <c r="CK57"/>
      <c r="CL57" s="11">
        <v>3.8372681592591107E-4</v>
      </c>
      <c r="CM57"/>
      <c r="CN57" s="87">
        <v>0.49146285653114319</v>
      </c>
      <c r="CO57" s="11">
        <v>3.2865975517779589E-3</v>
      </c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 t="s">
        <v>229</v>
      </c>
      <c r="B58">
        <v>1.2100000381469727</v>
      </c>
      <c r="C58">
        <v>0.1814998984336853</v>
      </c>
      <c r="D58"/>
      <c r="E58"/>
      <c r="F58" s="11">
        <v>5.8085043974642758E-7</v>
      </c>
      <c r="G58"/>
      <c r="H58" s="11">
        <v>4.5805757054040441E-7</v>
      </c>
      <c r="I58" s="11">
        <v>1.2569880709634162E-5</v>
      </c>
      <c r="J58" s="11">
        <v>4.8395045268989634E-6</v>
      </c>
      <c r="K58" s="11">
        <v>1.0693827789509669E-4</v>
      </c>
      <c r="L58"/>
      <c r="M58"/>
      <c r="N58" s="11">
        <v>3.4457033848411811E-7</v>
      </c>
      <c r="O58"/>
      <c r="P58" s="11">
        <v>3.8671322499794769E-7</v>
      </c>
      <c r="Q58"/>
      <c r="R58" s="14">
        <v>1.1912540066987276E-3</v>
      </c>
      <c r="S58" s="11">
        <v>5.7640882005216554E-5</v>
      </c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 s="17">
        <v>1.5635950490832329E-2</v>
      </c>
      <c r="BF58"/>
      <c r="BG58"/>
      <c r="BH58"/>
      <c r="BI58"/>
      <c r="BJ58" s="14">
        <v>2.4398493114858866E-3</v>
      </c>
      <c r="BK58" s="22">
        <v>1.0463892482221127E-2</v>
      </c>
      <c r="BL58" s="17">
        <v>1.5904217958450317E-2</v>
      </c>
      <c r="BM58"/>
      <c r="BN58" s="14">
        <v>1.4850354054942727E-3</v>
      </c>
      <c r="BO58"/>
      <c r="BP58" s="11">
        <v>1.0564270196482539E-3</v>
      </c>
      <c r="BQ58"/>
      <c r="BR58"/>
      <c r="BS58"/>
      <c r="BT58" s="64">
        <v>4.1228204965591431E-2</v>
      </c>
      <c r="BU58"/>
      <c r="BV58" s="19">
        <v>2.0788062363862991E-2</v>
      </c>
      <c r="BW58"/>
      <c r="BX58" s="15">
        <v>1.3006352819502354E-2</v>
      </c>
      <c r="BY58"/>
      <c r="BZ58"/>
      <c r="CA58"/>
      <c r="CB58"/>
      <c r="CC58" s="12">
        <v>5.4573505185544491E-3</v>
      </c>
      <c r="CD58" s="14">
        <v>1.9357223063707352E-3</v>
      </c>
      <c r="CE58" s="268">
        <v>0.88624638319015503</v>
      </c>
      <c r="CF58"/>
      <c r="CG58"/>
      <c r="CH58"/>
      <c r="CI58"/>
      <c r="CJ58"/>
      <c r="CK58"/>
      <c r="CL58"/>
      <c r="CM58"/>
      <c r="CN58" s="11">
        <v>4.6500467578880489E-4</v>
      </c>
      <c r="CO58"/>
      <c r="CP58"/>
      <c r="CQ58" s="15">
        <v>1.1012700386345387E-2</v>
      </c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 t="s">
        <v>230</v>
      </c>
      <c r="B59">
        <v>21.5</v>
      </c>
      <c r="C59">
        <v>3.2250020503997803</v>
      </c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 s="11">
        <v>2.4263563318527304E-5</v>
      </c>
      <c r="AV59"/>
      <c r="AW59"/>
      <c r="AX59"/>
      <c r="AY59"/>
      <c r="AZ59"/>
      <c r="BA59"/>
      <c r="BB59"/>
      <c r="BC59"/>
      <c r="BD59"/>
      <c r="BE59"/>
      <c r="BF59" s="11">
        <v>2.0306676626205444E-2</v>
      </c>
      <c r="BG59"/>
      <c r="BH59"/>
      <c r="BI59"/>
      <c r="BJ59" s="11">
        <v>1.0246346704661846E-2</v>
      </c>
      <c r="BK59" s="11">
        <v>1.8456470221281052E-2</v>
      </c>
      <c r="BL59" s="23">
        <v>0.11688437312841415</v>
      </c>
      <c r="BM59"/>
      <c r="BN59" s="11">
        <v>4.3655699118971825E-3</v>
      </c>
      <c r="BO59"/>
      <c r="BP59" s="11">
        <v>7.7639659866690636E-3</v>
      </c>
      <c r="BQ59"/>
      <c r="BR59"/>
      <c r="BS59"/>
      <c r="BT59" s="23">
        <v>0.13816672563552856</v>
      </c>
      <c r="BU59"/>
      <c r="BV59" s="14">
        <v>6.1110824346542358E-2</v>
      </c>
      <c r="BW59" s="273">
        <v>6.3934893608093262</v>
      </c>
      <c r="BX59" s="187">
        <v>3.8234877586364746</v>
      </c>
      <c r="BY59" s="98">
        <v>0.88926160335540771</v>
      </c>
      <c r="BZ59"/>
      <c r="CA59"/>
      <c r="CB59" s="22">
        <v>0.15809139609336853</v>
      </c>
      <c r="CC59" s="12">
        <v>8.0215081572532654E-2</v>
      </c>
      <c r="CD59" s="11">
        <v>5.6904577650129795E-3</v>
      </c>
      <c r="CE59" s="274">
        <v>6.5132637023925781</v>
      </c>
      <c r="CF59"/>
      <c r="CG59"/>
      <c r="CH59"/>
      <c r="CI59"/>
      <c r="CJ59"/>
      <c r="CK59"/>
      <c r="CL59"/>
      <c r="CM59"/>
      <c r="CN59" s="14">
        <v>3.4174446016550064E-2</v>
      </c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 t="s">
        <v>231</v>
      </c>
      <c r="B60">
        <v>1.2999999523162842</v>
      </c>
      <c r="C60">
        <v>0.19499972462654114</v>
      </c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 s="9">
        <v>7.8561329663884294E-10</v>
      </c>
      <c r="S60" s="11">
        <v>4.3626241676975042E-5</v>
      </c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 s="11">
        <v>1.8954955157823861E-4</v>
      </c>
      <c r="BF60"/>
      <c r="BG60"/>
      <c r="BH60"/>
      <c r="BI60"/>
      <c r="BJ60"/>
      <c r="BK60" s="23">
        <v>7.3889647610485554E-3</v>
      </c>
      <c r="BL60" s="14">
        <v>1.4038239605724812E-3</v>
      </c>
      <c r="BM60"/>
      <c r="BN60" s="11">
        <v>5.2432081429287791E-4</v>
      </c>
      <c r="BO60"/>
      <c r="BP60" s="11">
        <v>3.7299224641174078E-4</v>
      </c>
      <c r="BQ60"/>
      <c r="BR60"/>
      <c r="BS60"/>
      <c r="BT60" s="23">
        <v>7.27821234613657E-3</v>
      </c>
      <c r="BU60"/>
      <c r="BV60" s="19">
        <v>2.2018896415829659E-2</v>
      </c>
      <c r="BW60" s="110">
        <v>0.1919703334569931</v>
      </c>
      <c r="BX60" s="103">
        <v>4.5921474695205688E-2</v>
      </c>
      <c r="BY60"/>
      <c r="BZ60"/>
      <c r="CA60"/>
      <c r="CB60"/>
      <c r="CC60" s="61">
        <v>3.8536492735147476E-2</v>
      </c>
      <c r="CD60" s="23">
        <v>6.8344469182193279E-3</v>
      </c>
      <c r="CE60" s="275">
        <v>0.78226667642593384</v>
      </c>
      <c r="CF60"/>
      <c r="CG60"/>
      <c r="CH60" s="11">
        <v>2.0928501908201724E-4</v>
      </c>
      <c r="CI60"/>
      <c r="CJ60"/>
      <c r="CK60"/>
      <c r="CL60"/>
      <c r="CM60"/>
      <c r="CN60" s="11">
        <v>4.1044753743335605E-5</v>
      </c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 t="s">
        <v>232</v>
      </c>
      <c r="B61">
        <v>7.4000000953674316</v>
      </c>
      <c r="C61">
        <v>1.1099998950958252</v>
      </c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 s="11">
        <v>1.2709442526102066E-3</v>
      </c>
      <c r="BJ61"/>
      <c r="BK61" s="14">
        <v>1.4398621395230293E-2</v>
      </c>
      <c r="BL61"/>
      <c r="BM61"/>
      <c r="BN61" s="11">
        <v>2.0434516482055187E-3</v>
      </c>
      <c r="BO61"/>
      <c r="BP61" s="11">
        <v>3.6341857630759478E-3</v>
      </c>
      <c r="BQ61"/>
      <c r="BR61"/>
      <c r="BS61"/>
      <c r="BT61" s="21">
        <v>0.1418280154466629</v>
      </c>
      <c r="BU61"/>
      <c r="BV61" s="21">
        <v>0.14302489161491394</v>
      </c>
      <c r="BW61" s="21">
        <v>0.14963439106941223</v>
      </c>
      <c r="BX61" s="62">
        <v>0.17897120118141174</v>
      </c>
      <c r="BY61"/>
      <c r="BZ61" s="64">
        <v>0.25159496068954468</v>
      </c>
      <c r="CA61"/>
      <c r="CB61"/>
      <c r="CC61" s="62">
        <v>0.18022735416889191</v>
      </c>
      <c r="CD61" s="12">
        <v>3.3295128494501114E-2</v>
      </c>
      <c r="CE61" s="267">
        <v>5.1828789710998535</v>
      </c>
      <c r="CF61"/>
      <c r="CG61"/>
      <c r="CH61"/>
      <c r="CI61"/>
      <c r="CJ61"/>
      <c r="CK61"/>
      <c r="CL61"/>
      <c r="CM61"/>
      <c r="CN61" s="11">
        <v>7.1984240785241127E-3</v>
      </c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 t="s">
        <v>233</v>
      </c>
      <c r="B62">
        <v>1.5</v>
      </c>
      <c r="C62">
        <v>7.4164420366287231E-2</v>
      </c>
      <c r="D62" s="11">
        <v>4.4020183850079775E-5</v>
      </c>
      <c r="E62" s="11">
        <v>2.3369910195469856E-5</v>
      </c>
      <c r="F62" s="11">
        <v>1.9579294630034383E-8</v>
      </c>
      <c r="G62" s="11">
        <v>1.0673727047105785E-5</v>
      </c>
      <c r="H62" s="11">
        <v>2.5420233669137815E-6</v>
      </c>
      <c r="I62" s="14">
        <v>3.0329669825732708E-3</v>
      </c>
      <c r="J62" s="11">
        <v>1.0057810868602246E-5</v>
      </c>
      <c r="K62"/>
      <c r="L62" s="11">
        <v>2.9330726647458505E-7</v>
      </c>
      <c r="M62" s="11">
        <v>2.3133470676839352E-5</v>
      </c>
      <c r="N62"/>
      <c r="O62" s="11">
        <v>2.2315032765618525E-5</v>
      </c>
      <c r="P62" s="27">
        <v>7.1775481104850769E-2</v>
      </c>
      <c r="Q62" s="11">
        <v>1.8161943444283679E-5</v>
      </c>
      <c r="R62" s="11">
        <v>4.2755831941576616E-7</v>
      </c>
      <c r="S62" s="11">
        <v>3.4559179766802117E-5</v>
      </c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 s="95">
        <v>0.11534935981035233</v>
      </c>
      <c r="BF62"/>
      <c r="BG62"/>
      <c r="BH62" s="23">
        <v>9.1357035562396049E-3</v>
      </c>
      <c r="BI62" s="107">
        <v>8.6214549839496613E-2</v>
      </c>
      <c r="BJ62" s="17">
        <v>1.952899806201458E-2</v>
      </c>
      <c r="BK62" s="83">
        <v>0.14657111465930939</v>
      </c>
      <c r="BL62" s="246">
        <v>0.25990474224090576</v>
      </c>
      <c r="BM62"/>
      <c r="BN62" s="102">
        <v>0.13864061236381531</v>
      </c>
      <c r="BO62" s="94">
        <v>7.3490940034389496E-2</v>
      </c>
      <c r="BP62" s="64">
        <v>4.9387197941541672E-2</v>
      </c>
      <c r="BQ62"/>
      <c r="BR62"/>
      <c r="BS62"/>
      <c r="BT62" s="143">
        <v>0.19249889254570007</v>
      </c>
      <c r="BU62"/>
      <c r="BV62"/>
      <c r="BW62"/>
      <c r="BX62"/>
      <c r="BY62"/>
      <c r="BZ62"/>
      <c r="CA62"/>
      <c r="CB62"/>
      <c r="CC62" s="12">
        <v>6.0000005178153515E-3</v>
      </c>
      <c r="CD62"/>
      <c r="CE62"/>
      <c r="CF62"/>
      <c r="CG62"/>
      <c r="CH62"/>
      <c r="CI62"/>
      <c r="CJ62"/>
      <c r="CK62"/>
      <c r="CL62"/>
      <c r="CM62"/>
      <c r="CN62"/>
      <c r="CO62"/>
      <c r="CP62" s="14">
        <v>1.6178222140297294E-3</v>
      </c>
      <c r="CQ62" s="241">
        <v>0.25249758362770081</v>
      </c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 t="s">
        <v>234</v>
      </c>
      <c r="B63">
        <v>1</v>
      </c>
      <c r="C63">
        <v>5.5553972721099854E-2</v>
      </c>
      <c r="D63" s="11">
        <v>4.9865641631186008E-4</v>
      </c>
      <c r="E63" s="11">
        <v>1.6301620053127408E-4</v>
      </c>
      <c r="F63" s="11">
        <v>2.1425870500024757E-7</v>
      </c>
      <c r="G63"/>
      <c r="H63" s="11">
        <v>2.2713880753144622E-5</v>
      </c>
      <c r="I63" s="62">
        <v>2.422909252345562E-2</v>
      </c>
      <c r="J63"/>
      <c r="K63"/>
      <c r="L63"/>
      <c r="M63"/>
      <c r="N63"/>
      <c r="O63" s="11">
        <v>1.5858444385230541E-4</v>
      </c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 s="95">
        <v>7.689957320690155E-2</v>
      </c>
      <c r="BF63"/>
      <c r="BG63"/>
      <c r="BH63" s="23">
        <v>6.0904691927134991E-3</v>
      </c>
      <c r="BI63" s="107">
        <v>5.7476367801427841E-2</v>
      </c>
      <c r="BJ63" s="17">
        <v>1.301933266222477E-2</v>
      </c>
      <c r="BK63" s="83">
        <v>9.7714081406593323E-2</v>
      </c>
      <c r="BL63" s="246">
        <v>0.17326982319355011</v>
      </c>
      <c r="BM63"/>
      <c r="BN63" s="102">
        <v>9.2427074909210205E-2</v>
      </c>
      <c r="BO63" s="94">
        <v>4.8993963748216629E-2</v>
      </c>
      <c r="BP63" s="64">
        <v>3.2924797385931015E-2</v>
      </c>
      <c r="BQ63"/>
      <c r="BR63"/>
      <c r="BS63"/>
      <c r="BT63" s="143">
        <v>0.12833259999752045</v>
      </c>
      <c r="BU63"/>
      <c r="BV63"/>
      <c r="BW63"/>
      <c r="BX63"/>
      <c r="BY63"/>
      <c r="BZ63"/>
      <c r="CA63"/>
      <c r="CB63"/>
      <c r="CC63" s="62">
        <v>2.2554272785782814E-2</v>
      </c>
      <c r="CD63"/>
      <c r="CE63"/>
      <c r="CF63"/>
      <c r="CG63"/>
      <c r="CH63"/>
      <c r="CI63"/>
      <c r="CJ63"/>
      <c r="CK63"/>
      <c r="CL63"/>
      <c r="CM63"/>
      <c r="CN63"/>
      <c r="CO63"/>
      <c r="CP63" s="14">
        <v>1.0785481426864862E-3</v>
      </c>
      <c r="CQ63" s="241">
        <v>0.1685929000377655</v>
      </c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 t="s">
        <v>235</v>
      </c>
      <c r="B64">
        <v>3</v>
      </c>
      <c r="C64">
        <v>0.44999974966049194</v>
      </c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 s="11">
        <v>2.5961174543454035E-8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 s="11">
        <v>9.1314874589443207E-4</v>
      </c>
      <c r="AM64"/>
      <c r="AN64"/>
      <c r="AO64"/>
      <c r="AP64"/>
      <c r="AQ64"/>
      <c r="AR64" s="11">
        <v>1.3022395432926714E-4</v>
      </c>
      <c r="AS64" s="11">
        <v>9.185614762827754E-4</v>
      </c>
      <c r="AT64" s="11">
        <v>6.6393644374329597E-5</v>
      </c>
      <c r="AU64" s="11">
        <v>4.6379413106478751E-4</v>
      </c>
      <c r="AV64"/>
      <c r="AW64" s="12">
        <v>1.4431742951273918E-2</v>
      </c>
      <c r="AX64"/>
      <c r="AY64"/>
      <c r="AZ64"/>
      <c r="BA64"/>
      <c r="BB64"/>
      <c r="BC64"/>
      <c r="BD64" s="11">
        <v>3.5364867653697729E-4</v>
      </c>
      <c r="BE64" s="23">
        <v>1.8348608165979385E-2</v>
      </c>
      <c r="BF64" s="22">
        <v>2.3383064195513725E-2</v>
      </c>
      <c r="BG64"/>
      <c r="BH64" s="12">
        <v>1.1354242451488972E-2</v>
      </c>
      <c r="BI64" s="14">
        <v>6.2531023286283016E-3</v>
      </c>
      <c r="BJ64" s="12">
        <v>1.3219152577221394E-2</v>
      </c>
      <c r="BK64" s="15">
        <v>3.1170424073934555E-2</v>
      </c>
      <c r="BL64" s="272">
        <v>1.0767356157302856</v>
      </c>
      <c r="BM64" s="19">
        <v>5.0345677882432938E-2</v>
      </c>
      <c r="BN64" s="15">
        <v>3.0161628499627113E-2</v>
      </c>
      <c r="BO64" s="141">
        <v>0.1528327465057373</v>
      </c>
      <c r="BP64" s="61">
        <v>8.9401803910732269E-2</v>
      </c>
      <c r="BQ64" s="11">
        <v>2.1807434968650341E-3</v>
      </c>
      <c r="BR64"/>
      <c r="BS64" s="21">
        <v>6.1049103736877441E-2</v>
      </c>
      <c r="BT64" s="15">
        <v>2.7912013232707977E-2</v>
      </c>
      <c r="BU64"/>
      <c r="BV64" s="21">
        <v>5.6295119225978851E-2</v>
      </c>
      <c r="BW64" s="104">
        <v>0.36810401082038879</v>
      </c>
      <c r="BX64" s="105">
        <v>0.22013664245605469</v>
      </c>
      <c r="BY64"/>
      <c r="BZ64" s="22">
        <v>2.4757174775004387E-2</v>
      </c>
      <c r="CA64"/>
      <c r="CB64" s="20">
        <v>0.12742918729782104</v>
      </c>
      <c r="CC64" s="13">
        <v>0.11084085702896118</v>
      </c>
      <c r="CD64" s="12">
        <v>9.828813374042511E-3</v>
      </c>
      <c r="CE64" s="23">
        <v>1.5000000596046448E-2</v>
      </c>
      <c r="CF64"/>
      <c r="CG64"/>
      <c r="CH64" s="11">
        <v>2.00652502826415E-4</v>
      </c>
      <c r="CI64"/>
      <c r="CJ64"/>
      <c r="CK64"/>
      <c r="CL64"/>
      <c r="CM64"/>
      <c r="CN64" s="11">
        <v>1.9675877410918474E-3</v>
      </c>
      <c r="CO64"/>
      <c r="CP64"/>
      <c r="CQ64" s="14">
        <v>3.8146127481013536E-3</v>
      </c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 t="s">
        <v>236</v>
      </c>
      <c r="B65">
        <v>0.10000000149011612</v>
      </c>
      <c r="C65">
        <v>8.948054164648056E-2</v>
      </c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 s="113">
        <v>1.0519461706280708E-2</v>
      </c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 t="s">
        <v>237</v>
      </c>
      <c r="B66">
        <v>0.16899999976158142</v>
      </c>
      <c r="C66">
        <v>9.3515582382678986E-2</v>
      </c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 s="231">
        <v>6.9502696394920349E-2</v>
      </c>
      <c r="CI66"/>
      <c r="CJ66"/>
      <c r="CK66"/>
      <c r="CL66"/>
      <c r="CM66"/>
      <c r="CN66"/>
      <c r="CO66"/>
      <c r="CP66"/>
      <c r="CQ66"/>
      <c r="CR66"/>
      <c r="CS66"/>
      <c r="CT66" s="103">
        <v>5.9817181900143623E-3</v>
      </c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 t="s">
        <v>238</v>
      </c>
      <c r="B67">
        <v>0.16599999368190765</v>
      </c>
      <c r="C67">
        <v>7.9754501581192017E-2</v>
      </c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 s="231">
        <v>6.8268917500972748E-2</v>
      </c>
      <c r="CI67"/>
      <c r="CJ67"/>
      <c r="CK67"/>
      <c r="CL67"/>
      <c r="CM67"/>
      <c r="CN67"/>
      <c r="CO67"/>
      <c r="CP67"/>
      <c r="CQ67"/>
      <c r="CR67"/>
      <c r="CS67"/>
      <c r="CT67" s="233">
        <v>1.797657273709774E-2</v>
      </c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 t="s">
        <v>239</v>
      </c>
      <c r="B68">
        <v>0.16899999976158142</v>
      </c>
      <c r="C68">
        <v>9.9497303366661072E-2</v>
      </c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 s="231">
        <v>6.9502696394920349E-2</v>
      </c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 t="s">
        <v>240</v>
      </c>
      <c r="B69">
        <v>6.759999692440033E-2</v>
      </c>
      <c r="C69">
        <v>1.661955751478672E-2</v>
      </c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 s="234">
        <v>5.0980441272258759E-2</v>
      </c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 t="s">
        <v>241</v>
      </c>
      <c r="B70">
        <v>0.10000000149011612</v>
      </c>
      <c r="C70">
        <v>2.9772967100143433E-2</v>
      </c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 s="232">
        <v>7.0227034389972687E-2</v>
      </c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 t="s">
        <v>242</v>
      </c>
      <c r="B71">
        <v>0.15899999439716339</v>
      </c>
      <c r="C71">
        <v>9.3609891831874847E-2</v>
      </c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 s="231">
        <v>6.5390102565288544E-2</v>
      </c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 t="s">
        <v>243</v>
      </c>
      <c r="B72">
        <v>0.11999999731779099</v>
      </c>
      <c r="C72">
        <v>7.064896821975708E-2</v>
      </c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 s="231">
        <v>4.9351029098033905E-2</v>
      </c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 t="s">
        <v>244</v>
      </c>
      <c r="B73">
        <v>6.3000001013278961E-2</v>
      </c>
      <c r="C73">
        <v>6.0206208378076553E-2</v>
      </c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 s="63">
        <v>2.7937942650169134E-3</v>
      </c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 t="s">
        <v>245</v>
      </c>
      <c r="B74">
        <v>3.9999999105930328E-2</v>
      </c>
      <c r="C74">
        <v>3.8573004305362701E-2</v>
      </c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 s="103">
        <v>1.426994102075696E-3</v>
      </c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 t="s">
        <v>246</v>
      </c>
      <c r="B75">
        <v>8.2999996840953827E-2</v>
      </c>
      <c r="C75">
        <v>3.0551362782716751E-2</v>
      </c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 s="235">
        <v>5.2448634058237076E-2</v>
      </c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 t="s">
        <v>247</v>
      </c>
      <c r="B76">
        <v>7.0000000298023224E-2</v>
      </c>
      <c r="C76">
        <v>2.3368382826447487E-2</v>
      </c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 s="240">
        <v>4.6631615608930588E-2</v>
      </c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 t="s">
        <v>248</v>
      </c>
      <c r="B77">
        <v>0.10000000149011612</v>
      </c>
      <c r="C77">
        <v>4.3031454086303711E-2</v>
      </c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 s="239">
        <v>5.6968547403812408E-2</v>
      </c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 t="s">
        <v>249</v>
      </c>
      <c r="B78">
        <v>4.6999998390674591E-2</v>
      </c>
      <c r="C78">
        <v>4.4572792947292328E-2</v>
      </c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 s="141">
        <v>2.4272063747048378E-3</v>
      </c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 t="s">
        <v>250</v>
      </c>
      <c r="B79">
        <v>2.500000037252903E-2</v>
      </c>
      <c r="C79">
        <v>2.500000037252903E-2</v>
      </c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 t="s">
        <v>251</v>
      </c>
      <c r="B80"/>
      <c r="C80">
        <v>0.52252715826034546</v>
      </c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 s="9">
        <v>2.9176328182220459</v>
      </c>
      <c r="AC80" s="9">
        <v>1.7484512329101562</v>
      </c>
      <c r="AD80" s="9">
        <v>6.8881654739379883</v>
      </c>
      <c r="AE80" s="9">
        <v>2.1135756969451904</v>
      </c>
      <c r="AF80" s="9">
        <v>17.823272705078125</v>
      </c>
      <c r="AG80" s="9">
        <v>50.622123718261719</v>
      </c>
      <c r="AH80" s="9">
        <v>14.40000057220459</v>
      </c>
      <c r="AI80" s="9">
        <v>6.7200002670288086</v>
      </c>
      <c r="AJ80"/>
      <c r="AK80"/>
      <c r="AL80" s="9">
        <v>1.5074278227984905E-2</v>
      </c>
      <c r="AM80"/>
      <c r="AN80" s="9">
        <v>0.68918901681900024</v>
      </c>
      <c r="AO80" s="9">
        <v>1.8813760951161385E-2</v>
      </c>
      <c r="AP80" s="9">
        <v>0.17716975510120392</v>
      </c>
      <c r="AQ80" s="9">
        <v>3.1977370381355286E-3</v>
      </c>
      <c r="AR80"/>
      <c r="AS80"/>
      <c r="AT80"/>
      <c r="AU80" s="9">
        <v>9.2244859843049198E-5</v>
      </c>
      <c r="AV80"/>
      <c r="AW80"/>
      <c r="AX80"/>
      <c r="AY80"/>
      <c r="AZ80"/>
      <c r="BA80"/>
      <c r="BB80" s="9">
        <v>3.2197586260735989E-3</v>
      </c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 s="9">
        <v>0.20063683390617371</v>
      </c>
      <c r="BS80" s="9">
        <v>0.33593326807022095</v>
      </c>
      <c r="BT80" s="9">
        <v>4.6077216975390911E-3</v>
      </c>
      <c r="BU80"/>
      <c r="BV80" s="9">
        <v>0.23233024775981903</v>
      </c>
      <c r="BW80"/>
      <c r="BX80" s="9">
        <v>1.4536079168319702</v>
      </c>
      <c r="BY80"/>
      <c r="BZ80"/>
      <c r="CA80"/>
      <c r="CB80" s="9">
        <v>0.30051478743553162</v>
      </c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 t="s">
        <v>252</v>
      </c>
      <c r="B81"/>
      <c r="C81">
        <v>0.84247249364852905</v>
      </c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 s="9">
        <v>0.12156803905963898</v>
      </c>
      <c r="AC81" s="9">
        <v>8.9664168655872345E-2</v>
      </c>
      <c r="AD81" s="9">
        <v>0.49026089906692505</v>
      </c>
      <c r="AE81"/>
      <c r="AF81" s="9">
        <v>1.2730908393859863</v>
      </c>
      <c r="AG81" s="9">
        <v>3.3508203029632568</v>
      </c>
      <c r="AH81" s="9">
        <v>0.60000002384185791</v>
      </c>
      <c r="AI81" s="9">
        <v>0.2800000011920929</v>
      </c>
      <c r="AJ81"/>
      <c r="AK81"/>
      <c r="AL81"/>
      <c r="AM81"/>
      <c r="AN81" s="9">
        <v>6.9356963038444519E-2</v>
      </c>
      <c r="AO81" s="9">
        <v>7.5255043804645538E-2</v>
      </c>
      <c r="AP81" s="9">
        <v>0.35433951020240784</v>
      </c>
      <c r="AQ81" s="9">
        <v>7.9943425953388214E-3</v>
      </c>
      <c r="AR81"/>
      <c r="AS81"/>
      <c r="AT81"/>
      <c r="AU81" s="9">
        <v>7.7485684305429459E-3</v>
      </c>
      <c r="AV81"/>
      <c r="AW81"/>
      <c r="AX81"/>
      <c r="AY81"/>
      <c r="AZ81"/>
      <c r="BA81"/>
      <c r="BB81" s="9">
        <v>3.2197586260735989E-3</v>
      </c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 s="9">
        <v>0.33593326807022095</v>
      </c>
      <c r="BT81" s="9">
        <v>4.6077216975390911E-3</v>
      </c>
      <c r="BU81"/>
      <c r="BV81" s="9">
        <v>0.23233024775981903</v>
      </c>
      <c r="BW81"/>
      <c r="BX81" s="9">
        <v>0.72680395841598511</v>
      </c>
      <c r="BY81"/>
      <c r="BZ81"/>
      <c r="CA81"/>
      <c r="CB81"/>
      <c r="CC81"/>
      <c r="CD81"/>
      <c r="CE81"/>
      <c r="CF81"/>
      <c r="CG81"/>
      <c r="CH81"/>
      <c r="CI81"/>
      <c r="CJ81" s="9">
        <v>1.2052333913743496E-3</v>
      </c>
      <c r="CK81"/>
      <c r="CL81"/>
      <c r="CM81" s="9">
        <v>3.9731513243168592E-4</v>
      </c>
      <c r="CN81" s="9">
        <v>1.2992391129955649E-3</v>
      </c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 t="s">
        <v>253</v>
      </c>
      <c r="B82"/>
      <c r="C82">
        <v>0.23309127986431122</v>
      </c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 s="9">
        <v>855.739501953125</v>
      </c>
      <c r="X82"/>
      <c r="Y82"/>
      <c r="Z82"/>
      <c r="AA82" s="9">
        <v>2.9289512634277344</v>
      </c>
      <c r="AB82" s="9">
        <v>1.2156802415847778</v>
      </c>
      <c r="AC82" s="9">
        <v>0.44832077622413635</v>
      </c>
      <c r="AD82" s="9">
        <v>2.4816505908966064</v>
      </c>
      <c r="AE82" s="9">
        <v>8.4543027877807617</v>
      </c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 s="9">
        <v>10.287616729736328</v>
      </c>
      <c r="CB82" s="9">
        <v>0.90154439210891724</v>
      </c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 t="s">
        <v>254</v>
      </c>
      <c r="B83"/>
      <c r="C83">
        <v>0.5546872615814209</v>
      </c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 s="9">
        <v>2.9124923050403595E-2</v>
      </c>
      <c r="BF83"/>
      <c r="BG83"/>
      <c r="BH83" s="9">
        <v>1.5619671903550625E-2</v>
      </c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 s="9">
        <v>6.09921058639884E-3</v>
      </c>
      <c r="CD83" s="9">
        <v>1.0816949652507901E-3</v>
      </c>
      <c r="CE83"/>
      <c r="CF83" s="9">
        <v>1.4151185750961304E-2</v>
      </c>
      <c r="CG83"/>
      <c r="CH83" s="9">
        <v>3.3123757690191269E-2</v>
      </c>
      <c r="CI83"/>
      <c r="CJ83" s="9">
        <v>2.4104665964841843E-2</v>
      </c>
      <c r="CK83" s="9">
        <v>4.2394749470986426E-4</v>
      </c>
      <c r="CL83" s="9">
        <v>1.0144263505935669E-3</v>
      </c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 t="s">
        <v>255</v>
      </c>
      <c r="B84"/>
      <c r="C84">
        <v>0.6112712025642395</v>
      </c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 s="9">
        <v>42</v>
      </c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 s="9">
        <v>2.9124923050403595E-2</v>
      </c>
      <c r="BF84"/>
      <c r="BG84"/>
      <c r="BH84" s="9">
        <v>0.13526636362075806</v>
      </c>
      <c r="BI84"/>
      <c r="BJ84" s="9">
        <v>1.9477205350995064E-2</v>
      </c>
      <c r="BK84" s="9">
        <v>2.3389183916151524E-3</v>
      </c>
      <c r="BL84" s="9">
        <v>0.88873863220214844</v>
      </c>
      <c r="BM84"/>
      <c r="BN84" s="9">
        <v>9.9491693079471588E-2</v>
      </c>
      <c r="BO84" s="9">
        <v>7.539021223783493E-2</v>
      </c>
      <c r="BP84" s="9">
        <v>6.5544910728931427E-2</v>
      </c>
      <c r="BQ84" s="9">
        <v>4.1538182646036148E-2</v>
      </c>
      <c r="BR84"/>
      <c r="BS84"/>
      <c r="BT84" s="9">
        <v>1.3823162764310837E-2</v>
      </c>
      <c r="BU84" s="9">
        <v>1440</v>
      </c>
      <c r="BV84" s="9">
        <v>11.616512298583984</v>
      </c>
      <c r="BW84" s="9">
        <v>36.460014343261719</v>
      </c>
      <c r="BX84" s="9">
        <v>36.340198516845703</v>
      </c>
      <c r="BY84" s="9">
        <v>57.473293304443359</v>
      </c>
      <c r="BZ84" s="9">
        <v>387.43997192382812</v>
      </c>
      <c r="CA84" s="9">
        <v>185.17709350585938</v>
      </c>
      <c r="CB84" s="9">
        <v>52.890605926513672</v>
      </c>
      <c r="CC84" s="9">
        <v>0.41474631428718567</v>
      </c>
      <c r="CD84" s="9">
        <v>0.15035559237003326</v>
      </c>
      <c r="CE84" s="9">
        <v>82.952804565429688</v>
      </c>
      <c r="CF84"/>
      <c r="CG84"/>
      <c r="CH84" s="9">
        <v>1.6561878845095634E-2</v>
      </c>
      <c r="CI84"/>
      <c r="CJ84" s="9">
        <v>4.8209336819127202E-4</v>
      </c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O190"/>
  <sheetViews>
    <sheetView workbookViewId="0">
      <selection activeCell="H23" sqref="H23"/>
    </sheetView>
  </sheetViews>
  <sheetFormatPr baseColWidth="10" defaultColWidth="11" defaultRowHeight="13" x14ac:dyDescent="0.15"/>
  <cols>
    <col min="1" max="1" width="33.6640625" bestFit="1" customWidth="1"/>
    <col min="2" max="2" width="5.83203125" customWidth="1"/>
    <col min="3" max="3" width="10.83203125" style="6" customWidth="1"/>
    <col min="4" max="4" width="41.83203125" style="28" bestFit="1" customWidth="1"/>
    <col min="5" max="5" width="13.83203125" bestFit="1" customWidth="1"/>
    <col min="6" max="6" width="5.83203125" bestFit="1" customWidth="1"/>
    <col min="7" max="7" width="15.33203125" bestFit="1" customWidth="1"/>
    <col min="8" max="8" width="41.832031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5" s="1" customFormat="1" ht="14" thickBot="1" x14ac:dyDescent="0.2">
      <c r="C1" s="50"/>
      <c r="D1" s="71" t="s">
        <v>33</v>
      </c>
      <c r="E1" s="1" t="s">
        <v>34</v>
      </c>
      <c r="F1" s="1" t="s">
        <v>35</v>
      </c>
      <c r="G1" s="1" t="s">
        <v>36</v>
      </c>
      <c r="H1" s="1" t="s">
        <v>37</v>
      </c>
      <c r="J1" s="1" t="s">
        <v>132</v>
      </c>
      <c r="K1" s="1" t="s">
        <v>133</v>
      </c>
    </row>
    <row r="2" spans="1:15" x14ac:dyDescent="0.15">
      <c r="A2" s="1" t="s">
        <v>38</v>
      </c>
      <c r="B2" s="35">
        <v>3</v>
      </c>
      <c r="D2" s="60" t="s">
        <v>39</v>
      </c>
      <c r="E2" s="6">
        <v>1</v>
      </c>
      <c r="F2">
        <v>1</v>
      </c>
      <c r="G2" s="6">
        <v>1</v>
      </c>
      <c r="H2" t="s">
        <v>39</v>
      </c>
      <c r="J2" s="51"/>
      <c r="K2" s="52"/>
      <c r="L2" s="58" t="s">
        <v>154</v>
      </c>
    </row>
    <row r="3" spans="1:15" ht="14" thickBot="1" x14ac:dyDescent="0.2">
      <c r="A3" s="1" t="s">
        <v>40</v>
      </c>
      <c r="B3" s="36">
        <v>0</v>
      </c>
      <c r="D3" s="60" t="s">
        <v>41</v>
      </c>
      <c r="E3" s="6">
        <v>2</v>
      </c>
      <c r="F3">
        <v>1.1000000000000001</v>
      </c>
      <c r="G3" s="6">
        <v>2</v>
      </c>
      <c r="H3" t="s">
        <v>41</v>
      </c>
      <c r="J3" s="53"/>
      <c r="K3" s="54"/>
    </row>
    <row r="4" spans="1:15" x14ac:dyDescent="0.15">
      <c r="C4"/>
      <c r="D4" s="60" t="s">
        <v>42</v>
      </c>
      <c r="E4" s="6">
        <v>3</v>
      </c>
      <c r="F4">
        <v>1.2</v>
      </c>
      <c r="G4" s="6">
        <v>3</v>
      </c>
      <c r="H4" t="s">
        <v>42</v>
      </c>
      <c r="J4" s="53"/>
      <c r="K4" s="54"/>
      <c r="L4" s="85" t="s">
        <v>172</v>
      </c>
      <c r="M4" s="82"/>
      <c r="N4" s="82"/>
      <c r="O4" s="82"/>
    </row>
    <row r="5" spans="1:15" x14ac:dyDescent="0.15">
      <c r="C5"/>
      <c r="D5" s="60" t="s">
        <v>176</v>
      </c>
      <c r="E5" s="6">
        <v>4</v>
      </c>
      <c r="F5">
        <v>2.12</v>
      </c>
      <c r="G5" s="6">
        <v>4</v>
      </c>
      <c r="H5" t="s">
        <v>277</v>
      </c>
      <c r="J5" s="53"/>
      <c r="K5" s="54"/>
    </row>
    <row r="6" spans="1:15" ht="14" thickBot="1" x14ac:dyDescent="0.2">
      <c r="A6" s="37" t="s">
        <v>123</v>
      </c>
      <c r="C6"/>
      <c r="D6" s="60" t="s">
        <v>177</v>
      </c>
      <c r="E6" s="6">
        <v>5</v>
      </c>
      <c r="F6">
        <v>2.11</v>
      </c>
      <c r="G6" s="6">
        <v>5</v>
      </c>
      <c r="H6" t="s">
        <v>278</v>
      </c>
      <c r="J6" s="53"/>
      <c r="K6" s="54"/>
    </row>
    <row r="7" spans="1:15" x14ac:dyDescent="0.15">
      <c r="A7" s="34" t="s">
        <v>128</v>
      </c>
      <c r="B7" s="39">
        <v>1</v>
      </c>
      <c r="C7"/>
      <c r="D7" s="60" t="s">
        <v>178</v>
      </c>
      <c r="E7" s="6">
        <v>6</v>
      </c>
      <c r="F7">
        <v>3.1110000000000002</v>
      </c>
      <c r="G7" s="6">
        <v>6</v>
      </c>
      <c r="H7" t="s">
        <v>279</v>
      </c>
      <c r="I7" s="58" t="s">
        <v>175</v>
      </c>
      <c r="J7" s="53"/>
      <c r="K7" s="54"/>
    </row>
    <row r="8" spans="1:15" x14ac:dyDescent="0.15">
      <c r="A8" s="34" t="s">
        <v>39</v>
      </c>
      <c r="B8" s="40">
        <v>1</v>
      </c>
      <c r="C8"/>
      <c r="D8" s="60" t="s">
        <v>179</v>
      </c>
      <c r="E8" s="6">
        <v>7</v>
      </c>
      <c r="F8">
        <v>3.11</v>
      </c>
      <c r="G8" s="6">
        <v>7</v>
      </c>
      <c r="H8" t="s">
        <v>280</v>
      </c>
      <c r="J8" s="53"/>
      <c r="K8" s="54"/>
    </row>
    <row r="9" spans="1:15" x14ac:dyDescent="0.15">
      <c r="A9" s="34" t="s">
        <v>41</v>
      </c>
      <c r="B9" s="40">
        <v>1.1000000000000001</v>
      </c>
      <c r="C9"/>
      <c r="D9" s="60" t="s">
        <v>180</v>
      </c>
      <c r="E9" s="6">
        <v>8</v>
      </c>
      <c r="F9">
        <v>3.11</v>
      </c>
      <c r="G9" s="6">
        <v>8</v>
      </c>
      <c r="H9" t="s">
        <v>281</v>
      </c>
      <c r="J9" s="53"/>
      <c r="K9" s="54"/>
    </row>
    <row r="10" spans="1:15" x14ac:dyDescent="0.15">
      <c r="A10" s="34" t="s">
        <v>42</v>
      </c>
      <c r="B10" s="40">
        <v>1.2</v>
      </c>
      <c r="C10"/>
      <c r="D10" s="60" t="s">
        <v>181</v>
      </c>
      <c r="E10" s="6">
        <v>9</v>
      </c>
      <c r="F10">
        <v>3.11</v>
      </c>
      <c r="G10" s="6">
        <v>9</v>
      </c>
      <c r="H10" t="s">
        <v>282</v>
      </c>
      <c r="J10" s="53"/>
      <c r="K10" s="54"/>
    </row>
    <row r="11" spans="1:15" ht="12" customHeight="1" x14ac:dyDescent="0.15">
      <c r="A11" s="38" t="s">
        <v>129</v>
      </c>
      <c r="B11" s="40">
        <v>2</v>
      </c>
      <c r="C11"/>
      <c r="D11" s="60" t="s">
        <v>182</v>
      </c>
      <c r="E11" s="6">
        <v>10</v>
      </c>
      <c r="F11">
        <v>3.11</v>
      </c>
      <c r="G11" s="6">
        <v>10</v>
      </c>
      <c r="H11" t="s">
        <v>283</v>
      </c>
      <c r="J11" s="53"/>
      <c r="K11" s="54"/>
    </row>
    <row r="12" spans="1:15" x14ac:dyDescent="0.15">
      <c r="A12" s="34" t="s">
        <v>43</v>
      </c>
      <c r="B12" s="40">
        <v>2.12</v>
      </c>
      <c r="C12"/>
      <c r="D12" s="60" t="s">
        <v>183</v>
      </c>
      <c r="E12" s="6">
        <v>11</v>
      </c>
      <c r="F12">
        <v>3.11</v>
      </c>
      <c r="G12" s="6">
        <v>11</v>
      </c>
      <c r="H12" t="s">
        <v>284</v>
      </c>
      <c r="J12" s="53"/>
      <c r="K12" s="54"/>
    </row>
    <row r="13" spans="1:15" x14ac:dyDescent="0.15">
      <c r="A13" s="34" t="s">
        <v>44</v>
      </c>
      <c r="B13" s="40">
        <v>2.11</v>
      </c>
      <c r="C13"/>
      <c r="D13" s="60" t="s">
        <v>184</v>
      </c>
      <c r="E13" s="6">
        <v>12</v>
      </c>
      <c r="F13">
        <v>3.12</v>
      </c>
      <c r="G13" s="6">
        <v>12</v>
      </c>
      <c r="H13" t="s">
        <v>285</v>
      </c>
      <c r="J13" s="53"/>
      <c r="K13" s="54"/>
    </row>
    <row r="14" spans="1:15" x14ac:dyDescent="0.15">
      <c r="A14" s="34" t="s">
        <v>69</v>
      </c>
      <c r="B14" s="40">
        <v>2.2200000000000002</v>
      </c>
      <c r="C14"/>
      <c r="D14" s="60" t="s">
        <v>185</v>
      </c>
      <c r="E14" s="6">
        <v>13</v>
      </c>
      <c r="F14">
        <v>3.11</v>
      </c>
      <c r="G14" s="6">
        <v>13</v>
      </c>
      <c r="H14" t="s">
        <v>286</v>
      </c>
      <c r="J14" s="53"/>
      <c r="K14" s="54"/>
    </row>
    <row r="15" spans="1:15" x14ac:dyDescent="0.15">
      <c r="A15" s="38" t="s">
        <v>130</v>
      </c>
      <c r="B15" s="40">
        <v>3</v>
      </c>
      <c r="C15"/>
      <c r="D15" s="60" t="s">
        <v>186</v>
      </c>
      <c r="E15" s="6">
        <v>14</v>
      </c>
      <c r="F15">
        <v>3.11</v>
      </c>
      <c r="G15" s="6">
        <v>14</v>
      </c>
      <c r="H15" t="s">
        <v>287</v>
      </c>
      <c r="J15" s="53"/>
      <c r="K15" s="54"/>
    </row>
    <row r="16" spans="1:15" x14ac:dyDescent="0.15">
      <c r="A16" s="34" t="s">
        <v>64</v>
      </c>
      <c r="B16" s="40">
        <v>3.11</v>
      </c>
      <c r="C16"/>
      <c r="D16" s="60" t="s">
        <v>187</v>
      </c>
      <c r="E16" s="6">
        <v>15</v>
      </c>
      <c r="F16">
        <v>3.11</v>
      </c>
      <c r="G16" s="6">
        <v>15</v>
      </c>
      <c r="H16" t="s">
        <v>288</v>
      </c>
      <c r="J16" s="53"/>
      <c r="K16" s="54"/>
    </row>
    <row r="17" spans="1:12" x14ac:dyDescent="0.15">
      <c r="A17" s="34" t="s">
        <v>63</v>
      </c>
      <c r="B17" s="40">
        <v>3.14</v>
      </c>
      <c r="C17"/>
      <c r="D17" s="60" t="s">
        <v>188</v>
      </c>
      <c r="E17" s="6">
        <v>16</v>
      </c>
      <c r="F17">
        <v>3.11</v>
      </c>
      <c r="G17" s="6">
        <v>16</v>
      </c>
      <c r="H17" t="s">
        <v>289</v>
      </c>
      <c r="J17" s="53"/>
      <c r="K17" s="54"/>
    </row>
    <row r="18" spans="1:12" x14ac:dyDescent="0.15">
      <c r="A18" s="34" t="s">
        <v>70</v>
      </c>
      <c r="B18" s="40">
        <v>3.16</v>
      </c>
      <c r="C18"/>
      <c r="D18" s="60" t="s">
        <v>189</v>
      </c>
      <c r="E18" s="6">
        <v>17</v>
      </c>
      <c r="F18">
        <v>3.12</v>
      </c>
      <c r="G18" s="6">
        <v>17</v>
      </c>
      <c r="H18" t="s">
        <v>290</v>
      </c>
      <c r="J18" s="53"/>
      <c r="K18" s="54"/>
    </row>
    <row r="19" spans="1:12" x14ac:dyDescent="0.15">
      <c r="A19" s="34" t="s">
        <v>68</v>
      </c>
      <c r="B19" s="40">
        <v>3.21</v>
      </c>
      <c r="C19"/>
      <c r="D19" s="60" t="s">
        <v>190</v>
      </c>
      <c r="E19" s="6">
        <v>18</v>
      </c>
      <c r="F19">
        <v>3.12</v>
      </c>
      <c r="G19" s="6">
        <v>18</v>
      </c>
      <c r="H19" t="s">
        <v>291</v>
      </c>
      <c r="J19" s="53"/>
      <c r="K19" s="54"/>
    </row>
    <row r="20" spans="1:12" x14ac:dyDescent="0.15">
      <c r="A20" s="34" t="s">
        <v>65</v>
      </c>
      <c r="B20" s="40">
        <v>3.24</v>
      </c>
      <c r="C20"/>
      <c r="D20" s="60" t="s">
        <v>191</v>
      </c>
      <c r="E20" s="6">
        <v>19</v>
      </c>
      <c r="F20">
        <v>3.13</v>
      </c>
      <c r="G20" s="6">
        <v>19</v>
      </c>
      <c r="H20" t="s">
        <v>292</v>
      </c>
      <c r="J20" s="53"/>
      <c r="K20" s="54"/>
    </row>
    <row r="21" spans="1:12" ht="14" thickBot="1" x14ac:dyDescent="0.2">
      <c r="A21" s="34" t="s">
        <v>71</v>
      </c>
      <c r="B21" s="40">
        <v>3.26</v>
      </c>
      <c r="C21"/>
      <c r="D21" s="60" t="s">
        <v>192</v>
      </c>
      <c r="E21" s="6">
        <v>20</v>
      </c>
      <c r="F21">
        <v>3.13</v>
      </c>
      <c r="G21" s="6">
        <v>20</v>
      </c>
      <c r="H21" t="s">
        <v>293</v>
      </c>
      <c r="J21" s="55"/>
      <c r="K21" s="56"/>
      <c r="L21" s="58" t="s">
        <v>155</v>
      </c>
    </row>
    <row r="22" spans="1:12" x14ac:dyDescent="0.15">
      <c r="A22" s="34" t="s">
        <v>66</v>
      </c>
      <c r="B22" s="40">
        <v>8</v>
      </c>
      <c r="C22"/>
      <c r="D22" s="60" t="s">
        <v>193</v>
      </c>
      <c r="E22" s="6">
        <v>21</v>
      </c>
      <c r="F22">
        <v>3.14</v>
      </c>
      <c r="G22" s="6">
        <v>21</v>
      </c>
      <c r="H22" t="s">
        <v>294</v>
      </c>
    </row>
    <row r="23" spans="1:12" x14ac:dyDescent="0.15">
      <c r="A23" s="34" t="s">
        <v>131</v>
      </c>
      <c r="B23" s="40">
        <v>4</v>
      </c>
      <c r="C23"/>
      <c r="D23" s="60" t="s">
        <v>194</v>
      </c>
      <c r="E23" s="6">
        <v>22</v>
      </c>
      <c r="F23">
        <v>3.14</v>
      </c>
      <c r="G23" s="6">
        <v>22</v>
      </c>
      <c r="H23" t="s">
        <v>295</v>
      </c>
      <c r="L23" s="58" t="s">
        <v>374</v>
      </c>
    </row>
    <row r="24" spans="1:12" x14ac:dyDescent="0.15">
      <c r="A24" s="34" t="s">
        <v>124</v>
      </c>
      <c r="B24" s="40">
        <v>4.0999999999999996</v>
      </c>
      <c r="C24"/>
      <c r="D24" s="60" t="s">
        <v>195</v>
      </c>
      <c r="E24" s="6">
        <v>23</v>
      </c>
      <c r="F24">
        <v>3.14</v>
      </c>
      <c r="G24" s="6">
        <v>23</v>
      </c>
      <c r="H24" t="s">
        <v>296</v>
      </c>
    </row>
    <row r="25" spans="1:12" x14ac:dyDescent="0.15">
      <c r="A25" s="34" t="s">
        <v>72</v>
      </c>
      <c r="B25" s="40">
        <v>4.2</v>
      </c>
      <c r="C25"/>
      <c r="D25" s="60" t="s">
        <v>196</v>
      </c>
      <c r="E25" s="6">
        <v>24</v>
      </c>
      <c r="F25">
        <v>3.14</v>
      </c>
      <c r="G25" s="6">
        <v>24</v>
      </c>
      <c r="H25" t="s">
        <v>297</v>
      </c>
    </row>
    <row r="26" spans="1:12" x14ac:dyDescent="0.15">
      <c r="A26" s="34" t="s">
        <v>125</v>
      </c>
      <c r="B26" s="40">
        <v>4.3</v>
      </c>
      <c r="C26"/>
      <c r="D26" s="60" t="s">
        <v>197</v>
      </c>
      <c r="E26" s="6">
        <v>25</v>
      </c>
      <c r="F26">
        <v>3.14</v>
      </c>
      <c r="G26" s="6">
        <v>25</v>
      </c>
      <c r="H26" t="s">
        <v>298</v>
      </c>
    </row>
    <row r="27" spans="1:12" x14ac:dyDescent="0.15">
      <c r="A27" s="34" t="s">
        <v>127</v>
      </c>
      <c r="B27" s="40">
        <v>6.1</v>
      </c>
      <c r="C27"/>
      <c r="D27" s="60" t="s">
        <v>198</v>
      </c>
      <c r="E27" s="6">
        <v>26</v>
      </c>
      <c r="F27">
        <v>3.14</v>
      </c>
      <c r="G27" s="6">
        <v>26</v>
      </c>
      <c r="H27" t="s">
        <v>299</v>
      </c>
    </row>
    <row r="28" spans="1:12" x14ac:dyDescent="0.15">
      <c r="A28" s="34" t="s">
        <v>126</v>
      </c>
      <c r="B28" s="40">
        <v>6.2</v>
      </c>
      <c r="C28"/>
      <c r="D28" s="60" t="s">
        <v>273</v>
      </c>
      <c r="E28" s="6">
        <v>27</v>
      </c>
      <c r="F28" s="6">
        <v>3.14</v>
      </c>
      <c r="G28" s="6">
        <v>27</v>
      </c>
      <c r="H28" s="171" t="s">
        <v>273</v>
      </c>
    </row>
    <row r="29" spans="1:12" x14ac:dyDescent="0.15">
      <c r="A29" s="34" t="s">
        <v>45</v>
      </c>
      <c r="B29" s="40">
        <v>5</v>
      </c>
      <c r="C29"/>
      <c r="D29" s="60" t="s">
        <v>398</v>
      </c>
      <c r="E29" s="6">
        <v>29</v>
      </c>
      <c r="F29" s="6">
        <v>3.14</v>
      </c>
      <c r="G29" s="6">
        <v>29</v>
      </c>
      <c r="H29" s="171" t="s">
        <v>398</v>
      </c>
    </row>
    <row r="30" spans="1:12" x14ac:dyDescent="0.15">
      <c r="A30" s="34" t="s">
        <v>75</v>
      </c>
      <c r="B30" s="40">
        <v>7</v>
      </c>
      <c r="C30"/>
      <c r="D30" s="60" t="s">
        <v>399</v>
      </c>
      <c r="E30" s="6">
        <v>31</v>
      </c>
      <c r="F30" s="6">
        <v>3.14</v>
      </c>
      <c r="G30" s="6">
        <v>31</v>
      </c>
      <c r="H30" s="171" t="s">
        <v>399</v>
      </c>
    </row>
    <row r="31" spans="1:12" x14ac:dyDescent="0.15">
      <c r="A31" s="34" t="s">
        <v>173</v>
      </c>
      <c r="B31" s="40">
        <v>3.1110000000000002</v>
      </c>
      <c r="C31" s="58" t="s">
        <v>396</v>
      </c>
      <c r="D31" s="60" t="s">
        <v>199</v>
      </c>
      <c r="E31" s="6">
        <v>33</v>
      </c>
      <c r="F31">
        <v>3.14</v>
      </c>
      <c r="G31" s="6">
        <v>33</v>
      </c>
      <c r="H31" t="s">
        <v>300</v>
      </c>
    </row>
    <row r="32" spans="1:12" ht="12" customHeight="1" thickBot="1" x14ac:dyDescent="0.2">
      <c r="A32" s="38" t="s">
        <v>174</v>
      </c>
      <c r="B32" s="41">
        <v>9</v>
      </c>
      <c r="C32"/>
      <c r="D32" s="60" t="s">
        <v>200</v>
      </c>
      <c r="E32" s="6">
        <v>34</v>
      </c>
      <c r="F32">
        <v>3.14</v>
      </c>
      <c r="G32" s="6">
        <v>34</v>
      </c>
      <c r="H32" t="s">
        <v>301</v>
      </c>
    </row>
    <row r="33" spans="3:8" ht="12" customHeight="1" x14ac:dyDescent="0.15">
      <c r="C33"/>
      <c r="D33" s="60" t="s">
        <v>201</v>
      </c>
      <c r="E33" s="6">
        <v>35</v>
      </c>
      <c r="F33">
        <v>3.14</v>
      </c>
      <c r="G33" s="6">
        <v>35</v>
      </c>
      <c r="H33" t="s">
        <v>302</v>
      </c>
    </row>
    <row r="34" spans="3:8" ht="12" customHeight="1" x14ac:dyDescent="0.15">
      <c r="C34"/>
      <c r="D34" s="60" t="s">
        <v>202</v>
      </c>
      <c r="E34" s="6">
        <v>36</v>
      </c>
      <c r="F34">
        <v>3.14</v>
      </c>
      <c r="G34" s="6">
        <v>36</v>
      </c>
      <c r="H34" t="s">
        <v>303</v>
      </c>
    </row>
    <row r="35" spans="3:8" x14ac:dyDescent="0.15">
      <c r="C35"/>
      <c r="D35" s="60" t="s">
        <v>203</v>
      </c>
      <c r="E35" s="6">
        <v>37</v>
      </c>
      <c r="F35">
        <v>3.14</v>
      </c>
      <c r="G35" s="6">
        <v>37</v>
      </c>
      <c r="H35" t="s">
        <v>304</v>
      </c>
    </row>
    <row r="36" spans="3:8" ht="12" customHeight="1" x14ac:dyDescent="0.15">
      <c r="C36"/>
      <c r="D36" s="60" t="s">
        <v>204</v>
      </c>
      <c r="E36" s="6">
        <v>38</v>
      </c>
      <c r="F36">
        <v>3.14</v>
      </c>
      <c r="G36" s="6">
        <v>38</v>
      </c>
      <c r="H36" t="s">
        <v>305</v>
      </c>
    </row>
    <row r="37" spans="3:8" x14ac:dyDescent="0.15">
      <c r="C37"/>
      <c r="D37" s="60" t="s">
        <v>205</v>
      </c>
      <c r="E37" s="6">
        <v>39</v>
      </c>
      <c r="F37">
        <v>3.14</v>
      </c>
      <c r="G37" s="6">
        <v>39</v>
      </c>
      <c r="H37" t="s">
        <v>306</v>
      </c>
    </row>
    <row r="38" spans="3:8" x14ac:dyDescent="0.15">
      <c r="C38"/>
      <c r="D38" s="60" t="s">
        <v>206</v>
      </c>
      <c r="E38" s="6">
        <v>40</v>
      </c>
      <c r="F38">
        <v>3.14</v>
      </c>
      <c r="G38" s="6">
        <v>40</v>
      </c>
      <c r="H38" t="s">
        <v>307</v>
      </c>
    </row>
    <row r="39" spans="3:8" x14ac:dyDescent="0.15">
      <c r="C39"/>
      <c r="D39" s="60" t="s">
        <v>207</v>
      </c>
      <c r="E39" s="6">
        <v>41</v>
      </c>
      <c r="F39">
        <v>3.14</v>
      </c>
      <c r="G39" s="6">
        <v>41</v>
      </c>
      <c r="H39" t="s">
        <v>308</v>
      </c>
    </row>
    <row r="40" spans="3:8" x14ac:dyDescent="0.15">
      <c r="C40"/>
      <c r="D40" s="60" t="s">
        <v>208</v>
      </c>
      <c r="E40" s="6">
        <v>42</v>
      </c>
      <c r="F40">
        <v>3.14</v>
      </c>
      <c r="G40" s="6">
        <v>42</v>
      </c>
      <c r="H40" t="s">
        <v>309</v>
      </c>
    </row>
    <row r="41" spans="3:8" x14ac:dyDescent="0.15">
      <c r="C41"/>
      <c r="D41" s="60" t="s">
        <v>209</v>
      </c>
      <c r="E41" s="6">
        <v>43</v>
      </c>
      <c r="F41">
        <v>3.24</v>
      </c>
      <c r="G41" s="6">
        <v>43</v>
      </c>
      <c r="H41" t="s">
        <v>310</v>
      </c>
    </row>
    <row r="42" spans="3:8" x14ac:dyDescent="0.15">
      <c r="C42"/>
      <c r="D42" s="60" t="s">
        <v>210</v>
      </c>
      <c r="E42" s="6">
        <v>44</v>
      </c>
      <c r="F42">
        <v>3.14</v>
      </c>
      <c r="G42" s="6">
        <v>44</v>
      </c>
      <c r="H42" t="s">
        <v>311</v>
      </c>
    </row>
    <row r="43" spans="3:8" x14ac:dyDescent="0.15">
      <c r="C43"/>
      <c r="D43" s="60" t="s">
        <v>211</v>
      </c>
      <c r="E43" s="6">
        <v>45</v>
      </c>
      <c r="F43">
        <v>3.14</v>
      </c>
      <c r="G43" s="6">
        <v>45</v>
      </c>
      <c r="H43" t="s">
        <v>312</v>
      </c>
    </row>
    <row r="44" spans="3:8" x14ac:dyDescent="0.15">
      <c r="C44"/>
      <c r="D44" s="60" t="s">
        <v>212</v>
      </c>
      <c r="E44" s="6">
        <v>46</v>
      </c>
      <c r="F44">
        <v>3.24</v>
      </c>
      <c r="G44" s="6">
        <v>46</v>
      </c>
      <c r="H44" t="s">
        <v>313</v>
      </c>
    </row>
    <row r="45" spans="3:8" x14ac:dyDescent="0.15">
      <c r="C45"/>
      <c r="D45" s="60" t="s">
        <v>213</v>
      </c>
      <c r="E45" s="6">
        <v>47</v>
      </c>
      <c r="F45">
        <v>3.24</v>
      </c>
      <c r="G45" s="6">
        <v>47</v>
      </c>
      <c r="H45" t="s">
        <v>314</v>
      </c>
    </row>
    <row r="46" spans="3:8" x14ac:dyDescent="0.15">
      <c r="C46"/>
      <c r="D46" s="60" t="s">
        <v>214</v>
      </c>
      <c r="E46" s="6">
        <v>48</v>
      </c>
      <c r="F46">
        <v>3.24</v>
      </c>
      <c r="G46" s="6">
        <v>48</v>
      </c>
      <c r="H46" t="s">
        <v>315</v>
      </c>
    </row>
    <row r="47" spans="3:8" x14ac:dyDescent="0.15">
      <c r="C47"/>
      <c r="D47" s="60" t="s">
        <v>215</v>
      </c>
      <c r="E47" s="6">
        <v>49</v>
      </c>
      <c r="F47">
        <v>3.24</v>
      </c>
      <c r="G47" s="6">
        <v>49</v>
      </c>
      <c r="H47" t="s">
        <v>316</v>
      </c>
    </row>
    <row r="48" spans="3:8" x14ac:dyDescent="0.15">
      <c r="C48"/>
      <c r="D48" s="60" t="s">
        <v>216</v>
      </c>
      <c r="E48" s="6">
        <v>50</v>
      </c>
      <c r="F48">
        <v>3.24</v>
      </c>
      <c r="G48" s="6">
        <v>50</v>
      </c>
      <c r="H48" t="s">
        <v>317</v>
      </c>
    </row>
    <row r="49" spans="3:8" ht="12" customHeight="1" x14ac:dyDescent="0.15">
      <c r="C49"/>
      <c r="D49" s="60" t="s">
        <v>217</v>
      </c>
      <c r="E49" s="6">
        <v>51</v>
      </c>
      <c r="F49">
        <v>3.24</v>
      </c>
      <c r="G49" s="6">
        <v>51</v>
      </c>
      <c r="H49" t="s">
        <v>318</v>
      </c>
    </row>
    <row r="50" spans="3:8" x14ac:dyDescent="0.15">
      <c r="C50"/>
      <c r="D50" s="60" t="s">
        <v>218</v>
      </c>
      <c r="E50" s="6">
        <v>52</v>
      </c>
      <c r="F50">
        <v>3.24</v>
      </c>
      <c r="G50" s="6">
        <v>52</v>
      </c>
      <c r="H50" t="s">
        <v>319</v>
      </c>
    </row>
    <row r="51" spans="3:8" ht="12" customHeight="1" x14ac:dyDescent="0.15">
      <c r="C51"/>
      <c r="D51" s="60" t="s">
        <v>219</v>
      </c>
      <c r="E51" s="6">
        <v>53</v>
      </c>
      <c r="F51">
        <v>3.24</v>
      </c>
      <c r="G51" s="6">
        <v>53</v>
      </c>
      <c r="H51" t="s">
        <v>320</v>
      </c>
    </row>
    <row r="52" spans="3:8" x14ac:dyDescent="0.15">
      <c r="C52"/>
      <c r="D52" s="60" t="s">
        <v>220</v>
      </c>
      <c r="E52" s="6">
        <v>54</v>
      </c>
      <c r="F52">
        <v>3.24</v>
      </c>
      <c r="G52" s="6">
        <v>54</v>
      </c>
      <c r="H52" t="s">
        <v>321</v>
      </c>
    </row>
    <row r="53" spans="3:8" ht="12" customHeight="1" x14ac:dyDescent="0.15">
      <c r="C53"/>
      <c r="D53" s="60" t="s">
        <v>221</v>
      </c>
      <c r="E53" s="6">
        <v>55</v>
      </c>
      <c r="F53">
        <v>3.24</v>
      </c>
      <c r="G53" s="6">
        <v>55</v>
      </c>
      <c r="H53" t="s">
        <v>322</v>
      </c>
    </row>
    <row r="54" spans="3:8" ht="12" customHeight="1" x14ac:dyDescent="0.15">
      <c r="C54"/>
      <c r="D54" s="60" t="s">
        <v>222</v>
      </c>
      <c r="E54" s="6">
        <v>56</v>
      </c>
      <c r="F54">
        <v>3.14</v>
      </c>
      <c r="G54" s="6">
        <v>56</v>
      </c>
      <c r="H54" t="s">
        <v>323</v>
      </c>
    </row>
    <row r="55" spans="3:8" x14ac:dyDescent="0.15">
      <c r="C55"/>
      <c r="D55" s="60" t="s">
        <v>223</v>
      </c>
      <c r="E55" s="6">
        <v>57</v>
      </c>
      <c r="F55">
        <v>3.14</v>
      </c>
      <c r="G55" s="6">
        <v>57</v>
      </c>
      <c r="H55" t="s">
        <v>324</v>
      </c>
    </row>
    <row r="56" spans="3:8" x14ac:dyDescent="0.15">
      <c r="C56"/>
      <c r="D56" s="60" t="s">
        <v>224</v>
      </c>
      <c r="E56" s="6">
        <v>58</v>
      </c>
      <c r="F56">
        <v>3.24</v>
      </c>
      <c r="G56" s="6">
        <v>58</v>
      </c>
      <c r="H56" t="s">
        <v>325</v>
      </c>
    </row>
    <row r="57" spans="3:8" x14ac:dyDescent="0.15">
      <c r="C57"/>
      <c r="D57" s="60" t="s">
        <v>225</v>
      </c>
      <c r="E57" s="6">
        <v>59</v>
      </c>
      <c r="F57">
        <v>3.21</v>
      </c>
      <c r="G57" s="6">
        <v>59</v>
      </c>
      <c r="H57" t="s">
        <v>326</v>
      </c>
    </row>
    <row r="58" spans="3:8" x14ac:dyDescent="0.15">
      <c r="C58"/>
      <c r="D58" s="60" t="s">
        <v>226</v>
      </c>
      <c r="E58" s="6">
        <v>60</v>
      </c>
      <c r="F58">
        <v>3.12</v>
      </c>
      <c r="G58" s="6">
        <v>60</v>
      </c>
      <c r="H58" t="s">
        <v>327</v>
      </c>
    </row>
    <row r="59" spans="3:8" x14ac:dyDescent="0.15">
      <c r="C59"/>
      <c r="D59" s="60" t="s">
        <v>227</v>
      </c>
      <c r="E59" s="6">
        <v>61</v>
      </c>
      <c r="F59">
        <v>3.21</v>
      </c>
      <c r="G59" s="6">
        <v>61</v>
      </c>
      <c r="H59" t="s">
        <v>328</v>
      </c>
    </row>
    <row r="60" spans="3:8" x14ac:dyDescent="0.15">
      <c r="C60"/>
      <c r="D60" s="60" t="s">
        <v>228</v>
      </c>
      <c r="E60" s="6">
        <v>62</v>
      </c>
      <c r="F60">
        <v>3.21</v>
      </c>
      <c r="G60" s="6">
        <v>62</v>
      </c>
      <c r="H60" t="s">
        <v>329</v>
      </c>
    </row>
    <row r="61" spans="3:8" x14ac:dyDescent="0.15">
      <c r="C61"/>
      <c r="D61" s="60" t="s">
        <v>229</v>
      </c>
      <c r="E61" s="6">
        <v>63</v>
      </c>
      <c r="F61">
        <v>3.21</v>
      </c>
      <c r="G61" s="6">
        <v>63</v>
      </c>
      <c r="H61" t="s">
        <v>330</v>
      </c>
    </row>
    <row r="62" spans="3:8" x14ac:dyDescent="0.15">
      <c r="C62"/>
      <c r="D62" s="60" t="s">
        <v>230</v>
      </c>
      <c r="E62" s="6">
        <v>64</v>
      </c>
      <c r="F62">
        <v>3.21</v>
      </c>
      <c r="G62" s="6">
        <v>64</v>
      </c>
      <c r="H62" t="s">
        <v>331</v>
      </c>
    </row>
    <row r="63" spans="3:8" x14ac:dyDescent="0.15">
      <c r="C63"/>
      <c r="D63" s="60" t="s">
        <v>231</v>
      </c>
      <c r="E63" s="6">
        <v>65</v>
      </c>
      <c r="F63">
        <v>3.21</v>
      </c>
      <c r="G63" s="6">
        <v>65</v>
      </c>
      <c r="H63" t="s">
        <v>332</v>
      </c>
    </row>
    <row r="64" spans="3:8" x14ac:dyDescent="0.15">
      <c r="C64"/>
      <c r="D64" s="60" t="s">
        <v>232</v>
      </c>
      <c r="E64" s="6">
        <v>66</v>
      </c>
      <c r="F64">
        <v>3.21</v>
      </c>
      <c r="G64" s="6">
        <v>66</v>
      </c>
      <c r="H64" t="s">
        <v>333</v>
      </c>
    </row>
    <row r="65" spans="3:8" x14ac:dyDescent="0.15">
      <c r="C65"/>
      <c r="D65" s="60" t="s">
        <v>233</v>
      </c>
      <c r="E65" s="6">
        <v>67</v>
      </c>
      <c r="F65">
        <v>3.21</v>
      </c>
      <c r="G65" s="6">
        <v>67</v>
      </c>
      <c r="H65" t="s">
        <v>334</v>
      </c>
    </row>
    <row r="66" spans="3:8" x14ac:dyDescent="0.15">
      <c r="C66"/>
      <c r="D66" s="60" t="s">
        <v>234</v>
      </c>
      <c r="E66" s="6">
        <v>68</v>
      </c>
      <c r="F66">
        <v>3.21</v>
      </c>
      <c r="G66" s="6">
        <v>68</v>
      </c>
      <c r="H66" t="s">
        <v>335</v>
      </c>
    </row>
    <row r="67" spans="3:8" x14ac:dyDescent="0.15">
      <c r="C67"/>
      <c r="D67" s="60" t="s">
        <v>235</v>
      </c>
      <c r="E67" s="6">
        <v>69</v>
      </c>
      <c r="F67">
        <v>3.21</v>
      </c>
      <c r="G67" s="6">
        <v>69</v>
      </c>
      <c r="H67" t="s">
        <v>336</v>
      </c>
    </row>
    <row r="68" spans="3:8" x14ac:dyDescent="0.15">
      <c r="C68"/>
      <c r="D68" s="60" t="s">
        <v>236</v>
      </c>
      <c r="E68" s="6">
        <v>70</v>
      </c>
      <c r="F68">
        <v>3.16</v>
      </c>
      <c r="G68" s="6">
        <v>70</v>
      </c>
      <c r="H68" t="s">
        <v>337</v>
      </c>
    </row>
    <row r="69" spans="3:8" x14ac:dyDescent="0.15">
      <c r="C69"/>
      <c r="D69" s="60" t="s">
        <v>237</v>
      </c>
      <c r="E69" s="6">
        <v>71</v>
      </c>
      <c r="F69">
        <v>3.16</v>
      </c>
      <c r="G69" s="6">
        <v>71</v>
      </c>
      <c r="H69" t="s">
        <v>338</v>
      </c>
    </row>
    <row r="70" spans="3:8" x14ac:dyDescent="0.15">
      <c r="C70"/>
      <c r="D70" s="60" t="s">
        <v>238</v>
      </c>
      <c r="E70" s="6">
        <v>72</v>
      </c>
      <c r="F70">
        <v>3.16</v>
      </c>
      <c r="G70" s="6">
        <v>72</v>
      </c>
      <c r="H70" t="s">
        <v>339</v>
      </c>
    </row>
    <row r="71" spans="3:8" x14ac:dyDescent="0.15">
      <c r="C71"/>
      <c r="D71" s="60" t="s">
        <v>239</v>
      </c>
      <c r="E71" s="6">
        <v>73</v>
      </c>
      <c r="F71">
        <v>3.16</v>
      </c>
      <c r="G71" s="6">
        <v>73</v>
      </c>
      <c r="H71" t="s">
        <v>340</v>
      </c>
    </row>
    <row r="72" spans="3:8" x14ac:dyDescent="0.15">
      <c r="C72"/>
      <c r="D72" s="60" t="s">
        <v>240</v>
      </c>
      <c r="E72" s="6">
        <v>74</v>
      </c>
      <c r="F72">
        <v>3.16</v>
      </c>
      <c r="G72" s="6">
        <v>74</v>
      </c>
      <c r="H72" t="s">
        <v>341</v>
      </c>
    </row>
    <row r="73" spans="3:8" x14ac:dyDescent="0.15">
      <c r="C73"/>
      <c r="D73" s="60" t="s">
        <v>241</v>
      </c>
      <c r="E73" s="6">
        <v>75</v>
      </c>
      <c r="F73">
        <v>3.16</v>
      </c>
      <c r="G73" s="6">
        <v>75</v>
      </c>
      <c r="H73" t="s">
        <v>342</v>
      </c>
    </row>
    <row r="74" spans="3:8" x14ac:dyDescent="0.15">
      <c r="C74"/>
      <c r="D74" s="60" t="s">
        <v>242</v>
      </c>
      <c r="E74" s="6">
        <v>76</v>
      </c>
      <c r="F74">
        <v>3.16</v>
      </c>
      <c r="G74" s="6">
        <v>76</v>
      </c>
      <c r="H74" t="s">
        <v>343</v>
      </c>
    </row>
    <row r="75" spans="3:8" x14ac:dyDescent="0.15">
      <c r="C75"/>
      <c r="D75" s="60" t="s">
        <v>243</v>
      </c>
      <c r="E75" s="6">
        <v>77</v>
      </c>
      <c r="F75">
        <v>3.16</v>
      </c>
      <c r="G75" s="6">
        <v>77</v>
      </c>
      <c r="H75" t="s">
        <v>344</v>
      </c>
    </row>
    <row r="76" spans="3:8" x14ac:dyDescent="0.15">
      <c r="C76"/>
      <c r="D76" s="60" t="s">
        <v>244</v>
      </c>
      <c r="E76" s="6">
        <v>78</v>
      </c>
      <c r="F76">
        <v>3.16</v>
      </c>
      <c r="G76" s="6">
        <v>78</v>
      </c>
      <c r="H76" t="s">
        <v>345</v>
      </c>
    </row>
    <row r="77" spans="3:8" x14ac:dyDescent="0.15">
      <c r="C77"/>
      <c r="D77" s="60" t="s">
        <v>245</v>
      </c>
      <c r="E77" s="6">
        <v>79</v>
      </c>
      <c r="F77">
        <v>3.16</v>
      </c>
      <c r="G77" s="6">
        <v>79</v>
      </c>
      <c r="H77" t="s">
        <v>346</v>
      </c>
    </row>
    <row r="78" spans="3:8" x14ac:dyDescent="0.15">
      <c r="C78"/>
      <c r="D78" s="60" t="s">
        <v>246</v>
      </c>
      <c r="E78" s="6">
        <v>80</v>
      </c>
      <c r="F78">
        <v>3.16</v>
      </c>
      <c r="G78" s="6">
        <v>80</v>
      </c>
      <c r="H78" t="s">
        <v>347</v>
      </c>
    </row>
    <row r="79" spans="3:8" x14ac:dyDescent="0.15">
      <c r="C79"/>
      <c r="D79" s="60" t="s">
        <v>247</v>
      </c>
      <c r="E79" s="6">
        <v>81</v>
      </c>
      <c r="F79">
        <v>3.16</v>
      </c>
      <c r="G79" s="6">
        <v>81</v>
      </c>
      <c r="H79" t="s">
        <v>348</v>
      </c>
    </row>
    <row r="80" spans="3:8" x14ac:dyDescent="0.15">
      <c r="C80"/>
      <c r="D80" s="60" t="s">
        <v>248</v>
      </c>
      <c r="E80" s="6">
        <v>82</v>
      </c>
      <c r="F80">
        <v>3.16</v>
      </c>
      <c r="G80" s="6">
        <v>82</v>
      </c>
      <c r="H80" t="s">
        <v>349</v>
      </c>
    </row>
    <row r="81" spans="3:9" x14ac:dyDescent="0.15">
      <c r="C81"/>
      <c r="D81" s="60" t="s">
        <v>249</v>
      </c>
      <c r="E81" s="6">
        <v>83</v>
      </c>
      <c r="F81">
        <v>3.16</v>
      </c>
      <c r="G81" s="6">
        <v>83</v>
      </c>
      <c r="H81" t="s">
        <v>350</v>
      </c>
    </row>
    <row r="82" spans="3:9" x14ac:dyDescent="0.15">
      <c r="C82"/>
      <c r="D82" s="60" t="s">
        <v>250</v>
      </c>
      <c r="E82" s="6">
        <v>84</v>
      </c>
      <c r="F82">
        <v>3.16</v>
      </c>
      <c r="G82" s="6">
        <v>84</v>
      </c>
      <c r="H82" t="s">
        <v>351</v>
      </c>
    </row>
    <row r="83" spans="3:9" x14ac:dyDescent="0.15">
      <c r="C83"/>
      <c r="D83" s="60" t="s">
        <v>251</v>
      </c>
      <c r="E83" s="6">
        <v>85</v>
      </c>
      <c r="F83">
        <v>8</v>
      </c>
      <c r="G83" s="6">
        <v>85</v>
      </c>
      <c r="H83" t="s">
        <v>352</v>
      </c>
    </row>
    <row r="84" spans="3:9" x14ac:dyDescent="0.15">
      <c r="C84"/>
      <c r="D84" s="60" t="s">
        <v>252</v>
      </c>
      <c r="E84" s="6">
        <v>86</v>
      </c>
      <c r="F84">
        <v>8</v>
      </c>
      <c r="G84" s="6">
        <v>86</v>
      </c>
      <c r="H84" t="s">
        <v>353</v>
      </c>
    </row>
    <row r="85" spans="3:9" x14ac:dyDescent="0.15">
      <c r="C85"/>
      <c r="D85" s="60" t="s">
        <v>253</v>
      </c>
      <c r="E85" s="6">
        <v>87</v>
      </c>
      <c r="F85">
        <v>4.0999999999999996</v>
      </c>
      <c r="G85" s="6">
        <v>87</v>
      </c>
      <c r="H85" t="s">
        <v>354</v>
      </c>
      <c r="I85" s="58" t="s">
        <v>157</v>
      </c>
    </row>
    <row r="86" spans="3:9" x14ac:dyDescent="0.15">
      <c r="C86"/>
      <c r="D86" s="60" t="s">
        <v>254</v>
      </c>
      <c r="E86" s="6">
        <v>88</v>
      </c>
      <c r="F86">
        <v>4.2</v>
      </c>
      <c r="G86" s="6">
        <v>88</v>
      </c>
      <c r="H86" t="s">
        <v>355</v>
      </c>
    </row>
    <row r="87" spans="3:9" x14ac:dyDescent="0.15">
      <c r="C87"/>
      <c r="D87" s="60" t="s">
        <v>255</v>
      </c>
      <c r="E87" s="6">
        <v>89</v>
      </c>
      <c r="F87">
        <v>4.3</v>
      </c>
      <c r="G87" s="6">
        <v>89</v>
      </c>
      <c r="H87" t="s">
        <v>356</v>
      </c>
      <c r="I87" s="58" t="s">
        <v>157</v>
      </c>
    </row>
    <row r="88" spans="3:9" x14ac:dyDescent="0.15">
      <c r="C88"/>
      <c r="D88" s="60" t="s">
        <v>256</v>
      </c>
      <c r="E88" s="6">
        <v>90</v>
      </c>
      <c r="F88">
        <v>5</v>
      </c>
      <c r="G88" s="6">
        <v>90</v>
      </c>
      <c r="H88" t="s">
        <v>357</v>
      </c>
      <c r="I88" s="58" t="s">
        <v>550</v>
      </c>
    </row>
    <row r="89" spans="3:9" x14ac:dyDescent="0.15">
      <c r="C89"/>
      <c r="D89" s="60" t="s">
        <v>257</v>
      </c>
      <c r="E89" s="6">
        <v>91</v>
      </c>
      <c r="F89">
        <v>5</v>
      </c>
      <c r="G89" s="6">
        <v>91</v>
      </c>
      <c r="H89" t="s">
        <v>358</v>
      </c>
      <c r="I89" s="58" t="s">
        <v>550</v>
      </c>
    </row>
    <row r="90" spans="3:9" x14ac:dyDescent="0.15">
      <c r="C90"/>
      <c r="D90" s="60" t="s">
        <v>258</v>
      </c>
      <c r="E90" s="6">
        <v>92</v>
      </c>
      <c r="F90">
        <v>5</v>
      </c>
      <c r="G90" s="6">
        <v>92</v>
      </c>
      <c r="H90" t="s">
        <v>359</v>
      </c>
      <c r="I90" s="58" t="s">
        <v>550</v>
      </c>
    </row>
    <row r="91" spans="3:9" x14ac:dyDescent="0.15">
      <c r="C91"/>
      <c r="D91" s="60" t="s">
        <v>259</v>
      </c>
      <c r="E91" s="6">
        <v>93</v>
      </c>
      <c r="F91">
        <v>5</v>
      </c>
      <c r="G91" s="6">
        <v>93</v>
      </c>
      <c r="H91" t="s">
        <v>360</v>
      </c>
      <c r="I91" s="58" t="s">
        <v>550</v>
      </c>
    </row>
    <row r="92" spans="3:9" x14ac:dyDescent="0.15">
      <c r="C92"/>
      <c r="D92" s="60" t="s">
        <v>260</v>
      </c>
      <c r="E92" s="6">
        <v>94</v>
      </c>
      <c r="F92">
        <v>5</v>
      </c>
      <c r="G92" s="6">
        <v>94</v>
      </c>
      <c r="H92" t="s">
        <v>361</v>
      </c>
      <c r="I92" s="58" t="s">
        <v>550</v>
      </c>
    </row>
    <row r="93" spans="3:9" x14ac:dyDescent="0.15">
      <c r="C93"/>
      <c r="D93" s="60" t="s">
        <v>261</v>
      </c>
      <c r="E93" s="6">
        <v>95</v>
      </c>
      <c r="F93">
        <v>5</v>
      </c>
      <c r="G93" s="6">
        <v>95</v>
      </c>
      <c r="H93" t="s">
        <v>362</v>
      </c>
      <c r="I93" s="58" t="s">
        <v>550</v>
      </c>
    </row>
    <row r="94" spans="3:9" x14ac:dyDescent="0.15">
      <c r="C94"/>
      <c r="D94" s="60" t="s">
        <v>262</v>
      </c>
      <c r="E94" s="6">
        <v>96</v>
      </c>
      <c r="F94">
        <v>5</v>
      </c>
      <c r="G94" s="6">
        <v>96</v>
      </c>
      <c r="H94" t="s">
        <v>363</v>
      </c>
      <c r="I94" s="58" t="s">
        <v>550</v>
      </c>
    </row>
    <row r="95" spans="3:9" x14ac:dyDescent="0.15">
      <c r="C95"/>
      <c r="D95" s="60" t="s">
        <v>263</v>
      </c>
      <c r="E95" s="6">
        <v>97</v>
      </c>
      <c r="F95">
        <v>5</v>
      </c>
      <c r="G95" s="6">
        <v>97</v>
      </c>
      <c r="H95" t="s">
        <v>364</v>
      </c>
      <c r="I95" s="58" t="s">
        <v>550</v>
      </c>
    </row>
    <row r="96" spans="3:9" x14ac:dyDescent="0.15">
      <c r="C96"/>
      <c r="D96" s="60" t="s">
        <v>264</v>
      </c>
      <c r="E96" s="6">
        <v>98</v>
      </c>
      <c r="F96">
        <v>5</v>
      </c>
      <c r="G96" s="6">
        <v>98</v>
      </c>
      <c r="H96" t="s">
        <v>365</v>
      </c>
      <c r="I96" s="58" t="s">
        <v>550</v>
      </c>
    </row>
    <row r="97" spans="3:9" x14ac:dyDescent="0.15">
      <c r="C97"/>
      <c r="D97" s="60" t="s">
        <v>265</v>
      </c>
      <c r="E97" s="6">
        <v>99</v>
      </c>
      <c r="F97">
        <v>5</v>
      </c>
      <c r="G97" s="6">
        <v>99</v>
      </c>
      <c r="H97" t="s">
        <v>366</v>
      </c>
      <c r="I97" s="58" t="s">
        <v>550</v>
      </c>
    </row>
    <row r="98" spans="3:9" x14ac:dyDescent="0.15">
      <c r="C98"/>
      <c r="D98" s="60" t="s">
        <v>266</v>
      </c>
      <c r="E98" s="6">
        <v>100</v>
      </c>
      <c r="F98">
        <v>5</v>
      </c>
      <c r="G98" s="6">
        <v>100</v>
      </c>
      <c r="H98" t="s">
        <v>367</v>
      </c>
      <c r="I98" s="58" t="s">
        <v>550</v>
      </c>
    </row>
    <row r="99" spans="3:9" x14ac:dyDescent="0.15">
      <c r="C99"/>
      <c r="D99" s="60" t="s">
        <v>267</v>
      </c>
      <c r="E99" s="6">
        <v>101</v>
      </c>
      <c r="F99">
        <v>5</v>
      </c>
      <c r="G99" s="6">
        <v>101</v>
      </c>
      <c r="H99" t="s">
        <v>368</v>
      </c>
      <c r="I99" s="58" t="s">
        <v>550</v>
      </c>
    </row>
    <row r="100" spans="3:9" x14ac:dyDescent="0.15">
      <c r="C100"/>
      <c r="D100" s="60" t="s">
        <v>268</v>
      </c>
      <c r="E100" s="6">
        <v>102</v>
      </c>
      <c r="F100">
        <v>5</v>
      </c>
      <c r="G100" s="6">
        <v>102</v>
      </c>
      <c r="H100" t="s">
        <v>369</v>
      </c>
      <c r="I100" s="58" t="s">
        <v>550</v>
      </c>
    </row>
    <row r="101" spans="3:9" x14ac:dyDescent="0.15">
      <c r="C101"/>
      <c r="D101" s="60" t="s">
        <v>269</v>
      </c>
      <c r="E101" s="6">
        <v>103</v>
      </c>
      <c r="F101">
        <v>5</v>
      </c>
      <c r="G101" s="6">
        <v>103</v>
      </c>
      <c r="H101" t="s">
        <v>370</v>
      </c>
      <c r="I101" s="58" t="s">
        <v>550</v>
      </c>
    </row>
    <row r="102" spans="3:9" x14ac:dyDescent="0.15">
      <c r="C102"/>
      <c r="D102" s="60" t="s">
        <v>270</v>
      </c>
      <c r="E102">
        <f t="shared" ref="E102:G106" si="0">E101+1</f>
        <v>104</v>
      </c>
      <c r="F102">
        <v>5</v>
      </c>
      <c r="G102">
        <f t="shared" si="0"/>
        <v>104</v>
      </c>
      <c r="H102" t="s">
        <v>371</v>
      </c>
      <c r="I102" s="58" t="s">
        <v>550</v>
      </c>
    </row>
    <row r="103" spans="3:9" x14ac:dyDescent="0.15">
      <c r="C103"/>
      <c r="D103" s="60" t="s">
        <v>271</v>
      </c>
      <c r="E103">
        <f t="shared" si="0"/>
        <v>105</v>
      </c>
      <c r="F103">
        <v>5</v>
      </c>
      <c r="G103">
        <f t="shared" si="0"/>
        <v>105</v>
      </c>
      <c r="H103" t="s">
        <v>372</v>
      </c>
      <c r="I103" s="58" t="s">
        <v>550</v>
      </c>
    </row>
    <row r="104" spans="3:9" x14ac:dyDescent="0.15">
      <c r="C104"/>
      <c r="D104" s="60" t="s">
        <v>272</v>
      </c>
      <c r="E104">
        <f t="shared" si="0"/>
        <v>106</v>
      </c>
      <c r="F104">
        <v>5</v>
      </c>
      <c r="G104">
        <f t="shared" si="0"/>
        <v>106</v>
      </c>
      <c r="H104" t="s">
        <v>373</v>
      </c>
      <c r="I104" s="58" t="s">
        <v>550</v>
      </c>
    </row>
    <row r="105" spans="3:9" x14ac:dyDescent="0.15">
      <c r="C105"/>
      <c r="D105" s="60" t="s">
        <v>140</v>
      </c>
      <c r="E105">
        <f t="shared" si="0"/>
        <v>107</v>
      </c>
      <c r="F105">
        <v>6.1</v>
      </c>
      <c r="G105">
        <f t="shared" si="0"/>
        <v>107</v>
      </c>
      <c r="H105" t="s">
        <v>140</v>
      </c>
      <c r="I105" s="58" t="s">
        <v>551</v>
      </c>
    </row>
    <row r="106" spans="3:9" x14ac:dyDescent="0.15">
      <c r="C106"/>
      <c r="D106" s="60" t="s">
        <v>46</v>
      </c>
      <c r="E106">
        <f t="shared" si="0"/>
        <v>108</v>
      </c>
      <c r="F106">
        <v>6.2</v>
      </c>
      <c r="G106">
        <f t="shared" si="0"/>
        <v>108</v>
      </c>
      <c r="H106" t="s">
        <v>46</v>
      </c>
      <c r="I106" s="58" t="s">
        <v>551</v>
      </c>
    </row>
    <row r="107" spans="3:9" x14ac:dyDescent="0.15">
      <c r="C107"/>
    </row>
    <row r="108" spans="3:9" x14ac:dyDescent="0.15">
      <c r="C108"/>
    </row>
    <row r="109" spans="3:9" x14ac:dyDescent="0.15">
      <c r="C109"/>
    </row>
    <row r="110" spans="3:9" x14ac:dyDescent="0.15">
      <c r="C110"/>
    </row>
    <row r="111" spans="3:9" x14ac:dyDescent="0.15">
      <c r="C111"/>
    </row>
    <row r="112" spans="3:9" x14ac:dyDescent="0.15">
      <c r="C112"/>
    </row>
    <row r="113" spans="3:10" x14ac:dyDescent="0.15">
      <c r="C113"/>
    </row>
    <row r="114" spans="3:10" x14ac:dyDescent="0.15">
      <c r="C114"/>
    </row>
    <row r="115" spans="3:10" x14ac:dyDescent="0.15">
      <c r="C115"/>
    </row>
    <row r="116" spans="3:10" x14ac:dyDescent="0.15">
      <c r="C116"/>
    </row>
    <row r="117" spans="3:10" x14ac:dyDescent="0.15">
      <c r="C117"/>
      <c r="J117" s="58"/>
    </row>
    <row r="118" spans="3:10" x14ac:dyDescent="0.15">
      <c r="C118"/>
      <c r="J118" s="58"/>
    </row>
    <row r="119" spans="3:10" x14ac:dyDescent="0.15">
      <c r="C119"/>
    </row>
    <row r="120" spans="3:10" x14ac:dyDescent="0.15">
      <c r="C120"/>
    </row>
    <row r="121" spans="3:10" x14ac:dyDescent="0.15">
      <c r="C121"/>
    </row>
    <row r="122" spans="3:10" x14ac:dyDescent="0.15">
      <c r="C122"/>
    </row>
    <row r="123" spans="3:10" x14ac:dyDescent="0.15">
      <c r="C123"/>
    </row>
    <row r="124" spans="3:10" x14ac:dyDescent="0.15">
      <c r="C124"/>
    </row>
    <row r="125" spans="3:10" x14ac:dyDescent="0.15">
      <c r="C125"/>
    </row>
    <row r="126" spans="3:10" x14ac:dyDescent="0.15">
      <c r="C126"/>
    </row>
    <row r="127" spans="3:10" x14ac:dyDescent="0.15">
      <c r="C127"/>
    </row>
    <row r="128" spans="3:10" x14ac:dyDescent="0.15">
      <c r="C128"/>
    </row>
    <row r="129" spans="3:3" x14ac:dyDescent="0.15">
      <c r="C129"/>
    </row>
    <row r="130" spans="3:3" x14ac:dyDescent="0.15">
      <c r="C130"/>
    </row>
    <row r="131" spans="3:3" x14ac:dyDescent="0.15">
      <c r="C131"/>
    </row>
    <row r="132" spans="3:3" x14ac:dyDescent="0.15">
      <c r="C132"/>
    </row>
    <row r="133" spans="3:3" x14ac:dyDescent="0.15">
      <c r="C133"/>
    </row>
    <row r="134" spans="3:3" x14ac:dyDescent="0.15">
      <c r="C134"/>
    </row>
    <row r="135" spans="3:3" x14ac:dyDescent="0.15">
      <c r="C135"/>
    </row>
    <row r="136" spans="3:3" x14ac:dyDescent="0.15">
      <c r="C136"/>
    </row>
    <row r="137" spans="3:3" x14ac:dyDescent="0.15">
      <c r="C137"/>
    </row>
    <row r="138" spans="3:3" x14ac:dyDescent="0.15">
      <c r="C138"/>
    </row>
    <row r="139" spans="3:3" x14ac:dyDescent="0.15">
      <c r="C139"/>
    </row>
    <row r="140" spans="3:3" x14ac:dyDescent="0.15">
      <c r="C140"/>
    </row>
    <row r="141" spans="3:3" x14ac:dyDescent="0.15">
      <c r="C141"/>
    </row>
    <row r="142" spans="3:3" x14ac:dyDescent="0.15">
      <c r="C142"/>
    </row>
    <row r="143" spans="3:3" x14ac:dyDescent="0.15">
      <c r="C143"/>
    </row>
    <row r="144" spans="3:3" x14ac:dyDescent="0.15">
      <c r="C144"/>
    </row>
    <row r="145" spans="3:3" x14ac:dyDescent="0.15">
      <c r="C145"/>
    </row>
    <row r="146" spans="3:3" x14ac:dyDescent="0.15">
      <c r="C146"/>
    </row>
    <row r="147" spans="3:3" x14ac:dyDescent="0.15">
      <c r="C147"/>
    </row>
    <row r="148" spans="3:3" x14ac:dyDescent="0.15">
      <c r="C148"/>
    </row>
    <row r="149" spans="3:3" x14ac:dyDescent="0.15">
      <c r="C149"/>
    </row>
    <row r="150" spans="3:3" x14ac:dyDescent="0.15">
      <c r="C150"/>
    </row>
    <row r="151" spans="3:3" x14ac:dyDescent="0.15">
      <c r="C151"/>
    </row>
    <row r="152" spans="3:3" x14ac:dyDescent="0.15">
      <c r="C152"/>
    </row>
    <row r="153" spans="3:3" x14ac:dyDescent="0.15">
      <c r="C153"/>
    </row>
    <row r="154" spans="3:3" x14ac:dyDescent="0.15">
      <c r="C154"/>
    </row>
    <row r="155" spans="3:3" x14ac:dyDescent="0.15">
      <c r="C155"/>
    </row>
    <row r="156" spans="3:3" x14ac:dyDescent="0.15">
      <c r="C156"/>
    </row>
    <row r="157" spans="3:3" x14ac:dyDescent="0.15">
      <c r="C157"/>
    </row>
    <row r="158" spans="3:3" x14ac:dyDescent="0.15">
      <c r="C158"/>
    </row>
    <row r="159" spans="3:3" x14ac:dyDescent="0.15">
      <c r="C159"/>
    </row>
    <row r="173" spans="3:3" x14ac:dyDescent="0.15">
      <c r="C173"/>
    </row>
    <row r="174" spans="3:3" x14ac:dyDescent="0.15">
      <c r="C174"/>
    </row>
    <row r="175" spans="3:3" x14ac:dyDescent="0.15">
      <c r="C175"/>
    </row>
    <row r="176" spans="3:3" x14ac:dyDescent="0.15">
      <c r="C176"/>
    </row>
    <row r="177" spans="3:3" x14ac:dyDescent="0.15">
      <c r="C177"/>
    </row>
    <row r="178" spans="3:3" x14ac:dyDescent="0.15">
      <c r="C178"/>
    </row>
    <row r="179" spans="3:3" x14ac:dyDescent="0.15">
      <c r="C179"/>
    </row>
    <row r="180" spans="3:3" x14ac:dyDescent="0.15">
      <c r="C180"/>
    </row>
    <row r="181" spans="3:3" x14ac:dyDescent="0.15">
      <c r="C181"/>
    </row>
    <row r="182" spans="3:3" x14ac:dyDescent="0.15">
      <c r="C182"/>
    </row>
    <row r="183" spans="3:3" x14ac:dyDescent="0.15">
      <c r="C183"/>
    </row>
    <row r="184" spans="3:3" x14ac:dyDescent="0.15">
      <c r="C184"/>
    </row>
    <row r="185" spans="3:3" x14ac:dyDescent="0.15">
      <c r="C185"/>
    </row>
    <row r="186" spans="3:3" x14ac:dyDescent="0.15">
      <c r="C186"/>
    </row>
    <row r="187" spans="3:3" x14ac:dyDescent="0.15">
      <c r="C187"/>
    </row>
    <row r="188" spans="3:3" x14ac:dyDescent="0.15">
      <c r="C188"/>
    </row>
    <row r="189" spans="3:3" x14ac:dyDescent="0.15">
      <c r="C189"/>
    </row>
    <row r="190" spans="3:3" x14ac:dyDescent="0.15">
      <c r="C190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Z109"/>
  <sheetViews>
    <sheetView topLeftCell="J1" workbookViewId="0">
      <pane ySplit="2" topLeftCell="A23" activePane="bottomLeft" state="frozen"/>
      <selection pane="bottomLeft" activeCell="E12" sqref="E12"/>
    </sheetView>
  </sheetViews>
  <sheetFormatPr baseColWidth="10" defaultColWidth="11.5" defaultRowHeight="15" customHeight="1" x14ac:dyDescent="0.15"/>
  <cols>
    <col min="1" max="1" width="26.1640625" style="70" bestFit="1" customWidth="1"/>
    <col min="2" max="5" width="16.1640625" style="69" customWidth="1"/>
    <col min="6" max="6" width="40" style="60" bestFit="1" customWidth="1"/>
    <col min="10" max="10" width="12.1640625" bestFit="1" customWidth="1"/>
    <col min="17" max="17" width="14.83203125" customWidth="1"/>
    <col min="18" max="18" width="28.6640625" style="81" customWidth="1"/>
    <col min="22" max="23" width="11.5" style="69"/>
    <col min="27" max="16384" width="11.5" style="69"/>
  </cols>
  <sheetData>
    <row r="1" spans="1:18" ht="15" customHeight="1" thickBot="1" x14ac:dyDescent="0.2">
      <c r="G1" s="121" t="s">
        <v>47</v>
      </c>
      <c r="H1" s="121" t="s">
        <v>48</v>
      </c>
      <c r="I1" s="121" t="s">
        <v>122</v>
      </c>
      <c r="J1" s="121" t="s">
        <v>134</v>
      </c>
      <c r="K1" s="279" t="s">
        <v>49</v>
      </c>
      <c r="L1" s="81"/>
      <c r="M1" s="279" t="s">
        <v>121</v>
      </c>
      <c r="N1" s="81"/>
      <c r="O1" s="279" t="s">
        <v>50</v>
      </c>
      <c r="P1" s="81"/>
      <c r="Q1" s="279" t="s">
        <v>51</v>
      </c>
      <c r="R1" s="59" t="s">
        <v>159</v>
      </c>
    </row>
    <row r="2" spans="1:18" ht="15" customHeight="1" x14ac:dyDescent="0.15">
      <c r="A2" s="71" t="s">
        <v>52</v>
      </c>
      <c r="B2" s="72">
        <v>0.5</v>
      </c>
      <c r="C2" s="70" t="s">
        <v>53</v>
      </c>
      <c r="D2" s="166" t="s">
        <v>393</v>
      </c>
      <c r="G2" s="280"/>
      <c r="H2" s="280"/>
      <c r="I2" s="280" t="s">
        <v>135</v>
      </c>
      <c r="J2" s="280" t="s">
        <v>135</v>
      </c>
      <c r="K2" s="280" t="s">
        <v>53</v>
      </c>
      <c r="L2" s="280" t="s">
        <v>54</v>
      </c>
      <c r="M2" s="280" t="s">
        <v>53</v>
      </c>
      <c r="N2" s="280" t="s">
        <v>54</v>
      </c>
      <c r="O2" s="280" t="s">
        <v>53</v>
      </c>
      <c r="P2" s="280" t="s">
        <v>54</v>
      </c>
      <c r="Q2" s="280"/>
      <c r="R2" s="81" t="s">
        <v>160</v>
      </c>
    </row>
    <row r="3" spans="1:18" ht="15" customHeight="1" thickBot="1" x14ac:dyDescent="0.2">
      <c r="A3" s="71" t="s">
        <v>55</v>
      </c>
      <c r="B3" s="74">
        <v>0.5</v>
      </c>
      <c r="C3" s="70" t="s">
        <v>54</v>
      </c>
      <c r="D3" s="166" t="s">
        <v>393</v>
      </c>
      <c r="F3" s="60" t="s">
        <v>39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 s="130">
        <v>0</v>
      </c>
    </row>
    <row r="4" spans="1:18" ht="15" customHeight="1" thickBot="1" x14ac:dyDescent="0.2">
      <c r="D4"/>
      <c r="F4" s="60" t="s">
        <v>41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 s="130">
        <v>0</v>
      </c>
    </row>
    <row r="5" spans="1:18" ht="15" customHeight="1" x14ac:dyDescent="0.15">
      <c r="A5" s="71" t="s">
        <v>56</v>
      </c>
      <c r="B5" s="75">
        <v>0.5</v>
      </c>
      <c r="C5" s="70" t="s">
        <v>53</v>
      </c>
      <c r="D5" s="166" t="s">
        <v>393</v>
      </c>
      <c r="F5" s="60" t="s">
        <v>42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 s="130">
        <v>0</v>
      </c>
    </row>
    <row r="6" spans="1:18" ht="15" customHeight="1" thickBot="1" x14ac:dyDescent="0.2">
      <c r="A6" s="71"/>
      <c r="B6" s="76">
        <v>0.5</v>
      </c>
      <c r="C6" s="70" t="s">
        <v>54</v>
      </c>
      <c r="D6" s="166" t="s">
        <v>393</v>
      </c>
      <c r="F6" s="60" t="s">
        <v>176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1</v>
      </c>
      <c r="O6">
        <v>1</v>
      </c>
      <c r="P6">
        <v>0</v>
      </c>
      <c r="Q6">
        <v>0</v>
      </c>
      <c r="R6" s="130">
        <v>0</v>
      </c>
    </row>
    <row r="7" spans="1:18" ht="15" customHeight="1" thickBot="1" x14ac:dyDescent="0.2">
      <c r="F7" s="60" t="s">
        <v>177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0</v>
      </c>
      <c r="O7">
        <v>1</v>
      </c>
      <c r="P7">
        <v>0</v>
      </c>
      <c r="Q7">
        <v>0</v>
      </c>
      <c r="R7" s="130">
        <v>0</v>
      </c>
    </row>
    <row r="8" spans="1:18" ht="15" customHeight="1" x14ac:dyDescent="0.15">
      <c r="A8" s="71" t="s">
        <v>57</v>
      </c>
      <c r="B8" s="75">
        <f>E32</f>
        <v>0.88015283093533658</v>
      </c>
      <c r="C8" s="28" t="s">
        <v>176</v>
      </c>
      <c r="D8" s="73" t="s">
        <v>166</v>
      </c>
      <c r="F8" s="60" t="s">
        <v>178</v>
      </c>
      <c r="G8">
        <v>0</v>
      </c>
      <c r="H8">
        <v>0</v>
      </c>
      <c r="I8">
        <v>0</v>
      </c>
      <c r="J8">
        <v>0</v>
      </c>
      <c r="K8">
        <v>1</v>
      </c>
      <c r="L8">
        <v>0</v>
      </c>
      <c r="M8">
        <v>1</v>
      </c>
      <c r="N8">
        <v>0</v>
      </c>
      <c r="O8">
        <v>1</v>
      </c>
      <c r="P8">
        <v>0</v>
      </c>
      <c r="Q8">
        <v>0</v>
      </c>
      <c r="R8" s="130">
        <v>0</v>
      </c>
    </row>
    <row r="9" spans="1:18" ht="15" customHeight="1" x14ac:dyDescent="0.15">
      <c r="A9" s="71"/>
      <c r="B9" s="77">
        <f>E33</f>
        <v>0.11984716906466347</v>
      </c>
      <c r="C9" s="28" t="s">
        <v>177</v>
      </c>
      <c r="D9"/>
      <c r="F9" s="60" t="s">
        <v>179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1</v>
      </c>
      <c r="O9">
        <v>0.5</v>
      </c>
      <c r="P9">
        <v>0.5</v>
      </c>
      <c r="Q9">
        <v>0</v>
      </c>
      <c r="R9" s="130">
        <v>0.25</v>
      </c>
    </row>
    <row r="10" spans="1:18" ht="15" customHeight="1" x14ac:dyDescent="0.15">
      <c r="B10" s="77"/>
      <c r="C10"/>
      <c r="D10"/>
      <c r="F10" s="60" t="s">
        <v>180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1</v>
      </c>
      <c r="O10">
        <v>0.5</v>
      </c>
      <c r="P10">
        <v>0.5</v>
      </c>
      <c r="Q10">
        <v>0</v>
      </c>
      <c r="R10" s="130">
        <v>0.25</v>
      </c>
    </row>
    <row r="11" spans="1:18" ht="15" customHeight="1" x14ac:dyDescent="0.15">
      <c r="A11" s="71"/>
      <c r="B11" s="77"/>
      <c r="C11"/>
      <c r="D11"/>
      <c r="F11" s="60" t="s">
        <v>181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0</v>
      </c>
      <c r="N11">
        <v>1</v>
      </c>
      <c r="O11">
        <v>0.5</v>
      </c>
      <c r="P11">
        <v>0.5</v>
      </c>
      <c r="Q11">
        <v>0</v>
      </c>
      <c r="R11" s="130">
        <v>0.25</v>
      </c>
    </row>
    <row r="12" spans="1:18" ht="15" customHeight="1" x14ac:dyDescent="0.15">
      <c r="B12" s="77"/>
      <c r="C12"/>
      <c r="D12"/>
      <c r="F12" s="60" t="s">
        <v>182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1</v>
      </c>
      <c r="O12">
        <v>0.5</v>
      </c>
      <c r="P12">
        <v>0.5</v>
      </c>
      <c r="Q12">
        <v>0</v>
      </c>
      <c r="R12" s="130">
        <v>0.25</v>
      </c>
    </row>
    <row r="13" spans="1:18" ht="15" customHeight="1" x14ac:dyDescent="0.15">
      <c r="B13" s="77"/>
      <c r="C13"/>
      <c r="D13"/>
      <c r="F13" s="60" t="s">
        <v>183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1</v>
      </c>
      <c r="O13">
        <v>0.5</v>
      </c>
      <c r="P13">
        <v>0.5</v>
      </c>
      <c r="Q13">
        <v>0</v>
      </c>
      <c r="R13" s="130">
        <v>0.5</v>
      </c>
    </row>
    <row r="14" spans="1:18" ht="15" customHeight="1" x14ac:dyDescent="0.15">
      <c r="B14" s="77"/>
      <c r="C14"/>
      <c r="D14"/>
      <c r="F14" s="60" t="s">
        <v>184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0</v>
      </c>
      <c r="N14">
        <v>1</v>
      </c>
      <c r="O14">
        <v>0.5</v>
      </c>
      <c r="P14">
        <v>0.5</v>
      </c>
      <c r="Q14">
        <v>0</v>
      </c>
      <c r="R14" s="81">
        <v>1</v>
      </c>
    </row>
    <row r="15" spans="1:18" ht="15" customHeight="1" x14ac:dyDescent="0.15">
      <c r="B15" s="77"/>
      <c r="C15"/>
      <c r="D15"/>
      <c r="F15" s="60" t="s">
        <v>185</v>
      </c>
      <c r="G15">
        <v>0</v>
      </c>
      <c r="H15">
        <v>0</v>
      </c>
      <c r="I15">
        <v>0</v>
      </c>
      <c r="J15">
        <v>0</v>
      </c>
      <c r="K15">
        <v>0</v>
      </c>
      <c r="L15">
        <v>1</v>
      </c>
      <c r="M15">
        <v>0</v>
      </c>
      <c r="N15">
        <v>1</v>
      </c>
      <c r="O15">
        <v>0.5</v>
      </c>
      <c r="P15">
        <v>0.5</v>
      </c>
      <c r="Q15">
        <v>0</v>
      </c>
      <c r="R15" s="81">
        <v>1</v>
      </c>
    </row>
    <row r="16" spans="1:18" ht="15" customHeight="1" x14ac:dyDescent="0.15">
      <c r="B16" s="77"/>
      <c r="C16"/>
      <c r="D16"/>
      <c r="F16" s="60" t="s">
        <v>186</v>
      </c>
      <c r="G16">
        <v>0</v>
      </c>
      <c r="H16">
        <v>0</v>
      </c>
      <c r="I16">
        <v>0</v>
      </c>
      <c r="J16">
        <v>0</v>
      </c>
      <c r="K16">
        <v>0.5</v>
      </c>
      <c r="L16">
        <v>0.5</v>
      </c>
      <c r="M16">
        <v>0.5</v>
      </c>
      <c r="N16">
        <v>0.5</v>
      </c>
      <c r="O16">
        <v>0.5</v>
      </c>
      <c r="P16">
        <v>0.5</v>
      </c>
      <c r="Q16">
        <v>0</v>
      </c>
      <c r="R16" s="130">
        <v>0</v>
      </c>
    </row>
    <row r="17" spans="1:18" ht="15" customHeight="1" thickBot="1" x14ac:dyDescent="0.2">
      <c r="B17" s="76"/>
      <c r="C17"/>
      <c r="D17"/>
      <c r="F17" s="60" t="s">
        <v>187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1</v>
      </c>
      <c r="O17">
        <v>0.5</v>
      </c>
      <c r="P17">
        <v>0.5</v>
      </c>
      <c r="Q17">
        <v>0</v>
      </c>
      <c r="R17" s="130">
        <v>0</v>
      </c>
    </row>
    <row r="18" spans="1:18" ht="15" customHeight="1" thickBot="1" x14ac:dyDescent="0.2">
      <c r="B18" s="78"/>
      <c r="C18"/>
      <c r="D18"/>
      <c r="F18" s="60" t="s">
        <v>188</v>
      </c>
      <c r="G18">
        <v>0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1</v>
      </c>
      <c r="O18">
        <v>0.5</v>
      </c>
      <c r="P18">
        <v>0.5</v>
      </c>
      <c r="Q18">
        <v>0</v>
      </c>
      <c r="R18" s="130">
        <v>0</v>
      </c>
    </row>
    <row r="19" spans="1:18" ht="15" customHeight="1" x14ac:dyDescent="0.15">
      <c r="A19" s="71" t="s">
        <v>58</v>
      </c>
      <c r="B19" s="75">
        <f>E32</f>
        <v>0.88015283093533658</v>
      </c>
      <c r="C19" s="28" t="s">
        <v>176</v>
      </c>
      <c r="D19" s="73" t="s">
        <v>166</v>
      </c>
      <c r="F19" s="60" t="s">
        <v>189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1</v>
      </c>
      <c r="O19">
        <v>0.5</v>
      </c>
      <c r="P19">
        <v>0.5</v>
      </c>
      <c r="Q19">
        <v>0</v>
      </c>
      <c r="R19" s="81">
        <v>1</v>
      </c>
    </row>
    <row r="20" spans="1:18" ht="15" customHeight="1" x14ac:dyDescent="0.15">
      <c r="B20" s="77">
        <f>E33</f>
        <v>0.11984716906466347</v>
      </c>
      <c r="C20" s="28" t="s">
        <v>177</v>
      </c>
      <c r="D20" s="73"/>
      <c r="F20" s="60" t="s">
        <v>190</v>
      </c>
      <c r="G20">
        <v>0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1</v>
      </c>
      <c r="O20">
        <v>0.5</v>
      </c>
      <c r="P20">
        <v>0.5</v>
      </c>
      <c r="Q20">
        <v>0</v>
      </c>
      <c r="R20" s="81">
        <v>1</v>
      </c>
    </row>
    <row r="21" spans="1:18" ht="15" customHeight="1" x14ac:dyDescent="0.15">
      <c r="B21" s="77"/>
      <c r="C21" s="28"/>
      <c r="D21" s="73"/>
      <c r="F21" s="60" t="s">
        <v>191</v>
      </c>
      <c r="G21">
        <v>0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1</v>
      </c>
      <c r="O21">
        <v>0.5</v>
      </c>
      <c r="P21">
        <v>0.5</v>
      </c>
      <c r="Q21">
        <v>0</v>
      </c>
      <c r="R21" s="81">
        <v>1</v>
      </c>
    </row>
    <row r="22" spans="1:18" ht="15" customHeight="1" x14ac:dyDescent="0.15">
      <c r="A22" s="69"/>
      <c r="B22" s="77"/>
      <c r="C22" s="28"/>
      <c r="D22" s="73"/>
      <c r="F22" s="60" t="s">
        <v>192</v>
      </c>
      <c r="G22">
        <v>0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1</v>
      </c>
      <c r="O22">
        <v>0.5</v>
      </c>
      <c r="P22">
        <v>0.5</v>
      </c>
      <c r="Q22">
        <v>0</v>
      </c>
      <c r="R22" s="81">
        <v>1</v>
      </c>
    </row>
    <row r="23" spans="1:18" ht="15" customHeight="1" x14ac:dyDescent="0.15">
      <c r="A23" s="69"/>
      <c r="B23" s="77"/>
      <c r="C23" s="28"/>
      <c r="D23" s="73"/>
      <c r="F23" s="60" t="s">
        <v>193</v>
      </c>
      <c r="G23">
        <v>0</v>
      </c>
      <c r="H23">
        <v>0</v>
      </c>
      <c r="I23">
        <v>0</v>
      </c>
      <c r="J23">
        <v>0</v>
      </c>
      <c r="K23">
        <v>0</v>
      </c>
      <c r="L23">
        <v>1</v>
      </c>
      <c r="M23">
        <v>0</v>
      </c>
      <c r="N23">
        <v>1</v>
      </c>
      <c r="O23">
        <v>1</v>
      </c>
      <c r="P23">
        <v>0</v>
      </c>
      <c r="Q23">
        <v>0</v>
      </c>
      <c r="R23" s="81">
        <v>1</v>
      </c>
    </row>
    <row r="24" spans="1:18" ht="15" customHeight="1" x14ac:dyDescent="0.15">
      <c r="A24" s="69"/>
      <c r="B24" s="77"/>
      <c r="C24" s="28"/>
      <c r="D24" s="73"/>
      <c r="F24" s="60" t="s">
        <v>194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1</v>
      </c>
      <c r="O24">
        <v>1</v>
      </c>
      <c r="P24">
        <v>0</v>
      </c>
      <c r="Q24">
        <v>0</v>
      </c>
      <c r="R24" s="81">
        <v>1</v>
      </c>
    </row>
    <row r="25" spans="1:18" ht="15" customHeight="1" x14ac:dyDescent="0.15">
      <c r="A25" s="69"/>
      <c r="B25" s="77"/>
      <c r="C25" s="28"/>
      <c r="D25" s="73"/>
      <c r="F25" s="60" t="s">
        <v>195</v>
      </c>
      <c r="G25">
        <v>0</v>
      </c>
      <c r="H25">
        <v>0</v>
      </c>
      <c r="I25">
        <v>0</v>
      </c>
      <c r="J25">
        <v>0</v>
      </c>
      <c r="K25">
        <v>0</v>
      </c>
      <c r="L25">
        <v>1</v>
      </c>
      <c r="M25">
        <v>0</v>
      </c>
      <c r="N25">
        <v>1</v>
      </c>
      <c r="O25">
        <v>1</v>
      </c>
      <c r="P25">
        <v>0</v>
      </c>
      <c r="Q25">
        <v>0</v>
      </c>
      <c r="R25" s="81">
        <v>1</v>
      </c>
    </row>
    <row r="26" spans="1:18" ht="15" customHeight="1" x14ac:dyDescent="0.15">
      <c r="B26" s="77"/>
      <c r="C26" s="28"/>
      <c r="D26" s="73"/>
      <c r="F26" s="60" t="s">
        <v>196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1</v>
      </c>
      <c r="O26">
        <v>1</v>
      </c>
      <c r="P26">
        <v>0</v>
      </c>
      <c r="Q26">
        <v>0</v>
      </c>
      <c r="R26" s="81">
        <v>1</v>
      </c>
    </row>
    <row r="27" spans="1:18" ht="15" customHeight="1" x14ac:dyDescent="0.15">
      <c r="B27" s="77"/>
      <c r="C27" s="28"/>
      <c r="D27" s="73"/>
      <c r="F27" s="60" t="s">
        <v>197</v>
      </c>
      <c r="G27">
        <v>0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1</v>
      </c>
      <c r="O27">
        <v>1</v>
      </c>
      <c r="P27">
        <v>0</v>
      </c>
      <c r="Q27">
        <v>0</v>
      </c>
      <c r="R27" s="81">
        <v>1</v>
      </c>
    </row>
    <row r="28" spans="1:18" ht="15" customHeight="1" thickBot="1" x14ac:dyDescent="0.2">
      <c r="B28" s="76"/>
      <c r="C28" s="28"/>
      <c r="D28" s="73"/>
      <c r="F28" s="60" t="s">
        <v>198</v>
      </c>
      <c r="G28">
        <v>0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1</v>
      </c>
      <c r="O28">
        <v>1</v>
      </c>
      <c r="P28">
        <v>0</v>
      </c>
      <c r="Q28">
        <v>0</v>
      </c>
      <c r="R28" s="81">
        <v>1</v>
      </c>
    </row>
    <row r="29" spans="1:18" ht="15" customHeight="1" x14ac:dyDescent="0.15">
      <c r="F29" s="60" t="s">
        <v>273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1</v>
      </c>
      <c r="O29">
        <v>1</v>
      </c>
      <c r="P29">
        <v>0</v>
      </c>
      <c r="Q29">
        <v>0</v>
      </c>
      <c r="R29" s="81">
        <v>1</v>
      </c>
    </row>
    <row r="30" spans="1:18" ht="15" customHeight="1" thickBot="1" x14ac:dyDescent="0.2">
      <c r="F30" s="60" t="s">
        <v>398</v>
      </c>
      <c r="G30">
        <v>0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1</v>
      </c>
      <c r="O30">
        <v>1</v>
      </c>
      <c r="P30">
        <v>0</v>
      </c>
      <c r="Q30">
        <v>0</v>
      </c>
      <c r="R30" s="81">
        <v>1</v>
      </c>
    </row>
    <row r="31" spans="1:18" ht="15" customHeight="1" thickBot="1" x14ac:dyDescent="0.2">
      <c r="A31" s="163" t="s">
        <v>392</v>
      </c>
      <c r="B31" s="164" t="s">
        <v>19</v>
      </c>
      <c r="C31" s="164" t="s">
        <v>1</v>
      </c>
      <c r="D31" s="164" t="s">
        <v>167</v>
      </c>
      <c r="E31" s="165" t="s">
        <v>169</v>
      </c>
      <c r="F31" s="60" t="s">
        <v>399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0</v>
      </c>
      <c r="N31">
        <v>1</v>
      </c>
      <c r="O31">
        <v>1</v>
      </c>
      <c r="P31">
        <v>0</v>
      </c>
      <c r="Q31">
        <v>0</v>
      </c>
      <c r="R31" s="81">
        <v>1</v>
      </c>
    </row>
    <row r="32" spans="1:18" ht="15" customHeight="1" x14ac:dyDescent="0.15">
      <c r="A32" s="45" t="s">
        <v>176</v>
      </c>
      <c r="B32" s="78">
        <f>MainOutputs!D2</f>
        <v>34.937686920166016</v>
      </c>
      <c r="C32" s="78">
        <f>MainOutputs!E2</f>
        <v>215</v>
      </c>
      <c r="D32" s="78">
        <f>B32*C32</f>
        <v>7511.6026878356934</v>
      </c>
      <c r="E32" s="79">
        <f>D32/D$41</f>
        <v>0.88015283093533658</v>
      </c>
      <c r="F32" s="60" t="s">
        <v>199</v>
      </c>
      <c r="G32">
        <v>0</v>
      </c>
      <c r="H32">
        <v>0</v>
      </c>
      <c r="I32">
        <v>0</v>
      </c>
      <c r="J32">
        <v>0</v>
      </c>
      <c r="K32">
        <v>0</v>
      </c>
      <c r="L32">
        <v>1</v>
      </c>
      <c r="M32">
        <v>0</v>
      </c>
      <c r="N32">
        <v>1</v>
      </c>
      <c r="O32">
        <v>1</v>
      </c>
      <c r="P32">
        <v>0</v>
      </c>
      <c r="Q32">
        <v>0</v>
      </c>
      <c r="R32" s="81">
        <v>1</v>
      </c>
    </row>
    <row r="33" spans="1:18" ht="15" customHeight="1" x14ac:dyDescent="0.15">
      <c r="A33" s="45" t="s">
        <v>177</v>
      </c>
      <c r="B33" s="78">
        <f>MainOutputs!D3</f>
        <v>4.7573361396789551</v>
      </c>
      <c r="C33" s="78">
        <f>MainOutputs!E3</f>
        <v>215</v>
      </c>
      <c r="D33" s="78">
        <f>B33*C33</f>
        <v>1022.8272700309753</v>
      </c>
      <c r="E33" s="79">
        <f>D33/D$41</f>
        <v>0.11984716906466347</v>
      </c>
      <c r="F33" s="60" t="s">
        <v>200</v>
      </c>
      <c r="G33">
        <v>0</v>
      </c>
      <c r="H33">
        <v>0</v>
      </c>
      <c r="I33">
        <v>0</v>
      </c>
      <c r="J33">
        <v>0</v>
      </c>
      <c r="K33">
        <v>0</v>
      </c>
      <c r="L33">
        <v>1</v>
      </c>
      <c r="M33">
        <v>0</v>
      </c>
      <c r="N33">
        <v>1</v>
      </c>
      <c r="O33">
        <v>0.25</v>
      </c>
      <c r="P33">
        <v>0.75</v>
      </c>
      <c r="Q33">
        <v>0</v>
      </c>
      <c r="R33" s="81">
        <v>1</v>
      </c>
    </row>
    <row r="34" spans="1:18" ht="15" customHeight="1" x14ac:dyDescent="0.15">
      <c r="A34" s="31"/>
      <c r="B34" s="84"/>
      <c r="C34" s="84"/>
      <c r="D34" s="84"/>
      <c r="E34" s="32"/>
      <c r="F34" s="60" t="s">
        <v>201</v>
      </c>
      <c r="G34">
        <v>0</v>
      </c>
      <c r="H34">
        <v>0</v>
      </c>
      <c r="I34">
        <v>0</v>
      </c>
      <c r="J34">
        <v>0</v>
      </c>
      <c r="K34">
        <v>0</v>
      </c>
      <c r="L34">
        <v>1</v>
      </c>
      <c r="M34">
        <v>0</v>
      </c>
      <c r="N34">
        <v>1</v>
      </c>
      <c r="O34">
        <v>1</v>
      </c>
      <c r="P34">
        <v>0</v>
      </c>
      <c r="Q34">
        <v>0</v>
      </c>
      <c r="R34" s="81">
        <v>1</v>
      </c>
    </row>
    <row r="35" spans="1:18" ht="15" customHeight="1" x14ac:dyDescent="0.15">
      <c r="A35" s="31"/>
      <c r="B35" s="84"/>
      <c r="C35" s="84"/>
      <c r="D35" s="84"/>
      <c r="E35" s="32"/>
      <c r="F35" s="60" t="s">
        <v>202</v>
      </c>
      <c r="G35">
        <v>0</v>
      </c>
      <c r="H35">
        <v>0</v>
      </c>
      <c r="I35">
        <v>0</v>
      </c>
      <c r="J35">
        <v>0</v>
      </c>
      <c r="K35">
        <v>0</v>
      </c>
      <c r="L35">
        <v>1</v>
      </c>
      <c r="M35">
        <v>0</v>
      </c>
      <c r="N35">
        <v>1</v>
      </c>
      <c r="O35">
        <v>1</v>
      </c>
      <c r="P35">
        <v>0</v>
      </c>
      <c r="Q35">
        <v>0</v>
      </c>
      <c r="R35" s="81">
        <v>1</v>
      </c>
    </row>
    <row r="36" spans="1:18" ht="15" customHeight="1" x14ac:dyDescent="0.15">
      <c r="A36" s="31"/>
      <c r="B36" s="84"/>
      <c r="C36" s="84"/>
      <c r="D36" s="84"/>
      <c r="E36" s="32"/>
      <c r="F36" s="60" t="s">
        <v>203</v>
      </c>
      <c r="G36">
        <v>0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1</v>
      </c>
      <c r="O36">
        <v>1</v>
      </c>
      <c r="P36">
        <v>0</v>
      </c>
      <c r="Q36">
        <v>0</v>
      </c>
      <c r="R36" s="81">
        <v>1</v>
      </c>
    </row>
    <row r="37" spans="1:18" ht="15" customHeight="1" x14ac:dyDescent="0.15">
      <c r="A37" s="31"/>
      <c r="B37" s="84"/>
      <c r="C37" s="84"/>
      <c r="D37" s="84"/>
      <c r="E37" s="32"/>
      <c r="F37" s="60" t="s">
        <v>204</v>
      </c>
      <c r="G37">
        <v>0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1</v>
      </c>
      <c r="O37">
        <v>1</v>
      </c>
      <c r="P37">
        <v>0</v>
      </c>
      <c r="Q37">
        <v>0</v>
      </c>
      <c r="R37" s="81">
        <v>1</v>
      </c>
    </row>
    <row r="38" spans="1:18" ht="15" customHeight="1" x14ac:dyDescent="0.15">
      <c r="A38" s="31"/>
      <c r="B38" s="84"/>
      <c r="C38" s="84"/>
      <c r="D38" s="84"/>
      <c r="E38" s="32"/>
      <c r="F38" s="60" t="s">
        <v>205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1</v>
      </c>
      <c r="O38">
        <v>1</v>
      </c>
      <c r="P38">
        <v>0</v>
      </c>
      <c r="Q38">
        <v>0</v>
      </c>
      <c r="R38" s="81">
        <v>1</v>
      </c>
    </row>
    <row r="39" spans="1:18" ht="15" customHeight="1" x14ac:dyDescent="0.15">
      <c r="A39" s="31"/>
      <c r="B39" s="84"/>
      <c r="C39" s="84"/>
      <c r="D39" s="84"/>
      <c r="E39" s="32"/>
      <c r="F39" s="60" t="s">
        <v>206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1</v>
      </c>
      <c r="O39">
        <v>1</v>
      </c>
      <c r="P39">
        <v>0</v>
      </c>
      <c r="Q39">
        <v>0</v>
      </c>
      <c r="R39" s="81">
        <v>1</v>
      </c>
    </row>
    <row r="40" spans="1:18" ht="15" customHeight="1" x14ac:dyDescent="0.15">
      <c r="A40" s="31"/>
      <c r="B40" s="84"/>
      <c r="C40" s="84"/>
      <c r="D40" s="84"/>
      <c r="E40" s="32"/>
      <c r="F40" s="60" t="s">
        <v>207</v>
      </c>
      <c r="G40">
        <v>0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1</v>
      </c>
      <c r="O40">
        <v>1</v>
      </c>
      <c r="P40">
        <v>0</v>
      </c>
      <c r="Q40">
        <v>0</v>
      </c>
      <c r="R40" s="81">
        <v>1</v>
      </c>
    </row>
    <row r="41" spans="1:18" ht="15" customHeight="1" thickBot="1" x14ac:dyDescent="0.2">
      <c r="A41" s="161"/>
      <c r="B41" s="162"/>
      <c r="C41" s="162" t="s">
        <v>168</v>
      </c>
      <c r="D41" s="162">
        <f>SUM(D32:D40)</f>
        <v>8534.4299578666687</v>
      </c>
      <c r="E41" s="80">
        <f>SUM(E32:E40)</f>
        <v>1</v>
      </c>
      <c r="F41" s="60" t="s">
        <v>208</v>
      </c>
      <c r="G41">
        <v>0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1</v>
      </c>
      <c r="O41">
        <v>1</v>
      </c>
      <c r="P41">
        <v>0</v>
      </c>
      <c r="Q41">
        <v>0</v>
      </c>
      <c r="R41" s="81">
        <v>1</v>
      </c>
    </row>
    <row r="42" spans="1:18" ht="15" customHeight="1" x14ac:dyDescent="0.15">
      <c r="A42" s="69"/>
      <c r="F42" s="60" t="s">
        <v>209</v>
      </c>
      <c r="G42">
        <v>0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1</v>
      </c>
      <c r="O42">
        <v>0.5</v>
      </c>
      <c r="P42">
        <v>0.5</v>
      </c>
      <c r="Q42">
        <v>0</v>
      </c>
      <c r="R42" s="81">
        <v>1</v>
      </c>
    </row>
    <row r="43" spans="1:18" ht="15" customHeight="1" x14ac:dyDescent="0.15">
      <c r="A43" s="69"/>
      <c r="F43" s="60" t="s">
        <v>210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1</v>
      </c>
      <c r="O43">
        <v>0.5</v>
      </c>
      <c r="P43">
        <v>0.5</v>
      </c>
      <c r="Q43">
        <v>0</v>
      </c>
      <c r="R43" s="81">
        <v>1</v>
      </c>
    </row>
    <row r="44" spans="1:18" ht="15" customHeight="1" x14ac:dyDescent="0.15">
      <c r="A44" s="69"/>
      <c r="F44" s="60" t="s">
        <v>211</v>
      </c>
      <c r="G44">
        <v>0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1</v>
      </c>
      <c r="O44">
        <v>1</v>
      </c>
      <c r="P44">
        <v>0</v>
      </c>
      <c r="Q44">
        <v>0</v>
      </c>
      <c r="R44" s="81">
        <v>1</v>
      </c>
    </row>
    <row r="45" spans="1:18" ht="15" customHeight="1" x14ac:dyDescent="0.15">
      <c r="A45" s="69"/>
      <c r="F45" s="60" t="s">
        <v>212</v>
      </c>
      <c r="G45">
        <v>0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1</v>
      </c>
      <c r="O45">
        <v>0.75</v>
      </c>
      <c r="P45">
        <v>0.25</v>
      </c>
      <c r="Q45">
        <v>0</v>
      </c>
      <c r="R45" s="81">
        <v>1</v>
      </c>
    </row>
    <row r="46" spans="1:18" ht="15" customHeight="1" x14ac:dyDescent="0.15">
      <c r="A46" s="69"/>
      <c r="F46" s="60" t="s">
        <v>213</v>
      </c>
      <c r="G46">
        <v>0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1</v>
      </c>
      <c r="O46">
        <v>0.75</v>
      </c>
      <c r="P46">
        <v>0.25</v>
      </c>
      <c r="Q46">
        <v>0</v>
      </c>
      <c r="R46" s="81">
        <v>1</v>
      </c>
    </row>
    <row r="47" spans="1:18" ht="15" customHeight="1" x14ac:dyDescent="0.15">
      <c r="A47" s="69"/>
      <c r="F47" s="60" t="s">
        <v>214</v>
      </c>
      <c r="G47">
        <v>0</v>
      </c>
      <c r="H47">
        <v>0</v>
      </c>
      <c r="I47">
        <v>0</v>
      </c>
      <c r="J47">
        <v>0</v>
      </c>
      <c r="K47">
        <v>0</v>
      </c>
      <c r="L47">
        <v>1</v>
      </c>
      <c r="M47">
        <v>0</v>
      </c>
      <c r="N47">
        <v>1</v>
      </c>
      <c r="O47">
        <v>0.5</v>
      </c>
      <c r="P47">
        <v>0.5</v>
      </c>
      <c r="Q47">
        <v>0</v>
      </c>
      <c r="R47" s="81">
        <v>1</v>
      </c>
    </row>
    <row r="48" spans="1:18" ht="15" customHeight="1" x14ac:dyDescent="0.15">
      <c r="A48" s="69"/>
      <c r="F48" s="60" t="s">
        <v>215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1</v>
      </c>
      <c r="O48">
        <v>0.25</v>
      </c>
      <c r="P48">
        <v>0.75</v>
      </c>
      <c r="Q48">
        <v>0</v>
      </c>
      <c r="R48" s="81">
        <v>1</v>
      </c>
    </row>
    <row r="49" spans="1:18" ht="15" customHeight="1" x14ac:dyDescent="0.15">
      <c r="A49" s="69"/>
      <c r="F49" s="60" t="s">
        <v>216</v>
      </c>
      <c r="G49">
        <v>0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1</v>
      </c>
      <c r="O49">
        <v>0.25</v>
      </c>
      <c r="P49">
        <v>0.75</v>
      </c>
      <c r="Q49">
        <v>0</v>
      </c>
      <c r="R49" s="81">
        <v>1</v>
      </c>
    </row>
    <row r="50" spans="1:18" ht="15" customHeight="1" x14ac:dyDescent="0.15">
      <c r="A50" s="69"/>
      <c r="F50" s="60" t="s">
        <v>217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1</v>
      </c>
      <c r="O50">
        <v>0.25</v>
      </c>
      <c r="P50">
        <v>0.75</v>
      </c>
      <c r="Q50">
        <v>0</v>
      </c>
      <c r="R50" s="81">
        <v>1</v>
      </c>
    </row>
    <row r="51" spans="1:18" ht="15" customHeight="1" x14ac:dyDescent="0.15">
      <c r="F51" s="60" t="s">
        <v>218</v>
      </c>
      <c r="G51">
        <v>0</v>
      </c>
      <c r="H51">
        <v>0</v>
      </c>
      <c r="I51">
        <v>0</v>
      </c>
      <c r="J51">
        <v>0</v>
      </c>
      <c r="K51">
        <v>0</v>
      </c>
      <c r="L51">
        <v>1</v>
      </c>
      <c r="M51">
        <v>0</v>
      </c>
      <c r="N51">
        <v>1</v>
      </c>
      <c r="O51">
        <v>0.25</v>
      </c>
      <c r="P51">
        <v>0.75</v>
      </c>
      <c r="Q51">
        <v>0</v>
      </c>
      <c r="R51" s="81">
        <v>1</v>
      </c>
    </row>
    <row r="52" spans="1:18" ht="15" customHeight="1" x14ac:dyDescent="0.15">
      <c r="F52" s="60" t="s">
        <v>219</v>
      </c>
      <c r="G52">
        <v>0</v>
      </c>
      <c r="H52">
        <v>0</v>
      </c>
      <c r="I52">
        <v>0</v>
      </c>
      <c r="J52">
        <v>0</v>
      </c>
      <c r="K52">
        <v>0</v>
      </c>
      <c r="L52">
        <v>1</v>
      </c>
      <c r="M52">
        <v>0</v>
      </c>
      <c r="N52">
        <v>1</v>
      </c>
      <c r="O52">
        <v>0.25</v>
      </c>
      <c r="P52">
        <v>0.75</v>
      </c>
      <c r="Q52">
        <v>0</v>
      </c>
      <c r="R52" s="81">
        <v>1</v>
      </c>
    </row>
    <row r="53" spans="1:18" ht="15" customHeight="1" x14ac:dyDescent="0.15">
      <c r="F53" s="60" t="s">
        <v>220</v>
      </c>
      <c r="G53">
        <v>0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1</v>
      </c>
      <c r="O53">
        <v>0.25</v>
      </c>
      <c r="P53">
        <v>0.75</v>
      </c>
      <c r="Q53">
        <v>0</v>
      </c>
      <c r="R53" s="81">
        <v>1</v>
      </c>
    </row>
    <row r="54" spans="1:18" ht="15" customHeight="1" x14ac:dyDescent="0.15">
      <c r="F54" s="60" t="s">
        <v>221</v>
      </c>
      <c r="G54">
        <v>0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1</v>
      </c>
      <c r="O54">
        <v>0.25</v>
      </c>
      <c r="P54">
        <v>0.75</v>
      </c>
      <c r="Q54">
        <v>0</v>
      </c>
      <c r="R54" s="81">
        <v>1</v>
      </c>
    </row>
    <row r="55" spans="1:18" ht="15" customHeight="1" x14ac:dyDescent="0.15">
      <c r="F55" s="60" t="s">
        <v>222</v>
      </c>
      <c r="G55">
        <v>0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1</v>
      </c>
      <c r="O55">
        <v>1</v>
      </c>
      <c r="P55">
        <v>0</v>
      </c>
      <c r="Q55">
        <v>0</v>
      </c>
      <c r="R55" s="81">
        <v>1</v>
      </c>
    </row>
    <row r="56" spans="1:18" ht="15" customHeight="1" x14ac:dyDescent="0.15">
      <c r="F56" s="60" t="s">
        <v>223</v>
      </c>
      <c r="G56">
        <v>0</v>
      </c>
      <c r="H56">
        <v>0</v>
      </c>
      <c r="I56">
        <v>0</v>
      </c>
      <c r="J56">
        <v>0</v>
      </c>
      <c r="K56">
        <v>0</v>
      </c>
      <c r="L56">
        <v>1</v>
      </c>
      <c r="M56">
        <v>0</v>
      </c>
      <c r="N56">
        <v>1</v>
      </c>
      <c r="O56">
        <v>1</v>
      </c>
      <c r="P56">
        <v>0</v>
      </c>
      <c r="Q56">
        <v>0</v>
      </c>
      <c r="R56" s="81">
        <v>1</v>
      </c>
    </row>
    <row r="57" spans="1:18" ht="15" customHeight="1" x14ac:dyDescent="0.15">
      <c r="F57" s="60" t="s">
        <v>224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0</v>
      </c>
      <c r="N57">
        <v>1</v>
      </c>
      <c r="O57">
        <v>0.25</v>
      </c>
      <c r="P57">
        <v>0.75</v>
      </c>
      <c r="Q57">
        <v>0</v>
      </c>
      <c r="R57" s="81">
        <v>1</v>
      </c>
    </row>
    <row r="58" spans="1:18" ht="15" customHeight="1" x14ac:dyDescent="0.15">
      <c r="F58" s="60" t="s">
        <v>225</v>
      </c>
      <c r="G58">
        <v>0</v>
      </c>
      <c r="H58">
        <v>0</v>
      </c>
      <c r="I58">
        <v>0</v>
      </c>
      <c r="J58">
        <v>0</v>
      </c>
      <c r="K58">
        <v>0</v>
      </c>
      <c r="L58">
        <v>1</v>
      </c>
      <c r="M58">
        <v>0</v>
      </c>
      <c r="N58">
        <v>1</v>
      </c>
      <c r="O58">
        <v>0</v>
      </c>
      <c r="P58">
        <v>1</v>
      </c>
      <c r="Q58">
        <v>0</v>
      </c>
      <c r="R58" s="81">
        <v>1</v>
      </c>
    </row>
    <row r="59" spans="1:18" ht="15" customHeight="1" x14ac:dyDescent="0.15">
      <c r="F59" s="60" t="s">
        <v>226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1</v>
      </c>
      <c r="O59">
        <v>0</v>
      </c>
      <c r="P59">
        <v>1</v>
      </c>
      <c r="Q59">
        <v>0</v>
      </c>
      <c r="R59" s="81">
        <v>1</v>
      </c>
    </row>
    <row r="60" spans="1:18" ht="15" customHeight="1" x14ac:dyDescent="0.15">
      <c r="F60" s="60" t="s">
        <v>227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1</v>
      </c>
      <c r="O60">
        <v>0</v>
      </c>
      <c r="P60">
        <v>1</v>
      </c>
      <c r="Q60">
        <v>0</v>
      </c>
      <c r="R60" s="81">
        <v>1</v>
      </c>
    </row>
    <row r="61" spans="1:18" ht="15" customHeight="1" x14ac:dyDescent="0.15">
      <c r="F61" s="60" t="s">
        <v>228</v>
      </c>
      <c r="G61">
        <v>0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1</v>
      </c>
      <c r="O61">
        <v>0</v>
      </c>
      <c r="P61">
        <v>1</v>
      </c>
      <c r="Q61">
        <v>0</v>
      </c>
      <c r="R61" s="81">
        <v>1</v>
      </c>
    </row>
    <row r="62" spans="1:18" ht="15" customHeight="1" x14ac:dyDescent="0.15">
      <c r="F62" s="60" t="s">
        <v>229</v>
      </c>
      <c r="G62">
        <v>0</v>
      </c>
      <c r="H62">
        <v>0</v>
      </c>
      <c r="I62">
        <v>0</v>
      </c>
      <c r="J62">
        <v>0</v>
      </c>
      <c r="K62">
        <v>0</v>
      </c>
      <c r="L62">
        <v>1</v>
      </c>
      <c r="M62">
        <v>0</v>
      </c>
      <c r="N62">
        <v>1</v>
      </c>
      <c r="O62">
        <v>0</v>
      </c>
      <c r="P62">
        <v>1</v>
      </c>
      <c r="Q62">
        <v>0</v>
      </c>
      <c r="R62" s="81">
        <v>1</v>
      </c>
    </row>
    <row r="63" spans="1:18" ht="15" customHeight="1" x14ac:dyDescent="0.15">
      <c r="F63" s="60" t="s">
        <v>230</v>
      </c>
      <c r="G63">
        <v>0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1</v>
      </c>
      <c r="O63">
        <v>0</v>
      </c>
      <c r="P63">
        <v>1</v>
      </c>
      <c r="Q63">
        <v>0</v>
      </c>
      <c r="R63" s="81">
        <v>1</v>
      </c>
    </row>
    <row r="64" spans="1:18" ht="15" customHeight="1" x14ac:dyDescent="0.15">
      <c r="F64" s="60" t="s">
        <v>231</v>
      </c>
      <c r="G64">
        <v>0</v>
      </c>
      <c r="H64">
        <v>0</v>
      </c>
      <c r="I64">
        <v>0</v>
      </c>
      <c r="J64">
        <v>0</v>
      </c>
      <c r="K64">
        <v>0</v>
      </c>
      <c r="L64">
        <v>1</v>
      </c>
      <c r="M64">
        <v>0</v>
      </c>
      <c r="N64">
        <v>1</v>
      </c>
      <c r="O64">
        <v>0</v>
      </c>
      <c r="P64">
        <v>1</v>
      </c>
      <c r="Q64">
        <v>0</v>
      </c>
      <c r="R64" s="81">
        <v>1</v>
      </c>
    </row>
    <row r="65" spans="6:18" ht="15" customHeight="1" x14ac:dyDescent="0.15">
      <c r="F65" s="60" t="s">
        <v>232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1</v>
      </c>
      <c r="O65">
        <v>0</v>
      </c>
      <c r="P65">
        <v>1</v>
      </c>
      <c r="Q65">
        <v>0</v>
      </c>
      <c r="R65" s="81">
        <v>1</v>
      </c>
    </row>
    <row r="66" spans="6:18" ht="15" customHeight="1" x14ac:dyDescent="0.15">
      <c r="F66" s="60" t="s">
        <v>233</v>
      </c>
      <c r="G66">
        <v>0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>
        <v>1</v>
      </c>
      <c r="O66">
        <v>0</v>
      </c>
      <c r="P66">
        <v>1</v>
      </c>
      <c r="Q66">
        <v>0</v>
      </c>
      <c r="R66" s="81">
        <v>1</v>
      </c>
    </row>
    <row r="67" spans="6:18" ht="15" customHeight="1" x14ac:dyDescent="0.15">
      <c r="F67" s="60" t="s">
        <v>234</v>
      </c>
      <c r="G67">
        <v>0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1</v>
      </c>
      <c r="O67">
        <v>0</v>
      </c>
      <c r="P67">
        <v>1</v>
      </c>
      <c r="Q67">
        <v>0</v>
      </c>
      <c r="R67" s="81">
        <v>1</v>
      </c>
    </row>
    <row r="68" spans="6:18" ht="15" customHeight="1" x14ac:dyDescent="0.15">
      <c r="F68" s="60" t="s">
        <v>235</v>
      </c>
      <c r="G68">
        <v>0</v>
      </c>
      <c r="H68">
        <v>0</v>
      </c>
      <c r="I68">
        <v>0</v>
      </c>
      <c r="J68">
        <v>0</v>
      </c>
      <c r="K68">
        <v>0</v>
      </c>
      <c r="L68">
        <v>1</v>
      </c>
      <c r="M68">
        <v>0</v>
      </c>
      <c r="N68">
        <v>1</v>
      </c>
      <c r="O68">
        <v>0</v>
      </c>
      <c r="P68">
        <v>1</v>
      </c>
      <c r="Q68">
        <v>0</v>
      </c>
      <c r="R68" s="81">
        <v>1</v>
      </c>
    </row>
    <row r="69" spans="6:18" ht="15" customHeight="1" x14ac:dyDescent="0.15">
      <c r="F69" s="60" t="s">
        <v>236</v>
      </c>
      <c r="G69">
        <v>0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1</v>
      </c>
      <c r="O69">
        <v>1</v>
      </c>
      <c r="P69">
        <v>0</v>
      </c>
      <c r="Q69">
        <v>0</v>
      </c>
      <c r="R69" s="81">
        <v>1</v>
      </c>
    </row>
    <row r="70" spans="6:18" ht="15" customHeight="1" x14ac:dyDescent="0.15">
      <c r="F70" s="60" t="s">
        <v>237</v>
      </c>
      <c r="G70">
        <v>0</v>
      </c>
      <c r="H70">
        <v>0</v>
      </c>
      <c r="I70">
        <v>0</v>
      </c>
      <c r="J70">
        <v>0</v>
      </c>
      <c r="K70">
        <v>0</v>
      </c>
      <c r="L70">
        <v>1</v>
      </c>
      <c r="M70">
        <v>0</v>
      </c>
      <c r="N70">
        <v>1</v>
      </c>
      <c r="O70">
        <v>1</v>
      </c>
      <c r="P70">
        <v>0</v>
      </c>
      <c r="Q70">
        <v>0</v>
      </c>
      <c r="R70" s="81">
        <v>1</v>
      </c>
    </row>
    <row r="71" spans="6:18" ht="15" customHeight="1" x14ac:dyDescent="0.15">
      <c r="F71" s="60" t="s">
        <v>238</v>
      </c>
      <c r="G71">
        <v>0</v>
      </c>
      <c r="H71">
        <v>0</v>
      </c>
      <c r="I71">
        <v>0</v>
      </c>
      <c r="J71">
        <v>0</v>
      </c>
      <c r="K71">
        <v>0</v>
      </c>
      <c r="L71">
        <v>1</v>
      </c>
      <c r="M71">
        <v>0</v>
      </c>
      <c r="N71">
        <v>1</v>
      </c>
      <c r="O71">
        <v>1</v>
      </c>
      <c r="P71">
        <v>0</v>
      </c>
      <c r="Q71">
        <v>0</v>
      </c>
      <c r="R71" s="81">
        <v>1</v>
      </c>
    </row>
    <row r="72" spans="6:18" ht="15" customHeight="1" x14ac:dyDescent="0.15">
      <c r="F72" s="60" t="s">
        <v>239</v>
      </c>
      <c r="G72">
        <v>0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1</v>
      </c>
      <c r="O72">
        <v>1</v>
      </c>
      <c r="P72">
        <v>0</v>
      </c>
      <c r="Q72">
        <v>0</v>
      </c>
      <c r="R72" s="81">
        <v>1</v>
      </c>
    </row>
    <row r="73" spans="6:18" ht="15" customHeight="1" x14ac:dyDescent="0.15">
      <c r="F73" s="60" t="s">
        <v>240</v>
      </c>
      <c r="G73">
        <v>0</v>
      </c>
      <c r="H73">
        <v>0</v>
      </c>
      <c r="I73">
        <v>0</v>
      </c>
      <c r="J73">
        <v>0</v>
      </c>
      <c r="K73">
        <v>0</v>
      </c>
      <c r="L73">
        <v>1</v>
      </c>
      <c r="M73">
        <v>0</v>
      </c>
      <c r="N73">
        <v>1</v>
      </c>
      <c r="O73">
        <v>1</v>
      </c>
      <c r="P73">
        <v>0</v>
      </c>
      <c r="Q73">
        <v>0</v>
      </c>
      <c r="R73" s="81">
        <v>1</v>
      </c>
    </row>
    <row r="74" spans="6:18" ht="15" customHeight="1" x14ac:dyDescent="0.15">
      <c r="F74" s="60" t="s">
        <v>241</v>
      </c>
      <c r="G74">
        <v>0</v>
      </c>
      <c r="H74">
        <v>0</v>
      </c>
      <c r="I74">
        <v>0</v>
      </c>
      <c r="J74">
        <v>0</v>
      </c>
      <c r="K74">
        <v>0</v>
      </c>
      <c r="L74">
        <v>1</v>
      </c>
      <c r="M74">
        <v>0</v>
      </c>
      <c r="N74">
        <v>1</v>
      </c>
      <c r="O74">
        <v>1</v>
      </c>
      <c r="P74">
        <v>0</v>
      </c>
      <c r="Q74">
        <v>0</v>
      </c>
      <c r="R74" s="81">
        <v>1</v>
      </c>
    </row>
    <row r="75" spans="6:18" ht="15" customHeight="1" x14ac:dyDescent="0.15">
      <c r="F75" s="60" t="s">
        <v>242</v>
      </c>
      <c r="G75">
        <v>0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1</v>
      </c>
      <c r="O75">
        <v>1</v>
      </c>
      <c r="P75">
        <v>0</v>
      </c>
      <c r="Q75">
        <v>0</v>
      </c>
      <c r="R75" s="81">
        <v>1</v>
      </c>
    </row>
    <row r="76" spans="6:18" ht="15" customHeight="1" x14ac:dyDescent="0.15">
      <c r="F76" s="60" t="s">
        <v>243</v>
      </c>
      <c r="G76">
        <v>0</v>
      </c>
      <c r="H76">
        <v>0</v>
      </c>
      <c r="I76">
        <v>0</v>
      </c>
      <c r="J76">
        <v>0</v>
      </c>
      <c r="K76">
        <v>0</v>
      </c>
      <c r="L76">
        <v>1</v>
      </c>
      <c r="M76">
        <v>0</v>
      </c>
      <c r="N76">
        <v>1</v>
      </c>
      <c r="O76">
        <v>1</v>
      </c>
      <c r="P76">
        <v>0</v>
      </c>
      <c r="Q76">
        <v>0</v>
      </c>
      <c r="R76" s="81">
        <v>1</v>
      </c>
    </row>
    <row r="77" spans="6:18" ht="15" customHeight="1" x14ac:dyDescent="0.15">
      <c r="F77" s="60" t="s">
        <v>244</v>
      </c>
      <c r="G77">
        <v>0</v>
      </c>
      <c r="H77">
        <v>0</v>
      </c>
      <c r="I77">
        <v>0</v>
      </c>
      <c r="J77">
        <v>0</v>
      </c>
      <c r="K77">
        <v>1</v>
      </c>
      <c r="L77">
        <v>0</v>
      </c>
      <c r="M77">
        <v>0</v>
      </c>
      <c r="N77">
        <v>1</v>
      </c>
      <c r="O77">
        <v>1</v>
      </c>
      <c r="P77">
        <v>0</v>
      </c>
      <c r="Q77">
        <v>0</v>
      </c>
      <c r="R77" s="81">
        <v>1</v>
      </c>
    </row>
    <row r="78" spans="6:18" ht="15" customHeight="1" x14ac:dyDescent="0.15">
      <c r="F78" s="60" t="s">
        <v>245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0</v>
      </c>
      <c r="N78">
        <v>1</v>
      </c>
      <c r="O78">
        <v>1</v>
      </c>
      <c r="P78">
        <v>0</v>
      </c>
      <c r="Q78">
        <v>0</v>
      </c>
      <c r="R78" s="81">
        <v>1</v>
      </c>
    </row>
    <row r="79" spans="6:18" ht="15" customHeight="1" x14ac:dyDescent="0.15">
      <c r="F79" s="60" t="s">
        <v>246</v>
      </c>
      <c r="G79">
        <v>0</v>
      </c>
      <c r="H79">
        <v>0</v>
      </c>
      <c r="I79">
        <v>0</v>
      </c>
      <c r="J79">
        <v>0</v>
      </c>
      <c r="K79">
        <v>0</v>
      </c>
      <c r="L79">
        <v>1</v>
      </c>
      <c r="M79">
        <v>0</v>
      </c>
      <c r="N79">
        <v>1</v>
      </c>
      <c r="O79">
        <v>1</v>
      </c>
      <c r="P79">
        <v>0</v>
      </c>
      <c r="Q79">
        <v>0</v>
      </c>
      <c r="R79" s="81">
        <v>1</v>
      </c>
    </row>
    <row r="80" spans="6:18" ht="15" customHeight="1" x14ac:dyDescent="0.15">
      <c r="F80" s="60" t="s">
        <v>247</v>
      </c>
      <c r="G80">
        <v>0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1</v>
      </c>
      <c r="O80">
        <v>1</v>
      </c>
      <c r="P80">
        <v>0</v>
      </c>
      <c r="Q80">
        <v>0</v>
      </c>
      <c r="R80" s="81">
        <v>1</v>
      </c>
    </row>
    <row r="81" spans="6:19" ht="15" customHeight="1" x14ac:dyDescent="0.15">
      <c r="F81" s="60" t="s">
        <v>248</v>
      </c>
      <c r="G81">
        <v>0</v>
      </c>
      <c r="H81">
        <v>0</v>
      </c>
      <c r="I81">
        <v>0</v>
      </c>
      <c r="J81">
        <v>0</v>
      </c>
      <c r="K81">
        <v>1</v>
      </c>
      <c r="L81">
        <v>0</v>
      </c>
      <c r="M81">
        <v>0</v>
      </c>
      <c r="N81">
        <v>1</v>
      </c>
      <c r="O81">
        <v>1</v>
      </c>
      <c r="P81">
        <v>0</v>
      </c>
      <c r="Q81">
        <v>0</v>
      </c>
      <c r="R81" s="81">
        <v>1</v>
      </c>
    </row>
    <row r="82" spans="6:19" ht="15" customHeight="1" x14ac:dyDescent="0.15">
      <c r="F82" s="60" t="s">
        <v>249</v>
      </c>
      <c r="G82">
        <v>0</v>
      </c>
      <c r="H82">
        <v>0</v>
      </c>
      <c r="I82">
        <v>0</v>
      </c>
      <c r="J82">
        <v>0</v>
      </c>
      <c r="K82">
        <v>1</v>
      </c>
      <c r="L82">
        <v>0</v>
      </c>
      <c r="M82">
        <v>0</v>
      </c>
      <c r="N82">
        <v>1</v>
      </c>
      <c r="O82">
        <v>1</v>
      </c>
      <c r="P82">
        <v>0</v>
      </c>
      <c r="Q82">
        <v>0</v>
      </c>
      <c r="R82" s="81">
        <v>1</v>
      </c>
    </row>
    <row r="83" spans="6:19" ht="15" customHeight="1" x14ac:dyDescent="0.15">
      <c r="F83" s="60" t="s">
        <v>250</v>
      </c>
      <c r="G83">
        <v>0</v>
      </c>
      <c r="H83">
        <v>0</v>
      </c>
      <c r="I83">
        <v>0</v>
      </c>
      <c r="J83">
        <v>0</v>
      </c>
      <c r="K83">
        <v>1</v>
      </c>
      <c r="L83">
        <v>0</v>
      </c>
      <c r="M83">
        <v>0</v>
      </c>
      <c r="N83">
        <v>1</v>
      </c>
      <c r="O83">
        <v>1</v>
      </c>
      <c r="P83">
        <v>0</v>
      </c>
      <c r="Q83">
        <v>0</v>
      </c>
      <c r="R83" s="81">
        <v>1</v>
      </c>
    </row>
    <row r="84" spans="6:19" ht="15" customHeight="1" x14ac:dyDescent="0.15">
      <c r="F84" s="60" t="s">
        <v>251</v>
      </c>
      <c r="G84">
        <v>0</v>
      </c>
      <c r="H84">
        <v>0</v>
      </c>
      <c r="I84">
        <v>0</v>
      </c>
      <c r="J84">
        <v>0</v>
      </c>
      <c r="K84">
        <v>0</v>
      </c>
      <c r="L84">
        <v>1</v>
      </c>
      <c r="M84">
        <v>0</v>
      </c>
      <c r="N84">
        <v>1</v>
      </c>
      <c r="O84">
        <v>1</v>
      </c>
      <c r="P84">
        <v>0</v>
      </c>
      <c r="Q84">
        <v>0</v>
      </c>
      <c r="R84" s="130">
        <v>0</v>
      </c>
    </row>
    <row r="85" spans="6:19" ht="15" customHeight="1" thickBot="1" x14ac:dyDescent="0.2">
      <c r="F85" s="60" t="s">
        <v>252</v>
      </c>
      <c r="G85">
        <v>0</v>
      </c>
      <c r="H85">
        <v>0</v>
      </c>
      <c r="I85">
        <v>0</v>
      </c>
      <c r="J85">
        <v>0</v>
      </c>
      <c r="K85">
        <v>0</v>
      </c>
      <c r="L85">
        <v>1</v>
      </c>
      <c r="M85">
        <v>0</v>
      </c>
      <c r="N85">
        <v>1</v>
      </c>
      <c r="O85">
        <v>1</v>
      </c>
      <c r="P85">
        <v>0</v>
      </c>
      <c r="Q85">
        <v>0</v>
      </c>
      <c r="R85" s="130">
        <v>0</v>
      </c>
    </row>
    <row r="86" spans="6:19" ht="15" customHeight="1" thickBot="1" x14ac:dyDescent="0.2">
      <c r="F86" s="60" t="s">
        <v>253</v>
      </c>
      <c r="G86">
        <v>0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1</v>
      </c>
      <c r="O86" s="131">
        <v>1</v>
      </c>
      <c r="P86" s="132">
        <v>0</v>
      </c>
      <c r="Q86">
        <v>0</v>
      </c>
      <c r="R86" s="130">
        <v>0</v>
      </c>
      <c r="S86" s="58" t="s">
        <v>552</v>
      </c>
    </row>
    <row r="87" spans="6:19" ht="15" customHeight="1" thickBot="1" x14ac:dyDescent="0.2">
      <c r="F87" s="60" t="s">
        <v>254</v>
      </c>
      <c r="G87">
        <v>0</v>
      </c>
      <c r="H87">
        <v>0</v>
      </c>
      <c r="I87">
        <v>0</v>
      </c>
      <c r="J87">
        <v>0</v>
      </c>
      <c r="K87">
        <v>0</v>
      </c>
      <c r="L87">
        <v>1</v>
      </c>
      <c r="M87">
        <v>0</v>
      </c>
      <c r="N87">
        <v>1</v>
      </c>
      <c r="O87">
        <v>0</v>
      </c>
      <c r="P87">
        <v>1</v>
      </c>
      <c r="Q87">
        <v>0</v>
      </c>
      <c r="R87" s="81">
        <v>1</v>
      </c>
    </row>
    <row r="88" spans="6:19" ht="15" customHeight="1" thickBot="1" x14ac:dyDescent="0.2">
      <c r="F88" s="60" t="s">
        <v>255</v>
      </c>
      <c r="G88">
        <v>0</v>
      </c>
      <c r="H88">
        <v>0</v>
      </c>
      <c r="I88">
        <v>0</v>
      </c>
      <c r="J88">
        <v>0</v>
      </c>
      <c r="K88">
        <v>0</v>
      </c>
      <c r="L88">
        <v>1</v>
      </c>
      <c r="M88">
        <v>0</v>
      </c>
      <c r="N88">
        <v>1</v>
      </c>
      <c r="O88" s="131">
        <v>0</v>
      </c>
      <c r="P88" s="132">
        <v>1</v>
      </c>
      <c r="Q88">
        <v>0</v>
      </c>
      <c r="R88" s="81">
        <v>1</v>
      </c>
    </row>
    <row r="89" spans="6:19" ht="15" customHeight="1" x14ac:dyDescent="0.15">
      <c r="F89" s="60" t="s">
        <v>256</v>
      </c>
      <c r="G89">
        <v>0</v>
      </c>
      <c r="H89">
        <v>0</v>
      </c>
      <c r="I89">
        <v>0</v>
      </c>
      <c r="J89">
        <v>0</v>
      </c>
      <c r="K89" s="133">
        <v>0</v>
      </c>
      <c r="L89" s="134">
        <v>1</v>
      </c>
      <c r="M89">
        <v>0</v>
      </c>
      <c r="N89">
        <v>0</v>
      </c>
      <c r="O89">
        <v>0</v>
      </c>
      <c r="P89">
        <v>0</v>
      </c>
      <c r="Q89">
        <v>0</v>
      </c>
      <c r="R89" s="81">
        <v>1</v>
      </c>
    </row>
    <row r="90" spans="6:19" ht="15" customHeight="1" x14ac:dyDescent="0.15">
      <c r="F90" s="60" t="s">
        <v>257</v>
      </c>
      <c r="G90">
        <v>0</v>
      </c>
      <c r="H90">
        <v>0</v>
      </c>
      <c r="I90">
        <v>0</v>
      </c>
      <c r="J90">
        <v>0</v>
      </c>
      <c r="K90" s="135">
        <v>0</v>
      </c>
      <c r="L90" s="136">
        <v>1</v>
      </c>
      <c r="M90">
        <v>0</v>
      </c>
      <c r="N90">
        <v>0</v>
      </c>
      <c r="O90">
        <v>0</v>
      </c>
      <c r="P90">
        <v>0</v>
      </c>
      <c r="Q90">
        <v>0</v>
      </c>
      <c r="R90" s="81">
        <v>1</v>
      </c>
    </row>
    <row r="91" spans="6:19" ht="15" customHeight="1" x14ac:dyDescent="0.15">
      <c r="F91" s="60" t="s">
        <v>258</v>
      </c>
      <c r="G91">
        <v>0</v>
      </c>
      <c r="H91">
        <v>0</v>
      </c>
      <c r="I91">
        <v>0</v>
      </c>
      <c r="J91">
        <v>0</v>
      </c>
      <c r="K91" s="135">
        <v>0</v>
      </c>
      <c r="L91" s="136">
        <v>1</v>
      </c>
      <c r="M91">
        <v>0</v>
      </c>
      <c r="N91">
        <v>0</v>
      </c>
      <c r="O91">
        <v>0</v>
      </c>
      <c r="P91">
        <v>0</v>
      </c>
      <c r="Q91">
        <v>0</v>
      </c>
      <c r="R91" s="81">
        <v>1</v>
      </c>
    </row>
    <row r="92" spans="6:19" ht="15" customHeight="1" x14ac:dyDescent="0.15">
      <c r="F92" s="60" t="s">
        <v>259</v>
      </c>
      <c r="G92">
        <v>0</v>
      </c>
      <c r="H92">
        <v>0</v>
      </c>
      <c r="I92">
        <v>0</v>
      </c>
      <c r="J92">
        <v>0</v>
      </c>
      <c r="K92" s="135">
        <v>0</v>
      </c>
      <c r="L92" s="136">
        <v>1</v>
      </c>
      <c r="M92">
        <v>0</v>
      </c>
      <c r="N92">
        <v>0</v>
      </c>
      <c r="O92">
        <v>0</v>
      </c>
      <c r="P92">
        <v>0</v>
      </c>
      <c r="Q92">
        <v>0</v>
      </c>
      <c r="R92" s="81">
        <v>1</v>
      </c>
    </row>
    <row r="93" spans="6:19" ht="15" customHeight="1" x14ac:dyDescent="0.15">
      <c r="F93" s="60" t="s">
        <v>260</v>
      </c>
      <c r="G93">
        <v>0</v>
      </c>
      <c r="H93">
        <v>0</v>
      </c>
      <c r="I93">
        <v>0</v>
      </c>
      <c r="J93">
        <v>0</v>
      </c>
      <c r="K93" s="135">
        <v>0</v>
      </c>
      <c r="L93" s="136">
        <v>1</v>
      </c>
      <c r="M93">
        <v>0</v>
      </c>
      <c r="N93">
        <v>0</v>
      </c>
      <c r="O93">
        <v>0</v>
      </c>
      <c r="P93">
        <v>0</v>
      </c>
      <c r="Q93">
        <v>0</v>
      </c>
      <c r="R93" s="81">
        <v>1</v>
      </c>
    </row>
    <row r="94" spans="6:19" ht="15" customHeight="1" x14ac:dyDescent="0.15">
      <c r="F94" s="60" t="s">
        <v>261</v>
      </c>
      <c r="G94">
        <v>0</v>
      </c>
      <c r="H94">
        <v>0</v>
      </c>
      <c r="I94">
        <v>0</v>
      </c>
      <c r="J94">
        <v>0</v>
      </c>
      <c r="K94" s="135">
        <v>0</v>
      </c>
      <c r="L94" s="136">
        <v>1</v>
      </c>
      <c r="M94">
        <v>0</v>
      </c>
      <c r="N94">
        <v>0</v>
      </c>
      <c r="O94">
        <v>0</v>
      </c>
      <c r="P94">
        <v>0</v>
      </c>
      <c r="Q94">
        <v>0</v>
      </c>
      <c r="R94" s="81">
        <v>1</v>
      </c>
    </row>
    <row r="95" spans="6:19" ht="15" customHeight="1" x14ac:dyDescent="0.15">
      <c r="F95" s="60" t="s">
        <v>262</v>
      </c>
      <c r="G95">
        <v>0</v>
      </c>
      <c r="H95">
        <v>0</v>
      </c>
      <c r="I95">
        <v>0</v>
      </c>
      <c r="J95">
        <v>0</v>
      </c>
      <c r="K95" s="135">
        <v>0</v>
      </c>
      <c r="L95" s="136">
        <v>1</v>
      </c>
      <c r="M95">
        <v>0</v>
      </c>
      <c r="N95">
        <v>0</v>
      </c>
      <c r="O95">
        <v>0</v>
      </c>
      <c r="P95">
        <v>0</v>
      </c>
      <c r="Q95">
        <v>0</v>
      </c>
      <c r="R95" s="81">
        <v>1</v>
      </c>
    </row>
    <row r="96" spans="6:19" ht="15" customHeight="1" x14ac:dyDescent="0.15">
      <c r="F96" s="60" t="s">
        <v>263</v>
      </c>
      <c r="G96">
        <v>0</v>
      </c>
      <c r="H96">
        <v>0</v>
      </c>
      <c r="I96">
        <v>0</v>
      </c>
      <c r="J96">
        <v>0</v>
      </c>
      <c r="K96" s="135">
        <v>0</v>
      </c>
      <c r="L96" s="136">
        <v>1</v>
      </c>
      <c r="M96">
        <v>0</v>
      </c>
      <c r="N96">
        <v>0</v>
      </c>
      <c r="O96">
        <v>0</v>
      </c>
      <c r="P96">
        <v>0</v>
      </c>
      <c r="Q96">
        <v>0</v>
      </c>
      <c r="R96" s="81">
        <v>1</v>
      </c>
    </row>
    <row r="97" spans="6:18" ht="15" customHeight="1" x14ac:dyDescent="0.15">
      <c r="F97" s="60" t="s">
        <v>264</v>
      </c>
      <c r="G97">
        <v>0</v>
      </c>
      <c r="H97">
        <v>0</v>
      </c>
      <c r="I97">
        <v>0</v>
      </c>
      <c r="J97">
        <v>0</v>
      </c>
      <c r="K97" s="135">
        <v>0</v>
      </c>
      <c r="L97" s="136">
        <v>1</v>
      </c>
      <c r="M97">
        <v>0</v>
      </c>
      <c r="N97">
        <v>0</v>
      </c>
      <c r="O97">
        <v>0</v>
      </c>
      <c r="P97">
        <v>0</v>
      </c>
      <c r="Q97">
        <v>0</v>
      </c>
      <c r="R97" s="81">
        <v>1</v>
      </c>
    </row>
    <row r="98" spans="6:18" ht="15" customHeight="1" x14ac:dyDescent="0.15">
      <c r="F98" s="60" t="s">
        <v>265</v>
      </c>
      <c r="G98">
        <v>0</v>
      </c>
      <c r="H98">
        <v>0</v>
      </c>
      <c r="I98">
        <v>0</v>
      </c>
      <c r="J98">
        <v>0</v>
      </c>
      <c r="K98" s="135">
        <v>0</v>
      </c>
      <c r="L98" s="136">
        <v>1</v>
      </c>
      <c r="M98">
        <v>0</v>
      </c>
      <c r="N98">
        <v>0</v>
      </c>
      <c r="O98">
        <v>0</v>
      </c>
      <c r="P98">
        <v>0</v>
      </c>
      <c r="Q98">
        <v>0</v>
      </c>
      <c r="R98" s="81">
        <v>1</v>
      </c>
    </row>
    <row r="99" spans="6:18" ht="15" customHeight="1" x14ac:dyDescent="0.15">
      <c r="F99" s="60" t="s">
        <v>266</v>
      </c>
      <c r="G99">
        <v>0</v>
      </c>
      <c r="H99">
        <v>0</v>
      </c>
      <c r="I99">
        <v>0</v>
      </c>
      <c r="J99">
        <v>0</v>
      </c>
      <c r="K99" s="135">
        <v>0</v>
      </c>
      <c r="L99" s="136">
        <v>1</v>
      </c>
      <c r="M99">
        <v>0</v>
      </c>
      <c r="N99">
        <v>0</v>
      </c>
      <c r="O99">
        <v>0</v>
      </c>
      <c r="P99">
        <v>0</v>
      </c>
      <c r="Q99">
        <v>0</v>
      </c>
      <c r="R99" s="81">
        <v>1</v>
      </c>
    </row>
    <row r="100" spans="6:18" ht="15" customHeight="1" x14ac:dyDescent="0.15">
      <c r="F100" s="60" t="s">
        <v>267</v>
      </c>
      <c r="G100">
        <v>0</v>
      </c>
      <c r="H100">
        <v>0</v>
      </c>
      <c r="I100">
        <v>0</v>
      </c>
      <c r="J100">
        <v>0</v>
      </c>
      <c r="K100" s="135">
        <v>0</v>
      </c>
      <c r="L100" s="136">
        <v>1</v>
      </c>
      <c r="M100">
        <v>0</v>
      </c>
      <c r="N100">
        <v>0</v>
      </c>
      <c r="O100">
        <v>0</v>
      </c>
      <c r="P100">
        <v>0</v>
      </c>
      <c r="Q100">
        <v>0</v>
      </c>
      <c r="R100" s="81">
        <v>1</v>
      </c>
    </row>
    <row r="101" spans="6:18" ht="15" customHeight="1" x14ac:dyDescent="0.15">
      <c r="F101" s="60" t="s">
        <v>268</v>
      </c>
      <c r="G101">
        <v>0</v>
      </c>
      <c r="H101">
        <v>0</v>
      </c>
      <c r="I101">
        <v>0</v>
      </c>
      <c r="J101">
        <v>0</v>
      </c>
      <c r="K101" s="135">
        <v>0</v>
      </c>
      <c r="L101" s="136">
        <v>1</v>
      </c>
      <c r="M101">
        <v>0</v>
      </c>
      <c r="N101">
        <v>0</v>
      </c>
      <c r="O101">
        <v>0</v>
      </c>
      <c r="P101">
        <v>0</v>
      </c>
      <c r="Q101">
        <v>0</v>
      </c>
      <c r="R101" s="81">
        <v>1</v>
      </c>
    </row>
    <row r="102" spans="6:18" ht="15" customHeight="1" x14ac:dyDescent="0.15">
      <c r="F102" s="60" t="s">
        <v>269</v>
      </c>
      <c r="G102">
        <v>0</v>
      </c>
      <c r="H102">
        <v>0</v>
      </c>
      <c r="I102">
        <v>0</v>
      </c>
      <c r="J102">
        <v>0</v>
      </c>
      <c r="K102" s="135">
        <v>0</v>
      </c>
      <c r="L102" s="136">
        <v>1</v>
      </c>
      <c r="M102">
        <v>0</v>
      </c>
      <c r="N102">
        <v>0</v>
      </c>
      <c r="O102">
        <v>0</v>
      </c>
      <c r="P102">
        <v>0</v>
      </c>
      <c r="Q102">
        <v>0</v>
      </c>
      <c r="R102" s="81">
        <v>1</v>
      </c>
    </row>
    <row r="103" spans="6:18" ht="15" customHeight="1" x14ac:dyDescent="0.15">
      <c r="F103" s="60" t="s">
        <v>270</v>
      </c>
      <c r="G103">
        <v>0</v>
      </c>
      <c r="H103">
        <v>0</v>
      </c>
      <c r="I103">
        <v>0</v>
      </c>
      <c r="J103">
        <v>0</v>
      </c>
      <c r="K103" s="135">
        <v>0</v>
      </c>
      <c r="L103" s="136">
        <v>1</v>
      </c>
      <c r="M103">
        <v>0</v>
      </c>
      <c r="N103">
        <v>0</v>
      </c>
      <c r="O103">
        <v>0</v>
      </c>
      <c r="P103">
        <v>0</v>
      </c>
      <c r="Q103">
        <v>0</v>
      </c>
      <c r="R103" s="81">
        <v>1</v>
      </c>
    </row>
    <row r="104" spans="6:18" ht="15" customHeight="1" x14ac:dyDescent="0.15">
      <c r="F104" s="60" t="s">
        <v>271</v>
      </c>
      <c r="G104">
        <v>0</v>
      </c>
      <c r="H104">
        <v>0</v>
      </c>
      <c r="I104">
        <v>0</v>
      </c>
      <c r="J104">
        <v>0</v>
      </c>
      <c r="K104" s="135">
        <v>0</v>
      </c>
      <c r="L104" s="136">
        <v>1</v>
      </c>
      <c r="M104">
        <v>0</v>
      </c>
      <c r="N104">
        <v>0</v>
      </c>
      <c r="O104">
        <v>0</v>
      </c>
      <c r="P104">
        <v>0</v>
      </c>
      <c r="Q104">
        <v>0</v>
      </c>
      <c r="R104" s="81">
        <v>1</v>
      </c>
    </row>
    <row r="105" spans="6:18" ht="15" customHeight="1" thickBot="1" x14ac:dyDescent="0.2">
      <c r="F105" s="60" t="s">
        <v>272</v>
      </c>
      <c r="G105">
        <v>0</v>
      </c>
      <c r="H105">
        <v>0</v>
      </c>
      <c r="I105">
        <v>0</v>
      </c>
      <c r="J105">
        <v>0</v>
      </c>
      <c r="K105" s="137">
        <v>0</v>
      </c>
      <c r="L105" s="138">
        <v>1</v>
      </c>
      <c r="M105">
        <v>0</v>
      </c>
      <c r="N105">
        <v>0</v>
      </c>
      <c r="O105">
        <v>0</v>
      </c>
      <c r="P105">
        <v>0</v>
      </c>
      <c r="Q105">
        <v>0</v>
      </c>
      <c r="R105" s="81">
        <v>1</v>
      </c>
    </row>
    <row r="109" spans="6:18" ht="15" customHeight="1" x14ac:dyDescent="0.15">
      <c r="K109" s="58" t="s">
        <v>553</v>
      </c>
      <c r="O109" s="58" t="s">
        <v>158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DD11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ColWidth="8.83203125" defaultRowHeight="13" x14ac:dyDescent="0.15"/>
  <cols>
    <col min="1" max="1" width="40" bestFit="1" customWidth="1"/>
    <col min="2" max="5" width="7.83203125" style="81" customWidth="1"/>
    <col min="78" max="78" width="22.1640625" bestFit="1" customWidth="1"/>
  </cols>
  <sheetData>
    <row r="1" spans="1:108" x14ac:dyDescent="0.15">
      <c r="A1" s="4" t="s">
        <v>161</v>
      </c>
      <c r="B1" s="59" t="s">
        <v>162</v>
      </c>
      <c r="C1" s="59" t="s">
        <v>19</v>
      </c>
      <c r="D1" s="59" t="s">
        <v>163</v>
      </c>
      <c r="E1" s="59" t="s">
        <v>164</v>
      </c>
      <c r="F1" t="s">
        <v>39</v>
      </c>
      <c r="G1" t="s">
        <v>41</v>
      </c>
      <c r="H1" t="s">
        <v>42</v>
      </c>
      <c r="I1" t="s">
        <v>176</v>
      </c>
      <c r="J1" t="s">
        <v>177</v>
      </c>
      <c r="K1" t="s">
        <v>178</v>
      </c>
      <c r="L1" t="s">
        <v>179</v>
      </c>
      <c r="M1" t="s">
        <v>180</v>
      </c>
      <c r="N1" t="s">
        <v>181</v>
      </c>
      <c r="O1" t="s">
        <v>182</v>
      </c>
      <c r="P1" t="s">
        <v>183</v>
      </c>
      <c r="Q1" t="s">
        <v>184</v>
      </c>
      <c r="R1" t="s">
        <v>185</v>
      </c>
      <c r="S1" t="s">
        <v>186</v>
      </c>
      <c r="T1" t="s">
        <v>187</v>
      </c>
      <c r="U1" t="s">
        <v>188</v>
      </c>
      <c r="V1" t="s">
        <v>189</v>
      </c>
      <c r="W1" t="s">
        <v>190</v>
      </c>
      <c r="X1" t="s">
        <v>191</v>
      </c>
      <c r="Y1" t="s">
        <v>192</v>
      </c>
      <c r="Z1" t="s">
        <v>193</v>
      </c>
      <c r="AA1" t="s">
        <v>194</v>
      </c>
      <c r="AB1" t="s">
        <v>195</v>
      </c>
      <c r="AC1" t="s">
        <v>196</v>
      </c>
      <c r="AD1" t="s">
        <v>197</v>
      </c>
      <c r="AE1" t="s">
        <v>198</v>
      </c>
      <c r="AF1" t="s">
        <v>273</v>
      </c>
      <c r="AG1" t="s">
        <v>398</v>
      </c>
      <c r="AH1" t="s">
        <v>399</v>
      </c>
      <c r="AI1" t="s">
        <v>199</v>
      </c>
      <c r="AJ1" t="s">
        <v>200</v>
      </c>
      <c r="AK1" t="s">
        <v>201</v>
      </c>
      <c r="AL1" t="s">
        <v>202</v>
      </c>
      <c r="AM1" t="s">
        <v>203</v>
      </c>
      <c r="AN1" t="s">
        <v>204</v>
      </c>
      <c r="AO1" t="s">
        <v>205</v>
      </c>
      <c r="AP1" t="s">
        <v>206</v>
      </c>
      <c r="AQ1" t="s">
        <v>207</v>
      </c>
      <c r="AR1" t="s">
        <v>208</v>
      </c>
      <c r="AS1" t="s">
        <v>209</v>
      </c>
      <c r="AT1" t="s">
        <v>210</v>
      </c>
      <c r="AU1" t="s">
        <v>211</v>
      </c>
      <c r="AV1" t="s">
        <v>212</v>
      </c>
      <c r="AW1" t="s">
        <v>213</v>
      </c>
      <c r="AX1" t="s">
        <v>214</v>
      </c>
      <c r="AY1" t="s">
        <v>215</v>
      </c>
      <c r="AZ1" t="s">
        <v>216</v>
      </c>
      <c r="BA1" t="s">
        <v>217</v>
      </c>
      <c r="BB1" t="s">
        <v>218</v>
      </c>
      <c r="BC1" t="s">
        <v>219</v>
      </c>
      <c r="BD1" t="s">
        <v>220</v>
      </c>
      <c r="BE1" t="s">
        <v>221</v>
      </c>
      <c r="BF1" t="s">
        <v>222</v>
      </c>
      <c r="BG1" t="s">
        <v>223</v>
      </c>
      <c r="BH1" t="s">
        <v>224</v>
      </c>
      <c r="BI1" t="s">
        <v>225</v>
      </c>
      <c r="BJ1" t="s">
        <v>226</v>
      </c>
      <c r="BK1" t="s">
        <v>227</v>
      </c>
      <c r="BL1" t="s">
        <v>228</v>
      </c>
      <c r="BM1" t="s">
        <v>229</v>
      </c>
      <c r="BN1" t="s">
        <v>230</v>
      </c>
      <c r="BO1" t="s">
        <v>231</v>
      </c>
      <c r="BP1" t="s">
        <v>232</v>
      </c>
      <c r="BQ1" t="s">
        <v>233</v>
      </c>
      <c r="BR1" t="s">
        <v>234</v>
      </c>
      <c r="BS1" t="s">
        <v>235</v>
      </c>
      <c r="BT1" t="s">
        <v>236</v>
      </c>
      <c r="BU1" t="s">
        <v>237</v>
      </c>
      <c r="BV1" t="s">
        <v>238</v>
      </c>
      <c r="BW1" t="s">
        <v>239</v>
      </c>
      <c r="BX1" t="s">
        <v>240</v>
      </c>
      <c r="BY1" t="s">
        <v>241</v>
      </c>
      <c r="BZ1" t="s">
        <v>242</v>
      </c>
      <c r="CA1" t="s">
        <v>243</v>
      </c>
      <c r="CB1" t="s">
        <v>244</v>
      </c>
      <c r="CC1" t="s">
        <v>245</v>
      </c>
      <c r="CD1" t="s">
        <v>246</v>
      </c>
      <c r="CE1" t="s">
        <v>247</v>
      </c>
      <c r="CF1" t="s">
        <v>248</v>
      </c>
      <c r="CG1" t="s">
        <v>249</v>
      </c>
      <c r="CH1" t="s">
        <v>250</v>
      </c>
      <c r="CI1" t="s">
        <v>251</v>
      </c>
      <c r="CJ1" t="s">
        <v>252</v>
      </c>
      <c r="CK1" t="s">
        <v>253</v>
      </c>
      <c r="CL1" t="s">
        <v>254</v>
      </c>
      <c r="CM1" t="s">
        <v>255</v>
      </c>
      <c r="CN1" t="s">
        <v>256</v>
      </c>
      <c r="CO1" t="s">
        <v>257</v>
      </c>
      <c r="CP1" t="s">
        <v>258</v>
      </c>
      <c r="CQ1" t="s">
        <v>259</v>
      </c>
      <c r="CR1" t="s">
        <v>260</v>
      </c>
      <c r="CS1" t="s">
        <v>261</v>
      </c>
      <c r="CT1" t="s">
        <v>262</v>
      </c>
      <c r="CU1" t="s">
        <v>263</v>
      </c>
      <c r="CV1" t="s">
        <v>264</v>
      </c>
      <c r="CW1" t="s">
        <v>265</v>
      </c>
      <c r="CX1" t="s">
        <v>266</v>
      </c>
      <c r="CY1" t="s">
        <v>267</v>
      </c>
      <c r="CZ1" t="s">
        <v>268</v>
      </c>
      <c r="DA1" t="s">
        <v>269</v>
      </c>
      <c r="DB1" t="s">
        <v>270</v>
      </c>
      <c r="DC1" t="s">
        <v>271</v>
      </c>
      <c r="DD1" t="s">
        <v>272</v>
      </c>
    </row>
    <row r="2" spans="1:108" x14ac:dyDescent="0.15">
      <c r="A2" s="60" t="s">
        <v>39</v>
      </c>
      <c r="B2" s="81">
        <v>0</v>
      </c>
      <c r="C2"/>
      <c r="D2"/>
      <c r="E2"/>
    </row>
    <row r="3" spans="1:108" x14ac:dyDescent="0.15">
      <c r="A3" s="60" t="s">
        <v>41</v>
      </c>
      <c r="B3" s="81">
        <v>0</v>
      </c>
      <c r="C3"/>
      <c r="D3"/>
      <c r="E3"/>
    </row>
    <row r="4" spans="1:108" x14ac:dyDescent="0.15">
      <c r="A4" s="60" t="s">
        <v>42</v>
      </c>
      <c r="B4" s="81">
        <v>0</v>
      </c>
      <c r="C4"/>
      <c r="D4"/>
      <c r="E4"/>
    </row>
    <row r="5" spans="1:108" x14ac:dyDescent="0.15">
      <c r="A5" s="60" t="s">
        <v>176</v>
      </c>
      <c r="B5" s="81">
        <v>0</v>
      </c>
      <c r="C5"/>
      <c r="D5"/>
      <c r="E5"/>
    </row>
    <row r="6" spans="1:108" x14ac:dyDescent="0.15">
      <c r="A6" s="60" t="s">
        <v>177</v>
      </c>
      <c r="B6" s="81">
        <v>0</v>
      </c>
      <c r="C6"/>
      <c r="D6"/>
      <c r="E6"/>
    </row>
    <row r="7" spans="1:108" x14ac:dyDescent="0.15">
      <c r="A7" s="60" t="s">
        <v>178</v>
      </c>
      <c r="B7" s="81">
        <v>0</v>
      </c>
      <c r="C7"/>
      <c r="D7"/>
      <c r="E7"/>
    </row>
    <row r="8" spans="1:108" x14ac:dyDescent="0.15">
      <c r="A8" s="60" t="s">
        <v>179</v>
      </c>
      <c r="B8" s="81">
        <v>0</v>
      </c>
      <c r="C8"/>
      <c r="D8"/>
      <c r="E8"/>
    </row>
    <row r="9" spans="1:108" x14ac:dyDescent="0.15">
      <c r="A9" s="60" t="s">
        <v>180</v>
      </c>
      <c r="B9" s="81">
        <v>0</v>
      </c>
      <c r="C9"/>
      <c r="D9"/>
      <c r="E9"/>
    </row>
    <row r="10" spans="1:108" x14ac:dyDescent="0.15">
      <c r="A10" s="60" t="s">
        <v>181</v>
      </c>
      <c r="B10" s="81">
        <v>0</v>
      </c>
      <c r="C10"/>
      <c r="D10"/>
      <c r="E10"/>
    </row>
    <row r="11" spans="1:108" x14ac:dyDescent="0.15">
      <c r="A11" s="60" t="s">
        <v>182</v>
      </c>
      <c r="B11" s="81">
        <v>0</v>
      </c>
      <c r="C11"/>
      <c r="D11"/>
      <c r="E11"/>
    </row>
    <row r="12" spans="1:108" x14ac:dyDescent="0.15">
      <c r="A12" s="60" t="s">
        <v>183</v>
      </c>
      <c r="B12" s="81">
        <v>0</v>
      </c>
      <c r="C12"/>
      <c r="D12"/>
      <c r="E12"/>
    </row>
    <row r="13" spans="1:108" x14ac:dyDescent="0.15">
      <c r="A13" s="60" t="s">
        <v>184</v>
      </c>
      <c r="B13" s="81">
        <v>0</v>
      </c>
      <c r="C13"/>
      <c r="D13"/>
      <c r="E13"/>
    </row>
    <row r="14" spans="1:108" x14ac:dyDescent="0.15">
      <c r="A14" s="60" t="s">
        <v>185</v>
      </c>
      <c r="B14" s="81">
        <v>0</v>
      </c>
      <c r="C14"/>
      <c r="D14"/>
      <c r="E14"/>
    </row>
    <row r="15" spans="1:108" x14ac:dyDescent="0.15">
      <c r="A15" s="60" t="s">
        <v>186</v>
      </c>
      <c r="B15" s="81">
        <v>0</v>
      </c>
      <c r="C15"/>
      <c r="D15"/>
      <c r="E15"/>
    </row>
    <row r="16" spans="1:108" x14ac:dyDescent="0.15">
      <c r="A16" s="60" t="s">
        <v>187</v>
      </c>
      <c r="B16" s="81">
        <v>0</v>
      </c>
      <c r="C16"/>
      <c r="D16"/>
      <c r="E16"/>
    </row>
    <row r="17" spans="1:5" x14ac:dyDescent="0.15">
      <c r="A17" s="60" t="s">
        <v>188</v>
      </c>
      <c r="B17" s="81">
        <v>0</v>
      </c>
      <c r="C17"/>
      <c r="D17"/>
      <c r="E17"/>
    </row>
    <row r="18" spans="1:5" x14ac:dyDescent="0.15">
      <c r="A18" s="60" t="s">
        <v>189</v>
      </c>
      <c r="B18" s="81">
        <v>0</v>
      </c>
      <c r="C18"/>
      <c r="D18"/>
      <c r="E18"/>
    </row>
    <row r="19" spans="1:5" x14ac:dyDescent="0.15">
      <c r="A19" s="60" t="s">
        <v>190</v>
      </c>
      <c r="B19" s="81">
        <v>0</v>
      </c>
      <c r="C19"/>
      <c r="D19"/>
      <c r="E19"/>
    </row>
    <row r="20" spans="1:5" x14ac:dyDescent="0.15">
      <c r="A20" s="60" t="s">
        <v>191</v>
      </c>
      <c r="B20" s="81">
        <v>1</v>
      </c>
      <c r="C20"/>
      <c r="D20"/>
      <c r="E20"/>
    </row>
    <row r="21" spans="1:5" x14ac:dyDescent="0.15">
      <c r="A21" s="60" t="s">
        <v>192</v>
      </c>
      <c r="B21" s="81">
        <v>1</v>
      </c>
      <c r="C21"/>
      <c r="D21"/>
      <c r="E21"/>
    </row>
    <row r="22" spans="1:5" x14ac:dyDescent="0.15">
      <c r="A22" s="60" t="s">
        <v>193</v>
      </c>
      <c r="B22" s="81">
        <v>1</v>
      </c>
      <c r="C22"/>
      <c r="D22"/>
      <c r="E22"/>
    </row>
    <row r="23" spans="1:5" x14ac:dyDescent="0.15">
      <c r="A23" s="60" t="s">
        <v>194</v>
      </c>
      <c r="B23" s="81">
        <v>1</v>
      </c>
      <c r="C23"/>
      <c r="D23"/>
      <c r="E23"/>
    </row>
    <row r="24" spans="1:5" x14ac:dyDescent="0.15">
      <c r="A24" s="60" t="s">
        <v>195</v>
      </c>
      <c r="B24" s="81">
        <v>1</v>
      </c>
      <c r="C24"/>
      <c r="D24"/>
      <c r="E24"/>
    </row>
    <row r="25" spans="1:5" x14ac:dyDescent="0.15">
      <c r="A25" s="60" t="s">
        <v>196</v>
      </c>
      <c r="B25" s="81">
        <v>1</v>
      </c>
      <c r="C25"/>
      <c r="D25"/>
      <c r="E25"/>
    </row>
    <row r="26" spans="1:5" x14ac:dyDescent="0.15">
      <c r="A26" s="60" t="s">
        <v>197</v>
      </c>
      <c r="B26" s="81">
        <v>1</v>
      </c>
      <c r="C26"/>
      <c r="D26"/>
      <c r="E26"/>
    </row>
    <row r="27" spans="1:5" x14ac:dyDescent="0.15">
      <c r="A27" s="60" t="s">
        <v>198</v>
      </c>
      <c r="B27" s="81">
        <v>1</v>
      </c>
      <c r="C27"/>
      <c r="D27"/>
      <c r="E27"/>
    </row>
    <row r="28" spans="1:5" x14ac:dyDescent="0.15">
      <c r="A28" s="60" t="s">
        <v>273</v>
      </c>
      <c r="B28" s="81">
        <v>1</v>
      </c>
      <c r="C28"/>
      <c r="D28"/>
      <c r="E28"/>
    </row>
    <row r="29" spans="1:5" x14ac:dyDescent="0.15">
      <c r="A29" s="60" t="s">
        <v>398</v>
      </c>
      <c r="B29" s="81">
        <v>1</v>
      </c>
      <c r="C29"/>
      <c r="D29"/>
      <c r="E29"/>
    </row>
    <row r="30" spans="1:5" x14ac:dyDescent="0.15">
      <c r="A30" s="60" t="s">
        <v>399</v>
      </c>
      <c r="B30" s="81">
        <v>1</v>
      </c>
      <c r="C30"/>
      <c r="D30"/>
      <c r="E30"/>
    </row>
    <row r="31" spans="1:5" x14ac:dyDescent="0.15">
      <c r="A31" s="60" t="s">
        <v>199</v>
      </c>
      <c r="B31" s="81">
        <v>1</v>
      </c>
      <c r="C31"/>
      <c r="D31"/>
      <c r="E31"/>
    </row>
    <row r="32" spans="1:5" x14ac:dyDescent="0.15">
      <c r="A32" s="60" t="s">
        <v>200</v>
      </c>
      <c r="B32" s="81">
        <v>1</v>
      </c>
      <c r="C32"/>
      <c r="D32"/>
      <c r="E32"/>
    </row>
    <row r="33" spans="1:5" x14ac:dyDescent="0.15">
      <c r="A33" s="60" t="s">
        <v>201</v>
      </c>
      <c r="B33" s="81">
        <v>1</v>
      </c>
      <c r="C33"/>
      <c r="D33"/>
      <c r="E33"/>
    </row>
    <row r="34" spans="1:5" x14ac:dyDescent="0.15">
      <c r="A34" s="60" t="s">
        <v>202</v>
      </c>
      <c r="B34" s="81">
        <v>1</v>
      </c>
      <c r="C34"/>
      <c r="D34"/>
      <c r="E34"/>
    </row>
    <row r="35" spans="1:5" x14ac:dyDescent="0.15">
      <c r="A35" s="60" t="s">
        <v>203</v>
      </c>
      <c r="B35" s="81">
        <v>1</v>
      </c>
      <c r="C35"/>
      <c r="D35"/>
      <c r="E35"/>
    </row>
    <row r="36" spans="1:5" x14ac:dyDescent="0.15">
      <c r="A36" s="60" t="s">
        <v>204</v>
      </c>
      <c r="B36" s="81">
        <v>1</v>
      </c>
      <c r="C36"/>
      <c r="D36"/>
      <c r="E36"/>
    </row>
    <row r="37" spans="1:5" x14ac:dyDescent="0.15">
      <c r="A37" s="60" t="s">
        <v>205</v>
      </c>
      <c r="B37" s="81">
        <v>1</v>
      </c>
      <c r="C37"/>
      <c r="D37"/>
      <c r="E37"/>
    </row>
    <row r="38" spans="1:5" x14ac:dyDescent="0.15">
      <c r="A38" s="60" t="s">
        <v>206</v>
      </c>
      <c r="B38" s="81">
        <v>1</v>
      </c>
      <c r="C38"/>
      <c r="D38"/>
      <c r="E38"/>
    </row>
    <row r="39" spans="1:5" x14ac:dyDescent="0.15">
      <c r="A39" s="60" t="s">
        <v>207</v>
      </c>
      <c r="B39" s="81">
        <v>1</v>
      </c>
      <c r="C39"/>
      <c r="D39"/>
      <c r="E39"/>
    </row>
    <row r="40" spans="1:5" x14ac:dyDescent="0.15">
      <c r="A40" s="60" t="s">
        <v>208</v>
      </c>
      <c r="B40" s="81">
        <v>1</v>
      </c>
      <c r="C40"/>
      <c r="D40"/>
      <c r="E40"/>
    </row>
    <row r="41" spans="1:5" x14ac:dyDescent="0.15">
      <c r="A41" s="60" t="s">
        <v>209</v>
      </c>
      <c r="B41" s="81">
        <v>1</v>
      </c>
      <c r="C41"/>
      <c r="D41"/>
      <c r="E41"/>
    </row>
    <row r="42" spans="1:5" x14ac:dyDescent="0.15">
      <c r="A42" s="60" t="s">
        <v>210</v>
      </c>
      <c r="B42" s="81">
        <v>1</v>
      </c>
      <c r="C42"/>
      <c r="D42"/>
      <c r="E42"/>
    </row>
    <row r="43" spans="1:5" x14ac:dyDescent="0.15">
      <c r="A43" s="60" t="s">
        <v>211</v>
      </c>
      <c r="B43" s="81">
        <v>1</v>
      </c>
      <c r="C43"/>
      <c r="D43"/>
      <c r="E43"/>
    </row>
    <row r="44" spans="1:5" x14ac:dyDescent="0.15">
      <c r="A44" s="60" t="s">
        <v>212</v>
      </c>
      <c r="B44" s="81">
        <v>1</v>
      </c>
      <c r="C44"/>
      <c r="D44"/>
      <c r="E44"/>
    </row>
    <row r="45" spans="1:5" x14ac:dyDescent="0.15">
      <c r="A45" s="60" t="s">
        <v>213</v>
      </c>
      <c r="B45" s="81">
        <v>1</v>
      </c>
      <c r="C45"/>
      <c r="D45"/>
      <c r="E45"/>
    </row>
    <row r="46" spans="1:5" x14ac:dyDescent="0.15">
      <c r="A46" s="60" t="s">
        <v>214</v>
      </c>
      <c r="B46" s="81">
        <v>1</v>
      </c>
      <c r="C46"/>
      <c r="D46"/>
      <c r="E46"/>
    </row>
    <row r="47" spans="1:5" x14ac:dyDescent="0.15">
      <c r="A47" s="60" t="s">
        <v>215</v>
      </c>
      <c r="B47" s="81">
        <v>1</v>
      </c>
      <c r="C47"/>
      <c r="D47"/>
      <c r="E47"/>
    </row>
    <row r="48" spans="1:5" x14ac:dyDescent="0.15">
      <c r="A48" s="60" t="s">
        <v>216</v>
      </c>
      <c r="B48" s="81">
        <v>1</v>
      </c>
      <c r="C48"/>
      <c r="D48"/>
      <c r="E48"/>
    </row>
    <row r="49" spans="1:5" x14ac:dyDescent="0.15">
      <c r="A49" s="60" t="s">
        <v>217</v>
      </c>
      <c r="B49" s="81">
        <v>1</v>
      </c>
      <c r="C49"/>
      <c r="D49"/>
      <c r="E49"/>
    </row>
    <row r="50" spans="1:5" x14ac:dyDescent="0.15">
      <c r="A50" s="60" t="s">
        <v>218</v>
      </c>
      <c r="B50" s="81">
        <v>1</v>
      </c>
      <c r="C50"/>
      <c r="D50"/>
      <c r="E50"/>
    </row>
    <row r="51" spans="1:5" x14ac:dyDescent="0.15">
      <c r="A51" s="60" t="s">
        <v>219</v>
      </c>
      <c r="B51" s="81">
        <v>1</v>
      </c>
      <c r="C51"/>
      <c r="D51"/>
      <c r="E51"/>
    </row>
    <row r="52" spans="1:5" x14ac:dyDescent="0.15">
      <c r="A52" s="60" t="s">
        <v>220</v>
      </c>
      <c r="B52" s="81">
        <v>1</v>
      </c>
      <c r="C52"/>
      <c r="D52"/>
      <c r="E52"/>
    </row>
    <row r="53" spans="1:5" x14ac:dyDescent="0.15">
      <c r="A53" s="60" t="s">
        <v>221</v>
      </c>
      <c r="B53" s="81">
        <v>1</v>
      </c>
      <c r="C53"/>
      <c r="D53"/>
      <c r="E53"/>
    </row>
    <row r="54" spans="1:5" x14ac:dyDescent="0.15">
      <c r="A54" s="60" t="s">
        <v>222</v>
      </c>
      <c r="B54" s="81">
        <v>1</v>
      </c>
      <c r="C54"/>
      <c r="D54"/>
      <c r="E54"/>
    </row>
    <row r="55" spans="1:5" x14ac:dyDescent="0.15">
      <c r="A55" s="60" t="s">
        <v>223</v>
      </c>
      <c r="B55" s="81">
        <v>1</v>
      </c>
      <c r="C55"/>
      <c r="D55"/>
      <c r="E55"/>
    </row>
    <row r="56" spans="1:5" x14ac:dyDescent="0.15">
      <c r="A56" s="60" t="s">
        <v>224</v>
      </c>
      <c r="B56" s="81">
        <v>1</v>
      </c>
      <c r="C56"/>
      <c r="D56"/>
      <c r="E56"/>
    </row>
    <row r="57" spans="1:5" x14ac:dyDescent="0.15">
      <c r="A57" s="60" t="s">
        <v>225</v>
      </c>
      <c r="B57" s="81">
        <v>1</v>
      </c>
      <c r="C57"/>
      <c r="D57"/>
      <c r="E57"/>
    </row>
    <row r="58" spans="1:5" x14ac:dyDescent="0.15">
      <c r="A58" s="60" t="s">
        <v>226</v>
      </c>
      <c r="B58" s="81">
        <v>1</v>
      </c>
      <c r="C58"/>
      <c r="D58"/>
      <c r="E58"/>
    </row>
    <row r="59" spans="1:5" x14ac:dyDescent="0.15">
      <c r="A59" s="60" t="s">
        <v>227</v>
      </c>
      <c r="B59" s="81">
        <v>1</v>
      </c>
      <c r="C59"/>
      <c r="D59"/>
      <c r="E59"/>
    </row>
    <row r="60" spans="1:5" x14ac:dyDescent="0.15">
      <c r="A60" s="60" t="s">
        <v>228</v>
      </c>
      <c r="B60" s="81">
        <v>1</v>
      </c>
      <c r="C60"/>
      <c r="D60"/>
      <c r="E60"/>
    </row>
    <row r="61" spans="1:5" x14ac:dyDescent="0.15">
      <c r="A61" s="60" t="s">
        <v>229</v>
      </c>
      <c r="B61" s="81">
        <v>1</v>
      </c>
      <c r="C61"/>
      <c r="D61"/>
      <c r="E61"/>
    </row>
    <row r="62" spans="1:5" x14ac:dyDescent="0.15">
      <c r="A62" s="60" t="s">
        <v>230</v>
      </c>
      <c r="B62" s="81">
        <v>1</v>
      </c>
      <c r="C62"/>
      <c r="D62"/>
      <c r="E62"/>
    </row>
    <row r="63" spans="1:5" x14ac:dyDescent="0.15">
      <c r="A63" s="60" t="s">
        <v>231</v>
      </c>
      <c r="B63" s="81">
        <v>1</v>
      </c>
      <c r="C63"/>
      <c r="D63"/>
      <c r="E63"/>
    </row>
    <row r="64" spans="1:5" x14ac:dyDescent="0.15">
      <c r="A64" s="60" t="s">
        <v>232</v>
      </c>
      <c r="B64" s="81">
        <v>1</v>
      </c>
      <c r="C64"/>
      <c r="D64"/>
      <c r="E64"/>
    </row>
    <row r="65" spans="1:5" x14ac:dyDescent="0.15">
      <c r="A65" s="60" t="s">
        <v>233</v>
      </c>
      <c r="B65" s="81">
        <v>1</v>
      </c>
      <c r="C65"/>
      <c r="D65"/>
      <c r="E65"/>
    </row>
    <row r="66" spans="1:5" x14ac:dyDescent="0.15">
      <c r="A66" s="60" t="s">
        <v>234</v>
      </c>
      <c r="B66" s="81">
        <v>1</v>
      </c>
      <c r="C66"/>
      <c r="D66"/>
      <c r="E66"/>
    </row>
    <row r="67" spans="1:5" x14ac:dyDescent="0.15">
      <c r="A67" s="60" t="s">
        <v>235</v>
      </c>
      <c r="B67" s="81">
        <v>1</v>
      </c>
      <c r="C67"/>
      <c r="D67"/>
      <c r="E67"/>
    </row>
    <row r="68" spans="1:5" x14ac:dyDescent="0.15">
      <c r="A68" s="60" t="s">
        <v>236</v>
      </c>
      <c r="B68" s="81">
        <v>1</v>
      </c>
      <c r="C68"/>
      <c r="D68"/>
      <c r="E68"/>
    </row>
    <row r="69" spans="1:5" x14ac:dyDescent="0.15">
      <c r="A69" s="60" t="s">
        <v>237</v>
      </c>
      <c r="B69" s="81">
        <v>1</v>
      </c>
      <c r="C69"/>
      <c r="D69"/>
      <c r="E69"/>
    </row>
    <row r="70" spans="1:5" x14ac:dyDescent="0.15">
      <c r="A70" s="60" t="s">
        <v>238</v>
      </c>
      <c r="B70" s="81">
        <v>1</v>
      </c>
      <c r="C70"/>
      <c r="D70"/>
      <c r="E70"/>
    </row>
    <row r="71" spans="1:5" x14ac:dyDescent="0.15">
      <c r="A71" s="60" t="s">
        <v>239</v>
      </c>
      <c r="B71" s="81">
        <v>1</v>
      </c>
      <c r="C71"/>
      <c r="D71"/>
      <c r="E71"/>
    </row>
    <row r="72" spans="1:5" x14ac:dyDescent="0.15">
      <c r="A72" s="60" t="s">
        <v>240</v>
      </c>
      <c r="B72" s="81">
        <v>1</v>
      </c>
      <c r="C72"/>
      <c r="D72"/>
      <c r="E72"/>
    </row>
    <row r="73" spans="1:5" x14ac:dyDescent="0.15">
      <c r="A73" s="60" t="s">
        <v>241</v>
      </c>
      <c r="B73" s="81">
        <v>1</v>
      </c>
      <c r="C73"/>
      <c r="D73"/>
      <c r="E73"/>
    </row>
    <row r="74" spans="1:5" x14ac:dyDescent="0.15">
      <c r="A74" s="60" t="s">
        <v>242</v>
      </c>
      <c r="B74" s="81">
        <v>1</v>
      </c>
      <c r="C74"/>
      <c r="D74"/>
      <c r="E74"/>
    </row>
    <row r="75" spans="1:5" x14ac:dyDescent="0.15">
      <c r="A75" s="60" t="s">
        <v>243</v>
      </c>
      <c r="B75" s="81">
        <v>1</v>
      </c>
      <c r="C75"/>
      <c r="D75"/>
      <c r="E75"/>
    </row>
    <row r="76" spans="1:5" x14ac:dyDescent="0.15">
      <c r="A76" s="60" t="s">
        <v>244</v>
      </c>
      <c r="B76" s="81">
        <v>1</v>
      </c>
      <c r="C76"/>
      <c r="D76"/>
      <c r="E76"/>
    </row>
    <row r="77" spans="1:5" x14ac:dyDescent="0.15">
      <c r="A77" s="60" t="s">
        <v>245</v>
      </c>
      <c r="B77" s="81">
        <v>1</v>
      </c>
      <c r="C77"/>
      <c r="D77"/>
      <c r="E77"/>
    </row>
    <row r="78" spans="1:5" x14ac:dyDescent="0.15">
      <c r="A78" s="60" t="s">
        <v>246</v>
      </c>
      <c r="B78" s="81">
        <v>1</v>
      </c>
      <c r="C78"/>
      <c r="D78"/>
      <c r="E78"/>
    </row>
    <row r="79" spans="1:5" x14ac:dyDescent="0.15">
      <c r="A79" s="60" t="s">
        <v>247</v>
      </c>
      <c r="B79" s="81">
        <v>1</v>
      </c>
      <c r="C79"/>
      <c r="D79"/>
      <c r="E79"/>
    </row>
    <row r="80" spans="1:5" x14ac:dyDescent="0.15">
      <c r="A80" s="60" t="s">
        <v>248</v>
      </c>
      <c r="B80" s="81">
        <v>1</v>
      </c>
      <c r="C80"/>
      <c r="D80"/>
      <c r="E80"/>
    </row>
    <row r="81" spans="1:5" x14ac:dyDescent="0.15">
      <c r="A81" s="60" t="s">
        <v>249</v>
      </c>
      <c r="B81" s="81">
        <v>1</v>
      </c>
      <c r="C81"/>
      <c r="D81"/>
      <c r="E81"/>
    </row>
    <row r="82" spans="1:5" x14ac:dyDescent="0.15">
      <c r="A82" s="60" t="s">
        <v>250</v>
      </c>
      <c r="B82" s="81">
        <v>1</v>
      </c>
      <c r="C82"/>
      <c r="D82"/>
      <c r="E82"/>
    </row>
    <row r="83" spans="1:5" x14ac:dyDescent="0.15">
      <c r="A83" s="60" t="s">
        <v>251</v>
      </c>
      <c r="B83" s="81">
        <v>1</v>
      </c>
      <c r="C83"/>
      <c r="D83"/>
      <c r="E83"/>
    </row>
    <row r="84" spans="1:5" x14ac:dyDescent="0.15">
      <c r="A84" s="60" t="s">
        <v>252</v>
      </c>
      <c r="B84" s="81">
        <v>1</v>
      </c>
      <c r="C84"/>
      <c r="D84"/>
      <c r="E84"/>
    </row>
    <row r="85" spans="1:5" x14ac:dyDescent="0.15">
      <c r="A85" s="60" t="s">
        <v>253</v>
      </c>
      <c r="B85" s="81">
        <v>1</v>
      </c>
      <c r="C85"/>
      <c r="D85"/>
      <c r="E85"/>
    </row>
    <row r="86" spans="1:5" x14ac:dyDescent="0.15">
      <c r="A86" s="60" t="s">
        <v>254</v>
      </c>
      <c r="B86" s="81">
        <v>1</v>
      </c>
      <c r="C86"/>
      <c r="D86"/>
      <c r="E86"/>
    </row>
    <row r="87" spans="1:5" x14ac:dyDescent="0.15">
      <c r="A87" s="60" t="s">
        <v>255</v>
      </c>
      <c r="B87" s="81">
        <v>1</v>
      </c>
      <c r="C87"/>
      <c r="D87"/>
      <c r="E87"/>
    </row>
    <row r="88" spans="1:5" x14ac:dyDescent="0.15">
      <c r="A88" s="60" t="s">
        <v>256</v>
      </c>
      <c r="B88" s="81">
        <v>1</v>
      </c>
      <c r="C88"/>
      <c r="D88"/>
      <c r="E88"/>
    </row>
    <row r="89" spans="1:5" x14ac:dyDescent="0.15">
      <c r="A89" s="60" t="s">
        <v>257</v>
      </c>
      <c r="B89" s="81">
        <v>1</v>
      </c>
      <c r="C89"/>
      <c r="D89"/>
      <c r="E89"/>
    </row>
    <row r="90" spans="1:5" x14ac:dyDescent="0.15">
      <c r="A90" s="60" t="s">
        <v>258</v>
      </c>
      <c r="B90" s="81">
        <v>1</v>
      </c>
      <c r="C90"/>
      <c r="D90"/>
      <c r="E90"/>
    </row>
    <row r="91" spans="1:5" x14ac:dyDescent="0.15">
      <c r="A91" s="60" t="s">
        <v>259</v>
      </c>
      <c r="B91" s="81">
        <v>1</v>
      </c>
      <c r="C91"/>
      <c r="D91"/>
      <c r="E91"/>
    </row>
    <row r="92" spans="1:5" x14ac:dyDescent="0.15">
      <c r="A92" s="60" t="s">
        <v>260</v>
      </c>
      <c r="B92" s="81">
        <v>1</v>
      </c>
      <c r="C92"/>
      <c r="D92"/>
      <c r="E92"/>
    </row>
    <row r="93" spans="1:5" x14ac:dyDescent="0.15">
      <c r="A93" s="60" t="s">
        <v>261</v>
      </c>
      <c r="B93" s="81">
        <v>1</v>
      </c>
      <c r="C93"/>
      <c r="D93"/>
      <c r="E93"/>
    </row>
    <row r="94" spans="1:5" x14ac:dyDescent="0.15">
      <c r="A94" s="60" t="s">
        <v>262</v>
      </c>
      <c r="B94" s="81">
        <v>1</v>
      </c>
      <c r="C94"/>
      <c r="D94"/>
      <c r="E94"/>
    </row>
    <row r="95" spans="1:5" x14ac:dyDescent="0.15">
      <c r="A95" s="60" t="s">
        <v>263</v>
      </c>
      <c r="B95" s="81">
        <v>1</v>
      </c>
      <c r="C95"/>
      <c r="D95"/>
      <c r="E95"/>
    </row>
    <row r="96" spans="1:5" x14ac:dyDescent="0.15">
      <c r="A96" s="60" t="s">
        <v>264</v>
      </c>
      <c r="B96" s="81">
        <v>1</v>
      </c>
      <c r="C96"/>
      <c r="D96"/>
      <c r="E96"/>
    </row>
    <row r="97" spans="1:5" x14ac:dyDescent="0.15">
      <c r="A97" s="60" t="s">
        <v>265</v>
      </c>
      <c r="B97" s="81">
        <v>1</v>
      </c>
      <c r="C97"/>
      <c r="D97"/>
      <c r="E97"/>
    </row>
    <row r="98" spans="1:5" x14ac:dyDescent="0.15">
      <c r="A98" s="60" t="s">
        <v>266</v>
      </c>
      <c r="B98" s="81">
        <v>1</v>
      </c>
      <c r="C98"/>
      <c r="D98"/>
      <c r="E98"/>
    </row>
    <row r="99" spans="1:5" x14ac:dyDescent="0.15">
      <c r="A99" s="60" t="s">
        <v>267</v>
      </c>
      <c r="B99" s="81">
        <v>1</v>
      </c>
      <c r="C99"/>
      <c r="D99"/>
      <c r="E99"/>
    </row>
    <row r="100" spans="1:5" x14ac:dyDescent="0.15">
      <c r="A100" s="60" t="s">
        <v>268</v>
      </c>
      <c r="B100" s="81">
        <v>1</v>
      </c>
      <c r="C100"/>
      <c r="D100"/>
      <c r="E100"/>
    </row>
    <row r="101" spans="1:5" x14ac:dyDescent="0.15">
      <c r="A101" s="60" t="s">
        <v>269</v>
      </c>
      <c r="B101" s="81">
        <v>1</v>
      </c>
      <c r="C101"/>
      <c r="D101"/>
      <c r="E101"/>
    </row>
    <row r="102" spans="1:5" x14ac:dyDescent="0.15">
      <c r="A102" s="60" t="s">
        <v>270</v>
      </c>
      <c r="B102" s="81">
        <v>1</v>
      </c>
      <c r="C102"/>
      <c r="D102"/>
      <c r="E102"/>
    </row>
    <row r="103" spans="1:5" x14ac:dyDescent="0.15">
      <c r="A103" s="60" t="s">
        <v>271</v>
      </c>
      <c r="B103" s="81">
        <v>1</v>
      </c>
      <c r="C103"/>
      <c r="D103"/>
      <c r="E103"/>
    </row>
    <row r="104" spans="1:5" x14ac:dyDescent="0.15">
      <c r="A104" s="60" t="s">
        <v>272</v>
      </c>
      <c r="B104" s="81">
        <v>1</v>
      </c>
      <c r="C104"/>
      <c r="D104"/>
      <c r="E104"/>
    </row>
    <row r="105" spans="1:5" x14ac:dyDescent="0.15">
      <c r="B105"/>
      <c r="C105"/>
      <c r="D105"/>
      <c r="E105"/>
    </row>
    <row r="106" spans="1:5" ht="15" customHeight="1" x14ac:dyDescent="0.15"/>
    <row r="107" spans="1:5" ht="15" customHeight="1" x14ac:dyDescent="0.15"/>
    <row r="108" spans="1:5" x14ac:dyDescent="0.15">
      <c r="B108" s="58" t="s">
        <v>165</v>
      </c>
    </row>
    <row r="109" spans="1:5" ht="15" customHeight="1" x14ac:dyDescent="0.15"/>
    <row r="110" spans="1:5" ht="15" customHeight="1" x14ac:dyDescent="0.15"/>
    <row r="111" spans="1:5" ht="15" customHeight="1" x14ac:dyDescent="0.15"/>
    <row r="112" spans="1: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Kelly L Robinson</dc:creator>
  <cp:keywords/>
  <dc:description/>
  <cp:lastModifiedBy>Microsoft Office User</cp:lastModifiedBy>
  <cp:lastPrinted>2003-08-05T17:15:48Z</cp:lastPrinted>
  <dcterms:created xsi:type="dcterms:W3CDTF">1996-10-14T23:33:28Z</dcterms:created>
  <dcterms:modified xsi:type="dcterms:W3CDTF">2023-02-10T02:01:12Z</dcterms:modified>
  <cp:category/>
</cp:coreProperties>
</file>