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C6F2F5C7-2AAE-5041-8985-CFC7A1EB18F6}" xr6:coauthVersionLast="45" xr6:coauthVersionMax="45" xr10:uidLastSave="{00000000-0000-0000-0000-000000000000}"/>
  <bookViews>
    <workbookView xWindow="0" yWindow="460" windowWidth="21760" windowHeight="14280" tabRatio="728" firstSheet="9" activeTab="15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Main!$C$2:$N$21</definedName>
    <definedName name="matDetritus">Detritus!$C$2:$E$21</definedName>
    <definedName name="matDiet">Diets!$B$2:$R$21</definedName>
    <definedName name="matDiscards">Discards!$C$2:$C$20</definedName>
    <definedName name="matFishery">Fishing!$C$2:$C$20</definedName>
    <definedName name="matFishing">Fishing!#REF!</definedName>
    <definedName name="matMort">Mortalities!$A$1:$W$20</definedName>
    <definedName name="matOut">MainOutputs!$A$2:$I$21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<sst xmlns="http://schemas.openxmlformats.org/spreadsheetml/2006/main" count="692" uniqueCount="206">
  <si>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</si>
  <si>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</si>
  <si>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</si>
  <si>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</si>
  <si>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</si>
  <si>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</si>
  <si>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</si>
  <si>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</si>
  <si>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</si>
  <si>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</si>
  <si>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</si>
  <si>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</si>
  <si>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</si>
  <si>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</si>
  <si>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</si>
  <si>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</si>
  <si>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</si>
  <si>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</si>
  <si>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</si>
  <si>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</si>
  <si>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</si>
  <si>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</si>
  <si>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</si>
  <si>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</si>
  <si>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</si>
  <si>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</si>
  <si>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</si>
  <si>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</si>
  <si>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</si>
  <si>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</si>
  <si>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</si>
  <si>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</si>
  <si>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</si>
  <si>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</si>
  <si>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</si>
  <si>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</si>
  <si>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</si>
  <si>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</si>
  <si>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</si>
  <si>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</si>
  <si>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</si>
  <si>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</si>
  <si>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</si>
  <si>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</si>
  <si>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</si>
  <si>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</si>
  <si>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</si>
  <si>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</si>
  <si>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</si>
  <si>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</si>
  <si>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</si>
  <si>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</si>
  <si>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</si>
  <si>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</si>
  <si>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</si>
  <si>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</si>
  <si>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</si>
  <si>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</si>
  <si>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</si>
  <si>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</si>
  <si>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</si>
  <si>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</si>
  <si>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</si>
  <si>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</si>
  <si>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</si>
  <si>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</si>
  <si>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</si>
  <si>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</si>
  <si>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</si>
  <si>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</si>
  <si>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</si>
  <si>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</si>
  <si>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</si>
  <si>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</si>
  <si>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</si>
  <si>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</si>
  <si>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</si>
  <si>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</si>
  <si>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</si>
  <si>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</si>
  <si>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</si>
  <si>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</si>
  <si>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</si>
  <si>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</si>
  <si>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</si>
  <si>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</si>
  <si>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</si>
  <si>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</si>
  <si>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</si>
  <si>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</si>
  <si>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</si>
  <si>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</si>
  <si>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</si>
  <si>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</si>
  <si>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</si>
  <si>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</si>
  <si>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</si>
  <si>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</si>
  <si>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</si>
  <si>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</si>
  <si>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</si>
  <si>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</si>
  <si>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</si>
  <si>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</si>
  <si>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</si>
  <si>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</si>
  <si>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</si>
  <si>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</si>
  <si>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</si>
  <si>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</si>
  <si>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</si>
  <si>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</si>
  <si>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</si>
  <si>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</si>
  <si>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</si>
  <si>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</si>
  <si>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</si>
  <si>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</si>
  <si>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</si>
  <si>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</si>
  <si>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</si>
  <si>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</si>
  <si>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</si>
  <si>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</si>
  <si>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</si>
  <si>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</si>
  <si>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</si>
  <si>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</si>
  <si>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</si>
  <si>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</si>
  <si>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</si>
  <si>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</si>
  <si>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</si>
  <si>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</si>
  <si>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</si>
  <si>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</si>
  <si>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</si>
  <si>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</si>
  <si>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</si>
  <si>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</si>
  <si>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</si>
  <si>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</si>
  <si>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</si>
  <si>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</si>
  <si>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</si>
  <si>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</si>
  <si>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</si>
  <si>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</si>
  <si>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</si>
  <si>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</si>
  <si>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</si>
  <si>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</si>
  <si>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</si>
  <si>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</si>
  <si>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</si>
  <si>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</si>
  <si>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</si>
  <si>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</si>
  <si>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</si>
  <si>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</si>
  <si>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</si>
  <si>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</si>
  <si>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</si>
  <si>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</si>
  <si>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</si>
  <si>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</si>
  <si>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</si>
  <si>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</si>
  <si>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</si>
  <si>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</si>
  <si>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</si>
  <si>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</si>
  <si>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</si>
  <si>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</si>
  <si>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</si>
  <si>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</si>
  <si>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export</t>
  </si>
  <si>
    <t>&lt;-NOTE: every model must have a terminal pelagic &amp; benthic detritus group</t>
  </si>
  <si>
    <t>&lt;-NOTE: fisheries FOLLOW terminal detritus groups</t>
  </si>
  <si>
    <t>&lt;-NOTE: BA &amp; EM at very end</t>
  </si>
  <si>
    <t>TOTAL</t>
  </si>
  <si>
    <t>micro-zooplankton</t>
  </si>
  <si>
    <t>meso-zooplankton</t>
  </si>
  <si>
    <t>macro-zooplankton</t>
  </si>
  <si>
    <t>gelatinous zooplankton</t>
  </si>
  <si>
    <t>planktivorous fish</t>
  </si>
  <si>
    <t>piscivorous fish</t>
  </si>
  <si>
    <t>demersal fish</t>
  </si>
  <si>
    <t>juvenile fish</t>
  </si>
  <si>
    <t xml:space="preserve">meiobenthos </t>
  </si>
  <si>
    <t>deposit-feeding benthos</t>
  </si>
  <si>
    <t>carnivorous benthos</t>
  </si>
  <si>
    <t>suspension-feeding benthos</t>
  </si>
  <si>
    <t>seabirds</t>
  </si>
  <si>
    <t>baleen whales</t>
  </si>
  <si>
    <t>odontocetes</t>
  </si>
  <si>
    <t>&lt;--"Pelagic detritus" is really all detritus in John Steele's GB model</t>
  </si>
  <si>
    <t>fisheries</t>
  </si>
  <si>
    <t>GBprs_FullRes_06062012.xlsx</t>
  </si>
  <si>
    <t>balanced model for GLOBEC PRS</t>
  </si>
  <si>
    <t>GBprs_FullRes_051862015.xlsx</t>
  </si>
  <si>
    <t>adjust bacterial recycling to 50% in order to match other groups</t>
  </si>
  <si>
    <t>Import</t>
  </si>
  <si>
    <t>pelagic Detritus</t>
  </si>
  <si>
    <t>benthic Detritus</t>
  </si>
  <si>
    <t>F fisheries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</si>
</sst>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  <font>
      <b/>
      <sz val="11"/>
      <color rgb="FF000000"/>
      <name val="Calibri"/>
      <family val="2"/>
    </font>
  </fonts>
  <fills count="8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7" tint="0.59996337778863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2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>
      <left/>
      <right/>
      <top style="medium">
        <color auto="true"/>
      </top>
      <bottom/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213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15" borderId="2" xfId="0" applyFont="true" applyFill="true" applyBorder="true" applyAlignment="true">
      <alignment horizontal="center"/>
    </xf>
    <xf numFmtId="0" fontId="1" fillId="15" borderId="4" xfId="0" applyFont="true" applyFill="true" applyBorder="true" applyAlignment="true">
      <alignment horizontal="center"/>
    </xf>
    <xf numFmtId="0" fontId="1" fillId="15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15" borderId="5" xfId="0" applyFill="true" applyBorder="true"/>
    <xf numFmtId="0" fontId="0" fillId="15" borderId="7" xfId="0" applyFill="true" applyBorder="true"/>
    <xf numFmtId="0" fontId="0" fillId="15" borderId="8" xfId="0" applyFill="true" applyBorder="true"/>
    <xf numFmtId="0" fontId="0" fillId="15" borderId="9" xfId="0" applyFill="true" applyBorder="true"/>
    <xf numFmtId="0" fontId="0" fillId="15" borderId="11" xfId="0" applyFill="true" applyBorder="true"/>
    <xf numFmtId="0" fontId="8" fillId="0" borderId="0" xfId="0" applyFont="true"/>
    <xf numFmtId="0" fontId="0" fillId="23" borderId="0" xfId="0" applyFill="true"/>
    <xf numFmtId="0" fontId="0" fillId="0" borderId="0" xfId="0" applyFont="true"/>
    <xf numFmtId="2" fontId="0" fillId="0" borderId="0" xfId="0" applyNumberFormat="true" applyFont="true"/>
    <xf numFmtId="0" fontId="0" fillId="24" borderId="0" xfId="0" applyFill="true"/>
    <xf numFmtId="0" fontId="11" fillId="2" borderId="0" xfId="0" applyFont="true" applyFill="true"/>
    <xf numFmtId="0" fontId="12" fillId="0" borderId="0" xfId="0" applyFont="true"/>
    <xf numFmtId="0" fontId="0" fillId="25" borderId="0" xfId="0" applyFill="true"/>
    <xf numFmtId="0" fontId="14" fillId="0" borderId="0" xfId="0" applyFont="true"/>
    <xf numFmtId="0" fontId="13" fillId="0" borderId="0" xfId="0" applyFont="true"/>
    <xf numFmtId="0" fontId="9" fillId="15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0" fillId="0" borderId="0" xfId="0" applyFont="true" applyFill="true" applyAlignment="true">
      <alignment horizontal="right"/>
    </xf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1" fillId="0" borderId="0" xfId="0" applyFont="true" applyAlignment="true">
      <alignment horizontal="center"/>
    </xf>
    <xf numFmtId="0" fontId="12" fillId="0" borderId="0" xfId="0" applyFont="true" applyBorder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22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22" borderId="3" xfId="0" applyNumberFormat="true" applyFont="true" applyFill="true" applyBorder="true"/>
    <xf numFmtId="0" fontId="12" fillId="22" borderId="2" xfId="0" applyFont="true" applyFill="true" applyBorder="true"/>
    <xf numFmtId="0" fontId="12" fillId="22" borderId="3" xfId="0" applyFont="true" applyFill="true" applyBorder="true"/>
    <xf numFmtId="0" fontId="17" fillId="0" borderId="0" xfId="0" applyFont="true" applyAlignment="true">
      <alignment horizontal="left"/>
    </xf>
    <xf numFmtId="0" fontId="12" fillId="22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20" borderId="0" xfId="0" applyFont="true" applyFill="true" applyAlignment="true">
      <alignment horizontal="center"/>
    </xf>
    <xf numFmtId="0" fontId="23" fillId="18" borderId="0" xfId="0" applyFont="true" applyFill="true" applyAlignment="true">
      <alignment horizontal="center"/>
    </xf>
    <xf numFmtId="0" fontId="23" fillId="19" borderId="0" xfId="0" applyFont="true" applyFill="true" applyAlignment="true">
      <alignment horizontal="center"/>
    </xf>
    <xf numFmtId="0" fontId="23" fillId="16" borderId="0" xfId="0" applyFont="true" applyFill="true" applyAlignment="true">
      <alignment horizontal="center"/>
    </xf>
    <xf numFmtId="0" fontId="23" fillId="17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15" borderId="2" xfId="0" applyFill="true" applyBorder="true" applyAlignment="true">
      <alignment horizontal="center"/>
    </xf>
    <xf numFmtId="0" fontId="0" fillId="15" borderId="4" xfId="0" applyFill="true" applyBorder="true" applyAlignment="true">
      <alignment horizontal="center"/>
    </xf>
    <xf numFmtId="0" fontId="0" fillId="15" borderId="3" xfId="0" applyFill="true" applyBorder="true"/>
    <xf numFmtId="0" fontId="0" fillId="0" borderId="0" xfId="0" applyAlignment="true">
      <alignment horizontal="center"/>
    </xf>
    <xf numFmtId="0" fontId="0" fillId="0" borderId="0" xfId="0" applyFill="true" applyAlignment="true">
      <alignment horizontal="center"/>
    </xf>
    <xf numFmtId="0" fontId="0" fillId="0" borderId="0" xfId="0" applyAlignment="true">
      <alignment horizontal="right"/>
    </xf>
    <xf numFmtId="0" fontId="0" fillId="26" borderId="0" xfId="0" applyFill="true"/>
    <xf numFmtId="0" fontId="0" fillId="27" borderId="0" xfId="0" applyFill="true"/>
    <xf numFmtId="0" fontId="0" fillId="28" borderId="0" xfId="0" applyFill="true"/>
    <xf numFmtId="0" fontId="0" fillId="29" borderId="0" xfId="0" applyFill="true"/>
    <xf numFmtId="0" fontId="0" fillId="30" borderId="0" xfId="0" applyFill="true"/>
    <xf numFmtId="0" fontId="0" fillId="31" borderId="0" xfId="0" applyFill="true"/>
    <xf numFmtId="0" fontId="0" fillId="32" borderId="0" xfId="0" applyFill="true"/>
    <xf numFmtId="0" fontId="0" fillId="33" borderId="0" xfId="0" applyFill="true"/>
    <xf numFmtId="0" fontId="0" fillId="34" borderId="0" xfId="0" applyFill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0" fillId="38" borderId="0" xfId="0" applyFill="true"/>
    <xf numFmtId="0" fontId="0" fillId="39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1" fillId="2" borderId="0" xfId="0" applyFont="true" applyFill="true" applyBorder="true"/>
    <xf numFmtId="0" fontId="0" fillId="0" borderId="0" xfId="0" applyBorder="true" applyAlignment="true"/>
    <xf numFmtId="0" fontId="0" fillId="0" borderId="0" xfId="0" applyAlignment="true">
      <alignment horizontal="left"/>
    </xf>
    <xf numFmtId="0" fontId="0" fillId="0" borderId="0" xfId="0" applyFill="true" applyBorder="true"/>
    <xf numFmtId="0" fontId="0" fillId="0" borderId="0" xfId="0" applyBorder="true"/>
    <xf numFmtId="0" fontId="3" fillId="48" borderId="0" xfId="0" applyFont="true" applyFill="true"/>
    <xf numFmtId="0" fontId="3" fillId="0" borderId="0" xfId="0" applyFont="true"/>
    <xf numFmtId="0" fontId="3" fillId="47" borderId="0" xfId="0" applyFont="true" applyFill="true"/>
    <xf numFmtId="0" fontId="3" fillId="0" borderId="0" xfId="0" applyFont="true" applyFill="true" applyBorder="true"/>
    <xf numFmtId="11" fontId="3" fillId="0" borderId="0" xfId="0" applyNumberFormat="true" applyFont="true"/>
    <xf numFmtId="11" fontId="3" fillId="0" borderId="0" xfId="0" applyNumberFormat="true" applyFont="true" applyFill="true" applyBorder="true"/>
    <xf numFmtId="0" fontId="3" fillId="0" borderId="0" xfId="0" applyFont="true" applyFill="true"/>
    <xf numFmtId="0" fontId="0" fillId="3" borderId="0" xfId="0" applyFill="true"/>
    <xf numFmtId="0" fontId="24" fillId="0" borderId="0" xfId="0" applyFont="true" applyFill="true" applyBorder="true" applyAlignment="true" applyProtection="true">
      <alignment horizontal="center" vertical="center"/>
    </xf>
    <xf numFmtId="11" fontId="3" fillId="47" borderId="0" xfId="0" applyNumberFormat="true" applyFont="true" applyFill="true"/>
    <xf numFmtId="1" fontId="3" fillId="48" borderId="0" xfId="0" applyNumberFormat="true" applyFont="true" applyFill="true"/>
    <xf numFmtId="1" fontId="3" fillId="0" borderId="0" xfId="0" applyNumberFormat="true" applyFont="true"/>
    <xf numFmtId="1" fontId="3" fillId="47" borderId="0" xfId="0" applyNumberFormat="true" applyFont="true" applyFill="true"/>
    <xf numFmtId="1" fontId="3" fillId="0" borderId="0" xfId="0" applyNumberFormat="true" applyFont="true" applyFill="true" applyBorder="true"/>
    <xf numFmtId="1" fontId="3" fillId="0" borderId="0" xfId="0" applyNumberFormat="true" applyFont="true" applyFill="true"/>
    <xf numFmtId="0" fontId="24" fillId="49" borderId="0" xfId="0" applyFont="true" applyFill="true" applyBorder="true" applyAlignment="true" applyProtection="true">
      <alignment horizontal="center" vertical="center"/>
    </xf>
    <xf numFmtId="164" fontId="0" fillId="0" borderId="24" xfId="0" applyNumberFormat="true" applyBorder="true"/>
    <xf numFmtId="164" fontId="0" fillId="0" borderId="0" xfId="0" applyNumberFormat="true" applyBorder="true"/>
    <xf numFmtId="0" fontId="0" fillId="0" borderId="5" xfId="0" applyBorder="true"/>
    <xf numFmtId="0" fontId="0" fillId="0" borderId="7" xfId="0" applyFill="true" applyBorder="true"/>
    <xf numFmtId="0" fontId="0" fillId="0" borderId="8" xfId="0" applyFill="true" applyBorder="true"/>
    <xf numFmtId="0" fontId="0" fillId="50" borderId="13" xfId="0" applyFill="true" applyBorder="true"/>
    <xf numFmtId="0" fontId="0" fillId="50" borderId="14" xfId="0" applyFill="true" applyBorder="true"/>
    <xf numFmtId="0" fontId="0" fillId="21" borderId="13" xfId="0" applyFill="true" applyBorder="true"/>
    <xf numFmtId="0" fontId="0" fillId="21" borderId="14" xfId="0" applyFill="true" applyBorder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49" fontId="0" fillId="0" borderId="25" xfId="0" applyNumberFormat="true"/>
    <xf numFmtId="22" fontId="0" fillId="0" borderId="26" xfId="0" applyNumberFormat="true"/>
    <xf numFmtId="49" fontId="0" fillId="0" borderId="27" xfId="0" applyNumberFormat="true"/>
    <xf numFmtId="22" fontId="0" fillId="0" borderId="28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146</v>
      </c>
    </row>
    <row r="3" x14ac:dyDescent="0.15">
      <c r="B3" t="s">
        <v>147</v>
      </c>
    </row>
    <row r="4" x14ac:dyDescent="0.15">
      <c r="B4" s="45" t="s">
        <v>168</v>
      </c>
    </row>
    <row r="6" ht="14" thickBot="true" x14ac:dyDescent="0.2">
      <c r="B6" s="32" t="s">
        <v>142</v>
      </c>
    </row>
    <row r="7" x14ac:dyDescent="0.15">
      <c r="B7" s="45" t="s">
        <v>144</v>
      </c>
    </row>
    <row r="8" x14ac:dyDescent="0.15">
      <c r="B8" s="45" t="s">
        <v>143</v>
      </c>
    </row>
    <row r="9" x14ac:dyDescent="0.15">
      <c r="B9" s="45" t="s">
        <v>145</v>
      </c>
    </row>
    <row r="10" x14ac:dyDescent="0.15">
      <c r="B10" s="45" t="s">
        <v>148</v>
      </c>
    </row>
    <row r="11" x14ac:dyDescent="0.15">
      <c r="B11" s="45" t="s">
        <v>152</v>
      </c>
    </row>
    <row r="12" x14ac:dyDescent="0.15">
      <c r="B12" s="45" t="s">
        <v>154</v>
      </c>
    </row>
    <row r="13" x14ac:dyDescent="0.15">
      <c r="B13" s="45" t="s">
        <v>169</v>
      </c>
    </row>
    <row r="15" ht="14" thickBot="true" x14ac:dyDescent="0.2"/>
    <row r="16" ht="14" thickBot="true" x14ac:dyDescent="0.2">
      <c r="B16" s="33" t="s">
        <v>138</v>
      </c>
      <c r="C16" s="34"/>
      <c r="D16" s="16">
        <v>41373</v>
      </c>
    </row>
    <row r="17" x14ac:dyDescent="0.15">
      <c r="B17" s="35" t="s">
        <v>58</v>
      </c>
      <c r="C17" s="19">
        <v>0</v>
      </c>
    </row>
    <row r="18" x14ac:dyDescent="0.15">
      <c r="B18" s="35" t="s">
        <v>59</v>
      </c>
      <c r="C18" s="19">
        <v>1</v>
      </c>
    </row>
    <row r="19" x14ac:dyDescent="0.15">
      <c r="B19" s="35" t="s">
        <v>60</v>
      </c>
      <c r="C19" s="19">
        <v>2</v>
      </c>
    </row>
    <row r="20" ht="14" thickBot="true" x14ac:dyDescent="0.2">
      <c r="B20" s="36" t="s">
        <v>44</v>
      </c>
      <c r="C20" s="20">
        <v>3</v>
      </c>
    </row>
    <row r="21" x14ac:dyDescent="0.15">
      <c r="B21" s="37" t="s">
        <v>141</v>
      </c>
    </row>
    <row r="22" ht="14" thickBot="true" x14ac:dyDescent="0.2"/>
    <row r="23" ht="14" thickBot="true" x14ac:dyDescent="0.2">
      <c r="B23" s="33" t="s">
        <v>66</v>
      </c>
      <c r="C23" s="34"/>
      <c r="D23" s="16" t="s">
        <v>149</v>
      </c>
    </row>
    <row r="24" x14ac:dyDescent="0.15">
      <c r="B24" s="38" t="s">
        <v>38</v>
      </c>
      <c r="C24" s="17">
        <v>1</v>
      </c>
    </row>
    <row r="25" x14ac:dyDescent="0.15">
      <c r="B25" s="35" t="s">
        <v>40</v>
      </c>
      <c r="C25" s="19">
        <v>1.1000000000000001</v>
      </c>
    </row>
    <row r="26" x14ac:dyDescent="0.15">
      <c r="B26" s="35" t="s">
        <v>41</v>
      </c>
      <c r="C26" s="19">
        <v>1.2</v>
      </c>
    </row>
    <row r="27" x14ac:dyDescent="0.15">
      <c r="B27" s="35"/>
      <c r="C27" s="19"/>
    </row>
    <row r="28" x14ac:dyDescent="0.15">
      <c r="B28" s="35" t="s">
        <v>42</v>
      </c>
      <c r="C28" s="19">
        <v>2.1</v>
      </c>
    </row>
    <row r="29" x14ac:dyDescent="0.15">
      <c r="B29" s="35" t="s">
        <v>43</v>
      </c>
      <c r="C29" s="19">
        <v>2.2000000000000002</v>
      </c>
    </row>
    <row r="30" x14ac:dyDescent="0.15">
      <c r="B30" s="35" t="s">
        <v>68</v>
      </c>
      <c r="C30" s="19">
        <v>2.2999999999999998</v>
      </c>
    </row>
    <row r="31" x14ac:dyDescent="0.15">
      <c r="B31" s="35"/>
      <c r="C31" s="19"/>
    </row>
    <row r="32" x14ac:dyDescent="0.15">
      <c r="B32" s="35" t="s">
        <v>63</v>
      </c>
      <c r="C32" s="19">
        <v>3.11</v>
      </c>
    </row>
    <row r="33" x14ac:dyDescent="0.15">
      <c r="B33" s="35" t="s">
        <v>62</v>
      </c>
      <c r="C33" s="19">
        <v>3.12</v>
      </c>
    </row>
    <row r="34" x14ac:dyDescent="0.15">
      <c r="B34" s="35" t="s">
        <v>69</v>
      </c>
      <c r="C34" s="19">
        <v>3.13</v>
      </c>
    </row>
    <row r="35" x14ac:dyDescent="0.15">
      <c r="B35" s="35"/>
      <c r="C35" s="19"/>
    </row>
    <row r="36" x14ac:dyDescent="0.15">
      <c r="B36" s="35" t="s">
        <v>67</v>
      </c>
      <c r="C36" s="19">
        <v>3.21</v>
      </c>
    </row>
    <row r="37" x14ac:dyDescent="0.15">
      <c r="B37" s="35" t="s">
        <v>64</v>
      </c>
      <c r="C37" s="19">
        <v>3.22</v>
      </c>
    </row>
    <row r="38" x14ac:dyDescent="0.15">
      <c r="B38" s="35" t="s">
        <v>70</v>
      </c>
      <c r="C38" s="19">
        <v>3.23</v>
      </c>
    </row>
    <row r="39" x14ac:dyDescent="0.15">
      <c r="B39" s="35"/>
      <c r="C39" s="19"/>
    </row>
    <row r="40" x14ac:dyDescent="0.15">
      <c r="B40" s="35" t="s">
        <v>65</v>
      </c>
      <c r="C40" s="19">
        <v>8</v>
      </c>
    </row>
    <row r="41" x14ac:dyDescent="0.15">
      <c r="B41" s="35"/>
      <c r="C41" s="19"/>
    </row>
    <row r="42" x14ac:dyDescent="0.15">
      <c r="B42" s="35" t="s">
        <v>72</v>
      </c>
      <c r="C42" s="19">
        <v>4.0999999999999996</v>
      </c>
    </row>
    <row r="43" x14ac:dyDescent="0.15">
      <c r="B43" s="35" t="s">
        <v>71</v>
      </c>
      <c r="C43" s="19">
        <v>4.2</v>
      </c>
    </row>
    <row r="44" x14ac:dyDescent="0.15">
      <c r="B44" s="35" t="s">
        <v>73</v>
      </c>
      <c r="C44" s="19">
        <v>4.3</v>
      </c>
    </row>
    <row r="45" x14ac:dyDescent="0.15">
      <c r="B45" s="18"/>
      <c r="C45" s="19"/>
    </row>
    <row r="46" x14ac:dyDescent="0.15">
      <c r="B46" s="35" t="s">
        <v>139</v>
      </c>
      <c r="C46" s="19">
        <v>6.1</v>
      </c>
    </row>
    <row r="47" x14ac:dyDescent="0.15">
      <c r="B47" s="35" t="s">
        <v>45</v>
      </c>
      <c r="C47" s="19">
        <v>6.2</v>
      </c>
    </row>
    <row r="48" x14ac:dyDescent="0.15">
      <c r="B48" s="35"/>
      <c r="C48" s="19"/>
    </row>
    <row r="49" x14ac:dyDescent="0.15">
      <c r="B49" s="35" t="s">
        <v>44</v>
      </c>
      <c r="C49" s="19">
        <v>5</v>
      </c>
    </row>
    <row r="50" x14ac:dyDescent="0.15">
      <c r="B50" s="35"/>
      <c r="C50" s="19"/>
    </row>
    <row r="51" ht="14" thickBot="true" x14ac:dyDescent="0.2">
      <c r="B51" s="36" t="s">
        <v>74</v>
      </c>
      <c r="C51" s="20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42"/>
  <sheetViews>
    <sheetView workbookViewId="0">
      <selection activeCell="P6" sqref="P6"/>
    </sheetView>
  </sheetViews>
  <sheetFormatPr baseColWidth="10" defaultColWidth="8.83203125" defaultRowHeight="15" customHeight="true" x14ac:dyDescent="0.2"/>
  <cols>
    <col min="1" max="1" width="22.5" style="51" customWidth="true"/>
    <col min="2" max="2" width="7.6640625" style="51" customWidth="true"/>
    <col min="3" max="3" width="8.83203125" style="51"/>
    <col min="4" max="4" width="14.33203125" style="51" customWidth="true"/>
    <col min="5" max="5" width="41.83203125" style="51" bestFit="true" customWidth="true"/>
    <col min="6" max="6" width="9.5" style="51" bestFit="true" customWidth="true"/>
    <col min="7" max="7" width="8.1640625" style="51" bestFit="true" customWidth="true"/>
    <col min="8" max="9" width="8.83203125" style="51"/>
    <col min="10" max="10" width="9.1640625" style="51" bestFit="true" customWidth="true"/>
    <col min="11" max="25" width="8.83203125" style="51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51"/>
  </cols>
  <sheetData>
    <row r="1" s="60" customFormat="true" ht="15" customHeight="true" x14ac:dyDescent="0.2">
      <c r="A1" s="59" t="s">
        <v>18</v>
      </c>
      <c r="C1" s="61" t="s">
        <v>8</v>
      </c>
      <c r="D1" s="59" t="s">
        <v>23</v>
      </c>
      <c r="E1" s="59" t="s">
        <v>0</v>
      </c>
      <c r="F1" s="59" t="s">
        <v>7</v>
      </c>
      <c r="G1" s="62" t="s">
        <v>13</v>
      </c>
      <c r="H1" s="59" t="s">
        <v>1</v>
      </c>
      <c r="I1" s="59" t="s">
        <v>2</v>
      </c>
      <c r="J1" s="59" t="s">
        <v>14</v>
      </c>
      <c r="K1" s="59" t="s">
        <v>3</v>
      </c>
      <c r="L1" s="59" t="s">
        <v>4</v>
      </c>
      <c r="M1" s="59" t="s">
        <v>5</v>
      </c>
      <c r="N1" s="59" t="s">
        <v>6</v>
      </c>
      <c r="O1" s="51"/>
      <c r="P1" s="57" t="s">
        <v>175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 x14ac:dyDescent="0.2">
      <c r="C2">
        <v>1</v>
      </c>
      <c r="D2"/>
      <c r="E2" t="s">
        <v>43</v>
      </c>
      <c r="F2">
        <v>1</v>
      </c>
      <c r="G2">
        <v>9.5979329999999994</v>
      </c>
      <c r="H2">
        <v>123</v>
      </c>
      <c r="I2">
        <v>0</v>
      </c>
      <c r="J2"/>
      <c r="K2">
        <v>0</v>
      </c>
      <c r="L2">
        <v>0</v>
      </c>
      <c r="M2">
        <v>0</v>
      </c>
      <c r="N2">
        <v>0</v>
      </c>
      <c r="O2"/>
      <c r="P2"/>
    </row>
    <row r="3" ht="15" customHeight="true" x14ac:dyDescent="0.2">
      <c r="A3" s="63" t="s">
        <v>9</v>
      </c>
      <c r="B3" s="50">
        <v>17</v>
      </c>
      <c r="C3">
        <v>2</v>
      </c>
      <c r="D3"/>
      <c r="E3" t="s">
        <v>42</v>
      </c>
      <c r="F3">
        <v>1</v>
      </c>
      <c r="G3">
        <v>10.16146</v>
      </c>
      <c r="H3">
        <v>123</v>
      </c>
      <c r="I3">
        <v>0</v>
      </c>
      <c r="J3"/>
      <c r="K3">
        <v>0</v>
      </c>
      <c r="L3">
        <v>0</v>
      </c>
      <c r="M3">
        <v>0</v>
      </c>
      <c r="N3">
        <v>0</v>
      </c>
      <c r="O3"/>
      <c r="P3"/>
    </row>
    <row r="4" ht="15" customHeight="true" x14ac:dyDescent="0.2">
      <c r="A4" s="63" t="s">
        <v>10</v>
      </c>
      <c r="B4" s="50">
        <v>2</v>
      </c>
      <c r="C4">
        <v>3</v>
      </c>
      <c r="D4"/>
      <c r="E4" t="s">
        <v>181</v>
      </c>
      <c r="F4">
        <v>0</v>
      </c>
      <c r="G4">
        <v>6.5136120000000002</v>
      </c>
      <c r="H4">
        <v>72</v>
      </c>
      <c r="I4">
        <v>175.60980000000001</v>
      </c>
      <c r="J4"/>
      <c r="K4">
        <v>0.41</v>
      </c>
      <c r="L4">
        <v>0</v>
      </c>
      <c r="M4">
        <v>0.2</v>
      </c>
      <c r="N4">
        <v>0</v>
      </c>
      <c r="O4"/>
      <c r="P4"/>
      <c r="V4" s="63" t="s">
        <v>29</v>
      </c>
    </row>
    <row r="5" ht="15" customHeight="true" thickBot="true" x14ac:dyDescent="0.25">
      <c r="A5" s="63" t="s">
        <v>11</v>
      </c>
      <c r="B5" s="50">
        <v>1</v>
      </c>
      <c r="C5">
        <v>4</v>
      </c>
      <c r="D5"/>
      <c r="E5" t="s">
        <v>182</v>
      </c>
      <c r="F5">
        <v>0</v>
      </c>
      <c r="G5">
        <v>9.2688690000000005</v>
      </c>
      <c r="H5">
        <v>30</v>
      </c>
      <c r="I5">
        <v>130.4348</v>
      </c>
      <c r="J5"/>
      <c r="K5">
        <v>0.23</v>
      </c>
      <c r="L5">
        <v>0</v>
      </c>
      <c r="M5">
        <v>0.2</v>
      </c>
      <c r="N5">
        <v>0</v>
      </c>
      <c r="O5"/>
      <c r="P5"/>
      <c r="Q5" s="56"/>
      <c r="R5" s="56"/>
    </row>
    <row r="6" ht="15" customHeight="true" thickBot="true" x14ac:dyDescent="0.25">
      <c r="B6" s="63"/>
      <c r="C6">
        <v>5</v>
      </c>
      <c r="D6"/>
      <c r="E6" t="s">
        <v>183</v>
      </c>
      <c r="F6">
        <v>0</v>
      </c>
      <c r="G6">
        <v>5.1741609999999998</v>
      </c>
      <c r="H6">
        <v>7</v>
      </c>
      <c r="I6">
        <v>20</v>
      </c>
      <c r="J6"/>
      <c r="K6">
        <v>0.35</v>
      </c>
      <c r="L6">
        <v>0</v>
      </c>
      <c r="M6">
        <v>0.2</v>
      </c>
      <c r="N6">
        <v>0</v>
      </c>
      <c r="O6"/>
      <c r="P6"/>
      <c r="Q6" s="56"/>
      <c r="R6" s="56"/>
      <c r="W6" s="64" t="s">
        <v>31</v>
      </c>
      <c r="X6" s="65">
        <f>MAX(MainOutputs!G:G)</f>
        <v>0.85000026226043701</v>
      </c>
    </row>
    <row r="7" ht="15" customHeight="true" x14ac:dyDescent="0.2">
      <c r="A7" s="66" t="s">
        <v>27</v>
      </c>
      <c r="B7" s="51">
        <f ca="true">COUNTIF(OFFSET(cornerDiets,1,1,NumLiving+NumDead+1,NumLiving+NumDead),"&gt;0")+NumLiving+NumDead+1</f>
        <v>93</v>
      </c>
      <c r="C7">
        <v>6</v>
      </c>
      <c r="D7"/>
      <c r="E7" t="s">
        <v>184</v>
      </c>
      <c r="F7">
        <v>0</v>
      </c>
      <c r="G7">
        <v>7.3872820000000006E-2</v>
      </c>
      <c r="H7">
        <v>40</v>
      </c>
      <c r="I7">
        <v>148.1481</v>
      </c>
      <c r="J7"/>
      <c r="K7">
        <v>0.27</v>
      </c>
      <c r="L7">
        <v>0</v>
      </c>
      <c r="M7">
        <v>0.2</v>
      </c>
      <c r="N7">
        <v>0</v>
      </c>
      <c r="O7"/>
      <c r="P7"/>
      <c r="Q7" s="56"/>
      <c r="R7" s="56"/>
    </row>
    <row r="8" ht="15" customHeight="true" x14ac:dyDescent="0.2">
      <c r="A8" s="66" t="s">
        <v>28</v>
      </c>
      <c r="B8" s="51">
        <f ca="true">COUNTIF(OFFSET(cornerFishing,1,2,NumLiving+NumDead,NumGears),"&gt;0")+NumDead*COUNTIF(OFFSET(cornerDiscards,1,2,NumLiving+NumDead,NumGears),"&gt;0")+NumLiving+NumDead+1</f>
        <v>32</v>
      </c>
      <c r="C8">
        <v>7</v>
      </c>
      <c r="D8"/>
      <c r="E8" t="s">
        <v>185</v>
      </c>
      <c r="F8">
        <v>0</v>
      </c>
      <c r="G8">
        <v>12</v>
      </c>
      <c r="H8">
        <v>0.95</v>
      </c>
      <c r="I8">
        <v>4.75</v>
      </c>
      <c r="J8"/>
      <c r="K8">
        <v>0.2</v>
      </c>
      <c r="L8">
        <v>0</v>
      </c>
      <c r="M8">
        <v>0.2</v>
      </c>
      <c r="N8">
        <v>0</v>
      </c>
      <c r="O8"/>
      <c r="P8"/>
      <c r="Q8" s="56"/>
      <c r="R8" s="56"/>
    </row>
    <row r="9" ht="15" customHeight="true" x14ac:dyDescent="0.2">
      <c r="B9" s="63"/>
      <c r="C9">
        <v>8</v>
      </c>
      <c r="D9"/>
      <c r="E9" t="s">
        <v>186</v>
      </c>
      <c r="F9">
        <v>0</v>
      </c>
      <c r="G9">
        <v>5.1614309999999997E-2</v>
      </c>
      <c r="H9">
        <v>0.55000000000000004</v>
      </c>
      <c r="I9">
        <v>3.6666669999999999</v>
      </c>
      <c r="J9"/>
      <c r="K9">
        <v>0.15</v>
      </c>
      <c r="L9">
        <v>0</v>
      </c>
      <c r="M9">
        <v>0.2</v>
      </c>
      <c r="N9">
        <v>0</v>
      </c>
      <c r="O9"/>
      <c r="P9"/>
      <c r="Q9" s="56"/>
      <c r="R9" s="56"/>
    </row>
    <row r="10" ht="15" customHeight="true" x14ac:dyDescent="0.2">
      <c r="B10" s="63"/>
      <c r="C10">
        <v>9</v>
      </c>
      <c r="D10"/>
      <c r="E10" t="s">
        <v>187</v>
      </c>
      <c r="F10">
        <v>0</v>
      </c>
      <c r="G10">
        <v>13</v>
      </c>
      <c r="H10">
        <v>0.45</v>
      </c>
      <c r="I10">
        <v>3</v>
      </c>
      <c r="J10"/>
      <c r="K10">
        <v>0.15</v>
      </c>
      <c r="L10">
        <v>0</v>
      </c>
      <c r="M10">
        <v>0.2</v>
      </c>
      <c r="N10">
        <v>0</v>
      </c>
      <c r="O10"/>
      <c r="P10"/>
    </row>
    <row r="11" ht="15" customHeight="true" x14ac:dyDescent="0.2">
      <c r="C11">
        <v>10</v>
      </c>
      <c r="D11"/>
      <c r="E11" t="s">
        <v>188</v>
      </c>
      <c r="F11">
        <v>0</v>
      </c>
      <c r="G11">
        <v>1.0792820000000001</v>
      </c>
      <c r="H11">
        <v>15</v>
      </c>
      <c r="I11">
        <v>75</v>
      </c>
      <c r="J11"/>
      <c r="K11">
        <v>0.2</v>
      </c>
      <c r="L11">
        <v>0</v>
      </c>
      <c r="M11">
        <v>0.2</v>
      </c>
      <c r="N11">
        <v>0</v>
      </c>
      <c r="O11"/>
      <c r="P11"/>
    </row>
    <row r="12" ht="15" customHeight="true" x14ac:dyDescent="0.2">
      <c r="C12">
        <v>11</v>
      </c>
      <c r="D12"/>
      <c r="E12" t="s">
        <v>189</v>
      </c>
      <c r="F12">
        <v>0</v>
      </c>
      <c r="G12">
        <v>0.48197499999999999</v>
      </c>
      <c r="H12">
        <v>2</v>
      </c>
      <c r="I12">
        <v>8</v>
      </c>
      <c r="J12"/>
      <c r="K12">
        <v>0.25</v>
      </c>
      <c r="L12">
        <v>0</v>
      </c>
      <c r="M12">
        <v>0.2</v>
      </c>
      <c r="N12">
        <v>0</v>
      </c>
      <c r="O12"/>
      <c r="P12"/>
    </row>
    <row r="13" ht="15" customHeight="true" x14ac:dyDescent="0.2">
      <c r="C13">
        <v>12</v>
      </c>
      <c r="D13"/>
      <c r="E13" t="s">
        <v>190</v>
      </c>
      <c r="F13">
        <v>0</v>
      </c>
      <c r="G13">
        <v>2.0865420000000001</v>
      </c>
      <c r="H13">
        <v>4</v>
      </c>
      <c r="I13">
        <v>16</v>
      </c>
      <c r="J13"/>
      <c r="K13">
        <v>0.25</v>
      </c>
      <c r="L13">
        <v>0</v>
      </c>
      <c r="M13">
        <v>0.2</v>
      </c>
      <c r="N13">
        <v>0</v>
      </c>
      <c r="O13"/>
      <c r="P13"/>
    </row>
    <row r="14" ht="15" customHeight="true" x14ac:dyDescent="0.2">
      <c r="C14">
        <v>13</v>
      </c>
      <c r="D14"/>
      <c r="E14" t="s">
        <v>191</v>
      </c>
      <c r="F14">
        <v>0</v>
      </c>
      <c r="G14">
        <v>1.5986819999999999</v>
      </c>
      <c r="H14">
        <v>1.5</v>
      </c>
      <c r="I14">
        <v>7.5</v>
      </c>
      <c r="J14"/>
      <c r="K14">
        <v>0.2</v>
      </c>
      <c r="L14">
        <v>0</v>
      </c>
      <c r="M14">
        <v>0.2</v>
      </c>
      <c r="N14">
        <v>0</v>
      </c>
      <c r="O14"/>
      <c r="P14"/>
    </row>
    <row r="15" ht="15" customHeight="true" x14ac:dyDescent="0.2">
      <c r="C15">
        <v>14</v>
      </c>
      <c r="D15"/>
      <c r="E15" t="s">
        <v>192</v>
      </c>
      <c r="F15">
        <v>0</v>
      </c>
      <c r="G15">
        <v>50.707529999999998</v>
      </c>
      <c r="H15">
        <v>0.8</v>
      </c>
      <c r="I15">
        <v>4</v>
      </c>
      <c r="J15"/>
      <c r="K15">
        <v>0.2</v>
      </c>
      <c r="L15">
        <v>0</v>
      </c>
      <c r="M15">
        <v>0.2</v>
      </c>
      <c r="N15">
        <v>0</v>
      </c>
      <c r="O15"/>
      <c r="P15"/>
    </row>
    <row r="16" ht="15" customHeight="true" x14ac:dyDescent="0.2">
      <c r="C16">
        <v>15</v>
      </c>
      <c r="D16"/>
      <c r="E16" t="s">
        <v>193</v>
      </c>
      <c r="F16">
        <v>0</v>
      </c>
      <c r="G16">
        <v>1.439E-2</v>
      </c>
      <c r="H16">
        <v>0.27500000000000002</v>
      </c>
      <c r="I16">
        <v>13.75</v>
      </c>
      <c r="J16"/>
      <c r="K16">
        <v>0.02</v>
      </c>
      <c r="L16">
        <v>0</v>
      </c>
      <c r="M16">
        <v>0.2</v>
      </c>
      <c r="N16">
        <v>0</v>
      </c>
      <c r="O16"/>
      <c r="P16"/>
    </row>
    <row r="17" ht="15" customHeight="true" x14ac:dyDescent="0.2">
      <c r="C17">
        <v>16</v>
      </c>
      <c r="D17"/>
      <c r="E17" t="s">
        <v>194</v>
      </c>
      <c r="F17">
        <v>0</v>
      </c>
      <c r="G17">
        <v>0.41671999999999998</v>
      </c>
      <c r="H17">
        <v>0.04</v>
      </c>
      <c r="I17">
        <v>2</v>
      </c>
      <c r="J17"/>
      <c r="K17">
        <v>0.02</v>
      </c>
      <c r="L17">
        <v>0</v>
      </c>
      <c r="M17">
        <v>0.2</v>
      </c>
      <c r="N17">
        <v>0</v>
      </c>
      <c r="O17"/>
      <c r="P17"/>
      <c r="V17" s="63" t="s">
        <v>30</v>
      </c>
    </row>
    <row r="18" ht="15" customHeight="true" x14ac:dyDescent="0.2">
      <c r="C18">
        <v>17</v>
      </c>
      <c r="D18"/>
      <c r="E18" t="s">
        <v>195</v>
      </c>
      <c r="F18">
        <v>0</v>
      </c>
      <c r="G18">
        <v>0.122</v>
      </c>
      <c r="H18">
        <v>7.0000000000000007E-2</v>
      </c>
      <c r="I18">
        <v>3.5</v>
      </c>
      <c r="J18"/>
      <c r="K18">
        <v>0.02</v>
      </c>
      <c r="L18">
        <v>0</v>
      </c>
      <c r="M18">
        <v>0.2</v>
      </c>
      <c r="N18">
        <v>0</v>
      </c>
      <c r="O18"/>
      <c r="P18"/>
      <c r="V18" s="63"/>
    </row>
    <row r="19" ht="15" customHeight="true" x14ac:dyDescent="0.2">
      <c r="C19">
        <v>18</v>
      </c>
      <c r="D19"/>
      <c r="E19" t="s">
        <v>72</v>
      </c>
      <c r="F19">
        <v>2</v>
      </c>
      <c r="G19">
        <v>10</v>
      </c>
      <c r="H19"/>
      <c r="I19"/>
      <c r="J19"/>
      <c r="K19"/>
      <c r="L19">
        <v>0</v>
      </c>
      <c r="M19">
        <v>0.2</v>
      </c>
      <c r="N19">
        <v>0</v>
      </c>
      <c r="O19" s="45" t="s">
        <v>196</v>
      </c>
      <c r="P19"/>
    </row>
    <row r="20" ht="15" customHeight="true" thickBot="true" x14ac:dyDescent="0.25">
      <c r="C20">
        <v>19</v>
      </c>
      <c r="D20"/>
      <c r="E20" t="s">
        <v>73</v>
      </c>
      <c r="F20">
        <v>2</v>
      </c>
      <c r="G20">
        <v>10</v>
      </c>
      <c r="H20"/>
      <c r="I20"/>
      <c r="J20"/>
      <c r="K20"/>
      <c r="L20">
        <v>0</v>
      </c>
      <c r="M20">
        <v>0.2</v>
      </c>
      <c r="N20">
        <v>0</v>
      </c>
      <c r="O20"/>
      <c r="P20"/>
    </row>
    <row r="21" ht="15" customHeight="true" thickBot="true" x14ac:dyDescent="0.25">
      <c r="A21" s="67" t="s">
        <v>138</v>
      </c>
      <c r="B21" s="68"/>
      <c r="C21">
        <v>20</v>
      </c>
      <c r="D21"/>
      <c r="E21" t="s">
        <v>197</v>
      </c>
      <c r="F21">
        <v>3</v>
      </c>
      <c r="G21"/>
      <c r="H21"/>
      <c r="I21"/>
      <c r="J21"/>
      <c r="K21"/>
      <c r="L21">
        <v>0</v>
      </c>
      <c r="M21">
        <v>0.2</v>
      </c>
      <c r="N21">
        <v>0</v>
      </c>
      <c r="O21"/>
      <c r="P21"/>
    </row>
    <row r="22" ht="15" customHeight="true" x14ac:dyDescent="0.2">
      <c r="A22" s="69" t="s">
        <v>58</v>
      </c>
      <c r="B22" s="7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ht="15" customHeight="true" x14ac:dyDescent="0.2">
      <c r="A23" s="69" t="s">
        <v>59</v>
      </c>
      <c r="B23" s="70">
        <v>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ht="15" customHeight="true" x14ac:dyDescent="0.2">
      <c r="A24" s="69" t="s">
        <v>60</v>
      </c>
      <c r="B24" s="70">
        <v>2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ht="15" customHeight="true" thickBot="true" x14ac:dyDescent="0.25">
      <c r="A25" s="71" t="s">
        <v>44</v>
      </c>
      <c r="B25" s="72">
        <v>3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ht="15" customHeight="true" x14ac:dyDescent="0.2">
      <c r="A26" s="73" t="s">
        <v>141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ht="15" customHeight="true" x14ac:dyDescent="0.2"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ht="15" customHeight="true" x14ac:dyDescent="0.2"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ht="15" customHeight="true" x14ac:dyDescent="0.2"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ht="15" customHeight="true" x14ac:dyDescent="0.2"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ht="15" customHeight="true" x14ac:dyDescent="0.2">
      <c r="C31"/>
      <c r="D31"/>
      <c r="E31" t="s">
        <v>198</v>
      </c>
      <c r="F31" t="s">
        <v>199</v>
      </c>
      <c r="G31"/>
      <c r="H31"/>
      <c r="I31"/>
      <c r="J31"/>
      <c r="K31"/>
      <c r="L31"/>
      <c r="M31"/>
      <c r="N31"/>
      <c r="O31"/>
      <c r="P31"/>
    </row>
    <row r="32" ht="15" customHeight="true" x14ac:dyDescent="0.2"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ht="15" customHeight="true" x14ac:dyDescent="0.2">
      <c r="C33"/>
      <c r="D33"/>
      <c r="E33" t="s">
        <v>200</v>
      </c>
      <c r="F33" t="s">
        <v>201</v>
      </c>
      <c r="G33"/>
      <c r="H33"/>
      <c r="I33"/>
      <c r="J33"/>
      <c r="K33"/>
      <c r="L33"/>
      <c r="M33"/>
      <c r="N33"/>
      <c r="O33"/>
      <c r="P33"/>
    </row>
    <row r="34" ht="15" customHeight="true" x14ac:dyDescent="0.2"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ht="15" customHeight="true" x14ac:dyDescent="0.2"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ht="15" customHeight="true" x14ac:dyDescent="0.2"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ht="15" customHeight="true" x14ac:dyDescent="0.2"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ht="15" customHeight="true" x14ac:dyDescent="0.2"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ht="15" customHeight="true" x14ac:dyDescent="0.2"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ht="15" customHeight="true" x14ac:dyDescent="0.2"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customFormat="true" ht="15" customHeight="true" x14ac:dyDescent="0.15"/>
    <row r="42" customFormat="true" ht="15" customHeight="true" x14ac:dyDescent="0.15"/>
    <row r="43" customFormat="true" ht="15" customHeight="true" x14ac:dyDescent="0.15"/>
    <row r="44" customFormat="true" ht="15" customHeight="true" x14ac:dyDescent="0.15"/>
    <row r="45" customFormat="true" ht="15" customHeight="true" x14ac:dyDescent="0.15"/>
    <row r="46" customFormat="true" ht="15" customHeight="true" x14ac:dyDescent="0.15"/>
    <row r="47" customFormat="true" ht="15" customHeight="true" x14ac:dyDescent="0.15"/>
    <row r="48" customFormat="true" ht="15" customHeight="true" x14ac:dyDescent="0.15"/>
    <row r="49" customFormat="true" ht="15" customHeight="true" x14ac:dyDescent="0.15"/>
    <row r="50" customFormat="true" ht="15" customHeight="true" x14ac:dyDescent="0.15"/>
    <row r="51" customFormat="true" ht="15" customHeight="true" x14ac:dyDescent="0.15"/>
    <row r="52" customFormat="true" ht="15" customHeight="true" x14ac:dyDescent="0.15"/>
    <row r="53" customFormat="true" ht="15" customHeight="true" x14ac:dyDescent="0.15"/>
    <row r="54" customFormat="true" ht="15" customHeight="true" x14ac:dyDescent="0.15"/>
    <row r="55" customFormat="true" ht="15" customHeight="true" x14ac:dyDescent="0.15"/>
    <row r="56" customFormat="true" ht="15" customHeight="true" x14ac:dyDescent="0.15"/>
    <row r="57" customFormat="true" ht="15" customHeight="true" x14ac:dyDescent="0.15"/>
    <row r="58" customFormat="true" ht="15" customHeight="true" x14ac:dyDescent="0.15"/>
    <row r="59" customFormat="true" ht="15" customHeight="true" x14ac:dyDescent="0.15"/>
    <row r="60" customFormat="true" ht="15" customHeight="true" x14ac:dyDescent="0.15"/>
    <row r="61" customFormat="true" ht="15" customHeight="true" x14ac:dyDescent="0.15"/>
    <row r="62" customFormat="true" ht="15" customHeight="true" x14ac:dyDescent="0.15"/>
    <row r="63" customFormat="true" ht="15" customHeight="true" x14ac:dyDescent="0.15"/>
    <row r="64" customFormat="true" ht="15" customHeight="true" x14ac:dyDescent="0.15"/>
    <row r="65" customFormat="true" ht="15" customHeight="true" x14ac:dyDescent="0.15"/>
    <row r="66" customFormat="true" ht="15" customHeight="true" x14ac:dyDescent="0.15"/>
    <row r="67" customFormat="true" ht="15" customHeight="true" x14ac:dyDescent="0.15"/>
    <row r="68" customFormat="true" ht="15" customHeight="true" x14ac:dyDescent="0.15"/>
    <row r="69" customFormat="true" ht="15" customHeight="true" x14ac:dyDescent="0.15"/>
    <row r="70" customFormat="true" ht="15" customHeight="true" x14ac:dyDescent="0.15"/>
    <row r="71" customFormat="true" ht="15" customHeight="true" x14ac:dyDescent="0.15"/>
    <row r="72" customFormat="true" ht="15" customHeight="true" x14ac:dyDescent="0.15"/>
    <row r="73" customFormat="true" ht="15" customHeight="true" x14ac:dyDescent="0.15"/>
    <row r="74" customFormat="true" ht="15" customHeight="true" x14ac:dyDescent="0.15"/>
    <row r="75" customFormat="true" ht="15" customHeight="true" x14ac:dyDescent="0.15"/>
    <row r="76" customFormat="true" ht="15" customHeight="true" x14ac:dyDescent="0.15"/>
    <row r="77" customFormat="true" ht="15" customHeight="true" x14ac:dyDescent="0.15"/>
    <row r="78" customFormat="true" ht="15" customHeight="true" x14ac:dyDescent="0.15"/>
    <row r="79" customFormat="true" ht="15" customHeight="true" x14ac:dyDescent="0.15"/>
    <row r="80" customFormat="true" ht="15" customHeight="true" x14ac:dyDescent="0.15"/>
    <row r="81" customFormat="true" ht="15" customHeight="true" x14ac:dyDescent="0.15"/>
    <row r="82" customFormat="true" ht="15" customHeight="true" x14ac:dyDescent="0.15"/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/>
    <row r="87" customFormat="true" ht="15" customHeight="true" x14ac:dyDescent="0.15"/>
    <row r="88" customFormat="true" ht="15" customHeight="true" x14ac:dyDescent="0.15"/>
    <row r="89" customFormat="true" ht="15" customHeight="true" x14ac:dyDescent="0.15"/>
    <row r="90" customFormat="true" ht="15" customHeight="true" x14ac:dyDescent="0.15"/>
    <row r="91" customFormat="true" ht="15" customHeight="true" x14ac:dyDescent="0.15"/>
    <row r="92" customFormat="true" ht="15" customHeight="true" x14ac:dyDescent="0.15"/>
    <row r="93" customFormat="true" ht="15" customHeight="true" x14ac:dyDescent="0.15"/>
    <row r="94" customFormat="true" ht="15" customHeight="true" x14ac:dyDescent="0.15"/>
    <row r="95" customFormat="true" ht="15" customHeight="true" x14ac:dyDescent="0.15"/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  <row r="194" customFormat="true" ht="15" customHeight="true" x14ac:dyDescent="0.15"/>
    <row r="195" customFormat="true" ht="15" customHeight="true" x14ac:dyDescent="0.15"/>
    <row r="196" customFormat="true" ht="15" customHeight="true" x14ac:dyDescent="0.15"/>
    <row r="197" customFormat="true" ht="15" customHeight="true" x14ac:dyDescent="0.15"/>
    <row r="198" customFormat="true" ht="15" customHeight="true" x14ac:dyDescent="0.15"/>
    <row r="199" customFormat="true" ht="15" customHeight="true" x14ac:dyDescent="0.15"/>
    <row r="200" customFormat="true" ht="15" customHeight="true" x14ac:dyDescent="0.15"/>
    <row r="201" customFormat="true" ht="15" customHeight="true" x14ac:dyDescent="0.15"/>
    <row r="202" customFormat="true" ht="15" customHeight="true" x14ac:dyDescent="0.15"/>
    <row r="203" customFormat="true" ht="15" customHeight="true" x14ac:dyDescent="0.15"/>
    <row r="204" customFormat="true" ht="15" customHeight="true" x14ac:dyDescent="0.15"/>
    <row r="205" customFormat="true" ht="15" customHeight="true" x14ac:dyDescent="0.15"/>
    <row r="206" customFormat="true" ht="15" customHeight="true" x14ac:dyDescent="0.15"/>
    <row r="207" ht="15" customHeight="true" x14ac:dyDescent="0.2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ht="15" customHeight="true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ht="15" customHeight="true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ht="15" customHeight="true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ht="15" customHeight="true" x14ac:dyDescent="0.2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ht="15" customHeight="true" x14ac:dyDescent="0.2"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ht="15" customHeight="true" x14ac:dyDescent="0.2"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ht="15" customHeight="true" x14ac:dyDescent="0.2"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ht="15" customHeight="true" x14ac:dyDescent="0.2"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ht="15" customHeight="true" x14ac:dyDescent="0.2"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ht="15" customHeight="true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ht="15" customHeight="true" x14ac:dyDescent="0.2"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ht="15" customHeight="true" x14ac:dyDescent="0.2"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ht="15" customHeight="true" x14ac:dyDescent="0.2"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ht="15" customHeight="true" x14ac:dyDescent="0.2"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ht="15" customHeight="true" x14ac:dyDescent="0.2"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ht="15" customHeight="true" x14ac:dyDescent="0.2"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ht="15" customHeight="true" x14ac:dyDescent="0.2"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ht="15" customHeight="true" x14ac:dyDescent="0.2"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ht="15" customHeight="true" x14ac:dyDescent="0.2"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ht="15" customHeight="true" x14ac:dyDescent="0.2"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ht="15" customHeight="true" x14ac:dyDescent="0.2"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ht="15" customHeight="true" x14ac:dyDescent="0.2"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ht="15" customHeight="true" x14ac:dyDescent="0.2"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ht="15" customHeight="true" x14ac:dyDescent="0.2"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ht="15" customHeight="true" x14ac:dyDescent="0.2"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ht="15" customHeight="true" x14ac:dyDescent="0.2"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ht="15" customHeight="true" x14ac:dyDescent="0.2"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ht="15" customHeight="true" x14ac:dyDescent="0.2"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ht="15" customHeight="true" x14ac:dyDescent="0.2"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ht="15" customHeight="true" x14ac:dyDescent="0.2"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ht="15" customHeight="true" x14ac:dyDescent="0.2"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ht="15" customHeight="true" x14ac:dyDescent="0.2"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ht="15" customHeight="true" x14ac:dyDescent="0.2"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ht="15" customHeight="true" x14ac:dyDescent="0.2"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ht="15" customHeight="true" x14ac:dyDescent="0.2">
      <c r="C242"/>
      <c r="D242"/>
      <c r="E242"/>
      <c r="F242"/>
      <c r="G242"/>
      <c r="H242"/>
      <c r="I242"/>
      <c r="J242"/>
      <c r="K242"/>
      <c r="L242"/>
      <c r="M242"/>
      <c r="N242"/>
      <c r="O242"/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T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9" sqref="A29"/>
    </sheetView>
  </sheetViews>
  <sheetFormatPr baseColWidth="10" defaultColWidth="8.83203125" defaultRowHeight="13" x14ac:dyDescent="0.15"/>
  <cols>
    <col min="1" max="1" width="40" bestFit="true" customWidth="true"/>
    <col min="70" max="70" width="22.1640625" bestFit="true" customWidth="true"/>
  </cols>
  <sheetData>
    <row r="1" x14ac:dyDescent="0.15">
      <c r="A1" s="2" t="s">
        <v>19</v>
      </c>
      <c r="B1" t="s">
        <v>43</v>
      </c>
      <c r="C1" t="s">
        <v>42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72</v>
      </c>
      <c r="T1" t="s">
        <v>73</v>
      </c>
    </row>
    <row r="2" x14ac:dyDescent="0.15">
      <c r="A2" t="s">
        <v>43</v>
      </c>
      <c r="B2" s="153">
        <v>0</v>
      </c>
      <c r="C2" s="154">
        <v>0</v>
      </c>
      <c r="D2" s="154">
        <v>0.6</v>
      </c>
      <c r="E2" s="154">
        <v>0.18</v>
      </c>
      <c r="F2" s="154">
        <v>0</v>
      </c>
      <c r="G2" s="154">
        <v>0</v>
      </c>
      <c r="H2" s="154">
        <v>0</v>
      </c>
      <c r="I2" s="154">
        <v>0</v>
      </c>
      <c r="J2" s="154">
        <v>0</v>
      </c>
      <c r="K2" s="154">
        <v>0</v>
      </c>
      <c r="L2" s="154">
        <v>0</v>
      </c>
      <c r="M2" s="154">
        <v>0</v>
      </c>
      <c r="N2" s="154">
        <v>0</v>
      </c>
      <c r="O2" s="154">
        <v>0.19971069999999999</v>
      </c>
      <c r="P2" s="154">
        <v>0</v>
      </c>
      <c r="Q2" s="154">
        <v>0</v>
      </c>
      <c r="R2" s="154">
        <v>0</v>
      </c>
      <c r="S2" s="155">
        <v>0</v>
      </c>
      <c r="T2" s="155">
        <v>0</v>
      </c>
    </row>
    <row r="3" x14ac:dyDescent="0.15">
      <c r="A3" t="s">
        <v>42</v>
      </c>
      <c r="B3" s="154">
        <v>0</v>
      </c>
      <c r="C3" s="153">
        <v>0</v>
      </c>
      <c r="D3" s="154">
        <v>0.25</v>
      </c>
      <c r="E3" s="154">
        <v>0.49</v>
      </c>
      <c r="F3" s="154">
        <v>0</v>
      </c>
      <c r="G3" s="154">
        <v>0</v>
      </c>
      <c r="H3" s="154">
        <v>0</v>
      </c>
      <c r="I3" s="154">
        <v>0</v>
      </c>
      <c r="J3" s="154">
        <v>0</v>
      </c>
      <c r="K3" s="154">
        <v>0</v>
      </c>
      <c r="L3" s="154">
        <v>0</v>
      </c>
      <c r="M3" s="154">
        <v>0</v>
      </c>
      <c r="N3" s="154">
        <v>0</v>
      </c>
      <c r="O3" s="154">
        <v>0.59913209999999995</v>
      </c>
      <c r="P3" s="154">
        <v>0</v>
      </c>
      <c r="Q3" s="154">
        <v>0</v>
      </c>
      <c r="R3" s="154">
        <v>0</v>
      </c>
      <c r="S3" s="155">
        <v>0</v>
      </c>
      <c r="T3" s="155">
        <v>0</v>
      </c>
    </row>
    <row r="4" x14ac:dyDescent="0.15">
      <c r="A4" t="s">
        <v>181</v>
      </c>
      <c r="B4" s="154">
        <v>0</v>
      </c>
      <c r="C4" s="154">
        <v>0</v>
      </c>
      <c r="D4" s="153">
        <v>0</v>
      </c>
      <c r="E4" s="154">
        <v>0.3</v>
      </c>
      <c r="F4" s="154">
        <v>0</v>
      </c>
      <c r="G4" s="154">
        <v>0</v>
      </c>
      <c r="H4" s="154">
        <v>0</v>
      </c>
      <c r="I4" s="154">
        <v>0</v>
      </c>
      <c r="J4" s="154">
        <v>0</v>
      </c>
      <c r="K4" s="154">
        <v>0</v>
      </c>
      <c r="L4" s="154">
        <v>0</v>
      </c>
      <c r="M4" s="154">
        <v>0</v>
      </c>
      <c r="N4" s="156">
        <v>0</v>
      </c>
      <c r="O4" s="154">
        <v>0.1771836</v>
      </c>
      <c r="P4" s="154">
        <v>0</v>
      </c>
      <c r="Q4" s="154">
        <v>0</v>
      </c>
      <c r="R4" s="154">
        <v>0</v>
      </c>
      <c r="S4" s="155">
        <v>0</v>
      </c>
      <c r="T4" s="155">
        <v>0</v>
      </c>
    </row>
    <row r="5" x14ac:dyDescent="0.15">
      <c r="A5" t="s">
        <v>182</v>
      </c>
      <c r="B5" s="154">
        <v>0</v>
      </c>
      <c r="C5" s="154">
        <v>0</v>
      </c>
      <c r="D5" s="154">
        <v>0</v>
      </c>
      <c r="E5" s="153">
        <v>0.01</v>
      </c>
      <c r="F5" s="154">
        <v>0.99509999999999998</v>
      </c>
      <c r="G5" s="154">
        <v>1</v>
      </c>
      <c r="H5" s="154">
        <v>0.70378050000000003</v>
      </c>
      <c r="I5" s="154">
        <v>0.35052749999999999</v>
      </c>
      <c r="J5" s="154">
        <v>0.23442850000000001</v>
      </c>
      <c r="K5" s="154">
        <v>0.7463495</v>
      </c>
      <c r="L5" s="154">
        <v>0</v>
      </c>
      <c r="M5" s="154">
        <v>0</v>
      </c>
      <c r="N5" s="156">
        <v>0</v>
      </c>
      <c r="O5" s="154">
        <v>0</v>
      </c>
      <c r="P5" s="154">
        <v>0.1095169</v>
      </c>
      <c r="Q5" s="154">
        <v>0.70279720000000001</v>
      </c>
      <c r="R5" s="154">
        <v>0</v>
      </c>
      <c r="S5" s="155">
        <v>0</v>
      </c>
      <c r="T5" s="155">
        <v>0</v>
      </c>
    </row>
    <row r="6" x14ac:dyDescent="0.15">
      <c r="A6" t="s">
        <v>183</v>
      </c>
      <c r="B6" s="154">
        <v>0</v>
      </c>
      <c r="C6" s="154">
        <v>0</v>
      </c>
      <c r="D6" s="154">
        <v>0</v>
      </c>
      <c r="E6" s="154">
        <v>0</v>
      </c>
      <c r="F6" s="153">
        <v>0</v>
      </c>
      <c r="G6" s="154">
        <v>0</v>
      </c>
      <c r="H6" s="154">
        <v>0.19555890000000001</v>
      </c>
      <c r="I6" s="154">
        <v>9.7400799999999996E-2</v>
      </c>
      <c r="J6" s="154">
        <v>6.5140429999999999E-2</v>
      </c>
      <c r="K6" s="154">
        <v>0.2073875</v>
      </c>
      <c r="L6" s="154">
        <v>0</v>
      </c>
      <c r="M6" s="154">
        <v>0</v>
      </c>
      <c r="N6" s="156">
        <v>0</v>
      </c>
      <c r="O6" s="154">
        <v>0</v>
      </c>
      <c r="P6" s="154">
        <v>0.40911819999999999</v>
      </c>
      <c r="Q6" s="154">
        <v>0.23661470000000001</v>
      </c>
      <c r="R6" s="154">
        <v>3.5403810000000001E-2</v>
      </c>
      <c r="S6" s="155">
        <v>0</v>
      </c>
      <c r="T6" s="155">
        <v>0</v>
      </c>
    </row>
    <row r="7" x14ac:dyDescent="0.15">
      <c r="A7" t="s">
        <v>184</v>
      </c>
      <c r="B7" s="154">
        <v>0</v>
      </c>
      <c r="C7" s="154">
        <v>0</v>
      </c>
      <c r="D7" s="154">
        <v>0</v>
      </c>
      <c r="E7" s="154">
        <v>0</v>
      </c>
      <c r="F7" s="154">
        <v>4.8999919999999997E-3</v>
      </c>
      <c r="G7" s="153">
        <v>0</v>
      </c>
      <c r="H7" s="154">
        <v>4.0690709999999996E-3</v>
      </c>
      <c r="I7" s="154">
        <v>1.117259E-2</v>
      </c>
      <c r="J7" s="154">
        <v>3.6426439999999997E-2</v>
      </c>
      <c r="K7" s="154">
        <v>4.3151930000000002E-3</v>
      </c>
      <c r="L7" s="154">
        <v>0</v>
      </c>
      <c r="M7" s="154">
        <v>0</v>
      </c>
      <c r="N7" s="156">
        <v>0</v>
      </c>
      <c r="O7" s="154">
        <v>0</v>
      </c>
      <c r="P7" s="154">
        <v>0</v>
      </c>
      <c r="Q7" s="154">
        <v>2.0598599999999999E-4</v>
      </c>
      <c r="R7" s="154">
        <v>1.0688690000000001E-3</v>
      </c>
      <c r="S7" s="155">
        <v>0</v>
      </c>
      <c r="T7" s="155">
        <v>0</v>
      </c>
    </row>
    <row r="8" x14ac:dyDescent="0.15">
      <c r="A8" t="s">
        <v>185</v>
      </c>
      <c r="B8" s="154">
        <v>0</v>
      </c>
      <c r="C8" s="154">
        <v>0</v>
      </c>
      <c r="D8" s="154">
        <v>0</v>
      </c>
      <c r="E8" s="154">
        <v>0</v>
      </c>
      <c r="F8" s="154">
        <v>0</v>
      </c>
      <c r="G8" s="154">
        <v>0</v>
      </c>
      <c r="H8" s="153">
        <v>0</v>
      </c>
      <c r="I8" s="154">
        <v>0.25503799999999999</v>
      </c>
      <c r="J8" s="154">
        <v>0</v>
      </c>
      <c r="K8" s="154">
        <v>0</v>
      </c>
      <c r="L8" s="154">
        <v>0</v>
      </c>
      <c r="M8" s="157">
        <v>0</v>
      </c>
      <c r="N8" s="156">
        <v>0</v>
      </c>
      <c r="O8" s="154">
        <v>0</v>
      </c>
      <c r="P8" s="154">
        <v>0.35423490000000002</v>
      </c>
      <c r="Q8" s="154">
        <v>4.5361440000000003E-2</v>
      </c>
      <c r="R8" s="154">
        <v>0.84697420000000001</v>
      </c>
      <c r="S8" s="155">
        <v>0</v>
      </c>
      <c r="T8" s="155">
        <v>0</v>
      </c>
    </row>
    <row r="9" x14ac:dyDescent="0.15">
      <c r="A9" t="s">
        <v>186</v>
      </c>
      <c r="B9" s="154">
        <v>0</v>
      </c>
      <c r="C9" s="154">
        <v>0</v>
      </c>
      <c r="D9" s="154">
        <v>0</v>
      </c>
      <c r="E9" s="154">
        <v>0</v>
      </c>
      <c r="F9" s="154">
        <v>0</v>
      </c>
      <c r="G9" s="154">
        <v>0</v>
      </c>
      <c r="H9" s="154">
        <v>0</v>
      </c>
      <c r="I9" s="153">
        <v>0</v>
      </c>
      <c r="J9" s="154">
        <v>0</v>
      </c>
      <c r="K9" s="154">
        <v>0</v>
      </c>
      <c r="L9" s="154">
        <v>0</v>
      </c>
      <c r="M9" s="154">
        <v>0</v>
      </c>
      <c r="N9" s="156">
        <v>0</v>
      </c>
      <c r="O9" s="154">
        <v>0</v>
      </c>
      <c r="P9" s="154">
        <v>5.5453500000000001E-3</v>
      </c>
      <c r="Q9" s="154">
        <v>0</v>
      </c>
      <c r="R9" s="154">
        <v>8.7411550000000005E-3</v>
      </c>
      <c r="S9" s="155">
        <v>0</v>
      </c>
      <c r="T9" s="155">
        <v>0</v>
      </c>
    </row>
    <row r="10" x14ac:dyDescent="0.15">
      <c r="A10" t="s">
        <v>187</v>
      </c>
      <c r="B10" s="154">
        <v>0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4">
        <v>0</v>
      </c>
      <c r="I10" s="154">
        <v>0</v>
      </c>
      <c r="J10" s="153">
        <v>0</v>
      </c>
      <c r="K10" s="154">
        <v>0</v>
      </c>
      <c r="L10" s="154">
        <v>0</v>
      </c>
      <c r="M10" s="154">
        <v>0</v>
      </c>
      <c r="N10" s="158">
        <v>0</v>
      </c>
      <c r="O10" s="154">
        <v>0</v>
      </c>
      <c r="P10" s="154">
        <v>8.0075000000000003E-4</v>
      </c>
      <c r="Q10" s="154">
        <v>0</v>
      </c>
      <c r="R10" s="154">
        <v>8.7310700000000003E-4</v>
      </c>
      <c r="S10" s="155">
        <v>0</v>
      </c>
      <c r="T10" s="155">
        <v>0</v>
      </c>
    </row>
    <row r="11" x14ac:dyDescent="0.15">
      <c r="A11" t="s">
        <v>188</v>
      </c>
      <c r="B11" s="154">
        <v>0</v>
      </c>
      <c r="C11" s="154">
        <v>0</v>
      </c>
      <c r="D11" s="154">
        <v>0</v>
      </c>
      <c r="E11" s="154">
        <v>0</v>
      </c>
      <c r="F11" s="154">
        <v>0</v>
      </c>
      <c r="G11" s="154">
        <v>0</v>
      </c>
      <c r="H11" s="154">
        <v>7.1462200000000003E-2</v>
      </c>
      <c r="I11" s="154">
        <v>0.20876500000000001</v>
      </c>
      <c r="J11" s="154">
        <v>0.24547840000000001</v>
      </c>
      <c r="K11" s="153">
        <v>0</v>
      </c>
      <c r="L11" s="154">
        <v>0</v>
      </c>
      <c r="M11" s="154">
        <v>0</v>
      </c>
      <c r="N11" s="156">
        <v>0</v>
      </c>
      <c r="O11" s="154">
        <v>0</v>
      </c>
      <c r="P11" s="154">
        <v>0.1207838</v>
      </c>
      <c r="Q11" s="154">
        <v>5.7273339999999997E-3</v>
      </c>
      <c r="R11" s="154">
        <v>0.1069389</v>
      </c>
      <c r="S11" s="155">
        <v>0</v>
      </c>
      <c r="T11" s="155">
        <v>0</v>
      </c>
    </row>
    <row r="12" x14ac:dyDescent="0.15">
      <c r="A12" t="s">
        <v>189</v>
      </c>
      <c r="B12" s="154">
        <v>0</v>
      </c>
      <c r="C12" s="154">
        <v>0</v>
      </c>
      <c r="D12" s="154">
        <v>0</v>
      </c>
      <c r="E12" s="154">
        <v>0</v>
      </c>
      <c r="F12" s="154">
        <v>0</v>
      </c>
      <c r="G12" s="154">
        <v>0</v>
      </c>
      <c r="H12" s="154">
        <v>0</v>
      </c>
      <c r="I12" s="154">
        <v>0</v>
      </c>
      <c r="J12" s="154">
        <v>0</v>
      </c>
      <c r="K12" s="157">
        <v>0</v>
      </c>
      <c r="L12" s="153">
        <v>0</v>
      </c>
      <c r="M12" s="154">
        <v>2.4542919999999999E-2</v>
      </c>
      <c r="N12" s="156">
        <v>0</v>
      </c>
      <c r="O12" s="154">
        <v>0</v>
      </c>
      <c r="P12" s="154">
        <v>0</v>
      </c>
      <c r="Q12" s="154">
        <v>0</v>
      </c>
      <c r="R12" s="154">
        <v>0</v>
      </c>
      <c r="S12" s="155">
        <v>0</v>
      </c>
      <c r="T12" s="155">
        <v>0</v>
      </c>
    </row>
    <row r="13" x14ac:dyDescent="0.15">
      <c r="A13" t="s">
        <v>190</v>
      </c>
      <c r="B13" s="154">
        <v>0</v>
      </c>
      <c r="C13" s="154">
        <v>0</v>
      </c>
      <c r="D13" s="154">
        <v>0</v>
      </c>
      <c r="E13" s="154">
        <v>0</v>
      </c>
      <c r="F13" s="154">
        <v>0</v>
      </c>
      <c r="G13" s="154">
        <v>0</v>
      </c>
      <c r="H13" s="154">
        <v>4.9832899999999996E-3</v>
      </c>
      <c r="I13" s="154">
        <v>1.527382E-2</v>
      </c>
      <c r="J13" s="154">
        <v>8.2996399999999998E-2</v>
      </c>
      <c r="K13" s="154">
        <v>8.3185250000000002E-3</v>
      </c>
      <c r="L13" s="154">
        <v>0</v>
      </c>
      <c r="M13" s="153">
        <v>0</v>
      </c>
      <c r="N13" s="156">
        <v>0.2411442</v>
      </c>
      <c r="O13" s="154">
        <v>0</v>
      </c>
      <c r="P13" s="154">
        <v>0</v>
      </c>
      <c r="Q13" s="154">
        <v>6.8961630000000003E-3</v>
      </c>
      <c r="R13" s="154">
        <v>0</v>
      </c>
      <c r="S13" s="155">
        <v>0</v>
      </c>
      <c r="T13" s="155">
        <v>0</v>
      </c>
    </row>
    <row r="14" x14ac:dyDescent="0.15">
      <c r="A14" t="s">
        <v>191</v>
      </c>
      <c r="B14" s="154">
        <v>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4">
        <v>2.4178200000000002E-3</v>
      </c>
      <c r="I14" s="154">
        <v>7.4106340000000001E-3</v>
      </c>
      <c r="J14" s="154">
        <v>4.026863E-2</v>
      </c>
      <c r="K14" s="154">
        <v>4.0360259999999998E-3</v>
      </c>
      <c r="L14" s="154">
        <v>0</v>
      </c>
      <c r="M14" s="154">
        <v>0</v>
      </c>
      <c r="N14" s="153">
        <v>0</v>
      </c>
      <c r="O14" s="154">
        <v>0</v>
      </c>
      <c r="P14" s="154">
        <v>0</v>
      </c>
      <c r="Q14" s="154">
        <v>2.3080879999999998E-3</v>
      </c>
      <c r="R14" s="154">
        <v>0</v>
      </c>
      <c r="S14" s="155">
        <v>0</v>
      </c>
      <c r="T14" s="155">
        <v>0</v>
      </c>
    </row>
    <row r="15" x14ac:dyDescent="0.15">
      <c r="A15" t="s">
        <v>192</v>
      </c>
      <c r="B15" s="154">
        <v>0</v>
      </c>
      <c r="C15" s="154">
        <v>0</v>
      </c>
      <c r="D15" s="154">
        <v>0</v>
      </c>
      <c r="E15" s="154">
        <v>0</v>
      </c>
      <c r="F15" s="154">
        <v>0</v>
      </c>
      <c r="G15" s="154">
        <v>0</v>
      </c>
      <c r="H15" s="154">
        <v>1.772814E-2</v>
      </c>
      <c r="I15" s="154">
        <v>5.4336889999999999E-2</v>
      </c>
      <c r="J15" s="154">
        <v>0.2952612</v>
      </c>
      <c r="K15" s="154">
        <v>2.9593299999999999E-2</v>
      </c>
      <c r="L15" s="154">
        <v>0.26780979999999999</v>
      </c>
      <c r="M15" s="154">
        <v>0.25665359999999998</v>
      </c>
      <c r="N15" s="154">
        <v>0.75885579999999997</v>
      </c>
      <c r="O15" s="153">
        <v>0</v>
      </c>
      <c r="P15" s="154">
        <v>0</v>
      </c>
      <c r="Q15" s="154">
        <v>0</v>
      </c>
      <c r="R15" s="154">
        <v>0</v>
      </c>
      <c r="S15" s="155">
        <v>0</v>
      </c>
      <c r="T15" s="155">
        <v>0</v>
      </c>
    </row>
    <row r="16" x14ac:dyDescent="0.15">
      <c r="A16" t="s">
        <v>193</v>
      </c>
      <c r="B16" s="154">
        <v>0</v>
      </c>
      <c r="C16" s="154">
        <v>0</v>
      </c>
      <c r="D16" s="154">
        <v>0</v>
      </c>
      <c r="E16" s="154">
        <v>0</v>
      </c>
      <c r="F16" s="154">
        <v>0</v>
      </c>
      <c r="G16" s="154">
        <v>0</v>
      </c>
      <c r="H16" s="154">
        <v>0</v>
      </c>
      <c r="I16" s="154">
        <v>9.1399999999999995E-7</v>
      </c>
      <c r="J16" s="154">
        <v>0</v>
      </c>
      <c r="K16" s="154">
        <v>0</v>
      </c>
      <c r="L16" s="154">
        <v>0</v>
      </c>
      <c r="M16" s="154">
        <v>0</v>
      </c>
      <c r="N16" s="154">
        <v>0</v>
      </c>
      <c r="O16" s="154">
        <v>0</v>
      </c>
      <c r="P16" s="153">
        <v>0</v>
      </c>
      <c r="Q16" s="154">
        <v>0</v>
      </c>
      <c r="R16" s="154">
        <v>0</v>
      </c>
      <c r="S16" s="155">
        <v>0</v>
      </c>
      <c r="T16" s="155">
        <v>0</v>
      </c>
    </row>
    <row r="17" x14ac:dyDescent="0.15">
      <c r="A17" t="s">
        <v>194</v>
      </c>
      <c r="B17" s="154">
        <v>0</v>
      </c>
      <c r="C17" s="154">
        <v>0</v>
      </c>
      <c r="D17" s="154">
        <v>0</v>
      </c>
      <c r="E17" s="154">
        <v>0</v>
      </c>
      <c r="F17" s="154">
        <v>0</v>
      </c>
      <c r="G17" s="154">
        <v>0</v>
      </c>
      <c r="H17" s="154">
        <v>0</v>
      </c>
      <c r="I17" s="154">
        <v>7.3499999999999998E-5</v>
      </c>
      <c r="J17" s="154">
        <v>0</v>
      </c>
      <c r="K17" s="154">
        <v>0</v>
      </c>
      <c r="L17" s="154">
        <v>0</v>
      </c>
      <c r="M17" s="154">
        <v>0</v>
      </c>
      <c r="N17" s="154">
        <v>0</v>
      </c>
      <c r="O17" s="154">
        <v>0</v>
      </c>
      <c r="P17" s="154">
        <v>0</v>
      </c>
      <c r="Q17" s="153">
        <v>0</v>
      </c>
      <c r="R17" s="154">
        <v>0</v>
      </c>
      <c r="S17" s="155">
        <v>0</v>
      </c>
      <c r="T17" s="155">
        <v>0</v>
      </c>
    </row>
    <row r="18" x14ac:dyDescent="0.15">
      <c r="A18" t="s">
        <v>195</v>
      </c>
      <c r="B18" s="154">
        <v>0</v>
      </c>
      <c r="C18" s="154">
        <v>0</v>
      </c>
      <c r="D18" s="154">
        <v>0</v>
      </c>
      <c r="E18" s="154">
        <v>0</v>
      </c>
      <c r="F18" s="154">
        <v>0</v>
      </c>
      <c r="G18" s="154">
        <v>0</v>
      </c>
      <c r="H18" s="154">
        <v>0</v>
      </c>
      <c r="I18" s="154">
        <v>3.9900000000000001E-7</v>
      </c>
      <c r="J18" s="154">
        <v>0</v>
      </c>
      <c r="K18" s="157">
        <v>0</v>
      </c>
      <c r="L18" s="154">
        <v>0</v>
      </c>
      <c r="M18" s="154">
        <v>0</v>
      </c>
      <c r="N18" s="157">
        <v>0</v>
      </c>
      <c r="O18" s="154">
        <v>0</v>
      </c>
      <c r="P18" s="154">
        <v>0</v>
      </c>
      <c r="Q18" s="159">
        <v>0</v>
      </c>
      <c r="R18" s="153">
        <v>0</v>
      </c>
      <c r="S18" s="155">
        <v>0</v>
      </c>
      <c r="T18" s="155">
        <v>0</v>
      </c>
    </row>
    <row r="19" x14ac:dyDescent="0.15">
      <c r="A19" t="s">
        <v>72</v>
      </c>
      <c r="B19" s="154">
        <v>0</v>
      </c>
      <c r="C19" s="154">
        <v>0</v>
      </c>
      <c r="D19" s="154">
        <v>0.15</v>
      </c>
      <c r="E19" s="154">
        <v>0.02</v>
      </c>
      <c r="F19" s="154">
        <v>0</v>
      </c>
      <c r="G19" s="154">
        <v>0</v>
      </c>
      <c r="H19" s="154">
        <v>0</v>
      </c>
      <c r="I19" s="154">
        <v>0</v>
      </c>
      <c r="J19" s="154">
        <v>0</v>
      </c>
      <c r="K19" s="154">
        <v>0</v>
      </c>
      <c r="L19" s="154">
        <v>0.73219020000000001</v>
      </c>
      <c r="M19" s="154">
        <v>0.71880350000000004</v>
      </c>
      <c r="N19" s="154">
        <v>0</v>
      </c>
      <c r="O19" s="154">
        <v>2.3973589999999999E-2</v>
      </c>
      <c r="P19" s="154">
        <v>0</v>
      </c>
      <c r="Q19" s="154">
        <v>8.9099999999999997E-5</v>
      </c>
      <c r="R19" s="154">
        <v>0</v>
      </c>
      <c r="S19" s="155">
        <v>0</v>
      </c>
      <c r="T19" s="155">
        <v>0</v>
      </c>
    </row>
    <row r="20" x14ac:dyDescent="0.15">
      <c r="A20" t="s">
        <v>73</v>
      </c>
      <c r="B20" s="154">
        <v>0</v>
      </c>
      <c r="C20" s="154">
        <v>0</v>
      </c>
      <c r="D20" s="154">
        <v>0</v>
      </c>
      <c r="E20" s="154">
        <v>0</v>
      </c>
      <c r="F20" s="154">
        <v>0</v>
      </c>
      <c r="G20" s="154">
        <v>0</v>
      </c>
      <c r="H20" s="154">
        <v>0</v>
      </c>
      <c r="I20" s="154">
        <v>0</v>
      </c>
      <c r="J20" s="154">
        <v>0</v>
      </c>
      <c r="K20" s="154">
        <v>0</v>
      </c>
      <c r="L20" s="154">
        <v>0</v>
      </c>
      <c r="M20" s="154">
        <v>0</v>
      </c>
      <c r="N20" s="154">
        <v>0</v>
      </c>
      <c r="O20" s="154">
        <v>0</v>
      </c>
      <c r="P20" s="154">
        <v>0</v>
      </c>
      <c r="Q20" s="157">
        <v>0</v>
      </c>
      <c r="R20" s="154">
        <v>0</v>
      </c>
      <c r="S20" s="155">
        <v>0</v>
      </c>
      <c r="T20" s="155">
        <v>0</v>
      </c>
    </row>
    <row r="21" x14ac:dyDescent="0.15">
      <c r="A21" t="s">
        <v>202</v>
      </c>
      <c r="B21" s="154">
        <v>0</v>
      </c>
      <c r="C21" s="154">
        <v>0</v>
      </c>
      <c r="D21" s="154">
        <v>0</v>
      </c>
      <c r="E21" s="154">
        <v>0</v>
      </c>
      <c r="F21" s="154">
        <v>0</v>
      </c>
      <c r="G21" s="154">
        <v>0</v>
      </c>
      <c r="H21" s="154">
        <v>0</v>
      </c>
      <c r="I21" s="154">
        <v>0</v>
      </c>
      <c r="J21" s="154">
        <v>0</v>
      </c>
      <c r="K21" s="154">
        <v>0</v>
      </c>
      <c r="L21" s="154">
        <v>0</v>
      </c>
      <c r="M21" s="154">
        <v>0</v>
      </c>
      <c r="N21" s="154">
        <v>0</v>
      </c>
      <c r="O21" s="154">
        <v>0</v>
      </c>
      <c r="P21" s="154">
        <v>0</v>
      </c>
      <c r="Q21" s="154">
        <v>0</v>
      </c>
      <c r="R21" s="154">
        <v>0</v>
      </c>
      <c r="S21" s="155">
        <v>0</v>
      </c>
      <c r="T21" s="155">
        <v>0</v>
      </c>
    </row>
    <row r="26" x14ac:dyDescent="0.15">
      <c r="A26" t="s">
        <v>61</v>
      </c>
      <c r="B26">
        <f t="shared" ref="B26:T26" si="0">SUM(B2:B21)</f>
        <v>0</v>
      </c>
      <c r="C26">
        <f t="shared" si="0"/>
        <v>0</v>
      </c>
      <c r="D26">
        <f t="shared" si="0"/>
        <v>1</v>
      </c>
      <c r="E26">
        <f t="shared" si="0"/>
        <v>1</v>
      </c>
      <c r="F26">
        <f t="shared" si="0"/>
        <v>0.999999992</v>
      </c>
      <c r="G26">
        <f t="shared" si="0"/>
        <v>1</v>
      </c>
      <c r="H26">
        <f t="shared" si="0"/>
        <v>0.99999992100000001</v>
      </c>
      <c r="I26">
        <f t="shared" si="0"/>
        <v>1.0000000469999999</v>
      </c>
      <c r="J26">
        <f t="shared" si="0"/>
        <v>1</v>
      </c>
      <c r="K26">
        <f t="shared" si="0"/>
        <v>1.0000000440000001</v>
      </c>
      <c r="L26">
        <f t="shared" si="0"/>
        <v>1</v>
      </c>
      <c r="M26">
        <f t="shared" si="0"/>
        <v>1.0000000200000001</v>
      </c>
      <c r="N26">
        <f t="shared" si="0"/>
        <v>1</v>
      </c>
      <c r="O26">
        <f t="shared" si="0"/>
        <v>0.99999998999999995</v>
      </c>
      <c r="P26">
        <f t="shared" si="0"/>
        <v>0.99999990000000005</v>
      </c>
      <c r="Q26">
        <f t="shared" si="0"/>
        <v>1.000000011</v>
      </c>
      <c r="R26">
        <f t="shared" si="0"/>
        <v>1.0000000409999998</v>
      </c>
      <c r="S26">
        <f t="shared" si="0"/>
        <v>0</v>
      </c>
      <c r="T26">
        <f t="shared" si="0"/>
        <v>0</v>
      </c>
    </row>
    <row r="193" ht="15" customHeight="true" x14ac:dyDescent="0.15"/>
    <row r="194" ht="15" customHeight="true" x14ac:dyDescent="0.15"/>
    <row r="195" ht="15" customHeight="true" x14ac:dyDescent="0.15"/>
    <row r="196" ht="15" customHeight="true" x14ac:dyDescent="0.15"/>
    <row r="197" ht="15" customHeight="true" x14ac:dyDescent="0.15"/>
    <row r="198" ht="15" customHeight="true" x14ac:dyDescent="0.15"/>
    <row r="199" ht="15" customHeight="true" x14ac:dyDescent="0.15"/>
    <row r="200" ht="15" customHeight="true" x14ac:dyDescent="0.15"/>
    <row r="201" ht="15" customHeight="true" x14ac:dyDescent="0.15"/>
    <row r="202" ht="15" customHeight="true" x14ac:dyDescent="0.15"/>
    <row r="203" ht="15" customHeight="true" x14ac:dyDescent="0.15"/>
    <row r="204" ht="15" customHeight="true" x14ac:dyDescent="0.15"/>
    <row r="205" ht="15" customHeight="true" x14ac:dyDescent="0.15"/>
    <row r="206" ht="15" customHeight="true" x14ac:dyDescent="0.15"/>
    <row r="207" ht="15" customHeight="true" x14ac:dyDescent="0.15"/>
    <row r="208" ht="15" customHeight="true" x14ac:dyDescent="0.15"/>
    <row r="209" ht="15" customHeight="true" x14ac:dyDescent="0.15"/>
    <row r="210" ht="15" customHeight="true" x14ac:dyDescent="0.15"/>
    <row r="211" ht="15" customHeight="true" x14ac:dyDescent="0.15"/>
    <row r="212" ht="15" customHeight="true" x14ac:dyDescent="0.15"/>
    <row r="213" ht="15" customHeight="true" x14ac:dyDescent="0.15"/>
    <row r="214" ht="15" customHeight="true" x14ac:dyDescent="0.15"/>
    <row r="215" ht="15" customHeight="true" x14ac:dyDescent="0.15"/>
    <row r="216" ht="15" customHeight="true" x14ac:dyDescent="0.15"/>
    <row r="217" ht="15" customHeight="true" x14ac:dyDescent="0.15"/>
    <row r="218" ht="15" customHeight="true" x14ac:dyDescent="0.15"/>
    <row r="219" ht="15" customHeight="true" x14ac:dyDescent="0.15"/>
    <row r="220" ht="15" customHeight="true" x14ac:dyDescent="0.15"/>
    <row r="221" ht="15" customHeight="true" x14ac:dyDescent="0.15"/>
    <row r="222" ht="15" customHeight="true" x14ac:dyDescent="0.15"/>
    <row r="223" ht="15" customHeight="true" x14ac:dyDescent="0.15"/>
    <row r="224" ht="15" customHeight="true" x14ac:dyDescent="0.15"/>
    <row r="225" ht="15" customHeight="true" x14ac:dyDescent="0.15"/>
    <row r="226" ht="15" customHeight="true" x14ac:dyDescent="0.15"/>
    <row r="227" ht="15" customHeight="true" x14ac:dyDescent="0.15"/>
    <row r="228" ht="15" customHeight="true" x14ac:dyDescent="0.15"/>
    <row r="229" ht="15" customHeight="true" x14ac:dyDescent="0.15"/>
    <row r="230" ht="15" customHeight="true" x14ac:dyDescent="0.15"/>
    <row r="231" ht="15" customHeight="true" x14ac:dyDescent="0.15"/>
    <row r="232" ht="15" customHeight="true" x14ac:dyDescent="0.15"/>
    <row r="233" ht="15" customHeight="true" x14ac:dyDescent="0.15"/>
    <row r="234" ht="15" customHeight="true" x14ac:dyDescent="0.15"/>
    <row r="235" ht="15" customHeight="true" x14ac:dyDescent="0.15"/>
    <row r="236" ht="15" customHeight="true" x14ac:dyDescent="0.15"/>
    <row r="237" ht="15" customHeight="true" x14ac:dyDescent="0.15"/>
    <row r="238" ht="15" customHeight="true" x14ac:dyDescent="0.15"/>
    <row r="239" ht="15" customHeight="true" x14ac:dyDescent="0.15"/>
    <row r="240" ht="15" customHeight="true" x14ac:dyDescent="0.15"/>
    <row r="241" ht="15" customHeight="true" x14ac:dyDescent="0.15"/>
    <row r="242" ht="15" customHeight="true" x14ac:dyDescent="0.15"/>
    <row r="243" ht="15" customHeight="true" x14ac:dyDescent="0.15"/>
    <row r="244" ht="15" customHeight="true" x14ac:dyDescent="0.15"/>
    <row r="245" ht="15" customHeight="true" x14ac:dyDescent="0.15"/>
    <row r="246" ht="15" customHeight="true" x14ac:dyDescent="0.15"/>
    <row r="247" ht="15" customHeight="true" x14ac:dyDescent="0.15"/>
    <row r="248" ht="15" customHeight="true" x14ac:dyDescent="0.15"/>
    <row r="249" ht="15" customHeight="true" x14ac:dyDescent="0.15"/>
    <row r="250" ht="15" customHeight="true" x14ac:dyDescent="0.15"/>
    <row r="251" ht="15" customHeight="true" x14ac:dyDescent="0.15"/>
    <row r="252" ht="15" customHeight="true" x14ac:dyDescent="0.15"/>
    <row r="253" ht="15" customHeight="true" x14ac:dyDescent="0.15"/>
    <row r="254" ht="15" customHeight="true" x14ac:dyDescent="0.15"/>
    <row r="255" ht="15" customHeight="true" x14ac:dyDescent="0.15"/>
    <row r="256" ht="15" customHeight="true" x14ac:dyDescent="0.15"/>
    <row r="257" ht="15" customHeight="true" x14ac:dyDescent="0.15"/>
    <row r="258" ht="15" customHeight="true" x14ac:dyDescent="0.15"/>
    <row r="259" ht="15" customHeight="true" x14ac:dyDescent="0.15"/>
    <row r="260" ht="15" customHeight="true" x14ac:dyDescent="0.15"/>
    <row r="261" ht="15" customHeight="true" x14ac:dyDescent="0.15"/>
    <row r="262" ht="15" customHeight="true" x14ac:dyDescent="0.15"/>
    <row r="263" ht="15" customHeight="true" x14ac:dyDescent="0.15"/>
    <row r="264" ht="15" customHeight="true" x14ac:dyDescent="0.15"/>
    <row r="265" ht="15" customHeight="true" x14ac:dyDescent="0.15"/>
    <row r="266" ht="15" customHeight="true" x14ac:dyDescent="0.15"/>
    <row r="267" ht="15" customHeight="true" x14ac:dyDescent="0.15"/>
    <row r="268" ht="15" customHeight="true" x14ac:dyDescent="0.15"/>
    <row r="269" ht="15" customHeight="true" x14ac:dyDescent="0.15"/>
    <row r="270" ht="15" customHeight="true" x14ac:dyDescent="0.15"/>
    <row r="271" ht="15" customHeight="true" x14ac:dyDescent="0.15"/>
    <row r="272" ht="15" customHeight="true" x14ac:dyDescent="0.15"/>
    <row r="273" ht="15" customHeight="true" x14ac:dyDescent="0.15"/>
    <row r="274" ht="15" customHeight="true" x14ac:dyDescent="0.15"/>
    <row r="275" ht="15" customHeight="true" x14ac:dyDescent="0.15"/>
    <row r="276" ht="15" customHeight="true" x14ac:dyDescent="0.15"/>
    <row r="277" ht="15" customHeight="true" x14ac:dyDescent="0.15"/>
    <row r="278" ht="15" customHeight="true" x14ac:dyDescent="0.15"/>
    <row r="279" ht="15" customHeight="true" x14ac:dyDescent="0.15"/>
    <row r="280" ht="15" customHeight="true" x14ac:dyDescent="0.15"/>
    <row r="281" ht="15" customHeight="true" x14ac:dyDescent="0.15"/>
    <row r="282" ht="15" customHeight="true" x14ac:dyDescent="0.15"/>
    <row r="283" ht="15" customHeight="true" x14ac:dyDescent="0.15"/>
    <row r="284" ht="15" customHeight="true" x14ac:dyDescent="0.15"/>
    <row r="285" ht="15" customHeight="true" x14ac:dyDescent="0.15"/>
    <row r="286" ht="15" customHeight="true" x14ac:dyDescent="0.15"/>
    <row r="287" ht="15" customHeight="true" x14ac:dyDescent="0.15"/>
    <row r="288" ht="15" customHeight="true" x14ac:dyDescent="0.15"/>
    <row r="289" ht="15" customHeight="true" x14ac:dyDescent="0.15"/>
    <row r="290" ht="15" customHeight="true" x14ac:dyDescent="0.15"/>
    <row r="291" ht="15" customHeight="true" x14ac:dyDescent="0.15"/>
    <row r="292" ht="15" customHeight="true" x14ac:dyDescent="0.15"/>
    <row r="293" ht="15" customHeight="true" x14ac:dyDescent="0.15"/>
    <row r="294" ht="15" customHeight="true" x14ac:dyDescent="0.15"/>
    <row r="295" ht="15" customHeight="true" x14ac:dyDescent="0.15"/>
    <row r="296" ht="15" customHeight="true" x14ac:dyDescent="0.15"/>
    <row r="297" ht="15" customHeight="true" x14ac:dyDescent="0.15"/>
    <row r="298" ht="15" customHeight="true" x14ac:dyDescent="0.15"/>
    <row r="299" ht="15" customHeight="true" x14ac:dyDescent="0.15"/>
    <row r="300" ht="15" customHeight="true" x14ac:dyDescent="0.15"/>
    <row r="301" ht="15" customHeight="true" x14ac:dyDescent="0.15"/>
    <row r="302" ht="15" customHeight="true" x14ac:dyDescent="0.15"/>
    <row r="303" ht="15" customHeight="true" x14ac:dyDescent="0.15"/>
    <row r="304" ht="15" customHeight="true" x14ac:dyDescent="0.15"/>
    <row r="305" ht="15" customHeight="true" x14ac:dyDescent="0.15"/>
    <row r="306" ht="15" customHeight="true" x14ac:dyDescent="0.15"/>
    <row r="307" ht="15" customHeight="true" x14ac:dyDescent="0.15"/>
    <row r="308" ht="15" customHeight="true" x14ac:dyDescent="0.15"/>
    <row r="309" ht="15" customHeight="true" x14ac:dyDescent="0.15"/>
    <row r="310" ht="15" customHeight="true" x14ac:dyDescent="0.15"/>
    <row r="311" ht="15" customHeight="true" x14ac:dyDescent="0.15"/>
    <row r="312" ht="15" customHeight="true" x14ac:dyDescent="0.15"/>
    <row r="313" ht="15" customHeight="true" x14ac:dyDescent="0.15"/>
    <row r="314" ht="15" customHeight="true" x14ac:dyDescent="0.15"/>
    <row r="315" ht="15" customHeight="true" x14ac:dyDescent="0.15"/>
    <row r="316" ht="15" customHeight="true" x14ac:dyDescent="0.15"/>
    <row r="317" ht="15" customHeight="true" x14ac:dyDescent="0.15"/>
    <row r="318" ht="15" customHeight="true" x14ac:dyDescent="0.15"/>
    <row r="319" ht="15" customHeight="true" x14ac:dyDescent="0.15"/>
    <row r="320" ht="15" customHeight="true" x14ac:dyDescent="0.15"/>
    <row r="321" ht="15" customHeight="true" x14ac:dyDescent="0.15"/>
    <row r="322" ht="15" customHeight="true" x14ac:dyDescent="0.15"/>
    <row r="323" ht="15" customHeight="true" x14ac:dyDescent="0.15"/>
    <row r="324" ht="15" customHeight="true" x14ac:dyDescent="0.15"/>
    <row r="325" ht="15" customHeight="true" x14ac:dyDescent="0.15"/>
    <row r="326" ht="15" customHeight="true" x14ac:dyDescent="0.15"/>
    <row r="327" ht="15" customHeight="true" x14ac:dyDescent="0.15"/>
    <row r="328" ht="15" customHeight="true" x14ac:dyDescent="0.15"/>
    <row r="329" ht="15" customHeight="true" x14ac:dyDescent="0.15"/>
    <row r="330" ht="15" customHeight="true" x14ac:dyDescent="0.15"/>
    <row r="331" ht="15" customHeight="true" x14ac:dyDescent="0.15"/>
    <row r="332" ht="15" customHeight="true" x14ac:dyDescent="0.15"/>
    <row r="333" ht="15" customHeight="true" x14ac:dyDescent="0.15"/>
    <row r="334" ht="15" customHeight="true" x14ac:dyDescent="0.15"/>
    <row r="335" ht="15" customHeight="true" x14ac:dyDescent="0.15"/>
    <row r="336" ht="15" customHeight="true" x14ac:dyDescent="0.15"/>
    <row r="337" ht="15" customHeight="true" x14ac:dyDescent="0.15"/>
    <row r="338" ht="15" customHeight="true" x14ac:dyDescent="0.15"/>
    <row r="339" ht="15" customHeight="true" x14ac:dyDescent="0.15"/>
    <row r="340" ht="15" customHeight="true" x14ac:dyDescent="0.15"/>
    <row r="341" ht="15" customHeight="true" x14ac:dyDescent="0.15"/>
    <row r="342" ht="15" customHeight="true" x14ac:dyDescent="0.15"/>
    <row r="343" ht="15" customHeight="true" x14ac:dyDescent="0.15"/>
    <row r="344" ht="15" customHeight="true" x14ac:dyDescent="0.15"/>
    <row r="345" ht="15" customHeight="true" x14ac:dyDescent="0.15"/>
    <row r="346" ht="15" customHeight="true" x14ac:dyDescent="0.15"/>
    <row r="347" ht="15" customHeight="true" x14ac:dyDescent="0.15"/>
    <row r="348" ht="15" customHeight="true" x14ac:dyDescent="0.15"/>
    <row r="349" ht="15" customHeight="true" x14ac:dyDescent="0.15"/>
    <row r="350" ht="15" customHeight="true" x14ac:dyDescent="0.15"/>
    <row r="351" ht="15" customHeight="true" x14ac:dyDescent="0.15"/>
    <row r="352" ht="15" customHeight="true" x14ac:dyDescent="0.15"/>
    <row r="353" ht="15" customHeight="true" x14ac:dyDescent="0.15"/>
    <row r="354" ht="15" customHeight="true" x14ac:dyDescent="0.15"/>
    <row r="355" ht="15" customHeight="true" x14ac:dyDescent="0.15"/>
    <row r="356" ht="15" customHeight="true" x14ac:dyDescent="0.15"/>
    <row r="357" ht="15" customHeight="true" x14ac:dyDescent="0.15"/>
    <row r="358" ht="15" customHeight="true" x14ac:dyDescent="0.15"/>
    <row r="359" ht="15" customHeight="true" x14ac:dyDescent="0.15"/>
    <row r="360" ht="15" customHeight="true" x14ac:dyDescent="0.15"/>
    <row r="361" ht="15" customHeight="true" x14ac:dyDescent="0.15"/>
    <row r="362" ht="15" customHeight="true" x14ac:dyDescent="0.15"/>
    <row r="363" ht="15" customHeight="true" x14ac:dyDescent="0.15"/>
    <row r="364" ht="15" customHeight="true" x14ac:dyDescent="0.15"/>
    <row r="365" ht="15" customHeight="true" x14ac:dyDescent="0.15"/>
    <row r="366" ht="15" customHeight="true" x14ac:dyDescent="0.15"/>
    <row r="367" ht="15" customHeight="true" x14ac:dyDescent="0.15"/>
    <row r="368" ht="15" customHeight="true" x14ac:dyDescent="0.15"/>
    <row r="369" ht="15" customHeight="true" x14ac:dyDescent="0.15"/>
    <row r="370" ht="15" customHeight="true" x14ac:dyDescent="0.15"/>
    <row r="371" ht="15" customHeight="true" x14ac:dyDescent="0.15"/>
    <row r="372" ht="15" customHeight="true" x14ac:dyDescent="0.15"/>
    <row r="373" ht="15" customHeight="true" x14ac:dyDescent="0.15"/>
    <row r="374" ht="15" customHeight="true" x14ac:dyDescent="0.15"/>
    <row r="375" ht="15" customHeight="true" x14ac:dyDescent="0.15"/>
    <row r="376" ht="15" customHeight="true" x14ac:dyDescent="0.15"/>
    <row r="377" ht="15" customHeight="true" x14ac:dyDescent="0.15"/>
    <row r="378" ht="15" customHeight="true" x14ac:dyDescent="0.15"/>
    <row r="379" ht="15" customHeight="true" x14ac:dyDescent="0.15"/>
    <row r="380" ht="15" customHeight="true" x14ac:dyDescent="0.15"/>
    <row r="381" ht="15" customHeight="true" x14ac:dyDescent="0.15"/>
    <row r="382" ht="15" customHeight="true" x14ac:dyDescent="0.15"/>
    <row r="383" ht="15" customHeight="true" x14ac:dyDescent="0.15"/>
    <row r="384" ht="15" customHeight="true" x14ac:dyDescent="0.15"/>
    <row r="385" ht="15" customHeight="true" x14ac:dyDescent="0.15"/>
    <row r="386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F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3" sqref="A23"/>
    </sheetView>
  </sheetViews>
  <sheetFormatPr baseColWidth="10" defaultColWidth="8.83203125" defaultRowHeight="13" x14ac:dyDescent="0.15"/>
  <cols>
    <col min="1" max="1" width="12.83203125" customWidth="true"/>
    <col min="2" max="2" width="25.6640625" bestFit="true" customWidth="true"/>
    <col min="3" max="6" width="13.5" customWidth="true"/>
  </cols>
  <sheetData>
    <row r="1" ht="14" x14ac:dyDescent="0.15">
      <c r="A1" s="109" t="s">
        <v>20</v>
      </c>
      <c r="B1" s="1" t="s">
        <v>0</v>
      </c>
      <c r="C1" s="110" t="s">
        <v>203</v>
      </c>
      <c r="D1" s="110" t="s">
        <v>204</v>
      </c>
      <c r="E1" t="s">
        <v>176</v>
      </c>
      <c r="F1" s="110" t="s">
        <v>61</v>
      </c>
    </row>
    <row r="2" x14ac:dyDescent="0.15">
      <c r="A2">
        <v>1</v>
      </c>
      <c r="B2" t="s">
        <v>43</v>
      </c>
      <c r="C2">
        <v>1</v>
      </c>
      <c r="D2">
        <v>0</v>
      </c>
      <c r="E2">
        <v>0</v>
      </c>
      <c r="F2" s="160">
        <f>SUM(C2:E2)</f>
        <v>1</v>
      </c>
    </row>
    <row r="3" x14ac:dyDescent="0.15">
      <c r="A3">
        <v>2</v>
      </c>
      <c r="B3" t="s">
        <v>42</v>
      </c>
      <c r="C3">
        <v>1</v>
      </c>
      <c r="D3">
        <v>0</v>
      </c>
      <c r="E3">
        <v>0</v>
      </c>
      <c r="F3" s="160">
        <f t="shared" ref="F3:F21" si="0">SUM(C3:E3)</f>
        <v>1</v>
      </c>
    </row>
    <row r="4" x14ac:dyDescent="0.15">
      <c r="A4">
        <v>3</v>
      </c>
      <c r="B4" t="s">
        <v>181</v>
      </c>
      <c r="C4">
        <v>1</v>
      </c>
      <c r="D4">
        <v>0</v>
      </c>
      <c r="E4">
        <v>0</v>
      </c>
      <c r="F4" s="160">
        <f t="shared" si="0"/>
        <v>1</v>
      </c>
    </row>
    <row r="5" x14ac:dyDescent="0.15">
      <c r="A5">
        <v>4</v>
      </c>
      <c r="B5" t="s">
        <v>182</v>
      </c>
      <c r="C5">
        <v>1</v>
      </c>
      <c r="D5">
        <v>0</v>
      </c>
      <c r="E5">
        <v>0</v>
      </c>
      <c r="F5" s="160">
        <f t="shared" si="0"/>
        <v>1</v>
      </c>
    </row>
    <row r="6" x14ac:dyDescent="0.15">
      <c r="A6">
        <v>5</v>
      </c>
      <c r="B6" t="s">
        <v>183</v>
      </c>
      <c r="C6">
        <v>1</v>
      </c>
      <c r="D6">
        <v>0</v>
      </c>
      <c r="E6">
        <v>0</v>
      </c>
      <c r="F6" s="160">
        <f t="shared" si="0"/>
        <v>1</v>
      </c>
    </row>
    <row r="7" x14ac:dyDescent="0.15">
      <c r="A7">
        <v>6</v>
      </c>
      <c r="B7" t="s">
        <v>184</v>
      </c>
      <c r="C7">
        <v>1</v>
      </c>
      <c r="D7">
        <v>0</v>
      </c>
      <c r="E7">
        <v>0</v>
      </c>
      <c r="F7" s="160">
        <f t="shared" si="0"/>
        <v>1</v>
      </c>
    </row>
    <row r="8" x14ac:dyDescent="0.15">
      <c r="A8">
        <v>7</v>
      </c>
      <c r="B8" t="s">
        <v>185</v>
      </c>
      <c r="C8">
        <v>1</v>
      </c>
      <c r="D8">
        <v>0</v>
      </c>
      <c r="E8">
        <v>0</v>
      </c>
      <c r="F8" s="160">
        <f t="shared" si="0"/>
        <v>1</v>
      </c>
    </row>
    <row r="9" x14ac:dyDescent="0.15">
      <c r="A9">
        <v>8</v>
      </c>
      <c r="B9" t="s">
        <v>186</v>
      </c>
      <c r="C9">
        <v>1</v>
      </c>
      <c r="D9">
        <v>0</v>
      </c>
      <c r="E9">
        <v>0</v>
      </c>
      <c r="F9" s="160">
        <f t="shared" si="0"/>
        <v>1</v>
      </c>
    </row>
    <row r="10" x14ac:dyDescent="0.15">
      <c r="A10">
        <v>9</v>
      </c>
      <c r="B10" t="s">
        <v>187</v>
      </c>
      <c r="C10">
        <v>1</v>
      </c>
      <c r="D10">
        <v>0</v>
      </c>
      <c r="E10">
        <v>0</v>
      </c>
      <c r="F10" s="160">
        <f t="shared" si="0"/>
        <v>1</v>
      </c>
    </row>
    <row r="11" x14ac:dyDescent="0.15">
      <c r="A11">
        <v>10</v>
      </c>
      <c r="B11" t="s">
        <v>188</v>
      </c>
      <c r="C11">
        <v>1</v>
      </c>
      <c r="D11">
        <v>0</v>
      </c>
      <c r="E11">
        <v>0</v>
      </c>
      <c r="F11" s="160">
        <f t="shared" si="0"/>
        <v>1</v>
      </c>
    </row>
    <row r="12" x14ac:dyDescent="0.15">
      <c r="A12">
        <v>11</v>
      </c>
      <c r="B12" t="s">
        <v>189</v>
      </c>
      <c r="C12">
        <v>1</v>
      </c>
      <c r="D12">
        <v>0</v>
      </c>
      <c r="E12">
        <v>0</v>
      </c>
      <c r="F12" s="160">
        <f t="shared" si="0"/>
        <v>1</v>
      </c>
    </row>
    <row r="13" x14ac:dyDescent="0.15">
      <c r="A13">
        <v>12</v>
      </c>
      <c r="B13" t="s">
        <v>190</v>
      </c>
      <c r="C13">
        <v>1</v>
      </c>
      <c r="D13">
        <v>0</v>
      </c>
      <c r="E13">
        <v>0</v>
      </c>
      <c r="F13" s="160">
        <f t="shared" si="0"/>
        <v>1</v>
      </c>
    </row>
    <row r="14" x14ac:dyDescent="0.15">
      <c r="A14">
        <v>13</v>
      </c>
      <c r="B14" t="s">
        <v>191</v>
      </c>
      <c r="C14">
        <v>1</v>
      </c>
      <c r="D14">
        <v>0</v>
      </c>
      <c r="E14">
        <v>0</v>
      </c>
      <c r="F14" s="160">
        <f t="shared" si="0"/>
        <v>1</v>
      </c>
    </row>
    <row r="15" x14ac:dyDescent="0.15">
      <c r="A15">
        <v>14</v>
      </c>
      <c r="B15" t="s">
        <v>192</v>
      </c>
      <c r="C15">
        <v>1</v>
      </c>
      <c r="D15">
        <v>0</v>
      </c>
      <c r="E15">
        <v>0</v>
      </c>
      <c r="F15" s="160">
        <f t="shared" si="0"/>
        <v>1</v>
      </c>
    </row>
    <row r="16" x14ac:dyDescent="0.15">
      <c r="A16">
        <v>15</v>
      </c>
      <c r="B16" t="s">
        <v>193</v>
      </c>
      <c r="C16">
        <v>1</v>
      </c>
      <c r="D16">
        <v>0</v>
      </c>
      <c r="E16">
        <v>0</v>
      </c>
      <c r="F16" s="160">
        <f t="shared" si="0"/>
        <v>1</v>
      </c>
    </row>
    <row r="17" x14ac:dyDescent="0.15">
      <c r="A17">
        <v>16</v>
      </c>
      <c r="B17" t="s">
        <v>194</v>
      </c>
      <c r="C17">
        <v>1</v>
      </c>
      <c r="D17">
        <v>0</v>
      </c>
      <c r="E17">
        <v>0</v>
      </c>
      <c r="F17" s="160">
        <f t="shared" si="0"/>
        <v>1</v>
      </c>
    </row>
    <row r="18" x14ac:dyDescent="0.15">
      <c r="A18">
        <v>17</v>
      </c>
      <c r="B18" t="s">
        <v>195</v>
      </c>
      <c r="C18">
        <v>1</v>
      </c>
      <c r="D18">
        <v>0</v>
      </c>
      <c r="E18">
        <v>0</v>
      </c>
      <c r="F18" s="160">
        <f t="shared" si="0"/>
        <v>1</v>
      </c>
    </row>
    <row r="19" x14ac:dyDescent="0.15">
      <c r="A19">
        <v>18</v>
      </c>
      <c r="B19" t="s">
        <v>72</v>
      </c>
      <c r="C19">
        <v>0</v>
      </c>
      <c r="D19">
        <v>1</v>
      </c>
      <c r="E19">
        <v>0</v>
      </c>
      <c r="F19" s="160">
        <f t="shared" si="0"/>
        <v>1</v>
      </c>
    </row>
    <row r="20" x14ac:dyDescent="0.15">
      <c r="A20">
        <v>19</v>
      </c>
      <c r="B20" t="s">
        <v>73</v>
      </c>
      <c r="C20">
        <v>0</v>
      </c>
      <c r="D20">
        <v>0</v>
      </c>
      <c r="E20">
        <v>1</v>
      </c>
      <c r="F20" s="160">
        <f t="shared" si="0"/>
        <v>1</v>
      </c>
    </row>
    <row r="21" x14ac:dyDescent="0.15">
      <c r="A21">
        <v>20</v>
      </c>
      <c r="B21" t="s">
        <v>197</v>
      </c>
      <c r="C21">
        <v>0</v>
      </c>
      <c r="D21">
        <v>1</v>
      </c>
      <c r="E21">
        <v>0</v>
      </c>
      <c r="F21" s="160">
        <f t="shared" si="0"/>
        <v>1</v>
      </c>
    </row>
    <row r="138" ht="12" customHeight="true" x14ac:dyDescent="0.15"/>
    <row r="139" ht="12" customHeight="true" x14ac:dyDescent="0.15"/>
    <row r="140" ht="12" customHeight="true" x14ac:dyDescent="0.15"/>
    <row r="141" ht="12" customHeight="true" x14ac:dyDescent="0.15"/>
    <row r="142" ht="12" customHeight="true" x14ac:dyDescent="0.15"/>
    <row r="143" ht="12" customHeight="true" x14ac:dyDescent="0.15"/>
    <row r="144" ht="12" customHeight="true" x14ac:dyDescent="0.15"/>
    <row r="145" ht="12" customHeight="true" x14ac:dyDescent="0.15"/>
    <row r="146" ht="12" customHeight="true" x14ac:dyDescent="0.15"/>
    <row r="147" ht="12" customHeight="true" x14ac:dyDescent="0.15"/>
    <row r="148" ht="12" customHeight="true" x14ac:dyDescent="0.15"/>
    <row r="149" ht="12" customHeight="true" x14ac:dyDescent="0.15"/>
    <row r="150" ht="12" customHeight="true" x14ac:dyDescent="0.15"/>
    <row r="151" ht="12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4" sqref="A24"/>
    </sheetView>
  </sheetViews>
  <sheetFormatPr baseColWidth="10" defaultColWidth="8.83203125" defaultRowHeight="13" x14ac:dyDescent="0.15"/>
  <cols>
    <col min="1" max="1" width="12.6640625" customWidth="true"/>
    <col min="2" max="2" width="46.5" bestFit="true" customWidth="true"/>
    <col min="3" max="3" width="14.33203125" bestFit="true" customWidth="true"/>
    <col min="4" max="4" width="10.83203125" customWidth="true"/>
  </cols>
  <sheetData>
    <row r="1" s="110" customFormat="true" ht="28" x14ac:dyDescent="0.15">
      <c r="A1" s="109" t="s">
        <v>21</v>
      </c>
      <c r="B1" s="112" t="s">
        <v>0</v>
      </c>
      <c r="C1" s="161" t="s">
        <v>197</v>
      </c>
      <c r="D1" s="110" t="s">
        <v>180</v>
      </c>
      <c r="E1"/>
    </row>
    <row r="2" x14ac:dyDescent="0.15">
      <c r="A2">
        <v>1</v>
      </c>
      <c r="B2" t="s">
        <v>43</v>
      </c>
      <c r="C2">
        <v>0</v>
      </c>
      <c r="D2" s="160">
        <f>SUM(C2)</f>
        <v>0</v>
      </c>
    </row>
    <row r="3" x14ac:dyDescent="0.15">
      <c r="A3">
        <v>2</v>
      </c>
      <c r="B3" t="s">
        <v>42</v>
      </c>
      <c r="C3">
        <v>0</v>
      </c>
      <c r="D3" s="160">
        <f t="shared" ref="D3:D20" si="0">SUM(C3)</f>
        <v>0</v>
      </c>
    </row>
    <row r="4" x14ac:dyDescent="0.15">
      <c r="A4">
        <v>3</v>
      </c>
      <c r="B4" t="s">
        <v>181</v>
      </c>
      <c r="C4">
        <v>0</v>
      </c>
      <c r="D4" s="160">
        <f t="shared" si="0"/>
        <v>0</v>
      </c>
    </row>
    <row r="5" x14ac:dyDescent="0.15">
      <c r="A5">
        <v>4</v>
      </c>
      <c r="B5" t="s">
        <v>182</v>
      </c>
      <c r="C5">
        <v>0</v>
      </c>
      <c r="D5" s="160">
        <f t="shared" si="0"/>
        <v>0</v>
      </c>
    </row>
    <row r="6" x14ac:dyDescent="0.15">
      <c r="A6">
        <v>5</v>
      </c>
      <c r="B6" t="s">
        <v>183</v>
      </c>
      <c r="C6">
        <v>0</v>
      </c>
      <c r="D6" s="160">
        <f t="shared" si="0"/>
        <v>0</v>
      </c>
    </row>
    <row r="7" x14ac:dyDescent="0.15">
      <c r="A7">
        <v>6</v>
      </c>
      <c r="B7" t="s">
        <v>184</v>
      </c>
      <c r="C7">
        <v>0</v>
      </c>
      <c r="D7" s="160">
        <f t="shared" si="0"/>
        <v>0</v>
      </c>
    </row>
    <row r="8" x14ac:dyDescent="0.15">
      <c r="A8">
        <v>7</v>
      </c>
      <c r="B8" t="s">
        <v>185</v>
      </c>
      <c r="C8">
        <v>0.34</v>
      </c>
      <c r="D8" s="160">
        <f t="shared" si="0"/>
        <v>0.34</v>
      </c>
    </row>
    <row r="9" x14ac:dyDescent="0.15">
      <c r="A9">
        <v>8</v>
      </c>
      <c r="B9" t="s">
        <v>186</v>
      </c>
      <c r="C9">
        <v>1.4999999999999999E-2</v>
      </c>
      <c r="D9" s="160">
        <f t="shared" si="0"/>
        <v>1.4999999999999999E-2</v>
      </c>
    </row>
    <row r="10" x14ac:dyDescent="0.15">
      <c r="A10">
        <v>9</v>
      </c>
      <c r="B10" t="s">
        <v>187</v>
      </c>
      <c r="C10">
        <v>0.8</v>
      </c>
      <c r="D10" s="160">
        <f t="shared" si="0"/>
        <v>0.8</v>
      </c>
    </row>
    <row r="11" x14ac:dyDescent="0.15">
      <c r="A11">
        <v>10</v>
      </c>
      <c r="B11" t="s">
        <v>188</v>
      </c>
      <c r="C11">
        <v>0</v>
      </c>
      <c r="D11" s="160">
        <f t="shared" si="0"/>
        <v>0</v>
      </c>
    </row>
    <row r="12" x14ac:dyDescent="0.15">
      <c r="A12">
        <v>11</v>
      </c>
      <c r="B12" t="s">
        <v>189</v>
      </c>
      <c r="C12">
        <v>0</v>
      </c>
      <c r="D12" s="160">
        <f t="shared" si="0"/>
        <v>0</v>
      </c>
    </row>
    <row r="13" x14ac:dyDescent="0.15">
      <c r="A13">
        <v>12</v>
      </c>
      <c r="B13" t="s">
        <v>190</v>
      </c>
      <c r="C13">
        <v>0</v>
      </c>
      <c r="D13" s="160">
        <f t="shared" si="0"/>
        <v>0</v>
      </c>
    </row>
    <row r="14" x14ac:dyDescent="0.15">
      <c r="A14">
        <v>13</v>
      </c>
      <c r="B14" t="s">
        <v>191</v>
      </c>
      <c r="C14">
        <v>0</v>
      </c>
      <c r="D14" s="160">
        <f t="shared" si="0"/>
        <v>0</v>
      </c>
    </row>
    <row r="15" x14ac:dyDescent="0.15">
      <c r="A15">
        <v>14</v>
      </c>
      <c r="B15" t="s">
        <v>192</v>
      </c>
      <c r="C15">
        <v>0.65</v>
      </c>
      <c r="D15" s="160">
        <f t="shared" si="0"/>
        <v>0.65</v>
      </c>
    </row>
    <row r="16" x14ac:dyDescent="0.15">
      <c r="A16">
        <v>15</v>
      </c>
      <c r="B16" t="s">
        <v>193</v>
      </c>
      <c r="C16">
        <v>0</v>
      </c>
      <c r="D16" s="160">
        <f t="shared" si="0"/>
        <v>0</v>
      </c>
    </row>
    <row r="17" x14ac:dyDescent="0.15">
      <c r="A17">
        <v>16</v>
      </c>
      <c r="B17" t="s">
        <v>194</v>
      </c>
      <c r="C17">
        <v>0</v>
      </c>
      <c r="D17" s="160">
        <f t="shared" si="0"/>
        <v>0</v>
      </c>
    </row>
    <row r="18" x14ac:dyDescent="0.15">
      <c r="A18">
        <v>17</v>
      </c>
      <c r="B18" t="s">
        <v>195</v>
      </c>
      <c r="C18">
        <v>0</v>
      </c>
      <c r="D18" s="160">
        <f t="shared" si="0"/>
        <v>0</v>
      </c>
    </row>
    <row r="19" x14ac:dyDescent="0.15">
      <c r="A19">
        <v>18</v>
      </c>
      <c r="B19" t="s">
        <v>72</v>
      </c>
      <c r="C19">
        <v>0</v>
      </c>
      <c r="D19" s="160">
        <f t="shared" si="0"/>
        <v>0</v>
      </c>
    </row>
    <row r="20" x14ac:dyDescent="0.15">
      <c r="A20">
        <v>19</v>
      </c>
      <c r="B20" t="s">
        <v>73</v>
      </c>
      <c r="C20">
        <v>0</v>
      </c>
      <c r="D20" s="160">
        <f t="shared" si="0"/>
        <v>0</v>
      </c>
    </row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5" ht="15" customHeight="true" x14ac:dyDescent="0.15"/>
    <row r="176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AI2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2" sqref="A22"/>
    </sheetView>
  </sheetViews>
  <sheetFormatPr baseColWidth="10" defaultColWidth="8.83203125" defaultRowHeight="13" x14ac:dyDescent="0.15"/>
  <cols>
    <col min="1" max="1" width="12.6640625" customWidth="true"/>
    <col min="2" max="2" width="46.5" bestFit="true" customWidth="true"/>
    <col min="3" max="3" width="14.33203125" bestFit="true" customWidth="true"/>
    <col min="4" max="4" width="10.83203125" customWidth="true"/>
    <col min="5" max="5" width="24.33203125" bestFit="true" customWidth="true"/>
    <col min="6" max="6" width="27.5" bestFit="true" customWidth="true"/>
    <col min="7" max="7" width="35.5" bestFit="true" customWidth="true"/>
    <col min="8" max="8" width="30.6640625" bestFit="true" customWidth="true"/>
    <col min="9" max="9" width="19" bestFit="true" customWidth="true"/>
    <col min="10" max="10" width="32.33203125" bestFit="true" customWidth="true"/>
    <col min="11" max="11" width="21.5" bestFit="true" customWidth="true"/>
    <col min="12" max="12" width="14.33203125" bestFit="true" customWidth="true"/>
    <col min="13" max="13" width="12.6640625" bestFit="true" customWidth="true"/>
    <col min="14" max="14" width="14.33203125" bestFit="true" customWidth="true"/>
    <col min="15" max="15" width="24" bestFit="true" customWidth="true"/>
    <col min="16" max="16" width="26.6640625" bestFit="true" customWidth="true"/>
    <col min="17" max="17" width="13" bestFit="true" customWidth="true"/>
    <col min="18" max="18" width="22" bestFit="true" customWidth="true"/>
    <col min="19" max="19" width="22" customWidth="true"/>
    <col min="20" max="20" width="10.83203125" customWidth="true"/>
  </cols>
  <sheetData>
    <row r="1" s="110" customFormat="true" ht="28" x14ac:dyDescent="0.15">
      <c r="A1" s="109" t="s">
        <v>22</v>
      </c>
      <c r="B1" s="112" t="s">
        <v>0</v>
      </c>
      <c r="C1" s="161" t="s">
        <v>197</v>
      </c>
      <c r="D1" s="110" t="s">
        <v>180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x14ac:dyDescent="0.15">
      <c r="A2">
        <v>1</v>
      </c>
      <c r="B2" t="s">
        <v>43</v>
      </c>
      <c r="C2">
        <v>0</v>
      </c>
      <c r="D2" s="160">
        <f>SUM(C2)</f>
        <v>0</v>
      </c>
    </row>
    <row r="3" x14ac:dyDescent="0.15">
      <c r="A3">
        <v>2</v>
      </c>
      <c r="B3" t="s">
        <v>42</v>
      </c>
      <c r="C3">
        <v>0</v>
      </c>
      <c r="D3" s="160">
        <f t="shared" ref="D3:D20" si="0">SUM(C3)</f>
        <v>0</v>
      </c>
    </row>
    <row r="4" x14ac:dyDescent="0.15">
      <c r="A4">
        <v>3</v>
      </c>
      <c r="B4" t="s">
        <v>181</v>
      </c>
      <c r="C4">
        <v>0</v>
      </c>
      <c r="D4" s="160">
        <f t="shared" si="0"/>
        <v>0</v>
      </c>
    </row>
    <row r="5" x14ac:dyDescent="0.15">
      <c r="A5">
        <v>4</v>
      </c>
      <c r="B5" t="s">
        <v>182</v>
      </c>
      <c r="C5">
        <v>0</v>
      </c>
      <c r="D5" s="160">
        <f t="shared" si="0"/>
        <v>0</v>
      </c>
    </row>
    <row r="6" x14ac:dyDescent="0.15">
      <c r="A6">
        <v>5</v>
      </c>
      <c r="B6" t="s">
        <v>183</v>
      </c>
      <c r="C6">
        <v>0</v>
      </c>
      <c r="D6" s="160">
        <f t="shared" si="0"/>
        <v>0</v>
      </c>
    </row>
    <row r="7" x14ac:dyDescent="0.15">
      <c r="A7">
        <v>6</v>
      </c>
      <c r="B7" t="s">
        <v>184</v>
      </c>
      <c r="C7">
        <v>0</v>
      </c>
      <c r="D7" s="160">
        <f t="shared" si="0"/>
        <v>0</v>
      </c>
    </row>
    <row r="8" x14ac:dyDescent="0.15">
      <c r="A8">
        <v>7</v>
      </c>
      <c r="B8" t="s">
        <v>185</v>
      </c>
      <c r="C8">
        <v>3.5000000000000003E-2</v>
      </c>
      <c r="D8" s="160">
        <f t="shared" si="0"/>
        <v>3.5000000000000003E-2</v>
      </c>
    </row>
    <row r="9" x14ac:dyDescent="0.15">
      <c r="A9">
        <v>8</v>
      </c>
      <c r="B9" t="s">
        <v>186</v>
      </c>
      <c r="C9">
        <v>4.3E-3</v>
      </c>
      <c r="D9" s="160">
        <f t="shared" si="0"/>
        <v>4.3E-3</v>
      </c>
    </row>
    <row r="10" x14ac:dyDescent="0.15">
      <c r="A10">
        <v>9</v>
      </c>
      <c r="B10" t="s">
        <v>187</v>
      </c>
      <c r="C10">
        <v>0.24</v>
      </c>
      <c r="D10" s="160">
        <f t="shared" si="0"/>
        <v>0.24</v>
      </c>
    </row>
    <row r="11" x14ac:dyDescent="0.15">
      <c r="A11">
        <v>10</v>
      </c>
      <c r="B11" t="s">
        <v>188</v>
      </c>
      <c r="C11">
        <v>0</v>
      </c>
      <c r="D11" s="160">
        <f t="shared" si="0"/>
        <v>0</v>
      </c>
    </row>
    <row r="12" x14ac:dyDescent="0.15">
      <c r="A12">
        <v>11</v>
      </c>
      <c r="B12" t="s">
        <v>189</v>
      </c>
      <c r="C12">
        <v>0</v>
      </c>
      <c r="D12" s="160">
        <f t="shared" si="0"/>
        <v>0</v>
      </c>
    </row>
    <row r="13" x14ac:dyDescent="0.15">
      <c r="A13">
        <v>12</v>
      </c>
      <c r="B13" t="s">
        <v>190</v>
      </c>
      <c r="C13">
        <v>0</v>
      </c>
      <c r="D13" s="160">
        <f t="shared" si="0"/>
        <v>0</v>
      </c>
    </row>
    <row r="14" x14ac:dyDescent="0.15">
      <c r="A14">
        <v>13</v>
      </c>
      <c r="B14" t="s">
        <v>191</v>
      </c>
      <c r="C14">
        <v>0</v>
      </c>
      <c r="D14" s="160">
        <f t="shared" si="0"/>
        <v>0</v>
      </c>
    </row>
    <row r="15" x14ac:dyDescent="0.15">
      <c r="A15">
        <v>14</v>
      </c>
      <c r="B15" t="s">
        <v>192</v>
      </c>
      <c r="C15">
        <v>0.2</v>
      </c>
      <c r="D15" s="160">
        <f t="shared" si="0"/>
        <v>0.2</v>
      </c>
    </row>
    <row r="16" x14ac:dyDescent="0.15">
      <c r="A16">
        <v>15</v>
      </c>
      <c r="B16" t="s">
        <v>193</v>
      </c>
      <c r="C16">
        <v>0</v>
      </c>
      <c r="D16" s="160">
        <f t="shared" si="0"/>
        <v>0</v>
      </c>
    </row>
    <row r="17" x14ac:dyDescent="0.15">
      <c r="A17">
        <v>16</v>
      </c>
      <c r="B17" t="s">
        <v>194</v>
      </c>
      <c r="C17">
        <v>0</v>
      </c>
      <c r="D17" s="160">
        <f t="shared" si="0"/>
        <v>0</v>
      </c>
    </row>
    <row r="18" x14ac:dyDescent="0.15">
      <c r="A18">
        <v>17</v>
      </c>
      <c r="B18" t="s">
        <v>195</v>
      </c>
      <c r="C18">
        <v>0</v>
      </c>
      <c r="D18" s="160">
        <f t="shared" si="0"/>
        <v>0</v>
      </c>
    </row>
    <row r="19" x14ac:dyDescent="0.15">
      <c r="A19">
        <v>18</v>
      </c>
      <c r="B19" t="s">
        <v>72</v>
      </c>
      <c r="C19">
        <v>0</v>
      </c>
      <c r="D19" s="160">
        <f t="shared" si="0"/>
        <v>0</v>
      </c>
    </row>
    <row r="20" x14ac:dyDescent="0.15">
      <c r="A20">
        <v>19</v>
      </c>
      <c r="B20" t="s">
        <v>73</v>
      </c>
      <c r="C20">
        <v>0</v>
      </c>
      <c r="D20" s="160">
        <f t="shared" si="0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A13" sqref="A13"/>
    </sheetView>
  </sheetViews>
  <sheetFormatPr baseColWidth="10" defaultRowHeight="13" x14ac:dyDescent="0.15"/>
  <cols>
    <col min="1" max="1" width="17.33203125" bestFit="true" customWidth="true"/>
    <col min="5" max="5" width="39.83203125" bestFit="true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24" bestFit="true" customWidth="true"/>
    <col min="11" max="11" width="8.6640625" style="124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13" customFormat="true" ht="14" thickBot="true" x14ac:dyDescent="0.2">
      <c r="D1" s="114" t="s">
        <v>8</v>
      </c>
      <c r="E1" s="114" t="s">
        <v>0</v>
      </c>
      <c r="F1" s="115" t="s">
        <v>100</v>
      </c>
      <c r="G1" s="116" t="s">
        <v>85</v>
      </c>
      <c r="H1" s="116" t="s">
        <v>86</v>
      </c>
      <c r="I1" s="116" t="s">
        <v>87</v>
      </c>
      <c r="J1" s="116" t="s">
        <v>88</v>
      </c>
      <c r="K1" s="116" t="s">
        <v>89</v>
      </c>
      <c r="L1" s="117" t="s">
        <v>90</v>
      </c>
      <c r="M1" s="117" t="s">
        <v>94</v>
      </c>
      <c r="N1" s="117" t="s">
        <v>93</v>
      </c>
      <c r="O1" s="117" t="s">
        <v>91</v>
      </c>
      <c r="P1" s="117" t="s">
        <v>92</v>
      </c>
      <c r="Q1" s="118" t="s">
        <v>95</v>
      </c>
      <c r="R1" s="118" t="s">
        <v>96</v>
      </c>
      <c r="S1" s="118" t="s">
        <v>97</v>
      </c>
      <c r="T1" s="118" t="s">
        <v>98</v>
      </c>
      <c r="U1" s="118" t="s">
        <v>99</v>
      </c>
      <c r="V1" s="116" t="s">
        <v>101</v>
      </c>
      <c r="W1" s="116" t="s">
        <v>102</v>
      </c>
      <c r="X1" s="116" t="s">
        <v>103</v>
      </c>
      <c r="Y1" s="116" t="s">
        <v>135</v>
      </c>
      <c r="Z1" s="117" t="s">
        <v>104</v>
      </c>
      <c r="AA1" s="117" t="s">
        <v>105</v>
      </c>
      <c r="AB1" s="117" t="s">
        <v>106</v>
      </c>
      <c r="AC1" s="119" t="s">
        <v>136</v>
      </c>
      <c r="AD1" s="118" t="s">
        <v>107</v>
      </c>
      <c r="AE1" s="118" t="s">
        <v>108</v>
      </c>
      <c r="AF1" s="118" t="s">
        <v>109</v>
      </c>
      <c r="AG1" s="118" t="s">
        <v>137</v>
      </c>
      <c r="AH1" s="116" t="s">
        <v>110</v>
      </c>
      <c r="AI1" s="116" t="s">
        <v>112</v>
      </c>
      <c r="AJ1" s="116" t="s">
        <v>111</v>
      </c>
      <c r="AK1" s="117" t="s">
        <v>116</v>
      </c>
      <c r="AL1" s="117" t="s">
        <v>117</v>
      </c>
      <c r="AM1" s="117" t="s">
        <v>118</v>
      </c>
      <c r="AN1" s="118" t="s">
        <v>113</v>
      </c>
      <c r="AO1" s="118" t="s">
        <v>114</v>
      </c>
      <c r="AP1" s="118" t="s">
        <v>115</v>
      </c>
    </row>
    <row r="2" x14ac:dyDescent="0.15">
      <c r="A2" s="120" t="s">
        <v>75</v>
      </c>
      <c r="B2" s="121">
        <v>1</v>
      </c>
      <c r="D2">
        <v>1</v>
      </c>
      <c r="E2" t="s">
        <v>43</v>
      </c>
      <c r="F2">
        <v>0.999</v>
      </c>
      <c r="G2">
        <v>0.8</v>
      </c>
      <c r="H2">
        <v>0.8</v>
      </c>
      <c r="I2">
        <v>0</v>
      </c>
      <c r="J2">
        <v>0</v>
      </c>
      <c r="K2">
        <v>0</v>
      </c>
      <c r="V2">
        <v>0</v>
      </c>
      <c r="W2">
        <v>0</v>
      </c>
    </row>
    <row r="3" x14ac:dyDescent="0.15">
      <c r="A3" s="120" t="s">
        <v>76</v>
      </c>
      <c r="B3" s="122">
        <v>1</v>
      </c>
      <c r="D3">
        <f>D2+1</f>
        <v>2</v>
      </c>
      <c r="E3" t="s">
        <v>42</v>
      </c>
      <c r="F3">
        <v>0.999</v>
      </c>
      <c r="G3">
        <v>0.8</v>
      </c>
      <c r="H3">
        <v>0.8</v>
      </c>
      <c r="I3">
        <v>0</v>
      </c>
      <c r="J3">
        <v>0</v>
      </c>
      <c r="K3">
        <v>0</v>
      </c>
      <c r="V3">
        <v>0</v>
      </c>
      <c r="W3">
        <v>0</v>
      </c>
    </row>
    <row r="4" x14ac:dyDescent="0.15">
      <c r="A4" s="120" t="s">
        <v>77</v>
      </c>
      <c r="B4" s="122">
        <v>1</v>
      </c>
      <c r="D4">
        <f t="shared" ref="D4:D20" si="0">D3+1</f>
        <v>3</v>
      </c>
      <c r="E4" t="s">
        <v>181</v>
      </c>
      <c r="F4">
        <v>0.999</v>
      </c>
      <c r="G4">
        <v>0.8</v>
      </c>
      <c r="H4">
        <v>0.8</v>
      </c>
      <c r="I4">
        <v>0.6</v>
      </c>
      <c r="J4">
        <v>0.25</v>
      </c>
      <c r="K4">
        <v>0.05</v>
      </c>
      <c r="V4">
        <v>0</v>
      </c>
      <c r="W4">
        <v>0</v>
      </c>
    </row>
    <row r="5" x14ac:dyDescent="0.15">
      <c r="A5" s="120" t="s">
        <v>78</v>
      </c>
      <c r="B5" s="122">
        <v>1</v>
      </c>
      <c r="D5">
        <f t="shared" si="0"/>
        <v>4</v>
      </c>
      <c r="E5" t="s">
        <v>182</v>
      </c>
      <c r="F5">
        <v>0.999</v>
      </c>
      <c r="G5">
        <v>0.8</v>
      </c>
      <c r="H5">
        <v>0.8</v>
      </c>
      <c r="I5">
        <v>0.6</v>
      </c>
      <c r="J5">
        <v>0.25</v>
      </c>
      <c r="K5">
        <v>0.05</v>
      </c>
      <c r="V5">
        <v>0</v>
      </c>
      <c r="W5">
        <v>0</v>
      </c>
    </row>
    <row r="6" x14ac:dyDescent="0.15">
      <c r="A6" s="120" t="s">
        <v>79</v>
      </c>
      <c r="B6" s="122">
        <v>0</v>
      </c>
      <c r="D6">
        <f t="shared" si="0"/>
        <v>5</v>
      </c>
      <c r="E6" t="s">
        <v>183</v>
      </c>
      <c r="F6">
        <v>0.999</v>
      </c>
      <c r="G6">
        <v>0.8</v>
      </c>
      <c r="H6">
        <v>0.8</v>
      </c>
      <c r="I6">
        <v>0.6</v>
      </c>
      <c r="J6">
        <v>0.25</v>
      </c>
      <c r="K6">
        <v>0.05</v>
      </c>
      <c r="V6">
        <v>0</v>
      </c>
      <c r="W6">
        <v>0</v>
      </c>
    </row>
    <row r="7" x14ac:dyDescent="0.15">
      <c r="A7" s="120" t="s">
        <v>80</v>
      </c>
      <c r="B7" s="122">
        <v>0</v>
      </c>
      <c r="D7">
        <f t="shared" si="0"/>
        <v>6</v>
      </c>
      <c r="E7" t="s">
        <v>184</v>
      </c>
      <c r="F7">
        <v>0.999</v>
      </c>
      <c r="G7">
        <v>0.8</v>
      </c>
      <c r="H7">
        <v>0.8</v>
      </c>
      <c r="I7">
        <v>0.6</v>
      </c>
      <c r="J7">
        <v>0.25</v>
      </c>
      <c r="K7">
        <v>0.05</v>
      </c>
      <c r="V7">
        <v>0</v>
      </c>
      <c r="W7">
        <v>0</v>
      </c>
    </row>
    <row r="8" x14ac:dyDescent="0.15">
      <c r="A8" s="120" t="s">
        <v>81</v>
      </c>
      <c r="B8" s="122">
        <v>1</v>
      </c>
      <c r="D8">
        <f t="shared" si="0"/>
        <v>7</v>
      </c>
      <c r="E8" t="s">
        <v>185</v>
      </c>
      <c r="F8">
        <v>0.999</v>
      </c>
      <c r="G8">
        <v>0.8</v>
      </c>
      <c r="H8">
        <v>0.8</v>
      </c>
      <c r="I8">
        <v>0.6</v>
      </c>
      <c r="J8">
        <v>0.25</v>
      </c>
      <c r="K8">
        <v>0.05</v>
      </c>
      <c r="V8">
        <v>0</v>
      </c>
      <c r="W8">
        <v>0</v>
      </c>
    </row>
    <row r="9" x14ac:dyDescent="0.15">
      <c r="A9" s="120" t="s">
        <v>82</v>
      </c>
      <c r="B9" s="122">
        <v>0.1</v>
      </c>
      <c r="C9" s="111" t="s">
        <v>151</v>
      </c>
      <c r="D9">
        <f t="shared" si="0"/>
        <v>8</v>
      </c>
      <c r="E9" t="s">
        <v>186</v>
      </c>
      <c r="F9">
        <v>0.999</v>
      </c>
      <c r="G9">
        <v>0.8</v>
      </c>
      <c r="H9">
        <v>0.8</v>
      </c>
      <c r="I9">
        <v>0.6</v>
      </c>
      <c r="J9">
        <v>0.25</v>
      </c>
      <c r="K9">
        <v>0.05</v>
      </c>
      <c r="V9">
        <v>0</v>
      </c>
      <c r="W9">
        <v>0</v>
      </c>
    </row>
    <row r="10" ht="14" thickBot="true" x14ac:dyDescent="0.2">
      <c r="A10" s="120" t="s">
        <v>150</v>
      </c>
      <c r="B10" s="123">
        <f>1/3</f>
        <v>0.33333333333333331</v>
      </c>
      <c r="C10" s="111" t="s">
        <v>151</v>
      </c>
      <c r="D10">
        <f t="shared" si="0"/>
        <v>9</v>
      </c>
      <c r="E10" t="s">
        <v>187</v>
      </c>
      <c r="F10">
        <v>0.999</v>
      </c>
      <c r="G10">
        <v>0.8</v>
      </c>
      <c r="H10">
        <v>0.8</v>
      </c>
      <c r="I10">
        <v>0.6</v>
      </c>
      <c r="J10">
        <v>0.25</v>
      </c>
      <c r="K10">
        <v>0.05</v>
      </c>
      <c r="V10">
        <v>0</v>
      </c>
      <c r="W10">
        <v>0</v>
      </c>
    </row>
    <row r="11" x14ac:dyDescent="0.15">
      <c r="D11">
        <f t="shared" si="0"/>
        <v>10</v>
      </c>
      <c r="E11" t="s">
        <v>188</v>
      </c>
      <c r="F11">
        <v>0.999</v>
      </c>
      <c r="G11">
        <v>0.8</v>
      </c>
      <c r="H11">
        <v>0.8</v>
      </c>
      <c r="I11">
        <v>0.6</v>
      </c>
      <c r="J11">
        <v>0.25</v>
      </c>
      <c r="K11">
        <v>0.05</v>
      </c>
      <c r="V11">
        <v>0</v>
      </c>
      <c r="W11">
        <v>0</v>
      </c>
    </row>
    <row r="12" x14ac:dyDescent="0.15">
      <c r="D12">
        <f t="shared" si="0"/>
        <v>11</v>
      </c>
      <c r="E12" t="s">
        <v>189</v>
      </c>
      <c r="F12">
        <v>0.999</v>
      </c>
      <c r="G12">
        <v>0.8</v>
      </c>
      <c r="H12">
        <v>0.8</v>
      </c>
      <c r="I12">
        <v>0.6</v>
      </c>
      <c r="J12">
        <v>0.25</v>
      </c>
      <c r="K12">
        <v>0.05</v>
      </c>
      <c r="V12">
        <v>0</v>
      </c>
      <c r="W12">
        <v>0</v>
      </c>
    </row>
    <row r="13" x14ac:dyDescent="0.15">
      <c r="D13">
        <f t="shared" si="0"/>
        <v>12</v>
      </c>
      <c r="E13" t="s">
        <v>190</v>
      </c>
      <c r="F13">
        <v>0.999</v>
      </c>
      <c r="G13">
        <v>0.8</v>
      </c>
      <c r="H13">
        <v>0.8</v>
      </c>
      <c r="I13">
        <v>0.6</v>
      </c>
      <c r="J13">
        <v>0.25</v>
      </c>
      <c r="K13">
        <v>0.05</v>
      </c>
      <c r="V13">
        <v>0</v>
      </c>
      <c r="W13">
        <v>0</v>
      </c>
    </row>
    <row r="14" x14ac:dyDescent="0.15">
      <c r="D14">
        <f t="shared" si="0"/>
        <v>13</v>
      </c>
      <c r="E14" t="s">
        <v>191</v>
      </c>
      <c r="F14">
        <v>0.999</v>
      </c>
      <c r="G14">
        <v>0.8</v>
      </c>
      <c r="H14">
        <v>0.8</v>
      </c>
      <c r="I14">
        <v>0.6</v>
      </c>
      <c r="J14">
        <v>0.25</v>
      </c>
      <c r="K14">
        <v>0.05</v>
      </c>
      <c r="V14">
        <v>0</v>
      </c>
      <c r="W14">
        <v>0</v>
      </c>
    </row>
    <row r="15" x14ac:dyDescent="0.15">
      <c r="D15">
        <f t="shared" si="0"/>
        <v>14</v>
      </c>
      <c r="E15" t="s">
        <v>192</v>
      </c>
      <c r="F15">
        <v>0.999</v>
      </c>
      <c r="G15">
        <v>0.8</v>
      </c>
      <c r="H15">
        <v>0.8</v>
      </c>
      <c r="I15">
        <v>0.6</v>
      </c>
      <c r="J15">
        <v>0.25</v>
      </c>
      <c r="K15">
        <v>0.05</v>
      </c>
      <c r="V15">
        <v>0</v>
      </c>
      <c r="W15">
        <v>0</v>
      </c>
    </row>
    <row r="16" x14ac:dyDescent="0.15">
      <c r="D16">
        <f t="shared" si="0"/>
        <v>15</v>
      </c>
      <c r="E16" t="s">
        <v>193</v>
      </c>
      <c r="F16">
        <v>0.999</v>
      </c>
      <c r="G16">
        <v>0.8</v>
      </c>
      <c r="H16">
        <v>0.2</v>
      </c>
      <c r="I16">
        <v>0.1</v>
      </c>
      <c r="J16">
        <v>0.25</v>
      </c>
      <c r="K16">
        <v>0.05</v>
      </c>
      <c r="V16">
        <v>0</v>
      </c>
      <c r="W16">
        <v>0</v>
      </c>
    </row>
    <row r="17" x14ac:dyDescent="0.15">
      <c r="D17">
        <f t="shared" si="0"/>
        <v>16</v>
      </c>
      <c r="E17" t="s">
        <v>194</v>
      </c>
      <c r="F17">
        <v>0.999</v>
      </c>
      <c r="G17">
        <v>0.8</v>
      </c>
      <c r="H17">
        <v>0.2</v>
      </c>
      <c r="I17">
        <v>0.1</v>
      </c>
      <c r="J17">
        <v>0.25</v>
      </c>
      <c r="K17">
        <v>0.05</v>
      </c>
      <c r="V17">
        <v>0</v>
      </c>
      <c r="W17">
        <v>0</v>
      </c>
    </row>
    <row r="18" x14ac:dyDescent="0.15">
      <c r="D18">
        <f t="shared" si="0"/>
        <v>17</v>
      </c>
      <c r="E18" t="s">
        <v>195</v>
      </c>
      <c r="F18">
        <v>0.999</v>
      </c>
      <c r="G18">
        <v>0.8</v>
      </c>
      <c r="H18">
        <v>0.2</v>
      </c>
      <c r="I18">
        <v>0.1</v>
      </c>
      <c r="J18">
        <v>0.25</v>
      </c>
      <c r="K18">
        <v>0.05</v>
      </c>
      <c r="V18">
        <v>0</v>
      </c>
      <c r="W18">
        <v>0</v>
      </c>
    </row>
    <row r="19" x14ac:dyDescent="0.15">
      <c r="D19">
        <f t="shared" si="0"/>
        <v>18</v>
      </c>
      <c r="E19" t="s">
        <v>72</v>
      </c>
      <c r="F19">
        <v>0.999</v>
      </c>
      <c r="G19">
        <v>0.8</v>
      </c>
      <c r="H19">
        <v>0</v>
      </c>
      <c r="I19">
        <v>0</v>
      </c>
      <c r="J19">
        <v>0.25</v>
      </c>
      <c r="K19">
        <v>0.05</v>
      </c>
      <c r="V19">
        <v>0</v>
      </c>
      <c r="W19">
        <v>0</v>
      </c>
    </row>
    <row r="20" x14ac:dyDescent="0.15">
      <c r="D20">
        <f t="shared" si="0"/>
        <v>19</v>
      </c>
      <c r="E20" t="s">
        <v>73</v>
      </c>
      <c r="F20">
        <v>0.999</v>
      </c>
      <c r="G20">
        <v>0.8</v>
      </c>
      <c r="H20">
        <v>0</v>
      </c>
      <c r="I20">
        <v>0</v>
      </c>
      <c r="J20">
        <v>0.25</v>
      </c>
      <c r="K20">
        <v>0.05</v>
      </c>
      <c r="V20">
        <v>0</v>
      </c>
      <c r="W20">
        <v>0</v>
      </c>
    </row>
    <row r="21" x14ac:dyDescent="0.15">
      <c r="J21"/>
      <c r="K21"/>
      <c r="Y21"/>
      <c r="AC21"/>
      <c r="AG21"/>
    </row>
    <row r="22" x14ac:dyDescent="0.15">
      <c r="J22"/>
      <c r="K22"/>
      <c r="Y22"/>
      <c r="AC22"/>
      <c r="AG22"/>
    </row>
    <row r="23" x14ac:dyDescent="0.15">
      <c r="J23"/>
      <c r="K23"/>
      <c r="Y23"/>
      <c r="AC23"/>
      <c r="AG23"/>
    </row>
    <row r="24" x14ac:dyDescent="0.15">
      <c r="J24"/>
      <c r="K24"/>
      <c r="Y24"/>
      <c r="AC24"/>
      <c r="AG24"/>
    </row>
    <row r="25" x14ac:dyDescent="0.15">
      <c r="J25"/>
      <c r="K25"/>
      <c r="Y25"/>
      <c r="AC25"/>
      <c r="AG25"/>
    </row>
    <row r="26" x14ac:dyDescent="0.15">
      <c r="J26"/>
      <c r="K26"/>
      <c r="Y26"/>
      <c r="AC26"/>
      <c r="AG26"/>
    </row>
    <row r="27" x14ac:dyDescent="0.15">
      <c r="J27"/>
      <c r="K27"/>
      <c r="Y27"/>
      <c r="AC27"/>
      <c r="AG27"/>
    </row>
    <row r="28" x14ac:dyDescent="0.15">
      <c r="J28"/>
      <c r="K28"/>
      <c r="Y28"/>
      <c r="AC28"/>
      <c r="AG28"/>
    </row>
    <row r="29" x14ac:dyDescent="0.15">
      <c r="J29"/>
      <c r="K29"/>
      <c r="Y29"/>
      <c r="AC29"/>
      <c r="AG29"/>
    </row>
    <row r="30" x14ac:dyDescent="0.15">
      <c r="J30"/>
      <c r="K30"/>
      <c r="Y30"/>
      <c r="AC30"/>
      <c r="AG30"/>
    </row>
    <row r="31" x14ac:dyDescent="0.15">
      <c r="J31"/>
      <c r="K31"/>
      <c r="Y31"/>
      <c r="AC31"/>
      <c r="AG31"/>
    </row>
    <row r="32" x14ac:dyDescent="0.15">
      <c r="J32"/>
      <c r="K32"/>
      <c r="Y32"/>
      <c r="AC32"/>
      <c r="AG32"/>
    </row>
    <row r="33" x14ac:dyDescent="0.15">
      <c r="J33"/>
      <c r="K33"/>
      <c r="Y33"/>
      <c r="AC33"/>
      <c r="AG33"/>
    </row>
    <row r="34" x14ac:dyDescent="0.15">
      <c r="J34"/>
      <c r="K34"/>
      <c r="Y34"/>
      <c r="AC34"/>
      <c r="AG34"/>
    </row>
    <row r="35" x14ac:dyDescent="0.15">
      <c r="J35"/>
      <c r="K35"/>
      <c r="Y35"/>
      <c r="AC35"/>
      <c r="AG35"/>
    </row>
    <row r="36" x14ac:dyDescent="0.15">
      <c r="J36"/>
      <c r="K36"/>
      <c r="Y36"/>
      <c r="AC36"/>
      <c r="AG36"/>
    </row>
    <row r="37" x14ac:dyDescent="0.15">
      <c r="J37"/>
      <c r="K37"/>
      <c r="Y37"/>
      <c r="AC37"/>
      <c r="AG37"/>
    </row>
    <row r="38" x14ac:dyDescent="0.15">
      <c r="J38"/>
      <c r="K38"/>
      <c r="Y38"/>
      <c r="AC38"/>
      <c r="AG38"/>
    </row>
    <row r="39" x14ac:dyDescent="0.15">
      <c r="J39"/>
      <c r="K39"/>
      <c r="Y39"/>
      <c r="AC39"/>
      <c r="AG39"/>
    </row>
    <row r="40" x14ac:dyDescent="0.15">
      <c r="J40"/>
      <c r="K40"/>
      <c r="Y40"/>
      <c r="AC40"/>
      <c r="AG40"/>
    </row>
    <row r="41" x14ac:dyDescent="0.15">
      <c r="J41"/>
      <c r="K41"/>
      <c r="Y41"/>
      <c r="AC41"/>
      <c r="AG41"/>
    </row>
    <row r="42" x14ac:dyDescent="0.15">
      <c r="J42"/>
      <c r="K42"/>
      <c r="Y42"/>
      <c r="AC42"/>
      <c r="AG42"/>
    </row>
    <row r="43" x14ac:dyDescent="0.15">
      <c r="J43"/>
      <c r="K43"/>
      <c r="Y43"/>
      <c r="AC43"/>
      <c r="AG43"/>
    </row>
    <row r="44" x14ac:dyDescent="0.15">
      <c r="J44"/>
      <c r="K44"/>
      <c r="Y44"/>
      <c r="AC44"/>
      <c r="AG44"/>
    </row>
    <row r="45" x14ac:dyDescent="0.15">
      <c r="J45"/>
      <c r="K45"/>
      <c r="Y45"/>
      <c r="AC45"/>
      <c r="AG45"/>
    </row>
    <row r="46" x14ac:dyDescent="0.15">
      <c r="J46"/>
      <c r="K46"/>
      <c r="Y46"/>
      <c r="AC46"/>
      <c r="AG46"/>
    </row>
    <row r="47" x14ac:dyDescent="0.15">
      <c r="J47"/>
      <c r="K47"/>
      <c r="Y47"/>
      <c r="AC47"/>
      <c r="AG47"/>
    </row>
    <row r="48" x14ac:dyDescent="0.15">
      <c r="J48"/>
      <c r="K48"/>
      <c r="Y48"/>
      <c r="AC48"/>
      <c r="AG48"/>
    </row>
    <row r="49" x14ac:dyDescent="0.15">
      <c r="J49"/>
      <c r="K49"/>
      <c r="Y49"/>
      <c r="AC49"/>
      <c r="AG49"/>
    </row>
    <row r="50" x14ac:dyDescent="0.15">
      <c r="J50"/>
      <c r="K50"/>
      <c r="Y50"/>
      <c r="AC50"/>
      <c r="AG50"/>
    </row>
    <row r="51" x14ac:dyDescent="0.15">
      <c r="J51"/>
      <c r="K51"/>
      <c r="Y51"/>
      <c r="AC51"/>
      <c r="AG51"/>
    </row>
    <row r="52" x14ac:dyDescent="0.15">
      <c r="J52"/>
      <c r="K52"/>
      <c r="Y52"/>
      <c r="AC52"/>
      <c r="AG52"/>
    </row>
    <row r="53" x14ac:dyDescent="0.15">
      <c r="J53"/>
      <c r="K53"/>
      <c r="Y53"/>
      <c r="AC53"/>
      <c r="AG53"/>
    </row>
    <row r="54" x14ac:dyDescent="0.15">
      <c r="J54"/>
      <c r="K54"/>
      <c r="Y54"/>
      <c r="AC54"/>
      <c r="AG54"/>
    </row>
    <row r="55" x14ac:dyDescent="0.15">
      <c r="J55"/>
      <c r="K55"/>
      <c r="Y55"/>
      <c r="AC55"/>
      <c r="AG55"/>
    </row>
    <row r="56" x14ac:dyDescent="0.15">
      <c r="J56"/>
      <c r="K56"/>
      <c r="Y56"/>
      <c r="AC56"/>
      <c r="AG56"/>
    </row>
    <row r="57" x14ac:dyDescent="0.15">
      <c r="J57"/>
      <c r="K57"/>
      <c r="Y57"/>
      <c r="AC57"/>
      <c r="AG57"/>
    </row>
    <row r="58" x14ac:dyDescent="0.15">
      <c r="J58"/>
      <c r="K58"/>
      <c r="Y58"/>
      <c r="AC58"/>
      <c r="AG58"/>
    </row>
    <row r="59" x14ac:dyDescent="0.15">
      <c r="J59"/>
      <c r="K59"/>
      <c r="Y59"/>
      <c r="AC59"/>
      <c r="AG59"/>
    </row>
    <row r="60" x14ac:dyDescent="0.15">
      <c r="J60"/>
      <c r="K60"/>
      <c r="Y60"/>
      <c r="AC60"/>
      <c r="AG60"/>
    </row>
    <row r="61" x14ac:dyDescent="0.15">
      <c r="J61"/>
      <c r="K61"/>
      <c r="Y61"/>
      <c r="AC61"/>
      <c r="AG61"/>
    </row>
    <row r="62" x14ac:dyDescent="0.15">
      <c r="J62"/>
      <c r="K62"/>
      <c r="Y62"/>
      <c r="AC62"/>
      <c r="AG62"/>
    </row>
    <row r="63" x14ac:dyDescent="0.15">
      <c r="J63"/>
      <c r="K63"/>
      <c r="Y63"/>
      <c r="AC63"/>
      <c r="AG63"/>
    </row>
    <row r="64" x14ac:dyDescent="0.15">
      <c r="J64"/>
      <c r="K64"/>
      <c r="Y64"/>
      <c r="AC64"/>
      <c r="AG64"/>
    </row>
    <row r="65" x14ac:dyDescent="0.15">
      <c r="J65"/>
      <c r="K65"/>
      <c r="Y65"/>
      <c r="AC65"/>
      <c r="AG65"/>
    </row>
    <row r="66" x14ac:dyDescent="0.15">
      <c r="J66"/>
      <c r="K66"/>
      <c r="Y66"/>
      <c r="AC66"/>
      <c r="AG66"/>
    </row>
    <row r="67" x14ac:dyDescent="0.15">
      <c r="J67"/>
      <c r="K67"/>
      <c r="Y67"/>
      <c r="AC67"/>
      <c r="AG67"/>
    </row>
    <row r="68" x14ac:dyDescent="0.15">
      <c r="J68"/>
      <c r="K68"/>
      <c r="Y68"/>
      <c r="AC68"/>
      <c r="AG68"/>
    </row>
    <row r="69" x14ac:dyDescent="0.15">
      <c r="J69"/>
      <c r="K69"/>
      <c r="Y69"/>
      <c r="AC69"/>
      <c r="AG69"/>
    </row>
    <row r="70" x14ac:dyDescent="0.15">
      <c r="J70"/>
      <c r="K70"/>
      <c r="Y70"/>
      <c r="AC70"/>
      <c r="AG70"/>
    </row>
    <row r="71" x14ac:dyDescent="0.15">
      <c r="J71"/>
      <c r="K71"/>
      <c r="Y71"/>
      <c r="AC71"/>
      <c r="AG71"/>
    </row>
    <row r="72" x14ac:dyDescent="0.15">
      <c r="J72"/>
      <c r="K72"/>
      <c r="Y72"/>
      <c r="AC72"/>
      <c r="AG72"/>
    </row>
    <row r="73" x14ac:dyDescent="0.15">
      <c r="J73"/>
      <c r="K73"/>
      <c r="Y73"/>
      <c r="AC73"/>
      <c r="AG73"/>
    </row>
    <row r="74" x14ac:dyDescent="0.15">
      <c r="J74"/>
      <c r="K74"/>
      <c r="Y74"/>
      <c r="AC74"/>
      <c r="AG74"/>
    </row>
    <row r="75" x14ac:dyDescent="0.15">
      <c r="J75"/>
      <c r="K75"/>
      <c r="Y75"/>
      <c r="AC75"/>
      <c r="AG75"/>
    </row>
    <row r="76" x14ac:dyDescent="0.15">
      <c r="J76"/>
      <c r="K76"/>
      <c r="Y76"/>
      <c r="AC76"/>
      <c r="AG76"/>
    </row>
    <row r="77" x14ac:dyDescent="0.15">
      <c r="J77"/>
      <c r="K77"/>
      <c r="Y77"/>
      <c r="AC77"/>
      <c r="AG77"/>
    </row>
    <row r="78" x14ac:dyDescent="0.15">
      <c r="J78"/>
      <c r="K78"/>
      <c r="Y78"/>
      <c r="AC78"/>
      <c r="AG78"/>
    </row>
    <row r="79" x14ac:dyDescent="0.15">
      <c r="J79"/>
      <c r="K79"/>
      <c r="Y79"/>
      <c r="AC79"/>
      <c r="AG79"/>
    </row>
    <row r="80" x14ac:dyDescent="0.15">
      <c r="J80"/>
      <c r="K80"/>
      <c r="Y80"/>
      <c r="AC80"/>
      <c r="AG80"/>
    </row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CP81"/>
  <sheetViews>
    <sheetView workbookViewId="0">
      <selection sqref="A1:XFD1048576"/>
    </sheetView>
  </sheetViews>
  <sheetFormatPr baseColWidth="10" defaultRowHeight="13" x14ac:dyDescent="0.15"/>
  <cols>
    <col min="1" max="1" width="39.83203125" style="152" bestFit="true" customWidth="true"/>
    <col min="2" max="16384" width="10.83203125" style="152"/>
  </cols>
  <sheetData>
    <row r="1" x14ac:dyDescent="0.15">
      <c r="A1" s="148" t="s">
        <v>119</v>
      </c>
      <c r="B1" t="s">
        <v>43</v>
      </c>
      <c r="C1" t="s">
        <v>42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72</v>
      </c>
      <c r="T1" t="s">
        <v>73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 s="151"/>
      <c r="CJ1" s="151"/>
      <c r="CK1" s="151"/>
      <c r="CL1" s="151"/>
      <c r="CM1" s="151"/>
      <c r="CN1" s="151"/>
      <c r="CO1" s="151"/>
      <c r="CP1" s="151"/>
    </row>
    <row r="2" customFormat="true" x14ac:dyDescent="0.15">
      <c r="A2" t="s">
        <v>43</v>
      </c>
      <c r="B2" s="153">
        <v>0</v>
      </c>
      <c r="C2" s="154">
        <v>0</v>
      </c>
      <c r="D2" s="154">
        <v>0.8</v>
      </c>
      <c r="E2" s="154">
        <v>0.8</v>
      </c>
      <c r="F2" s="154">
        <v>0.8</v>
      </c>
      <c r="G2" s="154">
        <v>0.8</v>
      </c>
      <c r="H2" s="154">
        <v>0.8</v>
      </c>
      <c r="I2" s="154">
        <v>0.8</v>
      </c>
      <c r="J2" s="154">
        <v>0.8</v>
      </c>
      <c r="K2" s="154">
        <v>0.8</v>
      </c>
      <c r="L2" s="154">
        <v>0.8</v>
      </c>
      <c r="M2" s="154">
        <v>0.8</v>
      </c>
      <c r="N2" s="154">
        <v>0.8</v>
      </c>
      <c r="O2" s="154">
        <v>0.8</v>
      </c>
      <c r="P2" s="154">
        <v>0.8</v>
      </c>
      <c r="Q2" s="154">
        <v>0.8</v>
      </c>
      <c r="R2" s="154">
        <v>0.8</v>
      </c>
      <c r="S2" s="155">
        <v>0</v>
      </c>
      <c r="T2" s="155">
        <v>0</v>
      </c>
    </row>
    <row r="3" customFormat="true" x14ac:dyDescent="0.15">
      <c r="A3" t="s">
        <v>42</v>
      </c>
      <c r="B3" s="154">
        <v>0</v>
      </c>
      <c r="C3" s="153">
        <v>0</v>
      </c>
      <c r="D3" s="154">
        <v>0.8</v>
      </c>
      <c r="E3" s="154">
        <v>0.8</v>
      </c>
      <c r="F3" s="154">
        <v>0.8</v>
      </c>
      <c r="G3" s="154">
        <v>0.8</v>
      </c>
      <c r="H3" s="154">
        <v>0.8</v>
      </c>
      <c r="I3" s="154">
        <v>0.8</v>
      </c>
      <c r="J3" s="154">
        <v>0.8</v>
      </c>
      <c r="K3" s="154">
        <v>0.8</v>
      </c>
      <c r="L3" s="154">
        <v>0.8</v>
      </c>
      <c r="M3" s="154">
        <v>0.8</v>
      </c>
      <c r="N3" s="154">
        <v>0.8</v>
      </c>
      <c r="O3" s="154">
        <v>0.8</v>
      </c>
      <c r="P3" s="154">
        <v>0.8</v>
      </c>
      <c r="Q3" s="154">
        <v>0.8</v>
      </c>
      <c r="R3" s="154">
        <v>0.8</v>
      </c>
      <c r="S3" s="155">
        <v>0</v>
      </c>
      <c r="T3" s="155">
        <v>0</v>
      </c>
    </row>
    <row r="4" customFormat="true" x14ac:dyDescent="0.15">
      <c r="A4" t="s">
        <v>181</v>
      </c>
      <c r="B4" s="154">
        <v>0</v>
      </c>
      <c r="C4" s="154">
        <v>0</v>
      </c>
      <c r="D4" s="153">
        <v>0.8</v>
      </c>
      <c r="E4" s="154">
        <v>0.8</v>
      </c>
      <c r="F4" s="154">
        <v>0.8</v>
      </c>
      <c r="G4" s="154">
        <v>0.8</v>
      </c>
      <c r="H4" s="154">
        <v>0.8</v>
      </c>
      <c r="I4" s="154">
        <v>0.8</v>
      </c>
      <c r="J4" s="154">
        <v>0.8</v>
      </c>
      <c r="K4" s="154">
        <v>0.8</v>
      </c>
      <c r="L4" s="154">
        <v>0.8</v>
      </c>
      <c r="M4" s="154">
        <v>0.8</v>
      </c>
      <c r="N4" s="156">
        <v>0.8</v>
      </c>
      <c r="O4" s="154">
        <v>0.8</v>
      </c>
      <c r="P4" s="154">
        <v>0.8</v>
      </c>
      <c r="Q4" s="154">
        <v>0.8</v>
      </c>
      <c r="R4" s="154">
        <v>0.8</v>
      </c>
      <c r="S4" s="155">
        <v>0</v>
      </c>
      <c r="T4" s="155">
        <v>0</v>
      </c>
    </row>
    <row r="5" customFormat="true" x14ac:dyDescent="0.15">
      <c r="A5" t="s">
        <v>182</v>
      </c>
      <c r="B5" s="154">
        <v>0</v>
      </c>
      <c r="C5" s="154">
        <v>0</v>
      </c>
      <c r="D5" s="154">
        <v>0.8</v>
      </c>
      <c r="E5" s="153">
        <v>0.8</v>
      </c>
      <c r="F5" s="154">
        <v>0.8</v>
      </c>
      <c r="G5" s="154">
        <v>0.8</v>
      </c>
      <c r="H5" s="154">
        <v>0.8</v>
      </c>
      <c r="I5" s="154">
        <v>0.8</v>
      </c>
      <c r="J5" s="154">
        <v>0.8</v>
      </c>
      <c r="K5" s="154">
        <v>0.8</v>
      </c>
      <c r="L5" s="154">
        <v>0.8</v>
      </c>
      <c r="M5" s="154">
        <v>0.8</v>
      </c>
      <c r="N5" s="156">
        <v>0.8</v>
      </c>
      <c r="O5" s="154">
        <v>0.8</v>
      </c>
      <c r="P5" s="154">
        <v>0.8</v>
      </c>
      <c r="Q5" s="154">
        <v>0.8</v>
      </c>
      <c r="R5" s="154">
        <v>0.8</v>
      </c>
      <c r="S5" s="155">
        <v>0</v>
      </c>
      <c r="T5" s="155">
        <v>0</v>
      </c>
    </row>
    <row r="6" customFormat="true" x14ac:dyDescent="0.15">
      <c r="A6" t="s">
        <v>183</v>
      </c>
      <c r="B6" s="154">
        <v>0</v>
      </c>
      <c r="C6" s="154">
        <v>0</v>
      </c>
      <c r="D6" s="154">
        <v>0.8</v>
      </c>
      <c r="E6" s="154">
        <v>0.8</v>
      </c>
      <c r="F6" s="153">
        <v>0.8</v>
      </c>
      <c r="G6" s="154">
        <v>0.8</v>
      </c>
      <c r="H6" s="154">
        <v>0.8</v>
      </c>
      <c r="I6" s="154">
        <v>0.8</v>
      </c>
      <c r="J6" s="154">
        <v>0.8</v>
      </c>
      <c r="K6" s="154">
        <v>0.8</v>
      </c>
      <c r="L6" s="154">
        <v>0.8</v>
      </c>
      <c r="M6" s="154">
        <v>0.8</v>
      </c>
      <c r="N6" s="156">
        <v>0.8</v>
      </c>
      <c r="O6" s="154">
        <v>0.8</v>
      </c>
      <c r="P6" s="154">
        <v>0.8</v>
      </c>
      <c r="Q6" s="154">
        <v>0.8</v>
      </c>
      <c r="R6" s="154">
        <v>0.8</v>
      </c>
      <c r="S6" s="155">
        <v>0</v>
      </c>
      <c r="T6" s="155">
        <v>0</v>
      </c>
    </row>
    <row r="7" customFormat="true" x14ac:dyDescent="0.15">
      <c r="A7" t="s">
        <v>184</v>
      </c>
      <c r="B7" s="154">
        <v>0</v>
      </c>
      <c r="C7" s="154">
        <v>0</v>
      </c>
      <c r="D7" s="154">
        <v>0.8</v>
      </c>
      <c r="E7" s="154">
        <v>0.8</v>
      </c>
      <c r="F7" s="154">
        <v>0.8</v>
      </c>
      <c r="G7" s="153">
        <v>0.8</v>
      </c>
      <c r="H7" s="154">
        <v>0.8</v>
      </c>
      <c r="I7" s="154">
        <v>0.8</v>
      </c>
      <c r="J7" s="154">
        <v>0.8</v>
      </c>
      <c r="K7" s="154">
        <v>0.8</v>
      </c>
      <c r="L7" s="154">
        <v>0.8</v>
      </c>
      <c r="M7" s="154">
        <v>0.8</v>
      </c>
      <c r="N7" s="156">
        <v>0.8</v>
      </c>
      <c r="O7" s="154">
        <v>0.8</v>
      </c>
      <c r="P7" s="154">
        <v>0.8</v>
      </c>
      <c r="Q7" s="154">
        <v>0.8</v>
      </c>
      <c r="R7" s="154">
        <v>0.8</v>
      </c>
      <c r="S7" s="155">
        <v>0</v>
      </c>
      <c r="T7" s="155">
        <v>0</v>
      </c>
    </row>
    <row r="8" customFormat="true" x14ac:dyDescent="0.15">
      <c r="A8" t="s">
        <v>185</v>
      </c>
      <c r="B8" s="154">
        <v>0</v>
      </c>
      <c r="C8" s="154">
        <v>0</v>
      </c>
      <c r="D8" s="154">
        <v>0.8</v>
      </c>
      <c r="E8" s="154">
        <v>0.8</v>
      </c>
      <c r="F8" s="154">
        <v>0.8</v>
      </c>
      <c r="G8" s="154">
        <v>0.8</v>
      </c>
      <c r="H8" s="153">
        <v>0.8</v>
      </c>
      <c r="I8" s="154">
        <v>0.8</v>
      </c>
      <c r="J8" s="154">
        <v>0.8</v>
      </c>
      <c r="K8" s="154">
        <v>0.8</v>
      </c>
      <c r="L8" s="154">
        <v>0.8</v>
      </c>
      <c r="M8" s="157">
        <v>0.8</v>
      </c>
      <c r="N8" s="156">
        <v>0.8</v>
      </c>
      <c r="O8" s="154">
        <v>0.8</v>
      </c>
      <c r="P8" s="154">
        <v>0.8</v>
      </c>
      <c r="Q8" s="154">
        <v>0.8</v>
      </c>
      <c r="R8" s="154">
        <v>0.8</v>
      </c>
      <c r="S8" s="155">
        <v>0</v>
      </c>
      <c r="T8" s="155">
        <v>0</v>
      </c>
    </row>
    <row r="9" customFormat="true" x14ac:dyDescent="0.15">
      <c r="A9" t="s">
        <v>186</v>
      </c>
      <c r="B9" s="154">
        <v>0</v>
      </c>
      <c r="C9" s="154">
        <v>0</v>
      </c>
      <c r="D9" s="154">
        <v>0.8</v>
      </c>
      <c r="E9" s="154">
        <v>0.8</v>
      </c>
      <c r="F9" s="154">
        <v>0.8</v>
      </c>
      <c r="G9" s="154">
        <v>0.8</v>
      </c>
      <c r="H9" s="154">
        <v>0.8</v>
      </c>
      <c r="I9" s="153">
        <v>0.8</v>
      </c>
      <c r="J9" s="154">
        <v>0.8</v>
      </c>
      <c r="K9" s="154">
        <v>0.8</v>
      </c>
      <c r="L9" s="154">
        <v>0.8</v>
      </c>
      <c r="M9" s="154">
        <v>0.8</v>
      </c>
      <c r="N9" s="156">
        <v>0.8</v>
      </c>
      <c r="O9" s="154">
        <v>0.8</v>
      </c>
      <c r="P9" s="154">
        <v>0.8</v>
      </c>
      <c r="Q9" s="154">
        <v>0.8</v>
      </c>
      <c r="R9" s="154">
        <v>0.8</v>
      </c>
      <c r="S9" s="155">
        <v>0</v>
      </c>
      <c r="T9" s="155">
        <v>0</v>
      </c>
    </row>
    <row r="10" customFormat="true" x14ac:dyDescent="0.15">
      <c r="A10" t="s">
        <v>187</v>
      </c>
      <c r="B10" s="154">
        <v>0</v>
      </c>
      <c r="C10" s="154">
        <v>0</v>
      </c>
      <c r="D10" s="154">
        <v>0.8</v>
      </c>
      <c r="E10" s="154">
        <v>0.8</v>
      </c>
      <c r="F10" s="154">
        <v>0.8</v>
      </c>
      <c r="G10" s="154">
        <v>0.8</v>
      </c>
      <c r="H10" s="154">
        <v>0.8</v>
      </c>
      <c r="I10" s="154">
        <v>0.8</v>
      </c>
      <c r="J10" s="153">
        <v>0.8</v>
      </c>
      <c r="K10" s="154">
        <v>0.8</v>
      </c>
      <c r="L10" s="154">
        <v>0.8</v>
      </c>
      <c r="M10" s="154">
        <v>0.8</v>
      </c>
      <c r="N10" s="158">
        <v>0.8</v>
      </c>
      <c r="O10" s="154">
        <v>0.8</v>
      </c>
      <c r="P10" s="154">
        <v>0.8</v>
      </c>
      <c r="Q10" s="154">
        <v>0.8</v>
      </c>
      <c r="R10" s="154">
        <v>0.8</v>
      </c>
      <c r="S10" s="155">
        <v>0</v>
      </c>
      <c r="T10" s="155">
        <v>0</v>
      </c>
    </row>
    <row r="11" customFormat="true" x14ac:dyDescent="0.15">
      <c r="A11" t="s">
        <v>188</v>
      </c>
      <c r="B11" s="154">
        <v>0</v>
      </c>
      <c r="C11" s="154">
        <v>0</v>
      </c>
      <c r="D11" s="154">
        <v>0.8</v>
      </c>
      <c r="E11" s="154">
        <v>0.8</v>
      </c>
      <c r="F11" s="154">
        <v>0.8</v>
      </c>
      <c r="G11" s="154">
        <v>0.8</v>
      </c>
      <c r="H11" s="154">
        <v>0.8</v>
      </c>
      <c r="I11" s="154">
        <v>0.8</v>
      </c>
      <c r="J11" s="154">
        <v>0.8</v>
      </c>
      <c r="K11" s="153">
        <v>0.8</v>
      </c>
      <c r="L11" s="154">
        <v>0.8</v>
      </c>
      <c r="M11" s="154">
        <v>0.8</v>
      </c>
      <c r="N11" s="156">
        <v>0.8</v>
      </c>
      <c r="O11" s="154">
        <v>0.8</v>
      </c>
      <c r="P11" s="154">
        <v>0.8</v>
      </c>
      <c r="Q11" s="154">
        <v>0.8</v>
      </c>
      <c r="R11" s="154">
        <v>0.8</v>
      </c>
      <c r="S11" s="155">
        <v>0</v>
      </c>
      <c r="T11" s="155">
        <v>0</v>
      </c>
    </row>
    <row r="12" customFormat="true" x14ac:dyDescent="0.15">
      <c r="A12" t="s">
        <v>189</v>
      </c>
      <c r="B12" s="154">
        <v>0</v>
      </c>
      <c r="C12" s="154">
        <v>0</v>
      </c>
      <c r="D12" s="154">
        <v>0.8</v>
      </c>
      <c r="E12" s="154">
        <v>0.8</v>
      </c>
      <c r="F12" s="154">
        <v>0.8</v>
      </c>
      <c r="G12" s="154">
        <v>0.8</v>
      </c>
      <c r="H12" s="154">
        <v>0.8</v>
      </c>
      <c r="I12" s="154">
        <v>0.8</v>
      </c>
      <c r="J12" s="154">
        <v>0.8</v>
      </c>
      <c r="K12" s="157">
        <v>0.8</v>
      </c>
      <c r="L12" s="153">
        <v>0.8</v>
      </c>
      <c r="M12" s="154">
        <v>0.8</v>
      </c>
      <c r="N12" s="156">
        <v>0.8</v>
      </c>
      <c r="O12" s="154">
        <v>0.8</v>
      </c>
      <c r="P12" s="154">
        <v>0.8</v>
      </c>
      <c r="Q12" s="154">
        <v>0.8</v>
      </c>
      <c r="R12" s="154">
        <v>0.8</v>
      </c>
      <c r="S12" s="155">
        <v>0</v>
      </c>
      <c r="T12" s="155">
        <v>0</v>
      </c>
    </row>
    <row r="13" customFormat="true" x14ac:dyDescent="0.15">
      <c r="A13" t="s">
        <v>190</v>
      </c>
      <c r="B13" s="154">
        <v>0</v>
      </c>
      <c r="C13" s="154">
        <v>0</v>
      </c>
      <c r="D13" s="154">
        <v>0.8</v>
      </c>
      <c r="E13" s="154">
        <v>0.8</v>
      </c>
      <c r="F13" s="154">
        <v>0.8</v>
      </c>
      <c r="G13" s="154">
        <v>0.8</v>
      </c>
      <c r="H13" s="154">
        <v>0.8</v>
      </c>
      <c r="I13" s="154">
        <v>0.8</v>
      </c>
      <c r="J13" s="154">
        <v>0.8</v>
      </c>
      <c r="K13" s="154">
        <v>0.8</v>
      </c>
      <c r="L13" s="154">
        <v>0.8</v>
      </c>
      <c r="M13" s="153">
        <v>0.8</v>
      </c>
      <c r="N13" s="156">
        <v>0.8</v>
      </c>
      <c r="O13" s="154">
        <v>0.8</v>
      </c>
      <c r="P13" s="154">
        <v>0.8</v>
      </c>
      <c r="Q13" s="154">
        <v>0.8</v>
      </c>
      <c r="R13" s="154">
        <v>0.8</v>
      </c>
      <c r="S13" s="155">
        <v>0</v>
      </c>
      <c r="T13" s="155">
        <v>0</v>
      </c>
    </row>
    <row r="14" customFormat="true" x14ac:dyDescent="0.15">
      <c r="A14" t="s">
        <v>191</v>
      </c>
      <c r="B14" s="154">
        <v>0</v>
      </c>
      <c r="C14" s="154">
        <v>0</v>
      </c>
      <c r="D14" s="154">
        <v>0.8</v>
      </c>
      <c r="E14" s="154">
        <v>0.8</v>
      </c>
      <c r="F14" s="154">
        <v>0.8</v>
      </c>
      <c r="G14" s="154">
        <v>0.8</v>
      </c>
      <c r="H14" s="154">
        <v>0.8</v>
      </c>
      <c r="I14" s="154">
        <v>0.8</v>
      </c>
      <c r="J14" s="154">
        <v>0.8</v>
      </c>
      <c r="K14" s="154">
        <v>0.8</v>
      </c>
      <c r="L14" s="154">
        <v>0.8</v>
      </c>
      <c r="M14" s="154">
        <v>0.8</v>
      </c>
      <c r="N14" s="153">
        <v>0.8</v>
      </c>
      <c r="O14" s="154">
        <v>0.8</v>
      </c>
      <c r="P14" s="154">
        <v>0.8</v>
      </c>
      <c r="Q14" s="154">
        <v>0.8</v>
      </c>
      <c r="R14" s="154">
        <v>0.8</v>
      </c>
      <c r="S14" s="155">
        <v>0</v>
      </c>
      <c r="T14" s="155">
        <v>0</v>
      </c>
    </row>
    <row r="15" customFormat="true" x14ac:dyDescent="0.15">
      <c r="A15" t="s">
        <v>192</v>
      </c>
      <c r="B15" s="154">
        <v>0</v>
      </c>
      <c r="C15" s="154">
        <v>0</v>
      </c>
      <c r="D15" s="154">
        <v>0.8</v>
      </c>
      <c r="E15" s="154">
        <v>0.8</v>
      </c>
      <c r="F15" s="154">
        <v>0.8</v>
      </c>
      <c r="G15" s="154">
        <v>0.8</v>
      </c>
      <c r="H15" s="154">
        <v>0.8</v>
      </c>
      <c r="I15" s="154">
        <v>0.8</v>
      </c>
      <c r="J15" s="154">
        <v>0.8</v>
      </c>
      <c r="K15" s="154">
        <v>0.8</v>
      </c>
      <c r="L15" s="154">
        <v>0.8</v>
      </c>
      <c r="M15" s="154">
        <v>0.8</v>
      </c>
      <c r="N15" s="154">
        <v>0.8</v>
      </c>
      <c r="O15" s="153">
        <v>0.8</v>
      </c>
      <c r="P15" s="154">
        <v>0.8</v>
      </c>
      <c r="Q15" s="154">
        <v>0.8</v>
      </c>
      <c r="R15" s="154">
        <v>0.8</v>
      </c>
      <c r="S15" s="155">
        <v>0</v>
      </c>
      <c r="T15" s="155">
        <v>0</v>
      </c>
    </row>
    <row r="16" customFormat="true" x14ac:dyDescent="0.15">
      <c r="A16" t="s">
        <v>193</v>
      </c>
      <c r="B16" s="154">
        <v>0</v>
      </c>
      <c r="C16" s="154">
        <v>0</v>
      </c>
      <c r="D16" s="154">
        <v>0.8</v>
      </c>
      <c r="E16" s="154">
        <v>0.8</v>
      </c>
      <c r="F16" s="154">
        <v>0.8</v>
      </c>
      <c r="G16" s="154">
        <v>0.8</v>
      </c>
      <c r="H16" s="154">
        <v>0.8</v>
      </c>
      <c r="I16" s="154">
        <v>0.8</v>
      </c>
      <c r="J16" s="154">
        <v>0.8</v>
      </c>
      <c r="K16" s="154">
        <v>0.8</v>
      </c>
      <c r="L16" s="154">
        <v>0.8</v>
      </c>
      <c r="M16" s="154">
        <v>0.8</v>
      </c>
      <c r="N16" s="154">
        <v>0.8</v>
      </c>
      <c r="O16" s="154">
        <v>0.8</v>
      </c>
      <c r="P16" s="153">
        <v>0.8</v>
      </c>
      <c r="Q16" s="154">
        <v>0.8</v>
      </c>
      <c r="R16" s="154">
        <v>0.8</v>
      </c>
      <c r="S16" s="155">
        <v>0</v>
      </c>
      <c r="T16" s="155">
        <v>0</v>
      </c>
    </row>
    <row r="17" customFormat="true" x14ac:dyDescent="0.15">
      <c r="A17" t="s">
        <v>194</v>
      </c>
      <c r="B17" s="154">
        <v>0</v>
      </c>
      <c r="C17" s="154">
        <v>0</v>
      </c>
      <c r="D17" s="154">
        <v>0.8</v>
      </c>
      <c r="E17" s="154">
        <v>0.8</v>
      </c>
      <c r="F17" s="154">
        <v>0.8</v>
      </c>
      <c r="G17" s="154">
        <v>0.8</v>
      </c>
      <c r="H17" s="154">
        <v>0.8</v>
      </c>
      <c r="I17" s="154">
        <v>0.8</v>
      </c>
      <c r="J17" s="154">
        <v>0.8</v>
      </c>
      <c r="K17" s="154">
        <v>0.8</v>
      </c>
      <c r="L17" s="154">
        <v>0.8</v>
      </c>
      <c r="M17" s="154">
        <v>0.8</v>
      </c>
      <c r="N17" s="154">
        <v>0.8</v>
      </c>
      <c r="O17" s="154">
        <v>0.8</v>
      </c>
      <c r="P17" s="154">
        <v>0.8</v>
      </c>
      <c r="Q17" s="153">
        <v>0.8</v>
      </c>
      <c r="R17" s="154">
        <v>0.8</v>
      </c>
      <c r="S17" s="162">
        <v>0</v>
      </c>
      <c r="T17" s="155">
        <v>0</v>
      </c>
    </row>
    <row r="18" customFormat="true" x14ac:dyDescent="0.15">
      <c r="A18" t="s">
        <v>195</v>
      </c>
      <c r="B18" s="154">
        <v>0</v>
      </c>
      <c r="C18" s="154">
        <v>0</v>
      </c>
      <c r="D18" s="154">
        <v>0.8</v>
      </c>
      <c r="E18" s="154">
        <v>0.8</v>
      </c>
      <c r="F18" s="154">
        <v>0.8</v>
      </c>
      <c r="G18" s="154">
        <v>0.8</v>
      </c>
      <c r="H18" s="154">
        <v>0.8</v>
      </c>
      <c r="I18" s="154">
        <v>0.8</v>
      </c>
      <c r="J18" s="154">
        <v>0.8</v>
      </c>
      <c r="K18" s="157">
        <v>0.8</v>
      </c>
      <c r="L18" s="154">
        <v>0.8</v>
      </c>
      <c r="M18" s="154">
        <v>0.8</v>
      </c>
      <c r="N18" s="157">
        <v>0.8</v>
      </c>
      <c r="O18" s="154">
        <v>0.8</v>
      </c>
      <c r="P18" s="154">
        <v>0.8</v>
      </c>
      <c r="Q18" s="159">
        <v>0.8</v>
      </c>
      <c r="R18" s="153">
        <v>0.8</v>
      </c>
      <c r="S18" s="155">
        <v>0</v>
      </c>
      <c r="T18" s="155">
        <v>0</v>
      </c>
    </row>
    <row r="19" customFormat="true" x14ac:dyDescent="0.15">
      <c r="A19" t="s">
        <v>72</v>
      </c>
      <c r="B19" s="154">
        <v>0</v>
      </c>
      <c r="C19" s="154">
        <v>0</v>
      </c>
      <c r="D19" s="154">
        <v>0.8</v>
      </c>
      <c r="E19" s="154">
        <v>0.8</v>
      </c>
      <c r="F19" s="154">
        <v>0.8</v>
      </c>
      <c r="G19" s="154">
        <v>0.8</v>
      </c>
      <c r="H19" s="154">
        <v>0.8</v>
      </c>
      <c r="I19" s="154">
        <v>0.8</v>
      </c>
      <c r="J19" s="154">
        <v>0.8</v>
      </c>
      <c r="K19" s="154">
        <v>0.8</v>
      </c>
      <c r="L19" s="154">
        <v>0.8</v>
      </c>
      <c r="M19" s="154">
        <v>0.8</v>
      </c>
      <c r="N19" s="154">
        <v>0.8</v>
      </c>
      <c r="O19" s="154">
        <v>0.8</v>
      </c>
      <c r="P19" s="154">
        <v>0.8</v>
      </c>
      <c r="Q19" s="154">
        <v>0.8</v>
      </c>
      <c r="R19" s="154">
        <v>0.8</v>
      </c>
      <c r="S19" s="155">
        <v>0</v>
      </c>
      <c r="T19" s="162">
        <v>0</v>
      </c>
    </row>
    <row r="20" customFormat="true" x14ac:dyDescent="0.15">
      <c r="A20" t="s">
        <v>73</v>
      </c>
      <c r="B20" s="154">
        <v>0</v>
      </c>
      <c r="C20" s="154">
        <v>0</v>
      </c>
      <c r="D20" s="154">
        <v>0.8</v>
      </c>
      <c r="E20" s="154">
        <v>0.8</v>
      </c>
      <c r="F20" s="154">
        <v>0.8</v>
      </c>
      <c r="G20" s="154">
        <v>0.8</v>
      </c>
      <c r="H20" s="154">
        <v>0.8</v>
      </c>
      <c r="I20" s="154">
        <v>0.8</v>
      </c>
      <c r="J20" s="154">
        <v>0.8</v>
      </c>
      <c r="K20" s="154">
        <v>0.8</v>
      </c>
      <c r="L20" s="154">
        <v>0.8</v>
      </c>
      <c r="M20" s="154">
        <v>0.8</v>
      </c>
      <c r="N20" s="154">
        <v>0.8</v>
      </c>
      <c r="O20" s="154">
        <v>0.8</v>
      </c>
      <c r="P20" s="154">
        <v>0.8</v>
      </c>
      <c r="Q20" s="157">
        <v>0.8</v>
      </c>
      <c r="R20" s="154">
        <v>0.8</v>
      </c>
      <c r="S20" s="155">
        <v>0</v>
      </c>
      <c r="T20" s="155">
        <v>0</v>
      </c>
    </row>
    <row r="21" customFormat="true" x14ac:dyDescent="0.15">
      <c r="A21" t="s">
        <v>202</v>
      </c>
      <c r="B21" s="154">
        <v>0</v>
      </c>
      <c r="C21" s="154">
        <v>0</v>
      </c>
      <c r="D21" s="154">
        <v>0.8</v>
      </c>
      <c r="E21" s="154">
        <v>0.8</v>
      </c>
      <c r="F21" s="154">
        <v>0.8</v>
      </c>
      <c r="G21" s="154">
        <v>0.8</v>
      </c>
      <c r="H21" s="154">
        <v>0.8</v>
      </c>
      <c r="I21" s="154">
        <v>0.8</v>
      </c>
      <c r="J21" s="154">
        <v>0.8</v>
      </c>
      <c r="K21" s="154">
        <v>0.8</v>
      </c>
      <c r="L21" s="154">
        <v>0.8</v>
      </c>
      <c r="M21" s="154">
        <v>0.8</v>
      </c>
      <c r="N21" s="154">
        <v>0.8</v>
      </c>
      <c r="O21" s="154">
        <v>0.8</v>
      </c>
      <c r="P21" s="154">
        <v>0.8</v>
      </c>
      <c r="Q21" s="154">
        <v>0.8</v>
      </c>
      <c r="R21" s="154">
        <v>0.8</v>
      </c>
      <c r="S21" s="155">
        <v>0</v>
      </c>
      <c r="T21" s="155">
        <v>0</v>
      </c>
    </row>
    <row r="22" customFormat="true" x14ac:dyDescent="0.15"/>
    <row r="23" customFormat="true" x14ac:dyDescent="0.15"/>
    <row r="24" customFormat="true" x14ac:dyDescent="0.15"/>
    <row r="25" customFormat="true" x14ac:dyDescent="0.15"/>
    <row r="26" customFormat="true" x14ac:dyDescent="0.15"/>
    <row r="27" customFormat="true" x14ac:dyDescent="0.15"/>
    <row r="28" customFormat="true" x14ac:dyDescent="0.15"/>
    <row r="29" customFormat="true" x14ac:dyDescent="0.15"/>
    <row r="30" customFormat="true" x14ac:dyDescent="0.15"/>
    <row r="31" customFormat="true" x14ac:dyDescent="0.15"/>
    <row r="32" customFormat="true" x14ac:dyDescent="0.15"/>
    <row r="33" customFormat="true" x14ac:dyDescent="0.15"/>
    <row r="34" customFormat="true" x14ac:dyDescent="0.15"/>
    <row r="35" customFormat="true" x14ac:dyDescent="0.15"/>
    <row r="36" customFormat="true" x14ac:dyDescent="0.15"/>
    <row r="37" customFormat="true" x14ac:dyDescent="0.15"/>
    <row r="38" customFormat="true" x14ac:dyDescent="0.15"/>
    <row r="39" customFormat="true" x14ac:dyDescent="0.15"/>
    <row r="40" customFormat="true" x14ac:dyDescent="0.15"/>
    <row r="41" customFormat="true" x14ac:dyDescent="0.15"/>
    <row r="42" customFormat="true" x14ac:dyDescent="0.15"/>
    <row r="43" customFormat="true" x14ac:dyDescent="0.15"/>
    <row r="44" customFormat="true" x14ac:dyDescent="0.15"/>
    <row r="45" customFormat="true" x14ac:dyDescent="0.15"/>
    <row r="46" customFormat="true" x14ac:dyDescent="0.15"/>
    <row r="47" customFormat="true" x14ac:dyDescent="0.15"/>
    <row r="48" customFormat="true" x14ac:dyDescent="0.15"/>
    <row r="49" customFormat="true" x14ac:dyDescent="0.15"/>
    <row r="50" customFormat="true" x14ac:dyDescent="0.15"/>
    <row r="51" customFormat="true" x14ac:dyDescent="0.15"/>
    <row r="52" customFormat="true" x14ac:dyDescent="0.15"/>
    <row r="53" customFormat="true" x14ac:dyDescent="0.15"/>
    <row r="54" customFormat="true" x14ac:dyDescent="0.15"/>
    <row r="55" customFormat="true" x14ac:dyDescent="0.15"/>
    <row r="56" customFormat="true" x14ac:dyDescent="0.15"/>
    <row r="57" customFormat="true" x14ac:dyDescent="0.15"/>
    <row r="58" customFormat="true" x14ac:dyDescent="0.15"/>
    <row r="59" customFormat="true" x14ac:dyDescent="0.15"/>
    <row r="60" customFormat="true" x14ac:dyDescent="0.15"/>
    <row r="61" customFormat="true" x14ac:dyDescent="0.15"/>
    <row r="62" customFormat="true" x14ac:dyDescent="0.15"/>
    <row r="63" customFormat="true" x14ac:dyDescent="0.15"/>
    <row r="64" customFormat="true" x14ac:dyDescent="0.15"/>
    <row r="65" customFormat="true" x14ac:dyDescent="0.15"/>
    <row r="66" customFormat="true" x14ac:dyDescent="0.15"/>
    <row r="67" customFormat="true" x14ac:dyDescent="0.15"/>
    <row r="68" customFormat="true" x14ac:dyDescent="0.15"/>
    <row r="69" customFormat="true" x14ac:dyDescent="0.15"/>
    <row r="70" customFormat="true" x14ac:dyDescent="0.15"/>
    <row r="71" customFormat="true" x14ac:dyDescent="0.15"/>
    <row r="72" customFormat="true" x14ac:dyDescent="0.15"/>
    <row r="73" customFormat="true" x14ac:dyDescent="0.15"/>
    <row r="74" customFormat="true" x14ac:dyDescent="0.15"/>
    <row r="75" customFormat="true" x14ac:dyDescent="0.15"/>
    <row r="76" customFormat="true" x14ac:dyDescent="0.15"/>
    <row r="77" customFormat="true" x14ac:dyDescent="0.15"/>
    <row r="78" customFormat="true" x14ac:dyDescent="0.15"/>
    <row r="79" customFormat="true" x14ac:dyDescent="0.15"/>
    <row r="80" customFormat="true" x14ac:dyDescent="0.15"/>
    <row r="81" customForma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CP131"/>
  <sheetViews>
    <sheetView workbookViewId="0">
      <selection activeCell="A2" sqref="A2"/>
    </sheetView>
  </sheetViews>
  <sheetFormatPr baseColWidth="10" defaultRowHeight="14" customHeight="true" x14ac:dyDescent="0.15"/>
  <cols>
    <col min="1" max="1" width="39.83203125" style="152" bestFit="true" customWidth="true"/>
    <col min="2" max="16384" width="10.83203125" style="152"/>
  </cols>
  <sheetData>
    <row r="1" ht="13" x14ac:dyDescent="0.15">
      <c r="A1" s="148" t="s">
        <v>140</v>
      </c>
      <c r="B1" t="s">
        <v>43</v>
      </c>
      <c r="C1" t="s">
        <v>42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72</v>
      </c>
      <c r="T1" t="s">
        <v>73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</row>
    <row r="2" customFormat="true" ht="13" x14ac:dyDescent="0.15">
      <c r="A2" t="s">
        <v>43</v>
      </c>
      <c r="B2" s="163">
        <v>1</v>
      </c>
      <c r="C2" s="164">
        <v>1</v>
      </c>
      <c r="D2" s="164">
        <v>1</v>
      </c>
      <c r="E2" s="164">
        <v>1</v>
      </c>
      <c r="F2" s="164">
        <v>1</v>
      </c>
      <c r="G2" s="164">
        <v>1</v>
      </c>
      <c r="H2" s="164">
        <v>1</v>
      </c>
      <c r="I2" s="164">
        <v>1</v>
      </c>
      <c r="J2" s="164">
        <v>1</v>
      </c>
      <c r="K2" s="164">
        <v>1</v>
      </c>
      <c r="L2" s="164">
        <v>1</v>
      </c>
      <c r="M2" s="164">
        <v>1</v>
      </c>
      <c r="N2" s="164">
        <v>1</v>
      </c>
      <c r="O2" s="164">
        <v>1</v>
      </c>
      <c r="P2" s="164">
        <v>1</v>
      </c>
      <c r="Q2" s="164">
        <v>1</v>
      </c>
      <c r="R2" s="164">
        <v>1</v>
      </c>
      <c r="S2" s="165">
        <v>1</v>
      </c>
      <c r="T2" s="165">
        <v>1</v>
      </c>
    </row>
    <row r="3" customFormat="true" ht="13" x14ac:dyDescent="0.15">
      <c r="A3" t="s">
        <v>42</v>
      </c>
      <c r="B3" s="164">
        <v>1</v>
      </c>
      <c r="C3" s="163">
        <v>1</v>
      </c>
      <c r="D3" s="164">
        <v>1</v>
      </c>
      <c r="E3" s="164">
        <v>1</v>
      </c>
      <c r="F3" s="164">
        <v>1</v>
      </c>
      <c r="G3" s="164">
        <v>1</v>
      </c>
      <c r="H3" s="164">
        <v>1</v>
      </c>
      <c r="I3" s="164">
        <v>1</v>
      </c>
      <c r="J3" s="164">
        <v>1</v>
      </c>
      <c r="K3" s="164">
        <v>1</v>
      </c>
      <c r="L3" s="164">
        <v>1</v>
      </c>
      <c r="M3" s="164">
        <v>1</v>
      </c>
      <c r="N3" s="164">
        <v>1</v>
      </c>
      <c r="O3" s="164">
        <v>1</v>
      </c>
      <c r="P3" s="164">
        <v>1</v>
      </c>
      <c r="Q3" s="164">
        <v>1</v>
      </c>
      <c r="R3" s="164">
        <v>1</v>
      </c>
      <c r="S3" s="165">
        <v>1</v>
      </c>
      <c r="T3" s="165">
        <v>1</v>
      </c>
    </row>
    <row r="4" customFormat="true" ht="13" x14ac:dyDescent="0.15">
      <c r="A4" t="s">
        <v>181</v>
      </c>
      <c r="B4" s="164">
        <v>1</v>
      </c>
      <c r="C4" s="164">
        <v>1</v>
      </c>
      <c r="D4" s="163">
        <v>1</v>
      </c>
      <c r="E4" s="164">
        <v>1</v>
      </c>
      <c r="F4" s="164">
        <v>1</v>
      </c>
      <c r="G4" s="164">
        <v>1</v>
      </c>
      <c r="H4" s="164">
        <v>1</v>
      </c>
      <c r="I4" s="164">
        <v>1</v>
      </c>
      <c r="J4" s="164">
        <v>1</v>
      </c>
      <c r="K4" s="164">
        <v>1</v>
      </c>
      <c r="L4" s="164">
        <v>1</v>
      </c>
      <c r="M4" s="164">
        <v>1</v>
      </c>
      <c r="N4" s="166">
        <v>1</v>
      </c>
      <c r="O4" s="164">
        <v>1</v>
      </c>
      <c r="P4" s="164">
        <v>1</v>
      </c>
      <c r="Q4" s="164">
        <v>1</v>
      </c>
      <c r="R4" s="164">
        <v>1</v>
      </c>
      <c r="S4" s="165">
        <v>1</v>
      </c>
      <c r="T4" s="165">
        <v>1</v>
      </c>
    </row>
    <row r="5" customFormat="true" ht="13" x14ac:dyDescent="0.15">
      <c r="A5" t="s">
        <v>182</v>
      </c>
      <c r="B5" s="164">
        <v>1</v>
      </c>
      <c r="C5" s="164">
        <v>1</v>
      </c>
      <c r="D5" s="164">
        <v>1</v>
      </c>
      <c r="E5" s="163">
        <v>1</v>
      </c>
      <c r="F5" s="164">
        <v>1</v>
      </c>
      <c r="G5" s="164">
        <v>1</v>
      </c>
      <c r="H5" s="164">
        <v>1</v>
      </c>
      <c r="I5" s="164">
        <v>1</v>
      </c>
      <c r="J5" s="164">
        <v>1</v>
      </c>
      <c r="K5" s="164">
        <v>1</v>
      </c>
      <c r="L5" s="164">
        <v>1</v>
      </c>
      <c r="M5" s="164">
        <v>1</v>
      </c>
      <c r="N5" s="166">
        <v>1</v>
      </c>
      <c r="O5" s="164">
        <v>1</v>
      </c>
      <c r="P5" s="164">
        <v>1</v>
      </c>
      <c r="Q5" s="164">
        <v>1</v>
      </c>
      <c r="R5" s="164">
        <v>1</v>
      </c>
      <c r="S5" s="165">
        <v>1</v>
      </c>
      <c r="T5" s="165">
        <v>1</v>
      </c>
    </row>
    <row r="6" customFormat="true" ht="13" x14ac:dyDescent="0.15">
      <c r="A6" t="s">
        <v>183</v>
      </c>
      <c r="B6" s="164">
        <v>1</v>
      </c>
      <c r="C6" s="164">
        <v>1</v>
      </c>
      <c r="D6" s="164">
        <v>1</v>
      </c>
      <c r="E6" s="164">
        <v>1</v>
      </c>
      <c r="F6" s="163">
        <v>1</v>
      </c>
      <c r="G6" s="164">
        <v>1</v>
      </c>
      <c r="H6" s="164">
        <v>1</v>
      </c>
      <c r="I6" s="164">
        <v>1</v>
      </c>
      <c r="J6" s="164">
        <v>1</v>
      </c>
      <c r="K6" s="164">
        <v>1</v>
      </c>
      <c r="L6" s="164">
        <v>1</v>
      </c>
      <c r="M6" s="164">
        <v>1</v>
      </c>
      <c r="N6" s="166">
        <v>1</v>
      </c>
      <c r="O6" s="164">
        <v>1</v>
      </c>
      <c r="P6" s="164">
        <v>1</v>
      </c>
      <c r="Q6" s="164">
        <v>1</v>
      </c>
      <c r="R6" s="164">
        <v>1</v>
      </c>
      <c r="S6" s="165">
        <v>1</v>
      </c>
      <c r="T6" s="165">
        <v>1</v>
      </c>
    </row>
    <row r="7" customFormat="true" ht="13" x14ac:dyDescent="0.15">
      <c r="A7" t="s">
        <v>184</v>
      </c>
      <c r="B7" s="164">
        <v>1</v>
      </c>
      <c r="C7" s="164">
        <v>1</v>
      </c>
      <c r="D7" s="164">
        <v>1</v>
      </c>
      <c r="E7" s="164">
        <v>1</v>
      </c>
      <c r="F7" s="164">
        <v>1</v>
      </c>
      <c r="G7" s="163">
        <v>1</v>
      </c>
      <c r="H7" s="164">
        <v>1</v>
      </c>
      <c r="I7" s="164">
        <v>1</v>
      </c>
      <c r="J7" s="164">
        <v>1</v>
      </c>
      <c r="K7" s="164">
        <v>1</v>
      </c>
      <c r="L7" s="164">
        <v>1</v>
      </c>
      <c r="M7" s="164">
        <v>1</v>
      </c>
      <c r="N7" s="166">
        <v>1</v>
      </c>
      <c r="O7" s="164">
        <v>1</v>
      </c>
      <c r="P7" s="164">
        <v>1</v>
      </c>
      <c r="Q7" s="164">
        <v>1</v>
      </c>
      <c r="R7" s="164">
        <v>1</v>
      </c>
      <c r="S7" s="165">
        <v>1</v>
      </c>
      <c r="T7" s="165">
        <v>1</v>
      </c>
    </row>
    <row r="8" customFormat="true" ht="13" x14ac:dyDescent="0.15">
      <c r="A8" t="s">
        <v>185</v>
      </c>
      <c r="B8" s="164">
        <v>1</v>
      </c>
      <c r="C8" s="164">
        <v>1</v>
      </c>
      <c r="D8" s="164">
        <v>1</v>
      </c>
      <c r="E8" s="164">
        <v>1</v>
      </c>
      <c r="F8" s="164">
        <v>1</v>
      </c>
      <c r="G8" s="164">
        <v>1</v>
      </c>
      <c r="H8" s="163">
        <v>1</v>
      </c>
      <c r="I8" s="164">
        <v>1</v>
      </c>
      <c r="J8" s="164">
        <v>1</v>
      </c>
      <c r="K8" s="164">
        <v>1</v>
      </c>
      <c r="L8" s="164">
        <v>1</v>
      </c>
      <c r="M8" s="164">
        <v>1</v>
      </c>
      <c r="N8" s="166">
        <v>1</v>
      </c>
      <c r="O8" s="164">
        <v>1</v>
      </c>
      <c r="P8" s="164">
        <v>1</v>
      </c>
      <c r="Q8" s="164">
        <v>1</v>
      </c>
      <c r="R8" s="164">
        <v>1</v>
      </c>
      <c r="S8" s="165">
        <v>1</v>
      </c>
      <c r="T8" s="165">
        <v>1</v>
      </c>
    </row>
    <row r="9" customFormat="true" ht="13" x14ac:dyDescent="0.15">
      <c r="A9" t="s">
        <v>186</v>
      </c>
      <c r="B9" s="164">
        <v>1</v>
      </c>
      <c r="C9" s="164">
        <v>1</v>
      </c>
      <c r="D9" s="164">
        <v>1</v>
      </c>
      <c r="E9" s="164">
        <v>1</v>
      </c>
      <c r="F9" s="164">
        <v>1</v>
      </c>
      <c r="G9" s="164">
        <v>1</v>
      </c>
      <c r="H9" s="164">
        <v>1</v>
      </c>
      <c r="I9" s="163">
        <v>1</v>
      </c>
      <c r="J9" s="164">
        <v>1</v>
      </c>
      <c r="K9" s="164">
        <v>1</v>
      </c>
      <c r="L9" s="164">
        <v>1</v>
      </c>
      <c r="M9" s="164">
        <v>1</v>
      </c>
      <c r="N9" s="166">
        <v>1</v>
      </c>
      <c r="O9" s="164">
        <v>1</v>
      </c>
      <c r="P9" s="164">
        <v>1</v>
      </c>
      <c r="Q9" s="164">
        <v>1</v>
      </c>
      <c r="R9" s="164">
        <v>1</v>
      </c>
      <c r="S9" s="165">
        <v>1</v>
      </c>
      <c r="T9" s="165">
        <v>1</v>
      </c>
    </row>
    <row r="10" customFormat="true" ht="13" x14ac:dyDescent="0.15">
      <c r="A10" t="s">
        <v>187</v>
      </c>
      <c r="B10" s="164">
        <v>1</v>
      </c>
      <c r="C10" s="164">
        <v>1</v>
      </c>
      <c r="D10" s="164">
        <v>1</v>
      </c>
      <c r="E10" s="164">
        <v>1</v>
      </c>
      <c r="F10" s="164">
        <v>1</v>
      </c>
      <c r="G10" s="164">
        <v>1</v>
      </c>
      <c r="H10" s="164">
        <v>1</v>
      </c>
      <c r="I10" s="164">
        <v>1</v>
      </c>
      <c r="J10" s="163">
        <v>1</v>
      </c>
      <c r="K10" s="164">
        <v>1</v>
      </c>
      <c r="L10" s="164">
        <v>1</v>
      </c>
      <c r="M10" s="164">
        <v>1</v>
      </c>
      <c r="N10" s="166">
        <v>1</v>
      </c>
      <c r="O10" s="164">
        <v>1</v>
      </c>
      <c r="P10" s="164">
        <v>1</v>
      </c>
      <c r="Q10" s="164">
        <v>1</v>
      </c>
      <c r="R10" s="164">
        <v>1</v>
      </c>
      <c r="S10" s="165">
        <v>1</v>
      </c>
      <c r="T10" s="165">
        <v>1</v>
      </c>
    </row>
    <row r="11" customFormat="true" ht="13" x14ac:dyDescent="0.15">
      <c r="A11" t="s">
        <v>188</v>
      </c>
      <c r="B11" s="164">
        <v>1</v>
      </c>
      <c r="C11" s="164">
        <v>1</v>
      </c>
      <c r="D11" s="164">
        <v>1</v>
      </c>
      <c r="E11" s="164">
        <v>1</v>
      </c>
      <c r="F11" s="164">
        <v>1</v>
      </c>
      <c r="G11" s="164">
        <v>1</v>
      </c>
      <c r="H11" s="164">
        <v>1</v>
      </c>
      <c r="I11" s="164">
        <v>1</v>
      </c>
      <c r="J11" s="164">
        <v>1</v>
      </c>
      <c r="K11" s="163">
        <v>1</v>
      </c>
      <c r="L11" s="164">
        <v>1</v>
      </c>
      <c r="M11" s="164">
        <v>1</v>
      </c>
      <c r="N11" s="166">
        <v>1</v>
      </c>
      <c r="O11" s="164">
        <v>1</v>
      </c>
      <c r="P11" s="164">
        <v>1</v>
      </c>
      <c r="Q11" s="164">
        <v>1</v>
      </c>
      <c r="R11" s="164">
        <v>1</v>
      </c>
      <c r="S11" s="165">
        <v>1</v>
      </c>
      <c r="T11" s="165">
        <v>1</v>
      </c>
    </row>
    <row r="12" customFormat="true" ht="13" x14ac:dyDescent="0.15">
      <c r="A12" t="s">
        <v>189</v>
      </c>
      <c r="B12" s="164">
        <v>1</v>
      </c>
      <c r="C12" s="164">
        <v>1</v>
      </c>
      <c r="D12" s="164">
        <v>1</v>
      </c>
      <c r="E12" s="164">
        <v>1</v>
      </c>
      <c r="F12" s="164">
        <v>1</v>
      </c>
      <c r="G12" s="164">
        <v>1</v>
      </c>
      <c r="H12" s="164">
        <v>1</v>
      </c>
      <c r="I12" s="164">
        <v>1</v>
      </c>
      <c r="J12" s="164">
        <v>1</v>
      </c>
      <c r="K12" s="164">
        <v>1</v>
      </c>
      <c r="L12" s="163">
        <v>1</v>
      </c>
      <c r="M12" s="164">
        <v>1</v>
      </c>
      <c r="N12" s="166">
        <v>1</v>
      </c>
      <c r="O12" s="164">
        <v>1</v>
      </c>
      <c r="P12" s="164">
        <v>1</v>
      </c>
      <c r="Q12" s="164">
        <v>1</v>
      </c>
      <c r="R12" s="164">
        <v>1</v>
      </c>
      <c r="S12" s="165">
        <v>1</v>
      </c>
      <c r="T12" s="165">
        <v>1</v>
      </c>
    </row>
    <row r="13" customFormat="true" ht="13" x14ac:dyDescent="0.15">
      <c r="A13" t="s">
        <v>190</v>
      </c>
      <c r="B13" s="164">
        <v>1</v>
      </c>
      <c r="C13" s="164">
        <v>1</v>
      </c>
      <c r="D13" s="164">
        <v>1</v>
      </c>
      <c r="E13" s="164">
        <v>1</v>
      </c>
      <c r="F13" s="164">
        <v>1</v>
      </c>
      <c r="G13" s="164">
        <v>1</v>
      </c>
      <c r="H13" s="164">
        <v>1</v>
      </c>
      <c r="I13" s="164">
        <v>1</v>
      </c>
      <c r="J13" s="164">
        <v>1</v>
      </c>
      <c r="K13" s="164">
        <v>1</v>
      </c>
      <c r="L13" s="164">
        <v>1</v>
      </c>
      <c r="M13" s="163">
        <v>1</v>
      </c>
      <c r="N13" s="166">
        <v>1</v>
      </c>
      <c r="O13" s="164">
        <v>1</v>
      </c>
      <c r="P13" s="164">
        <v>1</v>
      </c>
      <c r="Q13" s="164">
        <v>1</v>
      </c>
      <c r="R13" s="164">
        <v>1</v>
      </c>
      <c r="S13" s="165">
        <v>1</v>
      </c>
      <c r="T13" s="165">
        <v>1</v>
      </c>
    </row>
    <row r="14" customFormat="true" ht="13" x14ac:dyDescent="0.15">
      <c r="A14" t="s">
        <v>191</v>
      </c>
      <c r="B14" s="164">
        <v>1</v>
      </c>
      <c r="C14" s="164">
        <v>1</v>
      </c>
      <c r="D14" s="164">
        <v>1</v>
      </c>
      <c r="E14" s="164">
        <v>1</v>
      </c>
      <c r="F14" s="164">
        <v>1</v>
      </c>
      <c r="G14" s="164">
        <v>1</v>
      </c>
      <c r="H14" s="164">
        <v>1</v>
      </c>
      <c r="I14" s="164">
        <v>1</v>
      </c>
      <c r="J14" s="164">
        <v>1</v>
      </c>
      <c r="K14" s="164">
        <v>1</v>
      </c>
      <c r="L14" s="164">
        <v>1</v>
      </c>
      <c r="M14" s="164">
        <v>1</v>
      </c>
      <c r="N14" s="163">
        <v>1</v>
      </c>
      <c r="O14" s="164">
        <v>1</v>
      </c>
      <c r="P14" s="164">
        <v>1</v>
      </c>
      <c r="Q14" s="164">
        <v>1</v>
      </c>
      <c r="R14" s="164">
        <v>1</v>
      </c>
      <c r="S14" s="165">
        <v>1</v>
      </c>
      <c r="T14" s="165">
        <v>1</v>
      </c>
    </row>
    <row r="15" customFormat="true" ht="13" x14ac:dyDescent="0.15">
      <c r="A15" t="s">
        <v>192</v>
      </c>
      <c r="B15" s="164">
        <v>1</v>
      </c>
      <c r="C15" s="164">
        <v>1</v>
      </c>
      <c r="D15" s="164">
        <v>1</v>
      </c>
      <c r="E15" s="164">
        <v>1</v>
      </c>
      <c r="F15" s="164">
        <v>1</v>
      </c>
      <c r="G15" s="164">
        <v>1</v>
      </c>
      <c r="H15" s="164">
        <v>1</v>
      </c>
      <c r="I15" s="164">
        <v>1</v>
      </c>
      <c r="J15" s="164">
        <v>1</v>
      </c>
      <c r="K15" s="164">
        <v>1</v>
      </c>
      <c r="L15" s="164">
        <v>1</v>
      </c>
      <c r="M15" s="164">
        <v>1</v>
      </c>
      <c r="N15" s="164">
        <v>1</v>
      </c>
      <c r="O15" s="163">
        <v>1</v>
      </c>
      <c r="P15" s="164">
        <v>1</v>
      </c>
      <c r="Q15" s="164">
        <v>1</v>
      </c>
      <c r="R15" s="164">
        <v>1</v>
      </c>
      <c r="S15" s="165">
        <v>1</v>
      </c>
      <c r="T15" s="165">
        <v>1</v>
      </c>
    </row>
    <row r="16" customFormat="true" ht="13" x14ac:dyDescent="0.15">
      <c r="A16" t="s">
        <v>193</v>
      </c>
      <c r="B16" s="164">
        <v>1</v>
      </c>
      <c r="C16" s="164">
        <v>1</v>
      </c>
      <c r="D16" s="164">
        <v>1</v>
      </c>
      <c r="E16" s="164">
        <v>1</v>
      </c>
      <c r="F16" s="164">
        <v>1</v>
      </c>
      <c r="G16" s="164">
        <v>1</v>
      </c>
      <c r="H16" s="164">
        <v>1</v>
      </c>
      <c r="I16" s="164">
        <v>1</v>
      </c>
      <c r="J16" s="164">
        <v>1</v>
      </c>
      <c r="K16" s="164">
        <v>1</v>
      </c>
      <c r="L16" s="164">
        <v>1</v>
      </c>
      <c r="M16" s="164">
        <v>1</v>
      </c>
      <c r="N16" s="164">
        <v>1</v>
      </c>
      <c r="O16" s="164">
        <v>1</v>
      </c>
      <c r="P16" s="163">
        <v>1</v>
      </c>
      <c r="Q16" s="164">
        <v>1</v>
      </c>
      <c r="R16" s="164">
        <v>1</v>
      </c>
      <c r="S16" s="165">
        <v>1</v>
      </c>
      <c r="T16" s="165">
        <v>1</v>
      </c>
    </row>
    <row r="17" customFormat="true" ht="13" x14ac:dyDescent="0.15">
      <c r="A17" t="s">
        <v>194</v>
      </c>
      <c r="B17" s="164">
        <v>1</v>
      </c>
      <c r="C17" s="164">
        <v>1</v>
      </c>
      <c r="D17" s="164">
        <v>1</v>
      </c>
      <c r="E17" s="164">
        <v>1</v>
      </c>
      <c r="F17" s="164">
        <v>1</v>
      </c>
      <c r="G17" s="164">
        <v>1</v>
      </c>
      <c r="H17" s="164">
        <v>1</v>
      </c>
      <c r="I17" s="164">
        <v>1</v>
      </c>
      <c r="J17" s="164">
        <v>1</v>
      </c>
      <c r="K17" s="164">
        <v>1</v>
      </c>
      <c r="L17" s="164">
        <v>1</v>
      </c>
      <c r="M17" s="164">
        <v>1</v>
      </c>
      <c r="N17" s="164">
        <v>1</v>
      </c>
      <c r="O17" s="164">
        <v>1</v>
      </c>
      <c r="P17" s="164">
        <v>1</v>
      </c>
      <c r="Q17" s="163">
        <v>1</v>
      </c>
      <c r="R17" s="164">
        <v>1</v>
      </c>
      <c r="S17" s="165">
        <v>1</v>
      </c>
      <c r="T17" s="165">
        <v>1</v>
      </c>
    </row>
    <row r="18" customFormat="true" ht="13" x14ac:dyDescent="0.15">
      <c r="A18" t="s">
        <v>195</v>
      </c>
      <c r="B18" s="164">
        <v>1</v>
      </c>
      <c r="C18" s="164">
        <v>1</v>
      </c>
      <c r="D18" s="164">
        <v>1</v>
      </c>
      <c r="E18" s="164">
        <v>1</v>
      </c>
      <c r="F18" s="164">
        <v>1</v>
      </c>
      <c r="G18" s="164">
        <v>1</v>
      </c>
      <c r="H18" s="164">
        <v>1</v>
      </c>
      <c r="I18" s="164">
        <v>1</v>
      </c>
      <c r="J18" s="164">
        <v>1</v>
      </c>
      <c r="K18" s="164">
        <v>1</v>
      </c>
      <c r="L18" s="164">
        <v>1</v>
      </c>
      <c r="M18" s="164">
        <v>1</v>
      </c>
      <c r="N18" s="164">
        <v>1</v>
      </c>
      <c r="O18" s="164">
        <v>1</v>
      </c>
      <c r="P18" s="164">
        <v>1</v>
      </c>
      <c r="Q18" s="167">
        <v>1</v>
      </c>
      <c r="R18" s="163">
        <v>1</v>
      </c>
      <c r="S18" s="165">
        <v>1</v>
      </c>
      <c r="T18" s="165">
        <v>1</v>
      </c>
    </row>
    <row r="19" customFormat="true" ht="13" x14ac:dyDescent="0.15">
      <c r="A19" t="s">
        <v>72</v>
      </c>
      <c r="B19" s="164">
        <v>1</v>
      </c>
      <c r="C19" s="164">
        <v>1</v>
      </c>
      <c r="D19" s="164">
        <v>1</v>
      </c>
      <c r="E19" s="164">
        <v>1</v>
      </c>
      <c r="F19" s="164">
        <v>1</v>
      </c>
      <c r="G19" s="164">
        <v>1</v>
      </c>
      <c r="H19" s="164">
        <v>1</v>
      </c>
      <c r="I19" s="164">
        <v>1</v>
      </c>
      <c r="J19" s="164">
        <v>1</v>
      </c>
      <c r="K19" s="164">
        <v>1</v>
      </c>
      <c r="L19" s="164">
        <v>1</v>
      </c>
      <c r="M19" s="164">
        <v>1</v>
      </c>
      <c r="N19" s="164">
        <v>1</v>
      </c>
      <c r="O19" s="164">
        <v>1</v>
      </c>
      <c r="P19" s="164">
        <v>1</v>
      </c>
      <c r="Q19" s="164">
        <v>1</v>
      </c>
      <c r="R19" s="164">
        <v>1</v>
      </c>
      <c r="S19" s="165">
        <v>1</v>
      </c>
      <c r="T19" s="165">
        <v>1</v>
      </c>
    </row>
    <row r="20" customFormat="true" ht="13" x14ac:dyDescent="0.15">
      <c r="A20" t="s">
        <v>73</v>
      </c>
      <c r="B20" s="164">
        <v>1</v>
      </c>
      <c r="C20" s="164">
        <v>1</v>
      </c>
      <c r="D20" s="164">
        <v>1</v>
      </c>
      <c r="E20" s="164">
        <v>1</v>
      </c>
      <c r="F20" s="164">
        <v>1</v>
      </c>
      <c r="G20" s="164">
        <v>1</v>
      </c>
      <c r="H20" s="164">
        <v>1</v>
      </c>
      <c r="I20" s="164">
        <v>1</v>
      </c>
      <c r="J20" s="164">
        <v>1</v>
      </c>
      <c r="K20" s="164">
        <v>1</v>
      </c>
      <c r="L20" s="164">
        <v>1</v>
      </c>
      <c r="M20" s="164">
        <v>1</v>
      </c>
      <c r="N20" s="164">
        <v>1</v>
      </c>
      <c r="O20" s="164">
        <v>1</v>
      </c>
      <c r="P20" s="164">
        <v>1</v>
      </c>
      <c r="Q20" s="164">
        <v>1</v>
      </c>
      <c r="R20" s="164">
        <v>1</v>
      </c>
      <c r="S20" s="165">
        <v>1</v>
      </c>
      <c r="T20" s="165">
        <v>1</v>
      </c>
    </row>
    <row r="21" customFormat="true" ht="13" x14ac:dyDescent="0.15">
      <c r="A21" t="s">
        <v>202</v>
      </c>
      <c r="B21" s="164">
        <v>1</v>
      </c>
      <c r="C21" s="164">
        <v>1</v>
      </c>
      <c r="D21" s="164">
        <v>1</v>
      </c>
      <c r="E21" s="164">
        <v>1</v>
      </c>
      <c r="F21" s="164">
        <v>1</v>
      </c>
      <c r="G21" s="164">
        <v>1</v>
      </c>
      <c r="H21" s="164">
        <v>1</v>
      </c>
      <c r="I21" s="164">
        <v>1</v>
      </c>
      <c r="J21" s="164">
        <v>1</v>
      </c>
      <c r="K21" s="164">
        <v>1</v>
      </c>
      <c r="L21" s="164">
        <v>1</v>
      </c>
      <c r="M21" s="164">
        <v>1</v>
      </c>
      <c r="N21" s="164">
        <v>1</v>
      </c>
      <c r="O21" s="164">
        <v>1</v>
      </c>
      <c r="P21" s="164">
        <v>1</v>
      </c>
      <c r="Q21" s="164">
        <v>1</v>
      </c>
      <c r="R21" s="164">
        <v>1</v>
      </c>
      <c r="S21" s="165">
        <v>1</v>
      </c>
      <c r="T21" s="165">
        <v>1</v>
      </c>
    </row>
    <row r="22" customFormat="true" ht="13" x14ac:dyDescent="0.15"/>
    <row r="23" customFormat="true" ht="13" x14ac:dyDescent="0.15"/>
    <row r="24" customFormat="true" ht="13" x14ac:dyDescent="0.15"/>
    <row r="25" customFormat="true" ht="13" x14ac:dyDescent="0.15"/>
    <row r="26" customFormat="true" ht="13" x14ac:dyDescent="0.15"/>
    <row r="27" customFormat="true" ht="13" x14ac:dyDescent="0.15"/>
    <row r="28" customFormat="true" ht="13" x14ac:dyDescent="0.15"/>
    <row r="29" customFormat="true" ht="13" x14ac:dyDescent="0.15"/>
    <row r="30" customFormat="true" ht="13" x14ac:dyDescent="0.15"/>
    <row r="31" customFormat="true" ht="13" x14ac:dyDescent="0.15"/>
    <row r="32" customFormat="true" ht="13" x14ac:dyDescent="0.15"/>
    <row r="33" customFormat="true" ht="13" x14ac:dyDescent="0.15"/>
    <row r="34" customFormat="true" ht="13" x14ac:dyDescent="0.15"/>
    <row r="35" customFormat="true" ht="13" x14ac:dyDescent="0.15"/>
    <row r="36" customFormat="true" ht="13" x14ac:dyDescent="0.15"/>
    <row r="37" customFormat="true" ht="13" x14ac:dyDescent="0.15"/>
    <row r="38" customFormat="true" ht="13" x14ac:dyDescent="0.15"/>
    <row r="39" customFormat="true" ht="13" x14ac:dyDescent="0.15"/>
    <row r="40" customFormat="true" ht="13" x14ac:dyDescent="0.15"/>
    <row r="41" customFormat="true" ht="13" x14ac:dyDescent="0.15"/>
    <row r="42" customFormat="true" ht="13" x14ac:dyDescent="0.15"/>
    <row r="43" customFormat="true" ht="13" x14ac:dyDescent="0.15"/>
    <row r="44" customFormat="true" ht="13" x14ac:dyDescent="0.15"/>
    <row r="45" customFormat="true" ht="13" x14ac:dyDescent="0.15"/>
    <row r="46" customFormat="true" ht="13" x14ac:dyDescent="0.15"/>
    <row r="47" customFormat="true" ht="13" x14ac:dyDescent="0.15"/>
    <row r="48" customFormat="true" ht="13" x14ac:dyDescent="0.15"/>
    <row r="49" customFormat="true" ht="13" x14ac:dyDescent="0.15"/>
    <row r="50" customFormat="true" ht="13" x14ac:dyDescent="0.15"/>
    <row r="51" customFormat="true" ht="13" x14ac:dyDescent="0.15"/>
    <row r="52" customFormat="true" ht="13" x14ac:dyDescent="0.15"/>
    <row r="53" customFormat="true" ht="13" x14ac:dyDescent="0.15"/>
    <row r="54" customFormat="true" ht="13" x14ac:dyDescent="0.15"/>
    <row r="55" customFormat="true" ht="13" x14ac:dyDescent="0.15"/>
    <row r="56" customFormat="true" ht="13" x14ac:dyDescent="0.15"/>
    <row r="57" customFormat="true" ht="13" x14ac:dyDescent="0.15"/>
    <row r="58" customFormat="true" ht="13" x14ac:dyDescent="0.15"/>
    <row r="59" customFormat="true" ht="13" x14ac:dyDescent="0.15"/>
    <row r="60" customFormat="true" ht="13" x14ac:dyDescent="0.15"/>
    <row r="61" customFormat="true" ht="13" x14ac:dyDescent="0.15"/>
    <row r="62" customFormat="true" ht="13" x14ac:dyDescent="0.15"/>
    <row r="63" customFormat="true" ht="13" x14ac:dyDescent="0.15"/>
    <row r="64" customFormat="true" ht="13" x14ac:dyDescent="0.15"/>
    <row r="65" customFormat="true" ht="13" x14ac:dyDescent="0.15"/>
    <row r="66" customFormat="true" ht="13" x14ac:dyDescent="0.15"/>
    <row r="67" customFormat="true" ht="13" x14ac:dyDescent="0.15"/>
    <row r="68" customFormat="true" ht="13" x14ac:dyDescent="0.15"/>
    <row r="69" customFormat="true" ht="13" x14ac:dyDescent="0.15"/>
    <row r="70" customFormat="true" ht="13" x14ac:dyDescent="0.15"/>
    <row r="71" customFormat="true" ht="13" x14ac:dyDescent="0.15"/>
    <row r="72" customFormat="true" ht="13" x14ac:dyDescent="0.15"/>
    <row r="73" customFormat="true" ht="13" x14ac:dyDescent="0.15"/>
    <row r="74" customFormat="true" ht="13" x14ac:dyDescent="0.15"/>
    <row r="75" customFormat="true" ht="13" x14ac:dyDescent="0.15"/>
    <row r="76" customFormat="true" ht="13" x14ac:dyDescent="0.15"/>
    <row r="77" customFormat="true" ht="13" x14ac:dyDescent="0.15"/>
    <row r="78" customFormat="true" ht="13" x14ac:dyDescent="0.15"/>
    <row r="79" customFormat="true" ht="13" x14ac:dyDescent="0.15"/>
    <row r="80" customFormat="true" ht="13" x14ac:dyDescent="0.15"/>
    <row r="81" customFormat="true" ht="13" x14ac:dyDescent="0.15"/>
    <row r="82" customFormat="true" ht="13" x14ac:dyDescent="0.15"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</row>
    <row r="83" customFormat="true" ht="13" x14ac:dyDescent="0.15"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</row>
    <row r="84" customFormat="true" ht="13" x14ac:dyDescent="0.15"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</row>
    <row r="85" customFormat="true" ht="13" x14ac:dyDescent="0.15"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</row>
    <row r="86" customFormat="true" ht="13" x14ac:dyDescent="0.15"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152"/>
      <c r="R86" s="152"/>
      <c r="S86" s="152"/>
      <c r="T86" s="152"/>
    </row>
    <row r="87" customFormat="true" ht="13" x14ac:dyDescent="0.15"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</row>
    <row r="88" customFormat="true" ht="13" x14ac:dyDescent="0.15"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</row>
    <row r="89" customFormat="true" ht="13" x14ac:dyDescent="0.15"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52"/>
      <c r="S89" s="152"/>
      <c r="T89" s="152"/>
    </row>
    <row r="90" customFormat="true" ht="13" x14ac:dyDescent="0.15"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</row>
    <row r="91" customFormat="true" ht="13" x14ac:dyDescent="0.15"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  <c r="P91" s="152"/>
      <c r="Q91" s="152"/>
      <c r="R91" s="152"/>
      <c r="S91" s="152"/>
      <c r="T91" s="152"/>
    </row>
    <row r="92" customFormat="true" ht="13" x14ac:dyDescent="0.15"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  <c r="P92" s="152"/>
      <c r="Q92" s="152"/>
      <c r="R92" s="152"/>
      <c r="S92" s="152"/>
      <c r="T92" s="152"/>
    </row>
    <row r="93" customFormat="true" ht="13" x14ac:dyDescent="0.15"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  <c r="P93" s="152"/>
      <c r="Q93" s="152"/>
      <c r="R93" s="152"/>
      <c r="S93" s="152"/>
      <c r="T93" s="152"/>
    </row>
    <row r="94" customFormat="true" ht="13" x14ac:dyDescent="0.15"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</row>
    <row r="95" customFormat="true" ht="13" x14ac:dyDescent="0.15"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152"/>
      <c r="R95" s="152"/>
      <c r="S95" s="152"/>
      <c r="T95" s="152"/>
    </row>
    <row r="96" customFormat="true" ht="13" x14ac:dyDescent="0.15"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152"/>
      <c r="R96" s="152"/>
      <c r="S96" s="152"/>
      <c r="T96" s="152"/>
    </row>
    <row r="97" customFormat="true" ht="13" x14ac:dyDescent="0.15"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2"/>
      <c r="S97" s="152"/>
      <c r="T97" s="152"/>
    </row>
    <row r="98" customFormat="true" ht="13" x14ac:dyDescent="0.15"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</row>
    <row r="99" customFormat="true" ht="13" x14ac:dyDescent="0.15"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</row>
    <row r="100" customFormat="true" ht="13" x14ac:dyDescent="0.15"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</row>
    <row r="101" customFormat="true" ht="13" x14ac:dyDescent="0.15"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152"/>
      <c r="R101" s="152"/>
      <c r="S101" s="152"/>
      <c r="T101" s="152"/>
    </row>
    <row r="102" customFormat="true" ht="13" x14ac:dyDescent="0.15"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152"/>
      <c r="R102" s="152"/>
      <c r="S102" s="152"/>
      <c r="T102" s="152"/>
    </row>
    <row r="103" customFormat="true" ht="13" x14ac:dyDescent="0.15"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</row>
    <row r="104" customFormat="true" ht="13" x14ac:dyDescent="0.15">
      <c r="B104" s="152"/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2"/>
      <c r="S104" s="152"/>
      <c r="T104" s="152"/>
    </row>
    <row r="105" customFormat="true" ht="13" x14ac:dyDescent="0.15"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</row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  <row r="13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30"/>
  <sheetViews>
    <sheetView workbookViewId="0"/>
  </sheetViews>
  <sheetFormatPr baseColWidth="10" defaultRowHeight="14" customHeight="true" x14ac:dyDescent="0.15"/>
  <cols>
    <col min="1" max="1" width="12.6640625" customWidth="true"/>
    <col min="2" max="2" width="25.83203125" customWidth="true"/>
    <col min="3" max="3" width="14.83203125" bestFit="true" customWidth="true"/>
    <col min="4" max="4" width="10.83203125" customWidth="true"/>
  </cols>
  <sheetData>
    <row r="1" ht="29" thickBot="true" x14ac:dyDescent="0.2">
      <c r="A1" s="109" t="s">
        <v>84</v>
      </c>
      <c r="B1" s="112" t="s">
        <v>0</v>
      </c>
      <c r="C1" s="168" t="s">
        <v>197</v>
      </c>
    </row>
    <row r="2" ht="13" x14ac:dyDescent="0.15">
      <c r="A2">
        <v>1</v>
      </c>
      <c r="B2" t="s">
        <v>43</v>
      </c>
      <c r="C2" s="169">
        <v>0</v>
      </c>
    </row>
    <row r="3" ht="13" x14ac:dyDescent="0.15">
      <c r="A3">
        <v>2</v>
      </c>
      <c r="B3" t="s">
        <v>42</v>
      </c>
      <c r="C3" s="170">
        <v>0</v>
      </c>
    </row>
    <row r="4" ht="13" x14ac:dyDescent="0.15">
      <c r="A4">
        <v>3</v>
      </c>
      <c r="B4" t="s">
        <v>181</v>
      </c>
      <c r="C4" s="170">
        <v>0</v>
      </c>
    </row>
    <row r="5" ht="13" x14ac:dyDescent="0.15">
      <c r="A5">
        <v>4</v>
      </c>
      <c r="B5" t="s">
        <v>182</v>
      </c>
      <c r="C5" s="170">
        <v>0</v>
      </c>
    </row>
    <row r="6" ht="13" x14ac:dyDescent="0.15">
      <c r="A6">
        <v>5</v>
      </c>
      <c r="B6" t="s">
        <v>183</v>
      </c>
      <c r="C6" s="170">
        <v>0</v>
      </c>
    </row>
    <row r="7" ht="13" x14ac:dyDescent="0.15">
      <c r="A7">
        <v>6</v>
      </c>
      <c r="B7" t="s">
        <v>184</v>
      </c>
      <c r="C7" s="170">
        <v>0</v>
      </c>
    </row>
    <row r="8" ht="13" x14ac:dyDescent="0.15">
      <c r="A8">
        <v>7</v>
      </c>
      <c r="B8" t="s">
        <v>185</v>
      </c>
      <c r="C8" s="170">
        <v>0.6</v>
      </c>
    </row>
    <row r="9" ht="13" x14ac:dyDescent="0.15">
      <c r="A9">
        <v>8</v>
      </c>
      <c r="B9" t="s">
        <v>186</v>
      </c>
      <c r="C9" s="170">
        <v>0.6</v>
      </c>
    </row>
    <row r="10" ht="13" x14ac:dyDescent="0.15">
      <c r="A10">
        <v>9</v>
      </c>
      <c r="B10" t="s">
        <v>187</v>
      </c>
      <c r="C10" s="170">
        <v>0.6</v>
      </c>
    </row>
    <row r="11" ht="13" x14ac:dyDescent="0.15">
      <c r="A11">
        <v>10</v>
      </c>
      <c r="B11" t="s">
        <v>188</v>
      </c>
      <c r="C11" s="170">
        <v>0</v>
      </c>
    </row>
    <row r="12" ht="13" x14ac:dyDescent="0.15">
      <c r="A12">
        <v>11</v>
      </c>
      <c r="B12" t="s">
        <v>189</v>
      </c>
      <c r="C12" s="170">
        <v>0</v>
      </c>
    </row>
    <row r="13" ht="13" x14ac:dyDescent="0.15">
      <c r="A13">
        <v>12</v>
      </c>
      <c r="B13" t="s">
        <v>190</v>
      </c>
      <c r="C13" s="170">
        <v>0</v>
      </c>
    </row>
    <row r="14" ht="13" x14ac:dyDescent="0.15">
      <c r="A14">
        <v>13</v>
      </c>
      <c r="B14" t="s">
        <v>191</v>
      </c>
      <c r="C14" s="170">
        <v>0</v>
      </c>
    </row>
    <row r="15" ht="13" x14ac:dyDescent="0.15">
      <c r="A15">
        <v>14</v>
      </c>
      <c r="B15" t="s">
        <v>192</v>
      </c>
      <c r="C15" s="170">
        <v>0.6</v>
      </c>
    </row>
    <row r="16" ht="13" x14ac:dyDescent="0.15">
      <c r="A16">
        <v>15</v>
      </c>
      <c r="B16" t="s">
        <v>193</v>
      </c>
      <c r="C16" s="170">
        <v>0</v>
      </c>
    </row>
    <row r="17" ht="13" x14ac:dyDescent="0.15">
      <c r="A17">
        <v>16</v>
      </c>
      <c r="B17" t="s">
        <v>194</v>
      </c>
      <c r="C17" s="170">
        <v>0</v>
      </c>
    </row>
    <row r="18" ht="13" x14ac:dyDescent="0.15">
      <c r="A18">
        <v>17</v>
      </c>
      <c r="B18" t="s">
        <v>195</v>
      </c>
      <c r="C18" s="170">
        <v>0</v>
      </c>
    </row>
    <row r="19" ht="13" x14ac:dyDescent="0.15">
      <c r="A19">
        <v>18</v>
      </c>
      <c r="B19" t="s">
        <v>72</v>
      </c>
      <c r="C19" s="170">
        <v>0</v>
      </c>
    </row>
    <row r="20" ht="13" x14ac:dyDescent="0.15">
      <c r="A20">
        <v>19</v>
      </c>
      <c r="B20" t="s">
        <v>73</v>
      </c>
      <c r="C20" s="170">
        <v>0</v>
      </c>
    </row>
    <row r="21" ht="13" x14ac:dyDescent="0.15"/>
    <row r="22" ht="13" x14ac:dyDescent="0.15"/>
    <row r="23" ht="13" x14ac:dyDescent="0.15"/>
    <row r="24" ht="13" x14ac:dyDescent="0.15"/>
    <row r="25" ht="13" x14ac:dyDescent="0.15"/>
    <row r="26" ht="13" x14ac:dyDescent="0.15"/>
    <row r="27" ht="13" x14ac:dyDescent="0.15"/>
    <row r="28" ht="13" x14ac:dyDescent="0.15"/>
    <row r="29" ht="13" x14ac:dyDescent="0.15"/>
    <row r="30" ht="13" x14ac:dyDescent="0.15"/>
    <row r="31" ht="13" x14ac:dyDescent="0.15"/>
    <row r="32" ht="13" x14ac:dyDescent="0.15"/>
    <row r="33" ht="13" x14ac:dyDescent="0.15"/>
    <row r="34" ht="13" x14ac:dyDescent="0.15"/>
    <row r="35" ht="13" x14ac:dyDescent="0.15"/>
    <row r="36" ht="13" x14ac:dyDescent="0.15"/>
    <row r="37" ht="13" x14ac:dyDescent="0.15"/>
    <row r="38" ht="13" x14ac:dyDescent="0.15"/>
    <row r="39" ht="13" x14ac:dyDescent="0.15"/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30"/>
  <sheetViews>
    <sheetView workbookViewId="0">
      <selection activeCell="A2" sqref="A2"/>
    </sheetView>
  </sheetViews>
  <sheetFormatPr baseColWidth="10" defaultRowHeight="14" customHeight="true" x14ac:dyDescent="0.15"/>
  <cols>
    <col min="1" max="1" width="12.6640625" customWidth="true"/>
    <col min="2" max="2" width="25.83203125" customWidth="true"/>
    <col min="3" max="3" width="14.83203125" bestFit="true" customWidth="true"/>
    <col min="4" max="4" width="10.83203125" customWidth="true"/>
  </cols>
  <sheetData>
    <row r="1" ht="29" thickBot="true" x14ac:dyDescent="0.2">
      <c r="A1" s="109" t="s">
        <v>83</v>
      </c>
      <c r="B1" s="112" t="s">
        <v>0</v>
      </c>
      <c r="C1" s="168" t="s">
        <v>197</v>
      </c>
    </row>
    <row r="2" ht="13" x14ac:dyDescent="0.15">
      <c r="A2">
        <v>1</v>
      </c>
      <c r="B2" t="s">
        <v>43</v>
      </c>
      <c r="C2" s="169">
        <v>0</v>
      </c>
    </row>
    <row r="3" ht="13" x14ac:dyDescent="0.15">
      <c r="A3">
        <v>2</v>
      </c>
      <c r="B3" t="s">
        <v>42</v>
      </c>
      <c r="C3" s="170">
        <v>0</v>
      </c>
    </row>
    <row r="4" ht="13" x14ac:dyDescent="0.15">
      <c r="A4">
        <v>3</v>
      </c>
      <c r="B4" t="s">
        <v>181</v>
      </c>
      <c r="C4" s="170">
        <v>0</v>
      </c>
    </row>
    <row r="5" ht="13" x14ac:dyDescent="0.15">
      <c r="A5">
        <v>4</v>
      </c>
      <c r="B5" t="s">
        <v>182</v>
      </c>
      <c r="C5" s="170">
        <v>0</v>
      </c>
    </row>
    <row r="6" ht="13" x14ac:dyDescent="0.15">
      <c r="A6">
        <v>5</v>
      </c>
      <c r="B6" t="s">
        <v>183</v>
      </c>
      <c r="C6" s="170">
        <v>0</v>
      </c>
    </row>
    <row r="7" ht="13" x14ac:dyDescent="0.15">
      <c r="A7">
        <v>6</v>
      </c>
      <c r="B7" t="s">
        <v>184</v>
      </c>
      <c r="C7" s="170">
        <v>0</v>
      </c>
    </row>
    <row r="8" ht="13" x14ac:dyDescent="0.15">
      <c r="A8">
        <v>7</v>
      </c>
      <c r="B8" t="s">
        <v>185</v>
      </c>
      <c r="C8" s="170">
        <v>0.6</v>
      </c>
    </row>
    <row r="9" ht="13" x14ac:dyDescent="0.15">
      <c r="A9">
        <v>8</v>
      </c>
      <c r="B9" t="s">
        <v>186</v>
      </c>
      <c r="C9" s="170">
        <v>0.6</v>
      </c>
    </row>
    <row r="10" ht="13" x14ac:dyDescent="0.15">
      <c r="A10">
        <v>9</v>
      </c>
      <c r="B10" t="s">
        <v>187</v>
      </c>
      <c r="C10" s="170">
        <v>0.6</v>
      </c>
    </row>
    <row r="11" ht="13" x14ac:dyDescent="0.15">
      <c r="A11">
        <v>10</v>
      </c>
      <c r="B11" t="s">
        <v>188</v>
      </c>
      <c r="C11" s="170">
        <v>0</v>
      </c>
    </row>
    <row r="12" ht="13" x14ac:dyDescent="0.15">
      <c r="A12">
        <v>11</v>
      </c>
      <c r="B12" t="s">
        <v>189</v>
      </c>
      <c r="C12" s="170">
        <v>0</v>
      </c>
    </row>
    <row r="13" ht="13" x14ac:dyDescent="0.15">
      <c r="A13">
        <v>12</v>
      </c>
      <c r="B13" t="s">
        <v>190</v>
      </c>
      <c r="C13" s="170">
        <v>0</v>
      </c>
    </row>
    <row r="14" ht="13" x14ac:dyDescent="0.15">
      <c r="A14">
        <v>13</v>
      </c>
      <c r="B14" t="s">
        <v>191</v>
      </c>
      <c r="C14" s="170">
        <v>0</v>
      </c>
    </row>
    <row r="15" ht="13" x14ac:dyDescent="0.15">
      <c r="A15">
        <v>14</v>
      </c>
      <c r="B15" t="s">
        <v>192</v>
      </c>
      <c r="C15" s="170">
        <v>0.6</v>
      </c>
    </row>
    <row r="16" ht="13" x14ac:dyDescent="0.15">
      <c r="A16">
        <v>15</v>
      </c>
      <c r="B16" t="s">
        <v>193</v>
      </c>
      <c r="C16" s="170">
        <v>0</v>
      </c>
    </row>
    <row r="17" ht="13" x14ac:dyDescent="0.15">
      <c r="A17">
        <v>16</v>
      </c>
      <c r="B17" t="s">
        <v>194</v>
      </c>
      <c r="C17" s="170">
        <v>0</v>
      </c>
    </row>
    <row r="18" ht="13" x14ac:dyDescent="0.15">
      <c r="A18">
        <v>17</v>
      </c>
      <c r="B18" t="s">
        <v>195</v>
      </c>
      <c r="C18" s="170">
        <v>0</v>
      </c>
    </row>
    <row r="19" ht="13" x14ac:dyDescent="0.15">
      <c r="A19">
        <v>18</v>
      </c>
      <c r="B19" t="s">
        <v>72</v>
      </c>
      <c r="C19" s="170">
        <v>0</v>
      </c>
    </row>
    <row r="20" ht="13" x14ac:dyDescent="0.15">
      <c r="A20">
        <v>19</v>
      </c>
      <c r="B20" t="s">
        <v>73</v>
      </c>
      <c r="C20" s="170">
        <v>0</v>
      </c>
    </row>
    <row r="21" ht="13" x14ac:dyDescent="0.15"/>
    <row r="22" ht="13" x14ac:dyDescent="0.15"/>
    <row r="23" ht="13" x14ac:dyDescent="0.15"/>
    <row r="24" ht="13" x14ac:dyDescent="0.15"/>
    <row r="25" ht="13" x14ac:dyDescent="0.15"/>
    <row r="26" ht="13" x14ac:dyDescent="0.15"/>
    <row r="27" ht="13" x14ac:dyDescent="0.15"/>
    <row r="28" ht="13" x14ac:dyDescent="0.15"/>
    <row r="29" ht="13" x14ac:dyDescent="0.15"/>
    <row r="30" ht="13" x14ac:dyDescent="0.15"/>
    <row r="31" ht="13" x14ac:dyDescent="0.15"/>
    <row r="32" ht="13" x14ac:dyDescent="0.15"/>
    <row r="33" ht="13" x14ac:dyDescent="0.15"/>
    <row r="34" ht="13" x14ac:dyDescent="0.15"/>
    <row r="35" ht="13" x14ac:dyDescent="0.15"/>
    <row r="36" ht="13" x14ac:dyDescent="0.15"/>
    <row r="37" ht="13" x14ac:dyDescent="0.15"/>
    <row r="38" ht="13" x14ac:dyDescent="0.15"/>
    <row r="39" ht="13" x14ac:dyDescent="0.15"/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ColWidth="8.83203125" defaultRowHeight="15" customHeight="true" x14ac:dyDescent="0.15"/>
  <cols>
    <col min="1" max="1" width="8.83203125" style="47"/>
    <col min="2" max="2" width="41.83203125" style="47" bestFit="true" customWidth="true"/>
    <col min="3" max="3" width="9.33203125" style="47" bestFit="true" customWidth="true"/>
    <col min="4" max="4" width="13" style="47" bestFit="true" customWidth="true"/>
    <col min="5" max="6" width="9.33203125" style="47" bestFit="true" customWidth="true"/>
    <col min="7" max="7" width="9.33203125" style="48" bestFit="true" customWidth="true"/>
    <col min="8" max="8" width="9.33203125" style="47" bestFit="true" customWidth="true"/>
    <col min="9" max="9" width="11" style="47" customWidth="true"/>
    <col min="10" max="10" width="8.83203125" style="47"/>
    <col min="15" max="16384" width="8.83203125" style="47"/>
  </cols>
  <sheetData>
    <row r="1" ht="15" customHeight="true" x14ac:dyDescent="0.15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1" t="s">
        <v>14</v>
      </c>
      <c r="H1" s="1" t="s">
        <v>26</v>
      </c>
      <c r="I1" s="1" t="s">
        <v>24</v>
      </c>
    </row>
    <row r="2" ht="15" customHeight="true" x14ac:dyDescent="0.15">
      <c r="A2" s="127">
        <v>1</v>
      </c>
      <c r="B2" s="127" t="s">
        <v>43</v>
      </c>
      <c r="C2" s="5">
        <v>1</v>
      </c>
      <c r="D2" s="6">
        <v>9.5979328155517578</v>
      </c>
      <c r="E2" s="6">
        <v>123</v>
      </c>
      <c r="F2" s="7"/>
      <c r="G2" s="4">
        <v>0.80000013113021851</v>
      </c>
      <c r="H2" s="7"/>
      <c r="I2">
        <v>0</v>
      </c>
      <c r="J2"/>
    </row>
    <row r="3" ht="15" customHeight="true" x14ac:dyDescent="0.15">
      <c r="A3" s="128">
        <v>2</v>
      </c>
      <c r="B3" s="128" t="s">
        <v>42</v>
      </c>
      <c r="C3" s="5">
        <v>1</v>
      </c>
      <c r="D3" s="6">
        <v>10.161459922790527</v>
      </c>
      <c r="E3" s="6">
        <v>123</v>
      </c>
      <c r="F3" s="7"/>
      <c r="G3" s="4">
        <v>0.79999971389770508</v>
      </c>
      <c r="H3" s="7"/>
      <c r="I3">
        <v>0</v>
      </c>
      <c r="J3"/>
    </row>
    <row r="4" ht="15" customHeight="true" x14ac:dyDescent="0.15">
      <c r="A4" s="129">
        <v>3</v>
      </c>
      <c r="B4" s="129" t="s">
        <v>181</v>
      </c>
      <c r="C4" s="5">
        <v>2</v>
      </c>
      <c r="D4" s="6">
        <v>6.5136117935180664</v>
      </c>
      <c r="E4" s="6">
        <v>72</v>
      </c>
      <c r="F4" s="6">
        <v>175.60980224609375</v>
      </c>
      <c r="G4" s="4">
        <v>0.85000014305114746</v>
      </c>
      <c r="H4" s="6">
        <v>0.40999990701675415</v>
      </c>
      <c r="I4">
        <v>0</v>
      </c>
      <c r="J4"/>
    </row>
    <row r="5" ht="15" customHeight="true" x14ac:dyDescent="0.15">
      <c r="A5" s="130">
        <v>4</v>
      </c>
      <c r="B5" s="130" t="s">
        <v>182</v>
      </c>
      <c r="C5" s="5">
        <v>2.3131313323974609</v>
      </c>
      <c r="D5" s="6">
        <v>9.2688694000244141</v>
      </c>
      <c r="E5" s="6">
        <v>30</v>
      </c>
      <c r="F5" s="6">
        <v>130.43479919433594</v>
      </c>
      <c r="G5" s="4">
        <v>0.85000008344650269</v>
      </c>
      <c r="H5" s="6">
        <v>0.22999997437000275</v>
      </c>
      <c r="I5">
        <v>0</v>
      </c>
      <c r="J5"/>
    </row>
    <row r="6" ht="15" customHeight="true" x14ac:dyDescent="0.15">
      <c r="A6" s="131">
        <v>5</v>
      </c>
      <c r="B6" s="131" t="s">
        <v>183</v>
      </c>
      <c r="C6" s="5">
        <v>3.3180313110351562</v>
      </c>
      <c r="D6" s="6">
        <v>5.1741609573364258</v>
      </c>
      <c r="E6" s="6">
        <v>7</v>
      </c>
      <c r="F6" s="6">
        <v>20</v>
      </c>
      <c r="G6" s="4">
        <v>0.85000008344650269</v>
      </c>
      <c r="H6" s="6">
        <v>0.34999999403953552</v>
      </c>
      <c r="I6">
        <v>0</v>
      </c>
      <c r="J6"/>
    </row>
    <row r="7" ht="15" customHeight="true" x14ac:dyDescent="0.15">
      <c r="A7" s="132">
        <v>6</v>
      </c>
      <c r="B7" s="132" t="s">
        <v>184</v>
      </c>
      <c r="C7" s="5">
        <v>3.3131313323974609</v>
      </c>
      <c r="D7" s="6">
        <v>7.3872819542884827E-2</v>
      </c>
      <c r="E7" s="6">
        <v>40</v>
      </c>
      <c r="F7" s="6">
        <v>148.14810180664062</v>
      </c>
      <c r="G7" s="4">
        <v>0.84999996423721313</v>
      </c>
      <c r="H7" s="6">
        <v>0.27000007033348083</v>
      </c>
      <c r="I7">
        <v>0</v>
      </c>
      <c r="J7"/>
    </row>
    <row r="8" ht="15" customHeight="true" x14ac:dyDescent="0.15">
      <c r="A8" s="133">
        <v>7</v>
      </c>
      <c r="B8" s="133" t="s">
        <v>185</v>
      </c>
      <c r="C8" s="5">
        <v>3.600243091583252</v>
      </c>
      <c r="D8" s="6">
        <v>12</v>
      </c>
      <c r="E8" s="6">
        <v>0.94999998807907104</v>
      </c>
      <c r="F8" s="6">
        <v>4.75</v>
      </c>
      <c r="G8" s="4">
        <v>7.8317582607269287E-2</v>
      </c>
      <c r="H8" s="6">
        <v>0.20000000298023224</v>
      </c>
      <c r="I8">
        <v>0.375</v>
      </c>
      <c r="J8"/>
    </row>
    <row r="9" ht="15" customHeight="true" x14ac:dyDescent="0.15">
      <c r="A9" s="134">
        <v>8</v>
      </c>
      <c r="B9" s="134" t="s">
        <v>186</v>
      </c>
      <c r="C9" s="5">
        <v>4.0032954216003418</v>
      </c>
      <c r="D9" s="6">
        <v>5.1614310592412949E-2</v>
      </c>
      <c r="E9" s="6">
        <v>0.55000001192092896</v>
      </c>
      <c r="F9" s="6">
        <v>3.6666669845581055</v>
      </c>
      <c r="G9" s="4">
        <v>0.84999996423721313</v>
      </c>
      <c r="H9" s="6">
        <v>0.14999999105930328</v>
      </c>
      <c r="I9">
        <v>1.9299998879432678E-2</v>
      </c>
      <c r="J9"/>
    </row>
    <row r="10" ht="15" customHeight="true" x14ac:dyDescent="0.15">
      <c r="A10" s="135">
        <v>9</v>
      </c>
      <c r="B10" s="135" t="s">
        <v>187</v>
      </c>
      <c r="C10" s="5">
        <v>3.7106099128723145</v>
      </c>
      <c r="D10" s="6">
        <v>13</v>
      </c>
      <c r="E10" s="6">
        <v>0.44999998807907104</v>
      </c>
      <c r="F10" s="6">
        <v>3</v>
      </c>
      <c r="G10" s="4">
        <v>0.17786858975887299</v>
      </c>
      <c r="H10" s="6">
        <v>0.14999999105930328</v>
      </c>
      <c r="I10">
        <v>1.0399999618530273</v>
      </c>
      <c r="J10"/>
    </row>
    <row r="11" ht="15" customHeight="true" x14ac:dyDescent="0.15">
      <c r="A11" s="136">
        <v>10</v>
      </c>
      <c r="B11" s="136" t="s">
        <v>188</v>
      </c>
      <c r="C11" s="5">
        <v>3.525644063949585</v>
      </c>
      <c r="D11" s="6">
        <v>1.0792820453643799</v>
      </c>
      <c r="E11" s="6">
        <v>15</v>
      </c>
      <c r="F11" s="6">
        <v>75</v>
      </c>
      <c r="G11" s="4">
        <v>0.85000008344650269</v>
      </c>
      <c r="H11" s="6">
        <v>0.20000000298023224</v>
      </c>
      <c r="I11">
        <v>0</v>
      </c>
      <c r="J11"/>
    </row>
    <row r="12" ht="15" customHeight="true" x14ac:dyDescent="0.15">
      <c r="A12" s="137">
        <v>11</v>
      </c>
      <c r="B12" s="137" t="s">
        <v>189</v>
      </c>
      <c r="C12" s="5">
        <v>2.3152613639831543</v>
      </c>
      <c r="D12" s="6">
        <v>0.48197498917579651</v>
      </c>
      <c r="E12" s="6">
        <v>2</v>
      </c>
      <c r="F12" s="6">
        <v>8</v>
      </c>
      <c r="G12" s="4">
        <v>0.84999978542327881</v>
      </c>
      <c r="H12" s="6">
        <v>0.25</v>
      </c>
      <c r="I12">
        <v>0</v>
      </c>
      <c r="J12"/>
    </row>
    <row r="13" ht="15" customHeight="true" x14ac:dyDescent="0.15">
      <c r="A13" s="138">
        <v>12</v>
      </c>
      <c r="B13" s="138" t="s">
        <v>190</v>
      </c>
      <c r="C13" s="5">
        <v>2.3344087600708008</v>
      </c>
      <c r="D13" s="6">
        <v>2.0865418910980225</v>
      </c>
      <c r="E13" s="6">
        <v>4</v>
      </c>
      <c r="F13" s="6">
        <v>16</v>
      </c>
      <c r="G13" s="4">
        <v>0.85000026226043701</v>
      </c>
      <c r="H13" s="6">
        <v>0.25</v>
      </c>
      <c r="I13">
        <v>0</v>
      </c>
      <c r="J13"/>
    </row>
    <row r="14" ht="15" customHeight="true" x14ac:dyDescent="0.15">
      <c r="A14" s="139">
        <v>13</v>
      </c>
      <c r="B14" s="139" t="s">
        <v>191</v>
      </c>
      <c r="C14" s="5">
        <v>3.2150976657867432</v>
      </c>
      <c r="D14" s="6">
        <v>1.5986820459365845</v>
      </c>
      <c r="E14" s="6">
        <v>1.5</v>
      </c>
      <c r="F14" s="6">
        <v>7.5</v>
      </c>
      <c r="G14" s="4">
        <v>0.84999978542327881</v>
      </c>
      <c r="H14" s="6">
        <v>0.20000000298023224</v>
      </c>
      <c r="I14">
        <v>0</v>
      </c>
      <c r="J14"/>
    </row>
    <row r="15" ht="15" customHeight="true" x14ac:dyDescent="0.15">
      <c r="A15" s="140">
        <v>14</v>
      </c>
      <c r="B15" s="140" t="s">
        <v>192</v>
      </c>
      <c r="C15" s="5">
        <v>2.1771836280822754</v>
      </c>
      <c r="D15" s="6">
        <v>50.707530975341797</v>
      </c>
      <c r="E15" s="6">
        <v>0.80000001192092896</v>
      </c>
      <c r="F15" s="6">
        <v>4</v>
      </c>
      <c r="G15" s="4">
        <v>0.85000014305114746</v>
      </c>
      <c r="H15" s="6">
        <v>0.20000000298023224</v>
      </c>
      <c r="I15">
        <v>0.84999996423721313</v>
      </c>
      <c r="J15"/>
    </row>
    <row r="16" ht="15" customHeight="true" x14ac:dyDescent="0.15">
      <c r="A16" s="141">
        <v>15</v>
      </c>
      <c r="B16" s="141" t="s">
        <v>193</v>
      </c>
      <c r="C16" s="5">
        <v>4.3371376991271973</v>
      </c>
      <c r="D16" s="6">
        <v>1.4390000142157078E-2</v>
      </c>
      <c r="E16" s="6">
        <v>0.27500000596046448</v>
      </c>
      <c r="F16" s="6">
        <v>13.75</v>
      </c>
      <c r="G16" s="4">
        <v>4.3711355829145759E-5</v>
      </c>
      <c r="H16" s="6">
        <v>1.9999999552965164E-2</v>
      </c>
      <c r="I16">
        <v>0</v>
      </c>
      <c r="J16"/>
    </row>
    <row r="17" ht="15" customHeight="true" x14ac:dyDescent="0.15">
      <c r="A17" s="142">
        <v>16</v>
      </c>
      <c r="B17" s="142" t="s">
        <v>194</v>
      </c>
      <c r="C17" s="5">
        <v>3.6185524463653564</v>
      </c>
      <c r="D17" s="6">
        <v>0.41672000288963318</v>
      </c>
      <c r="E17" s="6">
        <v>3.9999999105930328E-2</v>
      </c>
      <c r="F17" s="6">
        <v>2</v>
      </c>
      <c r="G17" s="4">
        <v>8.3449663361534476E-4</v>
      </c>
      <c r="H17" s="6">
        <v>1.9999999552965164E-2</v>
      </c>
      <c r="I17">
        <v>0</v>
      </c>
      <c r="J17"/>
    </row>
    <row r="18" ht="15" customHeight="true" x14ac:dyDescent="0.15">
      <c r="A18" s="143">
        <v>17</v>
      </c>
      <c r="B18" s="143" t="s">
        <v>195</v>
      </c>
      <c r="C18" s="5">
        <v>4.5855875015258789</v>
      </c>
      <c r="D18" s="6">
        <v>0.12200000137090683</v>
      </c>
      <c r="E18" s="6">
        <v>7.0000000298023224E-2</v>
      </c>
      <c r="F18" s="6">
        <v>3.5</v>
      </c>
      <c r="G18" s="4">
        <v>8.8421238615410402E-6</v>
      </c>
      <c r="H18" s="6">
        <v>1.9999999552965164E-2</v>
      </c>
      <c r="I18">
        <v>0</v>
      </c>
      <c r="J18"/>
    </row>
    <row r="19" ht="15" customHeight="true" x14ac:dyDescent="0.15">
      <c r="A19" s="144">
        <v>18</v>
      </c>
      <c r="B19" s="144" t="s">
        <v>72</v>
      </c>
      <c r="C19" s="5">
        <v>1</v>
      </c>
      <c r="D19" s="6">
        <v>10</v>
      </c>
      <c r="E19" s="7"/>
      <c r="F19" s="7"/>
      <c r="G19" s="4">
        <v>0.18808907270431519</v>
      </c>
      <c r="H19" s="7"/>
      <c r="I19">
        <v>0</v>
      </c>
      <c r="J19"/>
    </row>
    <row r="20" ht="15" customHeight="true" x14ac:dyDescent="0.15">
      <c r="A20" s="145">
        <v>19</v>
      </c>
      <c r="B20" s="145" t="s">
        <v>73</v>
      </c>
      <c r="C20" s="5">
        <v>1</v>
      </c>
      <c r="D20" s="6">
        <v>10</v>
      </c>
      <c r="E20" s="7"/>
      <c r="F20" s="7"/>
      <c r="G20" s="4">
        <v>0</v>
      </c>
      <c r="H20" s="7"/>
      <c r="I20">
        <v>0</v>
      </c>
      <c r="J20"/>
    </row>
    <row r="21" ht="15" customHeight="true" x14ac:dyDescent="0.15">
      <c r="A21" s="146">
        <v>20</v>
      </c>
      <c r="B21" s="146" t="s">
        <v>197</v>
      </c>
      <c r="C21" s="5">
        <v>4.1243691444396973</v>
      </c>
      <c r="D21" s="7"/>
      <c r="E21" s="7"/>
      <c r="F21" s="7"/>
      <c r="G21" s="7"/>
      <c r="H21" s="7"/>
      <c r="I21">
        <v>2.2843000888824463</v>
      </c>
      <c r="J21"/>
    </row>
    <row r="22" ht="15" customHeight="true" x14ac:dyDescent="0.15">
      <c r="A22"/>
      <c r="B22"/>
      <c r="C22"/>
      <c r="D22"/>
      <c r="E22"/>
      <c r="F22"/>
      <c r="G22"/>
      <c r="H22"/>
      <c r="I22"/>
      <c r="J22"/>
    </row>
    <row r="23" ht="15" customHeight="true" x14ac:dyDescent="0.15">
      <c r="A23"/>
      <c r="B23"/>
      <c r="C23"/>
      <c r="D23"/>
      <c r="E23"/>
      <c r="F23"/>
      <c r="G23"/>
      <c r="H23"/>
      <c r="I23"/>
      <c r="J23"/>
    </row>
    <row r="24" ht="15" customHeight="true" x14ac:dyDescent="0.15">
      <c r="A24"/>
      <c r="B24"/>
      <c r="C24"/>
      <c r="D24"/>
      <c r="E24"/>
      <c r="F24"/>
      <c r="G24"/>
      <c r="H24"/>
      <c r="I24"/>
      <c r="J24"/>
    </row>
    <row r="25" ht="15" customHeight="true" x14ac:dyDescent="0.15">
      <c r="A25"/>
      <c r="B25"/>
      <c r="C25"/>
      <c r="D25"/>
      <c r="E25"/>
      <c r="F25"/>
      <c r="G25"/>
      <c r="H25"/>
      <c r="I25"/>
      <c r="J25"/>
    </row>
    <row r="26" ht="15" customHeight="true" x14ac:dyDescent="0.15">
      <c r="A26"/>
      <c r="B26"/>
      <c r="C26"/>
      <c r="D26"/>
      <c r="E26"/>
      <c r="F26"/>
      <c r="G26"/>
      <c r="H26"/>
      <c r="I26"/>
      <c r="J26"/>
    </row>
    <row r="27" ht="15" customHeight="true" x14ac:dyDescent="0.15">
      <c r="A27"/>
      <c r="B27"/>
      <c r="C27"/>
      <c r="D27"/>
      <c r="E27"/>
      <c r="F27"/>
      <c r="G27"/>
      <c r="H27"/>
      <c r="I27"/>
      <c r="J27"/>
    </row>
    <row r="28" ht="15" customHeight="true" x14ac:dyDescent="0.15">
      <c r="A28"/>
      <c r="B28"/>
      <c r="C28"/>
      <c r="D28"/>
      <c r="E28"/>
      <c r="F28"/>
      <c r="G28"/>
      <c r="H28"/>
      <c r="I28"/>
      <c r="J28"/>
    </row>
    <row r="29" ht="15" customHeight="true" x14ac:dyDescent="0.15">
      <c r="A29"/>
      <c r="B29"/>
      <c r="C29"/>
      <c r="D29"/>
      <c r="E29"/>
      <c r="F29"/>
      <c r="G29"/>
      <c r="H29"/>
      <c r="I29"/>
      <c r="J29"/>
    </row>
    <row r="30" ht="15" customHeight="true" x14ac:dyDescent="0.15">
      <c r="A30"/>
      <c r="B30"/>
      <c r="C30"/>
      <c r="D30"/>
      <c r="E30"/>
      <c r="F30"/>
      <c r="G30"/>
      <c r="H30"/>
      <c r="I30"/>
      <c r="J30"/>
    </row>
    <row r="31" ht="15" customHeight="true" x14ac:dyDescent="0.15">
      <c r="A31"/>
      <c r="B31"/>
      <c r="C31"/>
      <c r="D31"/>
      <c r="E31"/>
      <c r="F31"/>
      <c r="G31"/>
      <c r="H31"/>
      <c r="I31"/>
      <c r="J31"/>
    </row>
    <row r="32" ht="15" customHeight="true" x14ac:dyDescent="0.15">
      <c r="A32"/>
      <c r="B32"/>
      <c r="C32"/>
      <c r="D32"/>
      <c r="E32"/>
      <c r="F32"/>
      <c r="G32"/>
      <c r="H32"/>
      <c r="I32"/>
      <c r="J32"/>
    </row>
    <row r="33" ht="15" customHeight="true" x14ac:dyDescent="0.15">
      <c r="A33"/>
      <c r="B33"/>
      <c r="C33"/>
      <c r="D33"/>
      <c r="E33"/>
      <c r="F33"/>
      <c r="G33"/>
      <c r="H33"/>
      <c r="I33"/>
      <c r="J33"/>
    </row>
    <row r="34" ht="15" customHeight="true" x14ac:dyDescent="0.15">
      <c r="A34"/>
      <c r="B34"/>
      <c r="C34"/>
      <c r="D34"/>
      <c r="E34"/>
      <c r="F34"/>
      <c r="G34"/>
      <c r="H34"/>
      <c r="I34"/>
      <c r="J34"/>
    </row>
    <row r="35" ht="15" customHeight="true" x14ac:dyDescent="0.15">
      <c r="A35"/>
      <c r="B35"/>
      <c r="C35"/>
      <c r="D35"/>
      <c r="E35"/>
      <c r="F35"/>
      <c r="G35"/>
      <c r="H35"/>
      <c r="I35"/>
      <c r="J35"/>
    </row>
    <row r="36" ht="15" customHeight="true" x14ac:dyDescent="0.15">
      <c r="A36"/>
      <c r="B36"/>
      <c r="C36"/>
      <c r="D36"/>
      <c r="E36"/>
      <c r="F36"/>
      <c r="G36"/>
      <c r="H36"/>
      <c r="I36"/>
      <c r="J36"/>
    </row>
    <row r="37" ht="15" customHeight="true" x14ac:dyDescent="0.15">
      <c r="A37"/>
      <c r="B37"/>
      <c r="C37"/>
      <c r="D37"/>
      <c r="E37"/>
      <c r="F37"/>
      <c r="G37"/>
      <c r="H37"/>
      <c r="I37"/>
      <c r="J37"/>
    </row>
    <row r="38" ht="15" customHeight="true" x14ac:dyDescent="0.15">
      <c r="A38"/>
      <c r="B38"/>
      <c r="C38"/>
      <c r="D38"/>
      <c r="E38"/>
      <c r="F38"/>
      <c r="G38"/>
      <c r="H38"/>
      <c r="I38"/>
      <c r="J38"/>
    </row>
    <row r="39" ht="15" customHeight="true" x14ac:dyDescent="0.15">
      <c r="A39"/>
      <c r="B39"/>
      <c r="C39"/>
      <c r="D39"/>
      <c r="E39"/>
      <c r="F39"/>
      <c r="G39"/>
      <c r="H39"/>
      <c r="I39"/>
      <c r="J39"/>
    </row>
    <row r="40" ht="15" customHeight="true" x14ac:dyDescent="0.15">
      <c r="A40"/>
      <c r="B40"/>
      <c r="C40"/>
      <c r="D40"/>
      <c r="E40"/>
      <c r="F40"/>
      <c r="G40"/>
      <c r="H40"/>
      <c r="I40"/>
      <c r="J40"/>
    </row>
    <row r="41" ht="15" customHeight="true" x14ac:dyDescent="0.15">
      <c r="A41"/>
      <c r="B41"/>
      <c r="C41"/>
      <c r="D41"/>
      <c r="E41"/>
      <c r="F41"/>
      <c r="G41"/>
      <c r="H41"/>
      <c r="I41"/>
      <c r="J41"/>
    </row>
    <row r="42" ht="15" customHeight="true" x14ac:dyDescent="0.15">
      <c r="A42"/>
      <c r="B42"/>
      <c r="C42"/>
      <c r="D42"/>
      <c r="E42"/>
      <c r="F42"/>
      <c r="G42"/>
      <c r="H42"/>
      <c r="I42"/>
      <c r="J42"/>
    </row>
    <row r="43" ht="15" customHeight="true" x14ac:dyDescent="0.15">
      <c r="A43"/>
      <c r="B43"/>
      <c r="C43"/>
      <c r="D43"/>
      <c r="E43"/>
      <c r="F43"/>
      <c r="G43"/>
      <c r="H43"/>
      <c r="I43"/>
      <c r="J43"/>
    </row>
    <row r="44" ht="15" customHeight="true" x14ac:dyDescent="0.15">
      <c r="A44"/>
      <c r="B44"/>
      <c r="C44"/>
      <c r="D44"/>
      <c r="E44"/>
      <c r="F44"/>
      <c r="G44"/>
      <c r="H44"/>
      <c r="I44"/>
      <c r="J44"/>
    </row>
    <row r="45" ht="15" customHeight="true" x14ac:dyDescent="0.15">
      <c r="A45"/>
      <c r="B45"/>
      <c r="C45"/>
      <c r="D45"/>
      <c r="E45"/>
      <c r="F45"/>
      <c r="G45"/>
      <c r="H45"/>
      <c r="I45"/>
      <c r="J45"/>
    </row>
    <row r="46" ht="15" customHeight="true" x14ac:dyDescent="0.15">
      <c r="A46"/>
      <c r="B46"/>
      <c r="C46"/>
      <c r="D46"/>
      <c r="E46"/>
      <c r="F46"/>
      <c r="G46"/>
      <c r="H46"/>
      <c r="I46"/>
      <c r="J46"/>
    </row>
    <row r="47" ht="15" customHeight="true" x14ac:dyDescent="0.15">
      <c r="A47"/>
      <c r="B47"/>
      <c r="C47"/>
      <c r="D47"/>
      <c r="E47"/>
      <c r="F47"/>
      <c r="G47"/>
      <c r="H47"/>
      <c r="I47"/>
      <c r="J47"/>
    </row>
    <row r="48" ht="15" customHeight="true" x14ac:dyDescent="0.15">
      <c r="A48"/>
      <c r="B48"/>
      <c r="C48"/>
      <c r="D48"/>
      <c r="E48"/>
      <c r="F48"/>
      <c r="G48"/>
      <c r="H48"/>
      <c r="I48"/>
      <c r="J48"/>
    </row>
    <row r="49" ht="15" customHeight="true" x14ac:dyDescent="0.15">
      <c r="A49"/>
      <c r="B49"/>
      <c r="C49"/>
      <c r="D49"/>
      <c r="E49"/>
      <c r="F49"/>
      <c r="G49"/>
      <c r="H49"/>
      <c r="I49"/>
      <c r="J49"/>
    </row>
    <row r="50" ht="15" customHeight="true" x14ac:dyDescent="0.15">
      <c r="A50"/>
      <c r="B50"/>
      <c r="C50"/>
      <c r="D50"/>
      <c r="E50"/>
      <c r="F50"/>
      <c r="G50"/>
      <c r="H50"/>
      <c r="I50"/>
      <c r="J50"/>
    </row>
    <row r="51" ht="15" customHeight="true" x14ac:dyDescent="0.15">
      <c r="A51"/>
      <c r="B51"/>
      <c r="C51"/>
      <c r="D51"/>
      <c r="E51"/>
      <c r="F51"/>
      <c r="G51"/>
      <c r="H51"/>
      <c r="I51"/>
      <c r="J51"/>
    </row>
    <row r="52" ht="15" customHeight="true" x14ac:dyDescent="0.15">
      <c r="A52"/>
      <c r="B52"/>
      <c r="C52"/>
      <c r="D52"/>
      <c r="E52"/>
      <c r="F52"/>
      <c r="G52"/>
      <c r="H52"/>
      <c r="I52"/>
      <c r="J52"/>
    </row>
    <row r="53" ht="15" customHeight="true" x14ac:dyDescent="0.15">
      <c r="A53"/>
      <c r="B53"/>
      <c r="C53"/>
      <c r="D53"/>
      <c r="E53"/>
      <c r="F53"/>
      <c r="G53"/>
      <c r="H53"/>
      <c r="I53"/>
      <c r="J53"/>
    </row>
    <row r="54" ht="15" customHeight="true" x14ac:dyDescent="0.15">
      <c r="A54"/>
      <c r="B54"/>
      <c r="C54"/>
      <c r="D54"/>
      <c r="E54"/>
      <c r="F54"/>
      <c r="G54"/>
      <c r="H54"/>
      <c r="I54"/>
      <c r="J54"/>
    </row>
    <row r="55" ht="15" customHeight="true" x14ac:dyDescent="0.15">
      <c r="A55"/>
      <c r="B55"/>
      <c r="C55"/>
      <c r="D55"/>
      <c r="E55"/>
      <c r="F55"/>
      <c r="G55"/>
      <c r="H55"/>
      <c r="I55"/>
      <c r="J55"/>
    </row>
    <row r="56" ht="15" customHeight="true" x14ac:dyDescent="0.15">
      <c r="A56"/>
      <c r="B56"/>
      <c r="C56"/>
      <c r="D56"/>
      <c r="E56"/>
      <c r="F56"/>
      <c r="G56"/>
      <c r="H56"/>
      <c r="I56"/>
      <c r="J56"/>
    </row>
    <row r="57" ht="15" customHeight="true" x14ac:dyDescent="0.15">
      <c r="A57"/>
      <c r="B57"/>
      <c r="C57"/>
      <c r="D57"/>
      <c r="E57"/>
      <c r="F57"/>
      <c r="G57"/>
      <c r="H57"/>
      <c r="I57"/>
      <c r="J57"/>
    </row>
    <row r="58" ht="15" customHeight="true" x14ac:dyDescent="0.15">
      <c r="A58"/>
      <c r="B58"/>
      <c r="C58"/>
      <c r="D58"/>
      <c r="E58"/>
      <c r="F58"/>
      <c r="G58"/>
      <c r="H58"/>
      <c r="I58"/>
      <c r="J58"/>
    </row>
    <row r="59" ht="15" customHeight="true" x14ac:dyDescent="0.15">
      <c r="A59"/>
      <c r="B59"/>
      <c r="C59"/>
      <c r="D59"/>
      <c r="E59"/>
      <c r="F59"/>
      <c r="G59"/>
      <c r="H59"/>
      <c r="I59"/>
      <c r="J59"/>
    </row>
    <row r="60" ht="15" customHeight="true" x14ac:dyDescent="0.15">
      <c r="A60"/>
      <c r="B60"/>
      <c r="C60"/>
      <c r="D60"/>
      <c r="E60"/>
      <c r="F60"/>
      <c r="G60"/>
      <c r="H60"/>
      <c r="I60"/>
      <c r="J60"/>
    </row>
    <row r="61" ht="15" customHeight="true" x14ac:dyDescent="0.15">
      <c r="A61"/>
      <c r="B61"/>
      <c r="C61"/>
      <c r="D61"/>
      <c r="E61"/>
      <c r="F61"/>
      <c r="G61"/>
      <c r="H61"/>
      <c r="I61"/>
      <c r="J61"/>
    </row>
    <row r="62" ht="15" customHeight="true" x14ac:dyDescent="0.15">
      <c r="A62"/>
      <c r="B62"/>
      <c r="C62"/>
      <c r="D62"/>
      <c r="E62"/>
      <c r="F62"/>
      <c r="G62"/>
      <c r="H62"/>
      <c r="I62"/>
      <c r="J62"/>
    </row>
    <row r="63" ht="15" customHeight="true" x14ac:dyDescent="0.15">
      <c r="A63"/>
      <c r="B63"/>
      <c r="C63"/>
      <c r="D63"/>
      <c r="E63"/>
      <c r="F63"/>
      <c r="G63"/>
      <c r="H63"/>
      <c r="I63"/>
      <c r="J63"/>
    </row>
    <row r="64" ht="15" customHeight="true" x14ac:dyDescent="0.15">
      <c r="A64"/>
      <c r="B64"/>
      <c r="C64"/>
      <c r="D64"/>
      <c r="E64"/>
      <c r="F64"/>
      <c r="G64"/>
      <c r="H64"/>
      <c r="I64"/>
      <c r="J64"/>
    </row>
    <row r="65" ht="15" customHeight="true" x14ac:dyDescent="0.15">
      <c r="A65"/>
      <c r="B65"/>
      <c r="C65"/>
      <c r="D65"/>
      <c r="E65"/>
      <c r="F65"/>
      <c r="G65"/>
      <c r="H65"/>
      <c r="I65"/>
      <c r="J65"/>
    </row>
    <row r="66" ht="15" customHeight="true" x14ac:dyDescent="0.15">
      <c r="A66"/>
      <c r="B66"/>
      <c r="C66"/>
      <c r="D66"/>
      <c r="E66"/>
      <c r="F66"/>
      <c r="G66"/>
      <c r="H66"/>
      <c r="I66"/>
      <c r="J66"/>
    </row>
    <row r="67" ht="15" customHeight="true" x14ac:dyDescent="0.15">
      <c r="A67"/>
      <c r="B67"/>
      <c r="C67"/>
      <c r="D67"/>
      <c r="E67"/>
      <c r="F67"/>
      <c r="G67"/>
      <c r="H67"/>
      <c r="I67"/>
      <c r="J67"/>
    </row>
    <row r="68" ht="15" customHeight="true" x14ac:dyDescent="0.15">
      <c r="A68"/>
      <c r="B68"/>
      <c r="C68"/>
      <c r="D68"/>
      <c r="E68"/>
      <c r="F68"/>
      <c r="G68"/>
      <c r="H68"/>
      <c r="I68"/>
      <c r="J68"/>
    </row>
    <row r="69" ht="15" customHeight="true" x14ac:dyDescent="0.15">
      <c r="A69"/>
      <c r="B69"/>
      <c r="C69"/>
      <c r="D69"/>
      <c r="E69"/>
      <c r="F69"/>
      <c r="G69"/>
      <c r="H69"/>
      <c r="I69"/>
      <c r="J69"/>
    </row>
    <row r="70" ht="15" customHeight="true" x14ac:dyDescent="0.15">
      <c r="A70"/>
      <c r="B70"/>
      <c r="C70"/>
      <c r="D70"/>
      <c r="E70"/>
      <c r="F70"/>
      <c r="G70"/>
      <c r="H70"/>
      <c r="I70"/>
      <c r="J70"/>
    </row>
    <row r="71" ht="15" customHeight="true" x14ac:dyDescent="0.15">
      <c r="A71"/>
      <c r="B71"/>
      <c r="C71"/>
      <c r="D71"/>
      <c r="E71"/>
      <c r="F71"/>
      <c r="G71"/>
      <c r="H71"/>
      <c r="I71"/>
      <c r="J71"/>
    </row>
    <row r="72" ht="15" customHeight="true" x14ac:dyDescent="0.15">
      <c r="A72"/>
      <c r="B72"/>
      <c r="C72"/>
      <c r="D72"/>
      <c r="E72"/>
      <c r="F72"/>
      <c r="G72"/>
      <c r="H72"/>
      <c r="I72"/>
      <c r="J72"/>
    </row>
    <row r="73" ht="15" customHeight="true" x14ac:dyDescent="0.15">
      <c r="A73"/>
      <c r="B73"/>
      <c r="C73"/>
      <c r="D73"/>
      <c r="E73"/>
      <c r="F73"/>
      <c r="G73"/>
      <c r="H73"/>
      <c r="I73"/>
      <c r="J73"/>
    </row>
    <row r="74" ht="15" customHeight="true" x14ac:dyDescent="0.15">
      <c r="A74"/>
      <c r="B74"/>
      <c r="C74"/>
      <c r="D74"/>
      <c r="E74"/>
      <c r="F74"/>
      <c r="G74"/>
      <c r="H74"/>
      <c r="I74"/>
      <c r="J74"/>
    </row>
    <row r="75" ht="15" customHeight="true" x14ac:dyDescent="0.15">
      <c r="A75"/>
      <c r="B75"/>
      <c r="C75"/>
      <c r="D75"/>
      <c r="E75"/>
      <c r="F75"/>
      <c r="G75"/>
      <c r="H75"/>
      <c r="I75"/>
      <c r="J75"/>
    </row>
    <row r="76" ht="15" customHeight="true" x14ac:dyDescent="0.15">
      <c r="A76"/>
      <c r="B76"/>
      <c r="C76"/>
      <c r="D76"/>
      <c r="E76"/>
      <c r="F76"/>
      <c r="G76"/>
      <c r="H76"/>
      <c r="I76"/>
      <c r="J76"/>
    </row>
    <row r="77" ht="15" customHeight="true" x14ac:dyDescent="0.15">
      <c r="A77"/>
      <c r="B77"/>
      <c r="C77"/>
      <c r="D77"/>
      <c r="E77"/>
      <c r="F77"/>
      <c r="G77"/>
      <c r="H77"/>
      <c r="I77"/>
      <c r="J77"/>
    </row>
    <row r="78" ht="15" customHeight="true" x14ac:dyDescent="0.15">
      <c r="A78"/>
      <c r="B78"/>
      <c r="C78"/>
      <c r="D78"/>
      <c r="E78"/>
      <c r="F78"/>
      <c r="G78"/>
      <c r="H78"/>
      <c r="I78"/>
      <c r="J78"/>
    </row>
    <row r="79" ht="15" customHeight="true" x14ac:dyDescent="0.15">
      <c r="A79"/>
      <c r="B79"/>
      <c r="C79"/>
      <c r="D79"/>
      <c r="E79"/>
      <c r="F79"/>
      <c r="G79"/>
      <c r="H79"/>
      <c r="I79"/>
      <c r="J79"/>
    </row>
    <row r="80" ht="15" customHeight="true" x14ac:dyDescent="0.15">
      <c r="A80"/>
      <c r="B80"/>
      <c r="C80"/>
      <c r="D80"/>
      <c r="E80"/>
      <c r="F80"/>
      <c r="G80"/>
      <c r="H80"/>
      <c r="I80"/>
      <c r="J80"/>
    </row>
    <row r="81" ht="15" customHeight="true" x14ac:dyDescent="0.15">
      <c r="A81"/>
      <c r="B81"/>
      <c r="C81"/>
      <c r="D81"/>
      <c r="E81"/>
      <c r="F81"/>
      <c r="G81"/>
      <c r="H81"/>
      <c r="I81"/>
      <c r="J81"/>
    </row>
    <row r="82" ht="15" customHeight="true" x14ac:dyDescent="0.15">
      <c r="A82"/>
      <c r="B82"/>
      <c r="C82"/>
      <c r="D82"/>
      <c r="E82"/>
      <c r="F82"/>
      <c r="G82"/>
      <c r="H82"/>
      <c r="I82"/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2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 x14ac:dyDescent="0.15"/>
  <cols>
    <col min="1" max="1" width="40.33203125" style="47" bestFit="true" customWidth="true"/>
    <col min="2" max="4" width="9.5" style="47" bestFit="true" customWidth="true"/>
    <col min="5" max="7" width="9" style="47" bestFit="true" customWidth="true"/>
    <col min="8" max="16" width="12.6640625" style="47" bestFit="true" customWidth="true"/>
    <col min="17" max="17" width="12.33203125" style="47" bestFit="true" customWidth="true"/>
    <col min="18" max="18" width="8.83203125" style="47"/>
    <col min="19" max="21" width="9.33203125" style="47" bestFit="true" customWidth="true"/>
    <col min="22" max="23" width="8.83203125" style="47"/>
    <col min="24" max="24" width="9.33203125" style="47" bestFit="true" customWidth="true"/>
    <col min="25" max="27" width="8.83203125" style="47"/>
    <col min="28" max="58" width="9" style="47" bestFit="true" customWidth="true"/>
    <col min="59" max="59" width="12.33203125" style="47" bestFit="true" customWidth="true"/>
    <col min="60" max="60" width="9" style="47" bestFit="true" customWidth="true"/>
    <col min="61" max="61" width="11.33203125" style="47" bestFit="true" customWidth="true"/>
    <col min="62" max="77" width="9" style="47" bestFit="true" customWidth="true"/>
    <col min="78" max="78" width="12.33203125" style="47" bestFit="true" customWidth="true"/>
    <col min="79" max="79" width="9" style="47" bestFit="true" customWidth="true"/>
    <col min="80" max="80" width="12.33203125" style="47" bestFit="true" customWidth="true"/>
    <col min="81" max="107" width="9" style="47" bestFit="true" customWidth="true"/>
    <col min="108" max="108" width="11.33203125" style="47" bestFit="true" customWidth="true"/>
    <col min="109" max="124" width="9" style="47" bestFit="true" customWidth="true"/>
    <col min="125" max="125" width="10.33203125" style="47" bestFit="true" customWidth="true"/>
    <col min="126" max="129" width="9.33203125" style="47" bestFit="true" customWidth="true"/>
    <col min="130" max="130" width="9" style="47" bestFit="true" customWidth="true"/>
    <col min="131" max="134" width="9.33203125" style="47" bestFit="true" customWidth="true"/>
    <col min="135" max="165" width="9" style="47" bestFit="true" customWidth="true"/>
    <col min="166" max="166" width="12.33203125" style="47" bestFit="true" customWidth="true"/>
    <col min="167" max="170" width="9" style="47" bestFit="true" customWidth="true"/>
    <col min="171" max="176" width="8.83203125" style="47"/>
    <col min="177" max="177" width="13.83203125" style="47" bestFit="true" customWidth="true"/>
    <col min="178" max="16384" width="8.83203125" style="47"/>
  </cols>
  <sheetData>
    <row r="1" ht="15" customHeight="true" x14ac:dyDescent="0.15">
      <c r="A1" t="s">
        <v>15</v>
      </c>
      <c r="B1" t="s">
        <v>1</v>
      </c>
      <c r="C1" t="s">
        <v>16</v>
      </c>
      <c r="D1" t="s">
        <v>205</v>
      </c>
      <c r="E1" t="s">
        <v>43</v>
      </c>
      <c r="F1" t="s">
        <v>42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  <c r="U1" t="s">
        <v>195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43</v>
      </c>
      <c r="B2">
        <v>123</v>
      </c>
      <c r="C2">
        <v>24.599983215332031</v>
      </c>
      <c r="D2"/>
      <c r="E2"/>
      <c r="F2"/>
      <c r="G2" s="147">
        <v>71.50628662109375</v>
      </c>
      <c r="H2" s="205">
        <v>22.673316955566406</v>
      </c>
      <c r="I2"/>
      <c r="J2"/>
      <c r="K2"/>
      <c r="L2"/>
      <c r="M2"/>
      <c r="N2"/>
      <c r="O2"/>
      <c r="P2"/>
      <c r="Q2"/>
      <c r="R2" s="49">
        <v>4.2204241752624512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42</v>
      </c>
      <c r="B3">
        <v>123</v>
      </c>
      <c r="C3">
        <v>24.600034713745117</v>
      </c>
      <c r="D3"/>
      <c r="E3"/>
      <c r="F3"/>
      <c r="G3" s="206">
        <v>28.141973495483398</v>
      </c>
      <c r="H3" s="208">
        <v>58.298881530761719</v>
      </c>
      <c r="I3"/>
      <c r="J3"/>
      <c r="K3"/>
      <c r="L3"/>
      <c r="M3"/>
      <c r="N3"/>
      <c r="O3"/>
      <c r="P3"/>
      <c r="Q3"/>
      <c r="R3" s="52">
        <v>11.959112167358398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181</v>
      </c>
      <c r="B4">
        <v>72</v>
      </c>
      <c r="C4">
        <v>10.799989700317383</v>
      </c>
      <c r="D4"/>
      <c r="E4"/>
      <c r="F4"/>
      <c r="G4"/>
      <c r="H4" s="207">
        <v>55.6826171875</v>
      </c>
      <c r="I4"/>
      <c r="J4"/>
      <c r="K4"/>
      <c r="L4"/>
      <c r="M4"/>
      <c r="N4"/>
      <c r="O4"/>
      <c r="P4"/>
      <c r="Q4"/>
      <c r="R4" s="15">
        <v>5.5173954963684082</v>
      </c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182</v>
      </c>
      <c r="B5">
        <v>30</v>
      </c>
      <c r="C5">
        <v>4.499997615814209</v>
      </c>
      <c r="D5"/>
      <c r="E5"/>
      <c r="F5"/>
      <c r="G5"/>
      <c r="H5" s="11">
        <v>1.3043479919433594</v>
      </c>
      <c r="I5" s="204">
        <v>11.109893798828125</v>
      </c>
      <c r="J5" s="181">
        <v>1.180739164352417</v>
      </c>
      <c r="K5" s="202">
        <v>4.3279809951782227</v>
      </c>
      <c r="L5" s="8">
        <v>7.1570975705981255E-3</v>
      </c>
      <c r="M5" s="49">
        <v>0.98638910055160522</v>
      </c>
      <c r="N5" s="203">
        <v>6.5179605484008789</v>
      </c>
      <c r="O5"/>
      <c r="P5"/>
      <c r="Q5"/>
      <c r="R5"/>
      <c r="S5" s="8">
        <v>2.3378569167107344E-3</v>
      </c>
      <c r="T5" s="10">
        <v>6.3194252550601959E-2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183</v>
      </c>
      <c r="B6">
        <v>7</v>
      </c>
      <c r="C6">
        <v>1.049999475479126</v>
      </c>
      <c r="D6"/>
      <c r="E6"/>
      <c r="F6"/>
      <c r="G6"/>
      <c r="H6"/>
      <c r="I6"/>
      <c r="J6"/>
      <c r="K6" s="199">
        <v>2.1543314456939697</v>
      </c>
      <c r="L6" s="8">
        <v>3.5625763703137636E-3</v>
      </c>
      <c r="M6" s="192">
        <v>0.49099299311637878</v>
      </c>
      <c r="N6" s="201">
        <v>3.2444331645965576</v>
      </c>
      <c r="O6"/>
      <c r="P6"/>
      <c r="Q6"/>
      <c r="R6"/>
      <c r="S6" s="10">
        <v>1.5644887462258339E-2</v>
      </c>
      <c r="T6" s="12">
        <v>3.8113262504339218E-2</v>
      </c>
      <c r="U6" s="8">
        <v>2.9217156115919352E-3</v>
      </c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184</v>
      </c>
      <c r="B7">
        <v>40</v>
      </c>
      <c r="C7">
        <v>6.0000014305114746</v>
      </c>
      <c r="D7"/>
      <c r="E7"/>
      <c r="F7"/>
      <c r="G7"/>
      <c r="H7"/>
      <c r="I7" s="186">
        <v>6.8640532493591309</v>
      </c>
      <c r="J7"/>
      <c r="K7" s="46">
        <v>3.1396806240081787</v>
      </c>
      <c r="L7" s="8">
        <v>2.8622712939977646E-2</v>
      </c>
      <c r="M7" s="189">
        <v>19.230770111083984</v>
      </c>
      <c r="N7" s="185">
        <v>4.7283735275268555</v>
      </c>
      <c r="O7"/>
      <c r="P7"/>
      <c r="Q7"/>
      <c r="R7"/>
      <c r="S7"/>
      <c r="T7" s="8">
        <v>2.3239532019942999E-3</v>
      </c>
      <c r="U7" s="8">
        <v>6.1782817356288433E-3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185</v>
      </c>
      <c r="B8">
        <v>0.94999998807907104</v>
      </c>
      <c r="C8">
        <v>0.87559831142425537</v>
      </c>
      <c r="D8" s="49">
        <v>3.125E-2</v>
      </c>
      <c r="E8"/>
      <c r="F8"/>
      <c r="G8"/>
      <c r="H8"/>
      <c r="I8"/>
      <c r="J8"/>
      <c r="K8"/>
      <c r="L8" s="9">
        <v>4.0222145617008209E-3</v>
      </c>
      <c r="M8"/>
      <c r="N8"/>
      <c r="O8"/>
      <c r="P8"/>
      <c r="Q8"/>
      <c r="R8"/>
      <c r="S8" s="12">
        <v>5.840817466378212E-3</v>
      </c>
      <c r="T8" s="9">
        <v>3.1505031511187553E-3</v>
      </c>
      <c r="U8" s="13">
        <v>3.0138164758682251E-2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186</v>
      </c>
      <c r="B9">
        <v>0.55000001192092896</v>
      </c>
      <c r="C9">
        <v>8.2500018179416656E-2</v>
      </c>
      <c r="D9" s="178">
        <v>0.37392729520797729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 s="181">
        <v>2.1257996559143066E-2</v>
      </c>
      <c r="T9"/>
      <c r="U9" s="182">
        <v>7.2314701974391937E-2</v>
      </c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187</v>
      </c>
      <c r="B10">
        <v>0.44999998807907104</v>
      </c>
      <c r="C10">
        <v>0.36995911598205566</v>
      </c>
      <c r="D10" s="179">
        <v>7.9999998211860657E-2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 s="8">
        <v>1.2187570064270403E-5</v>
      </c>
      <c r="T10"/>
      <c r="U10" s="8">
        <v>2.8678206945187412E-5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188</v>
      </c>
      <c r="B11">
        <v>15</v>
      </c>
      <c r="C11">
        <v>2.2499988079071045</v>
      </c>
      <c r="D11"/>
      <c r="E11"/>
      <c r="F11"/>
      <c r="G11"/>
      <c r="H11"/>
      <c r="I11"/>
      <c r="J11"/>
      <c r="K11" s="195">
        <v>3.774125337600708</v>
      </c>
      <c r="L11" s="10">
        <v>3.6607015877962112E-2</v>
      </c>
      <c r="M11" s="198">
        <v>8.8703947067260742</v>
      </c>
      <c r="N11"/>
      <c r="O11"/>
      <c r="P11"/>
      <c r="Q11"/>
      <c r="R11"/>
      <c r="S11" s="10">
        <v>2.2143041715025902E-2</v>
      </c>
      <c r="T11" s="8">
        <v>4.4227447360754013E-3</v>
      </c>
      <c r="U11" s="10">
        <v>4.2308598756790161E-2</v>
      </c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189</v>
      </c>
      <c r="B12">
        <v>2</v>
      </c>
      <c r="C12">
        <v>0.30000042915344238</v>
      </c>
      <c r="D12"/>
      <c r="E12"/>
      <c r="F12"/>
      <c r="G12"/>
      <c r="H12"/>
      <c r="I12"/>
      <c r="J12"/>
      <c r="K12"/>
      <c r="L12"/>
      <c r="M12"/>
      <c r="N12"/>
      <c r="O12"/>
      <c r="P12" s="188">
        <v>1.6999995708465576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190</v>
      </c>
      <c r="B13">
        <v>4</v>
      </c>
      <c r="C13">
        <v>0.59999895095825195</v>
      </c>
      <c r="D13"/>
      <c r="E13"/>
      <c r="F13"/>
      <c r="G13"/>
      <c r="H13"/>
      <c r="I13"/>
      <c r="J13"/>
      <c r="K13" s="49">
        <v>0.13613317906856537</v>
      </c>
      <c r="L13" s="8">
        <v>1.3853583950549364E-3</v>
      </c>
      <c r="M13" s="194">
        <v>1.5513033866882324</v>
      </c>
      <c r="N13" s="187">
        <v>0.322712242603302</v>
      </c>
      <c r="O13"/>
      <c r="P13"/>
      <c r="Q13" s="193">
        <v>1.3857122659683228</v>
      </c>
      <c r="R13"/>
      <c r="S13"/>
      <c r="T13" s="8">
        <v>2.754576038569212E-3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191</v>
      </c>
      <c r="B14">
        <v>1.5</v>
      </c>
      <c r="C14">
        <v>0.22500032186508179</v>
      </c>
      <c r="D14"/>
      <c r="E14"/>
      <c r="F14"/>
      <c r="G14"/>
      <c r="H14"/>
      <c r="I14"/>
      <c r="J14"/>
      <c r="K14" s="183">
        <v>8.6205855011940002E-2</v>
      </c>
      <c r="L14" s="8">
        <v>8.7727315258234739E-4</v>
      </c>
      <c r="M14" s="190">
        <v>0.98235702514648438</v>
      </c>
      <c r="N14" s="184">
        <v>0.20435631275177002</v>
      </c>
      <c r="O14"/>
      <c r="P14"/>
      <c r="Q14"/>
      <c r="R14"/>
      <c r="S14"/>
      <c r="T14" s="8">
        <v>1.2032742379233241E-3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192</v>
      </c>
      <c r="B15">
        <v>0.80000001192092896</v>
      </c>
      <c r="C15">
        <v>0.11999988555908203</v>
      </c>
      <c r="D15" s="180">
        <v>1.6762794926762581E-2</v>
      </c>
      <c r="E15"/>
      <c r="F15"/>
      <c r="G15"/>
      <c r="H15"/>
      <c r="I15"/>
      <c r="J15"/>
      <c r="K15" s="14">
        <v>1.9928088411688805E-2</v>
      </c>
      <c r="L15" s="8">
        <v>2.0279812451917678E-4</v>
      </c>
      <c r="M15" s="200">
        <v>0.22709028422832489</v>
      </c>
      <c r="N15" s="191">
        <v>4.7240786254405975E-2</v>
      </c>
      <c r="O15" s="14">
        <v>2.0364252850413322E-2</v>
      </c>
      <c r="P15" s="196">
        <v>0.16897483170032501</v>
      </c>
      <c r="Q15" s="197">
        <v>0.17943625152111053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193</v>
      </c>
      <c r="B16">
        <v>0.27500000596046448</v>
      </c>
      <c r="C16">
        <v>0.27498799562454224</v>
      </c>
      <c r="D16"/>
      <c r="E16"/>
      <c r="F16"/>
      <c r="G16"/>
      <c r="H16"/>
      <c r="I16"/>
      <c r="J16"/>
      <c r="K16"/>
      <c r="L16" s="8">
        <v>1.2020623216812965E-5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194</v>
      </c>
      <c r="B17">
        <v>3.9999999105930328E-2</v>
      </c>
      <c r="C17">
        <v>3.996662050485611E-2</v>
      </c>
      <c r="D17"/>
      <c r="E17"/>
      <c r="F17"/>
      <c r="G17"/>
      <c r="H17"/>
      <c r="I17"/>
      <c r="J17"/>
      <c r="K17"/>
      <c r="L17" s="8">
        <v>3.3379863452864811E-5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195</v>
      </c>
      <c r="B18">
        <v>7.0000000298023224E-2</v>
      </c>
      <c r="C18">
        <v>6.9999381899833679E-2</v>
      </c>
      <c r="D18"/>
      <c r="E18"/>
      <c r="F18"/>
      <c r="G18"/>
      <c r="H18"/>
      <c r="I18"/>
      <c r="J18"/>
      <c r="K18"/>
      <c r="L18" s="8">
        <v>6.1894871805634466E-7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72</v>
      </c>
      <c r="B19"/>
      <c r="C19">
        <v>0.18808907270431519</v>
      </c>
      <c r="D19"/>
      <c r="E19"/>
      <c r="F19"/>
      <c r="G19" s="6">
        <v>171.578125</v>
      </c>
      <c r="H19" s="6">
        <v>24.179662704467773</v>
      </c>
      <c r="I19"/>
      <c r="J19"/>
      <c r="K19"/>
      <c r="L19"/>
      <c r="M19"/>
      <c r="N19"/>
      <c r="O19" s="6">
        <v>2.823178768157959</v>
      </c>
      <c r="P19" s="6">
        <v>23.997018814086914</v>
      </c>
      <c r="Q19"/>
      <c r="R19" s="6">
        <v>4.8625659942626953</v>
      </c>
      <c r="S19"/>
      <c r="T19" s="6">
        <v>7.4259507528040558E-5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73</v>
      </c>
      <c r="B20"/>
      <c r="C20">
        <v>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37" sqref="D37:J152"/>
    </sheetView>
  </sheetViews>
  <sheetFormatPr baseColWidth="10" defaultRowHeight="16" x14ac:dyDescent="0.2"/>
  <cols>
    <col min="1" max="1" width="33.6640625" bestFit="true" customWidth="true"/>
    <col min="2" max="2" width="5.85546875" customWidth="true"/>
    <col min="3" max="3" width="9" style="3" customWidth="true"/>
    <col min="4" max="4" width="31" style="54" bestFit="true" customWidth="true"/>
    <col min="5" max="5" width="13.83203125" style="54" bestFit="true" customWidth="true"/>
    <col min="6" max="6" width="6.42578125" style="54" bestFit="true" customWidth="true"/>
    <col min="7" max="7" width="15.33203125" style="54" bestFit="true" customWidth="true"/>
    <col min="8" max="8" width="31" style="54" bestFit="true" customWidth="true"/>
    <col min="9" max="9" width="10.83203125" style="54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 x14ac:dyDescent="0.25">
      <c r="C1" s="39"/>
      <c r="D1" s="53" t="s">
        <v>32</v>
      </c>
      <c r="E1" s="53" t="s">
        <v>33</v>
      </c>
      <c r="F1" s="53" t="s">
        <v>34</v>
      </c>
      <c r="G1" s="53" t="s">
        <v>35</v>
      </c>
      <c r="H1" s="53" t="s">
        <v>36</v>
      </c>
      <c r="I1" s="53"/>
      <c r="J1" s="1" t="s">
        <v>131</v>
      </c>
      <c r="K1" s="1" t="s">
        <v>132</v>
      </c>
      <c r="L1" s="45" t="s">
        <v>170</v>
      </c>
    </row>
    <row r="2" ht="13" x14ac:dyDescent="0.15">
      <c r="A2" s="1" t="s">
        <v>37</v>
      </c>
      <c r="B2" s="25">
        <v>3</v>
      </c>
      <c r="C2" s="23"/>
      <c r="D2" s="126" t="s">
        <v>38</v>
      </c>
      <c r="E2">
        <v>1</v>
      </c>
      <c r="F2">
        <v>1</v>
      </c>
      <c r="G2">
        <v>1</v>
      </c>
      <c r="H2" s="150" t="s">
        <v>38</v>
      </c>
      <c r="I2"/>
      <c r="J2" s="40"/>
      <c r="K2" s="55"/>
      <c r="L2" s="45" t="s">
        <v>171</v>
      </c>
    </row>
    <row r="3" ht="14" thickBot="true" x14ac:dyDescent="0.2">
      <c r="A3" s="1" t="s">
        <v>39</v>
      </c>
      <c r="B3" s="26">
        <v>0</v>
      </c>
      <c r="C3" s="23"/>
      <c r="D3" s="126" t="s">
        <v>40</v>
      </c>
      <c r="E3">
        <v>2</v>
      </c>
      <c r="F3">
        <v>1.1000000000000001</v>
      </c>
      <c r="G3">
        <v>2</v>
      </c>
      <c r="H3" s="150" t="s">
        <v>40</v>
      </c>
      <c r="I3"/>
      <c r="J3" s="41"/>
      <c r="K3" s="42"/>
    </row>
    <row r="4" ht="13" x14ac:dyDescent="0.15">
      <c r="D4" s="126" t="s">
        <v>41</v>
      </c>
      <c r="E4">
        <v>3</v>
      </c>
      <c r="F4">
        <v>1.2</v>
      </c>
      <c r="G4">
        <v>3</v>
      </c>
      <c r="H4" s="150" t="s">
        <v>41</v>
      </c>
      <c r="I4"/>
      <c r="J4" s="41"/>
      <c r="K4" s="42"/>
    </row>
    <row r="5" x14ac:dyDescent="0.2">
      <c r="D5" s="126" t="s">
        <v>43</v>
      </c>
      <c r="E5">
        <v>4</v>
      </c>
      <c r="F5" s="54">
        <v>2.1099999999999999</v>
      </c>
      <c r="G5">
        <v>4</v>
      </c>
      <c r="H5" s="150" t="s">
        <v>43</v>
      </c>
      <c r="I5"/>
      <c r="J5" s="41"/>
      <c r="K5" s="42"/>
    </row>
    <row r="6" ht="17" thickBot="true" x14ac:dyDescent="0.25">
      <c r="A6" s="27" t="s">
        <v>122</v>
      </c>
      <c r="D6" s="126" t="s">
        <v>42</v>
      </c>
      <c r="E6">
        <v>5</v>
      </c>
      <c r="F6" s="54">
        <v>2.1200000000000001</v>
      </c>
      <c r="G6">
        <v>5</v>
      </c>
      <c r="H6" s="150" t="s">
        <v>42</v>
      </c>
      <c r="I6"/>
      <c r="J6" s="41"/>
      <c r="K6" s="42"/>
    </row>
    <row r="7" x14ac:dyDescent="0.2">
      <c r="A7" s="22" t="s">
        <v>127</v>
      </c>
      <c r="B7" s="29">
        <v>1</v>
      </c>
      <c r="C7" s="24"/>
      <c r="D7" s="126" t="s">
        <v>181</v>
      </c>
      <c r="E7">
        <v>6</v>
      </c>
      <c r="F7" s="54">
        <v>3.1110000000000002</v>
      </c>
      <c r="G7">
        <v>6</v>
      </c>
      <c r="H7" s="150" t="s">
        <v>181</v>
      </c>
      <c r="I7"/>
      <c r="J7" s="41"/>
      <c r="K7" s="42"/>
    </row>
    <row r="8" x14ac:dyDescent="0.2">
      <c r="A8" s="22" t="s">
        <v>38</v>
      </c>
      <c r="B8" s="30">
        <v>1</v>
      </c>
      <c r="C8" s="24"/>
      <c r="D8" s="126" t="s">
        <v>182</v>
      </c>
      <c r="E8">
        <v>7</v>
      </c>
      <c r="F8" s="54">
        <v>3.1099999999999999</v>
      </c>
      <c r="G8">
        <v>7</v>
      </c>
      <c r="H8" s="150" t="s">
        <v>182</v>
      </c>
      <c r="I8"/>
      <c r="J8" s="41"/>
      <c r="K8" s="42"/>
    </row>
    <row r="9" x14ac:dyDescent="0.2">
      <c r="A9" s="22" t="s">
        <v>40</v>
      </c>
      <c r="B9" s="30">
        <v>1.1000000000000001</v>
      </c>
      <c r="C9" s="24"/>
      <c r="D9" s="126" t="s">
        <v>183</v>
      </c>
      <c r="E9">
        <v>8</v>
      </c>
      <c r="F9" s="54">
        <v>3.1099999999999999</v>
      </c>
      <c r="G9">
        <v>8</v>
      </c>
      <c r="H9" s="150" t="s">
        <v>183</v>
      </c>
      <c r="I9"/>
      <c r="J9" s="41"/>
      <c r="K9" s="42"/>
    </row>
    <row r="10" x14ac:dyDescent="0.2">
      <c r="A10" s="22" t="s">
        <v>41</v>
      </c>
      <c r="B10" s="30">
        <v>1.2</v>
      </c>
      <c r="C10" s="24"/>
      <c r="D10" s="126" t="s">
        <v>184</v>
      </c>
      <c r="E10">
        <v>9</v>
      </c>
      <c r="F10" s="54">
        <v>3.1099999999999999</v>
      </c>
      <c r="G10">
        <v>9</v>
      </c>
      <c r="H10" s="150" t="s">
        <v>184</v>
      </c>
      <c r="I10"/>
      <c r="J10" s="41"/>
      <c r="K10" s="42"/>
    </row>
    <row r="11" ht="12" customHeight="true" x14ac:dyDescent="0.2">
      <c r="A11" s="28" t="s">
        <v>128</v>
      </c>
      <c r="B11" s="30">
        <v>2</v>
      </c>
      <c r="C11" s="24"/>
      <c r="D11" s="126" t="s">
        <v>185</v>
      </c>
      <c r="E11">
        <v>10</v>
      </c>
      <c r="F11" s="54">
        <v>3.1400000000000001</v>
      </c>
      <c r="G11">
        <v>10</v>
      </c>
      <c r="H11" s="150" t="s">
        <v>185</v>
      </c>
      <c r="I11"/>
      <c r="J11" s="41"/>
      <c r="K11" s="42"/>
    </row>
    <row r="12" x14ac:dyDescent="0.2">
      <c r="A12" s="22" t="s">
        <v>42</v>
      </c>
      <c r="B12" s="30">
        <v>2.1200000000000001</v>
      </c>
      <c r="C12" s="24"/>
      <c r="D12" s="126" t="s">
        <v>186</v>
      </c>
      <c r="E12">
        <v>11</v>
      </c>
      <c r="F12" s="54">
        <v>3.04</v>
      </c>
      <c r="G12">
        <v>11</v>
      </c>
      <c r="H12" s="150" t="s">
        <v>186</v>
      </c>
      <c r="I12"/>
      <c r="J12" s="41"/>
      <c r="K12" s="42"/>
    </row>
    <row r="13" x14ac:dyDescent="0.2">
      <c r="A13" s="22" t="s">
        <v>43</v>
      </c>
      <c r="B13" s="30">
        <v>2.1099999999999999</v>
      </c>
      <c r="C13" s="24"/>
      <c r="D13" s="126" t="s">
        <v>187</v>
      </c>
      <c r="E13">
        <v>12</v>
      </c>
      <c r="F13" s="54">
        <v>3.2400000000000002</v>
      </c>
      <c r="G13">
        <v>12</v>
      </c>
      <c r="H13" s="150" t="s">
        <v>187</v>
      </c>
      <c r="I13"/>
      <c r="J13" s="41"/>
      <c r="K13" s="42"/>
    </row>
    <row r="14" x14ac:dyDescent="0.2">
      <c r="A14" s="22" t="s">
        <v>68</v>
      </c>
      <c r="B14" s="30">
        <v>2.2200000000000002</v>
      </c>
      <c r="C14" s="24"/>
      <c r="D14" s="126" t="s">
        <v>188</v>
      </c>
      <c r="E14">
        <v>13</v>
      </c>
      <c r="F14" s="54">
        <v>3.04</v>
      </c>
      <c r="G14">
        <v>13</v>
      </c>
      <c r="H14" s="150" t="s">
        <v>188</v>
      </c>
      <c r="I14"/>
      <c r="J14" s="41"/>
      <c r="K14" s="42"/>
    </row>
    <row r="15" x14ac:dyDescent="0.2">
      <c r="A15" s="28" t="s">
        <v>129</v>
      </c>
      <c r="B15" s="30">
        <v>3</v>
      </c>
      <c r="C15" s="24"/>
      <c r="D15" s="126" t="s">
        <v>189</v>
      </c>
      <c r="E15">
        <v>14</v>
      </c>
      <c r="F15" s="54">
        <v>3.21</v>
      </c>
      <c r="G15">
        <v>14</v>
      </c>
      <c r="H15" s="150" t="s">
        <v>189</v>
      </c>
      <c r="I15"/>
      <c r="J15" s="41"/>
      <c r="K15" s="42"/>
    </row>
    <row r="16" x14ac:dyDescent="0.2">
      <c r="A16" s="22" t="s">
        <v>63</v>
      </c>
      <c r="B16" s="30">
        <v>3.1099999999999999</v>
      </c>
      <c r="C16" s="24"/>
      <c r="D16" s="126" t="s">
        <v>190</v>
      </c>
      <c r="E16">
        <v>15</v>
      </c>
      <c r="F16" s="54">
        <v>3.21</v>
      </c>
      <c r="G16">
        <v>15</v>
      </c>
      <c r="H16" s="150" t="s">
        <v>190</v>
      </c>
      <c r="I16"/>
      <c r="J16" s="41"/>
      <c r="K16" s="42"/>
    </row>
    <row r="17" x14ac:dyDescent="0.2">
      <c r="A17" s="22" t="s">
        <v>62</v>
      </c>
      <c r="B17" s="30">
        <v>3.1400000000000001</v>
      </c>
      <c r="C17" s="24"/>
      <c r="D17" s="126" t="s">
        <v>191</v>
      </c>
      <c r="E17">
        <v>16</v>
      </c>
      <c r="F17" s="54">
        <v>3.2000000000000002</v>
      </c>
      <c r="G17">
        <v>16</v>
      </c>
      <c r="H17" s="150" t="s">
        <v>191</v>
      </c>
      <c r="I17"/>
      <c r="J17" s="41"/>
      <c r="K17" s="42"/>
    </row>
    <row r="18" x14ac:dyDescent="0.2">
      <c r="A18" s="22" t="s">
        <v>69</v>
      </c>
      <c r="B18" s="30">
        <v>3.1600000000000001</v>
      </c>
      <c r="C18" s="24"/>
      <c r="D18" s="126" t="s">
        <v>192</v>
      </c>
      <c r="E18">
        <v>17</v>
      </c>
      <c r="F18" s="54">
        <v>3.21</v>
      </c>
      <c r="G18">
        <v>17</v>
      </c>
      <c r="H18" s="150" t="s">
        <v>192</v>
      </c>
      <c r="I18"/>
      <c r="J18" s="41"/>
      <c r="K18" s="42"/>
    </row>
    <row r="19" x14ac:dyDescent="0.2">
      <c r="A19" s="22" t="s">
        <v>67</v>
      </c>
      <c r="B19" s="30">
        <v>3.21</v>
      </c>
      <c r="C19" s="24"/>
      <c r="D19" s="126" t="s">
        <v>193</v>
      </c>
      <c r="E19">
        <v>18</v>
      </c>
      <c r="F19" s="54">
        <v>3.1600000000000001</v>
      </c>
      <c r="G19">
        <v>18</v>
      </c>
      <c r="H19" s="150" t="s">
        <v>193</v>
      </c>
      <c r="I19"/>
      <c r="J19" s="41"/>
      <c r="K19" s="42"/>
    </row>
    <row r="20" x14ac:dyDescent="0.2">
      <c r="A20" s="22" t="s">
        <v>64</v>
      </c>
      <c r="B20" s="30">
        <v>3.2400000000000002</v>
      </c>
      <c r="C20" s="24"/>
      <c r="D20" s="126" t="s">
        <v>194</v>
      </c>
      <c r="E20">
        <v>19</v>
      </c>
      <c r="F20" s="54">
        <v>3.1600000000000001</v>
      </c>
      <c r="G20">
        <v>19</v>
      </c>
      <c r="H20" s="150" t="s">
        <v>194</v>
      </c>
      <c r="I20"/>
      <c r="J20" s="41"/>
      <c r="K20" s="42"/>
    </row>
    <row r="21" ht="17" thickBot="true" x14ac:dyDescent="0.25">
      <c r="A21" s="22" t="s">
        <v>70</v>
      </c>
      <c r="B21" s="30">
        <v>3.2599999999999998</v>
      </c>
      <c r="C21" s="24"/>
      <c r="D21" s="126" t="s">
        <v>195</v>
      </c>
      <c r="E21">
        <v>20</v>
      </c>
      <c r="F21" s="54">
        <v>3.1600000000000001</v>
      </c>
      <c r="G21">
        <v>20</v>
      </c>
      <c r="H21" s="150" t="s">
        <v>195</v>
      </c>
      <c r="I21"/>
      <c r="J21" s="43"/>
      <c r="K21" s="44"/>
      <c r="L21" s="45" t="s">
        <v>153</v>
      </c>
    </row>
    <row r="22" x14ac:dyDescent="0.2">
      <c r="A22" s="22" t="s">
        <v>65</v>
      </c>
      <c r="B22" s="30">
        <v>8</v>
      </c>
      <c r="C22" s="24"/>
      <c r="D22" s="126" t="s">
        <v>72</v>
      </c>
      <c r="E22">
        <v>21</v>
      </c>
      <c r="F22" s="54">
        <v>4.0999999999999996</v>
      </c>
      <c r="G22">
        <v>21</v>
      </c>
      <c r="H22" s="150" t="s">
        <v>72</v>
      </c>
      <c r="I22" s="45" t="s">
        <v>177</v>
      </c>
    </row>
    <row r="23" x14ac:dyDescent="0.2">
      <c r="A23" s="22" t="s">
        <v>130</v>
      </c>
      <c r="B23" s="30">
        <v>4</v>
      </c>
      <c r="C23" s="24"/>
      <c r="D23" s="126" t="s">
        <v>73</v>
      </c>
      <c r="E23">
        <v>22</v>
      </c>
      <c r="F23" s="54">
        <v>4.2999999999999998</v>
      </c>
      <c r="G23">
        <v>22</v>
      </c>
      <c r="H23" s="150" t="s">
        <v>73</v>
      </c>
      <c r="I23" s="45" t="s">
        <v>177</v>
      </c>
    </row>
    <row r="24" x14ac:dyDescent="0.2">
      <c r="A24" s="22" t="s">
        <v>123</v>
      </c>
      <c r="B24" s="30">
        <v>4.0999999999999996</v>
      </c>
      <c r="C24" s="24"/>
      <c r="D24" s="126" t="s">
        <v>197</v>
      </c>
      <c r="E24">
        <v>23</v>
      </c>
      <c r="F24" s="54">
        <v>5</v>
      </c>
      <c r="G24">
        <v>23</v>
      </c>
      <c r="H24" s="150" t="s">
        <v>197</v>
      </c>
      <c r="I24" s="45" t="s">
        <v>178</v>
      </c>
    </row>
    <row r="25" ht="13" x14ac:dyDescent="0.15">
      <c r="A25" s="22" t="s">
        <v>71</v>
      </c>
      <c r="B25" s="30">
        <v>4.2000000000000002</v>
      </c>
      <c r="C25" s="24"/>
      <c r="D25" s="126" t="s">
        <v>139</v>
      </c>
      <c r="E25">
        <v>28</v>
      </c>
      <c r="F25">
        <v>6.1</v>
      </c>
      <c r="G25">
        <v>28</v>
      </c>
      <c r="H25" s="150" t="s">
        <v>139</v>
      </c>
      <c r="I25" s="45" t="s">
        <v>179</v>
      </c>
    </row>
    <row r="26" ht="13" x14ac:dyDescent="0.15">
      <c r="A26" s="22" t="s">
        <v>124</v>
      </c>
      <c r="B26" s="30">
        <v>4.2999999999999998</v>
      </c>
      <c r="C26" s="24"/>
      <c r="D26" s="126" t="s">
        <v>45</v>
      </c>
      <c r="E26">
        <v>29</v>
      </c>
      <c r="F26">
        <v>6.2</v>
      </c>
      <c r="G26">
        <v>29</v>
      </c>
      <c r="H26" s="150" t="s">
        <v>45</v>
      </c>
      <c r="I26" s="45" t="s">
        <v>179</v>
      </c>
    </row>
    <row r="27" ht="13" x14ac:dyDescent="0.15">
      <c r="A27" s="22" t="s">
        <v>126</v>
      </c>
      <c r="B27" s="30">
        <v>6.0999999999999996</v>
      </c>
      <c r="D27"/>
      <c r="E27"/>
      <c r="F27"/>
      <c r="G27"/>
      <c r="H27"/>
      <c r="I27"/>
    </row>
    <row r="28" ht="13" x14ac:dyDescent="0.15">
      <c r="A28" s="22" t="s">
        <v>125</v>
      </c>
      <c r="B28" s="30">
        <v>6.2000000000000002</v>
      </c>
      <c r="D28"/>
      <c r="E28"/>
      <c r="F28"/>
      <c r="G28"/>
      <c r="H28"/>
      <c r="I28"/>
    </row>
    <row r="29" ht="13" x14ac:dyDescent="0.15">
      <c r="A29" s="22" t="s">
        <v>44</v>
      </c>
      <c r="B29" s="30">
        <v>5</v>
      </c>
      <c r="D29"/>
      <c r="E29"/>
      <c r="F29"/>
      <c r="G29"/>
      <c r="H29"/>
      <c r="I29"/>
    </row>
    <row r="30" ht="13" x14ac:dyDescent="0.15">
      <c r="A30" s="22" t="s">
        <v>74</v>
      </c>
      <c r="B30" s="30">
        <v>7</v>
      </c>
      <c r="D30"/>
      <c r="E30"/>
      <c r="F30"/>
      <c r="G30"/>
      <c r="H30"/>
      <c r="I30"/>
    </row>
    <row r="31" ht="16" customHeight="true" x14ac:dyDescent="0.15">
      <c r="A31" s="22" t="s">
        <v>173</v>
      </c>
      <c r="B31" s="30">
        <v>3.1110000000000002</v>
      </c>
      <c r="D31"/>
      <c r="E31"/>
      <c r="F31"/>
      <c r="G31"/>
      <c r="H31"/>
      <c r="I31"/>
    </row>
    <row r="32" ht="12" customHeight="true" thickBot="true" x14ac:dyDescent="0.2">
      <c r="A32" s="28" t="s">
        <v>174</v>
      </c>
      <c r="B32" s="31">
        <v>9</v>
      </c>
      <c r="D32"/>
      <c r="E32"/>
      <c r="F32"/>
      <c r="G32"/>
      <c r="H32"/>
      <c r="I32"/>
    </row>
    <row r="33" customFormat="true" ht="12" customHeight="true" x14ac:dyDescent="0.15"/>
    <row r="34" customFormat="true" ht="12" customHeight="true" x14ac:dyDescent="0.15"/>
    <row r="35" customFormat="true" ht="16" customHeight="true" x14ac:dyDescent="0.15"/>
    <row r="36" customFormat="true" ht="16" customHeight="true" x14ac:dyDescent="0.15"/>
    <row r="37" customFormat="true" ht="12" customHeight="true" x14ac:dyDescent="0.15"/>
    <row r="38" customFormat="true" ht="13" x14ac:dyDescent="0.15"/>
    <row r="39" customFormat="true" ht="13" x14ac:dyDescent="0.15"/>
    <row r="40" customFormat="true" ht="13" x14ac:dyDescent="0.15"/>
    <row r="41" customFormat="true" ht="13" x14ac:dyDescent="0.15"/>
    <row r="42" customFormat="true" ht="13" x14ac:dyDescent="0.15"/>
    <row r="43" customFormat="true" ht="13" x14ac:dyDescent="0.15"/>
    <row r="44" customFormat="true" ht="13" x14ac:dyDescent="0.15"/>
    <row r="45" customFormat="true" ht="13" x14ac:dyDescent="0.15"/>
    <row r="46" customFormat="true" ht="13" x14ac:dyDescent="0.15"/>
    <row r="47" customFormat="true" ht="16" customHeight="true" x14ac:dyDescent="0.15"/>
    <row r="48" customFormat="true" ht="16" customHeight="true" x14ac:dyDescent="0.15"/>
    <row r="49" ht="16" customHeight="true" x14ac:dyDescent="0.15">
      <c r="C49"/>
      <c r="D49"/>
      <c r="E49"/>
      <c r="F49"/>
      <c r="G49"/>
      <c r="H49"/>
      <c r="I49"/>
    </row>
    <row r="50" ht="12" customHeight="true" x14ac:dyDescent="0.15">
      <c r="C50"/>
      <c r="D50"/>
      <c r="E50"/>
      <c r="F50"/>
      <c r="G50"/>
      <c r="H50"/>
      <c r="I50"/>
    </row>
    <row r="51" ht="16" customHeight="true" x14ac:dyDescent="0.15">
      <c r="C51"/>
      <c r="D51"/>
      <c r="E51"/>
      <c r="F51"/>
      <c r="G51"/>
      <c r="H51"/>
      <c r="I51"/>
    </row>
    <row r="52" ht="12" customHeight="true" x14ac:dyDescent="0.15">
      <c r="C52"/>
      <c r="D52"/>
      <c r="E52"/>
      <c r="F52"/>
      <c r="G52"/>
      <c r="H52"/>
      <c r="I52"/>
    </row>
    <row r="53" ht="16" customHeight="true" x14ac:dyDescent="0.15">
      <c r="C53"/>
      <c r="D53"/>
      <c r="E53"/>
      <c r="F53"/>
      <c r="G53"/>
      <c r="H53"/>
      <c r="I53"/>
    </row>
    <row r="54" ht="12" customHeight="true" x14ac:dyDescent="0.15">
      <c r="C54"/>
      <c r="D54"/>
      <c r="E54"/>
      <c r="F54"/>
      <c r="G54"/>
      <c r="H54"/>
      <c r="I54"/>
    </row>
    <row r="55" ht="12" customHeight="true" x14ac:dyDescent="0.15">
      <c r="C55"/>
      <c r="D55"/>
      <c r="E55"/>
      <c r="F55"/>
      <c r="G55"/>
      <c r="H55"/>
      <c r="I55"/>
    </row>
    <row r="56" ht="16" customHeight="true" x14ac:dyDescent="0.15">
      <c r="C56"/>
      <c r="D56"/>
      <c r="E56"/>
      <c r="F56"/>
      <c r="G56"/>
      <c r="H56"/>
      <c r="I56"/>
    </row>
    <row r="57" ht="16" customHeight="true" x14ac:dyDescent="0.15">
      <c r="C57"/>
      <c r="D57"/>
      <c r="E57"/>
      <c r="F57"/>
      <c r="G57"/>
      <c r="H57"/>
      <c r="I57"/>
    </row>
    <row r="58" ht="13" x14ac:dyDescent="0.15">
      <c r="C58"/>
      <c r="D58"/>
      <c r="E58"/>
      <c r="F58"/>
      <c r="G58"/>
      <c r="H58"/>
      <c r="I58"/>
    </row>
    <row r="59" ht="13" x14ac:dyDescent="0.15">
      <c r="C59"/>
      <c r="D59"/>
      <c r="E59"/>
      <c r="F59"/>
      <c r="G59"/>
      <c r="H59"/>
      <c r="I59"/>
    </row>
    <row r="60" ht="13" x14ac:dyDescent="0.15">
      <c r="C60"/>
      <c r="D60"/>
      <c r="E60"/>
      <c r="F60"/>
      <c r="G60"/>
      <c r="H60"/>
      <c r="I60"/>
    </row>
    <row r="61" ht="13" x14ac:dyDescent="0.15">
      <c r="C61"/>
      <c r="D61"/>
      <c r="E61"/>
      <c r="F61"/>
      <c r="G61"/>
      <c r="H61"/>
      <c r="I61"/>
    </row>
    <row r="62" ht="13" x14ac:dyDescent="0.15">
      <c r="C62"/>
      <c r="D62"/>
      <c r="E62"/>
      <c r="F62"/>
      <c r="G62"/>
      <c r="H62"/>
      <c r="I62"/>
    </row>
    <row r="63" ht="13" x14ac:dyDescent="0.15">
      <c r="C63"/>
      <c r="D63"/>
      <c r="E63"/>
      <c r="F63"/>
      <c r="G63"/>
      <c r="H63"/>
      <c r="I63"/>
    </row>
    <row r="64" ht="13" x14ac:dyDescent="0.15">
      <c r="C64"/>
      <c r="D64"/>
      <c r="E64"/>
      <c r="F64"/>
      <c r="G64"/>
      <c r="H64"/>
      <c r="I64"/>
    </row>
    <row r="65" ht="13" x14ac:dyDescent="0.15">
      <c r="C65"/>
      <c r="D65"/>
      <c r="E65"/>
      <c r="F65"/>
      <c r="G65"/>
      <c r="H65"/>
      <c r="I65"/>
    </row>
    <row r="66" ht="13" x14ac:dyDescent="0.15">
      <c r="C66"/>
      <c r="D66"/>
      <c r="E66"/>
      <c r="F66"/>
      <c r="G66"/>
      <c r="H66"/>
      <c r="I66"/>
    </row>
    <row r="67" ht="13" x14ac:dyDescent="0.15">
      <c r="C67"/>
      <c r="D67"/>
      <c r="E67"/>
      <c r="F67"/>
      <c r="G67"/>
      <c r="H67"/>
      <c r="I67"/>
    </row>
    <row r="68" ht="13" x14ac:dyDescent="0.15">
      <c r="C68"/>
      <c r="D68"/>
      <c r="E68"/>
      <c r="F68"/>
      <c r="G68"/>
      <c r="H68"/>
      <c r="I68"/>
    </row>
    <row r="69" ht="13" x14ac:dyDescent="0.15">
      <c r="C69"/>
      <c r="D69"/>
      <c r="E69"/>
      <c r="F69"/>
      <c r="G69"/>
      <c r="H69"/>
      <c r="I69"/>
    </row>
    <row r="70" ht="13" x14ac:dyDescent="0.15">
      <c r="C70"/>
      <c r="D70"/>
      <c r="E70"/>
      <c r="F70"/>
      <c r="G70"/>
      <c r="H70"/>
      <c r="I70"/>
    </row>
    <row r="71" ht="13" x14ac:dyDescent="0.15">
      <c r="C71"/>
      <c r="D71"/>
      <c r="E71"/>
      <c r="F71"/>
      <c r="G71"/>
      <c r="H71"/>
      <c r="I71"/>
    </row>
    <row r="72" ht="13" x14ac:dyDescent="0.15">
      <c r="C72"/>
      <c r="D72"/>
      <c r="E72"/>
      <c r="F72"/>
      <c r="G72"/>
      <c r="H72"/>
      <c r="I72"/>
    </row>
    <row r="73" ht="13" x14ac:dyDescent="0.15">
      <c r="C73"/>
      <c r="D73"/>
      <c r="E73"/>
      <c r="F73"/>
      <c r="G73"/>
      <c r="H73"/>
      <c r="I73"/>
    </row>
    <row r="74" ht="13" x14ac:dyDescent="0.15">
      <c r="C74"/>
      <c r="D74"/>
      <c r="E74"/>
      <c r="F74"/>
      <c r="G74"/>
      <c r="H74"/>
      <c r="I74"/>
    </row>
    <row r="75" ht="13" x14ac:dyDescent="0.15">
      <c r="C75"/>
      <c r="D75"/>
      <c r="E75"/>
      <c r="F75"/>
      <c r="G75"/>
      <c r="H75"/>
      <c r="I75"/>
    </row>
    <row r="76" ht="13" x14ac:dyDescent="0.15">
      <c r="C76"/>
      <c r="D76"/>
      <c r="E76"/>
      <c r="F76"/>
      <c r="G76"/>
      <c r="H76"/>
      <c r="I76"/>
    </row>
    <row r="77" ht="13" x14ac:dyDescent="0.15">
      <c r="C77"/>
      <c r="D77"/>
      <c r="E77"/>
      <c r="F77"/>
      <c r="G77"/>
      <c r="H77"/>
      <c r="I77"/>
    </row>
    <row r="78" ht="13" x14ac:dyDescent="0.15">
      <c r="C78"/>
      <c r="D78"/>
      <c r="E78"/>
      <c r="F78"/>
      <c r="G78"/>
      <c r="H78"/>
      <c r="I78"/>
    </row>
    <row r="79" ht="13" x14ac:dyDescent="0.15">
      <c r="C79"/>
      <c r="D79"/>
      <c r="E79"/>
      <c r="F79"/>
      <c r="G79"/>
      <c r="H79"/>
      <c r="I79"/>
    </row>
    <row r="80" ht="13" x14ac:dyDescent="0.15">
      <c r="C80"/>
      <c r="D80"/>
      <c r="E80"/>
      <c r="F80"/>
      <c r="G80"/>
      <c r="H80"/>
      <c r="I80"/>
    </row>
    <row r="81" customFormat="true" ht="13" x14ac:dyDescent="0.15"/>
    <row r="82" customFormat="true" ht="13" x14ac:dyDescent="0.15"/>
    <row r="83" customFormat="true" ht="13" x14ac:dyDescent="0.15"/>
    <row r="84" customFormat="true" ht="13" x14ac:dyDescent="0.15"/>
    <row r="85" customFormat="true" ht="13" x14ac:dyDescent="0.15"/>
    <row r="86" customFormat="true" ht="13" x14ac:dyDescent="0.15"/>
    <row r="87" customFormat="true" ht="13" x14ac:dyDescent="0.15"/>
    <row r="88" customFormat="true" ht="13" x14ac:dyDescent="0.15"/>
    <row r="89" customFormat="true" ht="13" x14ac:dyDescent="0.15"/>
    <row r="90" customFormat="true" ht="13" x14ac:dyDescent="0.15"/>
    <row r="91" customFormat="true" ht="13" x14ac:dyDescent="0.15"/>
    <row r="92" customFormat="true" ht="13" x14ac:dyDescent="0.15"/>
    <row r="93" customFormat="true" ht="13" x14ac:dyDescent="0.15"/>
    <row r="94" customFormat="true" ht="13" x14ac:dyDescent="0.15"/>
    <row r="95" customFormat="true" ht="13" x14ac:dyDescent="0.15"/>
    <row r="96" customFormat="true" ht="13" x14ac:dyDescent="0.15"/>
    <row r="97" customFormat="true" ht="13" x14ac:dyDescent="0.15"/>
    <row r="98" customFormat="true" ht="13" x14ac:dyDescent="0.15"/>
    <row r="99" customFormat="true" ht="13" x14ac:dyDescent="0.15"/>
    <row r="100" customFormat="true" ht="13" x14ac:dyDescent="0.15"/>
    <row r="101" customFormat="true" ht="13" x14ac:dyDescent="0.15"/>
    <row r="102" customFormat="true" ht="13" x14ac:dyDescent="0.15"/>
    <row r="103" customFormat="true" ht="13" x14ac:dyDescent="0.15"/>
    <row r="104" customFormat="true" ht="13" x14ac:dyDescent="0.15"/>
    <row r="105" customFormat="true" ht="13" x14ac:dyDescent="0.15"/>
    <row r="106" customFormat="true" ht="13" x14ac:dyDescent="0.15"/>
    <row r="107" customFormat="true" ht="13" x14ac:dyDescent="0.15"/>
    <row r="108" customFormat="true" ht="13" x14ac:dyDescent="0.15"/>
    <row r="109" customFormat="true" ht="13" x14ac:dyDescent="0.15"/>
    <row r="110" customFormat="true" ht="13" x14ac:dyDescent="0.15"/>
    <row r="111" customFormat="true" ht="13" x14ac:dyDescent="0.15"/>
    <row r="112" customFormat="true" ht="13" x14ac:dyDescent="0.15"/>
    <row r="113" customFormat="true" ht="13" x14ac:dyDescent="0.15"/>
    <row r="114" customFormat="true" ht="13" x14ac:dyDescent="0.15"/>
    <row r="115" customFormat="true" ht="13" x14ac:dyDescent="0.15"/>
    <row r="116" customFormat="true" ht="13" x14ac:dyDescent="0.15"/>
    <row r="117" customFormat="true" ht="13" x14ac:dyDescent="0.15"/>
    <row r="118" customFormat="true" ht="13" x14ac:dyDescent="0.15"/>
    <row r="119" customFormat="true" ht="13" x14ac:dyDescent="0.15"/>
    <row r="120" customFormat="true" ht="13" x14ac:dyDescent="0.15"/>
    <row r="121" customFormat="true" ht="13" x14ac:dyDescent="0.15"/>
    <row r="122" customFormat="true" ht="13" x14ac:dyDescent="0.15"/>
    <row r="123" customFormat="true" ht="13" x14ac:dyDescent="0.15"/>
    <row r="124" customFormat="true" ht="13" x14ac:dyDescent="0.15"/>
    <row r="125" customFormat="true" ht="13" x14ac:dyDescent="0.15"/>
    <row r="126" customFormat="true" ht="13" x14ac:dyDescent="0.15"/>
    <row r="127" customFormat="true" ht="13" x14ac:dyDescent="0.15"/>
    <row r="128" customFormat="true" ht="13" x14ac:dyDescent="0.15"/>
    <row r="129" customFormat="true" ht="13" x14ac:dyDescent="0.15"/>
    <row r="130" customFormat="true" ht="13" x14ac:dyDescent="0.15"/>
    <row r="131" customFormat="true" ht="13" x14ac:dyDescent="0.15"/>
    <row r="132" customFormat="true" ht="13" x14ac:dyDescent="0.15"/>
    <row r="133" customFormat="true" ht="13" x14ac:dyDescent="0.15"/>
    <row r="134" customFormat="true" ht="13" x14ac:dyDescent="0.15"/>
    <row r="135" customFormat="true" ht="13" x14ac:dyDescent="0.15"/>
    <row r="136" customFormat="true" ht="13" x14ac:dyDescent="0.15"/>
    <row r="137" customFormat="true" ht="13" x14ac:dyDescent="0.15"/>
    <row r="138" customFormat="true" ht="13" x14ac:dyDescent="0.15"/>
    <row r="139" customFormat="true" ht="13" x14ac:dyDescent="0.15"/>
    <row r="140" customFormat="true" ht="13" x14ac:dyDescent="0.15"/>
    <row r="141" customFormat="true" ht="13" x14ac:dyDescent="0.15"/>
    <row r="142" customFormat="true" ht="13" x14ac:dyDescent="0.15"/>
    <row r="143" customFormat="true" ht="13" x14ac:dyDescent="0.15"/>
    <row r="144" customFormat="true" ht="13" x14ac:dyDescent="0.15"/>
    <row r="145" ht="13" x14ac:dyDescent="0.15">
      <c r="C145"/>
      <c r="D145"/>
      <c r="E145"/>
      <c r="F145"/>
      <c r="G145"/>
      <c r="H145"/>
      <c r="I145"/>
    </row>
    <row r="146" ht="13" x14ac:dyDescent="0.15">
      <c r="C146"/>
      <c r="D146"/>
      <c r="E146"/>
      <c r="F146"/>
      <c r="G146"/>
      <c r="H146"/>
      <c r="I146"/>
    </row>
    <row r="147" ht="13" x14ac:dyDescent="0.15">
      <c r="C147"/>
      <c r="D147"/>
      <c r="E147"/>
      <c r="F147"/>
      <c r="G147"/>
      <c r="H147"/>
      <c r="I147"/>
    </row>
    <row r="148" ht="13" x14ac:dyDescent="0.15">
      <c r="C148"/>
      <c r="D148"/>
      <c r="E148"/>
      <c r="F148"/>
      <c r="G148"/>
      <c r="H148"/>
      <c r="I148"/>
    </row>
    <row r="149" ht="13" x14ac:dyDescent="0.15">
      <c r="C149"/>
      <c r="D149"/>
      <c r="E149"/>
      <c r="F149"/>
      <c r="G149"/>
      <c r="H149"/>
      <c r="I149"/>
    </row>
    <row r="150" ht="13" x14ac:dyDescent="0.15">
      <c r="C150"/>
      <c r="D150"/>
      <c r="E150"/>
      <c r="F150"/>
      <c r="G150"/>
      <c r="H150"/>
      <c r="I150"/>
    </row>
    <row r="151" ht="13" x14ac:dyDescent="0.15">
      <c r="C151"/>
      <c r="D151"/>
      <c r="E151"/>
      <c r="F151"/>
      <c r="G151"/>
      <c r="H151"/>
      <c r="I151"/>
    </row>
    <row r="152" ht="13" x14ac:dyDescent="0.15">
      <c r="C152"/>
      <c r="D152"/>
      <c r="E152"/>
      <c r="F152"/>
      <c r="G152"/>
      <c r="H152"/>
      <c r="I152"/>
    </row>
    <row r="153" ht="13" x14ac:dyDescent="0.15">
      <c r="C153"/>
      <c r="D153"/>
      <c r="E153"/>
      <c r="F153"/>
      <c r="G153"/>
      <c r="H153"/>
      <c r="I153"/>
    </row>
    <row r="154" ht="13" x14ac:dyDescent="0.15">
      <c r="C154"/>
      <c r="D154"/>
      <c r="E154"/>
      <c r="F154"/>
      <c r="G154"/>
      <c r="H154"/>
      <c r="I154"/>
    </row>
    <row r="155" ht="13" x14ac:dyDescent="0.15">
      <c r="C155"/>
      <c r="D155"/>
      <c r="E155"/>
      <c r="F155"/>
      <c r="G155"/>
      <c r="H155"/>
      <c r="I155"/>
    </row>
    <row r="156" ht="13" x14ac:dyDescent="0.15">
      <c r="C156"/>
      <c r="D156"/>
      <c r="E156"/>
      <c r="F156"/>
      <c r="G156"/>
      <c r="H156"/>
      <c r="I156"/>
    </row>
    <row r="157" ht="13" x14ac:dyDescent="0.15">
      <c r="C157"/>
      <c r="D157"/>
      <c r="E157"/>
      <c r="F157"/>
      <c r="G157"/>
      <c r="H157"/>
      <c r="I157"/>
    </row>
    <row r="158" ht="13" x14ac:dyDescent="0.15">
      <c r="C158"/>
      <c r="D158"/>
      <c r="E158"/>
      <c r="F158"/>
      <c r="G158"/>
      <c r="H158"/>
      <c r="I158"/>
    </row>
    <row r="159" ht="13" x14ac:dyDescent="0.15">
      <c r="C159"/>
      <c r="D159"/>
      <c r="E159"/>
      <c r="F159"/>
      <c r="G159"/>
      <c r="H159"/>
      <c r="I159"/>
    </row>
    <row r="160" ht="13" x14ac:dyDescent="0.15">
      <c r="C160"/>
      <c r="D160"/>
      <c r="E160"/>
      <c r="F160"/>
      <c r="G160"/>
      <c r="H160"/>
      <c r="I160"/>
    </row>
    <row r="161" ht="13" x14ac:dyDescent="0.15">
      <c r="C161"/>
      <c r="D161"/>
      <c r="E161"/>
      <c r="F161"/>
      <c r="G161"/>
      <c r="H161"/>
      <c r="I161"/>
    </row>
    <row r="162" ht="13" x14ac:dyDescent="0.15">
      <c r="C162"/>
      <c r="D162"/>
      <c r="E162"/>
      <c r="F162"/>
      <c r="G162"/>
      <c r="H162"/>
      <c r="I162"/>
    </row>
    <row r="163" ht="13" x14ac:dyDescent="0.15">
      <c r="C163"/>
      <c r="D163"/>
      <c r="E163"/>
      <c r="F163"/>
      <c r="G163"/>
      <c r="H163"/>
      <c r="I163"/>
    </row>
    <row r="164" ht="13" x14ac:dyDescent="0.15">
      <c r="C164"/>
      <c r="D164"/>
      <c r="E164"/>
      <c r="F164"/>
      <c r="G164"/>
      <c r="H164"/>
      <c r="I164"/>
    </row>
    <row r="165" ht="13" x14ac:dyDescent="0.15">
      <c r="C165"/>
      <c r="D165"/>
      <c r="E165"/>
      <c r="F165"/>
      <c r="G165"/>
      <c r="H165"/>
      <c r="I165"/>
    </row>
    <row r="166" ht="13" x14ac:dyDescent="0.15">
      <c r="C166"/>
      <c r="D166"/>
      <c r="E166"/>
      <c r="F166"/>
      <c r="G166"/>
      <c r="H166"/>
      <c r="I166"/>
    </row>
    <row r="167" ht="13" x14ac:dyDescent="0.15">
      <c r="C167"/>
      <c r="D167"/>
      <c r="E167"/>
      <c r="F167"/>
      <c r="G167"/>
      <c r="H167"/>
      <c r="I167"/>
    </row>
    <row r="168" ht="13" x14ac:dyDescent="0.15">
      <c r="C168"/>
      <c r="D168"/>
      <c r="E168"/>
      <c r="F168"/>
      <c r="G168"/>
      <c r="H168"/>
      <c r="I168"/>
    </row>
    <row r="169" ht="13" x14ac:dyDescent="0.15">
      <c r="C169"/>
      <c r="D169"/>
      <c r="E169"/>
      <c r="F169"/>
      <c r="G169"/>
      <c r="H169"/>
      <c r="I169"/>
    </row>
    <row r="170" ht="13" x14ac:dyDescent="0.15">
      <c r="C170"/>
      <c r="D170"/>
      <c r="E170"/>
      <c r="F170"/>
      <c r="G170"/>
      <c r="H170"/>
      <c r="I170"/>
    </row>
    <row r="171" ht="13" x14ac:dyDescent="0.15">
      <c r="C171"/>
      <c r="D171"/>
      <c r="E171"/>
      <c r="F171"/>
      <c r="G171"/>
      <c r="H171"/>
      <c r="I171"/>
    </row>
    <row r="172" x14ac:dyDescent="0.2">
      <c r="C172"/>
    </row>
    <row r="173" x14ac:dyDescent="0.2">
      <c r="C173"/>
    </row>
    <row r="174" x14ac:dyDescent="0.2">
      <c r="C174"/>
    </row>
    <row r="175" x14ac:dyDescent="0.2">
      <c r="C175"/>
    </row>
    <row r="176" x14ac:dyDescent="0.2">
      <c r="C176"/>
    </row>
    <row r="177" customFormat="true" x14ac:dyDescent="0.2">
      <c r="D177" s="54"/>
      <c r="E177" s="54"/>
      <c r="F177" s="54"/>
      <c r="G177" s="54"/>
      <c r="H177" s="54"/>
      <c r="I177" s="54"/>
    </row>
    <row r="178" customFormat="true" x14ac:dyDescent="0.2">
      <c r="D178" s="54"/>
      <c r="E178" s="54"/>
      <c r="F178" s="54"/>
      <c r="G178" s="54"/>
      <c r="H178" s="54"/>
      <c r="I178" s="54"/>
    </row>
    <row r="179" customFormat="true" x14ac:dyDescent="0.2">
      <c r="D179" s="54"/>
      <c r="E179" s="54"/>
      <c r="F179" s="54"/>
      <c r="G179" s="54"/>
      <c r="H179" s="54"/>
      <c r="I179" s="54"/>
    </row>
    <row r="180" customFormat="true" x14ac:dyDescent="0.2">
      <c r="D180" s="54"/>
      <c r="E180" s="54"/>
      <c r="F180" s="54"/>
      <c r="G180" s="54"/>
      <c r="H180" s="54"/>
      <c r="I180" s="54"/>
    </row>
    <row r="181" customFormat="true" x14ac:dyDescent="0.2">
      <c r="D181" s="54"/>
      <c r="E181" s="54"/>
      <c r="F181" s="54"/>
      <c r="G181" s="54"/>
      <c r="H181" s="54"/>
      <c r="I181" s="54"/>
    </row>
    <row r="182" customFormat="true" x14ac:dyDescent="0.2">
      <c r="D182" s="54"/>
      <c r="E182" s="54"/>
      <c r="F182" s="54"/>
      <c r="G182" s="54"/>
      <c r="H182" s="54"/>
      <c r="I182" s="54"/>
    </row>
    <row r="183" customFormat="true" x14ac:dyDescent="0.2">
      <c r="D183" s="54"/>
      <c r="E183" s="54"/>
      <c r="F183" s="54"/>
      <c r="G183" s="54"/>
      <c r="H183" s="54"/>
      <c r="I183" s="54"/>
    </row>
    <row r="184" customFormat="true" x14ac:dyDescent="0.2">
      <c r="D184" s="54"/>
      <c r="E184" s="54"/>
      <c r="F184" s="54"/>
      <c r="G184" s="54"/>
      <c r="H184" s="54"/>
      <c r="I184" s="54"/>
    </row>
    <row r="185" customFormat="true" x14ac:dyDescent="0.2">
      <c r="D185" s="54"/>
      <c r="E185" s="54"/>
      <c r="F185" s="54"/>
      <c r="G185" s="54"/>
      <c r="H185" s="54"/>
      <c r="I185" s="54"/>
    </row>
    <row r="186" customFormat="true" x14ac:dyDescent="0.2">
      <c r="D186" s="54"/>
      <c r="E186" s="54"/>
      <c r="F186" s="54"/>
      <c r="G186" s="54"/>
      <c r="H186" s="54"/>
      <c r="I186" s="54"/>
    </row>
    <row r="187" customFormat="true" x14ac:dyDescent="0.2">
      <c r="D187" s="54"/>
      <c r="E187" s="54"/>
      <c r="F187" s="54"/>
      <c r="G187" s="54"/>
      <c r="H187" s="54"/>
      <c r="I187" s="5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zoomScale="115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true" x14ac:dyDescent="0.2"/>
  <cols>
    <col min="1" max="1" width="26.1640625" style="78" bestFit="true" customWidth="true"/>
    <col min="2" max="5" width="16.1640625" style="51" customWidth="true"/>
    <col min="6" max="6" width="45.6640625" style="51" bestFit="true" customWidth="true"/>
    <col min="7" max="9" width="11.5" style="51"/>
    <col min="10" max="10" width="12.1640625" style="51" bestFit="true" customWidth="true"/>
    <col min="11" max="11" width="11.5" style="108"/>
    <col min="12" max="12" width="11.5" style="102"/>
    <col min="13" max="13" width="11.5" style="108"/>
    <col min="14" max="14" width="11.5" style="102"/>
    <col min="15" max="15" width="11.5" style="108"/>
    <col min="16" max="16" width="11.5" style="105"/>
    <col min="17" max="17" width="14.83203125" style="51" customWidth="true"/>
    <col min="18" max="18" width="22.1640625" style="75" customWidth="true"/>
    <col min="19" max="16384" width="11.5" style="51"/>
  </cols>
  <sheetData>
    <row r="1" ht="15" customHeight="true" thickBot="true" x14ac:dyDescent="0.25">
      <c r="F1" s="63"/>
      <c r="G1" s="76" t="s">
        <v>46</v>
      </c>
      <c r="H1" s="76" t="s">
        <v>47</v>
      </c>
      <c r="I1" s="76" t="s">
        <v>121</v>
      </c>
      <c r="J1" s="76" t="s">
        <v>133</v>
      </c>
      <c r="K1" s="106" t="s">
        <v>48</v>
      </c>
      <c r="L1" s="100"/>
      <c r="M1" s="106" t="s">
        <v>120</v>
      </c>
      <c r="N1" s="100"/>
      <c r="O1" s="106" t="s">
        <v>49</v>
      </c>
      <c r="P1" s="103"/>
      <c r="Q1" s="79" t="s">
        <v>50</v>
      </c>
      <c r="R1" s="76" t="s">
        <v>157</v>
      </c>
    </row>
    <row r="2" ht="15" customHeight="true" x14ac:dyDescent="0.2">
      <c r="A2" s="79" t="s">
        <v>51</v>
      </c>
      <c r="B2" s="80">
        <v>0.5</v>
      </c>
      <c r="C2" s="78" t="s">
        <v>52</v>
      </c>
      <c r="D2" s="81"/>
      <c r="F2" s="63"/>
      <c r="G2" s="82"/>
      <c r="H2" s="82"/>
      <c r="I2" s="82" t="s">
        <v>134</v>
      </c>
      <c r="J2" s="82" t="s">
        <v>134</v>
      </c>
      <c r="K2" s="107" t="s">
        <v>52</v>
      </c>
      <c r="L2" s="101" t="s">
        <v>53</v>
      </c>
      <c r="M2" s="107" t="s">
        <v>52</v>
      </c>
      <c r="N2" s="101" t="s">
        <v>53</v>
      </c>
      <c r="O2" s="107" t="s">
        <v>52</v>
      </c>
      <c r="P2" s="104" t="s">
        <v>53</v>
      </c>
      <c r="Q2" s="82"/>
      <c r="R2" s="83" t="s">
        <v>158</v>
      </c>
    </row>
    <row r="3" ht="15" customHeight="true" thickBot="true" x14ac:dyDescent="0.25">
      <c r="A3" s="79" t="s">
        <v>54</v>
      </c>
      <c r="B3" s="84">
        <v>0.5</v>
      </c>
      <c r="C3" s="78" t="s">
        <v>53</v>
      </c>
      <c r="D3" s="81"/>
      <c r="F3" s="126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9">
        <v>0</v>
      </c>
      <c r="R3" s="24">
        <v>0</v>
      </c>
      <c r="S3"/>
    </row>
    <row r="4" ht="15" customHeight="true" thickBot="true" x14ac:dyDescent="0.25">
      <c r="F4" s="126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9">
        <v>0</v>
      </c>
      <c r="R4" s="125">
        <v>0</v>
      </c>
      <c r="S4"/>
    </row>
    <row r="5" ht="15" customHeight="true" thickBot="true" x14ac:dyDescent="0.25">
      <c r="A5" s="79" t="s">
        <v>55</v>
      </c>
      <c r="B5" s="85">
        <v>0.5</v>
      </c>
      <c r="C5" s="78" t="s">
        <v>52</v>
      </c>
      <c r="D5" s="81"/>
      <c r="F5" s="126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9">
        <v>0</v>
      </c>
      <c r="R5" s="125">
        <v>0</v>
      </c>
      <c r="S5"/>
    </row>
    <row r="6" ht="15" customHeight="true" thickBot="true" x14ac:dyDescent="0.25">
      <c r="A6" s="79"/>
      <c r="B6" s="86">
        <v>0.5</v>
      </c>
      <c r="C6" s="78" t="s">
        <v>53</v>
      </c>
      <c r="D6" s="81"/>
      <c r="F6" s="126" t="s">
        <v>43</v>
      </c>
      <c r="G6">
        <v>0</v>
      </c>
      <c r="H6">
        <v>0</v>
      </c>
      <c r="I6">
        <v>0</v>
      </c>
      <c r="J6">
        <v>0</v>
      </c>
      <c r="K6" s="171">
        <v>1</v>
      </c>
      <c r="L6" s="17">
        <v>0</v>
      </c>
      <c r="M6">
        <v>1</v>
      </c>
      <c r="N6">
        <v>0</v>
      </c>
      <c r="O6">
        <v>0</v>
      </c>
      <c r="P6">
        <v>0</v>
      </c>
      <c r="Q6" s="149">
        <v>0</v>
      </c>
      <c r="R6" s="125">
        <v>0</v>
      </c>
      <c r="S6"/>
    </row>
    <row r="7" ht="15" customHeight="true" thickBot="true" x14ac:dyDescent="0.25">
      <c r="F7" s="126" t="s">
        <v>42</v>
      </c>
      <c r="G7">
        <v>0</v>
      </c>
      <c r="H7">
        <v>0</v>
      </c>
      <c r="I7">
        <v>0</v>
      </c>
      <c r="J7">
        <v>0</v>
      </c>
      <c r="K7" s="18">
        <v>1</v>
      </c>
      <c r="L7" s="19">
        <v>0</v>
      </c>
      <c r="M7">
        <v>1</v>
      </c>
      <c r="N7">
        <v>0</v>
      </c>
      <c r="O7">
        <v>0</v>
      </c>
      <c r="P7">
        <v>0</v>
      </c>
      <c r="Q7" s="149">
        <v>0</v>
      </c>
      <c r="R7" s="125">
        <v>0</v>
      </c>
      <c r="S7"/>
    </row>
    <row r="8" ht="15" customHeight="true" x14ac:dyDescent="0.2">
      <c r="A8" s="79" t="s">
        <v>56</v>
      </c>
      <c r="B8" s="85">
        <f>E32</f>
        <v>0.48574027262120084</v>
      </c>
      <c r="C8" s="74" t="str">
        <f>A32</f>
        <v>small phytoplankton</v>
      </c>
      <c r="D8" s="81" t="s">
        <v>164</v>
      </c>
      <c r="F8" s="126" t="s">
        <v>181</v>
      </c>
      <c r="G8">
        <v>0</v>
      </c>
      <c r="H8">
        <v>0</v>
      </c>
      <c r="I8">
        <v>0</v>
      </c>
      <c r="J8">
        <v>0</v>
      </c>
      <c r="K8" s="18">
        <v>1</v>
      </c>
      <c r="L8" s="19">
        <v>0</v>
      </c>
      <c r="M8">
        <v>1</v>
      </c>
      <c r="N8">
        <v>0</v>
      </c>
      <c r="O8">
        <v>1</v>
      </c>
      <c r="P8">
        <v>0</v>
      </c>
      <c r="Q8" s="149">
        <v>0</v>
      </c>
      <c r="R8" s="125">
        <v>0</v>
      </c>
      <c r="S8"/>
    </row>
    <row r="9" ht="15" customHeight="true" x14ac:dyDescent="0.2">
      <c r="A9" s="87" t="s">
        <v>172</v>
      </c>
      <c r="B9" s="88">
        <f>E33</f>
        <v>0.51425972737879921</v>
      </c>
      <c r="C9" s="74" t="str">
        <f t="shared" ref="C9" si="0">A33</f>
        <v>large phytoplankton</v>
      </c>
      <c r="D9" s="81" t="s">
        <v>164</v>
      </c>
      <c r="F9" s="126" t="s">
        <v>182</v>
      </c>
      <c r="G9">
        <v>0</v>
      </c>
      <c r="H9">
        <v>0</v>
      </c>
      <c r="I9">
        <v>0</v>
      </c>
      <c r="J9">
        <v>0</v>
      </c>
      <c r="K9" s="18">
        <v>1</v>
      </c>
      <c r="L9" s="19">
        <v>0</v>
      </c>
      <c r="M9">
        <v>1</v>
      </c>
      <c r="N9">
        <v>0</v>
      </c>
      <c r="O9">
        <v>0.5</v>
      </c>
      <c r="P9">
        <v>0.5</v>
      </c>
      <c r="Q9" s="149">
        <v>0</v>
      </c>
      <c r="R9" s="125">
        <v>0.25</v>
      </c>
      <c r="S9"/>
    </row>
    <row r="10" ht="15" customHeight="true" x14ac:dyDescent="0.2">
      <c r="B10" s="88"/>
      <c r="C10" s="74"/>
      <c r="D10" s="81" t="s">
        <v>164</v>
      </c>
      <c r="F10" s="126" t="s">
        <v>183</v>
      </c>
      <c r="G10">
        <v>0</v>
      </c>
      <c r="H10">
        <v>0</v>
      </c>
      <c r="I10">
        <v>0</v>
      </c>
      <c r="J10">
        <v>0</v>
      </c>
      <c r="K10" s="172">
        <v>1</v>
      </c>
      <c r="L10" s="173">
        <v>0</v>
      </c>
      <c r="M10">
        <v>1</v>
      </c>
      <c r="N10">
        <v>0</v>
      </c>
      <c r="O10">
        <v>0.5</v>
      </c>
      <c r="P10">
        <v>0.5</v>
      </c>
      <c r="Q10" s="149">
        <v>0</v>
      </c>
      <c r="R10" s="125">
        <v>0.25</v>
      </c>
      <c r="S10"/>
    </row>
    <row r="11" ht="15" customHeight="true" x14ac:dyDescent="0.2">
      <c r="A11" s="79"/>
      <c r="B11" s="88"/>
      <c r="C11" s="74"/>
      <c r="D11" s="81" t="s">
        <v>164</v>
      </c>
      <c r="F11" s="126" t="s">
        <v>184</v>
      </c>
      <c r="G11">
        <v>0</v>
      </c>
      <c r="H11">
        <v>0</v>
      </c>
      <c r="I11">
        <v>0</v>
      </c>
      <c r="J11">
        <v>0</v>
      </c>
      <c r="K11" s="18">
        <v>1</v>
      </c>
      <c r="L11" s="19">
        <v>0</v>
      </c>
      <c r="M11">
        <v>1</v>
      </c>
      <c r="N11">
        <v>0</v>
      </c>
      <c r="O11">
        <v>0.5</v>
      </c>
      <c r="P11">
        <v>0.5</v>
      </c>
      <c r="Q11" s="149">
        <v>0</v>
      </c>
      <c r="R11" s="125">
        <v>0</v>
      </c>
      <c r="S11"/>
    </row>
    <row r="12" ht="15" customHeight="true" x14ac:dyDescent="0.2">
      <c r="B12" s="88"/>
      <c r="C12" s="74"/>
      <c r="D12" s="81" t="s">
        <v>164</v>
      </c>
      <c r="F12" s="126" t="s">
        <v>185</v>
      </c>
      <c r="G12">
        <v>0</v>
      </c>
      <c r="H12">
        <v>0</v>
      </c>
      <c r="I12">
        <v>0</v>
      </c>
      <c r="J12">
        <v>0</v>
      </c>
      <c r="K12" s="18">
        <v>1</v>
      </c>
      <c r="L12" s="19">
        <v>0</v>
      </c>
      <c r="M12">
        <v>1</v>
      </c>
      <c r="N12">
        <v>0</v>
      </c>
      <c r="O12">
        <v>1</v>
      </c>
      <c r="P12">
        <v>0</v>
      </c>
      <c r="Q12" s="149">
        <v>0</v>
      </c>
      <c r="R12" s="125">
        <v>1</v>
      </c>
      <c r="S12"/>
    </row>
    <row r="13" ht="15" customHeight="true" x14ac:dyDescent="0.2">
      <c r="B13" s="88"/>
      <c r="C13" s="74"/>
      <c r="D13" s="81" t="s">
        <v>164</v>
      </c>
      <c r="F13" s="126" t="s">
        <v>186</v>
      </c>
      <c r="G13">
        <v>0</v>
      </c>
      <c r="H13">
        <v>0</v>
      </c>
      <c r="I13">
        <v>0</v>
      </c>
      <c r="J13">
        <v>0</v>
      </c>
      <c r="K13" s="18">
        <v>1</v>
      </c>
      <c r="L13" s="19">
        <v>0</v>
      </c>
      <c r="M13">
        <v>1</v>
      </c>
      <c r="N13">
        <v>0</v>
      </c>
      <c r="O13">
        <v>1</v>
      </c>
      <c r="P13">
        <v>0</v>
      </c>
      <c r="Q13" s="149">
        <v>0</v>
      </c>
      <c r="R13" s="125">
        <v>1</v>
      </c>
      <c r="S13"/>
    </row>
    <row r="14" ht="15" customHeight="true" x14ac:dyDescent="0.2">
      <c r="B14" s="88"/>
      <c r="C14" s="74"/>
      <c r="D14" s="81" t="s">
        <v>164</v>
      </c>
      <c r="F14" s="126" t="s">
        <v>187</v>
      </c>
      <c r="G14">
        <v>0</v>
      </c>
      <c r="H14">
        <v>0</v>
      </c>
      <c r="I14">
        <v>0</v>
      </c>
      <c r="J14">
        <v>0</v>
      </c>
      <c r="K14" s="18">
        <v>1</v>
      </c>
      <c r="L14" s="19">
        <v>0</v>
      </c>
      <c r="M14">
        <v>1</v>
      </c>
      <c r="N14">
        <v>0</v>
      </c>
      <c r="O14">
        <v>0</v>
      </c>
      <c r="P14">
        <v>1</v>
      </c>
      <c r="Q14" s="149">
        <v>0</v>
      </c>
      <c r="R14" s="125">
        <v>1</v>
      </c>
      <c r="S14"/>
    </row>
    <row r="15" ht="15" customHeight="true" x14ac:dyDescent="0.2">
      <c r="B15" s="88"/>
      <c r="C15" s="74"/>
      <c r="D15" s="81" t="s">
        <v>164</v>
      </c>
      <c r="F15" s="126" t="s">
        <v>188</v>
      </c>
      <c r="G15">
        <v>0</v>
      </c>
      <c r="H15">
        <v>0</v>
      </c>
      <c r="I15">
        <v>0</v>
      </c>
      <c r="J15">
        <v>0</v>
      </c>
      <c r="K15" s="18">
        <v>1</v>
      </c>
      <c r="L15" s="19">
        <v>0</v>
      </c>
      <c r="M15">
        <v>1</v>
      </c>
      <c r="N15">
        <v>0</v>
      </c>
      <c r="O15">
        <v>1</v>
      </c>
      <c r="P15">
        <v>0</v>
      </c>
      <c r="Q15" s="149">
        <v>0</v>
      </c>
      <c r="R15" s="125">
        <v>1</v>
      </c>
      <c r="S15"/>
    </row>
    <row r="16" ht="15" customHeight="true" x14ac:dyDescent="0.2">
      <c r="B16" s="88"/>
      <c r="C16" s="74"/>
      <c r="D16" s="81" t="s">
        <v>164</v>
      </c>
      <c r="F16" s="126" t="s">
        <v>189</v>
      </c>
      <c r="G16">
        <v>0</v>
      </c>
      <c r="H16">
        <v>0</v>
      </c>
      <c r="I16">
        <v>0</v>
      </c>
      <c r="J16">
        <v>0</v>
      </c>
      <c r="K16" s="18">
        <v>1</v>
      </c>
      <c r="L16" s="19">
        <v>0</v>
      </c>
      <c r="M16">
        <v>1</v>
      </c>
      <c r="N16">
        <v>0</v>
      </c>
      <c r="O16">
        <v>0</v>
      </c>
      <c r="P16">
        <v>1</v>
      </c>
      <c r="Q16" s="149">
        <v>0</v>
      </c>
      <c r="R16" s="125">
        <v>1</v>
      </c>
      <c r="S16"/>
    </row>
    <row r="17" ht="15" customHeight="true" thickBot="true" x14ac:dyDescent="0.25">
      <c r="B17" s="86"/>
      <c r="C17" s="74"/>
      <c r="D17" s="81" t="s">
        <v>164</v>
      </c>
      <c r="F17" s="126" t="s">
        <v>190</v>
      </c>
      <c r="G17">
        <v>0</v>
      </c>
      <c r="H17">
        <v>0</v>
      </c>
      <c r="I17">
        <v>0</v>
      </c>
      <c r="J17">
        <v>0</v>
      </c>
      <c r="K17" s="18">
        <v>1</v>
      </c>
      <c r="L17" s="19">
        <v>0</v>
      </c>
      <c r="M17">
        <v>1</v>
      </c>
      <c r="N17">
        <v>0</v>
      </c>
      <c r="O17">
        <v>0</v>
      </c>
      <c r="P17">
        <v>1</v>
      </c>
      <c r="Q17" s="149">
        <v>0</v>
      </c>
      <c r="R17" s="125">
        <v>1</v>
      </c>
      <c r="S17"/>
    </row>
    <row r="18" ht="15" customHeight="true" thickBot="true" x14ac:dyDescent="0.25">
      <c r="B18" s="77"/>
      <c r="F18" s="126" t="s">
        <v>191</v>
      </c>
      <c r="G18">
        <v>0</v>
      </c>
      <c r="H18">
        <v>0</v>
      </c>
      <c r="I18">
        <v>0</v>
      </c>
      <c r="J18">
        <v>0</v>
      </c>
      <c r="K18" s="18">
        <v>1</v>
      </c>
      <c r="L18" s="19">
        <v>0</v>
      </c>
      <c r="M18">
        <v>1</v>
      </c>
      <c r="N18">
        <v>0</v>
      </c>
      <c r="O18">
        <v>0</v>
      </c>
      <c r="P18">
        <v>1</v>
      </c>
      <c r="Q18" s="149">
        <v>0</v>
      </c>
      <c r="R18" s="125">
        <v>1</v>
      </c>
      <c r="S18"/>
    </row>
    <row r="19" ht="15" customHeight="true" x14ac:dyDescent="0.2">
      <c r="A19" s="79" t="s">
        <v>57</v>
      </c>
      <c r="B19" s="85">
        <f>E32</f>
        <v>0.48574027262120084</v>
      </c>
      <c r="C19" s="74" t="str">
        <f>A32</f>
        <v>small phytoplankton</v>
      </c>
      <c r="D19" s="81" t="s">
        <v>164</v>
      </c>
      <c r="F19" s="126" t="s">
        <v>192</v>
      </c>
      <c r="G19">
        <v>0</v>
      </c>
      <c r="H19">
        <v>0</v>
      </c>
      <c r="I19">
        <v>0</v>
      </c>
      <c r="J19">
        <v>0</v>
      </c>
      <c r="K19" s="18">
        <v>1</v>
      </c>
      <c r="L19" s="19">
        <v>0</v>
      </c>
      <c r="M19">
        <v>1</v>
      </c>
      <c r="N19">
        <v>0</v>
      </c>
      <c r="O19">
        <v>0</v>
      </c>
      <c r="P19">
        <v>1</v>
      </c>
      <c r="Q19" s="149">
        <v>0</v>
      </c>
      <c r="R19" s="125">
        <v>1</v>
      </c>
      <c r="S19"/>
    </row>
    <row r="20" ht="15" customHeight="true" x14ac:dyDescent="0.2">
      <c r="A20" s="87" t="s">
        <v>172</v>
      </c>
      <c r="B20" s="88">
        <f>E33</f>
        <v>0.51425972737879921</v>
      </c>
      <c r="C20" s="74" t="str">
        <f t="shared" ref="C20" si="1">A33</f>
        <v>large phytoplankton</v>
      </c>
      <c r="D20" s="81" t="s">
        <v>164</v>
      </c>
      <c r="F20" s="126" t="s">
        <v>193</v>
      </c>
      <c r="G20">
        <v>0</v>
      </c>
      <c r="H20">
        <v>0</v>
      </c>
      <c r="I20">
        <v>0</v>
      </c>
      <c r="J20">
        <v>0</v>
      </c>
      <c r="K20" s="18">
        <v>1</v>
      </c>
      <c r="L20" s="19">
        <v>0</v>
      </c>
      <c r="M20">
        <v>1</v>
      </c>
      <c r="N20">
        <v>0</v>
      </c>
      <c r="O20">
        <v>1</v>
      </c>
      <c r="P20">
        <v>0</v>
      </c>
      <c r="Q20" s="149">
        <v>0</v>
      </c>
      <c r="R20" s="125">
        <v>1</v>
      </c>
      <c r="S20"/>
    </row>
    <row r="21" ht="15" customHeight="true" x14ac:dyDescent="0.2">
      <c r="B21" s="88"/>
      <c r="C21" s="74"/>
      <c r="D21" s="81" t="s">
        <v>164</v>
      </c>
      <c r="F21" s="126" t="s">
        <v>194</v>
      </c>
      <c r="G21">
        <v>0</v>
      </c>
      <c r="H21">
        <v>0</v>
      </c>
      <c r="I21">
        <v>0</v>
      </c>
      <c r="J21">
        <v>0</v>
      </c>
      <c r="K21" s="18">
        <v>1</v>
      </c>
      <c r="L21" s="19">
        <v>0</v>
      </c>
      <c r="M21">
        <v>1</v>
      </c>
      <c r="N21">
        <v>0</v>
      </c>
      <c r="O21">
        <v>1</v>
      </c>
      <c r="P21">
        <v>0</v>
      </c>
      <c r="Q21" s="149">
        <v>0</v>
      </c>
      <c r="R21" s="125">
        <v>1</v>
      </c>
      <c r="S21"/>
    </row>
    <row r="22" ht="15" customHeight="true" thickBot="true" x14ac:dyDescent="0.25">
      <c r="A22" s="51"/>
      <c r="B22" s="88"/>
      <c r="C22" s="74"/>
      <c r="D22" s="81" t="s">
        <v>164</v>
      </c>
      <c r="F22" s="126" t="s">
        <v>195</v>
      </c>
      <c r="G22">
        <v>0</v>
      </c>
      <c r="H22">
        <v>0</v>
      </c>
      <c r="I22">
        <v>0</v>
      </c>
      <c r="J22">
        <v>0</v>
      </c>
      <c r="K22" s="18">
        <v>1</v>
      </c>
      <c r="L22" s="19">
        <v>0</v>
      </c>
      <c r="M22">
        <v>1</v>
      </c>
      <c r="N22">
        <v>0</v>
      </c>
      <c r="O22">
        <v>1</v>
      </c>
      <c r="P22">
        <v>0</v>
      </c>
      <c r="Q22" s="149">
        <v>0</v>
      </c>
      <c r="R22" s="125">
        <v>1</v>
      </c>
      <c r="S22"/>
    </row>
    <row r="23" ht="15" customHeight="true" thickBot="true" x14ac:dyDescent="0.25">
      <c r="A23" s="51"/>
      <c r="B23" s="88"/>
      <c r="C23" s="74"/>
      <c r="D23" s="81" t="s">
        <v>164</v>
      </c>
      <c r="F23" s="126" t="s">
        <v>72</v>
      </c>
      <c r="G23">
        <v>0</v>
      </c>
      <c r="H23">
        <v>0</v>
      </c>
      <c r="I23">
        <v>0</v>
      </c>
      <c r="J23">
        <v>0</v>
      </c>
      <c r="K23" s="18">
        <v>0</v>
      </c>
      <c r="L23" s="19">
        <v>1</v>
      </c>
      <c r="M23">
        <v>0</v>
      </c>
      <c r="N23">
        <v>1</v>
      </c>
      <c r="O23" s="174">
        <v>1</v>
      </c>
      <c r="P23" s="175">
        <v>0</v>
      </c>
      <c r="Q23" s="149">
        <v>0</v>
      </c>
      <c r="R23" s="125">
        <v>0</v>
      </c>
      <c r="S23"/>
    </row>
    <row r="24" ht="15" customHeight="true" thickBot="true" x14ac:dyDescent="0.25">
      <c r="A24" s="51"/>
      <c r="B24" s="88"/>
      <c r="C24" s="74"/>
      <c r="D24" s="81" t="s">
        <v>164</v>
      </c>
      <c r="F24" s="126" t="s">
        <v>73</v>
      </c>
      <c r="G24">
        <v>0</v>
      </c>
      <c r="H24">
        <v>0</v>
      </c>
      <c r="I24">
        <v>0</v>
      </c>
      <c r="J24">
        <v>0</v>
      </c>
      <c r="K24" s="18">
        <v>0</v>
      </c>
      <c r="L24" s="19">
        <v>1</v>
      </c>
      <c r="M24">
        <v>0</v>
      </c>
      <c r="N24">
        <v>1</v>
      </c>
      <c r="O24" s="174">
        <v>0</v>
      </c>
      <c r="P24" s="175">
        <v>1</v>
      </c>
      <c r="Q24" s="149">
        <v>0</v>
      </c>
      <c r="R24" s="125">
        <v>1</v>
      </c>
      <c r="S24"/>
    </row>
    <row r="25" ht="15" customHeight="true" thickBot="true" x14ac:dyDescent="0.25">
      <c r="A25" s="51"/>
      <c r="B25" s="88"/>
      <c r="C25" s="74"/>
      <c r="D25" s="81" t="s">
        <v>164</v>
      </c>
      <c r="F25" s="126" t="s">
        <v>197</v>
      </c>
      <c r="G25">
        <v>0</v>
      </c>
      <c r="H25">
        <v>0</v>
      </c>
      <c r="I25">
        <v>0</v>
      </c>
      <c r="J25">
        <v>0</v>
      </c>
      <c r="K25" s="176">
        <v>0</v>
      </c>
      <c r="L25" s="177">
        <v>1</v>
      </c>
      <c r="M25">
        <v>0</v>
      </c>
      <c r="N25">
        <v>1</v>
      </c>
      <c r="O25">
        <v>1</v>
      </c>
      <c r="P25">
        <v>0</v>
      </c>
      <c r="Q25" s="149">
        <v>0</v>
      </c>
      <c r="R25" s="125">
        <v>1</v>
      </c>
      <c r="S25"/>
    </row>
    <row r="26" ht="15" customHeight="true" x14ac:dyDescent="0.2">
      <c r="B26" s="88"/>
      <c r="C26" s="74"/>
      <c r="D26" s="81" t="s">
        <v>164</v>
      </c>
      <c r="F26" s="126"/>
      <c r="G26"/>
      <c r="H26"/>
      <c r="I26"/>
      <c r="J26"/>
      <c r="K26"/>
      <c r="L26"/>
      <c r="M26"/>
      <c r="N26"/>
      <c r="O26"/>
      <c r="P26"/>
      <c r="Q26"/>
      <c r="R26" s="124"/>
      <c r="S26"/>
    </row>
    <row r="27" ht="15" customHeight="true" x14ac:dyDescent="0.2">
      <c r="B27" s="88"/>
      <c r="C27" s="74"/>
      <c r="D27" s="81" t="s">
        <v>164</v>
      </c>
      <c r="F27" s="126"/>
      <c r="G27"/>
      <c r="H27"/>
      <c r="I27"/>
      <c r="J27"/>
      <c r="K27"/>
      <c r="L27"/>
      <c r="M27"/>
      <c r="N27"/>
      <c r="O27"/>
      <c r="P27"/>
      <c r="Q27"/>
      <c r="R27" s="124"/>
      <c r="S27"/>
    </row>
    <row r="28" ht="15" customHeight="true" thickBot="true" x14ac:dyDescent="0.25">
      <c r="B28" s="86"/>
      <c r="C28" s="74"/>
      <c r="D28" s="81" t="s">
        <v>164</v>
      </c>
      <c r="F28" s="126"/>
      <c r="G28"/>
      <c r="H28"/>
      <c r="I28"/>
      <c r="J28"/>
      <c r="K28"/>
      <c r="L28"/>
      <c r="M28"/>
      <c r="N28"/>
      <c r="O28"/>
      <c r="P28"/>
      <c r="Q28"/>
      <c r="R28" s="124"/>
      <c r="S28"/>
    </row>
    <row r="29" ht="15" customHeight="true" x14ac:dyDescent="0.2">
      <c r="F29" s="126"/>
      <c r="G29"/>
      <c r="H29"/>
      <c r="I29"/>
      <c r="J29"/>
      <c r="K29" s="45" t="s">
        <v>155</v>
      </c>
      <c r="L29"/>
      <c r="M29"/>
      <c r="N29"/>
      <c r="O29" s="45" t="s">
        <v>156</v>
      </c>
      <c r="P29"/>
      <c r="Q29"/>
      <c r="R29" s="124"/>
      <c r="S29"/>
    </row>
    <row r="30" ht="15" customHeight="true" x14ac:dyDescent="0.2">
      <c r="F30" s="126"/>
      <c r="G30"/>
      <c r="H30"/>
      <c r="I30"/>
      <c r="J30"/>
      <c r="K30"/>
      <c r="L30"/>
      <c r="M30"/>
      <c r="N30"/>
      <c r="O30"/>
      <c r="P30"/>
      <c r="Q30"/>
      <c r="R30" s="124"/>
      <c r="S30"/>
    </row>
    <row r="31" ht="15" customHeight="true" x14ac:dyDescent="0.2">
      <c r="A31" s="89"/>
      <c r="B31" s="90" t="s">
        <v>17</v>
      </c>
      <c r="C31" s="90" t="s">
        <v>1</v>
      </c>
      <c r="D31" s="90" t="s">
        <v>165</v>
      </c>
      <c r="E31" s="91" t="s">
        <v>167</v>
      </c>
      <c r="F31" s="126"/>
      <c r="G31"/>
      <c r="H31"/>
      <c r="I31"/>
      <c r="J31"/>
      <c r="K31"/>
      <c r="L31"/>
      <c r="M31"/>
      <c r="N31"/>
      <c r="O31"/>
      <c r="P31"/>
      <c r="Q31"/>
      <c r="R31" s="124"/>
      <c r="S31"/>
    </row>
    <row r="32" ht="15" customHeight="true" x14ac:dyDescent="0.2">
      <c r="A32" s="77" t="str">
        <f>MainOutputs!B2</f>
        <v>small phytoplankton</v>
      </c>
      <c r="B32" s="77">
        <f>MainOutputs!D2</f>
        <v>9.5979328155517578</v>
      </c>
      <c r="C32" s="77">
        <f>MainOutputs!E2</f>
        <v>123</v>
      </c>
      <c r="D32" s="77">
        <f>B32*C32</f>
        <v>1180.5457363128662</v>
      </c>
      <c r="E32" s="92">
        <f>D32/D$42</f>
        <v>0.48574027262120084</v>
      </c>
      <c r="F32" s="126"/>
      <c r="G32"/>
      <c r="H32"/>
      <c r="I32"/>
      <c r="J32"/>
      <c r="K32"/>
      <c r="L32"/>
      <c r="M32"/>
      <c r="N32"/>
      <c r="O32"/>
      <c r="P32"/>
      <c r="Q32"/>
      <c r="R32" s="124"/>
      <c r="S32"/>
    </row>
    <row r="33" ht="15" customHeight="true" x14ac:dyDescent="0.2">
      <c r="A33" s="77" t="str">
        <f>MainOutputs!B3</f>
        <v>large phytoplankton</v>
      </c>
      <c r="B33" s="77">
        <f>MainOutputs!D3</f>
        <v>10.161459922790527</v>
      </c>
      <c r="C33" s="77">
        <f>MainOutputs!E3</f>
        <v>123</v>
      </c>
      <c r="D33" s="77">
        <f t="shared" ref="D33" si="2">B33*C33</f>
        <v>1249.8595705032349</v>
      </c>
      <c r="E33" s="92">
        <f t="shared" ref="E33" si="3">D33/D$42</f>
        <v>0.51425972737879921</v>
      </c>
      <c r="F33" s="126"/>
      <c r="G33"/>
      <c r="H33"/>
      <c r="I33"/>
      <c r="J33"/>
      <c r="K33"/>
      <c r="L33"/>
      <c r="M33"/>
      <c r="N33"/>
      <c r="O33"/>
      <c r="P33"/>
      <c r="Q33"/>
      <c r="R33" s="124"/>
      <c r="S33"/>
    </row>
    <row r="34" ht="15" customHeight="true" x14ac:dyDescent="0.2">
      <c r="A34" s="58"/>
      <c r="B34" s="77"/>
      <c r="C34" s="77"/>
      <c r="D34" s="77"/>
      <c r="E34" s="92"/>
      <c r="F34" s="126"/>
      <c r="G34"/>
      <c r="H34"/>
      <c r="I34"/>
      <c r="J34"/>
      <c r="K34"/>
      <c r="L34"/>
      <c r="M34"/>
      <c r="N34"/>
      <c r="O34"/>
      <c r="P34"/>
      <c r="Q34"/>
      <c r="R34" s="124"/>
      <c r="S34"/>
    </row>
    <row r="35" ht="15" customHeight="true" x14ac:dyDescent="0.2">
      <c r="A35" s="58"/>
      <c r="B35" s="77"/>
      <c r="C35" s="77"/>
      <c r="D35" s="77"/>
      <c r="E35" s="92"/>
      <c r="F35" s="126"/>
      <c r="G35"/>
      <c r="H35"/>
      <c r="I35"/>
      <c r="J35"/>
      <c r="K35"/>
      <c r="L35"/>
      <c r="M35"/>
      <c r="N35"/>
      <c r="O35"/>
      <c r="P35"/>
      <c r="Q35"/>
      <c r="R35" s="124"/>
      <c r="S35"/>
    </row>
    <row r="36" ht="15" customHeight="true" x14ac:dyDescent="0.2">
      <c r="A36" s="93"/>
      <c r="B36" s="77"/>
      <c r="C36" s="77"/>
      <c r="D36" s="77"/>
      <c r="E36" s="92"/>
      <c r="F36" s="126"/>
      <c r="G36"/>
      <c r="H36"/>
      <c r="I36"/>
      <c r="J36"/>
      <c r="K36"/>
      <c r="L36"/>
      <c r="M36"/>
      <c r="N36"/>
      <c r="O36"/>
      <c r="P36"/>
      <c r="Q36"/>
      <c r="R36" s="124"/>
      <c r="S36"/>
    </row>
    <row r="37" ht="15" customHeight="true" x14ac:dyDescent="0.2">
      <c r="A37" s="93"/>
      <c r="B37" s="77"/>
      <c r="C37" s="77"/>
      <c r="D37" s="77"/>
      <c r="E37" s="92"/>
      <c r="F37" s="126"/>
      <c r="G37"/>
      <c r="H37"/>
      <c r="I37"/>
      <c r="J37"/>
      <c r="K37"/>
      <c r="L37"/>
      <c r="M37"/>
      <c r="N37"/>
      <c r="O37"/>
      <c r="P37"/>
      <c r="Q37"/>
      <c r="R37" s="124"/>
      <c r="S37"/>
    </row>
    <row r="38" ht="15" customHeight="true" x14ac:dyDescent="0.2">
      <c r="A38" s="94"/>
      <c r="B38" s="77"/>
      <c r="C38" s="77"/>
      <c r="D38" s="77"/>
      <c r="E38" s="92"/>
      <c r="F38" s="126"/>
      <c r="G38"/>
      <c r="H38"/>
      <c r="I38"/>
      <c r="J38"/>
      <c r="K38"/>
      <c r="L38"/>
      <c r="M38"/>
      <c r="N38"/>
      <c r="O38"/>
      <c r="P38"/>
      <c r="Q38"/>
      <c r="R38" s="124"/>
      <c r="S38"/>
    </row>
    <row r="39" ht="15" customHeight="true" x14ac:dyDescent="0.2">
      <c r="A39" s="94"/>
      <c r="B39" s="77"/>
      <c r="C39" s="77"/>
      <c r="D39" s="77"/>
      <c r="E39" s="92"/>
      <c r="F39" s="126"/>
      <c r="G39"/>
      <c r="H39"/>
      <c r="I39"/>
      <c r="J39"/>
      <c r="K39"/>
      <c r="L39"/>
      <c r="M39"/>
      <c r="N39"/>
      <c r="O39"/>
      <c r="P39"/>
      <c r="Q39"/>
      <c r="R39" s="124"/>
      <c r="S39"/>
    </row>
    <row r="40" ht="15" customHeight="true" x14ac:dyDescent="0.2">
      <c r="A40" s="94"/>
      <c r="B40" s="77"/>
      <c r="C40" s="77"/>
      <c r="D40" s="77"/>
      <c r="E40" s="92"/>
      <c r="F40" s="126"/>
      <c r="G40"/>
      <c r="H40"/>
      <c r="I40"/>
      <c r="J40"/>
      <c r="K40"/>
      <c r="L40"/>
      <c r="M40"/>
      <c r="N40"/>
      <c r="O40"/>
      <c r="P40"/>
      <c r="Q40"/>
      <c r="R40" s="124"/>
      <c r="S40"/>
    </row>
    <row r="41" ht="15" customHeight="true" thickBot="true" x14ac:dyDescent="0.25">
      <c r="A41" s="94"/>
      <c r="B41" s="77"/>
      <c r="C41" s="77"/>
      <c r="D41" s="95"/>
      <c r="E41" s="96"/>
      <c r="F41" s="126"/>
      <c r="G41"/>
      <c r="H41"/>
      <c r="I41"/>
      <c r="J41"/>
      <c r="K41"/>
      <c r="L41"/>
      <c r="M41"/>
      <c r="N41"/>
      <c r="O41"/>
      <c r="P41"/>
      <c r="Q41"/>
      <c r="R41" s="124"/>
      <c r="S41"/>
    </row>
    <row r="42" ht="15" customHeight="true" x14ac:dyDescent="0.2">
      <c r="A42" s="97"/>
      <c r="B42" s="98"/>
      <c r="C42" s="98" t="s">
        <v>166</v>
      </c>
      <c r="D42" s="98">
        <f>SUM(D32:D41)</f>
        <v>2430.4053068161011</v>
      </c>
      <c r="E42" s="99">
        <f>SUM(E32:E41)</f>
        <v>1</v>
      </c>
      <c r="F42" s="126"/>
      <c r="G42"/>
      <c r="H42"/>
      <c r="I42"/>
      <c r="J42"/>
      <c r="K42"/>
      <c r="L42"/>
      <c r="M42"/>
      <c r="N42"/>
      <c r="O42"/>
      <c r="P42"/>
      <c r="Q42"/>
      <c r="R42" s="124"/>
      <c r="S42"/>
    </row>
    <row r="43" ht="15" customHeight="true" x14ac:dyDescent="0.2">
      <c r="A43" s="51"/>
      <c r="F43" s="126"/>
      <c r="G43"/>
      <c r="H43"/>
      <c r="I43"/>
      <c r="J43"/>
      <c r="K43"/>
      <c r="L43"/>
      <c r="M43"/>
      <c r="N43"/>
      <c r="O43"/>
      <c r="P43"/>
      <c r="Q43"/>
      <c r="R43" s="124"/>
      <c r="S43"/>
    </row>
    <row r="44" ht="15" customHeight="true" x14ac:dyDescent="0.2">
      <c r="A44" s="51"/>
      <c r="F44" s="126"/>
      <c r="G44"/>
      <c r="H44"/>
      <c r="I44"/>
      <c r="J44"/>
      <c r="K44"/>
      <c r="L44"/>
      <c r="M44"/>
      <c r="N44"/>
      <c r="O44"/>
      <c r="P44"/>
      <c r="Q44"/>
      <c r="R44" s="124"/>
      <c r="S44"/>
    </row>
    <row r="45" ht="15" customHeight="true" x14ac:dyDescent="0.2">
      <c r="A45" s="51"/>
      <c r="F45" s="126"/>
      <c r="G45"/>
      <c r="H45"/>
      <c r="I45"/>
      <c r="J45"/>
      <c r="K45"/>
      <c r="L45"/>
      <c r="M45"/>
      <c r="N45"/>
      <c r="O45"/>
      <c r="P45"/>
      <c r="Q45"/>
      <c r="R45" s="124"/>
      <c r="S45"/>
    </row>
    <row r="46" ht="15" customHeight="true" x14ac:dyDescent="0.2">
      <c r="A46" s="51"/>
      <c r="F46" s="126"/>
      <c r="G46"/>
      <c r="H46"/>
      <c r="I46"/>
      <c r="J46"/>
      <c r="K46"/>
      <c r="L46"/>
      <c r="M46"/>
      <c r="N46"/>
      <c r="O46"/>
      <c r="P46"/>
      <c r="Q46"/>
      <c r="R46" s="124"/>
      <c r="S46"/>
    </row>
    <row r="47" ht="15" customHeight="true" x14ac:dyDescent="0.2">
      <c r="A47" s="51"/>
      <c r="F47" s="126"/>
      <c r="G47"/>
      <c r="H47"/>
      <c r="I47"/>
      <c r="J47"/>
      <c r="K47"/>
      <c r="L47"/>
      <c r="M47"/>
      <c r="N47"/>
      <c r="O47"/>
      <c r="P47"/>
      <c r="Q47"/>
      <c r="R47" s="124"/>
      <c r="S47"/>
    </row>
    <row r="48" ht="15" customHeight="true" x14ac:dyDescent="0.2">
      <c r="A48" s="51"/>
      <c r="F48" s="126"/>
      <c r="G48"/>
      <c r="H48"/>
      <c r="I48"/>
      <c r="J48"/>
      <c r="K48"/>
      <c r="L48"/>
      <c r="M48"/>
      <c r="N48"/>
      <c r="O48"/>
      <c r="P48"/>
      <c r="Q48"/>
      <c r="R48" s="124"/>
      <c r="S48"/>
    </row>
    <row r="49" ht="15" customHeight="true" x14ac:dyDescent="0.2">
      <c r="A49" s="51"/>
      <c r="E49"/>
      <c r="F49" s="126"/>
      <c r="G49"/>
      <c r="H49"/>
      <c r="I49"/>
      <c r="J49"/>
      <c r="K49"/>
      <c r="L49"/>
      <c r="M49"/>
      <c r="N49"/>
      <c r="O49"/>
      <c r="P49"/>
      <c r="Q49"/>
      <c r="R49" s="124"/>
      <c r="S49"/>
      <c r="T49"/>
      <c r="U49"/>
      <c r="V49"/>
      <c r="W49"/>
    </row>
    <row r="50" ht="15" customHeight="true" x14ac:dyDescent="0.2">
      <c r="A50" s="5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ht="15" customHeight="true" x14ac:dyDescent="0.2"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ht="15" customHeight="true" x14ac:dyDescent="0.2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ht="15" customHeight="true" x14ac:dyDescent="0.2">
      <c r="A53" s="5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ht="15" customHeight="true" x14ac:dyDescent="0.2">
      <c r="A54" s="5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ht="15" customHeight="true" x14ac:dyDescent="0.2">
      <c r="A55" s="5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ht="15" customHeight="true" x14ac:dyDescent="0.2">
      <c r="A56" s="5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ht="15" customHeight="true" x14ac:dyDescent="0.2">
      <c r="A57" s="5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ht="15" customHeight="true" x14ac:dyDescent="0.2">
      <c r="A58" s="5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ht="15" customHeight="true" x14ac:dyDescent="0.2">
      <c r="A59" s="5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ht="15" customHeight="true" x14ac:dyDescent="0.2">
      <c r="A60" s="5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ht="15" customHeight="true" x14ac:dyDescent="0.2">
      <c r="A61" s="5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ht="15" customHeight="true" x14ac:dyDescent="0.2">
      <c r="A62" s="51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ht="15" customHeight="true" x14ac:dyDescent="0.2">
      <c r="A63" s="51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ht="15" customHeight="true" x14ac:dyDescent="0.2">
      <c r="A64" s="51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ht="15" customHeight="true" x14ac:dyDescent="0.2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ht="15" customHeight="true" x14ac:dyDescent="0.2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ht="15" customHeight="true" x14ac:dyDescent="0.2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ht="15" customHeight="true" x14ac:dyDescent="0.2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ht="15" customHeight="true" x14ac:dyDescent="0.2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ht="15" customHeight="true" x14ac:dyDescent="0.2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ht="15" customHeight="true" x14ac:dyDescent="0.2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ht="15" customHeight="true" x14ac:dyDescent="0.2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ht="15" customHeight="true" x14ac:dyDescent="0.2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ht="15" customHeight="true" x14ac:dyDescent="0.2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ht="15" customHeight="true" x14ac:dyDescent="0.2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ht="15" customHeight="true" x14ac:dyDescent="0.2">
      <c r="A76" s="51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ht="15" customHeight="true" x14ac:dyDescent="0.2">
      <c r="A77" s="51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ht="15" customHeight="true" x14ac:dyDescent="0.2">
      <c r="A78" s="51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ht="15" customHeight="true" x14ac:dyDescent="0.2">
      <c r="A79" s="51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ht="15" customHeight="true" x14ac:dyDescent="0.2">
      <c r="A80" s="51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ht="15" customHeight="true" x14ac:dyDescent="0.2">
      <c r="A81" s="5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ht="15" customHeight="true" x14ac:dyDescent="0.2">
      <c r="A82" s="51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ht="15" customHeight="true" x14ac:dyDescent="0.2">
      <c r="A83" s="51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ht="15" customHeight="true" x14ac:dyDescent="0.2">
      <c r="A84" s="51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ht="15" customHeight="true" x14ac:dyDescent="0.2">
      <c r="A85" s="51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ht="15" customHeight="true" x14ac:dyDescent="0.2">
      <c r="A86" s="51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ht="15" customHeight="true" x14ac:dyDescent="0.2">
      <c r="A87" s="51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ht="15" customHeight="true" x14ac:dyDescent="0.2">
      <c r="A88" s="51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ht="15" customHeight="true" x14ac:dyDescent="0.2">
      <c r="A89" s="51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ht="15" customHeight="true" x14ac:dyDescent="0.2">
      <c r="A90" s="51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ht="15" customHeight="true" x14ac:dyDescent="0.2">
      <c r="A91" s="5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ht="15" customHeight="true" x14ac:dyDescent="0.2">
      <c r="A92" s="51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ht="15" customHeight="true" x14ac:dyDescent="0.2">
      <c r="A93" s="51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ht="15" customHeight="true" x14ac:dyDescent="0.2">
      <c r="A94" s="51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ht="15" customHeight="true" x14ac:dyDescent="0.2">
      <c r="A95" s="51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ht="15" customHeight="true" x14ac:dyDescent="0.2">
      <c r="A96" s="51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ht="15" customHeight="true" x14ac:dyDescent="0.2">
      <c r="A97" s="51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ht="15" customHeight="true" x14ac:dyDescent="0.2">
      <c r="A98" s="51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ht="15" customHeight="true" x14ac:dyDescent="0.2">
      <c r="A99" s="51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ht="15" customHeight="true" x14ac:dyDescent="0.2">
      <c r="A100" s="51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ht="15" customHeight="true" x14ac:dyDescent="0.2">
      <c r="A101" s="5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ht="15" customHeight="true" x14ac:dyDescent="0.2">
      <c r="A102" s="51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ht="15" customHeight="true" x14ac:dyDescent="0.2">
      <c r="A103" s="51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ht="15" customHeight="true" x14ac:dyDescent="0.2">
      <c r="A104" s="51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ht="15" customHeight="true" x14ac:dyDescent="0.2">
      <c r="A105" s="51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ht="15" customHeight="true" x14ac:dyDescent="0.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ht="15" customHeight="true" x14ac:dyDescent="0.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ht="15" customHeight="true" x14ac:dyDescent="0.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ht="15" customHeight="true" x14ac:dyDescent="0.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ht="15" customHeight="true" x14ac:dyDescent="0.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ht="15" customHeight="true" x14ac:dyDescent="0.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ht="15" customHeight="true" x14ac:dyDescent="0.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="51" customFormat="true" ht="15" customHeight="true" x14ac:dyDescent="0.2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="51" customFormat="true" ht="15" customHeight="true" x14ac:dyDescent="0.2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="51" customFormat="true" ht="15" customHeight="true" x14ac:dyDescent="0.2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="51" customFormat="true" ht="15" customHeight="true" x14ac:dyDescent="0.2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="51" customFormat="true" ht="15" customHeight="true" x14ac:dyDescent="0.2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="51" customFormat="true" ht="15" customHeight="true" x14ac:dyDescent="0.2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="51" customFormat="true" ht="15" customHeight="true" x14ac:dyDescent="0.2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="51" customFormat="true" ht="15" customHeight="true" x14ac:dyDescent="0.2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="51" customFormat="true" ht="15" customHeight="true" x14ac:dyDescent="0.2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="51" customFormat="true" ht="15" customHeight="true" x14ac:dyDescent="0.2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="51" customFormat="true" ht="15" customHeight="true" x14ac:dyDescent="0.2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="51" customFormat="true" ht="15" customHeight="true" x14ac:dyDescent="0.2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="51" customFormat="true" ht="15" customHeight="true" x14ac:dyDescent="0.2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="51" customFormat="true" ht="15" customHeight="true" x14ac:dyDescent="0.2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="51" customFormat="true" ht="15" customHeight="true" x14ac:dyDescent="0.2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="51" customFormat="true" ht="15" customHeight="true" x14ac:dyDescent="0.2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="51" customFormat="true" ht="15" customHeight="true" x14ac:dyDescent="0.2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="51" customFormat="true" ht="15" customHeight="true" x14ac:dyDescent="0.2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="51" customFormat="true" ht="15" customHeight="true" x14ac:dyDescent="0.2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="51" customFormat="true" ht="15" customHeight="true" x14ac:dyDescent="0.2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="51" customFormat="true" ht="15" customHeight="true" x14ac:dyDescent="0.2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="51" customFormat="true" ht="15" customHeight="true" x14ac:dyDescent="0.2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="51" customFormat="true" ht="15" customHeight="true" x14ac:dyDescent="0.2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="51" customFormat="true" ht="15" customHeight="true" x14ac:dyDescent="0.2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="51" customFormat="true" ht="15" customHeight="true" x14ac:dyDescent="0.2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="51" customFormat="true" ht="15" customHeight="true" x14ac:dyDescent="0.2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="51" customFormat="true" ht="15" customHeight="true" x14ac:dyDescent="0.2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="51" customFormat="true" ht="15" customHeight="true" x14ac:dyDescent="0.2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="51" customFormat="true" ht="15" customHeight="true" x14ac:dyDescent="0.2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="51" customFormat="true" ht="15" customHeight="true" x14ac:dyDescent="0.2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="51" customFormat="true" ht="15" customHeight="true" x14ac:dyDescent="0.2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="51" customFormat="true" ht="15" customHeight="true" x14ac:dyDescent="0.2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="51" customFormat="true" ht="15" customHeight="true" x14ac:dyDescent="0.2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="51" customFormat="true" ht="15" customHeight="true" x14ac:dyDescent="0.2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="51" customFormat="true" ht="15" customHeight="true" x14ac:dyDescent="0.2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="51" customFormat="true" ht="15" customHeight="true" x14ac:dyDescent="0.2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="51" customFormat="true" ht="15" customHeight="true" x14ac:dyDescent="0.2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="51" customFormat="true" ht="15" customHeight="true" x14ac:dyDescent="0.2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="51" customFormat="true" ht="15" customHeight="true" x14ac:dyDescent="0.2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="51" customFormat="true" ht="15" customHeight="true" x14ac:dyDescent="0.2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="51" customFormat="true" ht="15" customHeight="true" x14ac:dyDescent="0.2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="51" customFormat="true" ht="15" customHeight="true" x14ac:dyDescent="0.2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="51" customFormat="true" ht="15" customHeight="true" x14ac:dyDescent="0.2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="51" customFormat="true" ht="15" customHeight="true" x14ac:dyDescent="0.2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="51" customFormat="true" ht="15" customHeight="true" x14ac:dyDescent="0.2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="51" customFormat="true" ht="15" customHeight="true" x14ac:dyDescent="0.2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="51" customFormat="true" ht="15" customHeight="true" x14ac:dyDescent="0.2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="51" customFormat="true" ht="15" customHeight="true" x14ac:dyDescent="0.2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="51" customFormat="true" ht="15" customHeight="true" x14ac:dyDescent="0.2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="51" customFormat="true" ht="15" customHeight="true" x14ac:dyDescent="0.2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="51" customFormat="true" ht="15" customHeight="true" x14ac:dyDescent="0.2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="51" customFormat="true" ht="15" customHeight="true" x14ac:dyDescent="0.2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="51" customFormat="true" ht="15" customHeight="true" x14ac:dyDescent="0.2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="51" customFormat="true" ht="15" customHeight="true" x14ac:dyDescent="0.2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="51" customFormat="true" ht="15" customHeight="true" x14ac:dyDescent="0.2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="51" customFormat="true" ht="15" customHeight="true" x14ac:dyDescent="0.2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="51" customFormat="true" ht="15" customHeight="true" x14ac:dyDescent="0.2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="51" customFormat="true" ht="15" customHeight="true" x14ac:dyDescent="0.2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="51" customFormat="true" ht="15" customHeight="true" x14ac:dyDescent="0.2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="51" customFormat="true" ht="15" customHeight="true" x14ac:dyDescent="0.2">
      <c r="F172" s="126"/>
      <c r="G172"/>
      <c r="H172"/>
      <c r="I172"/>
      <c r="J172"/>
      <c r="K172"/>
      <c r="L172"/>
      <c r="M172"/>
      <c r="N172"/>
      <c r="O172"/>
      <c r="P172"/>
      <c r="Q172"/>
      <c r="R172" s="124"/>
      <c r="S172"/>
    </row>
    <row r="173" s="51" customFormat="true" ht="15" customHeight="true" x14ac:dyDescent="0.2">
      <c r="K173" s="108"/>
      <c r="L173" s="102"/>
      <c r="M173" s="108"/>
      <c r="N173" s="102"/>
      <c r="O173" s="108"/>
      <c r="P173" s="102"/>
    </row>
    <row r="174" s="51" customFormat="true" ht="15" customHeight="true" x14ac:dyDescent="0.2">
      <c r="K174" s="108"/>
      <c r="L174" s="102"/>
      <c r="M174" s="108"/>
      <c r="N174" s="102"/>
      <c r="O174" s="108"/>
      <c r="P174" s="102"/>
    </row>
    <row r="175" s="51" customFormat="true" ht="15" customHeight="true" x14ac:dyDescent="0.2">
      <c r="K175" s="108"/>
      <c r="L175" s="102"/>
      <c r="M175" s="108"/>
      <c r="N175" s="102"/>
      <c r="O175" s="108"/>
      <c r="P175" s="102"/>
    </row>
    <row r="176" s="51" customFormat="true" ht="15" customHeight="true" x14ac:dyDescent="0.2">
      <c r="K176" s="108"/>
      <c r="L176" s="102"/>
      <c r="M176" s="108"/>
      <c r="N176" s="102"/>
      <c r="O176" s="108"/>
      <c r="P176" s="102"/>
    </row>
    <row r="177" s="51" customFormat="true" ht="15" customHeight="true" x14ac:dyDescent="0.2">
      <c r="K177" s="108"/>
      <c r="L177" s="102"/>
      <c r="M177" s="108"/>
      <c r="N177" s="102"/>
      <c r="O177" s="108"/>
      <c r="P177" s="102"/>
    </row>
    <row r="178" s="51" customFormat="true" ht="15" customHeight="true" x14ac:dyDescent="0.2">
      <c r="K178" s="108"/>
      <c r="L178" s="102"/>
      <c r="M178" s="108"/>
      <c r="N178" s="102"/>
      <c r="O178" s="108"/>
      <c r="P178" s="102"/>
    </row>
    <row r="179" s="51" customFormat="true" ht="15" customHeight="true" x14ac:dyDescent="0.2">
      <c r="K179" s="108"/>
      <c r="L179" s="102"/>
      <c r="M179" s="108"/>
      <c r="N179" s="102"/>
      <c r="O179" s="108"/>
      <c r="P179" s="102"/>
    </row>
    <row r="180" s="51" customFormat="true" ht="15" customHeight="true" x14ac:dyDescent="0.2">
      <c r="K180" s="108"/>
      <c r="L180" s="102"/>
      <c r="M180" s="108"/>
      <c r="N180" s="102"/>
      <c r="O180" s="108"/>
      <c r="P180" s="102"/>
    </row>
    <row r="181" s="51" customFormat="true" ht="15" customHeight="true" x14ac:dyDescent="0.2">
      <c r="K181" s="108"/>
      <c r="L181" s="102"/>
      <c r="M181" s="108"/>
      <c r="N181" s="102"/>
      <c r="O181" s="108"/>
      <c r="P181" s="102"/>
    </row>
    <row r="182" s="51" customFormat="true" ht="15" customHeight="true" x14ac:dyDescent="0.2">
      <c r="K182" s="108"/>
      <c r="L182" s="102"/>
      <c r="M182" s="108"/>
      <c r="N182" s="102"/>
      <c r="O182" s="108"/>
      <c r="P182" s="102"/>
    </row>
    <row r="183" s="51" customFormat="true" ht="15" customHeight="true" x14ac:dyDescent="0.2">
      <c r="K183" s="108"/>
      <c r="L183" s="102"/>
      <c r="M183" s="108"/>
      <c r="N183" s="102"/>
      <c r="O183" s="108"/>
      <c r="P183" s="102"/>
    </row>
    <row r="184" s="51" customFormat="true" ht="15" customHeight="true" x14ac:dyDescent="0.2">
      <c r="K184" s="108"/>
      <c r="L184" s="102"/>
      <c r="M184" s="108"/>
      <c r="N184" s="102"/>
      <c r="O184" s="108"/>
      <c r="P184" s="102"/>
    </row>
    <row r="185" s="51" customFormat="true" ht="15" customHeight="true" x14ac:dyDescent="0.2">
      <c r="K185" s="108"/>
      <c r="L185" s="102"/>
      <c r="M185" s="108"/>
      <c r="N185" s="102"/>
      <c r="O185" s="108"/>
      <c r="P185" s="102"/>
    </row>
    <row r="186" s="51" customFormat="true" ht="15" customHeight="true" x14ac:dyDescent="0.2">
      <c r="K186" s="108"/>
      <c r="L186" s="102"/>
      <c r="M186" s="108"/>
      <c r="N186" s="102"/>
      <c r="O186" s="108"/>
      <c r="P186" s="102"/>
    </row>
    <row r="187" s="51" customFormat="true" ht="15" customHeight="true" x14ac:dyDescent="0.2">
      <c r="K187" s="108"/>
      <c r="L187" s="102"/>
      <c r="M187" s="108"/>
      <c r="N187" s="102"/>
      <c r="O187" s="108"/>
      <c r="P187" s="102"/>
    </row>
    <row r="188" s="51" customFormat="true" ht="15" customHeight="true" x14ac:dyDescent="0.2">
      <c r="K188" s="108"/>
      <c r="L188" s="102"/>
      <c r="M188" s="108"/>
      <c r="N188" s="102"/>
      <c r="O188" s="108"/>
      <c r="P188" s="10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F192"/>
  <sheetViews>
    <sheetView tabSelected="true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7" sqref="H7"/>
    </sheetView>
  </sheetViews>
  <sheetFormatPr baseColWidth="10" defaultColWidth="8.83203125" defaultRowHeight="13" x14ac:dyDescent="0.15"/>
  <cols>
    <col min="1" max="1" width="40" bestFit="true" customWidth="true"/>
    <col min="2" max="5" width="7.83203125" style="125" customWidth="true"/>
    <col min="6" max="32" width="8.83203125" style="3"/>
  </cols>
  <sheetData>
    <row r="1" x14ac:dyDescent="0.15">
      <c r="A1" s="2" t="s">
        <v>159</v>
      </c>
      <c r="B1" s="23" t="s">
        <v>160</v>
      </c>
      <c r="C1" s="23" t="s">
        <v>17</v>
      </c>
      <c r="D1" s="23" t="s">
        <v>161</v>
      </c>
      <c r="E1" s="23" t="s">
        <v>162</v>
      </c>
      <c r="F1" s="126" t="s">
        <v>38</v>
      </c>
      <c r="G1" s="126" t="s">
        <v>40</v>
      </c>
      <c r="H1" s="126" t="s">
        <v>41</v>
      </c>
      <c r="I1" s="126" t="s">
        <v>43</v>
      </c>
      <c r="J1" s="126" t="s">
        <v>42</v>
      </c>
      <c r="K1" s="126" t="s">
        <v>181</v>
      </c>
      <c r="L1" s="126" t="s">
        <v>182</v>
      </c>
      <c r="M1" s="126" t="s">
        <v>183</v>
      </c>
      <c r="N1" s="126" t="s">
        <v>184</v>
      </c>
      <c r="O1" s="126" t="s">
        <v>185</v>
      </c>
      <c r="P1" s="126" t="s">
        <v>186</v>
      </c>
      <c r="Q1" s="126" t="s">
        <v>187</v>
      </c>
      <c r="R1" s="126" t="s">
        <v>188</v>
      </c>
      <c r="S1" s="126" t="s">
        <v>189</v>
      </c>
      <c r="T1" s="126" t="s">
        <v>190</v>
      </c>
      <c r="U1" s="126" t="s">
        <v>191</v>
      </c>
      <c r="V1" s="126" t="s">
        <v>192</v>
      </c>
      <c r="W1" s="126" t="s">
        <v>193</v>
      </c>
      <c r="X1" s="126" t="s">
        <v>194</v>
      </c>
      <c r="Y1" s="126" t="s">
        <v>195</v>
      </c>
      <c r="Z1" s="126" t="s">
        <v>72</v>
      </c>
      <c r="AA1" s="126" t="s">
        <v>73</v>
      </c>
      <c r="AB1" s="126" t="s">
        <v>197</v>
      </c>
      <c r="AC1"/>
      <c r="AD1"/>
      <c r="AE1"/>
      <c r="AF1"/>
    </row>
    <row r="2" x14ac:dyDescent="0.15">
      <c r="A2" s="126" t="s">
        <v>38</v>
      </c>
      <c r="B2" s="12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</row>
    <row r="3" x14ac:dyDescent="0.15">
      <c r="A3" s="126" t="s">
        <v>40</v>
      </c>
      <c r="B3" s="12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</row>
    <row r="4" x14ac:dyDescent="0.15">
      <c r="A4" s="126" t="s">
        <v>41</v>
      </c>
      <c r="B4" s="12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x14ac:dyDescent="0.15">
      <c r="A5" s="126" t="s">
        <v>43</v>
      </c>
      <c r="B5" s="12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x14ac:dyDescent="0.15">
      <c r="A6" s="126" t="s">
        <v>42</v>
      </c>
      <c r="B6" s="12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x14ac:dyDescent="0.15">
      <c r="A7" s="126" t="s">
        <v>181</v>
      </c>
      <c r="B7" s="12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x14ac:dyDescent="0.15">
      <c r="A8" s="126" t="s">
        <v>182</v>
      </c>
      <c r="B8" s="12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</row>
    <row r="9" x14ac:dyDescent="0.15">
      <c r="A9" s="126" t="s">
        <v>183</v>
      </c>
      <c r="B9" s="12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x14ac:dyDescent="0.15">
      <c r="A10" s="126" t="s">
        <v>184</v>
      </c>
      <c r="B10" s="12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x14ac:dyDescent="0.15">
      <c r="A11" s="126" t="s">
        <v>185</v>
      </c>
      <c r="B11" s="12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x14ac:dyDescent="0.15">
      <c r="A12" s="126" t="s">
        <v>186</v>
      </c>
      <c r="B12" s="12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x14ac:dyDescent="0.15">
      <c r="A13" s="126" t="s">
        <v>187</v>
      </c>
      <c r="B13" s="12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x14ac:dyDescent="0.15">
      <c r="A14" s="126" t="s">
        <v>188</v>
      </c>
      <c r="B14" s="12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x14ac:dyDescent="0.15">
      <c r="A15" s="126" t="s">
        <v>189</v>
      </c>
      <c r="B15" s="12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x14ac:dyDescent="0.15">
      <c r="A16" s="126" t="s">
        <v>190</v>
      </c>
      <c r="B16" s="12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x14ac:dyDescent="0.15">
      <c r="A17" s="126" t="s">
        <v>191</v>
      </c>
      <c r="B17" s="12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x14ac:dyDescent="0.15">
      <c r="A18" s="126" t="s">
        <v>192</v>
      </c>
      <c r="B18" s="12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x14ac:dyDescent="0.15">
      <c r="A19" s="126" t="s">
        <v>193</v>
      </c>
      <c r="B19" s="12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x14ac:dyDescent="0.15">
      <c r="A20" s="126" t="s">
        <v>194</v>
      </c>
      <c r="B20" s="12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x14ac:dyDescent="0.15">
      <c r="A21" s="126" t="s">
        <v>195</v>
      </c>
      <c r="B21" s="12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x14ac:dyDescent="0.15">
      <c r="A22" s="126" t="s">
        <v>72</v>
      </c>
      <c r="B22" s="12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x14ac:dyDescent="0.15">
      <c r="A23" s="126" t="s">
        <v>73</v>
      </c>
      <c r="B23" s="12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x14ac:dyDescent="0.15">
      <c r="A24" s="126" t="s">
        <v>197</v>
      </c>
      <c r="B24" s="12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7" x14ac:dyDescent="0.15">
      <c r="B27" s="45" t="s">
        <v>163</v>
      </c>
    </row>
    <row r="154" ht="15" customHeight="true" x14ac:dyDescent="0.15"/>
    <row r="155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  <row r="188" ht="15" customHeight="true" x14ac:dyDescent="0.15"/>
    <row r="192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2022-10-23T00:37:50Z</dcterms:modified>
</cp:coreProperties>
</file>