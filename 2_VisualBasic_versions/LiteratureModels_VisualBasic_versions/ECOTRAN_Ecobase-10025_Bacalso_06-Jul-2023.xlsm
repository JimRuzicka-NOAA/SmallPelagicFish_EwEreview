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ManualEntries/ManualEntries_ECOTRAN_K-path_versions/"/>
    </mc:Choice>
  </mc:AlternateContent>
  <xr:revisionPtr revIDLastSave="0" documentId="13_ncr:1_{849B7601-ACF2-A54E-9244-0810FA3C0B19}" xr6:coauthVersionLast="45" xr6:coauthVersionMax="45" xr10:uidLastSave="{00000000-0000-0000-0000-000000000000}"/>
  <bookViews>
    <workbookView xWindow="0" yWindow="460" windowWidth="25600" windowHeight="14240" tabRatio="728" activeTab="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Main!$C$2:$N$59</definedName>
    <definedName name="matDetritus">Detritus!$C$2:$E$59</definedName>
    <definedName name="matDiet">Diets!$B$2:$AG$36</definedName>
    <definedName name="matDiscards">Discards!$C$2:$Z$35</definedName>
    <definedName name="matFishery">Fishing!$C$2:$Z$35</definedName>
    <definedName name="matFishing">Fishing!#REF!</definedName>
    <definedName name="matMort">Mortalities!$A$1:$BI$35</definedName>
    <definedName name="matOut">MainOutputs!$A$2:$I$59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0" i="86" l="1"/>
  <c r="B19" i="86"/>
  <c r="B9" i="86"/>
  <c r="B8" i="86"/>
  <c r="E33" i="86"/>
  <c r="E32" i="86"/>
  <c r="D33" i="86"/>
  <c r="D32" i="86"/>
  <c r="B33" i="86"/>
  <c r="C33" i="86"/>
  <c r="C32" i="86"/>
  <c r="B32" i="86"/>
  <c r="B40" i="78" l="1"/>
  <c r="F48" i="1"/>
  <c r="F59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9" i="1"/>
  <c r="F50" i="1"/>
  <c r="F51" i="1"/>
  <c r="F52" i="1"/>
  <c r="F53" i="1"/>
  <c r="F54" i="1"/>
  <c r="F55" i="1"/>
  <c r="F56" i="1"/>
  <c r="F57" i="1"/>
  <c r="F58" i="1"/>
  <c r="F2" i="1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2" i="2"/>
  <c r="C40" i="78"/>
  <c r="D40" i="78"/>
  <c r="E40" i="78"/>
  <c r="F40" i="78"/>
  <c r="G40" i="78"/>
  <c r="H40" i="78"/>
  <c r="I40" i="78"/>
  <c r="J40" i="78"/>
  <c r="K40" i="78"/>
  <c r="L40" i="78"/>
  <c r="M40" i="78"/>
  <c r="N40" i="78"/>
  <c r="O40" i="78"/>
  <c r="P40" i="78"/>
  <c r="Q40" i="78"/>
  <c r="R40" i="78"/>
  <c r="S40" i="78"/>
  <c r="T40" i="78"/>
  <c r="U40" i="78"/>
  <c r="V40" i="78"/>
  <c r="W40" i="78"/>
  <c r="X40" i="78"/>
  <c r="Y40" i="78"/>
  <c r="Z40" i="78"/>
  <c r="AA40" i="78"/>
  <c r="AB40" i="78"/>
  <c r="AC40" i="78"/>
  <c r="AD40" i="78"/>
  <c r="AE40" i="78"/>
  <c r="AF40" i="78"/>
  <c r="AG40" i="78"/>
  <c r="AH40" i="78"/>
  <c r="AI40" i="78"/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<sst xmlns="http://schemas.openxmlformats.org/spreadsheetml/2006/main" count="1348" uniqueCount="277">
  <si>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</si>
  <si>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</si>
  <si>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</si>
  <si>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</si>
  <si>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</si>
  <si>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</si>
  <si>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</si>
  <si>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</si>
  <si>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</si>
  <si>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</si>
  <si>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</si>
  <si>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</si>
  <si>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</si>
  <si>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</si>
  <si>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</si>
  <si>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</si>
  <si>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</si>
  <si>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</si>
  <si>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</si>
  <si>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</si>
  <si>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</si>
  <si>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</si>
  <si>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</si>
  <si>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</si>
  <si>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</si>
  <si>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</si>
  <si>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</si>
  <si>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</si>
  <si>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</si>
  <si>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</si>
  <si>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</si>
  <si>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</si>
  <si>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</si>
  <si>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</si>
  <si>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</si>
  <si>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</si>
  <si>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</si>
  <si>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</si>
  <si>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</si>
  <si>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</si>
  <si>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</si>
  <si>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</si>
  <si>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</si>
  <si>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</si>
  <si>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</si>
  <si>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</si>
  <si>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</si>
  <si>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</si>
  <si>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</si>
  <si>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</si>
  <si>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</si>
  <si>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</si>
  <si>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</si>
  <si>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</si>
  <si>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</si>
  <si>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</si>
  <si>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</si>
  <si>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</si>
  <si>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</si>
  <si>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</si>
  <si>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</si>
  <si>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</si>
  <si>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</si>
  <si>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</si>
  <si>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</si>
  <si>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</si>
  <si>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</si>
  <si>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</si>
  <si>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</si>
  <si>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</si>
  <si>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</si>
  <si>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</si>
  <si>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</si>
  <si>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</si>
  <si>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</si>
  <si>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</si>
  <si>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</si>
  <si>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</si>
  <si>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</si>
  <si>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</si>
  <si>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</si>
  <si>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</si>
  <si>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</si>
  <si>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</si>
  <si>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</si>
  <si>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</si>
  <si>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</si>
  <si>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</si>
  <si>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</si>
  <si>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</si>
  <si>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</si>
  <si>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</si>
  <si>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</si>
  <si>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</si>
  <si>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</si>
  <si>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</si>
  <si>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</si>
  <si>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</si>
  <si>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</si>
  <si>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</si>
  <si>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</si>
  <si>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</si>
  <si>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</si>
  <si>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</si>
  <si>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</si>
  <si>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</si>
  <si>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</si>
  <si>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</si>
  <si>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</si>
  <si>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</si>
  <si>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</si>
  <si>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</si>
  <si>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</si>
  <si>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</si>
  <si>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</si>
  <si>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</si>
  <si>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</si>
  <si>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</si>
  <si>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</si>
  <si>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</si>
  <si>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</si>
  <si>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</si>
  <si>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</si>
  <si>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</si>
  <si>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</si>
  <si>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</si>
  <si>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</si>
  <si>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</si>
  <si>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</si>
  <si>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</si>
  <si>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</si>
  <si>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</si>
  <si>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</si>
  <si>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</si>
  <si>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</si>
  <si>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</si>
  <si>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</si>
  <si>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</si>
  <si>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</si>
  <si>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</si>
  <si>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</si>
  <si>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</si>
  <si>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</si>
  <si>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</si>
  <si>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</si>
  <si>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</si>
  <si>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</si>
  <si>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</si>
  <si>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</si>
  <si>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</si>
  <si>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</si>
  <si>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</si>
  <si>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</si>
  <si>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</si>
  <si>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</si>
  <si>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</si>
  <si>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</si>
  <si>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</si>
  <si>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</si>
  <si>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</si>
  <si>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</si>
  <si>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</si>
  <si>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</si>
  <si>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</si>
  <si>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</si>
  <si>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</si>
  <si>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</si>
  <si>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</si>
  <si>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</si>
  <si>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</si>
  <si>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</si>
  <si>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</si>
  <si>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</si>
  <si>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</si>
  <si>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</si>
  <si>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</si>
  <si>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</si>
  <si>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</si>
  <si>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</si>
  <si>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</si>
  <si>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</si>
  <si>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</si>
  <si>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</si>
  <si>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</si>
  <si>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</si>
  <si>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Detritus</t>
  </si>
  <si>
    <t>export</t>
  </si>
  <si>
    <t>sum</t>
  </si>
  <si>
    <t>TOTAL</t>
  </si>
  <si>
    <t>Seabirds</t>
  </si>
  <si>
    <t>Rays</t>
  </si>
  <si>
    <t>Pel-pred fish i</t>
  </si>
  <si>
    <t>Pel-pred fish a</t>
  </si>
  <si>
    <t>Anchovies</t>
  </si>
  <si>
    <t>Sardines i</t>
  </si>
  <si>
    <t>Sardines a</t>
  </si>
  <si>
    <t>Mackerels i</t>
  </si>
  <si>
    <t>Mackerels a</t>
  </si>
  <si>
    <t>Scads i</t>
  </si>
  <si>
    <t>Scads a</t>
  </si>
  <si>
    <t>Dem fish (&gt;30 cm)</t>
  </si>
  <si>
    <t>Dem fish (&lt;30 cm)</t>
  </si>
  <si>
    <t>Rf-carniv.fish (&gt;30 cm)</t>
  </si>
  <si>
    <t>Rf-zoob-feed.fish (&lt;30 cm)</t>
  </si>
  <si>
    <t>Rf-herbiv.fish</t>
  </si>
  <si>
    <t>Rabbitfish</t>
  </si>
  <si>
    <t>Rf-planktiv.fish</t>
  </si>
  <si>
    <t>Jellyfish</t>
  </si>
  <si>
    <t>Octopus</t>
  </si>
  <si>
    <t>Squids</t>
  </si>
  <si>
    <t>Mar.crabs</t>
  </si>
  <si>
    <t>Shrimps</t>
  </si>
  <si>
    <t>Molluscs</t>
  </si>
  <si>
    <t>Oth.epibenthos</t>
  </si>
  <si>
    <t>Worms, infauna</t>
  </si>
  <si>
    <t>Sessile benthos</t>
  </si>
  <si>
    <t>Zoopl</t>
  </si>
  <si>
    <t>Phytopl</t>
  </si>
  <si>
    <t>Benth.prim.prod</t>
  </si>
  <si>
    <t>import</t>
  </si>
  <si>
    <t>sum--&gt;&gt;</t>
  </si>
  <si>
    <t>Sharks (juv-ya)</t>
  </si>
  <si>
    <t>Bacalso RTM, Romagnoni G and Wolff M (2023) Identifying drivers of change during the recent two decades in the Visayan Sea using a trophic modeling approach. Front. Mar. Sci. 10:1099400.</t>
  </si>
  <si>
    <t>doi: 10.3389/fmars.2023.1099400</t>
  </si>
  <si>
    <t>COM-DS</t>
  </si>
  <si>
    <t>COM-PS</t>
  </si>
  <si>
    <t>COM-RN</t>
  </si>
  <si>
    <t>COM-BagN</t>
  </si>
  <si>
    <t>COM-OT</t>
  </si>
  <si>
    <t>COM-MWT</t>
  </si>
  <si>
    <t>COM-MSN</t>
  </si>
  <si>
    <t>B-DS</t>
  </si>
  <si>
    <t>B-OT</t>
  </si>
  <si>
    <t>BeachS</t>
  </si>
  <si>
    <t>BSGNs</t>
  </si>
  <si>
    <t>Slift_BagN</t>
  </si>
  <si>
    <t>CrabN</t>
  </si>
  <si>
    <t>CrabLN</t>
  </si>
  <si>
    <t>CrabP</t>
  </si>
  <si>
    <t>DGNs</t>
  </si>
  <si>
    <t>DrGNs</t>
  </si>
  <si>
    <t>EGNs</t>
  </si>
  <si>
    <t>FCor</t>
  </si>
  <si>
    <t>FishP</t>
  </si>
  <si>
    <t>SquidP</t>
  </si>
  <si>
    <t>SHLs</t>
  </si>
  <si>
    <t>MHLs</t>
  </si>
  <si>
    <t>Trolls</t>
  </si>
  <si>
    <t>&lt;&lt;--(* have values that are &lt; 0.001).</t>
  </si>
  <si>
    <t>F COM-DS</t>
  </si>
  <si>
    <t>F COM-PS</t>
  </si>
  <si>
    <t>F COM-RN</t>
  </si>
  <si>
    <t>F COM-BagN</t>
  </si>
  <si>
    <t>F COM-OT</t>
  </si>
  <si>
    <t>F COM-MWT</t>
  </si>
  <si>
    <t>F COM-MSN</t>
  </si>
  <si>
    <t>F B-DS</t>
  </si>
  <si>
    <t>F B-OT</t>
  </si>
  <si>
    <t>F BeachS</t>
  </si>
  <si>
    <t>F Slift_BagN</t>
  </si>
  <si>
    <t>F BSGNs</t>
  </si>
  <si>
    <t>F CrabN</t>
  </si>
  <si>
    <t>F CrabLN</t>
  </si>
  <si>
    <t>F CrabP</t>
  </si>
  <si>
    <t>F DGNs</t>
  </si>
  <si>
    <t>F DrGNs</t>
  </si>
  <si>
    <t>F EGNs</t>
  </si>
  <si>
    <t>F FCor</t>
  </si>
  <si>
    <t>F FishP</t>
  </si>
  <si>
    <t>F SquidP</t>
  </si>
  <si>
    <t>F SHLs</t>
  </si>
  <si>
    <t>F MHLs</t>
  </si>
  <si>
    <t>F Trolls</t>
  </si>
  <si>
    <t>Jacks &amp; barracudas</t>
  </si>
  <si>
    <t>&lt;&lt;--had to recalculate biomass from given ee</t>
  </si>
  <si>
    <t>&lt;&lt;--unasim values rounded to 0.2 (except for seabirds which was higher); claculated from provided ratios in their Table 3</t>
  </si>
  <si>
    <t>Needed some minor re-balancing; had to re-estimate biomass from provided ee values (recalculated biomasses do not match those in their table 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</si>
</sst>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2"/>
      <color rgb="FF00000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rgb="FFFF0000"/>
      <name val="Arial"/>
      <family val="2"/>
    </font>
  </fonts>
  <fills count="16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FFAE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FF6C00"/>
        <bgColor indexed="64"/>
      </patternFill>
    </fill>
    <fill>
      <patternFill patternType="solid">
        <fgColor rgb="FFA4DE3E"/>
        <bgColor indexed="64"/>
      </patternFill>
    </fill>
    <fill>
      <patternFill patternType="solid">
        <fgColor rgb="FFE7C412"/>
        <bgColor indexed="64"/>
      </patternFill>
    </fill>
    <fill>
      <patternFill patternType="solid">
        <fgColor rgb="FF2EBC95"/>
        <bgColor indexed="64"/>
      </patternFill>
    </fill>
    <fill>
      <patternFill patternType="solid">
        <fgColor rgb="FFE80756"/>
        <bgColor indexed="64"/>
      </patternFill>
    </fill>
    <fill>
      <patternFill patternType="solid">
        <fgColor rgb="FF97B85A"/>
        <bgColor indexed="64"/>
      </patternFill>
    </fill>
    <fill>
      <patternFill patternType="solid">
        <fgColor rgb="FF55F6C6"/>
        <bgColor indexed="64"/>
      </patternFill>
    </fill>
    <fill>
      <patternFill patternType="solid">
        <fgColor rgb="FFE7C2A7"/>
        <bgColor indexed="64"/>
      </patternFill>
    </fill>
    <fill>
      <patternFill patternType="solid">
        <fgColor rgb="FF0A5AF4"/>
        <bgColor indexed="64"/>
      </patternFill>
    </fill>
    <fill>
      <patternFill patternType="solid">
        <fgColor rgb="FFB43332"/>
        <bgColor indexed="64"/>
      </patternFill>
    </fill>
    <fill>
      <patternFill patternType="solid">
        <fgColor rgb="FFB6D4EA"/>
        <bgColor indexed="64"/>
      </patternFill>
    </fill>
    <fill>
      <patternFill patternType="solid">
        <fgColor rgb="FF02A240"/>
        <bgColor indexed="64"/>
      </patternFill>
    </fill>
    <fill>
      <patternFill patternType="solid">
        <fgColor rgb="FF5BDBD0"/>
        <bgColor indexed="64"/>
      </patternFill>
    </fill>
    <fill>
      <patternFill patternType="solid">
        <fgColor rgb="FFC0F109"/>
        <bgColor indexed="64"/>
      </patternFill>
    </fill>
    <fill>
      <patternFill patternType="solid">
        <fgColor rgb="FFB50D62"/>
        <bgColor indexed="64"/>
      </patternFill>
    </fill>
    <fill>
      <patternFill patternType="solid">
        <fgColor rgb="FFFD4553"/>
        <bgColor indexed="64"/>
      </patternFill>
    </fill>
    <fill>
      <patternFill patternType="solid">
        <fgColor rgb="FFEC8B5B"/>
        <bgColor indexed="64"/>
      </patternFill>
    </fill>
    <fill>
      <patternFill patternType="solid">
        <fgColor rgb="FF14DE56"/>
        <bgColor indexed="64"/>
      </patternFill>
    </fill>
    <fill>
      <patternFill patternType="solid">
        <fgColor rgb="FF5B355A"/>
        <bgColor indexed="64"/>
      </patternFill>
    </fill>
    <fill>
      <patternFill patternType="solid">
        <fgColor rgb="FF881652"/>
        <bgColor indexed="64"/>
      </patternFill>
    </fill>
    <fill>
      <patternFill patternType="solid">
        <fgColor rgb="FF58C5ED"/>
        <bgColor indexed="64"/>
      </patternFill>
    </fill>
    <fill>
      <patternFill patternType="solid">
        <fgColor rgb="FF56EE63"/>
        <bgColor indexed="64"/>
      </patternFill>
    </fill>
    <fill>
      <patternFill patternType="solid">
        <fgColor rgb="FF3A48CF"/>
        <bgColor indexed="64"/>
      </patternFill>
    </fill>
    <fill>
      <patternFill patternType="solid">
        <fgColor rgb="FFD3EB68"/>
        <bgColor indexed="64"/>
      </patternFill>
    </fill>
    <fill>
      <patternFill patternType="solid">
        <fgColor rgb="FF136370"/>
        <bgColor indexed="64"/>
      </patternFill>
    </fill>
    <fill>
      <patternFill patternType="solid">
        <fgColor rgb="FF7B3628"/>
        <bgColor indexed="64"/>
      </patternFill>
    </fill>
    <fill>
      <patternFill patternType="solid">
        <fgColor rgb="FFD86362"/>
        <bgColor indexed="64"/>
      </patternFill>
    </fill>
    <fill>
      <patternFill patternType="solid">
        <fgColor rgb="FF3637F2"/>
        <bgColor indexed="64"/>
      </patternFill>
    </fill>
    <fill>
      <patternFill patternType="solid">
        <fgColor rgb="FFF0124A"/>
        <bgColor indexed="64"/>
      </patternFill>
    </fill>
    <fill>
      <patternFill patternType="solid">
        <fgColor rgb="FF012E69"/>
        <bgColor indexed="64"/>
      </patternFill>
    </fill>
    <fill>
      <patternFill patternType="solid">
        <fgColor rgb="FF5EBB5B"/>
        <bgColor indexed="64"/>
      </patternFill>
    </fill>
    <fill>
      <patternFill patternType="solid">
        <fgColor rgb="FF026D3F"/>
        <bgColor indexed="64"/>
      </patternFill>
    </fill>
    <fill>
      <patternFill patternType="solid">
        <fgColor rgb="FFF8F08B"/>
        <bgColor indexed="64"/>
      </patternFill>
    </fill>
    <fill>
      <patternFill patternType="solid">
        <fgColor rgb="FF67430D"/>
        <bgColor indexed="64"/>
      </patternFill>
    </fill>
    <fill>
      <patternFill patternType="solid">
        <fgColor rgb="FF80E1FB"/>
        <bgColor indexed="64"/>
      </patternFill>
    </fill>
    <fill>
      <patternFill patternType="solid">
        <fgColor rgb="FFA4B689"/>
        <bgColor indexed="64"/>
      </patternFill>
    </fill>
    <fill>
      <patternFill patternType="solid">
        <fgColor rgb="FF6A6F57"/>
        <bgColor indexed="64"/>
      </patternFill>
    </fill>
    <fill>
      <patternFill patternType="solid">
        <fgColor rgb="FFEFA2C0"/>
        <bgColor indexed="64"/>
      </patternFill>
    </fill>
    <fill>
      <patternFill patternType="solid">
        <fgColor rgb="FFAF3B07"/>
        <bgColor indexed="64"/>
      </patternFill>
    </fill>
    <fill>
      <patternFill patternType="solid">
        <fgColor rgb="FF04D732"/>
        <bgColor indexed="64"/>
      </patternFill>
    </fill>
    <fill>
      <patternFill patternType="solid">
        <fgColor rgb="FF0E6594"/>
        <bgColor indexed="64"/>
      </patternFill>
    </fill>
    <fill>
      <patternFill patternType="solid">
        <fgColor rgb="FF9844CD"/>
        <bgColor indexed="64"/>
      </patternFill>
    </fill>
    <fill>
      <patternFill patternType="solid">
        <fgColor rgb="FF7DB991"/>
        <bgColor indexed="64"/>
      </patternFill>
    </fill>
    <fill>
      <patternFill patternType="solid">
        <fgColor rgb="FF145C43"/>
        <bgColor indexed="64"/>
      </patternFill>
    </fill>
    <fill>
      <patternFill patternType="solid">
        <fgColor rgb="FFBE71D7"/>
        <bgColor indexed="64"/>
      </patternFill>
    </fill>
    <fill>
      <patternFill patternType="solid">
        <fgColor rgb="FF563535"/>
        <bgColor indexed="64"/>
      </patternFill>
    </fill>
    <fill>
      <patternFill patternType="solid">
        <fgColor rgb="FF50DE09"/>
        <bgColor indexed="64"/>
      </patternFill>
    </fill>
    <fill>
      <patternFill patternType="solid">
        <fgColor rgb="FFB90921"/>
        <bgColor indexed="64"/>
      </patternFill>
    </fill>
    <fill>
      <patternFill patternType="solid">
        <fgColor rgb="FF35958C"/>
        <bgColor indexed="64"/>
      </patternFill>
    </fill>
    <fill>
      <patternFill patternType="solid">
        <fgColor rgb="FF942914"/>
        <bgColor indexed="64"/>
      </patternFill>
    </fill>
    <fill>
      <patternFill patternType="solid">
        <fgColor rgb="FF4AF282"/>
        <bgColor indexed="64"/>
      </patternFill>
    </fill>
    <fill>
      <patternFill patternType="solid">
        <fgColor rgb="FFE38290"/>
        <bgColor indexed="64"/>
      </patternFill>
    </fill>
    <fill>
      <patternFill patternType="solid">
        <fgColor rgb="FF191164"/>
        <bgColor indexed="64"/>
      </patternFill>
    </fill>
    <fill>
      <patternFill patternType="solid">
        <fgColor rgb="FFEB4034"/>
        <bgColor indexed="64"/>
      </patternFill>
    </fill>
    <fill>
      <patternFill patternType="solid">
        <fgColor rgb="FF778448"/>
        <bgColor indexed="64"/>
      </patternFill>
    </fill>
    <fill>
      <patternFill patternType="solid">
        <fgColor rgb="FFE738ED"/>
        <bgColor indexed="64"/>
      </patternFill>
    </fill>
    <fill>
      <patternFill patternType="solid">
        <fgColor rgb="FF477D04"/>
        <bgColor indexed="64"/>
      </patternFill>
    </fill>
    <fill>
      <patternFill patternType="solid">
        <fgColor rgb="FF2418F0"/>
        <bgColor indexed="64"/>
      </patternFill>
    </fill>
    <fill>
      <patternFill patternType="solid">
        <fgColor rgb="FF371FA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92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1" borderId="2" xfId="0" applyFont="1" applyFill="1" applyBorder="1" applyAlignment="1">
      <alignment horizontal="center"/>
    </xf>
    <xf numFmtId="0" fontId="1" fillId="11" borderId="4" xfId="0" applyFont="1" applyFill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1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17" borderId="3" xfId="0" applyNumberFormat="1" applyFont="1" applyFill="1" applyBorder="1"/>
    <xf numFmtId="0" fontId="0" fillId="17" borderId="2" xfId="0" applyFont="1" applyFill="1" applyBorder="1"/>
    <xf numFmtId="0" fontId="0" fillId="17" borderId="3" xfId="0" applyFont="1" applyFill="1" applyBorder="1"/>
    <xf numFmtId="0" fontId="0" fillId="1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16" borderId="0" xfId="0" applyFont="1" applyFill="1" applyAlignment="1">
      <alignment horizontal="center"/>
    </xf>
    <xf numFmtId="0" fontId="12" fillId="14" borderId="0" xfId="0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1" borderId="2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18" borderId="0" xfId="0" applyFill="1"/>
    <xf numFmtId="49" fontId="0" fillId="0" borderId="27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4" xfId="0" applyNumberFormat="1" applyBorder="1"/>
    <xf numFmtId="49" fontId="13" fillId="0" borderId="35" xfId="0" applyNumberFormat="1" applyFont="1" applyBorder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14" fillId="0" borderId="35" xfId="0" applyFont="1" applyBorder="1" applyAlignment="1">
      <alignment horizontal="left" vertical="center"/>
    </xf>
    <xf numFmtId="0" fontId="14" fillId="0" borderId="35" xfId="0" applyFont="1" applyFill="1" applyBorder="1" applyAlignment="1">
      <alignment horizontal="left" vertical="center"/>
    </xf>
    <xf numFmtId="0" fontId="13" fillId="0" borderId="0" xfId="0" applyFont="1"/>
    <xf numFmtId="0" fontId="15" fillId="2" borderId="0" xfId="0" applyNumberFormat="1" applyFont="1" applyFill="1"/>
    <xf numFmtId="0" fontId="16" fillId="0" borderId="0" xfId="0" applyNumberFormat="1" applyFont="1"/>
    <xf numFmtId="0" fontId="16" fillId="0" borderId="0" xfId="0" applyFont="1"/>
    <xf numFmtId="49" fontId="13" fillId="0" borderId="27" xfId="0" applyNumberFormat="1" applyFont="1" applyBorder="1" applyAlignment="1">
      <alignment wrapText="1"/>
    </xf>
    <xf numFmtId="0" fontId="15" fillId="2" borderId="0" xfId="0" applyFont="1" applyFill="1" applyAlignment="1">
      <alignment wrapText="1"/>
    </xf>
    <xf numFmtId="0" fontId="15" fillId="0" borderId="0" xfId="0" applyFont="1" applyAlignment="1">
      <alignment wrapText="1"/>
    </xf>
    <xf numFmtId="0" fontId="16" fillId="0" borderId="0" xfId="0" applyFont="1" applyAlignment="1">
      <alignment wrapText="1"/>
    </xf>
    <xf numFmtId="49" fontId="16" fillId="0" borderId="35" xfId="0" applyNumberFormat="1" applyFont="1" applyFill="1" applyBorder="1" applyAlignment="1">
      <alignment horizontal="center"/>
    </xf>
    <xf numFmtId="49" fontId="16" fillId="0" borderId="29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14" fillId="0" borderId="35" xfId="0" applyFont="1" applyBorder="1" applyAlignment="1">
      <alignment vertical="center"/>
    </xf>
    <xf numFmtId="0" fontId="16" fillId="0" borderId="0" xfId="0" applyFont="1" applyAlignment="1"/>
    <xf numFmtId="0" fontId="16" fillId="0" borderId="35" xfId="0" applyFont="1" applyBorder="1" applyAlignment="1"/>
    <xf numFmtId="0" fontId="17" fillId="22" borderId="35" xfId="0" applyFont="1" applyFill="1" applyBorder="1" applyAlignment="1">
      <alignment vertical="center"/>
    </xf>
    <xf numFmtId="0" fontId="17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49" fontId="0" fillId="0" borderId="28" xfId="0" applyNumberFormat="1" applyBorder="1" applyAlignment="1">
      <alignment horizontal="center"/>
    </xf>
    <xf numFmtId="0" fontId="8" fillId="0" borderId="0" xfId="0" applyFont="1" applyAlignment="1">
      <alignment horizontal="right"/>
    </xf>
    <xf numFmtId="0" fontId="14" fillId="0" borderId="35" xfId="0" applyNumberFormat="1" applyFont="1" applyBorder="1" applyAlignment="1">
      <alignment vertical="center"/>
    </xf>
    <xf numFmtId="0" fontId="14" fillId="0" borderId="35" xfId="0" applyNumberFormat="1" applyFont="1" applyFill="1" applyBorder="1" applyAlignment="1">
      <alignment vertical="center"/>
    </xf>
    <xf numFmtId="0" fontId="0" fillId="22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8" fillId="0" borderId="0" xfId="0" applyFont="1" applyFill="1"/>
    <xf numFmtId="0" fontId="15" fillId="0" borderId="0" xfId="0" applyFont="1"/>
    <xf numFmtId="49" fontId="16" fillId="0" borderId="32" xfId="0" applyNumberFormat="1" applyFont="1" applyBorder="1"/>
    <xf numFmtId="49" fontId="16" fillId="0" borderId="33" xfId="0" applyNumberFormat="1" applyFont="1" applyBorder="1"/>
    <xf numFmtId="0" fontId="0" fillId="0" borderId="35" xfId="0" applyFont="1" applyFill="1" applyBorder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6"/>
  <sheetViews>
    <sheetView topLeftCell="A44" zoomScale="125" zoomScaleNormal="125" zoomScalePageLayoutView="125" workbookViewId="0">
      <selection activeCell="A68" sqref="A68"/>
    </sheetView>
  </sheetViews>
  <sheetFormatPr baseColWidth="10" defaultColWidth="8.83203125" defaultRowHeight="13" x14ac:dyDescent="0.15"/>
  <cols>
    <col min="2" max="2" width="16" customWidth="1"/>
    <col min="3" max="3" width="163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48" t="s">
        <v>164</v>
      </c>
    </row>
    <row r="6" spans="2:4" ht="14" thickBot="1" x14ac:dyDescent="0.2">
      <c r="B6" s="32" t="s">
        <v>141</v>
      </c>
    </row>
    <row r="7" spans="2:4" x14ac:dyDescent="0.15">
      <c r="B7" s="48" t="s">
        <v>143</v>
      </c>
    </row>
    <row r="8" spans="2:4" x14ac:dyDescent="0.15">
      <c r="B8" s="48" t="s">
        <v>142</v>
      </c>
    </row>
    <row r="9" spans="2:4" x14ac:dyDescent="0.15">
      <c r="B9" s="48" t="s">
        <v>144</v>
      </c>
    </row>
    <row r="10" spans="2:4" x14ac:dyDescent="0.15">
      <c r="B10" s="48" t="s">
        <v>147</v>
      </c>
    </row>
    <row r="11" spans="2:4" x14ac:dyDescent="0.15">
      <c r="B11" s="48" t="s">
        <v>151</v>
      </c>
    </row>
    <row r="12" spans="2:4" x14ac:dyDescent="0.15">
      <c r="B12" s="48" t="s">
        <v>153</v>
      </c>
    </row>
    <row r="13" spans="2:4" x14ac:dyDescent="0.15">
      <c r="B13" s="48" t="s">
        <v>165</v>
      </c>
    </row>
    <row r="15" spans="2:4" ht="14" thickBot="1" x14ac:dyDescent="0.2"/>
    <row r="16" spans="2:4" ht="14" thickBot="1" x14ac:dyDescent="0.2">
      <c r="B16" s="33" t="s">
        <v>137</v>
      </c>
      <c r="C16" s="34"/>
      <c r="D16" s="16">
        <v>41373</v>
      </c>
    </row>
    <row r="17" spans="2:4" x14ac:dyDescent="0.15">
      <c r="B17" s="35" t="s">
        <v>58</v>
      </c>
      <c r="C17" s="19">
        <v>0</v>
      </c>
    </row>
    <row r="18" spans="2:4" x14ac:dyDescent="0.15">
      <c r="B18" s="35" t="s">
        <v>59</v>
      </c>
      <c r="C18" s="19">
        <v>1</v>
      </c>
    </row>
    <row r="19" spans="2:4" x14ac:dyDescent="0.15">
      <c r="B19" s="35" t="s">
        <v>60</v>
      </c>
      <c r="C19" s="19">
        <v>2</v>
      </c>
    </row>
    <row r="20" spans="2:4" ht="14" thickBot="1" x14ac:dyDescent="0.2">
      <c r="B20" s="36" t="s">
        <v>44</v>
      </c>
      <c r="C20" s="20">
        <v>3</v>
      </c>
    </row>
    <row r="21" spans="2:4" x14ac:dyDescent="0.15">
      <c r="B21" s="37" t="s">
        <v>140</v>
      </c>
    </row>
    <row r="22" spans="2:4" ht="14" thickBot="1" x14ac:dyDescent="0.2"/>
    <row r="23" spans="2:4" ht="14" thickBot="1" x14ac:dyDescent="0.2">
      <c r="B23" s="33" t="s">
        <v>65</v>
      </c>
      <c r="C23" s="34"/>
      <c r="D23" s="16" t="s">
        <v>148</v>
      </c>
    </row>
    <row r="24" spans="2:4" x14ac:dyDescent="0.15">
      <c r="B24" s="39" t="s">
        <v>38</v>
      </c>
      <c r="C24" s="17">
        <v>1</v>
      </c>
    </row>
    <row r="25" spans="2:4" x14ac:dyDescent="0.15">
      <c r="B25" s="35" t="s">
        <v>40</v>
      </c>
      <c r="C25" s="19">
        <v>1.1000000000000001</v>
      </c>
    </row>
    <row r="26" spans="2:4" x14ac:dyDescent="0.15">
      <c r="B26" s="35" t="s">
        <v>41</v>
      </c>
      <c r="C26" s="19">
        <v>1.2</v>
      </c>
    </row>
    <row r="27" spans="2:4" x14ac:dyDescent="0.15">
      <c r="B27" s="35"/>
      <c r="C27" s="19"/>
    </row>
    <row r="28" spans="2:4" x14ac:dyDescent="0.15">
      <c r="B28" s="35" t="s">
        <v>42</v>
      </c>
      <c r="C28" s="19">
        <v>2.1</v>
      </c>
    </row>
    <row r="29" spans="2:4" x14ac:dyDescent="0.15">
      <c r="B29" s="35" t="s">
        <v>43</v>
      </c>
      <c r="C29" s="19">
        <v>2.2000000000000002</v>
      </c>
    </row>
    <row r="30" spans="2:4" x14ac:dyDescent="0.15">
      <c r="B30" s="35" t="s">
        <v>67</v>
      </c>
      <c r="C30" s="19">
        <v>2.2999999999999998</v>
      </c>
    </row>
    <row r="31" spans="2:4" x14ac:dyDescent="0.15">
      <c r="B31" s="35"/>
      <c r="C31" s="19"/>
    </row>
    <row r="32" spans="2:4" x14ac:dyDescent="0.15">
      <c r="B32" s="35" t="s">
        <v>62</v>
      </c>
      <c r="C32" s="19">
        <v>3.11</v>
      </c>
    </row>
    <row r="33" spans="2:3" x14ac:dyDescent="0.15">
      <c r="B33" s="35" t="s">
        <v>61</v>
      </c>
      <c r="C33" s="19">
        <v>3.12</v>
      </c>
    </row>
    <row r="34" spans="2:3" x14ac:dyDescent="0.15">
      <c r="B34" s="35" t="s">
        <v>68</v>
      </c>
      <c r="C34" s="19">
        <v>3.13</v>
      </c>
    </row>
    <row r="35" spans="2:3" x14ac:dyDescent="0.15">
      <c r="B35" s="35"/>
      <c r="C35" s="19"/>
    </row>
    <row r="36" spans="2:3" x14ac:dyDescent="0.15">
      <c r="B36" s="35" t="s">
        <v>66</v>
      </c>
      <c r="C36" s="19">
        <v>3.21</v>
      </c>
    </row>
    <row r="37" spans="2:3" x14ac:dyDescent="0.15">
      <c r="B37" s="35" t="s">
        <v>63</v>
      </c>
      <c r="C37" s="19">
        <v>3.22</v>
      </c>
    </row>
    <row r="38" spans="2:3" x14ac:dyDescent="0.15">
      <c r="B38" s="35" t="s">
        <v>69</v>
      </c>
      <c r="C38" s="19">
        <v>3.23</v>
      </c>
    </row>
    <row r="39" spans="2:3" x14ac:dyDescent="0.15">
      <c r="B39" s="35"/>
      <c r="C39" s="19"/>
    </row>
    <row r="40" spans="2:3" x14ac:dyDescent="0.15">
      <c r="B40" s="35" t="s">
        <v>64</v>
      </c>
      <c r="C40" s="19">
        <v>8</v>
      </c>
    </row>
    <row r="41" spans="2:3" x14ac:dyDescent="0.15">
      <c r="B41" s="35"/>
      <c r="C41" s="19"/>
    </row>
    <row r="42" spans="2:3" x14ac:dyDescent="0.15">
      <c r="B42" s="35" t="s">
        <v>71</v>
      </c>
      <c r="C42" s="19">
        <v>4.0999999999999996</v>
      </c>
    </row>
    <row r="43" spans="2:3" x14ac:dyDescent="0.15">
      <c r="B43" s="35" t="s">
        <v>70</v>
      </c>
      <c r="C43" s="19">
        <v>4.2</v>
      </c>
    </row>
    <row r="44" spans="2:3" x14ac:dyDescent="0.15">
      <c r="B44" s="35" t="s">
        <v>72</v>
      </c>
      <c r="C44" s="19">
        <v>4.3</v>
      </c>
    </row>
    <row r="45" spans="2:3" x14ac:dyDescent="0.15">
      <c r="B45" s="18"/>
      <c r="C45" s="19"/>
    </row>
    <row r="46" spans="2:3" x14ac:dyDescent="0.15">
      <c r="B46" s="35" t="s">
        <v>138</v>
      </c>
      <c r="C46" s="19">
        <v>6.1</v>
      </c>
    </row>
    <row r="47" spans="2:3" x14ac:dyDescent="0.15">
      <c r="B47" s="35" t="s">
        <v>45</v>
      </c>
      <c r="C47" s="19">
        <v>6.2</v>
      </c>
    </row>
    <row r="48" spans="2:3" x14ac:dyDescent="0.15">
      <c r="B48" s="35"/>
      <c r="C48" s="19"/>
    </row>
    <row r="49" spans="2:3" x14ac:dyDescent="0.15">
      <c r="B49" s="35" t="s">
        <v>44</v>
      </c>
      <c r="C49" s="19">
        <v>5</v>
      </c>
    </row>
    <row r="50" spans="2:3" x14ac:dyDescent="0.15">
      <c r="B50" s="35"/>
      <c r="C50" s="19"/>
    </row>
    <row r="51" spans="2:3" ht="14" thickBot="1" x14ac:dyDescent="0.2">
      <c r="B51" s="36" t="s">
        <v>73</v>
      </c>
      <c r="C51" s="20">
        <v>7</v>
      </c>
    </row>
    <row r="53" spans="2:3" x14ac:dyDescent="0.15">
      <c r="B53" s="112" t="s">
        <v>171</v>
      </c>
    </row>
    <row r="54" spans="2:3" x14ac:dyDescent="0.15">
      <c r="B54" s="112" t="s">
        <v>172</v>
      </c>
    </row>
    <row r="55" spans="2:3" x14ac:dyDescent="0.15">
      <c r="B55" s="112" t="s">
        <v>173</v>
      </c>
    </row>
    <row r="56" spans="2:3" x14ac:dyDescent="0.15">
      <c r="B56" s="112" t="s">
        <v>174</v>
      </c>
    </row>
    <row r="57" spans="2:3" x14ac:dyDescent="0.15">
      <c r="B57" s="112" t="s">
        <v>175</v>
      </c>
    </row>
    <row r="58" spans="2:3" x14ac:dyDescent="0.15">
      <c r="B58" s="112" t="s">
        <v>176</v>
      </c>
    </row>
    <row r="59" spans="2:3" x14ac:dyDescent="0.15">
      <c r="B59" s="112" t="s">
        <v>177</v>
      </c>
    </row>
    <row r="60" spans="2:3" x14ac:dyDescent="0.15">
      <c r="B60" s="112" t="s">
        <v>178</v>
      </c>
    </row>
    <row r="61" spans="2:3" x14ac:dyDescent="0.15">
      <c r="B61" s="112" t="s">
        <v>179</v>
      </c>
    </row>
    <row r="62" spans="2:3" x14ac:dyDescent="0.15">
      <c r="B62" s="112" t="s">
        <v>180</v>
      </c>
    </row>
    <row r="63" spans="2:3" x14ac:dyDescent="0.15">
      <c r="B63" s="112" t="s">
        <v>181</v>
      </c>
    </row>
    <row r="64" spans="2:3" x14ac:dyDescent="0.15">
      <c r="B64" s="112" t="s">
        <v>182</v>
      </c>
      <c r="C64">
        <v>15</v>
      </c>
    </row>
    <row r="65" spans="2:3" ht="14" x14ac:dyDescent="0.15">
      <c r="B65" s="112" t="s">
        <v>183</v>
      </c>
      <c r="C65" s="126" t="s">
        <v>222</v>
      </c>
    </row>
    <row r="66" spans="2:3" x14ac:dyDescent="0.15">
      <c r="B66" s="112" t="s">
        <v>184</v>
      </c>
      <c r="C66" s="122" t="s">
        <v>223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abSelected="1" workbookViewId="0">
      <pane ySplit="1" topLeftCell="A2" activePane="bottomLeft" state="frozenSplit"/>
      <selection activeCell="E1" sqref="E1"/>
      <selection pane="bottomLeft" activeCell="F35" sqref="C35:F35"/>
    </sheetView>
  </sheetViews>
  <sheetFormatPr baseColWidth="10" defaultColWidth="8.83203125" defaultRowHeight="15" customHeight="1" x14ac:dyDescent="0.15"/>
  <cols>
    <col min="1" max="1" width="22.5" style="58" customWidth="1"/>
    <col min="2" max="3" width="8.33203125" style="58" customWidth="1"/>
    <col min="4" max="4" width="14.33203125" style="58" customWidth="1"/>
    <col min="5" max="5" width="26.5" style="58" bestFit="1" customWidth="1"/>
    <col min="6" max="6" width="7.33203125" style="58" customWidth="1"/>
    <col min="7" max="7" width="11.83203125" style="58" bestFit="1" customWidth="1"/>
    <col min="8" max="9" width="10.83203125" style="58" customWidth="1"/>
    <col min="10" max="10" width="13.83203125" style="58" customWidth="1"/>
    <col min="11" max="11" width="12.83203125" style="58" customWidth="1"/>
    <col min="12" max="14" width="12.6640625" style="58" customWidth="1"/>
    <col min="16" max="25" width="8.83203125" style="58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58"/>
  </cols>
  <sheetData>
    <row r="1" spans="1:46" s="75" customFormat="1" ht="15" customHeight="1" x14ac:dyDescent="0.15">
      <c r="A1" s="54" t="s">
        <v>18</v>
      </c>
      <c r="C1" s="55" t="s">
        <v>8</v>
      </c>
      <c r="D1" s="54" t="s">
        <v>23</v>
      </c>
      <c r="E1" s="54" t="s">
        <v>0</v>
      </c>
      <c r="F1" s="54" t="s">
        <v>7</v>
      </c>
      <c r="G1" s="56" t="s">
        <v>13</v>
      </c>
      <c r="H1" s="54" t="s">
        <v>1</v>
      </c>
      <c r="I1" s="54" t="s">
        <v>2</v>
      </c>
      <c r="J1" s="54" t="s">
        <v>14</v>
      </c>
      <c r="K1" s="54" t="s">
        <v>3</v>
      </c>
      <c r="L1" s="54" t="s">
        <v>4</v>
      </c>
      <c r="M1" s="54" t="s">
        <v>5</v>
      </c>
      <c r="N1" s="54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75">
        <v>1</v>
      </c>
      <c r="D2"/>
      <c r="E2" s="120" t="s">
        <v>189</v>
      </c>
      <c r="F2" s="58">
        <v>0</v>
      </c>
      <c r="G2">
        <v>2E-3</v>
      </c>
      <c r="H2">
        <v>0.4</v>
      </c>
      <c r="I2">
        <v>64</v>
      </c>
      <c r="J2"/>
      <c r="K2"/>
      <c r="L2" s="6">
        <v>0</v>
      </c>
      <c r="M2">
        <v>0.36868686868686862</v>
      </c>
      <c r="N2" s="58">
        <v>0</v>
      </c>
    </row>
    <row r="3" spans="1:46" ht="15" customHeight="1" x14ac:dyDescent="0.15">
      <c r="A3" s="1" t="s">
        <v>9</v>
      </c>
      <c r="B3" s="4">
        <v>32</v>
      </c>
      <c r="C3">
        <v>2</v>
      </c>
      <c r="E3" s="120" t="s">
        <v>221</v>
      </c>
      <c r="F3" s="58">
        <v>0</v>
      </c>
      <c r="G3">
        <v>2.8000000000000001E-2</v>
      </c>
      <c r="H3">
        <v>0.92</v>
      </c>
      <c r="I3">
        <v>6.87</v>
      </c>
      <c r="J3"/>
      <c r="K3"/>
      <c r="L3" s="58">
        <v>0</v>
      </c>
      <c r="M3" s="229">
        <v>0.2</v>
      </c>
      <c r="N3" s="58">
        <v>0</v>
      </c>
      <c r="P3" s="47" t="s">
        <v>275</v>
      </c>
    </row>
    <row r="4" spans="1:46" ht="15" customHeight="1" x14ac:dyDescent="0.15">
      <c r="A4" s="1" t="s">
        <v>10</v>
      </c>
      <c r="B4" s="4">
        <v>2</v>
      </c>
      <c r="C4">
        <v>3</v>
      </c>
      <c r="E4" s="120" t="s">
        <v>190</v>
      </c>
      <c r="F4" s="58">
        <v>0</v>
      </c>
      <c r="G4">
        <v>5.2999999999999999E-2</v>
      </c>
      <c r="H4">
        <v>1.61</v>
      </c>
      <c r="I4">
        <v>7.62</v>
      </c>
      <c r="J4"/>
      <c r="K4"/>
      <c r="L4" s="58">
        <v>0</v>
      </c>
      <c r="M4" s="229">
        <v>0.2</v>
      </c>
      <c r="N4" s="58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24</v>
      </c>
      <c r="C5">
        <v>4</v>
      </c>
      <c r="E5" s="120" t="s">
        <v>191</v>
      </c>
      <c r="F5" s="58">
        <v>0</v>
      </c>
      <c r="G5">
        <v>7.5999999999999998E-2</v>
      </c>
      <c r="H5">
        <v>1.66</v>
      </c>
      <c r="I5">
        <v>19.88</v>
      </c>
      <c r="J5"/>
      <c r="K5"/>
      <c r="L5" s="58">
        <v>0</v>
      </c>
      <c r="M5" s="229">
        <v>0.2</v>
      </c>
      <c r="N5" s="58">
        <v>0</v>
      </c>
      <c r="P5" s="51"/>
      <c r="Q5" s="51"/>
      <c r="R5" s="51"/>
    </row>
    <row r="6" spans="1:46" ht="15" customHeight="1" thickBot="1" x14ac:dyDescent="0.2">
      <c r="B6" s="1"/>
      <c r="C6">
        <v>5</v>
      </c>
      <c r="E6" s="120" t="s">
        <v>192</v>
      </c>
      <c r="F6" s="58">
        <v>0</v>
      </c>
      <c r="G6">
        <v>2.9000000000000001E-2</v>
      </c>
      <c r="H6">
        <v>1.96</v>
      </c>
      <c r="I6">
        <v>11.56</v>
      </c>
      <c r="J6"/>
      <c r="K6"/>
      <c r="L6" s="58">
        <v>0</v>
      </c>
      <c r="M6" s="229">
        <v>0.2</v>
      </c>
      <c r="N6" s="58">
        <v>0</v>
      </c>
      <c r="P6" s="51"/>
      <c r="Q6" s="51"/>
      <c r="R6" s="51"/>
      <c r="W6" s="22" t="s">
        <v>31</v>
      </c>
      <c r="X6" s="38">
        <f>MAX(MainOutputs!G:G)</f>
        <v>0.94999992847442627</v>
      </c>
    </row>
    <row r="7" spans="1:46" ht="15" customHeight="1" x14ac:dyDescent="0.15">
      <c r="A7" s="2" t="s">
        <v>27</v>
      </c>
      <c r="B7" s="58">
        <f ca="1">COUNTIF(OFFSET(cornerDiets,1,1,NumLiving+NumDead+1,NumLiving+NumDead),"&gt;0")+NumLiving+NumDead+1</f>
        <v>332</v>
      </c>
      <c r="C7">
        <v>6</v>
      </c>
      <c r="E7" s="120" t="s">
        <v>193</v>
      </c>
      <c r="F7" s="58">
        <v>0</v>
      </c>
      <c r="G7">
        <v>1.7470000000000001</v>
      </c>
      <c r="H7">
        <v>3.26</v>
      </c>
      <c r="I7">
        <v>22.4</v>
      </c>
      <c r="J7"/>
      <c r="K7"/>
      <c r="L7" s="58">
        <v>0</v>
      </c>
      <c r="M7" s="229">
        <v>0.2</v>
      </c>
      <c r="N7" s="58">
        <v>0</v>
      </c>
      <c r="P7" s="51"/>
      <c r="Q7" s="51"/>
      <c r="R7" s="51"/>
    </row>
    <row r="8" spans="1:46" ht="15" customHeight="1" x14ac:dyDescent="0.15">
      <c r="A8" s="2" t="s">
        <v>28</v>
      </c>
      <c r="B8" s="58">
        <f ca="1">COUNTIF(OFFSET(cornerFishing,1,2,NumLiving+NumDead,NumGears),"&gt;0")+NumDead*COUNTIF(OFFSET(cornerDiscards,1,2,NumLiving+NumDead,NumGears),"&gt;0")+NumLiving+NumDead+1</f>
        <v>301</v>
      </c>
      <c r="C8">
        <v>7</v>
      </c>
      <c r="E8" s="120" t="s">
        <v>194</v>
      </c>
      <c r="F8" s="58">
        <v>0</v>
      </c>
      <c r="G8">
        <v>0.97799999999999998</v>
      </c>
      <c r="H8">
        <v>3.15</v>
      </c>
      <c r="I8">
        <v>33.83</v>
      </c>
      <c r="J8"/>
      <c r="K8"/>
      <c r="L8" s="58">
        <v>0</v>
      </c>
      <c r="M8" s="229">
        <v>0.2</v>
      </c>
      <c r="N8" s="58">
        <v>0</v>
      </c>
      <c r="P8" s="51"/>
      <c r="Q8" s="51"/>
      <c r="R8" s="51"/>
    </row>
    <row r="9" spans="1:46" ht="15" customHeight="1" x14ac:dyDescent="0.15">
      <c r="B9" s="1"/>
      <c r="C9">
        <v>8</v>
      </c>
      <c r="E9" s="120" t="s">
        <v>195</v>
      </c>
      <c r="F9" s="58">
        <v>0</v>
      </c>
      <c r="G9">
        <v>0.73</v>
      </c>
      <c r="H9">
        <v>4.72</v>
      </c>
      <c r="I9">
        <v>19.07</v>
      </c>
      <c r="J9"/>
      <c r="K9"/>
      <c r="L9" s="58">
        <v>0</v>
      </c>
      <c r="M9" s="229">
        <v>0.2</v>
      </c>
      <c r="N9" s="58">
        <v>0</v>
      </c>
      <c r="P9" s="51"/>
      <c r="Q9" s="51"/>
      <c r="R9" s="51"/>
    </row>
    <row r="10" spans="1:46" ht="15" customHeight="1" x14ac:dyDescent="0.15">
      <c r="B10" s="1"/>
      <c r="C10">
        <v>9</v>
      </c>
      <c r="E10" s="120" t="s">
        <v>196</v>
      </c>
      <c r="F10" s="58">
        <v>0</v>
      </c>
      <c r="G10">
        <v>0.755</v>
      </c>
      <c r="H10">
        <v>3.1</v>
      </c>
      <c r="I10">
        <v>34.32</v>
      </c>
      <c r="J10"/>
      <c r="K10"/>
      <c r="L10" s="58">
        <v>0</v>
      </c>
      <c r="M10" s="229">
        <v>0.2</v>
      </c>
      <c r="N10" s="58">
        <v>0</v>
      </c>
    </row>
    <row r="11" spans="1:46" ht="15" customHeight="1" x14ac:dyDescent="0.15">
      <c r="C11">
        <v>10</v>
      </c>
      <c r="E11" s="120" t="s">
        <v>197</v>
      </c>
      <c r="F11" s="58">
        <v>0</v>
      </c>
      <c r="G11">
        <v>0.41099999999999998</v>
      </c>
      <c r="H11">
        <v>4.2</v>
      </c>
      <c r="I11">
        <v>19.03</v>
      </c>
      <c r="J11"/>
      <c r="K11"/>
      <c r="L11" s="58">
        <v>0</v>
      </c>
      <c r="M11" s="229">
        <v>0.2</v>
      </c>
      <c r="N11" s="58">
        <v>0</v>
      </c>
    </row>
    <row r="12" spans="1:46" ht="15" customHeight="1" x14ac:dyDescent="0.15">
      <c r="C12">
        <v>11</v>
      </c>
      <c r="E12" s="120" t="s">
        <v>198</v>
      </c>
      <c r="F12" s="58">
        <v>0</v>
      </c>
      <c r="G12">
        <v>0.80500000000000005</v>
      </c>
      <c r="H12">
        <v>2.75</v>
      </c>
      <c r="I12">
        <v>31.31</v>
      </c>
      <c r="J12"/>
      <c r="K12"/>
      <c r="L12" s="58">
        <v>0</v>
      </c>
      <c r="M12" s="229">
        <v>0.2</v>
      </c>
      <c r="N12" s="58">
        <v>0</v>
      </c>
    </row>
    <row r="13" spans="1:46" ht="15" customHeight="1" x14ac:dyDescent="0.15">
      <c r="C13">
        <v>12</v>
      </c>
      <c r="E13" s="120" t="s">
        <v>199</v>
      </c>
      <c r="F13" s="58">
        <v>0</v>
      </c>
      <c r="G13">
        <v>0.63</v>
      </c>
      <c r="H13">
        <v>3.25</v>
      </c>
      <c r="I13">
        <v>17.600000000000001</v>
      </c>
      <c r="J13"/>
      <c r="K13"/>
      <c r="L13" s="58">
        <v>0</v>
      </c>
      <c r="M13" s="229">
        <v>0.2</v>
      </c>
      <c r="N13" s="58">
        <v>0</v>
      </c>
    </row>
    <row r="14" spans="1:46" ht="15" customHeight="1" x14ac:dyDescent="0.15">
      <c r="C14">
        <v>13</v>
      </c>
      <c r="E14" s="120" t="s">
        <v>200</v>
      </c>
      <c r="F14" s="58">
        <v>0</v>
      </c>
      <c r="G14">
        <v>0.29599999999999999</v>
      </c>
      <c r="H14">
        <v>2.14</v>
      </c>
      <c r="I14">
        <v>10.44</v>
      </c>
      <c r="J14"/>
      <c r="K14"/>
      <c r="L14" s="58">
        <v>0</v>
      </c>
      <c r="M14" s="229">
        <v>0.2</v>
      </c>
      <c r="N14" s="58">
        <v>0</v>
      </c>
    </row>
    <row r="15" spans="1:46" ht="15" customHeight="1" x14ac:dyDescent="0.15">
      <c r="C15">
        <v>14</v>
      </c>
      <c r="E15" s="120" t="s">
        <v>201</v>
      </c>
      <c r="F15" s="58">
        <v>0</v>
      </c>
      <c r="G15">
        <v>1.665</v>
      </c>
      <c r="H15">
        <v>3.92</v>
      </c>
      <c r="I15">
        <v>16.04</v>
      </c>
      <c r="J15"/>
      <c r="K15"/>
      <c r="L15" s="58">
        <v>0</v>
      </c>
      <c r="M15" s="229">
        <v>0.2</v>
      </c>
      <c r="N15" s="58">
        <v>0</v>
      </c>
    </row>
    <row r="16" spans="1:46" ht="15" customHeight="1" x14ac:dyDescent="0.15">
      <c r="C16">
        <v>15</v>
      </c>
      <c r="E16" s="120" t="s">
        <v>273</v>
      </c>
      <c r="F16" s="58">
        <v>0</v>
      </c>
      <c r="G16">
        <v>0.28599999999999998</v>
      </c>
      <c r="H16">
        <v>2.2400000000000002</v>
      </c>
      <c r="I16">
        <v>13.6</v>
      </c>
      <c r="J16"/>
      <c r="K16"/>
      <c r="L16" s="58">
        <v>0</v>
      </c>
      <c r="M16" s="229">
        <v>0.2</v>
      </c>
      <c r="N16" s="58">
        <v>0</v>
      </c>
    </row>
    <row r="17" spans="1:22" ht="15" customHeight="1" x14ac:dyDescent="0.15">
      <c r="C17">
        <v>16</v>
      </c>
      <c r="E17" s="120" t="s">
        <v>202</v>
      </c>
      <c r="F17" s="58">
        <v>0</v>
      </c>
      <c r="G17" s="222"/>
      <c r="H17">
        <v>2.08</v>
      </c>
      <c r="I17">
        <v>9.82</v>
      </c>
      <c r="J17">
        <v>0.61</v>
      </c>
      <c r="K17"/>
      <c r="L17" s="58">
        <v>0</v>
      </c>
      <c r="M17" s="229">
        <v>0.2</v>
      </c>
      <c r="N17" s="58">
        <v>0</v>
      </c>
      <c r="P17" s="47" t="s">
        <v>274</v>
      </c>
      <c r="V17" s="1" t="s">
        <v>30</v>
      </c>
    </row>
    <row r="18" spans="1:22" ht="15" customHeight="1" x14ac:dyDescent="0.15">
      <c r="C18">
        <v>17</v>
      </c>
      <c r="E18" s="120" t="s">
        <v>203</v>
      </c>
      <c r="F18" s="58">
        <v>0</v>
      </c>
      <c r="G18" s="222"/>
      <c r="H18">
        <v>2.64</v>
      </c>
      <c r="I18">
        <v>16.920000000000002</v>
      </c>
      <c r="J18">
        <v>0.79</v>
      </c>
      <c r="K18"/>
      <c r="L18" s="58">
        <v>0</v>
      </c>
      <c r="M18" s="229">
        <v>0.2</v>
      </c>
      <c r="N18" s="58">
        <v>0</v>
      </c>
      <c r="P18" s="47" t="s">
        <v>274</v>
      </c>
      <c r="V18" s="1"/>
    </row>
    <row r="19" spans="1:22" ht="15" customHeight="1" x14ac:dyDescent="0.15">
      <c r="C19">
        <v>18</v>
      </c>
      <c r="E19" s="120" t="s">
        <v>204</v>
      </c>
      <c r="F19" s="58">
        <v>0</v>
      </c>
      <c r="G19">
        <v>1.29</v>
      </c>
      <c r="H19">
        <v>1.83</v>
      </c>
      <c r="I19">
        <v>34</v>
      </c>
      <c r="J19"/>
      <c r="K19"/>
      <c r="L19" s="58">
        <v>0</v>
      </c>
      <c r="M19" s="229">
        <v>0.2</v>
      </c>
      <c r="N19" s="58">
        <v>0</v>
      </c>
    </row>
    <row r="20" spans="1:22" ht="15" customHeight="1" thickBot="1" x14ac:dyDescent="0.2">
      <c r="C20">
        <v>19</v>
      </c>
      <c r="E20" s="120" t="s">
        <v>205</v>
      </c>
      <c r="F20" s="58">
        <v>0</v>
      </c>
      <c r="G20">
        <v>0.32800000000000001</v>
      </c>
      <c r="H20">
        <v>2.9</v>
      </c>
      <c r="I20">
        <v>37.06</v>
      </c>
      <c r="J20"/>
      <c r="K20"/>
      <c r="L20" s="58">
        <v>0</v>
      </c>
      <c r="M20" s="229">
        <v>0.2</v>
      </c>
      <c r="N20" s="58">
        <v>0</v>
      </c>
    </row>
    <row r="21" spans="1:22" ht="15" customHeight="1" thickBot="1" x14ac:dyDescent="0.2">
      <c r="A21" s="33" t="s">
        <v>137</v>
      </c>
      <c r="B21" s="76"/>
      <c r="C21">
        <v>20</v>
      </c>
      <c r="E21" s="120" t="s">
        <v>206</v>
      </c>
      <c r="F21" s="58">
        <v>0</v>
      </c>
      <c r="G21">
        <v>1.887</v>
      </c>
      <c r="H21">
        <v>2.14</v>
      </c>
      <c r="I21">
        <v>18.04</v>
      </c>
      <c r="J21"/>
      <c r="K21"/>
      <c r="L21" s="58">
        <v>0</v>
      </c>
      <c r="M21" s="229">
        <v>0.2</v>
      </c>
      <c r="N21" s="58">
        <v>0</v>
      </c>
    </row>
    <row r="22" spans="1:22" ht="15" customHeight="1" x14ac:dyDescent="0.15">
      <c r="A22" s="77" t="s">
        <v>58</v>
      </c>
      <c r="B22" s="78">
        <v>0</v>
      </c>
      <c r="C22">
        <v>21</v>
      </c>
      <c r="E22" s="120" t="s">
        <v>207</v>
      </c>
      <c r="F22" s="58">
        <v>0</v>
      </c>
      <c r="G22">
        <v>1.2999999999999999E-2</v>
      </c>
      <c r="H22">
        <v>6.5</v>
      </c>
      <c r="I22">
        <v>26</v>
      </c>
      <c r="J22"/>
      <c r="K22"/>
      <c r="L22" s="58">
        <v>0</v>
      </c>
      <c r="M22" s="229">
        <v>0.2</v>
      </c>
      <c r="N22" s="58">
        <v>0</v>
      </c>
    </row>
    <row r="23" spans="1:22" ht="15" customHeight="1" x14ac:dyDescent="0.15">
      <c r="A23" s="77" t="s">
        <v>59</v>
      </c>
      <c r="B23" s="78">
        <v>1</v>
      </c>
      <c r="C23">
        <v>22</v>
      </c>
      <c r="E23" s="120" t="s">
        <v>208</v>
      </c>
      <c r="F23" s="58">
        <v>0</v>
      </c>
      <c r="G23">
        <v>0.121</v>
      </c>
      <c r="H23">
        <v>2.3199999999999998</v>
      </c>
      <c r="I23">
        <v>13.2</v>
      </c>
      <c r="J23"/>
      <c r="K23"/>
      <c r="L23" s="58">
        <v>0</v>
      </c>
      <c r="M23" s="229">
        <v>0.2</v>
      </c>
      <c r="N23" s="58">
        <v>0</v>
      </c>
    </row>
    <row r="24" spans="1:22" ht="15" customHeight="1" x14ac:dyDescent="0.15">
      <c r="A24" s="77" t="s">
        <v>60</v>
      </c>
      <c r="B24" s="78">
        <v>2</v>
      </c>
      <c r="C24">
        <v>23</v>
      </c>
      <c r="E24" s="120" t="s">
        <v>209</v>
      </c>
      <c r="F24" s="58">
        <v>0</v>
      </c>
      <c r="G24">
        <v>0.47099999999999997</v>
      </c>
      <c r="H24">
        <v>2.72</v>
      </c>
      <c r="I24">
        <v>14.79</v>
      </c>
      <c r="J24"/>
      <c r="K24"/>
      <c r="L24" s="58">
        <v>0</v>
      </c>
      <c r="M24" s="229">
        <v>0.2</v>
      </c>
      <c r="N24" s="58">
        <v>0</v>
      </c>
    </row>
    <row r="25" spans="1:22" ht="15" customHeight="1" thickBot="1" x14ac:dyDescent="0.2">
      <c r="A25" s="79" t="s">
        <v>44</v>
      </c>
      <c r="B25" s="80">
        <v>3</v>
      </c>
      <c r="C25">
        <v>24</v>
      </c>
      <c r="E25" s="120" t="s">
        <v>210</v>
      </c>
      <c r="F25" s="58">
        <v>0</v>
      </c>
      <c r="G25">
        <v>2.089</v>
      </c>
      <c r="H25">
        <v>3.5</v>
      </c>
      <c r="I25">
        <v>16.2</v>
      </c>
      <c r="J25"/>
      <c r="K25"/>
      <c r="L25" s="58">
        <v>0</v>
      </c>
      <c r="M25" s="229">
        <v>0.2</v>
      </c>
      <c r="N25" s="58">
        <v>0</v>
      </c>
    </row>
    <row r="26" spans="1:22" ht="15" customHeight="1" x14ac:dyDescent="0.15">
      <c r="A26" s="81" t="s">
        <v>140</v>
      </c>
      <c r="C26">
        <v>25</v>
      </c>
      <c r="E26" s="120" t="s">
        <v>211</v>
      </c>
      <c r="F26" s="58">
        <v>0</v>
      </c>
      <c r="G26">
        <v>6.69</v>
      </c>
      <c r="H26">
        <v>3.26</v>
      </c>
      <c r="I26">
        <v>19</v>
      </c>
      <c r="J26"/>
      <c r="K26"/>
      <c r="L26" s="58">
        <v>0</v>
      </c>
      <c r="M26" s="229">
        <v>0.2</v>
      </c>
      <c r="N26" s="58">
        <v>0</v>
      </c>
    </row>
    <row r="27" spans="1:22" ht="15" customHeight="1" x14ac:dyDescent="0.15">
      <c r="C27">
        <v>26</v>
      </c>
      <c r="E27" s="120" t="s">
        <v>212</v>
      </c>
      <c r="F27" s="58">
        <v>0</v>
      </c>
      <c r="G27">
        <v>5.2789999999999999</v>
      </c>
      <c r="H27">
        <v>3.92</v>
      </c>
      <c r="I27">
        <v>15.75</v>
      </c>
      <c r="J27"/>
      <c r="K27"/>
      <c r="L27" s="58">
        <v>0</v>
      </c>
      <c r="M27" s="229">
        <v>0.2</v>
      </c>
      <c r="N27" s="58">
        <v>0</v>
      </c>
    </row>
    <row r="28" spans="1:22" ht="15" customHeight="1" x14ac:dyDescent="0.15">
      <c r="C28">
        <v>27</v>
      </c>
      <c r="E28" s="120" t="s">
        <v>213</v>
      </c>
      <c r="F28" s="58">
        <v>0</v>
      </c>
      <c r="G28">
        <v>4.8959999999999999</v>
      </c>
      <c r="H28">
        <v>2.2799999999999998</v>
      </c>
      <c r="I28">
        <v>12.25</v>
      </c>
      <c r="J28"/>
      <c r="K28"/>
      <c r="L28" s="58">
        <v>0</v>
      </c>
      <c r="M28" s="229">
        <v>0.2</v>
      </c>
      <c r="N28" s="58">
        <v>0</v>
      </c>
    </row>
    <row r="29" spans="1:22" customFormat="1" ht="15" customHeight="1" x14ac:dyDescent="0.15">
      <c r="C29">
        <v>28</v>
      </c>
      <c r="D29" s="58"/>
      <c r="E29" s="120" t="s">
        <v>214</v>
      </c>
      <c r="F29" s="58">
        <v>0</v>
      </c>
      <c r="G29">
        <v>15.994999999999999</v>
      </c>
      <c r="H29">
        <v>6.5</v>
      </c>
      <c r="I29">
        <v>25</v>
      </c>
      <c r="L29" s="58">
        <v>0</v>
      </c>
      <c r="M29" s="229">
        <v>0.2</v>
      </c>
      <c r="N29" s="58">
        <v>0</v>
      </c>
    </row>
    <row r="30" spans="1:22" customFormat="1" ht="15" customHeight="1" x14ac:dyDescent="0.15">
      <c r="C30">
        <v>29</v>
      </c>
      <c r="D30" s="58"/>
      <c r="E30" s="120" t="s">
        <v>215</v>
      </c>
      <c r="F30" s="58">
        <v>0</v>
      </c>
      <c r="G30">
        <v>11.224</v>
      </c>
      <c r="H30">
        <v>1.75</v>
      </c>
      <c r="I30">
        <v>15</v>
      </c>
      <c r="J30" s="6"/>
      <c r="L30" s="58">
        <v>0</v>
      </c>
      <c r="M30" s="229">
        <v>0.2</v>
      </c>
      <c r="N30" s="58">
        <v>0</v>
      </c>
    </row>
    <row r="31" spans="1:22" customFormat="1" ht="15" customHeight="1" x14ac:dyDescent="0.15">
      <c r="C31">
        <v>30</v>
      </c>
      <c r="D31" s="58"/>
      <c r="E31" s="120" t="s">
        <v>216</v>
      </c>
      <c r="F31" s="58">
        <v>0</v>
      </c>
      <c r="G31" s="222"/>
      <c r="H31">
        <v>33</v>
      </c>
      <c r="I31">
        <v>145</v>
      </c>
      <c r="J31" s="6">
        <v>0.95</v>
      </c>
      <c r="L31" s="58">
        <v>0</v>
      </c>
      <c r="M31" s="229">
        <v>0.2</v>
      </c>
      <c r="N31" s="58">
        <v>0</v>
      </c>
      <c r="P31" s="47" t="s">
        <v>274</v>
      </c>
    </row>
    <row r="32" spans="1:22" customFormat="1" ht="15" customHeight="1" x14ac:dyDescent="0.15">
      <c r="C32">
        <v>31</v>
      </c>
      <c r="D32" s="58"/>
      <c r="E32" s="120" t="s">
        <v>217</v>
      </c>
      <c r="F32" s="58">
        <v>1</v>
      </c>
      <c r="G32" s="222"/>
      <c r="H32">
        <v>135</v>
      </c>
      <c r="I32" s="139"/>
      <c r="J32" s="6">
        <v>0.86</v>
      </c>
      <c r="K32" s="139"/>
      <c r="L32" s="58">
        <v>0</v>
      </c>
      <c r="M32" s="139"/>
      <c r="N32" s="58">
        <v>0</v>
      </c>
      <c r="P32" s="47" t="s">
        <v>274</v>
      </c>
    </row>
    <row r="33" spans="3:14" customFormat="1" ht="15" customHeight="1" x14ac:dyDescent="0.15">
      <c r="C33">
        <v>32</v>
      </c>
      <c r="D33" s="58"/>
      <c r="E33" s="120" t="s">
        <v>218</v>
      </c>
      <c r="F33" s="58">
        <v>1</v>
      </c>
      <c r="G33">
        <v>26.751000000000001</v>
      </c>
      <c r="H33">
        <v>15</v>
      </c>
      <c r="I33" s="139"/>
      <c r="J33" s="6"/>
      <c r="K33" s="139"/>
      <c r="L33" s="58">
        <v>0</v>
      </c>
      <c r="M33" s="139"/>
      <c r="N33" s="58">
        <v>0</v>
      </c>
    </row>
    <row r="34" spans="3:14" customFormat="1" ht="15" customHeight="1" x14ac:dyDescent="0.15">
      <c r="C34">
        <v>33</v>
      </c>
      <c r="D34" s="58"/>
      <c r="E34" s="120" t="s">
        <v>185</v>
      </c>
      <c r="F34" s="58">
        <v>2</v>
      </c>
      <c r="G34">
        <v>86.28</v>
      </c>
      <c r="H34" s="139"/>
      <c r="I34" s="139"/>
      <c r="K34" s="139"/>
      <c r="L34" s="58">
        <v>0</v>
      </c>
      <c r="M34" s="139"/>
      <c r="N34" s="58">
        <v>0</v>
      </c>
    </row>
    <row r="35" spans="3:14" customFormat="1" ht="15" customHeight="1" x14ac:dyDescent="0.15">
      <c r="C35">
        <v>34</v>
      </c>
      <c r="E35" s="121" t="s">
        <v>123</v>
      </c>
      <c r="F35" s="58">
        <v>2</v>
      </c>
      <c r="H35" s="139"/>
      <c r="I35" s="139"/>
      <c r="K35" s="139"/>
      <c r="L35" s="58">
        <v>0</v>
      </c>
      <c r="M35" s="139"/>
      <c r="N35" s="58">
        <v>0</v>
      </c>
    </row>
    <row r="36" spans="3:14" customFormat="1" ht="15" customHeight="1" x14ac:dyDescent="0.15">
      <c r="C36">
        <v>35</v>
      </c>
      <c r="D36" s="58"/>
      <c r="E36" t="s">
        <v>224</v>
      </c>
      <c r="F36" s="58">
        <v>3</v>
      </c>
      <c r="H36" s="139"/>
      <c r="I36" s="139"/>
      <c r="J36" s="139"/>
      <c r="K36" s="139"/>
      <c r="L36" s="58">
        <v>0</v>
      </c>
      <c r="M36" s="139"/>
      <c r="N36" s="139"/>
    </row>
    <row r="37" spans="3:14" customFormat="1" ht="15" customHeight="1" x14ac:dyDescent="0.15">
      <c r="C37">
        <v>36</v>
      </c>
      <c r="D37" s="58"/>
      <c r="E37" t="s">
        <v>225</v>
      </c>
      <c r="F37" s="58">
        <v>3</v>
      </c>
      <c r="H37" s="139"/>
      <c r="I37" s="139"/>
      <c r="J37" s="139"/>
      <c r="K37" s="139"/>
      <c r="L37" s="58">
        <v>0</v>
      </c>
      <c r="M37" s="139"/>
      <c r="N37" s="139"/>
    </row>
    <row r="38" spans="3:14" customFormat="1" ht="15" customHeight="1" x14ac:dyDescent="0.15">
      <c r="C38">
        <v>37</v>
      </c>
      <c r="D38" s="58"/>
      <c r="E38" t="s">
        <v>226</v>
      </c>
      <c r="F38" s="58">
        <v>3</v>
      </c>
      <c r="H38" s="139"/>
      <c r="I38" s="139"/>
      <c r="J38" s="139"/>
      <c r="K38" s="139"/>
      <c r="L38" s="58">
        <v>0</v>
      </c>
      <c r="M38" s="139"/>
      <c r="N38" s="139"/>
    </row>
    <row r="39" spans="3:14" customFormat="1" ht="15" customHeight="1" x14ac:dyDescent="0.15">
      <c r="C39">
        <v>38</v>
      </c>
      <c r="D39" s="58"/>
      <c r="E39" t="s">
        <v>227</v>
      </c>
      <c r="F39" s="58">
        <v>3</v>
      </c>
      <c r="H39" s="139"/>
      <c r="I39" s="139"/>
      <c r="J39" s="139"/>
      <c r="K39" s="139"/>
      <c r="L39" s="58">
        <v>0</v>
      </c>
      <c r="M39" s="139"/>
      <c r="N39" s="139"/>
    </row>
    <row r="40" spans="3:14" customFormat="1" ht="15" customHeight="1" x14ac:dyDescent="0.15">
      <c r="C40">
        <v>39</v>
      </c>
      <c r="D40" s="58"/>
      <c r="E40" t="s">
        <v>228</v>
      </c>
      <c r="F40" s="58">
        <v>3</v>
      </c>
      <c r="H40" s="139"/>
      <c r="I40" s="139"/>
      <c r="J40" s="139"/>
      <c r="K40" s="139"/>
      <c r="L40" s="58">
        <v>0</v>
      </c>
      <c r="M40" s="139"/>
      <c r="N40" s="139"/>
    </row>
    <row r="41" spans="3:14" customFormat="1" ht="15" customHeight="1" x14ac:dyDescent="0.15">
      <c r="C41">
        <v>40</v>
      </c>
      <c r="D41" s="58"/>
      <c r="E41" t="s">
        <v>229</v>
      </c>
      <c r="F41" s="58">
        <v>3</v>
      </c>
      <c r="H41" s="139"/>
      <c r="I41" s="139"/>
      <c r="J41" s="139"/>
      <c r="K41" s="139"/>
      <c r="L41" s="58">
        <v>0</v>
      </c>
      <c r="M41" s="139"/>
      <c r="N41" s="139"/>
    </row>
    <row r="42" spans="3:14" customFormat="1" ht="15" customHeight="1" x14ac:dyDescent="0.15">
      <c r="C42">
        <v>41</v>
      </c>
      <c r="D42" s="58"/>
      <c r="E42" t="s">
        <v>230</v>
      </c>
      <c r="F42" s="58">
        <v>3</v>
      </c>
      <c r="H42" s="139"/>
      <c r="I42" s="139"/>
      <c r="J42" s="139"/>
      <c r="K42" s="139"/>
      <c r="L42" s="58">
        <v>0</v>
      </c>
      <c r="M42" s="139"/>
      <c r="N42" s="139"/>
    </row>
    <row r="43" spans="3:14" customFormat="1" ht="15" customHeight="1" x14ac:dyDescent="0.15">
      <c r="C43">
        <v>42</v>
      </c>
      <c r="D43" s="58"/>
      <c r="E43" t="s">
        <v>231</v>
      </c>
      <c r="F43" s="58">
        <v>3</v>
      </c>
      <c r="H43" s="139"/>
      <c r="I43" s="139"/>
      <c r="J43" s="139"/>
      <c r="K43" s="139"/>
      <c r="L43" s="58">
        <v>0</v>
      </c>
      <c r="M43" s="139"/>
      <c r="N43" s="139"/>
    </row>
    <row r="44" spans="3:14" customFormat="1" ht="15" customHeight="1" x14ac:dyDescent="0.15">
      <c r="C44">
        <v>43</v>
      </c>
      <c r="D44" s="58"/>
      <c r="E44" t="s">
        <v>232</v>
      </c>
      <c r="F44" s="58">
        <v>3</v>
      </c>
      <c r="H44" s="139"/>
      <c r="I44" s="139"/>
      <c r="J44" s="139"/>
      <c r="K44" s="139"/>
      <c r="L44" s="58">
        <v>0</v>
      </c>
      <c r="M44" s="139"/>
      <c r="N44" s="139"/>
    </row>
    <row r="45" spans="3:14" customFormat="1" ht="15" customHeight="1" x14ac:dyDescent="0.15">
      <c r="C45">
        <v>44</v>
      </c>
      <c r="D45" s="58"/>
      <c r="E45" t="s">
        <v>233</v>
      </c>
      <c r="F45" s="58">
        <v>3</v>
      </c>
      <c r="H45" s="139"/>
      <c r="I45" s="139"/>
      <c r="J45" s="139"/>
      <c r="K45" s="139"/>
      <c r="L45" s="58">
        <v>0</v>
      </c>
      <c r="M45" s="139"/>
      <c r="N45" s="139"/>
    </row>
    <row r="46" spans="3:14" customFormat="1" ht="15" customHeight="1" x14ac:dyDescent="0.15">
      <c r="C46">
        <v>45</v>
      </c>
      <c r="D46" s="58"/>
      <c r="E46" t="s">
        <v>235</v>
      </c>
      <c r="F46" s="58">
        <v>3</v>
      </c>
      <c r="H46" s="139"/>
      <c r="I46" s="139"/>
      <c r="J46" s="139"/>
      <c r="K46" s="139"/>
      <c r="L46" s="58">
        <v>0</v>
      </c>
      <c r="M46" s="139"/>
      <c r="N46" s="139"/>
    </row>
    <row r="47" spans="3:14" customFormat="1" ht="15" customHeight="1" x14ac:dyDescent="0.15">
      <c r="C47">
        <v>46</v>
      </c>
      <c r="D47" s="58"/>
      <c r="E47" t="s">
        <v>234</v>
      </c>
      <c r="F47" s="58">
        <v>3</v>
      </c>
      <c r="H47" s="139"/>
      <c r="I47" s="139"/>
      <c r="J47" s="139"/>
      <c r="K47" s="139"/>
      <c r="L47" s="58">
        <v>0</v>
      </c>
      <c r="M47" s="139"/>
      <c r="N47" s="139"/>
    </row>
    <row r="48" spans="3:14" customFormat="1" ht="15" customHeight="1" x14ac:dyDescent="0.15">
      <c r="C48">
        <v>47</v>
      </c>
      <c r="D48" s="58"/>
      <c r="E48" t="s">
        <v>236</v>
      </c>
      <c r="F48" s="58">
        <v>3</v>
      </c>
      <c r="H48" s="139"/>
      <c r="I48" s="139"/>
      <c r="J48" s="139"/>
      <c r="K48" s="139"/>
      <c r="L48" s="58">
        <v>0</v>
      </c>
      <c r="M48" s="139"/>
      <c r="N48" s="139"/>
    </row>
    <row r="49" spans="3:14" customFormat="1" ht="15" customHeight="1" x14ac:dyDescent="0.15">
      <c r="C49">
        <v>48</v>
      </c>
      <c r="D49" s="58"/>
      <c r="E49" t="s">
        <v>237</v>
      </c>
      <c r="F49" s="58">
        <v>3</v>
      </c>
      <c r="H49" s="139"/>
      <c r="I49" s="139"/>
      <c r="J49" s="139"/>
      <c r="K49" s="139"/>
      <c r="L49" s="58">
        <v>0</v>
      </c>
      <c r="M49" s="139"/>
      <c r="N49" s="139"/>
    </row>
    <row r="50" spans="3:14" customFormat="1" ht="15" customHeight="1" x14ac:dyDescent="0.15">
      <c r="C50">
        <v>49</v>
      </c>
      <c r="D50" s="58"/>
      <c r="E50" t="s">
        <v>238</v>
      </c>
      <c r="F50" s="58">
        <v>3</v>
      </c>
      <c r="H50" s="139"/>
      <c r="I50" s="139"/>
      <c r="J50" s="139"/>
      <c r="K50" s="139"/>
      <c r="L50" s="58">
        <v>0</v>
      </c>
      <c r="M50" s="139"/>
      <c r="N50" s="139"/>
    </row>
    <row r="51" spans="3:14" customFormat="1" ht="15" customHeight="1" x14ac:dyDescent="0.15">
      <c r="C51">
        <v>50</v>
      </c>
      <c r="D51" s="58"/>
      <c r="E51" t="s">
        <v>239</v>
      </c>
      <c r="F51" s="58">
        <v>3</v>
      </c>
      <c r="H51" s="139"/>
      <c r="I51" s="139"/>
      <c r="J51" s="139"/>
      <c r="K51" s="139"/>
      <c r="L51" s="58">
        <v>0</v>
      </c>
      <c r="M51" s="139"/>
      <c r="N51" s="139"/>
    </row>
    <row r="52" spans="3:14" customFormat="1" ht="15" customHeight="1" x14ac:dyDescent="0.15">
      <c r="C52">
        <v>51</v>
      </c>
      <c r="D52" s="58"/>
      <c r="E52" t="s">
        <v>240</v>
      </c>
      <c r="F52" s="58">
        <v>3</v>
      </c>
      <c r="H52" s="139"/>
      <c r="I52" s="139"/>
      <c r="J52" s="139"/>
      <c r="K52" s="139"/>
      <c r="L52" s="58">
        <v>0</v>
      </c>
      <c r="M52" s="139"/>
      <c r="N52" s="139"/>
    </row>
    <row r="53" spans="3:14" customFormat="1" ht="15" customHeight="1" x14ac:dyDescent="0.15">
      <c r="C53">
        <v>52</v>
      </c>
      <c r="D53" s="58"/>
      <c r="E53" t="s">
        <v>241</v>
      </c>
      <c r="F53" s="58">
        <v>3</v>
      </c>
      <c r="H53" s="139"/>
      <c r="I53" s="139"/>
      <c r="J53" s="139"/>
      <c r="K53" s="139"/>
      <c r="L53" s="58">
        <v>0</v>
      </c>
      <c r="M53" s="139"/>
      <c r="N53" s="139"/>
    </row>
    <row r="54" spans="3:14" customFormat="1" ht="15" customHeight="1" x14ac:dyDescent="0.15">
      <c r="C54">
        <v>53</v>
      </c>
      <c r="D54" s="58"/>
      <c r="E54" t="s">
        <v>242</v>
      </c>
      <c r="F54" s="58">
        <v>3</v>
      </c>
      <c r="H54" s="139"/>
      <c r="I54" s="139"/>
      <c r="J54" s="139"/>
      <c r="K54" s="139"/>
      <c r="L54" s="58">
        <v>0</v>
      </c>
      <c r="M54" s="139"/>
      <c r="N54" s="139"/>
    </row>
    <row r="55" spans="3:14" customFormat="1" ht="15" customHeight="1" x14ac:dyDescent="0.15">
      <c r="C55">
        <v>54</v>
      </c>
      <c r="D55" s="58"/>
      <c r="E55" t="s">
        <v>243</v>
      </c>
      <c r="F55" s="58">
        <v>3</v>
      </c>
      <c r="H55" s="139"/>
      <c r="I55" s="139"/>
      <c r="J55" s="139"/>
      <c r="K55" s="139"/>
      <c r="L55" s="58">
        <v>0</v>
      </c>
      <c r="M55" s="139"/>
      <c r="N55" s="139"/>
    </row>
    <row r="56" spans="3:14" customFormat="1" ht="15" customHeight="1" x14ac:dyDescent="0.15">
      <c r="C56">
        <v>55</v>
      </c>
      <c r="D56" s="58"/>
      <c r="E56" t="s">
        <v>244</v>
      </c>
      <c r="F56" s="58">
        <v>3</v>
      </c>
      <c r="H56" s="139"/>
      <c r="I56" s="139"/>
      <c r="J56" s="139"/>
      <c r="K56" s="139"/>
      <c r="L56" s="58">
        <v>0</v>
      </c>
      <c r="M56" s="139"/>
      <c r="N56" s="139"/>
    </row>
    <row r="57" spans="3:14" customFormat="1" ht="15" customHeight="1" x14ac:dyDescent="0.15">
      <c r="C57">
        <v>56</v>
      </c>
      <c r="D57" s="58"/>
      <c r="E57" t="s">
        <v>245</v>
      </c>
      <c r="F57" s="58">
        <v>3</v>
      </c>
      <c r="H57" s="139"/>
      <c r="I57" s="139"/>
      <c r="J57" s="139"/>
      <c r="K57" s="139"/>
      <c r="L57" s="58">
        <v>0</v>
      </c>
      <c r="M57" s="139"/>
      <c r="N57" s="139"/>
    </row>
    <row r="58" spans="3:14" customFormat="1" ht="15" customHeight="1" x14ac:dyDescent="0.15">
      <c r="C58">
        <v>57</v>
      </c>
      <c r="D58" s="58"/>
      <c r="E58" t="s">
        <v>246</v>
      </c>
      <c r="F58" s="58">
        <v>3</v>
      </c>
      <c r="H58" s="139"/>
      <c r="I58" s="139"/>
      <c r="J58" s="139"/>
      <c r="K58" s="139"/>
      <c r="L58" s="58">
        <v>0</v>
      </c>
      <c r="M58" s="139"/>
      <c r="N58" s="139"/>
    </row>
    <row r="59" spans="3:14" customFormat="1" ht="15" customHeight="1" x14ac:dyDescent="0.15">
      <c r="C59">
        <v>58</v>
      </c>
      <c r="D59" s="58"/>
      <c r="E59" t="s">
        <v>247</v>
      </c>
      <c r="F59" s="58">
        <v>3</v>
      </c>
      <c r="H59" s="139"/>
      <c r="I59" s="139"/>
      <c r="J59" s="139"/>
      <c r="K59" s="139"/>
      <c r="L59" s="58">
        <v>0</v>
      </c>
      <c r="M59" s="139"/>
      <c r="N59" s="139"/>
    </row>
    <row r="60" spans="3:14" customFormat="1" ht="15" customHeight="1" x14ac:dyDescent="0.15"/>
    <row r="61" spans="3:14" customFormat="1" ht="15" customHeight="1" x14ac:dyDescent="0.15"/>
    <row r="62" spans="3:14" customFormat="1" ht="15" customHeight="1" x14ac:dyDescent="0.15"/>
    <row r="63" spans="3:14" customFormat="1" ht="15" customHeight="1" x14ac:dyDescent="0.15"/>
    <row r="64" spans="3:14" customFormat="1" ht="15" customHeight="1" x14ac:dyDescent="0.15">
      <c r="E64" s="47" t="s">
        <v>276</v>
      </c>
    </row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J373"/>
  <sheetViews>
    <sheetView workbookViewId="0">
      <pane xSplit="1" ySplit="1" topLeftCell="Z2" activePane="bottomRight" state="frozen"/>
      <selection pane="topRight" activeCell="B1" sqref="B1"/>
      <selection pane="bottomLeft" activeCell="A2" sqref="A2"/>
      <selection pane="bottomRight" activeCell="A36" sqref="A2:XFD36"/>
    </sheetView>
  </sheetViews>
  <sheetFormatPr baseColWidth="10" defaultColWidth="8.83203125" defaultRowHeight="16" x14ac:dyDescent="0.2"/>
  <cols>
    <col min="1" max="1" width="26.5" style="124" bestFit="1" customWidth="1"/>
    <col min="2" max="11" width="13.1640625" style="124" customWidth="1"/>
    <col min="12" max="14" width="9.1640625" style="124" bestFit="1" customWidth="1"/>
    <col min="15" max="15" width="9.5" style="124" bestFit="1" customWidth="1"/>
    <col min="16" max="29" width="9.1640625" style="124" bestFit="1" customWidth="1"/>
    <col min="30" max="31" width="9" style="124" bestFit="1" customWidth="1"/>
    <col min="32" max="16384" width="8.83203125" style="124"/>
  </cols>
  <sheetData>
    <row r="1" spans="1:36" x14ac:dyDescent="0.2">
      <c r="A1" s="123" t="s">
        <v>19</v>
      </c>
      <c r="B1" s="124" t="s">
        <v>189</v>
      </c>
      <c r="C1" s="120" t="s">
        <v>221</v>
      </c>
      <c r="D1" s="124" t="s">
        <v>190</v>
      </c>
      <c r="E1" s="124" t="s">
        <v>191</v>
      </c>
      <c r="F1" s="124" t="s">
        <v>192</v>
      </c>
      <c r="G1" s="124" t="s">
        <v>193</v>
      </c>
      <c r="H1" s="124" t="s">
        <v>194</v>
      </c>
      <c r="I1" s="124" t="s">
        <v>195</v>
      </c>
      <c r="J1" s="124" t="s">
        <v>196</v>
      </c>
      <c r="K1" s="124" t="s">
        <v>197</v>
      </c>
      <c r="L1" s="124" t="s">
        <v>198</v>
      </c>
      <c r="M1" s="124" t="s">
        <v>199</v>
      </c>
      <c r="N1" s="124" t="s">
        <v>200</v>
      </c>
      <c r="O1" s="124" t="s">
        <v>201</v>
      </c>
      <c r="P1" s="124" t="s">
        <v>273</v>
      </c>
      <c r="Q1" s="124" t="s">
        <v>202</v>
      </c>
      <c r="R1" s="124" t="s">
        <v>203</v>
      </c>
      <c r="S1" s="124" t="s">
        <v>204</v>
      </c>
      <c r="T1" s="124" t="s">
        <v>205</v>
      </c>
      <c r="U1" s="124" t="s">
        <v>206</v>
      </c>
      <c r="V1" s="124" t="s">
        <v>207</v>
      </c>
      <c r="W1" s="124" t="s">
        <v>208</v>
      </c>
      <c r="X1" s="124" t="s">
        <v>209</v>
      </c>
      <c r="Y1" s="124" t="s">
        <v>210</v>
      </c>
      <c r="Z1" s="124" t="s">
        <v>211</v>
      </c>
      <c r="AA1" s="124" t="s">
        <v>212</v>
      </c>
      <c r="AB1" s="124" t="s">
        <v>213</v>
      </c>
      <c r="AC1" s="124" t="s">
        <v>214</v>
      </c>
      <c r="AD1" s="124" t="s">
        <v>215</v>
      </c>
      <c r="AE1" s="124" t="s">
        <v>216</v>
      </c>
      <c r="AF1" s="125" t="s">
        <v>217</v>
      </c>
      <c r="AG1" s="125" t="s">
        <v>218</v>
      </c>
      <c r="AH1" s="125" t="s">
        <v>185</v>
      </c>
      <c r="AI1" s="121" t="s">
        <v>123</v>
      </c>
      <c r="AJ1"/>
    </row>
    <row r="2" spans="1:36" s="125" customFormat="1" x14ac:dyDescent="0.2">
      <c r="A2" s="120" t="s">
        <v>189</v>
      </c>
      <c r="B2" s="220">
        <v>0</v>
      </c>
      <c r="C2" s="220">
        <v>1E-4</v>
      </c>
      <c r="D2" s="220">
        <v>0</v>
      </c>
      <c r="E2" s="220">
        <v>0</v>
      </c>
      <c r="F2" s="220">
        <v>0</v>
      </c>
      <c r="G2" s="220">
        <v>0</v>
      </c>
      <c r="H2" s="220">
        <v>0</v>
      </c>
      <c r="I2" s="220">
        <v>0</v>
      </c>
      <c r="J2" s="220">
        <v>0</v>
      </c>
      <c r="K2" s="220">
        <v>0</v>
      </c>
      <c r="L2" s="220">
        <v>0</v>
      </c>
      <c r="M2" s="220">
        <v>0</v>
      </c>
      <c r="N2" s="220">
        <v>0</v>
      </c>
      <c r="O2" s="220">
        <v>0</v>
      </c>
      <c r="P2" s="220">
        <v>0</v>
      </c>
      <c r="Q2" s="220">
        <v>0</v>
      </c>
      <c r="R2" s="220">
        <v>0</v>
      </c>
      <c r="S2" s="220">
        <v>0</v>
      </c>
      <c r="T2" s="220">
        <v>0</v>
      </c>
      <c r="U2" s="220">
        <v>0</v>
      </c>
      <c r="V2" s="220">
        <v>0</v>
      </c>
      <c r="W2" s="220">
        <v>0</v>
      </c>
      <c r="X2" s="220">
        <v>0</v>
      </c>
      <c r="Y2" s="220">
        <v>0</v>
      </c>
      <c r="Z2" s="220">
        <v>0</v>
      </c>
      <c r="AA2" s="220">
        <v>0</v>
      </c>
      <c r="AB2" s="220">
        <v>0</v>
      </c>
      <c r="AC2" s="220">
        <v>0</v>
      </c>
      <c r="AD2" s="220">
        <v>0</v>
      </c>
      <c r="AE2" s="220">
        <v>0</v>
      </c>
      <c r="AF2" s="221">
        <v>0</v>
      </c>
      <c r="AG2" s="221">
        <v>0</v>
      </c>
      <c r="AH2" s="221">
        <v>0</v>
      </c>
      <c r="AI2" s="221">
        <v>0</v>
      </c>
      <c r="AJ2"/>
    </row>
    <row r="3" spans="1:36" s="125" customFormat="1" x14ac:dyDescent="0.2">
      <c r="A3" s="120" t="s">
        <v>221</v>
      </c>
      <c r="B3" s="220">
        <v>0</v>
      </c>
      <c r="C3" s="220">
        <v>5.0000000000000001E-3</v>
      </c>
      <c r="D3" s="220">
        <v>0</v>
      </c>
      <c r="E3" s="220">
        <v>0</v>
      </c>
      <c r="F3" s="220">
        <v>0</v>
      </c>
      <c r="G3" s="220">
        <v>0</v>
      </c>
      <c r="H3" s="220">
        <v>0</v>
      </c>
      <c r="I3" s="220">
        <v>0</v>
      </c>
      <c r="J3" s="220">
        <v>0</v>
      </c>
      <c r="K3" s="220">
        <v>0</v>
      </c>
      <c r="L3" s="220">
        <v>0</v>
      </c>
      <c r="M3" s="220">
        <v>0</v>
      </c>
      <c r="N3" s="220">
        <v>0</v>
      </c>
      <c r="O3" s="220">
        <v>0</v>
      </c>
      <c r="P3" s="220">
        <v>0</v>
      </c>
      <c r="Q3" s="220">
        <v>0</v>
      </c>
      <c r="R3" s="220">
        <v>0</v>
      </c>
      <c r="S3" s="220">
        <v>0</v>
      </c>
      <c r="T3" s="220">
        <v>0</v>
      </c>
      <c r="U3" s="220">
        <v>0</v>
      </c>
      <c r="V3" s="220">
        <v>0</v>
      </c>
      <c r="W3" s="220">
        <v>0</v>
      </c>
      <c r="X3" s="220">
        <v>0</v>
      </c>
      <c r="Y3" s="220">
        <v>0</v>
      </c>
      <c r="Z3" s="220">
        <v>0</v>
      </c>
      <c r="AA3" s="220">
        <v>0</v>
      </c>
      <c r="AB3" s="220">
        <v>0</v>
      </c>
      <c r="AC3" s="220">
        <v>0</v>
      </c>
      <c r="AD3" s="220">
        <v>0</v>
      </c>
      <c r="AE3" s="220">
        <v>0</v>
      </c>
      <c r="AF3" s="221">
        <v>0</v>
      </c>
      <c r="AG3" s="221">
        <v>0</v>
      </c>
      <c r="AH3" s="221">
        <v>0</v>
      </c>
      <c r="AI3" s="221">
        <v>0</v>
      </c>
      <c r="AJ3"/>
    </row>
    <row r="4" spans="1:36" s="125" customFormat="1" x14ac:dyDescent="0.2">
      <c r="A4" s="120" t="s">
        <v>190</v>
      </c>
      <c r="B4" s="220">
        <v>0</v>
      </c>
      <c r="C4" s="220">
        <v>0.05</v>
      </c>
      <c r="D4" s="220">
        <v>0</v>
      </c>
      <c r="E4" s="220">
        <v>0</v>
      </c>
      <c r="F4" s="220">
        <v>0</v>
      </c>
      <c r="G4" s="220">
        <v>0</v>
      </c>
      <c r="H4" s="220">
        <v>0</v>
      </c>
      <c r="I4" s="220">
        <v>0</v>
      </c>
      <c r="J4" s="220">
        <v>0</v>
      </c>
      <c r="K4" s="220">
        <v>0</v>
      </c>
      <c r="L4" s="220">
        <v>0</v>
      </c>
      <c r="M4" s="220">
        <v>0</v>
      </c>
      <c r="N4" s="220">
        <v>0</v>
      </c>
      <c r="O4" s="220">
        <v>0</v>
      </c>
      <c r="P4" s="220">
        <v>0</v>
      </c>
      <c r="Q4" s="220">
        <v>0</v>
      </c>
      <c r="R4" s="220">
        <v>0</v>
      </c>
      <c r="S4" s="220">
        <v>0</v>
      </c>
      <c r="T4" s="220">
        <v>0</v>
      </c>
      <c r="U4" s="220">
        <v>0</v>
      </c>
      <c r="V4" s="220">
        <v>0</v>
      </c>
      <c r="W4" s="220">
        <v>0</v>
      </c>
      <c r="X4" s="220">
        <v>0</v>
      </c>
      <c r="Y4" s="220">
        <v>0</v>
      </c>
      <c r="Z4" s="220">
        <v>0</v>
      </c>
      <c r="AA4" s="220">
        <v>0</v>
      </c>
      <c r="AB4" s="220">
        <v>0</v>
      </c>
      <c r="AC4" s="220">
        <v>0</v>
      </c>
      <c r="AD4" s="220">
        <v>0</v>
      </c>
      <c r="AE4" s="220">
        <v>0</v>
      </c>
      <c r="AF4" s="221">
        <v>0</v>
      </c>
      <c r="AG4" s="221">
        <v>0</v>
      </c>
      <c r="AH4" s="221">
        <v>0</v>
      </c>
      <c r="AI4" s="221">
        <v>0</v>
      </c>
      <c r="AJ4"/>
    </row>
    <row r="5" spans="1:36" s="125" customFormat="1" x14ac:dyDescent="0.2">
      <c r="A5" s="120" t="s">
        <v>191</v>
      </c>
      <c r="B5" s="220">
        <v>0</v>
      </c>
      <c r="C5" s="220">
        <v>5.0000000000000001E-4</v>
      </c>
      <c r="D5" s="220">
        <v>0</v>
      </c>
      <c r="E5" s="220">
        <v>0</v>
      </c>
      <c r="F5" s="220">
        <v>5.0000000000000001E-3</v>
      </c>
      <c r="G5" s="220">
        <v>0</v>
      </c>
      <c r="H5" s="220">
        <v>0</v>
      </c>
      <c r="I5" s="220">
        <v>0</v>
      </c>
      <c r="J5" s="220">
        <v>0</v>
      </c>
      <c r="K5" s="220">
        <v>0</v>
      </c>
      <c r="L5" s="220">
        <v>0</v>
      </c>
      <c r="M5" s="220">
        <v>0</v>
      </c>
      <c r="N5" s="220">
        <v>0</v>
      </c>
      <c r="O5" s="220">
        <v>0</v>
      </c>
      <c r="P5" s="220">
        <v>5.0000000000000001E-3</v>
      </c>
      <c r="Q5" s="220">
        <v>0</v>
      </c>
      <c r="R5" s="220">
        <v>0</v>
      </c>
      <c r="S5" s="220">
        <v>0</v>
      </c>
      <c r="T5" s="220">
        <v>0</v>
      </c>
      <c r="U5" s="220">
        <v>0</v>
      </c>
      <c r="V5" s="220">
        <v>0</v>
      </c>
      <c r="W5" s="220">
        <v>0</v>
      </c>
      <c r="X5" s="220">
        <v>0</v>
      </c>
      <c r="Y5" s="220">
        <v>0</v>
      </c>
      <c r="Z5" s="220">
        <v>0</v>
      </c>
      <c r="AA5" s="220">
        <v>0</v>
      </c>
      <c r="AB5" s="220">
        <v>0</v>
      </c>
      <c r="AC5" s="220">
        <v>0</v>
      </c>
      <c r="AD5" s="220">
        <v>0</v>
      </c>
      <c r="AE5" s="220">
        <v>0</v>
      </c>
      <c r="AF5" s="221">
        <v>0</v>
      </c>
      <c r="AG5" s="221">
        <v>0</v>
      </c>
      <c r="AH5" s="221">
        <v>0</v>
      </c>
      <c r="AI5" s="221">
        <v>0</v>
      </c>
      <c r="AJ5"/>
    </row>
    <row r="6" spans="1:36" s="125" customFormat="1" x14ac:dyDescent="0.2">
      <c r="A6" s="120" t="s">
        <v>192</v>
      </c>
      <c r="B6" s="220">
        <v>0</v>
      </c>
      <c r="C6" s="220">
        <v>3.0000000000000001E-3</v>
      </c>
      <c r="D6" s="220">
        <v>0</v>
      </c>
      <c r="E6" s="220">
        <v>0</v>
      </c>
      <c r="F6" s="220">
        <v>3.0000000000000001E-3</v>
      </c>
      <c r="G6" s="220">
        <v>0</v>
      </c>
      <c r="H6" s="220">
        <v>0</v>
      </c>
      <c r="I6" s="220">
        <v>0</v>
      </c>
      <c r="J6" s="220">
        <v>0</v>
      </c>
      <c r="K6" s="220">
        <v>0</v>
      </c>
      <c r="L6" s="220">
        <v>0</v>
      </c>
      <c r="M6" s="220">
        <v>0</v>
      </c>
      <c r="N6" s="220">
        <v>0</v>
      </c>
      <c r="O6" s="220">
        <v>0</v>
      </c>
      <c r="P6" s="220">
        <v>0</v>
      </c>
      <c r="Q6" s="220">
        <v>0</v>
      </c>
      <c r="R6" s="220">
        <v>0</v>
      </c>
      <c r="S6" s="220">
        <v>0</v>
      </c>
      <c r="T6" s="220">
        <v>0</v>
      </c>
      <c r="U6" s="220">
        <v>0</v>
      </c>
      <c r="V6" s="220">
        <v>0</v>
      </c>
      <c r="W6" s="220">
        <v>0</v>
      </c>
      <c r="X6" s="220">
        <v>0</v>
      </c>
      <c r="Y6" s="220">
        <v>0</v>
      </c>
      <c r="Z6" s="220">
        <v>0</v>
      </c>
      <c r="AA6" s="220">
        <v>0</v>
      </c>
      <c r="AB6" s="220">
        <v>0</v>
      </c>
      <c r="AC6" s="220">
        <v>0</v>
      </c>
      <c r="AD6" s="220">
        <v>0</v>
      </c>
      <c r="AE6" s="220">
        <v>0</v>
      </c>
      <c r="AF6" s="221">
        <v>0</v>
      </c>
      <c r="AG6" s="221">
        <v>0</v>
      </c>
      <c r="AH6" s="221">
        <v>0</v>
      </c>
      <c r="AI6" s="221">
        <v>0</v>
      </c>
      <c r="AJ6"/>
    </row>
    <row r="7" spans="1:36" s="125" customFormat="1" x14ac:dyDescent="0.2">
      <c r="A7" s="120" t="s">
        <v>193</v>
      </c>
      <c r="B7" s="220">
        <v>0.20699999999999999</v>
      </c>
      <c r="C7" s="220">
        <v>0</v>
      </c>
      <c r="D7" s="220">
        <v>0</v>
      </c>
      <c r="E7" s="220">
        <v>0.19500000000000001</v>
      </c>
      <c r="F7" s="220">
        <v>0.109</v>
      </c>
      <c r="G7" s="220">
        <v>7.0000000000000001E-3</v>
      </c>
      <c r="H7" s="220">
        <v>0</v>
      </c>
      <c r="I7" s="220">
        <v>0</v>
      </c>
      <c r="J7" s="220">
        <v>0</v>
      </c>
      <c r="K7" s="220">
        <v>1E-3</v>
      </c>
      <c r="L7" s="220">
        <v>0.01</v>
      </c>
      <c r="M7" s="220">
        <v>0.16700000000000001</v>
      </c>
      <c r="N7" s="220">
        <v>0.08</v>
      </c>
      <c r="O7" s="220">
        <v>2E-3</v>
      </c>
      <c r="P7" s="220">
        <v>0.151</v>
      </c>
      <c r="Q7" s="220">
        <v>1.0999999999999999E-2</v>
      </c>
      <c r="R7" s="220">
        <v>2E-3</v>
      </c>
      <c r="S7" s="220">
        <v>0</v>
      </c>
      <c r="T7" s="220">
        <v>0</v>
      </c>
      <c r="U7" s="220">
        <v>0</v>
      </c>
      <c r="V7" s="220">
        <v>0</v>
      </c>
      <c r="W7" s="220">
        <v>0</v>
      </c>
      <c r="X7" s="220">
        <v>0.12</v>
      </c>
      <c r="Y7" s="220">
        <v>0</v>
      </c>
      <c r="Z7" s="220">
        <v>0</v>
      </c>
      <c r="AA7" s="220">
        <v>0</v>
      </c>
      <c r="AB7" s="220">
        <v>0</v>
      </c>
      <c r="AC7" s="220">
        <v>0</v>
      </c>
      <c r="AD7" s="220">
        <v>0</v>
      </c>
      <c r="AE7" s="220">
        <v>0</v>
      </c>
      <c r="AF7" s="221">
        <v>0</v>
      </c>
      <c r="AG7" s="221">
        <v>0</v>
      </c>
      <c r="AH7" s="221">
        <v>0</v>
      </c>
      <c r="AI7" s="221">
        <v>0</v>
      </c>
      <c r="AJ7"/>
    </row>
    <row r="8" spans="1:36" s="125" customFormat="1" x14ac:dyDescent="0.2">
      <c r="A8" s="120" t="s">
        <v>194</v>
      </c>
      <c r="B8" s="220">
        <v>0.26700000000000002</v>
      </c>
      <c r="C8" s="220">
        <v>8.0000000000000002E-3</v>
      </c>
      <c r="D8" s="220">
        <v>0</v>
      </c>
      <c r="E8" s="220">
        <v>0.11</v>
      </c>
      <c r="F8" s="220">
        <v>0.105</v>
      </c>
      <c r="G8" s="220">
        <v>0</v>
      </c>
      <c r="H8" s="220">
        <v>0</v>
      </c>
      <c r="I8" s="220">
        <v>0</v>
      </c>
      <c r="J8" s="220">
        <v>0</v>
      </c>
      <c r="K8" s="220">
        <v>0</v>
      </c>
      <c r="L8" s="220">
        <v>7.0000000000000001E-3</v>
      </c>
      <c r="M8" s="220">
        <v>4.2000000000000003E-2</v>
      </c>
      <c r="N8" s="220">
        <v>6.6000000000000003E-2</v>
      </c>
      <c r="O8" s="220">
        <v>2E-3</v>
      </c>
      <c r="P8" s="220">
        <v>0.155</v>
      </c>
      <c r="Q8" s="220">
        <v>0</v>
      </c>
      <c r="R8" s="220">
        <v>0</v>
      </c>
      <c r="S8" s="220">
        <v>0</v>
      </c>
      <c r="T8" s="220">
        <v>0</v>
      </c>
      <c r="U8" s="220">
        <v>0</v>
      </c>
      <c r="V8" s="220">
        <v>0</v>
      </c>
      <c r="W8" s="220">
        <v>0</v>
      </c>
      <c r="X8" s="220">
        <v>0.04</v>
      </c>
      <c r="Y8" s="220">
        <v>0</v>
      </c>
      <c r="Z8" s="220">
        <v>0</v>
      </c>
      <c r="AA8" s="220">
        <v>0</v>
      </c>
      <c r="AB8" s="220">
        <v>0</v>
      </c>
      <c r="AC8" s="220">
        <v>0</v>
      </c>
      <c r="AD8" s="220">
        <v>0</v>
      </c>
      <c r="AE8" s="220">
        <v>0</v>
      </c>
      <c r="AF8" s="221">
        <v>0</v>
      </c>
      <c r="AG8" s="221">
        <v>0</v>
      </c>
      <c r="AH8" s="221">
        <v>0</v>
      </c>
      <c r="AI8" s="221">
        <v>0</v>
      </c>
      <c r="AJ8"/>
    </row>
    <row r="9" spans="1:36" s="125" customFormat="1" x14ac:dyDescent="0.2">
      <c r="A9" s="120" t="s">
        <v>195</v>
      </c>
      <c r="B9" s="220">
        <v>0.05</v>
      </c>
      <c r="C9" s="220">
        <v>1.6E-2</v>
      </c>
      <c r="D9" s="220">
        <v>0</v>
      </c>
      <c r="E9" s="220">
        <v>3.0000000000000001E-3</v>
      </c>
      <c r="F9" s="220">
        <v>6.5000000000000002E-2</v>
      </c>
      <c r="G9" s="220">
        <v>0</v>
      </c>
      <c r="H9" s="220">
        <v>0</v>
      </c>
      <c r="I9" s="220">
        <v>0</v>
      </c>
      <c r="J9" s="220">
        <v>0</v>
      </c>
      <c r="K9" s="220">
        <v>0</v>
      </c>
      <c r="L9" s="220">
        <v>0</v>
      </c>
      <c r="M9" s="220">
        <v>0</v>
      </c>
      <c r="N9" s="220">
        <v>2E-3</v>
      </c>
      <c r="O9" s="220">
        <v>0</v>
      </c>
      <c r="P9" s="220">
        <v>2.1999999999999999E-2</v>
      </c>
      <c r="Q9" s="220">
        <v>0</v>
      </c>
      <c r="R9" s="220">
        <v>0</v>
      </c>
      <c r="S9" s="220">
        <v>0</v>
      </c>
      <c r="T9" s="220">
        <v>0</v>
      </c>
      <c r="U9" s="220">
        <v>0</v>
      </c>
      <c r="V9" s="220">
        <v>0</v>
      </c>
      <c r="W9" s="220">
        <v>0</v>
      </c>
      <c r="X9" s="220">
        <v>1E-3</v>
      </c>
      <c r="Y9" s="220">
        <v>0</v>
      </c>
      <c r="Z9" s="220">
        <v>0</v>
      </c>
      <c r="AA9" s="220">
        <v>0</v>
      </c>
      <c r="AB9" s="220">
        <v>0</v>
      </c>
      <c r="AC9" s="220">
        <v>0</v>
      </c>
      <c r="AD9" s="220">
        <v>0</v>
      </c>
      <c r="AE9" s="220">
        <v>0</v>
      </c>
      <c r="AF9" s="221">
        <v>0</v>
      </c>
      <c r="AG9" s="221">
        <v>0</v>
      </c>
      <c r="AH9" s="221">
        <v>0</v>
      </c>
      <c r="AI9" s="221">
        <v>0</v>
      </c>
      <c r="AJ9"/>
    </row>
    <row r="10" spans="1:36" s="125" customFormat="1" x14ac:dyDescent="0.2">
      <c r="A10" s="120" t="s">
        <v>196</v>
      </c>
      <c r="B10" s="220">
        <v>0.19600000000000001</v>
      </c>
      <c r="C10" s="220">
        <v>6.2E-2</v>
      </c>
      <c r="D10" s="220">
        <v>0</v>
      </c>
      <c r="E10" s="220">
        <v>0.105</v>
      </c>
      <c r="F10" s="220">
        <v>0.19</v>
      </c>
      <c r="G10" s="220">
        <v>0</v>
      </c>
      <c r="H10" s="220">
        <v>0</v>
      </c>
      <c r="I10" s="220">
        <v>0</v>
      </c>
      <c r="J10" s="220">
        <v>0</v>
      </c>
      <c r="K10" s="220">
        <v>0</v>
      </c>
      <c r="L10" s="220">
        <v>0</v>
      </c>
      <c r="M10" s="220">
        <v>2.9000000000000001E-2</v>
      </c>
      <c r="N10" s="220">
        <v>6.9000000000000006E-2</v>
      </c>
      <c r="O10" s="220">
        <v>0</v>
      </c>
      <c r="P10" s="220">
        <v>0.107</v>
      </c>
      <c r="Q10" s="220">
        <v>0</v>
      </c>
      <c r="R10" s="220">
        <v>0</v>
      </c>
      <c r="S10" s="220">
        <v>0</v>
      </c>
      <c r="T10" s="220">
        <v>0</v>
      </c>
      <c r="U10" s="220">
        <v>0</v>
      </c>
      <c r="V10" s="220">
        <v>0</v>
      </c>
      <c r="W10" s="220">
        <v>0</v>
      </c>
      <c r="X10" s="220">
        <v>5.0000000000000001E-3</v>
      </c>
      <c r="Y10" s="220">
        <v>0</v>
      </c>
      <c r="Z10" s="220">
        <v>0</v>
      </c>
      <c r="AA10" s="220">
        <v>0</v>
      </c>
      <c r="AB10" s="220">
        <v>0</v>
      </c>
      <c r="AC10" s="220">
        <v>0</v>
      </c>
      <c r="AD10" s="220">
        <v>0</v>
      </c>
      <c r="AE10" s="220">
        <v>0</v>
      </c>
      <c r="AF10" s="221">
        <v>0</v>
      </c>
      <c r="AG10" s="221">
        <v>0</v>
      </c>
      <c r="AH10" s="221">
        <v>0</v>
      </c>
      <c r="AI10" s="221">
        <v>0</v>
      </c>
      <c r="AJ10"/>
    </row>
    <row r="11" spans="1:36" s="125" customFormat="1" x14ac:dyDescent="0.2">
      <c r="A11" s="120" t="s">
        <v>197</v>
      </c>
      <c r="B11" s="220">
        <v>0.01</v>
      </c>
      <c r="C11" s="220">
        <v>0.01</v>
      </c>
      <c r="D11" s="220">
        <v>0</v>
      </c>
      <c r="E11" s="220">
        <v>0</v>
      </c>
      <c r="F11" s="220">
        <v>1.4999999999999999E-2</v>
      </c>
      <c r="G11" s="220">
        <v>0</v>
      </c>
      <c r="H11" s="220">
        <v>0</v>
      </c>
      <c r="I11" s="220">
        <v>0</v>
      </c>
      <c r="J11" s="220">
        <v>0</v>
      </c>
      <c r="K11" s="220">
        <v>0</v>
      </c>
      <c r="L11" s="220">
        <v>0</v>
      </c>
      <c r="M11" s="220">
        <v>0</v>
      </c>
      <c r="N11" s="220">
        <v>0</v>
      </c>
      <c r="O11" s="220">
        <v>0</v>
      </c>
      <c r="P11" s="220">
        <v>8.0000000000000002E-3</v>
      </c>
      <c r="Q11" s="220">
        <v>0</v>
      </c>
      <c r="R11" s="220">
        <v>0</v>
      </c>
      <c r="S11" s="220">
        <v>0</v>
      </c>
      <c r="T11" s="220">
        <v>0</v>
      </c>
      <c r="U11" s="220">
        <v>0</v>
      </c>
      <c r="V11" s="220">
        <v>0</v>
      </c>
      <c r="W11" s="220">
        <v>0</v>
      </c>
      <c r="X11" s="220">
        <v>0</v>
      </c>
      <c r="Y11" s="220">
        <v>0</v>
      </c>
      <c r="Z11" s="220">
        <v>0</v>
      </c>
      <c r="AA11" s="220">
        <v>0</v>
      </c>
      <c r="AB11" s="220">
        <v>0</v>
      </c>
      <c r="AC11" s="220">
        <v>0</v>
      </c>
      <c r="AD11" s="220">
        <v>0</v>
      </c>
      <c r="AE11" s="220">
        <v>0</v>
      </c>
      <c r="AF11" s="221">
        <v>0</v>
      </c>
      <c r="AG11" s="221">
        <v>0</v>
      </c>
      <c r="AH11" s="221">
        <v>0</v>
      </c>
      <c r="AI11" s="221">
        <v>0</v>
      </c>
      <c r="AJ11"/>
    </row>
    <row r="12" spans="1:36" s="125" customFormat="1" x14ac:dyDescent="0.2">
      <c r="A12" s="120" t="s">
        <v>198</v>
      </c>
      <c r="B12" s="220">
        <v>9.5000000000000001E-2</v>
      </c>
      <c r="C12" s="220">
        <v>8.0000000000000002E-3</v>
      </c>
      <c r="D12" s="220">
        <v>0</v>
      </c>
      <c r="E12" s="220">
        <v>0.05</v>
      </c>
      <c r="F12" s="220">
        <v>0.115</v>
      </c>
      <c r="G12" s="220">
        <v>0</v>
      </c>
      <c r="H12" s="220">
        <v>0</v>
      </c>
      <c r="I12" s="220">
        <v>0</v>
      </c>
      <c r="J12" s="220">
        <v>0</v>
      </c>
      <c r="K12" s="220">
        <v>0</v>
      </c>
      <c r="L12" s="220">
        <v>0</v>
      </c>
      <c r="M12" s="220">
        <v>8.0000000000000002E-3</v>
      </c>
      <c r="N12" s="220">
        <v>2.8000000000000001E-2</v>
      </c>
      <c r="O12" s="220">
        <v>0</v>
      </c>
      <c r="P12" s="220">
        <v>0.09</v>
      </c>
      <c r="Q12" s="220">
        <v>0</v>
      </c>
      <c r="R12" s="220">
        <v>0</v>
      </c>
      <c r="S12" s="220">
        <v>0</v>
      </c>
      <c r="T12" s="220">
        <v>0</v>
      </c>
      <c r="U12" s="220">
        <v>0</v>
      </c>
      <c r="V12" s="220">
        <v>0</v>
      </c>
      <c r="W12" s="220">
        <v>0</v>
      </c>
      <c r="X12" s="220">
        <v>0</v>
      </c>
      <c r="Y12" s="220">
        <v>0</v>
      </c>
      <c r="Z12" s="220">
        <v>0</v>
      </c>
      <c r="AA12" s="220">
        <v>0</v>
      </c>
      <c r="AB12" s="220">
        <v>0</v>
      </c>
      <c r="AC12" s="220">
        <v>0</v>
      </c>
      <c r="AD12" s="220">
        <v>0</v>
      </c>
      <c r="AE12" s="220">
        <v>0</v>
      </c>
      <c r="AF12" s="221">
        <v>0</v>
      </c>
      <c r="AG12" s="221">
        <v>0</v>
      </c>
      <c r="AH12" s="221">
        <v>0</v>
      </c>
      <c r="AI12" s="221">
        <v>0</v>
      </c>
      <c r="AJ12"/>
    </row>
    <row r="13" spans="1:36" s="125" customFormat="1" x14ac:dyDescent="0.2">
      <c r="A13" s="120" t="s">
        <v>199</v>
      </c>
      <c r="B13" s="220">
        <v>0.02</v>
      </c>
      <c r="C13" s="220">
        <v>0.01</v>
      </c>
      <c r="D13" s="220">
        <v>0</v>
      </c>
      <c r="E13" s="220">
        <v>0</v>
      </c>
      <c r="F13" s="220">
        <v>0.14499999999999999</v>
      </c>
      <c r="G13" s="220">
        <v>0</v>
      </c>
      <c r="H13" s="220">
        <v>0</v>
      </c>
      <c r="I13" s="220">
        <v>0</v>
      </c>
      <c r="J13" s="220">
        <v>0</v>
      </c>
      <c r="K13" s="220">
        <v>0</v>
      </c>
      <c r="L13" s="220">
        <v>0</v>
      </c>
      <c r="M13" s="220">
        <v>0</v>
      </c>
      <c r="N13" s="220">
        <v>0</v>
      </c>
      <c r="O13" s="220">
        <v>0</v>
      </c>
      <c r="P13" s="220">
        <v>3.0000000000000001E-3</v>
      </c>
      <c r="Q13" s="220">
        <v>0</v>
      </c>
      <c r="R13" s="220">
        <v>0</v>
      </c>
      <c r="S13" s="220">
        <v>0</v>
      </c>
      <c r="T13" s="220">
        <v>0</v>
      </c>
      <c r="U13" s="220">
        <v>0</v>
      </c>
      <c r="V13" s="220">
        <v>0</v>
      </c>
      <c r="W13" s="220">
        <v>0</v>
      </c>
      <c r="X13" s="220">
        <v>0</v>
      </c>
      <c r="Y13" s="220">
        <v>0</v>
      </c>
      <c r="Z13" s="220">
        <v>0</v>
      </c>
      <c r="AA13" s="220">
        <v>0</v>
      </c>
      <c r="AB13" s="220">
        <v>0</v>
      </c>
      <c r="AC13" s="220">
        <v>0</v>
      </c>
      <c r="AD13" s="220">
        <v>0</v>
      </c>
      <c r="AE13" s="220">
        <v>0</v>
      </c>
      <c r="AF13" s="221">
        <v>0</v>
      </c>
      <c r="AG13" s="221">
        <v>0</v>
      </c>
      <c r="AH13" s="221">
        <v>0</v>
      </c>
      <c r="AI13" s="221">
        <v>0</v>
      </c>
      <c r="AJ13"/>
    </row>
    <row r="14" spans="1:36" s="125" customFormat="1" x14ac:dyDescent="0.2">
      <c r="A14" s="120" t="s">
        <v>200</v>
      </c>
      <c r="B14" s="220">
        <v>0.01</v>
      </c>
      <c r="C14" s="220">
        <v>0.26</v>
      </c>
      <c r="D14" s="220">
        <v>0</v>
      </c>
      <c r="E14" s="220">
        <v>0</v>
      </c>
      <c r="F14" s="220">
        <v>2.5000000000000001E-2</v>
      </c>
      <c r="G14" s="220">
        <v>0</v>
      </c>
      <c r="H14" s="220">
        <v>0</v>
      </c>
      <c r="I14" s="220">
        <v>0</v>
      </c>
      <c r="J14" s="220">
        <v>0</v>
      </c>
      <c r="K14" s="220">
        <v>0</v>
      </c>
      <c r="L14" s="220">
        <v>0</v>
      </c>
      <c r="M14" s="220">
        <v>0</v>
      </c>
      <c r="N14" s="220">
        <v>8.0000000000000002E-3</v>
      </c>
      <c r="O14" s="220">
        <v>0</v>
      </c>
      <c r="P14" s="220">
        <v>0.01</v>
      </c>
      <c r="Q14" s="220">
        <v>4.0000000000000001E-3</v>
      </c>
      <c r="R14" s="220">
        <v>0</v>
      </c>
      <c r="S14" s="220">
        <v>0</v>
      </c>
      <c r="T14" s="220">
        <v>0</v>
      </c>
      <c r="U14" s="220">
        <v>0</v>
      </c>
      <c r="V14" s="220">
        <v>0</v>
      </c>
      <c r="W14" s="220">
        <v>0</v>
      </c>
      <c r="X14" s="220">
        <v>0</v>
      </c>
      <c r="Y14" s="220">
        <v>0</v>
      </c>
      <c r="Z14" s="220">
        <v>0</v>
      </c>
      <c r="AA14" s="220">
        <v>0</v>
      </c>
      <c r="AB14" s="220">
        <v>0</v>
      </c>
      <c r="AC14" s="220">
        <v>0</v>
      </c>
      <c r="AD14" s="220">
        <v>0</v>
      </c>
      <c r="AE14" s="220">
        <v>0</v>
      </c>
      <c r="AF14" s="221">
        <v>0</v>
      </c>
      <c r="AG14" s="221">
        <v>0</v>
      </c>
      <c r="AH14" s="221">
        <v>0</v>
      </c>
      <c r="AI14" s="221">
        <v>0</v>
      </c>
      <c r="AJ14"/>
    </row>
    <row r="15" spans="1:36" s="125" customFormat="1" x14ac:dyDescent="0.2">
      <c r="A15" s="120" t="s">
        <v>201</v>
      </c>
      <c r="B15" s="220">
        <v>0.1</v>
      </c>
      <c r="C15" s="220">
        <v>0.28999999999999998</v>
      </c>
      <c r="D15" s="220">
        <v>1E-3</v>
      </c>
      <c r="E15" s="220">
        <v>1E-3</v>
      </c>
      <c r="F15" s="220">
        <v>3.5000000000000003E-2</v>
      </c>
      <c r="G15" s="220">
        <v>0</v>
      </c>
      <c r="H15" s="220">
        <v>0</v>
      </c>
      <c r="I15" s="220">
        <v>0</v>
      </c>
      <c r="J15" s="220">
        <v>0</v>
      </c>
      <c r="K15" s="220">
        <v>0</v>
      </c>
      <c r="L15" s="220">
        <v>0</v>
      </c>
      <c r="M15" s="220">
        <v>0</v>
      </c>
      <c r="N15" s="220">
        <v>0.23799999999999999</v>
      </c>
      <c r="O15" s="220">
        <v>3.5000000000000003E-2</v>
      </c>
      <c r="P15" s="220">
        <v>8.6999999999999994E-2</v>
      </c>
      <c r="Q15" s="220">
        <v>4.0000000000000001E-3</v>
      </c>
      <c r="R15" s="220">
        <v>0</v>
      </c>
      <c r="S15" s="220">
        <v>0</v>
      </c>
      <c r="T15" s="220">
        <v>0</v>
      </c>
      <c r="U15" s="220">
        <v>0</v>
      </c>
      <c r="V15" s="220">
        <v>0</v>
      </c>
      <c r="W15" s="220">
        <v>0</v>
      </c>
      <c r="X15" s="220">
        <v>0.02</v>
      </c>
      <c r="Y15" s="220">
        <v>1E-3</v>
      </c>
      <c r="Z15" s="220">
        <v>0</v>
      </c>
      <c r="AA15" s="220">
        <v>0</v>
      </c>
      <c r="AB15" s="220">
        <v>0</v>
      </c>
      <c r="AC15" s="220">
        <v>0</v>
      </c>
      <c r="AD15" s="220">
        <v>0</v>
      </c>
      <c r="AE15" s="220">
        <v>0</v>
      </c>
      <c r="AF15" s="221">
        <v>0</v>
      </c>
      <c r="AG15" s="221">
        <v>0</v>
      </c>
      <c r="AH15" s="221">
        <v>0</v>
      </c>
      <c r="AI15" s="221">
        <v>0</v>
      </c>
      <c r="AJ15"/>
    </row>
    <row r="16" spans="1:36" s="125" customFormat="1" x14ac:dyDescent="0.2">
      <c r="A16" s="120" t="s">
        <v>273</v>
      </c>
      <c r="B16" s="220">
        <v>0</v>
      </c>
      <c r="C16" s="220">
        <v>7.0000000000000001E-3</v>
      </c>
      <c r="D16" s="220">
        <v>0</v>
      </c>
      <c r="E16" s="220">
        <v>0</v>
      </c>
      <c r="F16" s="220">
        <v>8.0000000000000002E-3</v>
      </c>
      <c r="G16" s="220">
        <v>0</v>
      </c>
      <c r="H16" s="220">
        <v>0</v>
      </c>
      <c r="I16" s="220">
        <v>0</v>
      </c>
      <c r="J16" s="220">
        <v>0</v>
      </c>
      <c r="K16" s="220">
        <v>0</v>
      </c>
      <c r="L16" s="220">
        <v>0</v>
      </c>
      <c r="M16" s="220">
        <v>0</v>
      </c>
      <c r="N16" s="220">
        <v>0</v>
      </c>
      <c r="O16" s="220">
        <v>0</v>
      </c>
      <c r="P16" s="220">
        <v>5.0000000000000001E-3</v>
      </c>
      <c r="Q16" s="220">
        <v>0</v>
      </c>
      <c r="R16" s="220">
        <v>0</v>
      </c>
      <c r="S16" s="220">
        <v>0</v>
      </c>
      <c r="T16" s="220">
        <v>0</v>
      </c>
      <c r="U16" s="220">
        <v>0</v>
      </c>
      <c r="V16" s="220">
        <v>0</v>
      </c>
      <c r="W16" s="220">
        <v>0</v>
      </c>
      <c r="X16" s="220">
        <v>0</v>
      </c>
      <c r="Y16" s="220">
        <v>0</v>
      </c>
      <c r="Z16" s="220">
        <v>0</v>
      </c>
      <c r="AA16" s="220">
        <v>0</v>
      </c>
      <c r="AB16" s="220">
        <v>0</v>
      </c>
      <c r="AC16" s="220">
        <v>0</v>
      </c>
      <c r="AD16" s="220">
        <v>0</v>
      </c>
      <c r="AE16" s="220">
        <v>0</v>
      </c>
      <c r="AF16" s="221">
        <v>0</v>
      </c>
      <c r="AG16" s="221">
        <v>0</v>
      </c>
      <c r="AH16" s="221">
        <v>0</v>
      </c>
      <c r="AI16" s="221">
        <v>0</v>
      </c>
      <c r="AJ16"/>
    </row>
    <row r="17" spans="1:36" s="125" customFormat="1" x14ac:dyDescent="0.2">
      <c r="A17" s="120" t="s">
        <v>202</v>
      </c>
      <c r="B17" s="220">
        <v>0</v>
      </c>
      <c r="C17" s="220">
        <v>4.3999999999999997E-2</v>
      </c>
      <c r="D17" s="220">
        <v>0</v>
      </c>
      <c r="E17" s="220">
        <v>0</v>
      </c>
      <c r="F17" s="220">
        <v>3.0000000000000001E-3</v>
      </c>
      <c r="G17" s="220">
        <v>0</v>
      </c>
      <c r="H17" s="220">
        <v>0</v>
      </c>
      <c r="I17" s="220">
        <v>0</v>
      </c>
      <c r="J17" s="220">
        <v>0</v>
      </c>
      <c r="K17" s="220">
        <v>0</v>
      </c>
      <c r="L17" s="220">
        <v>0</v>
      </c>
      <c r="M17" s="220">
        <v>0</v>
      </c>
      <c r="N17" s="220">
        <v>2E-3</v>
      </c>
      <c r="O17" s="220">
        <v>0</v>
      </c>
      <c r="P17" s="220">
        <v>8.0000000000000002E-3</v>
      </c>
      <c r="Q17" s="220">
        <v>1.4999999999999999E-2</v>
      </c>
      <c r="R17" s="220">
        <v>0</v>
      </c>
      <c r="S17" s="220">
        <v>0</v>
      </c>
      <c r="T17" s="220">
        <v>0</v>
      </c>
      <c r="U17" s="220">
        <v>0</v>
      </c>
      <c r="V17" s="220">
        <v>0</v>
      </c>
      <c r="W17" s="220">
        <v>0</v>
      </c>
      <c r="X17" s="220">
        <v>0</v>
      </c>
      <c r="Y17" s="220">
        <v>0</v>
      </c>
      <c r="Z17" s="220">
        <v>0</v>
      </c>
      <c r="AA17" s="220">
        <v>0</v>
      </c>
      <c r="AB17" s="220">
        <v>0</v>
      </c>
      <c r="AC17" s="220">
        <v>0</v>
      </c>
      <c r="AD17" s="220">
        <v>0</v>
      </c>
      <c r="AE17" s="220">
        <v>0</v>
      </c>
      <c r="AF17" s="221">
        <v>0</v>
      </c>
      <c r="AG17" s="221">
        <v>0</v>
      </c>
      <c r="AH17" s="221">
        <v>0</v>
      </c>
      <c r="AI17" s="221">
        <v>0</v>
      </c>
      <c r="AJ17"/>
    </row>
    <row r="18" spans="1:36" s="125" customFormat="1" x14ac:dyDescent="0.2">
      <c r="A18" s="120" t="s">
        <v>203</v>
      </c>
      <c r="B18" s="220">
        <v>0</v>
      </c>
      <c r="C18" s="220">
        <v>5.8999999999999997E-2</v>
      </c>
      <c r="D18" s="220">
        <v>1E-3</v>
      </c>
      <c r="E18" s="220">
        <v>0</v>
      </c>
      <c r="F18" s="220">
        <v>3.0000000000000001E-3</v>
      </c>
      <c r="G18" s="220">
        <v>0</v>
      </c>
      <c r="H18" s="220">
        <v>0</v>
      </c>
      <c r="I18" s="220">
        <v>0</v>
      </c>
      <c r="J18" s="220">
        <v>0</v>
      </c>
      <c r="K18" s="220">
        <v>0</v>
      </c>
      <c r="L18" s="220">
        <v>0</v>
      </c>
      <c r="M18" s="220">
        <v>0</v>
      </c>
      <c r="N18" s="220">
        <v>0</v>
      </c>
      <c r="O18" s="220">
        <v>0</v>
      </c>
      <c r="P18" s="220">
        <v>2.1999999999999999E-2</v>
      </c>
      <c r="Q18" s="220">
        <v>0.35799999999999998</v>
      </c>
      <c r="R18" s="220">
        <v>1.0999999999999999E-2</v>
      </c>
      <c r="S18" s="220">
        <v>0</v>
      </c>
      <c r="T18" s="220">
        <v>0</v>
      </c>
      <c r="U18" s="220">
        <v>0</v>
      </c>
      <c r="V18" s="220">
        <v>0</v>
      </c>
      <c r="W18" s="220">
        <v>0.01</v>
      </c>
      <c r="X18" s="220">
        <v>1E-3</v>
      </c>
      <c r="Y18" s="220">
        <v>1E-3</v>
      </c>
      <c r="Z18" s="220">
        <v>0</v>
      </c>
      <c r="AA18" s="220">
        <v>0</v>
      </c>
      <c r="AB18" s="220">
        <v>0</v>
      </c>
      <c r="AC18" s="220">
        <v>0</v>
      </c>
      <c r="AD18" s="220">
        <v>0</v>
      </c>
      <c r="AE18" s="220">
        <v>0</v>
      </c>
      <c r="AF18" s="221">
        <v>0</v>
      </c>
      <c r="AG18" s="221">
        <v>0</v>
      </c>
      <c r="AH18" s="221">
        <v>0</v>
      </c>
      <c r="AI18" s="221">
        <v>0</v>
      </c>
      <c r="AJ18"/>
    </row>
    <row r="19" spans="1:36" s="125" customFormat="1" x14ac:dyDescent="0.2">
      <c r="A19" s="120" t="s">
        <v>204</v>
      </c>
      <c r="B19" s="220">
        <v>0</v>
      </c>
      <c r="C19" s="220">
        <v>4.9000000000000002E-2</v>
      </c>
      <c r="D19" s="220">
        <v>0</v>
      </c>
      <c r="E19" s="220">
        <v>0</v>
      </c>
      <c r="F19" s="220">
        <v>3.0000000000000001E-3</v>
      </c>
      <c r="G19" s="220">
        <v>0</v>
      </c>
      <c r="H19" s="220">
        <v>0</v>
      </c>
      <c r="I19" s="220">
        <v>0</v>
      </c>
      <c r="J19" s="220">
        <v>0</v>
      </c>
      <c r="K19" s="220">
        <v>0</v>
      </c>
      <c r="L19" s="220">
        <v>0</v>
      </c>
      <c r="M19" s="220">
        <v>0</v>
      </c>
      <c r="N19" s="220">
        <v>0</v>
      </c>
      <c r="O19" s="220">
        <v>0</v>
      </c>
      <c r="P19" s="220">
        <v>2.1999999999999999E-2</v>
      </c>
      <c r="Q19" s="220">
        <v>2.9000000000000001E-2</v>
      </c>
      <c r="R19" s="220">
        <v>0</v>
      </c>
      <c r="S19" s="220">
        <v>0</v>
      </c>
      <c r="T19" s="220">
        <v>0</v>
      </c>
      <c r="U19" s="220">
        <v>0</v>
      </c>
      <c r="V19" s="220">
        <v>0</v>
      </c>
      <c r="W19" s="220">
        <v>8.0000000000000002E-3</v>
      </c>
      <c r="X19" s="220">
        <v>1E-3</v>
      </c>
      <c r="Y19" s="220">
        <v>0</v>
      </c>
      <c r="Z19" s="220">
        <v>0</v>
      </c>
      <c r="AA19" s="220">
        <v>0</v>
      </c>
      <c r="AB19" s="220">
        <v>0</v>
      </c>
      <c r="AC19" s="220">
        <v>0</v>
      </c>
      <c r="AD19" s="220">
        <v>0</v>
      </c>
      <c r="AE19" s="220">
        <v>0</v>
      </c>
      <c r="AF19" s="221">
        <v>0</v>
      </c>
      <c r="AG19" s="221">
        <v>0</v>
      </c>
      <c r="AH19" s="221">
        <v>0</v>
      </c>
      <c r="AI19" s="221">
        <v>0</v>
      </c>
      <c r="AJ19"/>
    </row>
    <row r="20" spans="1:36" s="125" customFormat="1" x14ac:dyDescent="0.2">
      <c r="A20" s="120" t="s">
        <v>205</v>
      </c>
      <c r="B20" s="220">
        <v>0</v>
      </c>
      <c r="C20" s="220">
        <v>1.6E-2</v>
      </c>
      <c r="D20" s="220">
        <v>0</v>
      </c>
      <c r="E20" s="220">
        <v>0</v>
      </c>
      <c r="F20" s="220">
        <v>3.0000000000000001E-3</v>
      </c>
      <c r="G20" s="220">
        <v>0</v>
      </c>
      <c r="H20" s="220">
        <v>0</v>
      </c>
      <c r="I20" s="220">
        <v>0</v>
      </c>
      <c r="J20" s="220">
        <v>0</v>
      </c>
      <c r="K20" s="220">
        <v>0</v>
      </c>
      <c r="L20" s="220">
        <v>0</v>
      </c>
      <c r="M20" s="220">
        <v>0</v>
      </c>
      <c r="N20" s="220">
        <v>0</v>
      </c>
      <c r="O20" s="220">
        <v>0</v>
      </c>
      <c r="P20" s="220">
        <v>8.0000000000000002E-3</v>
      </c>
      <c r="Q20" s="220">
        <v>1.0999999999999999E-2</v>
      </c>
      <c r="R20" s="220">
        <v>0</v>
      </c>
      <c r="S20" s="220">
        <v>0</v>
      </c>
      <c r="T20" s="220">
        <v>0</v>
      </c>
      <c r="U20" s="220">
        <v>0</v>
      </c>
      <c r="V20" s="220">
        <v>0</v>
      </c>
      <c r="W20" s="220">
        <v>3.0000000000000001E-3</v>
      </c>
      <c r="X20" s="220">
        <v>0</v>
      </c>
      <c r="Y20" s="220">
        <v>0</v>
      </c>
      <c r="Z20" s="220">
        <v>0</v>
      </c>
      <c r="AA20" s="220">
        <v>0</v>
      </c>
      <c r="AB20" s="220">
        <v>0</v>
      </c>
      <c r="AC20" s="220">
        <v>0</v>
      </c>
      <c r="AD20" s="220">
        <v>0</v>
      </c>
      <c r="AE20" s="220">
        <v>0</v>
      </c>
      <c r="AF20" s="221">
        <v>0</v>
      </c>
      <c r="AG20" s="221">
        <v>0</v>
      </c>
      <c r="AH20" s="221">
        <v>0</v>
      </c>
      <c r="AI20" s="221">
        <v>0</v>
      </c>
      <c r="AJ20"/>
    </row>
    <row r="21" spans="1:36" s="125" customFormat="1" x14ac:dyDescent="0.2">
      <c r="A21" s="120" t="s">
        <v>206</v>
      </c>
      <c r="B21" s="220">
        <v>0</v>
      </c>
      <c r="C21" s="220">
        <v>3.5000000000000003E-2</v>
      </c>
      <c r="D21" s="220">
        <v>0</v>
      </c>
      <c r="E21" s="220">
        <v>0</v>
      </c>
      <c r="F21" s="220">
        <v>5.0000000000000001E-3</v>
      </c>
      <c r="G21" s="220">
        <v>0</v>
      </c>
      <c r="H21" s="220">
        <v>0</v>
      </c>
      <c r="I21" s="220">
        <v>0</v>
      </c>
      <c r="J21" s="220">
        <v>0</v>
      </c>
      <c r="K21" s="220">
        <v>0</v>
      </c>
      <c r="L21" s="220">
        <v>0</v>
      </c>
      <c r="M21" s="220">
        <v>0</v>
      </c>
      <c r="N21" s="220">
        <v>0</v>
      </c>
      <c r="O21" s="220">
        <v>0</v>
      </c>
      <c r="P21" s="220">
        <v>0.03</v>
      </c>
      <c r="Q21" s="220">
        <v>5.8999999999999997E-2</v>
      </c>
      <c r="R21" s="220">
        <v>0</v>
      </c>
      <c r="S21" s="220">
        <v>0</v>
      </c>
      <c r="T21" s="220">
        <v>0</v>
      </c>
      <c r="U21" s="220">
        <v>0</v>
      </c>
      <c r="V21" s="220">
        <v>0</v>
      </c>
      <c r="W21" s="220">
        <v>3.0000000000000001E-3</v>
      </c>
      <c r="X21" s="220">
        <v>1E-3</v>
      </c>
      <c r="Y21" s="220">
        <v>1E-3</v>
      </c>
      <c r="Z21" s="220">
        <v>0</v>
      </c>
      <c r="AA21" s="220">
        <v>0</v>
      </c>
      <c r="AB21" s="220">
        <v>0</v>
      </c>
      <c r="AC21" s="220">
        <v>0</v>
      </c>
      <c r="AD21" s="220">
        <v>0</v>
      </c>
      <c r="AE21" s="220">
        <v>0</v>
      </c>
      <c r="AF21" s="221">
        <v>0</v>
      </c>
      <c r="AG21" s="221">
        <v>0</v>
      </c>
      <c r="AH21" s="221">
        <v>0</v>
      </c>
      <c r="AI21" s="221">
        <v>0</v>
      </c>
      <c r="AJ21"/>
    </row>
    <row r="22" spans="1:36" s="125" customFormat="1" x14ac:dyDescent="0.2">
      <c r="A22" s="120" t="s">
        <v>207</v>
      </c>
      <c r="B22" s="220">
        <v>0</v>
      </c>
      <c r="C22" s="220">
        <v>0</v>
      </c>
      <c r="D22" s="220">
        <v>0</v>
      </c>
      <c r="E22" s="220">
        <v>1E-3</v>
      </c>
      <c r="F22" s="220">
        <v>1E-3</v>
      </c>
      <c r="G22" s="220">
        <v>0</v>
      </c>
      <c r="H22" s="220">
        <v>0</v>
      </c>
      <c r="I22" s="220">
        <v>0</v>
      </c>
      <c r="J22" s="220">
        <v>0</v>
      </c>
      <c r="K22" s="220">
        <v>1E-3</v>
      </c>
      <c r="L22" s="220">
        <v>0</v>
      </c>
      <c r="M22" s="220">
        <v>1E-3</v>
      </c>
      <c r="N22" s="220">
        <v>1E-3</v>
      </c>
      <c r="O22" s="220">
        <v>5.0000000000000001E-4</v>
      </c>
      <c r="P22" s="220">
        <v>1E-3</v>
      </c>
      <c r="Q22" s="220">
        <v>1.0999999999999999E-2</v>
      </c>
      <c r="R22" s="220">
        <v>0</v>
      </c>
      <c r="S22" s="220">
        <v>0</v>
      </c>
      <c r="T22" s="220">
        <v>0</v>
      </c>
      <c r="U22" s="220">
        <v>0</v>
      </c>
      <c r="V22" s="220">
        <v>0</v>
      </c>
      <c r="W22" s="220">
        <v>0</v>
      </c>
      <c r="X22" s="220">
        <v>0</v>
      </c>
      <c r="Y22" s="220">
        <v>0</v>
      </c>
      <c r="Z22" s="220">
        <v>0</v>
      </c>
      <c r="AA22" s="220">
        <v>0</v>
      </c>
      <c r="AB22" s="220">
        <v>0</v>
      </c>
      <c r="AC22" s="220">
        <v>0</v>
      </c>
      <c r="AD22" s="220">
        <v>0</v>
      </c>
      <c r="AE22" s="220">
        <v>0</v>
      </c>
      <c r="AF22" s="221">
        <v>0</v>
      </c>
      <c r="AG22" s="221">
        <v>0</v>
      </c>
      <c r="AH22" s="221">
        <v>0</v>
      </c>
      <c r="AI22" s="221">
        <v>0</v>
      </c>
      <c r="AJ22"/>
    </row>
    <row r="23" spans="1:36" s="125" customFormat="1" x14ac:dyDescent="0.2">
      <c r="A23" s="120" t="s">
        <v>208</v>
      </c>
      <c r="B23" s="220">
        <v>0</v>
      </c>
      <c r="C23" s="220">
        <v>4.0000000000000001E-3</v>
      </c>
      <c r="D23" s="220">
        <v>0</v>
      </c>
      <c r="E23" s="220">
        <v>0</v>
      </c>
      <c r="F23" s="220">
        <v>0</v>
      </c>
      <c r="G23" s="220">
        <v>0</v>
      </c>
      <c r="H23" s="220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3.0000000000000001E-3</v>
      </c>
      <c r="Q23" s="220">
        <v>2.3E-2</v>
      </c>
      <c r="R23" s="220">
        <v>0</v>
      </c>
      <c r="S23" s="220">
        <v>0</v>
      </c>
      <c r="T23" s="220">
        <v>0</v>
      </c>
      <c r="U23" s="220">
        <v>0</v>
      </c>
      <c r="V23" s="220">
        <v>0</v>
      </c>
      <c r="W23" s="220">
        <v>0.08</v>
      </c>
      <c r="X23" s="220">
        <v>0</v>
      </c>
      <c r="Y23" s="220">
        <v>0</v>
      </c>
      <c r="Z23" s="220">
        <v>0</v>
      </c>
      <c r="AA23" s="220">
        <v>0</v>
      </c>
      <c r="AB23" s="220">
        <v>0</v>
      </c>
      <c r="AC23" s="220">
        <v>0</v>
      </c>
      <c r="AD23" s="220">
        <v>0</v>
      </c>
      <c r="AE23" s="220">
        <v>0</v>
      </c>
      <c r="AF23" s="221">
        <v>0</v>
      </c>
      <c r="AG23" s="221">
        <v>0</v>
      </c>
      <c r="AH23" s="221">
        <v>0</v>
      </c>
      <c r="AI23" s="221">
        <v>0</v>
      </c>
      <c r="AJ23"/>
    </row>
    <row r="24" spans="1:36" s="125" customFormat="1" x14ac:dyDescent="0.2">
      <c r="A24" s="120" t="s">
        <v>209</v>
      </c>
      <c r="B24" s="220">
        <v>5.0000000000000001E-3</v>
      </c>
      <c r="C24" s="220">
        <v>5.0000000000000001E-3</v>
      </c>
      <c r="D24" s="220">
        <v>2E-3</v>
      </c>
      <c r="E24" s="220">
        <v>0.02</v>
      </c>
      <c r="F24" s="220">
        <v>0.13</v>
      </c>
      <c r="G24" s="220">
        <v>0</v>
      </c>
      <c r="H24" s="220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3.3000000000000002E-2</v>
      </c>
      <c r="O24" s="220">
        <v>5.0000000000000001E-4</v>
      </c>
      <c r="P24" s="220">
        <v>7.9000000000000001E-2</v>
      </c>
      <c r="Q24" s="220">
        <v>1.2999999999999999E-2</v>
      </c>
      <c r="R24" s="220">
        <v>0</v>
      </c>
      <c r="S24" s="220">
        <v>0</v>
      </c>
      <c r="T24" s="220">
        <v>0</v>
      </c>
      <c r="U24" s="220">
        <v>0</v>
      </c>
      <c r="V24" s="220">
        <v>0</v>
      </c>
      <c r="W24" s="220">
        <v>1.4E-2</v>
      </c>
      <c r="X24" s="220">
        <v>5.0000000000000001E-3</v>
      </c>
      <c r="Y24" s="220">
        <v>0</v>
      </c>
      <c r="Z24" s="220">
        <v>0</v>
      </c>
      <c r="AA24" s="220">
        <v>0</v>
      </c>
      <c r="AB24" s="220">
        <v>0</v>
      </c>
      <c r="AC24" s="220">
        <v>0</v>
      </c>
      <c r="AD24" s="220">
        <v>0</v>
      </c>
      <c r="AE24" s="220">
        <v>0</v>
      </c>
      <c r="AF24" s="221">
        <v>0</v>
      </c>
      <c r="AG24" s="221">
        <v>0</v>
      </c>
      <c r="AH24" s="221">
        <v>0</v>
      </c>
      <c r="AI24" s="221">
        <v>0</v>
      </c>
      <c r="AJ24"/>
    </row>
    <row r="25" spans="1:36" s="125" customFormat="1" x14ac:dyDescent="0.2">
      <c r="A25" s="120" t="s">
        <v>210</v>
      </c>
      <c r="B25" s="220">
        <v>8.0000000000000002E-3</v>
      </c>
      <c r="C25" s="220">
        <v>5.5E-2</v>
      </c>
      <c r="D25" s="220">
        <v>0.16500000000000001</v>
      </c>
      <c r="E25" s="220">
        <v>0</v>
      </c>
      <c r="F25" s="220">
        <v>5.0000000000000001E-3</v>
      </c>
      <c r="G25" s="220">
        <v>0</v>
      </c>
      <c r="H25" s="220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0.15</v>
      </c>
      <c r="O25" s="220">
        <v>7.4999999999999997E-2</v>
      </c>
      <c r="P25" s="220">
        <v>1.7999999999999999E-2</v>
      </c>
      <c r="Q25" s="220">
        <v>0.19700000000000001</v>
      </c>
      <c r="R25" s="220">
        <v>5.0999999999999997E-2</v>
      </c>
      <c r="S25" s="220">
        <v>0</v>
      </c>
      <c r="T25" s="220">
        <v>0</v>
      </c>
      <c r="U25" s="220">
        <v>0</v>
      </c>
      <c r="V25" s="220">
        <v>0</v>
      </c>
      <c r="W25" s="220">
        <v>0.151</v>
      </c>
      <c r="X25" s="220">
        <v>5.5E-2</v>
      </c>
      <c r="Y25" s="220">
        <v>3.5999999999999997E-2</v>
      </c>
      <c r="Z25" s="220">
        <v>0</v>
      </c>
      <c r="AA25" s="220">
        <v>0</v>
      </c>
      <c r="AB25" s="220">
        <v>0</v>
      </c>
      <c r="AC25" s="220">
        <v>0</v>
      </c>
      <c r="AD25" s="220">
        <v>0</v>
      </c>
      <c r="AE25" s="220">
        <v>0</v>
      </c>
      <c r="AF25" s="221">
        <v>0</v>
      </c>
      <c r="AG25" s="221">
        <v>0</v>
      </c>
      <c r="AH25" s="221">
        <v>0</v>
      </c>
      <c r="AI25" s="221">
        <v>0</v>
      </c>
      <c r="AJ25"/>
    </row>
    <row r="26" spans="1:36" s="125" customFormat="1" x14ac:dyDescent="0.2">
      <c r="A26" s="120" t="s">
        <v>211</v>
      </c>
      <c r="B26" s="220">
        <v>1.4999999999999999E-2</v>
      </c>
      <c r="C26" s="220">
        <v>1E-3</v>
      </c>
      <c r="D26" s="220">
        <v>0.24</v>
      </c>
      <c r="E26" s="220">
        <v>0.15</v>
      </c>
      <c r="F26" s="220">
        <v>1.7999999999999999E-2</v>
      </c>
      <c r="G26" s="220">
        <v>1E-3</v>
      </c>
      <c r="H26" s="220">
        <v>0</v>
      </c>
      <c r="I26" s="220">
        <v>0</v>
      </c>
      <c r="J26" s="220">
        <v>0</v>
      </c>
      <c r="K26" s="220">
        <v>8.9999999999999993E-3</v>
      </c>
      <c r="L26" s="220">
        <v>4.9000000000000002E-2</v>
      </c>
      <c r="M26" s="220">
        <v>0.25</v>
      </c>
      <c r="N26" s="220">
        <v>0.22</v>
      </c>
      <c r="O26" s="220">
        <v>0.185</v>
      </c>
      <c r="P26" s="220">
        <v>0.114</v>
      </c>
      <c r="Q26" s="220">
        <v>0.10199999999999999</v>
      </c>
      <c r="R26" s="220">
        <v>0.107</v>
      </c>
      <c r="S26" s="220">
        <v>0</v>
      </c>
      <c r="T26" s="220">
        <v>0</v>
      </c>
      <c r="U26" s="220">
        <v>0</v>
      </c>
      <c r="V26" s="220">
        <v>8.0000000000000002E-3</v>
      </c>
      <c r="W26" s="220">
        <v>5.0000000000000001E-3</v>
      </c>
      <c r="X26" s="220">
        <v>8.7999999999999995E-2</v>
      </c>
      <c r="Y26" s="220">
        <v>3.7999999999999999E-2</v>
      </c>
      <c r="Z26" s="220">
        <v>0.03</v>
      </c>
      <c r="AA26" s="220">
        <v>0</v>
      </c>
      <c r="AB26" s="220">
        <v>5.0000000000000001E-3</v>
      </c>
      <c r="AC26" s="220">
        <v>0</v>
      </c>
      <c r="AD26" s="220">
        <v>0</v>
      </c>
      <c r="AE26" s="220">
        <v>0</v>
      </c>
      <c r="AF26" s="221">
        <v>0</v>
      </c>
      <c r="AG26" s="221">
        <v>0</v>
      </c>
      <c r="AH26" s="221">
        <v>0</v>
      </c>
      <c r="AI26" s="221">
        <v>0</v>
      </c>
      <c r="AJ26"/>
    </row>
    <row r="27" spans="1:36" s="125" customFormat="1" x14ac:dyDescent="0.2">
      <c r="A27" s="120" t="s">
        <v>212</v>
      </c>
      <c r="B27" s="220">
        <v>7.0000000000000001E-3</v>
      </c>
      <c r="C27" s="220">
        <v>1E-3</v>
      </c>
      <c r="D27" s="220">
        <v>0.30099999999999999</v>
      </c>
      <c r="E27" s="220">
        <v>0</v>
      </c>
      <c r="F27" s="220">
        <v>0</v>
      </c>
      <c r="G27" s="220">
        <v>0</v>
      </c>
      <c r="H27" s="220">
        <v>0</v>
      </c>
      <c r="I27" s="220">
        <v>0</v>
      </c>
      <c r="J27" s="220">
        <v>0</v>
      </c>
      <c r="K27" s="220">
        <v>0</v>
      </c>
      <c r="L27" s="220">
        <v>1.6E-2</v>
      </c>
      <c r="M27" s="220">
        <v>8.6999999999999994E-2</v>
      </c>
      <c r="N27" s="220">
        <v>5.0000000000000001E-3</v>
      </c>
      <c r="O27" s="220">
        <v>9.5000000000000001E-2</v>
      </c>
      <c r="P27" s="220">
        <v>7.0000000000000001E-3</v>
      </c>
      <c r="Q27" s="220">
        <v>7.4999999999999997E-2</v>
      </c>
      <c r="R27" s="220">
        <v>0.152</v>
      </c>
      <c r="S27" s="220">
        <v>0</v>
      </c>
      <c r="T27" s="220">
        <v>1E-3</v>
      </c>
      <c r="U27" s="220">
        <v>0</v>
      </c>
      <c r="V27" s="220">
        <v>0</v>
      </c>
      <c r="W27" s="220">
        <v>0.46300000000000002</v>
      </c>
      <c r="X27" s="220">
        <v>9.5000000000000001E-2</v>
      </c>
      <c r="Y27" s="220">
        <v>0.25</v>
      </c>
      <c r="Z27" s="220">
        <v>0</v>
      </c>
      <c r="AA27" s="220">
        <v>2E-3</v>
      </c>
      <c r="AB27" s="220">
        <v>0.01</v>
      </c>
      <c r="AC27" s="220">
        <v>0</v>
      </c>
      <c r="AD27" s="220">
        <v>0</v>
      </c>
      <c r="AE27" s="220">
        <v>0</v>
      </c>
      <c r="AF27" s="221">
        <v>0</v>
      </c>
      <c r="AG27" s="221">
        <v>0</v>
      </c>
      <c r="AH27" s="221">
        <v>0</v>
      </c>
      <c r="AI27" s="221">
        <v>0</v>
      </c>
      <c r="AJ27"/>
    </row>
    <row r="28" spans="1:36" s="125" customFormat="1" x14ac:dyDescent="0.2">
      <c r="A28" s="120" t="s">
        <v>213</v>
      </c>
      <c r="B28" s="220">
        <v>5.0000000000000001E-3</v>
      </c>
      <c r="C28" s="220">
        <v>1E-3</v>
      </c>
      <c r="D28" s="220">
        <v>4.1000000000000002E-2</v>
      </c>
      <c r="E28" s="220">
        <v>0</v>
      </c>
      <c r="F28" s="220">
        <v>0</v>
      </c>
      <c r="G28" s="220">
        <v>0</v>
      </c>
      <c r="H28" s="220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4.0000000000000001E-3</v>
      </c>
      <c r="O28" s="220">
        <v>1.4999999999999999E-2</v>
      </c>
      <c r="P28" s="220">
        <v>5.0000000000000001E-3</v>
      </c>
      <c r="Q28" s="220">
        <v>5.6000000000000001E-2</v>
      </c>
      <c r="R28" s="220">
        <v>0.14799999999999999</v>
      </c>
      <c r="S28" s="220">
        <v>0</v>
      </c>
      <c r="T28" s="220">
        <v>0</v>
      </c>
      <c r="U28" s="220">
        <v>0</v>
      </c>
      <c r="V28" s="220">
        <v>0</v>
      </c>
      <c r="W28" s="220">
        <v>5.1999999999999998E-2</v>
      </c>
      <c r="X28" s="220">
        <v>5.5E-2</v>
      </c>
      <c r="Y28" s="220">
        <v>7.5999999999999998E-2</v>
      </c>
      <c r="Z28" s="220">
        <v>0</v>
      </c>
      <c r="AA28" s="220">
        <v>1.7999999999999999E-2</v>
      </c>
      <c r="AB28" s="220">
        <v>2.5000000000000001E-2</v>
      </c>
      <c r="AC28" s="220">
        <v>0</v>
      </c>
      <c r="AD28" s="220">
        <v>0</v>
      </c>
      <c r="AE28" s="220">
        <v>0</v>
      </c>
      <c r="AF28" s="221">
        <v>0</v>
      </c>
      <c r="AG28" s="221">
        <v>0</v>
      </c>
      <c r="AH28" s="221">
        <v>0</v>
      </c>
      <c r="AI28" s="221">
        <v>0</v>
      </c>
      <c r="AJ28"/>
    </row>
    <row r="29" spans="1:36" s="125" customFormat="1" x14ac:dyDescent="0.2">
      <c r="A29" s="120" t="s">
        <v>214</v>
      </c>
      <c r="B29" s="220">
        <v>1E-3</v>
      </c>
      <c r="C29" s="220">
        <v>0</v>
      </c>
      <c r="D29" s="220">
        <v>0.22800000000000001</v>
      </c>
      <c r="E29" s="220">
        <v>0</v>
      </c>
      <c r="F29" s="220">
        <v>0</v>
      </c>
      <c r="G29" s="220">
        <v>4.9000000000000002E-2</v>
      </c>
      <c r="H29" s="220">
        <v>0.05</v>
      </c>
      <c r="I29" s="220">
        <v>0.153</v>
      </c>
      <c r="J29" s="220">
        <v>0.05</v>
      </c>
      <c r="K29" s="220">
        <v>0.09</v>
      </c>
      <c r="L29" s="220">
        <v>0.13500000000000001</v>
      </c>
      <c r="M29" s="220">
        <v>4.4999999999999998E-2</v>
      </c>
      <c r="N29" s="220">
        <v>8.5000000000000006E-2</v>
      </c>
      <c r="O29" s="220">
        <v>0.38300000000000001</v>
      </c>
      <c r="P29" s="220">
        <v>2.5000000000000001E-2</v>
      </c>
      <c r="Q29" s="220">
        <v>3.4000000000000002E-2</v>
      </c>
      <c r="R29" s="220">
        <v>0.371</v>
      </c>
      <c r="S29" s="220">
        <v>0</v>
      </c>
      <c r="T29" s="220">
        <v>1.4999999999999999E-2</v>
      </c>
      <c r="U29" s="220">
        <v>0</v>
      </c>
      <c r="V29" s="220">
        <v>0</v>
      </c>
      <c r="W29" s="220">
        <v>0.18</v>
      </c>
      <c r="X29" s="220">
        <v>2.9000000000000001E-2</v>
      </c>
      <c r="Y29" s="220">
        <v>0.16900000000000001</v>
      </c>
      <c r="Z29" s="220">
        <v>0.03</v>
      </c>
      <c r="AA29" s="220">
        <v>0.14799999999999999</v>
      </c>
      <c r="AB29" s="220">
        <v>9.5000000000000001E-2</v>
      </c>
      <c r="AC29" s="220">
        <v>8.6999999999999994E-2</v>
      </c>
      <c r="AD29" s="220">
        <v>0</v>
      </c>
      <c r="AE29" s="220">
        <v>0</v>
      </c>
      <c r="AF29" s="221">
        <v>0</v>
      </c>
      <c r="AG29" s="221">
        <v>0</v>
      </c>
      <c r="AH29" s="221">
        <v>0</v>
      </c>
      <c r="AI29" s="221">
        <v>0</v>
      </c>
      <c r="AJ29"/>
    </row>
    <row r="30" spans="1:36" s="125" customFormat="1" x14ac:dyDescent="0.2">
      <c r="A30" s="120" t="s">
        <v>215</v>
      </c>
      <c r="B30" s="220">
        <v>0</v>
      </c>
      <c r="C30" s="220">
        <v>0</v>
      </c>
      <c r="D30" s="220">
        <v>1.4999999999999999E-2</v>
      </c>
      <c r="E30" s="220">
        <v>0</v>
      </c>
      <c r="F30" s="220">
        <v>0</v>
      </c>
      <c r="G30" s="220">
        <v>0</v>
      </c>
      <c r="H30" s="220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3.5000000000000003E-2</v>
      </c>
      <c r="P30" s="220">
        <v>0</v>
      </c>
      <c r="Q30" s="220">
        <v>0</v>
      </c>
      <c r="R30" s="220">
        <v>6.9000000000000006E-2</v>
      </c>
      <c r="S30" s="220">
        <v>0.01</v>
      </c>
      <c r="T30" s="220">
        <v>0</v>
      </c>
      <c r="U30" s="220">
        <v>0</v>
      </c>
      <c r="V30" s="220">
        <v>0</v>
      </c>
      <c r="W30" s="220">
        <v>2.4E-2</v>
      </c>
      <c r="X30" s="220">
        <v>0</v>
      </c>
      <c r="Y30" s="220">
        <v>3.9E-2</v>
      </c>
      <c r="Z30" s="220">
        <v>0</v>
      </c>
      <c r="AA30" s="220">
        <v>2E-3</v>
      </c>
      <c r="AB30" s="220">
        <v>8.0000000000000002E-3</v>
      </c>
      <c r="AC30" s="220">
        <v>1.2999999999999999E-2</v>
      </c>
      <c r="AD30" s="220">
        <v>0</v>
      </c>
      <c r="AE30" s="220">
        <v>0</v>
      </c>
      <c r="AF30" s="221">
        <v>0</v>
      </c>
      <c r="AG30" s="221">
        <v>0</v>
      </c>
      <c r="AH30" s="221">
        <v>0</v>
      </c>
      <c r="AI30" s="221">
        <v>0</v>
      </c>
      <c r="AJ30"/>
    </row>
    <row r="31" spans="1:36" s="125" customFormat="1" x14ac:dyDescent="0.2">
      <c r="A31" s="120" t="s">
        <v>216</v>
      </c>
      <c r="B31" s="220">
        <v>5.0000000000000001E-3</v>
      </c>
      <c r="C31" s="220">
        <v>0</v>
      </c>
      <c r="D31" s="220">
        <v>0</v>
      </c>
      <c r="E31" s="220">
        <v>0.29499999999999998</v>
      </c>
      <c r="F31" s="220">
        <v>0.01</v>
      </c>
      <c r="G31" s="220">
        <v>0.82</v>
      </c>
      <c r="H31" s="220">
        <v>0.1</v>
      </c>
      <c r="I31" s="220">
        <v>0.48799999999999999</v>
      </c>
      <c r="J31" s="220">
        <v>0.54700000000000004</v>
      </c>
      <c r="K31" s="220">
        <v>0.57999999999999996</v>
      </c>
      <c r="L31" s="220">
        <v>0.61899999999999999</v>
      </c>
      <c r="M31" s="220">
        <v>0.32200000000000001</v>
      </c>
      <c r="N31" s="220">
        <v>5.0000000000000001E-3</v>
      </c>
      <c r="O31" s="220">
        <v>0.02</v>
      </c>
      <c r="P31" s="220">
        <v>1.4999999999999999E-2</v>
      </c>
      <c r="Q31" s="220">
        <v>0</v>
      </c>
      <c r="R31" s="220">
        <v>1.4999999999999999E-2</v>
      </c>
      <c r="S31" s="220">
        <v>0</v>
      </c>
      <c r="T31" s="220">
        <v>4.0000000000000001E-3</v>
      </c>
      <c r="U31" s="220">
        <v>0.98</v>
      </c>
      <c r="V31" s="220">
        <v>0.99199999999999999</v>
      </c>
      <c r="W31" s="220">
        <v>0</v>
      </c>
      <c r="X31" s="220">
        <v>0.31</v>
      </c>
      <c r="Y31" s="220">
        <v>0</v>
      </c>
      <c r="Z31" s="220">
        <v>0.15</v>
      </c>
      <c r="AA31" s="220">
        <v>0.11</v>
      </c>
      <c r="AB31" s="220">
        <v>1.4E-2</v>
      </c>
      <c r="AC31" s="220">
        <v>1.4999999999999999E-2</v>
      </c>
      <c r="AD31" s="220">
        <v>8.4000000000000005E-2</v>
      </c>
      <c r="AE31" s="220">
        <v>0.15</v>
      </c>
      <c r="AF31" s="221">
        <v>0</v>
      </c>
      <c r="AG31" s="221">
        <v>0</v>
      </c>
      <c r="AH31" s="221">
        <v>0</v>
      </c>
      <c r="AI31" s="221">
        <v>0</v>
      </c>
      <c r="AJ31"/>
    </row>
    <row r="32" spans="1:36" s="125" customFormat="1" x14ac:dyDescent="0.2">
      <c r="A32" s="120" t="s">
        <v>217</v>
      </c>
      <c r="B32" s="220">
        <v>0</v>
      </c>
      <c r="C32" s="220">
        <v>0</v>
      </c>
      <c r="D32" s="220">
        <v>0</v>
      </c>
      <c r="E32" s="220">
        <v>7.0000000000000007E-2</v>
      </c>
      <c r="F32" s="220">
        <v>0</v>
      </c>
      <c r="G32" s="220">
        <v>0.10299999999999999</v>
      </c>
      <c r="H32" s="220">
        <v>0.85</v>
      </c>
      <c r="I32" s="220">
        <v>0.34599999999999997</v>
      </c>
      <c r="J32" s="220">
        <v>0.34399999999999997</v>
      </c>
      <c r="K32" s="220">
        <v>0.30199999999999999</v>
      </c>
      <c r="L32" s="220">
        <v>0.106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20">
        <v>0</v>
      </c>
      <c r="S32" s="220">
        <v>0</v>
      </c>
      <c r="T32" s="220">
        <v>0</v>
      </c>
      <c r="U32" s="220">
        <v>0</v>
      </c>
      <c r="V32" s="220">
        <v>0</v>
      </c>
      <c r="W32" s="220">
        <v>0</v>
      </c>
      <c r="X32" s="220">
        <v>0</v>
      </c>
      <c r="Y32" s="220">
        <v>0</v>
      </c>
      <c r="Z32" s="220">
        <v>0.495</v>
      </c>
      <c r="AA32" s="220">
        <v>0.42</v>
      </c>
      <c r="AB32" s="220">
        <v>0.05</v>
      </c>
      <c r="AC32" s="220">
        <v>0</v>
      </c>
      <c r="AD32" s="220">
        <v>0.2</v>
      </c>
      <c r="AE32" s="220">
        <v>0.8</v>
      </c>
      <c r="AF32" s="221">
        <v>0</v>
      </c>
      <c r="AG32" s="221">
        <v>0</v>
      </c>
      <c r="AH32" s="221">
        <v>0</v>
      </c>
      <c r="AI32" s="221">
        <v>0</v>
      </c>
      <c r="AJ32"/>
    </row>
    <row r="33" spans="1:36" s="125" customFormat="1" x14ac:dyDescent="0.2">
      <c r="A33" s="120" t="s">
        <v>218</v>
      </c>
      <c r="B33" s="220">
        <v>0</v>
      </c>
      <c r="C33" s="220">
        <v>0</v>
      </c>
      <c r="D33" s="220">
        <v>0</v>
      </c>
      <c r="E33" s="220">
        <v>0</v>
      </c>
      <c r="F33" s="220">
        <v>0</v>
      </c>
      <c r="G33" s="220">
        <v>0</v>
      </c>
      <c r="H33" s="220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7.4999999999999997E-2</v>
      </c>
      <c r="P33" s="220">
        <v>0</v>
      </c>
      <c r="Q33" s="220">
        <v>0</v>
      </c>
      <c r="R33" s="220">
        <v>4.1000000000000002E-2</v>
      </c>
      <c r="S33" s="220">
        <v>0.98</v>
      </c>
      <c r="T33" s="220">
        <v>0.97199999999999998</v>
      </c>
      <c r="U33" s="220">
        <v>0</v>
      </c>
      <c r="V33" s="220">
        <v>0</v>
      </c>
      <c r="W33" s="220">
        <v>0</v>
      </c>
      <c r="X33" s="220">
        <v>0.06</v>
      </c>
      <c r="Y33" s="220">
        <v>9.8000000000000004E-2</v>
      </c>
      <c r="Z33" s="220">
        <v>0.17699999999999999</v>
      </c>
      <c r="AA33" s="220">
        <v>0.02</v>
      </c>
      <c r="AB33" s="220">
        <v>0.38</v>
      </c>
      <c r="AC33" s="220">
        <v>0.23499999999999999</v>
      </c>
      <c r="AD33" s="220">
        <v>0.25</v>
      </c>
      <c r="AE33" s="220">
        <v>0</v>
      </c>
      <c r="AF33" s="221">
        <v>0</v>
      </c>
      <c r="AG33" s="221">
        <v>0</v>
      </c>
      <c r="AH33" s="221">
        <v>0</v>
      </c>
      <c r="AI33" s="221">
        <v>0</v>
      </c>
      <c r="AJ33"/>
    </row>
    <row r="34" spans="1:36" s="125" customFormat="1" x14ac:dyDescent="0.2">
      <c r="A34" s="120" t="s">
        <v>185</v>
      </c>
      <c r="B34" s="220">
        <v>0</v>
      </c>
      <c r="C34" s="220">
        <v>0</v>
      </c>
      <c r="D34" s="220">
        <v>6.0000000000000001E-3</v>
      </c>
      <c r="E34" s="220">
        <v>0</v>
      </c>
      <c r="F34" s="220">
        <v>0</v>
      </c>
      <c r="G34" s="220">
        <v>0.02</v>
      </c>
      <c r="H34" s="220">
        <v>0</v>
      </c>
      <c r="I34" s="220">
        <v>1.2999999999999999E-2</v>
      </c>
      <c r="J34" s="220">
        <v>5.8999999999999997E-2</v>
      </c>
      <c r="K34" s="220">
        <v>1.7000000000000001E-2</v>
      </c>
      <c r="L34" s="220">
        <v>5.8000000000000003E-2</v>
      </c>
      <c r="M34" s="220">
        <v>4.9000000000000002E-2</v>
      </c>
      <c r="N34" s="220">
        <v>5.0000000000000001E-3</v>
      </c>
      <c r="O34" s="220">
        <v>7.6999999999999999E-2</v>
      </c>
      <c r="P34" s="220">
        <v>0</v>
      </c>
      <c r="Q34" s="220">
        <v>0</v>
      </c>
      <c r="R34" s="220">
        <v>3.3000000000000002E-2</v>
      </c>
      <c r="S34" s="220">
        <v>0.01</v>
      </c>
      <c r="T34" s="220">
        <v>8.0000000000000002E-3</v>
      </c>
      <c r="U34" s="220">
        <v>0.02</v>
      </c>
      <c r="V34" s="220">
        <v>0</v>
      </c>
      <c r="W34" s="220">
        <v>7.0000000000000001E-3</v>
      </c>
      <c r="X34" s="220">
        <v>0.114</v>
      </c>
      <c r="Y34" s="220">
        <v>0.29099999999999998</v>
      </c>
      <c r="Z34" s="220">
        <v>0.11799999999999999</v>
      </c>
      <c r="AA34" s="220">
        <v>0.28000000000000003</v>
      </c>
      <c r="AB34" s="220">
        <v>0.41299999999999998</v>
      </c>
      <c r="AC34" s="220">
        <v>0.65</v>
      </c>
      <c r="AD34" s="220">
        <v>0.46600000000000003</v>
      </c>
      <c r="AE34" s="220">
        <v>0.05</v>
      </c>
      <c r="AF34" s="221">
        <v>0</v>
      </c>
      <c r="AG34" s="221">
        <v>0</v>
      </c>
      <c r="AH34" s="221">
        <v>0</v>
      </c>
      <c r="AI34" s="221">
        <v>0</v>
      </c>
      <c r="AJ34"/>
    </row>
    <row r="35" spans="1:36" s="125" customFormat="1" x14ac:dyDescent="0.2">
      <c r="A35" s="121" t="s">
        <v>123</v>
      </c>
      <c r="B35" s="221">
        <v>0</v>
      </c>
      <c r="C35" s="221">
        <v>0</v>
      </c>
      <c r="D35" s="221">
        <v>0</v>
      </c>
      <c r="E35" s="221">
        <v>0</v>
      </c>
      <c r="F35" s="221">
        <v>0</v>
      </c>
      <c r="G35" s="221">
        <v>0</v>
      </c>
      <c r="H35" s="221">
        <v>0</v>
      </c>
      <c r="I35" s="221">
        <v>0</v>
      </c>
      <c r="J35" s="221">
        <v>0</v>
      </c>
      <c r="K35" s="221">
        <v>0</v>
      </c>
      <c r="L35" s="221">
        <v>0</v>
      </c>
      <c r="M35" s="221">
        <v>0</v>
      </c>
      <c r="N35" s="221">
        <v>0</v>
      </c>
      <c r="O35" s="221">
        <v>0</v>
      </c>
      <c r="P35" s="221">
        <v>0</v>
      </c>
      <c r="Q35" s="221">
        <v>0</v>
      </c>
      <c r="R35" s="221">
        <v>0</v>
      </c>
      <c r="S35" s="221">
        <v>0</v>
      </c>
      <c r="T35" s="221">
        <v>0</v>
      </c>
      <c r="U35" s="221">
        <v>0</v>
      </c>
      <c r="V35" s="221">
        <v>0</v>
      </c>
      <c r="W35" s="221">
        <v>0</v>
      </c>
      <c r="X35" s="221">
        <v>0</v>
      </c>
      <c r="Y35" s="221">
        <v>0</v>
      </c>
      <c r="Z35" s="221">
        <v>0</v>
      </c>
      <c r="AA35" s="221">
        <v>0</v>
      </c>
      <c r="AB35" s="221">
        <v>0</v>
      </c>
      <c r="AC35" s="221">
        <v>0</v>
      </c>
      <c r="AD35" s="221">
        <v>0</v>
      </c>
      <c r="AE35" s="221">
        <v>0</v>
      </c>
      <c r="AF35" s="221">
        <v>0</v>
      </c>
      <c r="AG35" s="221">
        <v>0</v>
      </c>
      <c r="AH35" s="221">
        <v>0</v>
      </c>
      <c r="AI35" s="221">
        <v>0</v>
      </c>
      <c r="AJ35"/>
    </row>
    <row r="36" spans="1:36" s="125" customFormat="1" x14ac:dyDescent="0.2">
      <c r="A36" s="121" t="s">
        <v>219</v>
      </c>
      <c r="B36" s="221">
        <v>0</v>
      </c>
      <c r="C36" s="221">
        <v>0</v>
      </c>
      <c r="D36" s="221">
        <v>0</v>
      </c>
      <c r="E36" s="221">
        <v>0</v>
      </c>
      <c r="F36" s="221">
        <v>0</v>
      </c>
      <c r="G36" s="221">
        <v>0</v>
      </c>
      <c r="H36" s="221">
        <v>0</v>
      </c>
      <c r="I36" s="221">
        <v>0</v>
      </c>
      <c r="J36" s="221">
        <v>0</v>
      </c>
      <c r="K36" s="221">
        <v>0</v>
      </c>
      <c r="L36" s="221">
        <v>0</v>
      </c>
      <c r="M36" s="221">
        <v>0</v>
      </c>
      <c r="N36" s="221">
        <v>0</v>
      </c>
      <c r="O36" s="221">
        <v>0</v>
      </c>
      <c r="P36" s="221">
        <v>0</v>
      </c>
      <c r="Q36" s="221">
        <v>0</v>
      </c>
      <c r="R36" s="221">
        <v>0</v>
      </c>
      <c r="S36" s="221">
        <v>0</v>
      </c>
      <c r="T36" s="221">
        <v>0</v>
      </c>
      <c r="U36" s="221">
        <v>0</v>
      </c>
      <c r="V36" s="221">
        <v>0</v>
      </c>
      <c r="W36" s="221">
        <v>0</v>
      </c>
      <c r="X36" s="221">
        <v>0</v>
      </c>
      <c r="Y36" s="221">
        <v>0</v>
      </c>
      <c r="Z36" s="221">
        <v>0</v>
      </c>
      <c r="AA36" s="221">
        <v>0</v>
      </c>
      <c r="AB36" s="221">
        <v>0</v>
      </c>
      <c r="AC36" s="221">
        <v>0</v>
      </c>
      <c r="AD36" s="221">
        <v>0</v>
      </c>
      <c r="AE36" s="221">
        <v>0</v>
      </c>
      <c r="AF36" s="221">
        <v>0</v>
      </c>
      <c r="AG36" s="221">
        <v>0</v>
      </c>
      <c r="AH36" s="221">
        <v>0</v>
      </c>
      <c r="AI36" s="221">
        <v>0</v>
      </c>
      <c r="AJ36"/>
    </row>
    <row r="37" spans="1:36" s="125" customFormat="1" x14ac:dyDescent="0.2">
      <c r="A37"/>
      <c r="B37" s="124"/>
      <c r="C37" s="124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/>
    </row>
    <row r="38" spans="1:36" s="125" customFormat="1" x14ac:dyDescent="0.2">
      <c r="A38"/>
      <c r="B38" s="124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/>
    </row>
    <row r="39" spans="1:36" x14ac:dyDescent="0.2">
      <c r="A39"/>
      <c r="AJ39"/>
    </row>
    <row r="40" spans="1:36" x14ac:dyDescent="0.2">
      <c r="A40" s="219" t="s">
        <v>220</v>
      </c>
      <c r="B40" s="124">
        <f>SUM(B2:B36)</f>
        <v>1.0009999999999999</v>
      </c>
      <c r="C40" s="124">
        <f t="shared" ref="C40:AI40" si="0">SUM(C2:C36)</f>
        <v>0.99960000000000016</v>
      </c>
      <c r="D40" s="124">
        <f t="shared" si="0"/>
        <v>1</v>
      </c>
      <c r="E40" s="124">
        <f t="shared" si="0"/>
        <v>1</v>
      </c>
      <c r="F40" s="124">
        <f t="shared" si="0"/>
        <v>1.0010000000000001</v>
      </c>
      <c r="G40" s="124">
        <f t="shared" si="0"/>
        <v>1</v>
      </c>
      <c r="H40" s="124">
        <f t="shared" si="0"/>
        <v>1</v>
      </c>
      <c r="I40" s="124">
        <f t="shared" si="0"/>
        <v>1</v>
      </c>
      <c r="J40" s="124">
        <f t="shared" si="0"/>
        <v>1</v>
      </c>
      <c r="K40" s="124">
        <f t="shared" si="0"/>
        <v>0.99999999999999989</v>
      </c>
      <c r="L40" s="124">
        <f t="shared" si="0"/>
        <v>1</v>
      </c>
      <c r="M40" s="124">
        <f t="shared" si="0"/>
        <v>1</v>
      </c>
      <c r="N40" s="124">
        <f t="shared" si="0"/>
        <v>1.0009999999999999</v>
      </c>
      <c r="O40" s="124">
        <f t="shared" si="0"/>
        <v>1</v>
      </c>
      <c r="P40" s="124">
        <f t="shared" si="0"/>
        <v>1</v>
      </c>
      <c r="Q40" s="124">
        <f t="shared" si="0"/>
        <v>1.002</v>
      </c>
      <c r="R40" s="124">
        <f t="shared" si="0"/>
        <v>1</v>
      </c>
      <c r="S40" s="124">
        <f t="shared" si="0"/>
        <v>1</v>
      </c>
      <c r="T40" s="124">
        <f t="shared" si="0"/>
        <v>1</v>
      </c>
      <c r="U40" s="124">
        <f t="shared" si="0"/>
        <v>1</v>
      </c>
      <c r="V40" s="124">
        <f t="shared" si="0"/>
        <v>1</v>
      </c>
      <c r="W40" s="124">
        <f t="shared" si="0"/>
        <v>1</v>
      </c>
      <c r="X40" s="124">
        <f t="shared" si="0"/>
        <v>0.99999999999999989</v>
      </c>
      <c r="Y40" s="124">
        <f t="shared" si="0"/>
        <v>1</v>
      </c>
      <c r="Z40" s="124">
        <f t="shared" si="0"/>
        <v>0.99999999999999989</v>
      </c>
      <c r="AA40" s="124">
        <f t="shared" si="0"/>
        <v>1</v>
      </c>
      <c r="AB40" s="124">
        <f t="shared" si="0"/>
        <v>1</v>
      </c>
      <c r="AC40" s="124">
        <f t="shared" si="0"/>
        <v>1</v>
      </c>
      <c r="AD40" s="124">
        <f t="shared" si="0"/>
        <v>1</v>
      </c>
      <c r="AE40" s="124">
        <f t="shared" si="0"/>
        <v>1</v>
      </c>
      <c r="AF40" s="124">
        <f t="shared" si="0"/>
        <v>0</v>
      </c>
      <c r="AG40" s="124">
        <f t="shared" si="0"/>
        <v>0</v>
      </c>
      <c r="AH40" s="124">
        <f t="shared" si="0"/>
        <v>0</v>
      </c>
      <c r="AI40" s="124">
        <f t="shared" si="0"/>
        <v>0</v>
      </c>
      <c r="AJ40"/>
    </row>
    <row r="41" spans="1:36" x14ac:dyDescent="0.2">
      <c r="A41"/>
      <c r="AJ41"/>
    </row>
    <row r="42" spans="1:36" x14ac:dyDescent="0.2">
      <c r="A42"/>
      <c r="AJ42"/>
    </row>
    <row r="43" spans="1:36" x14ac:dyDescent="0.2">
      <c r="A43"/>
    </row>
    <row r="44" spans="1:36" x14ac:dyDescent="0.2">
      <c r="A44"/>
    </row>
    <row r="45" spans="1:36" x14ac:dyDescent="0.2">
      <c r="A45"/>
    </row>
    <row r="46" spans="1:36" x14ac:dyDescent="0.2">
      <c r="A46"/>
    </row>
    <row r="47" spans="1:36" x14ac:dyDescent="0.2">
      <c r="A47"/>
    </row>
    <row r="48" spans="1:36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42" activePane="bottomRight" state="frozen"/>
      <selection pane="topRight" activeCell="C1" sqref="C1"/>
      <selection pane="bottomLeft" activeCell="A2" sqref="A2"/>
      <selection pane="bottomRight" activeCell="B63" sqref="B63"/>
    </sheetView>
  </sheetViews>
  <sheetFormatPr baseColWidth="10" defaultColWidth="8.83203125" defaultRowHeight="13" x14ac:dyDescent="0.15"/>
  <cols>
    <col min="1" max="1" width="15" customWidth="1"/>
    <col min="2" max="2" width="26.5" customWidth="1"/>
    <col min="3" max="4" width="15.5" style="84" customWidth="1"/>
    <col min="5" max="6" width="15.5" style="83" customWidth="1"/>
    <col min="7" max="8" width="8.83203125" style="84"/>
  </cols>
  <sheetData>
    <row r="1" spans="1:8" ht="14" x14ac:dyDescent="0.15">
      <c r="A1" s="5" t="s">
        <v>20</v>
      </c>
      <c r="B1" s="1" t="s">
        <v>0</v>
      </c>
      <c r="C1" s="218" t="s">
        <v>185</v>
      </c>
      <c r="D1" s="218" t="s">
        <v>123</v>
      </c>
      <c r="E1" s="218" t="s">
        <v>186</v>
      </c>
      <c r="F1" s="218" t="s">
        <v>187</v>
      </c>
      <c r="G1"/>
      <c r="H1"/>
    </row>
    <row r="2" spans="1:8" ht="16" x14ac:dyDescent="0.15">
      <c r="A2" s="75">
        <v>1</v>
      </c>
      <c r="B2" s="120" t="s">
        <v>189</v>
      </c>
      <c r="C2" s="84">
        <v>1</v>
      </c>
      <c r="D2" s="84">
        <v>0</v>
      </c>
      <c r="E2" s="83">
        <v>0</v>
      </c>
      <c r="F2" s="83">
        <f>SUM(C2:E2)</f>
        <v>1</v>
      </c>
      <c r="G2"/>
      <c r="H2"/>
    </row>
    <row r="3" spans="1:8" ht="16" x14ac:dyDescent="0.15">
      <c r="A3">
        <v>2</v>
      </c>
      <c r="B3" s="120" t="s">
        <v>221</v>
      </c>
      <c r="C3" s="84">
        <v>1</v>
      </c>
      <c r="D3" s="84">
        <v>0</v>
      </c>
      <c r="E3" s="83">
        <v>0</v>
      </c>
      <c r="F3" s="83">
        <f t="shared" ref="F3:F59" si="0">SUM(C3:E3)</f>
        <v>1</v>
      </c>
      <c r="G3"/>
      <c r="H3"/>
    </row>
    <row r="4" spans="1:8" ht="16" x14ac:dyDescent="0.15">
      <c r="A4">
        <v>3</v>
      </c>
      <c r="B4" s="120" t="s">
        <v>190</v>
      </c>
      <c r="C4" s="84">
        <v>1</v>
      </c>
      <c r="D4" s="84">
        <v>0</v>
      </c>
      <c r="E4" s="83">
        <v>0</v>
      </c>
      <c r="F4" s="83">
        <f t="shared" si="0"/>
        <v>1</v>
      </c>
      <c r="G4"/>
      <c r="H4"/>
    </row>
    <row r="5" spans="1:8" ht="16" x14ac:dyDescent="0.15">
      <c r="A5">
        <v>4</v>
      </c>
      <c r="B5" s="120" t="s">
        <v>191</v>
      </c>
      <c r="C5" s="84">
        <v>1</v>
      </c>
      <c r="D5" s="84">
        <v>0</v>
      </c>
      <c r="E5" s="83">
        <v>0</v>
      </c>
      <c r="F5" s="83">
        <f t="shared" si="0"/>
        <v>1</v>
      </c>
      <c r="G5"/>
      <c r="H5"/>
    </row>
    <row r="6" spans="1:8" ht="16" x14ac:dyDescent="0.15">
      <c r="A6">
        <v>5</v>
      </c>
      <c r="B6" s="120" t="s">
        <v>192</v>
      </c>
      <c r="C6" s="84">
        <v>1</v>
      </c>
      <c r="D6" s="84">
        <v>0</v>
      </c>
      <c r="E6" s="83">
        <v>0</v>
      </c>
      <c r="F6" s="83">
        <f t="shared" si="0"/>
        <v>1</v>
      </c>
      <c r="G6"/>
      <c r="H6"/>
    </row>
    <row r="7" spans="1:8" ht="16" x14ac:dyDescent="0.15">
      <c r="A7">
        <v>6</v>
      </c>
      <c r="B7" s="120" t="s">
        <v>193</v>
      </c>
      <c r="C7" s="84">
        <v>1</v>
      </c>
      <c r="D7" s="84">
        <v>0</v>
      </c>
      <c r="E7" s="83">
        <v>0</v>
      </c>
      <c r="F7" s="83">
        <f t="shared" si="0"/>
        <v>1</v>
      </c>
      <c r="G7"/>
      <c r="H7"/>
    </row>
    <row r="8" spans="1:8" ht="16" x14ac:dyDescent="0.15">
      <c r="A8">
        <v>7</v>
      </c>
      <c r="B8" s="120" t="s">
        <v>194</v>
      </c>
      <c r="C8" s="84">
        <v>1</v>
      </c>
      <c r="D8" s="84">
        <v>0</v>
      </c>
      <c r="E8" s="83">
        <v>0</v>
      </c>
      <c r="F8" s="83">
        <f t="shared" si="0"/>
        <v>1</v>
      </c>
      <c r="G8"/>
      <c r="H8"/>
    </row>
    <row r="9" spans="1:8" ht="16" x14ac:dyDescent="0.15">
      <c r="A9">
        <v>8</v>
      </c>
      <c r="B9" s="120" t="s">
        <v>195</v>
      </c>
      <c r="C9" s="84">
        <v>1</v>
      </c>
      <c r="D9" s="84">
        <v>0</v>
      </c>
      <c r="E9" s="83">
        <v>0</v>
      </c>
      <c r="F9" s="83">
        <f t="shared" si="0"/>
        <v>1</v>
      </c>
      <c r="G9"/>
      <c r="H9"/>
    </row>
    <row r="10" spans="1:8" ht="16" x14ac:dyDescent="0.15">
      <c r="A10">
        <v>9</v>
      </c>
      <c r="B10" s="120" t="s">
        <v>196</v>
      </c>
      <c r="C10" s="84">
        <v>1</v>
      </c>
      <c r="D10" s="84">
        <v>0</v>
      </c>
      <c r="E10" s="83">
        <v>0</v>
      </c>
      <c r="F10" s="83">
        <f t="shared" si="0"/>
        <v>1</v>
      </c>
      <c r="G10"/>
      <c r="H10"/>
    </row>
    <row r="11" spans="1:8" ht="16" x14ac:dyDescent="0.15">
      <c r="A11">
        <v>10</v>
      </c>
      <c r="B11" s="120" t="s">
        <v>197</v>
      </c>
      <c r="C11" s="84">
        <v>1</v>
      </c>
      <c r="D11" s="84">
        <v>0</v>
      </c>
      <c r="E11" s="83">
        <v>0</v>
      </c>
      <c r="F11" s="83">
        <f t="shared" si="0"/>
        <v>1</v>
      </c>
      <c r="G11"/>
      <c r="H11"/>
    </row>
    <row r="12" spans="1:8" ht="16" x14ac:dyDescent="0.15">
      <c r="A12">
        <v>11</v>
      </c>
      <c r="B12" s="120" t="s">
        <v>198</v>
      </c>
      <c r="C12" s="84">
        <v>1</v>
      </c>
      <c r="D12" s="84">
        <v>0</v>
      </c>
      <c r="E12" s="83">
        <v>0</v>
      </c>
      <c r="F12" s="83">
        <f t="shared" si="0"/>
        <v>1</v>
      </c>
      <c r="G12"/>
      <c r="H12"/>
    </row>
    <row r="13" spans="1:8" ht="16" x14ac:dyDescent="0.15">
      <c r="A13">
        <v>12</v>
      </c>
      <c r="B13" s="120" t="s">
        <v>199</v>
      </c>
      <c r="C13" s="84">
        <v>1</v>
      </c>
      <c r="D13" s="84">
        <v>0</v>
      </c>
      <c r="E13" s="83">
        <v>0</v>
      </c>
      <c r="F13" s="83">
        <f t="shared" si="0"/>
        <v>1</v>
      </c>
      <c r="G13"/>
      <c r="H13"/>
    </row>
    <row r="14" spans="1:8" ht="16" x14ac:dyDescent="0.15">
      <c r="A14">
        <v>13</v>
      </c>
      <c r="B14" s="120" t="s">
        <v>200</v>
      </c>
      <c r="C14" s="84">
        <v>1</v>
      </c>
      <c r="D14" s="84">
        <v>0</v>
      </c>
      <c r="E14" s="83">
        <v>0</v>
      </c>
      <c r="F14" s="83">
        <f t="shared" si="0"/>
        <v>1</v>
      </c>
      <c r="G14"/>
      <c r="H14"/>
    </row>
    <row r="15" spans="1:8" ht="16" x14ac:dyDescent="0.15">
      <c r="A15">
        <v>14</v>
      </c>
      <c r="B15" s="120" t="s">
        <v>201</v>
      </c>
      <c r="C15" s="84">
        <v>1</v>
      </c>
      <c r="D15" s="84">
        <v>0</v>
      </c>
      <c r="E15" s="83">
        <v>0</v>
      </c>
      <c r="F15" s="83">
        <f t="shared" si="0"/>
        <v>1</v>
      </c>
      <c r="G15"/>
      <c r="H15"/>
    </row>
    <row r="16" spans="1:8" ht="16" x14ac:dyDescent="0.15">
      <c r="A16">
        <v>15</v>
      </c>
      <c r="B16" s="120" t="s">
        <v>273</v>
      </c>
      <c r="C16" s="84">
        <v>1</v>
      </c>
      <c r="D16" s="84">
        <v>0</v>
      </c>
      <c r="E16" s="83">
        <v>0</v>
      </c>
      <c r="F16" s="83">
        <f t="shared" si="0"/>
        <v>1</v>
      </c>
      <c r="G16"/>
      <c r="H16"/>
    </row>
    <row r="17" spans="1:8" ht="15" customHeight="1" x14ac:dyDescent="0.15">
      <c r="A17">
        <v>16</v>
      </c>
      <c r="B17" s="120" t="s">
        <v>202</v>
      </c>
      <c r="C17" s="84">
        <v>1</v>
      </c>
      <c r="D17" s="84">
        <v>0</v>
      </c>
      <c r="E17" s="83">
        <v>0</v>
      </c>
      <c r="F17" s="83">
        <f t="shared" si="0"/>
        <v>1</v>
      </c>
      <c r="G17"/>
      <c r="H17"/>
    </row>
    <row r="18" spans="1:8" ht="15" customHeight="1" x14ac:dyDescent="0.15">
      <c r="A18">
        <v>17</v>
      </c>
      <c r="B18" s="120" t="s">
        <v>203</v>
      </c>
      <c r="C18" s="84">
        <v>1</v>
      </c>
      <c r="D18" s="84">
        <v>0</v>
      </c>
      <c r="E18" s="83">
        <v>0</v>
      </c>
      <c r="F18" s="83">
        <f t="shared" si="0"/>
        <v>1</v>
      </c>
      <c r="G18"/>
      <c r="H18"/>
    </row>
    <row r="19" spans="1:8" ht="15" customHeight="1" x14ac:dyDescent="0.15">
      <c r="A19">
        <v>18</v>
      </c>
      <c r="B19" s="120" t="s">
        <v>204</v>
      </c>
      <c r="C19" s="84">
        <v>1</v>
      </c>
      <c r="D19" s="84">
        <v>0</v>
      </c>
      <c r="E19" s="83">
        <v>0</v>
      </c>
      <c r="F19" s="83">
        <f t="shared" si="0"/>
        <v>1</v>
      </c>
      <c r="G19"/>
      <c r="H19"/>
    </row>
    <row r="20" spans="1:8" ht="15" customHeight="1" x14ac:dyDescent="0.15">
      <c r="A20">
        <v>19</v>
      </c>
      <c r="B20" s="120" t="s">
        <v>205</v>
      </c>
      <c r="C20" s="84">
        <v>1</v>
      </c>
      <c r="D20" s="84">
        <v>0</v>
      </c>
      <c r="E20" s="83">
        <v>0</v>
      </c>
      <c r="F20" s="83">
        <f t="shared" si="0"/>
        <v>1</v>
      </c>
      <c r="G20"/>
      <c r="H20"/>
    </row>
    <row r="21" spans="1:8" ht="15" customHeight="1" x14ac:dyDescent="0.15">
      <c r="A21">
        <v>20</v>
      </c>
      <c r="B21" s="120" t="s">
        <v>206</v>
      </c>
      <c r="C21" s="84">
        <v>1</v>
      </c>
      <c r="D21" s="84">
        <v>0</v>
      </c>
      <c r="E21" s="83">
        <v>0</v>
      </c>
      <c r="F21" s="83">
        <f t="shared" si="0"/>
        <v>1</v>
      </c>
      <c r="G21"/>
      <c r="H21"/>
    </row>
    <row r="22" spans="1:8" ht="15" customHeight="1" x14ac:dyDescent="0.15">
      <c r="A22">
        <v>21</v>
      </c>
      <c r="B22" s="120" t="s">
        <v>207</v>
      </c>
      <c r="C22" s="84">
        <v>1</v>
      </c>
      <c r="D22" s="84">
        <v>0</v>
      </c>
      <c r="E22" s="83">
        <v>0</v>
      </c>
      <c r="F22" s="83">
        <f t="shared" si="0"/>
        <v>1</v>
      </c>
      <c r="G22"/>
      <c r="H22"/>
    </row>
    <row r="23" spans="1:8" ht="15" customHeight="1" x14ac:dyDescent="0.15">
      <c r="A23">
        <v>22</v>
      </c>
      <c r="B23" s="120" t="s">
        <v>208</v>
      </c>
      <c r="C23" s="84">
        <v>1</v>
      </c>
      <c r="D23" s="84">
        <v>0</v>
      </c>
      <c r="E23" s="83">
        <v>0</v>
      </c>
      <c r="F23" s="83">
        <f t="shared" si="0"/>
        <v>1</v>
      </c>
      <c r="G23"/>
      <c r="H23"/>
    </row>
    <row r="24" spans="1:8" ht="15" customHeight="1" x14ac:dyDescent="0.15">
      <c r="A24">
        <v>23</v>
      </c>
      <c r="B24" s="120" t="s">
        <v>209</v>
      </c>
      <c r="C24" s="84">
        <v>1</v>
      </c>
      <c r="D24" s="84">
        <v>0</v>
      </c>
      <c r="E24" s="83">
        <v>0</v>
      </c>
      <c r="F24" s="83">
        <f t="shared" si="0"/>
        <v>1</v>
      </c>
      <c r="G24"/>
      <c r="H24"/>
    </row>
    <row r="25" spans="1:8" ht="15" customHeight="1" x14ac:dyDescent="0.15">
      <c r="A25">
        <v>24</v>
      </c>
      <c r="B25" s="120" t="s">
        <v>210</v>
      </c>
      <c r="C25" s="84">
        <v>1</v>
      </c>
      <c r="D25" s="84">
        <v>0</v>
      </c>
      <c r="E25" s="83">
        <v>0</v>
      </c>
      <c r="F25" s="83">
        <f t="shared" si="0"/>
        <v>1</v>
      </c>
      <c r="G25"/>
      <c r="H25"/>
    </row>
    <row r="26" spans="1:8" ht="15" customHeight="1" x14ac:dyDescent="0.15">
      <c r="A26">
        <v>25</v>
      </c>
      <c r="B26" s="120" t="s">
        <v>211</v>
      </c>
      <c r="C26" s="84">
        <v>1</v>
      </c>
      <c r="D26" s="84">
        <v>0</v>
      </c>
      <c r="E26" s="83">
        <v>0</v>
      </c>
      <c r="F26" s="83">
        <f t="shared" si="0"/>
        <v>1</v>
      </c>
      <c r="G26"/>
      <c r="H26"/>
    </row>
    <row r="27" spans="1:8" ht="15" customHeight="1" x14ac:dyDescent="0.15">
      <c r="A27">
        <v>26</v>
      </c>
      <c r="B27" s="120" t="s">
        <v>212</v>
      </c>
      <c r="C27" s="84">
        <v>1</v>
      </c>
      <c r="D27" s="84">
        <v>0</v>
      </c>
      <c r="E27" s="83">
        <v>0</v>
      </c>
      <c r="F27" s="83">
        <f t="shared" si="0"/>
        <v>1</v>
      </c>
      <c r="G27"/>
      <c r="H27"/>
    </row>
    <row r="28" spans="1:8" ht="15" customHeight="1" x14ac:dyDescent="0.15">
      <c r="A28">
        <v>27</v>
      </c>
      <c r="B28" s="120" t="s">
        <v>213</v>
      </c>
      <c r="C28" s="84">
        <v>1</v>
      </c>
      <c r="D28" s="84">
        <v>0</v>
      </c>
      <c r="E28" s="83">
        <v>0</v>
      </c>
      <c r="F28" s="83">
        <f t="shared" si="0"/>
        <v>1</v>
      </c>
      <c r="G28"/>
      <c r="H28"/>
    </row>
    <row r="29" spans="1:8" ht="15" customHeight="1" x14ac:dyDescent="0.15">
      <c r="A29">
        <v>28</v>
      </c>
      <c r="B29" s="120" t="s">
        <v>214</v>
      </c>
      <c r="C29" s="84">
        <v>1</v>
      </c>
      <c r="D29" s="84">
        <v>0</v>
      </c>
      <c r="E29" s="83">
        <v>0</v>
      </c>
      <c r="F29" s="83">
        <f t="shared" si="0"/>
        <v>1</v>
      </c>
      <c r="G29"/>
      <c r="H29"/>
    </row>
    <row r="30" spans="1:8" ht="15" customHeight="1" x14ac:dyDescent="0.15">
      <c r="A30">
        <v>29</v>
      </c>
      <c r="B30" s="120" t="s">
        <v>215</v>
      </c>
      <c r="C30" s="84">
        <v>1</v>
      </c>
      <c r="D30" s="84">
        <v>0</v>
      </c>
      <c r="E30" s="83">
        <v>0</v>
      </c>
      <c r="F30" s="83">
        <f t="shared" si="0"/>
        <v>1</v>
      </c>
      <c r="G30"/>
      <c r="H30"/>
    </row>
    <row r="31" spans="1:8" ht="15" customHeight="1" x14ac:dyDescent="0.15">
      <c r="A31">
        <v>30</v>
      </c>
      <c r="B31" s="120" t="s">
        <v>216</v>
      </c>
      <c r="C31" s="84">
        <v>1</v>
      </c>
      <c r="D31" s="84">
        <v>0</v>
      </c>
      <c r="E31" s="83">
        <v>0</v>
      </c>
      <c r="F31" s="83">
        <f t="shared" si="0"/>
        <v>1</v>
      </c>
      <c r="G31"/>
      <c r="H31"/>
    </row>
    <row r="32" spans="1:8" ht="15" customHeight="1" x14ac:dyDescent="0.15">
      <c r="A32">
        <v>31</v>
      </c>
      <c r="B32" s="120" t="s">
        <v>217</v>
      </c>
      <c r="C32" s="84">
        <v>1</v>
      </c>
      <c r="D32" s="84">
        <v>0</v>
      </c>
      <c r="E32" s="83">
        <v>0</v>
      </c>
      <c r="F32" s="83">
        <f t="shared" si="0"/>
        <v>1</v>
      </c>
    </row>
    <row r="33" spans="1:8" ht="15" customHeight="1" x14ac:dyDescent="0.15">
      <c r="A33">
        <v>32</v>
      </c>
      <c r="B33" s="120" t="s">
        <v>218</v>
      </c>
      <c r="C33" s="84">
        <v>1</v>
      </c>
      <c r="D33" s="84">
        <v>0</v>
      </c>
      <c r="E33" s="83">
        <v>0</v>
      </c>
      <c r="F33" s="83">
        <f t="shared" si="0"/>
        <v>1</v>
      </c>
    </row>
    <row r="34" spans="1:8" ht="15" customHeight="1" x14ac:dyDescent="0.15">
      <c r="A34">
        <v>33</v>
      </c>
      <c r="B34" s="120" t="s">
        <v>185</v>
      </c>
      <c r="C34" s="84">
        <v>0</v>
      </c>
      <c r="D34" s="84">
        <v>1</v>
      </c>
      <c r="E34" s="83">
        <v>0</v>
      </c>
      <c r="F34" s="83">
        <f t="shared" si="0"/>
        <v>1</v>
      </c>
    </row>
    <row r="35" spans="1:8" ht="15" customHeight="1" x14ac:dyDescent="0.15">
      <c r="A35">
        <v>34</v>
      </c>
      <c r="B35" s="121" t="s">
        <v>123</v>
      </c>
      <c r="C35" s="84">
        <v>0</v>
      </c>
      <c r="D35" s="84">
        <v>0</v>
      </c>
      <c r="E35" s="83">
        <v>1</v>
      </c>
      <c r="F35" s="83">
        <f t="shared" si="0"/>
        <v>1</v>
      </c>
    </row>
    <row r="36" spans="1:8" ht="15" customHeight="1" x14ac:dyDescent="0.15">
      <c r="A36">
        <v>35</v>
      </c>
      <c r="B36" t="s">
        <v>224</v>
      </c>
      <c r="C36" s="84">
        <v>1</v>
      </c>
      <c r="D36" s="84">
        <v>0</v>
      </c>
      <c r="E36" s="83">
        <v>0</v>
      </c>
      <c r="F36" s="83">
        <f t="shared" si="0"/>
        <v>1</v>
      </c>
      <c r="G36"/>
      <c r="H36"/>
    </row>
    <row r="37" spans="1:8" ht="15" customHeight="1" x14ac:dyDescent="0.15">
      <c r="A37">
        <v>36</v>
      </c>
      <c r="B37" t="s">
        <v>225</v>
      </c>
      <c r="C37" s="84">
        <v>1</v>
      </c>
      <c r="D37" s="84">
        <v>0</v>
      </c>
      <c r="E37" s="83">
        <v>0</v>
      </c>
      <c r="F37" s="83">
        <f t="shared" si="0"/>
        <v>1</v>
      </c>
      <c r="G37"/>
      <c r="H37"/>
    </row>
    <row r="38" spans="1:8" ht="15" customHeight="1" x14ac:dyDescent="0.15">
      <c r="A38">
        <v>37</v>
      </c>
      <c r="B38" t="s">
        <v>226</v>
      </c>
      <c r="C38" s="84">
        <v>1</v>
      </c>
      <c r="D38" s="84">
        <v>0</v>
      </c>
      <c r="E38" s="83">
        <v>0</v>
      </c>
      <c r="F38" s="83">
        <f t="shared" si="0"/>
        <v>1</v>
      </c>
      <c r="G38"/>
      <c r="H38"/>
    </row>
    <row r="39" spans="1:8" ht="15" customHeight="1" x14ac:dyDescent="0.15">
      <c r="A39">
        <v>38</v>
      </c>
      <c r="B39" t="s">
        <v>227</v>
      </c>
      <c r="C39" s="84">
        <v>1</v>
      </c>
      <c r="D39" s="84">
        <v>0</v>
      </c>
      <c r="E39" s="83">
        <v>0</v>
      </c>
      <c r="F39" s="83">
        <f t="shared" si="0"/>
        <v>1</v>
      </c>
      <c r="G39"/>
      <c r="H39"/>
    </row>
    <row r="40" spans="1:8" ht="15" customHeight="1" x14ac:dyDescent="0.15">
      <c r="A40">
        <v>39</v>
      </c>
      <c r="B40" t="s">
        <v>228</v>
      </c>
      <c r="C40" s="84">
        <v>1</v>
      </c>
      <c r="D40" s="84">
        <v>0</v>
      </c>
      <c r="E40" s="83">
        <v>0</v>
      </c>
      <c r="F40" s="83">
        <f t="shared" si="0"/>
        <v>1</v>
      </c>
      <c r="G40"/>
      <c r="H40"/>
    </row>
    <row r="41" spans="1:8" ht="15" customHeight="1" x14ac:dyDescent="0.15">
      <c r="A41">
        <v>40</v>
      </c>
      <c r="B41" t="s">
        <v>229</v>
      </c>
      <c r="C41" s="84">
        <v>1</v>
      </c>
      <c r="D41" s="84">
        <v>0</v>
      </c>
      <c r="E41" s="83">
        <v>0</v>
      </c>
      <c r="F41" s="83">
        <f t="shared" si="0"/>
        <v>1</v>
      </c>
      <c r="G41"/>
      <c r="H41"/>
    </row>
    <row r="42" spans="1:8" ht="15" customHeight="1" x14ac:dyDescent="0.15">
      <c r="A42">
        <v>41</v>
      </c>
      <c r="B42" t="s">
        <v>230</v>
      </c>
      <c r="C42" s="84">
        <v>1</v>
      </c>
      <c r="D42" s="84">
        <v>0</v>
      </c>
      <c r="E42" s="83">
        <v>0</v>
      </c>
      <c r="F42" s="83">
        <f t="shared" si="0"/>
        <v>1</v>
      </c>
      <c r="G42"/>
      <c r="H42"/>
    </row>
    <row r="43" spans="1:8" ht="15" customHeight="1" x14ac:dyDescent="0.15">
      <c r="A43">
        <v>42</v>
      </c>
      <c r="B43" t="s">
        <v>231</v>
      </c>
      <c r="C43" s="84">
        <v>1</v>
      </c>
      <c r="D43" s="84">
        <v>0</v>
      </c>
      <c r="E43" s="83">
        <v>0</v>
      </c>
      <c r="F43" s="83">
        <f t="shared" si="0"/>
        <v>1</v>
      </c>
      <c r="G43"/>
      <c r="H43"/>
    </row>
    <row r="44" spans="1:8" ht="15" customHeight="1" x14ac:dyDescent="0.15">
      <c r="A44">
        <v>43</v>
      </c>
      <c r="B44" t="s">
        <v>232</v>
      </c>
      <c r="C44" s="84">
        <v>1</v>
      </c>
      <c r="D44" s="84">
        <v>0</v>
      </c>
      <c r="E44" s="83">
        <v>0</v>
      </c>
      <c r="F44" s="83">
        <f t="shared" si="0"/>
        <v>1</v>
      </c>
      <c r="G44"/>
      <c r="H44"/>
    </row>
    <row r="45" spans="1:8" ht="15" customHeight="1" x14ac:dyDescent="0.15">
      <c r="A45">
        <v>44</v>
      </c>
      <c r="B45" t="s">
        <v>233</v>
      </c>
      <c r="C45" s="84">
        <v>1</v>
      </c>
      <c r="D45" s="84">
        <v>0</v>
      </c>
      <c r="E45" s="83">
        <v>0</v>
      </c>
      <c r="F45" s="83">
        <f t="shared" si="0"/>
        <v>1</v>
      </c>
      <c r="G45"/>
      <c r="H45"/>
    </row>
    <row r="46" spans="1:8" ht="15" customHeight="1" x14ac:dyDescent="0.15">
      <c r="A46">
        <v>45</v>
      </c>
      <c r="B46" t="s">
        <v>235</v>
      </c>
      <c r="C46" s="84">
        <v>1</v>
      </c>
      <c r="D46" s="84">
        <v>0</v>
      </c>
      <c r="E46" s="83">
        <v>0</v>
      </c>
      <c r="F46" s="83">
        <f t="shared" si="0"/>
        <v>1</v>
      </c>
      <c r="G46"/>
      <c r="H46"/>
    </row>
    <row r="47" spans="1:8" ht="15" customHeight="1" x14ac:dyDescent="0.15">
      <c r="A47">
        <v>46</v>
      </c>
      <c r="B47" t="s">
        <v>234</v>
      </c>
      <c r="C47" s="84">
        <v>1</v>
      </c>
      <c r="D47" s="84">
        <v>0</v>
      </c>
      <c r="E47" s="83">
        <v>0</v>
      </c>
      <c r="F47" s="83">
        <f t="shared" si="0"/>
        <v>1</v>
      </c>
      <c r="G47"/>
      <c r="H47"/>
    </row>
    <row r="48" spans="1:8" ht="15" customHeight="1" x14ac:dyDescent="0.15">
      <c r="A48">
        <v>47</v>
      </c>
      <c r="B48" t="s">
        <v>236</v>
      </c>
      <c r="C48" s="84">
        <v>1</v>
      </c>
      <c r="D48" s="84">
        <v>0</v>
      </c>
      <c r="E48" s="83">
        <v>0</v>
      </c>
      <c r="F48" s="83">
        <f>SUM(C48:E48)</f>
        <v>1</v>
      </c>
      <c r="G48"/>
      <c r="H48"/>
    </row>
    <row r="49" spans="1:8" ht="15" customHeight="1" x14ac:dyDescent="0.15">
      <c r="A49">
        <v>48</v>
      </c>
      <c r="B49" t="s">
        <v>237</v>
      </c>
      <c r="C49" s="84">
        <v>1</v>
      </c>
      <c r="D49" s="84">
        <v>0</v>
      </c>
      <c r="E49" s="83">
        <v>0</v>
      </c>
      <c r="F49" s="83">
        <f t="shared" si="0"/>
        <v>1</v>
      </c>
      <c r="G49"/>
      <c r="H49"/>
    </row>
    <row r="50" spans="1:8" ht="15" customHeight="1" x14ac:dyDescent="0.15">
      <c r="A50">
        <v>49</v>
      </c>
      <c r="B50" t="s">
        <v>238</v>
      </c>
      <c r="C50" s="84">
        <v>1</v>
      </c>
      <c r="D50" s="84">
        <v>0</v>
      </c>
      <c r="E50" s="83">
        <v>0</v>
      </c>
      <c r="F50" s="83">
        <f t="shared" si="0"/>
        <v>1</v>
      </c>
      <c r="G50"/>
      <c r="H50"/>
    </row>
    <row r="51" spans="1:8" ht="15" customHeight="1" x14ac:dyDescent="0.15">
      <c r="A51">
        <v>50</v>
      </c>
      <c r="B51" t="s">
        <v>239</v>
      </c>
      <c r="C51" s="84">
        <v>1</v>
      </c>
      <c r="D51" s="84">
        <v>0</v>
      </c>
      <c r="E51" s="83">
        <v>0</v>
      </c>
      <c r="F51" s="83">
        <f t="shared" si="0"/>
        <v>1</v>
      </c>
      <c r="G51"/>
      <c r="H51"/>
    </row>
    <row r="52" spans="1:8" ht="15" customHeight="1" x14ac:dyDescent="0.15">
      <c r="A52">
        <v>51</v>
      </c>
      <c r="B52" t="s">
        <v>240</v>
      </c>
      <c r="C52" s="84">
        <v>1</v>
      </c>
      <c r="D52" s="84">
        <v>0</v>
      </c>
      <c r="E52" s="83">
        <v>0</v>
      </c>
      <c r="F52" s="83">
        <f t="shared" si="0"/>
        <v>1</v>
      </c>
      <c r="G52"/>
      <c r="H52"/>
    </row>
    <row r="53" spans="1:8" ht="15" customHeight="1" x14ac:dyDescent="0.15">
      <c r="A53">
        <v>52</v>
      </c>
      <c r="B53" t="s">
        <v>241</v>
      </c>
      <c r="C53" s="84">
        <v>1</v>
      </c>
      <c r="D53" s="84">
        <v>0</v>
      </c>
      <c r="E53" s="83">
        <v>0</v>
      </c>
      <c r="F53" s="83">
        <f t="shared" si="0"/>
        <v>1</v>
      </c>
      <c r="G53"/>
      <c r="H53"/>
    </row>
    <row r="54" spans="1:8" ht="15" customHeight="1" x14ac:dyDescent="0.15">
      <c r="A54">
        <v>53</v>
      </c>
      <c r="B54" t="s">
        <v>242</v>
      </c>
      <c r="C54" s="84">
        <v>1</v>
      </c>
      <c r="D54" s="84">
        <v>0</v>
      </c>
      <c r="E54" s="83">
        <v>0</v>
      </c>
      <c r="F54" s="83">
        <f t="shared" si="0"/>
        <v>1</v>
      </c>
      <c r="G54"/>
      <c r="H54"/>
    </row>
    <row r="55" spans="1:8" ht="15" customHeight="1" x14ac:dyDescent="0.15">
      <c r="A55">
        <v>54</v>
      </c>
      <c r="B55" t="s">
        <v>243</v>
      </c>
      <c r="C55" s="84">
        <v>1</v>
      </c>
      <c r="D55" s="84">
        <v>0</v>
      </c>
      <c r="E55" s="83">
        <v>0</v>
      </c>
      <c r="F55" s="83">
        <f t="shared" si="0"/>
        <v>1</v>
      </c>
      <c r="G55"/>
      <c r="H55"/>
    </row>
    <row r="56" spans="1:8" ht="15" customHeight="1" x14ac:dyDescent="0.15">
      <c r="A56">
        <v>55</v>
      </c>
      <c r="B56" t="s">
        <v>244</v>
      </c>
      <c r="C56" s="84">
        <v>1</v>
      </c>
      <c r="D56" s="84">
        <v>0</v>
      </c>
      <c r="E56" s="83">
        <v>0</v>
      </c>
      <c r="F56" s="83">
        <f t="shared" si="0"/>
        <v>1</v>
      </c>
      <c r="G56"/>
      <c r="H56"/>
    </row>
    <row r="57" spans="1:8" ht="15" customHeight="1" x14ac:dyDescent="0.15">
      <c r="A57">
        <v>56</v>
      </c>
      <c r="B57" t="s">
        <v>245</v>
      </c>
      <c r="C57" s="84">
        <v>1</v>
      </c>
      <c r="D57" s="84">
        <v>0</v>
      </c>
      <c r="E57" s="83">
        <v>0</v>
      </c>
      <c r="F57" s="83">
        <f t="shared" si="0"/>
        <v>1</v>
      </c>
      <c r="G57"/>
      <c r="H57"/>
    </row>
    <row r="58" spans="1:8" ht="15" customHeight="1" x14ac:dyDescent="0.15">
      <c r="A58">
        <v>57</v>
      </c>
      <c r="B58" t="s">
        <v>246</v>
      </c>
      <c r="C58" s="84">
        <v>1</v>
      </c>
      <c r="D58" s="84">
        <v>0</v>
      </c>
      <c r="E58" s="83">
        <v>0</v>
      </c>
      <c r="F58" s="83">
        <f t="shared" si="0"/>
        <v>1</v>
      </c>
      <c r="G58"/>
      <c r="H58"/>
    </row>
    <row r="59" spans="1:8" ht="15" customHeight="1" x14ac:dyDescent="0.15">
      <c r="A59">
        <v>58</v>
      </c>
      <c r="B59" t="s">
        <v>247</v>
      </c>
      <c r="C59" s="84">
        <v>1</v>
      </c>
      <c r="D59" s="84">
        <v>0</v>
      </c>
      <c r="E59" s="83">
        <v>0</v>
      </c>
      <c r="F59" s="83">
        <f t="shared" si="0"/>
        <v>1</v>
      </c>
      <c r="G59"/>
      <c r="H59"/>
    </row>
    <row r="60" spans="1:8" ht="15" customHeight="1" x14ac:dyDescent="0.15">
      <c r="C60"/>
      <c r="D60"/>
      <c r="E60"/>
      <c r="F60"/>
      <c r="G60"/>
      <c r="H60"/>
    </row>
    <row r="61" spans="1:8" ht="15" customHeight="1" x14ac:dyDescent="0.15">
      <c r="C61"/>
      <c r="D61"/>
      <c r="E61"/>
      <c r="F61"/>
      <c r="G61"/>
      <c r="H61"/>
    </row>
    <row r="62" spans="1:8" ht="15" customHeight="1" x14ac:dyDescent="0.15">
      <c r="C62"/>
      <c r="D62"/>
      <c r="E62"/>
      <c r="F62"/>
      <c r="G62"/>
      <c r="H62"/>
    </row>
    <row r="63" spans="1:8" ht="15" customHeight="1" x14ac:dyDescent="0.15">
      <c r="C63"/>
      <c r="D63"/>
      <c r="E63"/>
      <c r="F63"/>
      <c r="G63"/>
      <c r="H63"/>
    </row>
    <row r="64" spans="1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AD174"/>
  <sheetViews>
    <sheetView workbookViewId="0">
      <pane xSplit="2" ySplit="1" topLeftCell="V11" activePane="bottomRight" state="frozen"/>
      <selection pane="topRight" activeCell="D1" sqref="D1"/>
      <selection pane="bottomLeft" activeCell="A2" sqref="A2"/>
      <selection pane="bottomRight" activeCell="C1" sqref="C1:Z1"/>
    </sheetView>
  </sheetViews>
  <sheetFormatPr baseColWidth="10" defaultColWidth="8.83203125" defaultRowHeight="16" x14ac:dyDescent="0.2"/>
  <cols>
    <col min="1" max="1" width="19.1640625" style="125" bestFit="1" customWidth="1"/>
    <col min="2" max="2" width="26.5" style="125" bestFit="1" customWidth="1"/>
    <col min="3" max="26" width="17.1640625" style="125" customWidth="1"/>
    <col min="27" max="16384" width="8.83203125" style="125"/>
  </cols>
  <sheetData>
    <row r="1" spans="1:30" s="129" customFormat="1" ht="17" x14ac:dyDescent="0.2">
      <c r="A1" s="127" t="s">
        <v>21</v>
      </c>
      <c r="B1" s="128" t="s">
        <v>0</v>
      </c>
      <c r="C1" s="130" t="s">
        <v>224</v>
      </c>
      <c r="D1" s="131" t="s">
        <v>225</v>
      </c>
      <c r="E1" s="132" t="s">
        <v>226</v>
      </c>
      <c r="F1" s="133" t="s">
        <v>227</v>
      </c>
      <c r="G1" s="133" t="s">
        <v>228</v>
      </c>
      <c r="H1" s="133" t="s">
        <v>229</v>
      </c>
      <c r="I1" s="133" t="s">
        <v>230</v>
      </c>
      <c r="J1" s="133" t="s">
        <v>231</v>
      </c>
      <c r="K1" s="133" t="s">
        <v>232</v>
      </c>
      <c r="L1" s="133" t="s">
        <v>233</v>
      </c>
      <c r="M1" s="133" t="s">
        <v>235</v>
      </c>
      <c r="N1" s="133" t="s">
        <v>234</v>
      </c>
      <c r="O1" s="133" t="s">
        <v>236</v>
      </c>
      <c r="P1" s="133" t="s">
        <v>237</v>
      </c>
      <c r="Q1" s="133" t="s">
        <v>238</v>
      </c>
      <c r="R1" s="133" t="s">
        <v>239</v>
      </c>
      <c r="S1" s="133" t="s">
        <v>240</v>
      </c>
      <c r="T1" s="133" t="s">
        <v>241</v>
      </c>
      <c r="U1" s="133" t="s">
        <v>242</v>
      </c>
      <c r="V1" s="133" t="s">
        <v>243</v>
      </c>
      <c r="W1" s="133" t="s">
        <v>244</v>
      </c>
      <c r="X1" s="133" t="s">
        <v>245</v>
      </c>
      <c r="Y1" s="133" t="s">
        <v>246</v>
      </c>
      <c r="Z1" s="133" t="s">
        <v>247</v>
      </c>
      <c r="AA1" s="113" t="s">
        <v>188</v>
      </c>
    </row>
    <row r="2" spans="1:30" ht="15" customHeight="1" x14ac:dyDescent="0.2">
      <c r="A2" s="75">
        <v>1</v>
      </c>
      <c r="B2" s="120" t="s">
        <v>189</v>
      </c>
      <c r="C2" s="134">
        <v>0</v>
      </c>
      <c r="D2" s="134">
        <v>0</v>
      </c>
      <c r="E2" s="134">
        <v>0</v>
      </c>
      <c r="F2" s="134">
        <v>0</v>
      </c>
      <c r="G2" s="134">
        <v>0</v>
      </c>
      <c r="H2" s="134">
        <v>0</v>
      </c>
      <c r="I2" s="134">
        <v>0</v>
      </c>
      <c r="J2" s="134">
        <v>0</v>
      </c>
      <c r="K2" s="134">
        <v>0</v>
      </c>
      <c r="L2" s="134">
        <v>0</v>
      </c>
      <c r="M2" s="134">
        <v>0</v>
      </c>
      <c r="N2" s="134">
        <v>0</v>
      </c>
      <c r="O2" s="134">
        <v>0</v>
      </c>
      <c r="P2" s="134">
        <v>0</v>
      </c>
      <c r="Q2" s="134">
        <v>0</v>
      </c>
      <c r="R2" s="134">
        <v>0</v>
      </c>
      <c r="S2" s="134">
        <v>0</v>
      </c>
      <c r="T2" s="134">
        <v>0</v>
      </c>
      <c r="U2" s="134">
        <v>0</v>
      </c>
      <c r="V2" s="134">
        <v>0</v>
      </c>
      <c r="W2" s="134">
        <v>0</v>
      </c>
      <c r="X2" s="134">
        <v>0</v>
      </c>
      <c r="Y2" s="134">
        <v>0</v>
      </c>
      <c r="Z2" s="134">
        <v>0</v>
      </c>
      <c r="AA2" s="135">
        <f>SUM(C2:Z2)</f>
        <v>0</v>
      </c>
      <c r="AD2" s="138" t="s">
        <v>248</v>
      </c>
    </row>
    <row r="3" spans="1:30" ht="15" customHeight="1" x14ac:dyDescent="0.2">
      <c r="A3">
        <v>2</v>
      </c>
      <c r="B3" s="120" t="s">
        <v>221</v>
      </c>
      <c r="C3" s="134">
        <v>0</v>
      </c>
      <c r="D3" s="134">
        <v>0</v>
      </c>
      <c r="E3" s="134">
        <v>0</v>
      </c>
      <c r="F3" s="134">
        <v>0</v>
      </c>
      <c r="G3" s="134">
        <v>2E-3</v>
      </c>
      <c r="H3" s="134">
        <v>1E-3</v>
      </c>
      <c r="I3" s="134">
        <v>0</v>
      </c>
      <c r="J3" s="134">
        <v>0</v>
      </c>
      <c r="K3" s="137">
        <v>4.0000000000000002E-4</v>
      </c>
      <c r="L3" s="134">
        <v>0</v>
      </c>
      <c r="M3" s="134">
        <v>0</v>
      </c>
      <c r="N3" s="137">
        <v>4.0000000000000002E-4</v>
      </c>
      <c r="O3" s="137">
        <v>4.0000000000000002E-4</v>
      </c>
      <c r="P3" s="134">
        <v>0</v>
      </c>
      <c r="Q3" s="134">
        <v>0</v>
      </c>
      <c r="R3" s="134">
        <v>2E-3</v>
      </c>
      <c r="S3" s="134">
        <v>0</v>
      </c>
      <c r="T3" s="134">
        <v>0</v>
      </c>
      <c r="U3" s="134">
        <v>0</v>
      </c>
      <c r="V3" s="134">
        <v>1E-3</v>
      </c>
      <c r="W3" s="134">
        <v>0</v>
      </c>
      <c r="X3" s="134">
        <v>1E-3</v>
      </c>
      <c r="Y3" s="134">
        <v>0</v>
      </c>
      <c r="Z3" s="137">
        <v>4.0000000000000002E-4</v>
      </c>
      <c r="AA3" s="135">
        <f t="shared" ref="AA3:AA35" si="0">SUM(C3:Z3)</f>
        <v>8.6E-3</v>
      </c>
      <c r="AD3" s="138" t="s">
        <v>248</v>
      </c>
    </row>
    <row r="4" spans="1:30" ht="15" customHeight="1" x14ac:dyDescent="0.2">
      <c r="A4">
        <v>3</v>
      </c>
      <c r="B4" s="120" t="s">
        <v>190</v>
      </c>
      <c r="C4" s="134">
        <v>5.0000000000000001E-3</v>
      </c>
      <c r="D4" s="134">
        <v>0</v>
      </c>
      <c r="E4" s="134">
        <v>0</v>
      </c>
      <c r="F4" s="134">
        <v>0</v>
      </c>
      <c r="G4" s="134">
        <v>1.6E-2</v>
      </c>
      <c r="H4" s="134">
        <v>0</v>
      </c>
      <c r="I4" s="134">
        <v>0</v>
      </c>
      <c r="J4" s="134">
        <v>0</v>
      </c>
      <c r="K4" s="134">
        <v>3.0000000000000001E-3</v>
      </c>
      <c r="L4" s="134">
        <v>0</v>
      </c>
      <c r="M4" s="134">
        <v>0</v>
      </c>
      <c r="N4" s="134">
        <v>1E-3</v>
      </c>
      <c r="O4" s="137">
        <v>4.0000000000000002E-4</v>
      </c>
      <c r="P4" s="134">
        <v>0</v>
      </c>
      <c r="Q4" s="134">
        <v>0</v>
      </c>
      <c r="R4" s="134">
        <v>0</v>
      </c>
      <c r="S4" s="134">
        <v>0</v>
      </c>
      <c r="T4" s="134">
        <v>0</v>
      </c>
      <c r="U4" s="137">
        <v>4.0000000000000002E-4</v>
      </c>
      <c r="V4" s="134">
        <v>2E-3</v>
      </c>
      <c r="W4" s="134">
        <v>0</v>
      </c>
      <c r="X4" s="134">
        <v>0</v>
      </c>
      <c r="Y4" s="134">
        <v>0</v>
      </c>
      <c r="Z4" s="134">
        <v>0</v>
      </c>
      <c r="AA4" s="135">
        <f t="shared" si="0"/>
        <v>2.7800000000000005E-2</v>
      </c>
      <c r="AD4" s="138" t="s">
        <v>248</v>
      </c>
    </row>
    <row r="5" spans="1:30" ht="15" customHeight="1" x14ac:dyDescent="0.2">
      <c r="A5">
        <v>4</v>
      </c>
      <c r="B5" s="120" t="s">
        <v>191</v>
      </c>
      <c r="C5" s="134">
        <v>0.01</v>
      </c>
      <c r="D5" s="134">
        <v>4.0000000000000001E-3</v>
      </c>
      <c r="E5" s="137">
        <v>4.0000000000000002E-4</v>
      </c>
      <c r="F5" s="134">
        <v>0</v>
      </c>
      <c r="G5" s="134">
        <v>1.0999999999999999E-2</v>
      </c>
      <c r="H5" s="134">
        <v>0</v>
      </c>
      <c r="I5" s="134">
        <v>0</v>
      </c>
      <c r="J5" s="134">
        <v>1E-3</v>
      </c>
      <c r="K5" s="137">
        <v>4.0000000000000002E-4</v>
      </c>
      <c r="L5" s="134">
        <v>0</v>
      </c>
      <c r="M5" s="134">
        <v>0</v>
      </c>
      <c r="N5" s="134">
        <v>8.9999999999999993E-3</v>
      </c>
      <c r="O5" s="134">
        <v>0</v>
      </c>
      <c r="P5" s="134">
        <v>0</v>
      </c>
      <c r="Q5" s="134">
        <v>0</v>
      </c>
      <c r="R5" s="134">
        <v>7.0000000000000001E-3</v>
      </c>
      <c r="S5" s="134">
        <v>0</v>
      </c>
      <c r="T5" s="134">
        <v>0</v>
      </c>
      <c r="U5" s="134">
        <v>0</v>
      </c>
      <c r="V5" s="134">
        <v>0</v>
      </c>
      <c r="W5" s="134">
        <v>0</v>
      </c>
      <c r="X5" s="134">
        <v>0</v>
      </c>
      <c r="Y5" s="134">
        <v>0</v>
      </c>
      <c r="Z5" s="134">
        <v>6.0000000000000001E-3</v>
      </c>
      <c r="AA5" s="135">
        <f t="shared" si="0"/>
        <v>4.8799999999999996E-2</v>
      </c>
      <c r="AD5" s="138" t="s">
        <v>248</v>
      </c>
    </row>
    <row r="6" spans="1:30" ht="15" customHeight="1" x14ac:dyDescent="0.2">
      <c r="A6">
        <v>5</v>
      </c>
      <c r="B6" s="120" t="s">
        <v>192</v>
      </c>
      <c r="C6" s="134">
        <v>3.0000000000000001E-3</v>
      </c>
      <c r="D6" s="134">
        <v>3.0000000000000001E-3</v>
      </c>
      <c r="E6" s="134">
        <v>2E-3</v>
      </c>
      <c r="F6" s="134">
        <v>0</v>
      </c>
      <c r="G6" s="134">
        <v>0</v>
      </c>
      <c r="H6" s="134">
        <v>0</v>
      </c>
      <c r="I6" s="134">
        <v>0</v>
      </c>
      <c r="J6" s="134">
        <v>0</v>
      </c>
      <c r="K6" s="134">
        <v>0</v>
      </c>
      <c r="L6" s="134">
        <v>0</v>
      </c>
      <c r="M6" s="134">
        <v>0</v>
      </c>
      <c r="N6" s="137">
        <v>4.0000000000000002E-4</v>
      </c>
      <c r="O6" s="134">
        <v>0</v>
      </c>
      <c r="P6" s="134">
        <v>0</v>
      </c>
      <c r="Q6" s="134">
        <v>0</v>
      </c>
      <c r="R6" s="134">
        <v>5.0000000000000001E-3</v>
      </c>
      <c r="S6" s="134">
        <v>0</v>
      </c>
      <c r="T6" s="134">
        <v>0</v>
      </c>
      <c r="U6" s="134">
        <v>0</v>
      </c>
      <c r="V6" s="134">
        <v>0</v>
      </c>
      <c r="W6" s="134">
        <v>0</v>
      </c>
      <c r="X6" s="134">
        <v>1.6E-2</v>
      </c>
      <c r="Y6" s="134">
        <v>0</v>
      </c>
      <c r="Z6" s="134">
        <v>6.0000000000000001E-3</v>
      </c>
      <c r="AA6" s="135">
        <f t="shared" si="0"/>
        <v>3.5400000000000001E-2</v>
      </c>
      <c r="AD6" s="138" t="s">
        <v>248</v>
      </c>
    </row>
    <row r="7" spans="1:30" ht="15" customHeight="1" x14ac:dyDescent="0.2">
      <c r="A7">
        <v>6</v>
      </c>
      <c r="B7" s="120" t="s">
        <v>193</v>
      </c>
      <c r="C7" s="134">
        <v>0</v>
      </c>
      <c r="D7" s="134">
        <v>0</v>
      </c>
      <c r="E7" s="134">
        <v>0</v>
      </c>
      <c r="F7" s="134">
        <v>4.2000000000000003E-2</v>
      </c>
      <c r="G7" s="134">
        <v>0</v>
      </c>
      <c r="H7" s="134">
        <v>3.3000000000000002E-2</v>
      </c>
      <c r="I7" s="134">
        <v>8.6999999999999994E-2</v>
      </c>
      <c r="J7" s="134">
        <v>0</v>
      </c>
      <c r="K7" s="134">
        <v>0</v>
      </c>
      <c r="L7" s="134">
        <v>0.34399999999999997</v>
      </c>
      <c r="M7" s="134">
        <v>6.0000000000000001E-3</v>
      </c>
      <c r="N7" s="134">
        <v>0</v>
      </c>
      <c r="O7" s="134">
        <v>0</v>
      </c>
      <c r="P7" s="134">
        <v>0</v>
      </c>
      <c r="Q7" s="134">
        <v>0</v>
      </c>
      <c r="R7" s="134">
        <v>1.6E-2</v>
      </c>
      <c r="S7" s="134">
        <v>1E-3</v>
      </c>
      <c r="T7" s="134">
        <v>0</v>
      </c>
      <c r="U7" s="134">
        <v>1.0999999999999999E-2</v>
      </c>
      <c r="V7" s="134">
        <v>0</v>
      </c>
      <c r="W7" s="134">
        <v>0</v>
      </c>
      <c r="X7" s="134">
        <v>0</v>
      </c>
      <c r="Y7" s="134">
        <v>0</v>
      </c>
      <c r="Z7" s="134">
        <v>0</v>
      </c>
      <c r="AA7" s="135">
        <f t="shared" si="0"/>
        <v>0.54</v>
      </c>
      <c r="AD7" s="138" t="s">
        <v>248</v>
      </c>
    </row>
    <row r="8" spans="1:30" ht="15" customHeight="1" x14ac:dyDescent="0.2">
      <c r="A8">
        <v>7</v>
      </c>
      <c r="B8" s="120" t="s">
        <v>194</v>
      </c>
      <c r="C8" s="134">
        <v>0.09</v>
      </c>
      <c r="D8" s="134">
        <v>0.14000000000000001</v>
      </c>
      <c r="E8" s="134">
        <v>0.01</v>
      </c>
      <c r="F8" s="134">
        <v>0.05</v>
      </c>
      <c r="G8" s="134">
        <v>6.2E-2</v>
      </c>
      <c r="H8" s="134">
        <v>0.161</v>
      </c>
      <c r="I8" s="134">
        <v>1.2999999999999999E-2</v>
      </c>
      <c r="J8" s="134">
        <v>1.6E-2</v>
      </c>
      <c r="K8" s="134">
        <v>2.1000000000000001E-2</v>
      </c>
      <c r="L8" s="134">
        <v>2.3E-2</v>
      </c>
      <c r="M8" s="134">
        <v>5.0000000000000001E-3</v>
      </c>
      <c r="N8" s="134">
        <v>2E-3</v>
      </c>
      <c r="O8" s="134">
        <v>0</v>
      </c>
      <c r="P8" s="134">
        <v>0</v>
      </c>
      <c r="Q8" s="134">
        <v>0</v>
      </c>
      <c r="R8" s="134">
        <v>8.4000000000000005E-2</v>
      </c>
      <c r="S8" s="134">
        <v>0</v>
      </c>
      <c r="T8" s="134">
        <v>0.20899999999999999</v>
      </c>
      <c r="U8" s="134">
        <v>4.0000000000000001E-3</v>
      </c>
      <c r="V8" s="134">
        <v>0</v>
      </c>
      <c r="W8" s="134">
        <v>0</v>
      </c>
      <c r="X8" s="134">
        <v>0</v>
      </c>
      <c r="Y8" s="134">
        <v>0</v>
      </c>
      <c r="Z8" s="134">
        <v>0</v>
      </c>
      <c r="AA8" s="135">
        <f t="shared" si="0"/>
        <v>0.89</v>
      </c>
      <c r="AD8" s="138" t="s">
        <v>248</v>
      </c>
    </row>
    <row r="9" spans="1:30" ht="15" customHeight="1" x14ac:dyDescent="0.2">
      <c r="A9">
        <v>8</v>
      </c>
      <c r="B9" s="120" t="s">
        <v>195</v>
      </c>
      <c r="C9" s="134">
        <v>0.26</v>
      </c>
      <c r="D9" s="134">
        <v>0.90500000000000003</v>
      </c>
      <c r="E9" s="134">
        <v>2.7E-2</v>
      </c>
      <c r="F9" s="134">
        <v>3.5000000000000003E-2</v>
      </c>
      <c r="G9" s="134">
        <v>4.0000000000000001E-3</v>
      </c>
      <c r="H9" s="134">
        <v>0.192</v>
      </c>
      <c r="I9" s="134">
        <v>2E-3</v>
      </c>
      <c r="J9" s="134">
        <v>1.2E-2</v>
      </c>
      <c r="K9" s="134">
        <v>4.0000000000000001E-3</v>
      </c>
      <c r="L9" s="134">
        <v>0</v>
      </c>
      <c r="M9" s="134">
        <v>3.0000000000000001E-3</v>
      </c>
      <c r="N9" s="134">
        <v>1.2E-2</v>
      </c>
      <c r="O9" s="134">
        <v>0</v>
      </c>
      <c r="P9" s="134">
        <v>0</v>
      </c>
      <c r="Q9" s="134">
        <v>0</v>
      </c>
      <c r="R9" s="134">
        <v>0.14699999999999999</v>
      </c>
      <c r="S9" s="134">
        <v>6.0000000000000001E-3</v>
      </c>
      <c r="T9" s="134">
        <v>0.434</v>
      </c>
      <c r="U9" s="134">
        <v>1E-3</v>
      </c>
      <c r="V9" s="134">
        <v>0</v>
      </c>
      <c r="W9" s="134">
        <v>0</v>
      </c>
      <c r="X9" s="134">
        <v>0</v>
      </c>
      <c r="Y9" s="134">
        <v>0</v>
      </c>
      <c r="Z9" s="134">
        <v>0</v>
      </c>
      <c r="AA9" s="135">
        <f t="shared" si="0"/>
        <v>2.0439999999999996</v>
      </c>
      <c r="AD9" s="138" t="s">
        <v>248</v>
      </c>
    </row>
    <row r="10" spans="1:30" ht="15" customHeight="1" x14ac:dyDescent="0.2">
      <c r="A10">
        <v>9</v>
      </c>
      <c r="B10" s="120" t="s">
        <v>196</v>
      </c>
      <c r="C10" s="134">
        <v>0.308</v>
      </c>
      <c r="D10" s="134">
        <v>5.5E-2</v>
      </c>
      <c r="E10" s="134">
        <v>0.19600000000000001</v>
      </c>
      <c r="F10" s="134">
        <v>0.01</v>
      </c>
      <c r="G10" s="134">
        <v>0.03</v>
      </c>
      <c r="H10" s="134">
        <v>1.2E-2</v>
      </c>
      <c r="I10" s="134">
        <v>3.0000000000000001E-3</v>
      </c>
      <c r="J10" s="134">
        <v>3.5000000000000003E-2</v>
      </c>
      <c r="K10" s="134">
        <v>2.3E-2</v>
      </c>
      <c r="L10" s="134">
        <v>0</v>
      </c>
      <c r="M10" s="134">
        <v>0</v>
      </c>
      <c r="N10" s="134">
        <v>0.14499999999999999</v>
      </c>
      <c r="O10" s="134">
        <v>0</v>
      </c>
      <c r="P10" s="134">
        <v>0</v>
      </c>
      <c r="Q10" s="134">
        <v>0</v>
      </c>
      <c r="R10" s="134">
        <v>1.9E-2</v>
      </c>
      <c r="S10" s="134">
        <v>0</v>
      </c>
      <c r="T10" s="134">
        <v>4.0000000000000001E-3</v>
      </c>
      <c r="U10" s="134">
        <v>0</v>
      </c>
      <c r="V10" s="134">
        <v>0</v>
      </c>
      <c r="W10" s="134">
        <v>0</v>
      </c>
      <c r="X10" s="134">
        <v>1.0999999999999999E-2</v>
      </c>
      <c r="Y10" s="134">
        <v>4.0000000000000001E-3</v>
      </c>
      <c r="Z10" s="134">
        <v>3.0000000000000001E-3</v>
      </c>
      <c r="AA10" s="135">
        <f t="shared" si="0"/>
        <v>0.8580000000000001</v>
      </c>
      <c r="AD10" s="138" t="s">
        <v>248</v>
      </c>
    </row>
    <row r="11" spans="1:30" ht="15" customHeight="1" x14ac:dyDescent="0.2">
      <c r="A11">
        <v>10</v>
      </c>
      <c r="B11" s="120" t="s">
        <v>197</v>
      </c>
      <c r="C11" s="134">
        <v>0.28799999999999998</v>
      </c>
      <c r="D11" s="134">
        <v>0.25</v>
      </c>
      <c r="E11" s="134">
        <v>0.45600000000000002</v>
      </c>
      <c r="F11" s="134">
        <v>0</v>
      </c>
      <c r="G11" s="134">
        <v>5.0000000000000001E-3</v>
      </c>
      <c r="H11" s="134">
        <v>0</v>
      </c>
      <c r="I11" s="134">
        <v>0</v>
      </c>
      <c r="J11" s="134">
        <v>0</v>
      </c>
      <c r="K11" s="134">
        <v>0</v>
      </c>
      <c r="L11" s="134">
        <v>0</v>
      </c>
      <c r="M11" s="134">
        <v>0</v>
      </c>
      <c r="N11" s="134">
        <v>0.15</v>
      </c>
      <c r="O11" s="134">
        <v>0</v>
      </c>
      <c r="P11" s="134">
        <v>0</v>
      </c>
      <c r="Q11" s="134">
        <v>0</v>
      </c>
      <c r="R11" s="134">
        <v>1.4999999999999999E-2</v>
      </c>
      <c r="S11" s="134">
        <v>0</v>
      </c>
      <c r="T11" s="134">
        <v>1E-3</v>
      </c>
      <c r="U11" s="134">
        <v>0</v>
      </c>
      <c r="V11" s="134">
        <v>0</v>
      </c>
      <c r="W11" s="134">
        <v>0</v>
      </c>
      <c r="X11" s="134">
        <v>1E-3</v>
      </c>
      <c r="Y11" s="134">
        <v>0</v>
      </c>
      <c r="Z11" s="134">
        <v>0</v>
      </c>
      <c r="AA11" s="135">
        <f t="shared" si="0"/>
        <v>1.1659999999999997</v>
      </c>
      <c r="AD11" s="138" t="s">
        <v>248</v>
      </c>
    </row>
    <row r="12" spans="1:30" ht="15" customHeight="1" x14ac:dyDescent="0.2">
      <c r="A12">
        <v>11</v>
      </c>
      <c r="B12" s="120" t="s">
        <v>198</v>
      </c>
      <c r="C12" s="134">
        <v>0.18099999999999999</v>
      </c>
      <c r="D12" s="134">
        <v>7.0000000000000001E-3</v>
      </c>
      <c r="E12" s="134">
        <v>2E-3</v>
      </c>
      <c r="F12" s="134">
        <v>1.2999999999999999E-2</v>
      </c>
      <c r="G12" s="134">
        <v>3.3000000000000002E-2</v>
      </c>
      <c r="H12" s="134">
        <v>0.11</v>
      </c>
      <c r="I12" s="134">
        <v>0.158</v>
      </c>
      <c r="J12" s="134">
        <v>1.4999999999999999E-2</v>
      </c>
      <c r="K12" s="134">
        <v>3.9E-2</v>
      </c>
      <c r="L12" s="134">
        <v>1E-3</v>
      </c>
      <c r="M12" s="134">
        <v>2E-3</v>
      </c>
      <c r="N12" s="134">
        <v>4.2000000000000003E-2</v>
      </c>
      <c r="O12" s="134">
        <v>0</v>
      </c>
      <c r="P12" s="134">
        <v>0</v>
      </c>
      <c r="Q12" s="134">
        <v>0</v>
      </c>
      <c r="R12" s="134">
        <v>0.20100000000000001</v>
      </c>
      <c r="S12" s="134">
        <v>0</v>
      </c>
      <c r="T12" s="134">
        <v>1.0999999999999999E-2</v>
      </c>
      <c r="U12" s="137">
        <v>4.0000000000000002E-4</v>
      </c>
      <c r="V12" s="134">
        <v>0</v>
      </c>
      <c r="W12" s="134">
        <v>0</v>
      </c>
      <c r="X12" s="134">
        <v>8.9999999999999993E-3</v>
      </c>
      <c r="Y12" s="134">
        <v>2E-3</v>
      </c>
      <c r="Z12" s="134">
        <v>0</v>
      </c>
      <c r="AA12" s="135">
        <f t="shared" si="0"/>
        <v>0.82640000000000002</v>
      </c>
      <c r="AD12" s="138" t="s">
        <v>248</v>
      </c>
    </row>
    <row r="13" spans="1:30" ht="15" customHeight="1" x14ac:dyDescent="0.2">
      <c r="A13">
        <v>12</v>
      </c>
      <c r="B13" s="120" t="s">
        <v>199</v>
      </c>
      <c r="C13" s="134">
        <v>0.45100000000000001</v>
      </c>
      <c r="D13" s="134">
        <v>0.35299999999999998</v>
      </c>
      <c r="E13" s="134">
        <v>7.0000000000000001E-3</v>
      </c>
      <c r="F13" s="134">
        <v>1.0999999999999999E-2</v>
      </c>
      <c r="G13" s="134">
        <v>0.05</v>
      </c>
      <c r="H13" s="134">
        <v>0</v>
      </c>
      <c r="I13" s="134">
        <v>0</v>
      </c>
      <c r="J13" s="134">
        <v>0</v>
      </c>
      <c r="K13" s="134">
        <v>3.5999999999999997E-2</v>
      </c>
      <c r="L13" s="134">
        <v>0</v>
      </c>
      <c r="M13" s="134">
        <v>0</v>
      </c>
      <c r="N13" s="134">
        <v>0.123</v>
      </c>
      <c r="O13" s="134">
        <v>0</v>
      </c>
      <c r="P13" s="134">
        <v>0</v>
      </c>
      <c r="Q13" s="134">
        <v>0</v>
      </c>
      <c r="R13" s="134">
        <v>0.19900000000000001</v>
      </c>
      <c r="S13" s="134">
        <v>0</v>
      </c>
      <c r="T13" s="134">
        <v>7.0000000000000001E-3</v>
      </c>
      <c r="U13" s="134">
        <v>0</v>
      </c>
      <c r="V13" s="134">
        <v>0</v>
      </c>
      <c r="W13" s="134">
        <v>0</v>
      </c>
      <c r="X13" s="134">
        <v>0</v>
      </c>
      <c r="Y13" s="134">
        <v>1E-3</v>
      </c>
      <c r="Z13" s="134">
        <v>2E-3</v>
      </c>
      <c r="AA13" s="135">
        <f t="shared" si="0"/>
        <v>1.24</v>
      </c>
      <c r="AD13" s="138" t="s">
        <v>248</v>
      </c>
    </row>
    <row r="14" spans="1:30" ht="15" customHeight="1" x14ac:dyDescent="0.2">
      <c r="A14">
        <v>13</v>
      </c>
      <c r="B14" s="120" t="s">
        <v>200</v>
      </c>
      <c r="C14" s="134">
        <v>5.1999999999999998E-2</v>
      </c>
      <c r="D14" s="134">
        <v>0</v>
      </c>
      <c r="E14" s="134">
        <v>0</v>
      </c>
      <c r="F14" s="134">
        <v>1E-3</v>
      </c>
      <c r="G14" s="134">
        <v>9.6000000000000002E-2</v>
      </c>
      <c r="H14" s="134">
        <v>0.05</v>
      </c>
      <c r="I14" s="134">
        <v>0</v>
      </c>
      <c r="J14" s="134">
        <v>2E-3</v>
      </c>
      <c r="K14" s="134">
        <v>3.3000000000000002E-2</v>
      </c>
      <c r="L14" s="134">
        <v>0</v>
      </c>
      <c r="M14" s="134">
        <v>0</v>
      </c>
      <c r="N14" s="134">
        <v>1.0999999999999999E-2</v>
      </c>
      <c r="O14" s="134">
        <v>3.0000000000000001E-3</v>
      </c>
      <c r="P14" s="134">
        <v>0</v>
      </c>
      <c r="Q14" s="137">
        <v>4.0000000000000002E-4</v>
      </c>
      <c r="R14" s="134">
        <v>2E-3</v>
      </c>
      <c r="S14" s="134">
        <v>0</v>
      </c>
      <c r="T14" s="134">
        <v>0</v>
      </c>
      <c r="U14" s="137">
        <v>4.0000000000000002E-4</v>
      </c>
      <c r="V14" s="134">
        <v>6.0000000000000001E-3</v>
      </c>
      <c r="W14" s="134">
        <v>0</v>
      </c>
      <c r="X14" s="134">
        <v>1.2999999999999999E-2</v>
      </c>
      <c r="Y14" s="134">
        <v>1E-3</v>
      </c>
      <c r="Z14" s="134">
        <v>0</v>
      </c>
      <c r="AA14" s="135">
        <f t="shared" si="0"/>
        <v>0.27080000000000004</v>
      </c>
      <c r="AD14" s="138" t="s">
        <v>248</v>
      </c>
    </row>
    <row r="15" spans="1:30" ht="15" customHeight="1" x14ac:dyDescent="0.2">
      <c r="A15">
        <v>14</v>
      </c>
      <c r="B15" s="120" t="s">
        <v>201</v>
      </c>
      <c r="C15" s="134">
        <v>0.85</v>
      </c>
      <c r="D15" s="134">
        <v>0</v>
      </c>
      <c r="E15" s="134">
        <v>0</v>
      </c>
      <c r="F15" s="134">
        <v>5.0000000000000001E-3</v>
      </c>
      <c r="G15" s="134">
        <v>1.0900000000000001</v>
      </c>
      <c r="H15" s="134">
        <v>6.4000000000000001E-2</v>
      </c>
      <c r="I15" s="134">
        <v>6.3E-2</v>
      </c>
      <c r="J15" s="134">
        <v>0.13</v>
      </c>
      <c r="K15" s="134">
        <v>0.39</v>
      </c>
      <c r="L15" s="134">
        <v>8.9999999999999993E-3</v>
      </c>
      <c r="M15" s="134">
        <v>2.3E-2</v>
      </c>
      <c r="N15" s="134">
        <v>6.6000000000000003E-2</v>
      </c>
      <c r="O15" s="134">
        <v>3.0000000000000001E-3</v>
      </c>
      <c r="P15" s="134">
        <v>0</v>
      </c>
      <c r="Q15" s="134">
        <v>4.0000000000000001E-3</v>
      </c>
      <c r="R15" s="134">
        <v>1E-3</v>
      </c>
      <c r="S15" s="134">
        <v>1E-3</v>
      </c>
      <c r="T15" s="134">
        <v>0.02</v>
      </c>
      <c r="U15" s="134">
        <v>3.9E-2</v>
      </c>
      <c r="V15" s="134">
        <v>2.5000000000000001E-2</v>
      </c>
      <c r="W15" s="137">
        <v>4.0000000000000002E-4</v>
      </c>
      <c r="X15" s="134">
        <v>0.36099999999999999</v>
      </c>
      <c r="Y15" s="134">
        <v>1.4999999999999999E-2</v>
      </c>
      <c r="Z15" s="134">
        <v>0</v>
      </c>
      <c r="AA15" s="135">
        <f t="shared" si="0"/>
        <v>3.1594000000000002</v>
      </c>
      <c r="AD15" s="138" t="s">
        <v>248</v>
      </c>
    </row>
    <row r="16" spans="1:30" ht="15" customHeight="1" x14ac:dyDescent="0.2">
      <c r="A16">
        <v>15</v>
      </c>
      <c r="B16" s="120" t="s">
        <v>273</v>
      </c>
      <c r="C16" s="134">
        <v>9.1999999999999998E-2</v>
      </c>
      <c r="D16" s="134">
        <v>0</v>
      </c>
      <c r="E16" s="134">
        <v>1E-3</v>
      </c>
      <c r="F16" s="134">
        <v>1E-3</v>
      </c>
      <c r="G16" s="134">
        <v>5.0000000000000001E-3</v>
      </c>
      <c r="H16" s="134">
        <v>4.3999999999999997E-2</v>
      </c>
      <c r="I16" s="134">
        <v>1E-3</v>
      </c>
      <c r="J16" s="134">
        <v>4.3999999999999997E-2</v>
      </c>
      <c r="K16" s="134">
        <v>8.9999999999999993E-3</v>
      </c>
      <c r="L16" s="134">
        <v>1E-3</v>
      </c>
      <c r="M16" s="134">
        <v>0</v>
      </c>
      <c r="N16" s="134">
        <v>6.0000000000000001E-3</v>
      </c>
      <c r="O16" s="134">
        <v>0</v>
      </c>
      <c r="P16" s="134">
        <v>0</v>
      </c>
      <c r="Q16" s="134">
        <v>0</v>
      </c>
      <c r="R16" s="134">
        <v>0.02</v>
      </c>
      <c r="S16" s="134">
        <v>4.0000000000000001E-3</v>
      </c>
      <c r="T16" s="134">
        <v>2E-3</v>
      </c>
      <c r="U16" s="137">
        <v>4.0000000000000002E-4</v>
      </c>
      <c r="V16" s="134">
        <v>3.0000000000000001E-3</v>
      </c>
      <c r="W16" s="134">
        <v>0</v>
      </c>
      <c r="X16" s="134">
        <v>1.4999999999999999E-2</v>
      </c>
      <c r="Y16" s="134">
        <v>1E-3</v>
      </c>
      <c r="Z16" s="134">
        <v>2E-3</v>
      </c>
      <c r="AA16" s="135">
        <f t="shared" si="0"/>
        <v>0.25140000000000001</v>
      </c>
      <c r="AD16" s="138" t="s">
        <v>248</v>
      </c>
    </row>
    <row r="17" spans="1:30" ht="15" customHeight="1" x14ac:dyDescent="0.2">
      <c r="A17">
        <v>16</v>
      </c>
      <c r="B17" s="120" t="s">
        <v>202</v>
      </c>
      <c r="C17" s="134">
        <v>2.8000000000000001E-2</v>
      </c>
      <c r="D17" s="134">
        <v>0</v>
      </c>
      <c r="E17" s="134">
        <v>0</v>
      </c>
      <c r="F17" s="134">
        <v>0</v>
      </c>
      <c r="G17" s="134">
        <v>2.7E-2</v>
      </c>
      <c r="H17" s="134">
        <v>0</v>
      </c>
      <c r="I17" s="134">
        <v>0</v>
      </c>
      <c r="J17" s="134">
        <v>8.0000000000000002E-3</v>
      </c>
      <c r="K17" s="134">
        <v>1.2999999999999999E-2</v>
      </c>
      <c r="L17" s="134">
        <v>8.9999999999999993E-3</v>
      </c>
      <c r="M17" s="134">
        <v>0</v>
      </c>
      <c r="N17" s="134">
        <v>4.0000000000000001E-3</v>
      </c>
      <c r="O17" s="134">
        <v>2E-3</v>
      </c>
      <c r="P17" s="134">
        <v>0</v>
      </c>
      <c r="Q17" s="134">
        <v>0</v>
      </c>
      <c r="R17" s="134">
        <v>0</v>
      </c>
      <c r="S17" s="134">
        <v>0</v>
      </c>
      <c r="T17" s="134">
        <v>0</v>
      </c>
      <c r="U17" s="137">
        <v>4.0000000000000002E-4</v>
      </c>
      <c r="V17" s="134">
        <v>2.1000000000000001E-2</v>
      </c>
      <c r="W17" s="137">
        <v>4.0000000000000002E-4</v>
      </c>
      <c r="X17" s="134">
        <v>0.03</v>
      </c>
      <c r="Y17" s="134">
        <v>0</v>
      </c>
      <c r="Z17" s="134">
        <v>2E-3</v>
      </c>
      <c r="AA17" s="135">
        <f t="shared" si="0"/>
        <v>0.14479999999999998</v>
      </c>
      <c r="AD17" s="138" t="s">
        <v>248</v>
      </c>
    </row>
    <row r="18" spans="1:30" ht="15" customHeight="1" x14ac:dyDescent="0.2">
      <c r="A18">
        <v>17</v>
      </c>
      <c r="B18" s="120" t="s">
        <v>203</v>
      </c>
      <c r="C18" s="134">
        <v>0.38</v>
      </c>
      <c r="D18" s="134">
        <v>0</v>
      </c>
      <c r="E18" s="134">
        <v>0</v>
      </c>
      <c r="F18" s="134">
        <v>1E-3</v>
      </c>
      <c r="G18" s="134">
        <v>2E-3</v>
      </c>
      <c r="H18" s="134">
        <v>0</v>
      </c>
      <c r="I18" s="134">
        <v>0</v>
      </c>
      <c r="J18" s="134">
        <v>6.5000000000000002E-2</v>
      </c>
      <c r="K18" s="134">
        <v>4.7E-2</v>
      </c>
      <c r="L18" s="134">
        <v>1.4E-2</v>
      </c>
      <c r="M18" s="134">
        <v>0</v>
      </c>
      <c r="N18" s="134">
        <v>7.2999999999999995E-2</v>
      </c>
      <c r="O18" s="134">
        <v>0</v>
      </c>
      <c r="P18" s="134">
        <v>0</v>
      </c>
      <c r="Q18" s="134">
        <v>0</v>
      </c>
      <c r="R18" s="134">
        <v>0</v>
      </c>
      <c r="S18" s="134">
        <v>4.0000000000000001E-3</v>
      </c>
      <c r="T18" s="134">
        <v>0</v>
      </c>
      <c r="U18" s="134">
        <v>5.0000000000000001E-3</v>
      </c>
      <c r="V18" s="134">
        <v>8.1000000000000003E-2</v>
      </c>
      <c r="W18" s="134">
        <v>0</v>
      </c>
      <c r="X18" s="134">
        <v>0.185</v>
      </c>
      <c r="Y18" s="134">
        <v>2E-3</v>
      </c>
      <c r="Z18" s="134">
        <v>0</v>
      </c>
      <c r="AA18" s="135">
        <f t="shared" si="0"/>
        <v>0.85899999999999999</v>
      </c>
      <c r="AD18" s="138" t="s">
        <v>248</v>
      </c>
    </row>
    <row r="19" spans="1:30" ht="15" customHeight="1" x14ac:dyDescent="0.2">
      <c r="A19">
        <v>18</v>
      </c>
      <c r="B19" s="120" t="s">
        <v>204</v>
      </c>
      <c r="C19" s="134">
        <v>1.2E-2</v>
      </c>
      <c r="D19" s="134">
        <v>0</v>
      </c>
      <c r="E19" s="134">
        <v>0</v>
      </c>
      <c r="F19" s="134">
        <v>0</v>
      </c>
      <c r="G19" s="134">
        <v>0</v>
      </c>
      <c r="H19" s="134">
        <v>0</v>
      </c>
      <c r="I19" s="134">
        <v>0</v>
      </c>
      <c r="J19" s="137">
        <v>4.0000000000000002E-4</v>
      </c>
      <c r="K19" s="134">
        <v>0</v>
      </c>
      <c r="L19" s="134">
        <v>0</v>
      </c>
      <c r="M19" s="134">
        <v>0</v>
      </c>
      <c r="N19" s="134">
        <v>1.6E-2</v>
      </c>
      <c r="O19" s="137">
        <v>4.0000000000000002E-4</v>
      </c>
      <c r="P19" s="134">
        <v>0</v>
      </c>
      <c r="Q19" s="134">
        <v>0</v>
      </c>
      <c r="R19" s="134">
        <v>0</v>
      </c>
      <c r="S19" s="137">
        <v>4.0000000000000002E-4</v>
      </c>
      <c r="T19" s="134">
        <v>0</v>
      </c>
      <c r="U19" s="137">
        <v>4.0000000000000002E-4</v>
      </c>
      <c r="V19" s="134">
        <v>1.0999999999999999E-2</v>
      </c>
      <c r="W19" s="134">
        <v>0</v>
      </c>
      <c r="X19" s="134">
        <v>0</v>
      </c>
      <c r="Y19" s="134">
        <v>5.0000000000000001E-3</v>
      </c>
      <c r="Z19" s="134">
        <v>0</v>
      </c>
      <c r="AA19" s="135">
        <f t="shared" si="0"/>
        <v>4.5600000000000002E-2</v>
      </c>
      <c r="AD19" s="138" t="s">
        <v>248</v>
      </c>
    </row>
    <row r="20" spans="1:30" ht="15" customHeight="1" x14ac:dyDescent="0.2">
      <c r="A20">
        <v>19</v>
      </c>
      <c r="B20" s="120" t="s">
        <v>205</v>
      </c>
      <c r="C20" s="134">
        <v>1E-3</v>
      </c>
      <c r="D20" s="134">
        <v>0</v>
      </c>
      <c r="E20" s="134">
        <v>0</v>
      </c>
      <c r="F20" s="134">
        <v>0</v>
      </c>
      <c r="G20" s="134">
        <v>0</v>
      </c>
      <c r="H20" s="134">
        <v>0</v>
      </c>
      <c r="I20" s="134">
        <v>0</v>
      </c>
      <c r="J20" s="137">
        <v>4.0000000000000002E-4</v>
      </c>
      <c r="K20" s="134">
        <v>2E-3</v>
      </c>
      <c r="L20" s="134">
        <v>5.0000000000000001E-3</v>
      </c>
      <c r="M20" s="134">
        <v>3.0000000000000001E-3</v>
      </c>
      <c r="N20" s="134">
        <v>5.0000000000000001E-3</v>
      </c>
      <c r="O20" s="134">
        <v>0</v>
      </c>
      <c r="P20" s="134">
        <v>0</v>
      </c>
      <c r="Q20" s="134">
        <v>0</v>
      </c>
      <c r="R20" s="134">
        <v>0</v>
      </c>
      <c r="S20" s="134">
        <v>1.0999999999999999E-2</v>
      </c>
      <c r="T20" s="134">
        <v>0</v>
      </c>
      <c r="U20" s="134">
        <v>2.1000000000000001E-2</v>
      </c>
      <c r="V20" s="134">
        <v>5.0000000000000001E-3</v>
      </c>
      <c r="W20" s="134">
        <v>0</v>
      </c>
      <c r="X20" s="134">
        <v>0</v>
      </c>
      <c r="Y20" s="134">
        <v>0</v>
      </c>
      <c r="Z20" s="134">
        <v>0</v>
      </c>
      <c r="AA20" s="135">
        <f t="shared" si="0"/>
        <v>5.3399999999999996E-2</v>
      </c>
      <c r="AD20" s="138" t="s">
        <v>248</v>
      </c>
    </row>
    <row r="21" spans="1:30" ht="15" customHeight="1" x14ac:dyDescent="0.2">
      <c r="A21">
        <v>20</v>
      </c>
      <c r="B21" s="120" t="s">
        <v>206</v>
      </c>
      <c r="C21" s="134">
        <v>3.5000000000000003E-2</v>
      </c>
      <c r="D21" s="134">
        <v>0</v>
      </c>
      <c r="E21" s="134">
        <v>0</v>
      </c>
      <c r="F21" s="134">
        <v>0</v>
      </c>
      <c r="G21" s="134">
        <v>0</v>
      </c>
      <c r="H21" s="134">
        <v>0</v>
      </c>
      <c r="I21" s="134">
        <v>0</v>
      </c>
      <c r="J21" s="134">
        <v>5.0000000000000001E-3</v>
      </c>
      <c r="K21" s="134">
        <v>0</v>
      </c>
      <c r="L21" s="134">
        <v>0</v>
      </c>
      <c r="M21" s="134">
        <v>6.0000000000000001E-3</v>
      </c>
      <c r="N21" s="134">
        <v>2.9000000000000001E-2</v>
      </c>
      <c r="O21" s="134">
        <v>0</v>
      </c>
      <c r="P21" s="134">
        <v>0</v>
      </c>
      <c r="Q21" s="134">
        <v>0</v>
      </c>
      <c r="R21" s="137">
        <v>4.0000000000000002E-4</v>
      </c>
      <c r="S21" s="134">
        <v>2E-3</v>
      </c>
      <c r="T21" s="134">
        <v>0</v>
      </c>
      <c r="U21" s="137">
        <v>4.0000000000000002E-4</v>
      </c>
      <c r="V21" s="134">
        <v>1.4E-2</v>
      </c>
      <c r="W21" s="134">
        <v>0</v>
      </c>
      <c r="X21" s="134">
        <v>0</v>
      </c>
      <c r="Y21" s="137">
        <v>4.0000000000000002E-4</v>
      </c>
      <c r="Z21" s="134">
        <v>0</v>
      </c>
      <c r="AA21" s="135">
        <f t="shared" si="0"/>
        <v>9.219999999999999E-2</v>
      </c>
      <c r="AD21" s="138" t="s">
        <v>248</v>
      </c>
    </row>
    <row r="22" spans="1:30" ht="15" customHeight="1" x14ac:dyDescent="0.2">
      <c r="A22">
        <v>21</v>
      </c>
      <c r="B22" s="120" t="s">
        <v>207</v>
      </c>
      <c r="C22" s="134">
        <v>0</v>
      </c>
      <c r="D22" s="134">
        <v>0</v>
      </c>
      <c r="E22" s="134">
        <v>0</v>
      </c>
      <c r="F22" s="134">
        <v>0</v>
      </c>
      <c r="G22" s="137">
        <v>4.0000000000000002E-4</v>
      </c>
      <c r="H22" s="134">
        <v>0</v>
      </c>
      <c r="I22" s="134">
        <v>0</v>
      </c>
      <c r="J22" s="134">
        <v>0</v>
      </c>
      <c r="K22" s="134">
        <v>0</v>
      </c>
      <c r="L22" s="134">
        <v>0</v>
      </c>
      <c r="M22" s="134">
        <v>0</v>
      </c>
      <c r="N22" s="134">
        <v>0</v>
      </c>
      <c r="O22" s="134">
        <v>0</v>
      </c>
      <c r="P22" s="134">
        <v>0</v>
      </c>
      <c r="Q22" s="134">
        <v>0</v>
      </c>
      <c r="R22" s="134">
        <v>0</v>
      </c>
      <c r="S22" s="134">
        <v>0</v>
      </c>
      <c r="T22" s="134">
        <v>0</v>
      </c>
      <c r="U22" s="134">
        <v>0</v>
      </c>
      <c r="V22" s="134">
        <v>0</v>
      </c>
      <c r="W22" s="134">
        <v>0</v>
      </c>
      <c r="X22" s="134">
        <v>0</v>
      </c>
      <c r="Y22" s="134">
        <v>0</v>
      </c>
      <c r="Z22" s="134">
        <v>0</v>
      </c>
      <c r="AA22" s="135">
        <f t="shared" si="0"/>
        <v>4.0000000000000002E-4</v>
      </c>
      <c r="AD22" s="138" t="s">
        <v>248</v>
      </c>
    </row>
    <row r="23" spans="1:30" ht="15" customHeight="1" x14ac:dyDescent="0.2">
      <c r="A23">
        <v>22</v>
      </c>
      <c r="B23" s="120" t="s">
        <v>208</v>
      </c>
      <c r="C23" s="134">
        <v>0</v>
      </c>
      <c r="D23" s="134">
        <v>0</v>
      </c>
      <c r="E23" s="134">
        <v>0</v>
      </c>
      <c r="F23" s="134">
        <v>0</v>
      </c>
      <c r="G23" s="134">
        <v>1E-3</v>
      </c>
      <c r="H23" s="134">
        <v>0</v>
      </c>
      <c r="I23" s="134">
        <v>0</v>
      </c>
      <c r="J23" s="134">
        <v>0</v>
      </c>
      <c r="K23" s="134">
        <v>7.0000000000000001E-3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7">
        <v>4.0000000000000002E-4</v>
      </c>
      <c r="W23" s="134">
        <v>0</v>
      </c>
      <c r="X23" s="134">
        <v>0</v>
      </c>
      <c r="Y23" s="134">
        <v>0</v>
      </c>
      <c r="Z23" s="134">
        <v>0</v>
      </c>
      <c r="AA23" s="135">
        <f t="shared" si="0"/>
        <v>8.3999999999999995E-3</v>
      </c>
      <c r="AD23" s="138" t="s">
        <v>248</v>
      </c>
    </row>
    <row r="24" spans="1:30" ht="15" customHeight="1" x14ac:dyDescent="0.2">
      <c r="A24">
        <v>23</v>
      </c>
      <c r="B24" s="120" t="s">
        <v>209</v>
      </c>
      <c r="C24" s="134">
        <v>3.6999999999999998E-2</v>
      </c>
      <c r="D24" s="134">
        <v>0</v>
      </c>
      <c r="E24" s="134">
        <v>0</v>
      </c>
      <c r="F24" s="134">
        <v>8.9999999999999993E-3</v>
      </c>
      <c r="G24" s="134">
        <v>9.9000000000000005E-2</v>
      </c>
      <c r="H24" s="134">
        <v>5.5E-2</v>
      </c>
      <c r="I24" s="134">
        <v>0.01</v>
      </c>
      <c r="J24" s="134">
        <v>2.7E-2</v>
      </c>
      <c r="K24" s="134">
        <v>4.1000000000000002E-2</v>
      </c>
      <c r="L24" s="134">
        <v>6.0000000000000001E-3</v>
      </c>
      <c r="M24" s="134">
        <v>7.0000000000000001E-3</v>
      </c>
      <c r="N24" s="134">
        <v>1E-3</v>
      </c>
      <c r="O24" s="134">
        <v>0</v>
      </c>
      <c r="P24" s="134">
        <v>0</v>
      </c>
      <c r="Q24" s="134">
        <v>0</v>
      </c>
      <c r="R24" s="134">
        <v>0.01</v>
      </c>
      <c r="S24" s="134">
        <v>0</v>
      </c>
      <c r="T24" s="134">
        <v>0</v>
      </c>
      <c r="U24" s="134">
        <v>1E-3</v>
      </c>
      <c r="V24" s="134">
        <v>2E-3</v>
      </c>
      <c r="W24" s="134">
        <v>7.0999999999999994E-2</v>
      </c>
      <c r="X24" s="134">
        <v>8.9999999999999993E-3</v>
      </c>
      <c r="Y24" s="134">
        <v>1E-3</v>
      </c>
      <c r="Z24" s="134">
        <v>8.9999999999999993E-3</v>
      </c>
      <c r="AA24" s="135">
        <f t="shared" si="0"/>
        <v>0.39500000000000007</v>
      </c>
      <c r="AD24" s="138" t="s">
        <v>248</v>
      </c>
    </row>
    <row r="25" spans="1:30" ht="15" customHeight="1" x14ac:dyDescent="0.2">
      <c r="A25">
        <v>24</v>
      </c>
      <c r="B25" s="120" t="s">
        <v>210</v>
      </c>
      <c r="C25" s="134">
        <v>5.0000000000000001E-3</v>
      </c>
      <c r="D25" s="134">
        <v>0</v>
      </c>
      <c r="E25" s="134">
        <v>0</v>
      </c>
      <c r="F25" s="134">
        <v>0</v>
      </c>
      <c r="G25" s="134">
        <v>0.01</v>
      </c>
      <c r="H25" s="134">
        <v>0</v>
      </c>
      <c r="I25" s="134">
        <v>0</v>
      </c>
      <c r="J25" s="134">
        <v>0</v>
      </c>
      <c r="K25" s="137">
        <v>4.0000000000000002E-4</v>
      </c>
      <c r="L25" s="134">
        <v>1E-3</v>
      </c>
      <c r="M25" s="134">
        <v>0</v>
      </c>
      <c r="N25" s="134">
        <v>5.0000000000000001E-3</v>
      </c>
      <c r="O25" s="134">
        <v>0.122</v>
      </c>
      <c r="P25" s="134">
        <v>5.6000000000000001E-2</v>
      </c>
      <c r="Q25" s="134">
        <v>6.4000000000000001E-2</v>
      </c>
      <c r="R25" s="134">
        <v>0</v>
      </c>
      <c r="S25" s="134">
        <v>0</v>
      </c>
      <c r="T25" s="134">
        <v>0</v>
      </c>
      <c r="U25" s="137">
        <v>4.0000000000000002E-4</v>
      </c>
      <c r="V25" s="134">
        <v>1E-3</v>
      </c>
      <c r="W25" s="134">
        <v>0</v>
      </c>
      <c r="X25" s="134">
        <v>0</v>
      </c>
      <c r="Y25" s="134">
        <v>0</v>
      </c>
      <c r="Z25" s="134">
        <v>0</v>
      </c>
      <c r="AA25" s="135">
        <f t="shared" si="0"/>
        <v>0.26479999999999998</v>
      </c>
      <c r="AD25" s="138" t="s">
        <v>248</v>
      </c>
    </row>
    <row r="26" spans="1:30" ht="15" customHeight="1" x14ac:dyDescent="0.2">
      <c r="A26">
        <v>25</v>
      </c>
      <c r="B26" s="120" t="s">
        <v>211</v>
      </c>
      <c r="C26" s="134">
        <v>0</v>
      </c>
      <c r="D26" s="134">
        <v>0</v>
      </c>
      <c r="E26" s="134">
        <v>0</v>
      </c>
      <c r="F26" s="134">
        <v>0</v>
      </c>
      <c r="G26" s="134">
        <v>3.7999999999999999E-2</v>
      </c>
      <c r="H26" s="134">
        <v>0</v>
      </c>
      <c r="I26" s="134">
        <v>0</v>
      </c>
      <c r="J26" s="134">
        <v>0</v>
      </c>
      <c r="K26" s="134">
        <v>5.8999999999999997E-2</v>
      </c>
      <c r="L26" s="134">
        <v>4.0000000000000001E-3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7.0000000000000007E-2</v>
      </c>
      <c r="T26" s="134">
        <v>0</v>
      </c>
      <c r="U26" s="134">
        <v>0.13300000000000001</v>
      </c>
      <c r="V26" s="134">
        <v>1E-3</v>
      </c>
      <c r="W26" s="134">
        <v>0</v>
      </c>
      <c r="X26" s="134">
        <v>0</v>
      </c>
      <c r="Y26" s="134">
        <v>0</v>
      </c>
      <c r="Z26" s="134">
        <v>0</v>
      </c>
      <c r="AA26" s="135">
        <f t="shared" si="0"/>
        <v>0.30500000000000005</v>
      </c>
      <c r="AD26" s="138" t="s">
        <v>248</v>
      </c>
    </row>
    <row r="27" spans="1:30" ht="15" customHeight="1" x14ac:dyDescent="0.2">
      <c r="A27">
        <v>26</v>
      </c>
      <c r="B27" s="120" t="s">
        <v>212</v>
      </c>
      <c r="C27" s="134">
        <v>0</v>
      </c>
      <c r="D27" s="134">
        <v>0</v>
      </c>
      <c r="E27" s="134">
        <v>0</v>
      </c>
      <c r="F27" s="134">
        <v>0</v>
      </c>
      <c r="G27" s="134">
        <v>0.126</v>
      </c>
      <c r="H27" s="134">
        <v>0</v>
      </c>
      <c r="I27" s="134">
        <v>0</v>
      </c>
      <c r="J27" s="134">
        <v>0</v>
      </c>
      <c r="K27" s="134">
        <v>7.0000000000000001E-3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5">
        <f t="shared" si="0"/>
        <v>0.13300000000000001</v>
      </c>
      <c r="AD27" s="138" t="s">
        <v>248</v>
      </c>
    </row>
    <row r="28" spans="1:30" ht="15" customHeight="1" x14ac:dyDescent="0.2">
      <c r="A28">
        <v>27</v>
      </c>
      <c r="B28" s="120" t="s">
        <v>213</v>
      </c>
      <c r="C28" s="134">
        <v>0</v>
      </c>
      <c r="D28" s="134">
        <v>0</v>
      </c>
      <c r="E28" s="134">
        <v>0</v>
      </c>
      <c r="F28" s="134">
        <v>0</v>
      </c>
      <c r="G28" s="134">
        <v>2.8000000000000001E-2</v>
      </c>
      <c r="H28" s="134">
        <v>0</v>
      </c>
      <c r="I28" s="134">
        <v>0</v>
      </c>
      <c r="J28" s="134">
        <v>0</v>
      </c>
      <c r="K28" s="134">
        <v>3.0000000000000001E-3</v>
      </c>
      <c r="L28" s="134">
        <v>0</v>
      </c>
      <c r="M28" s="134">
        <v>0</v>
      </c>
      <c r="N28" s="134">
        <v>0</v>
      </c>
      <c r="O28" s="134">
        <v>1E-3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5">
        <f t="shared" si="0"/>
        <v>3.2000000000000001E-2</v>
      </c>
      <c r="AD28" s="138" t="s">
        <v>248</v>
      </c>
    </row>
    <row r="29" spans="1:30" ht="15" customHeight="1" x14ac:dyDescent="0.2">
      <c r="A29">
        <v>28</v>
      </c>
      <c r="B29" s="120" t="s">
        <v>214</v>
      </c>
      <c r="C29" s="134">
        <v>0</v>
      </c>
      <c r="D29" s="134">
        <v>0</v>
      </c>
      <c r="E29" s="134">
        <v>0</v>
      </c>
      <c r="F29" s="134">
        <v>0</v>
      </c>
      <c r="G29" s="134">
        <v>0</v>
      </c>
      <c r="H29" s="134">
        <v>0</v>
      </c>
      <c r="I29" s="134">
        <v>0</v>
      </c>
      <c r="J29" s="134">
        <v>0</v>
      </c>
      <c r="K29" s="134">
        <v>0</v>
      </c>
      <c r="L29" s="134">
        <v>0</v>
      </c>
      <c r="M29" s="134">
        <v>0</v>
      </c>
      <c r="N29" s="134">
        <v>0</v>
      </c>
      <c r="O29" s="134">
        <v>0</v>
      </c>
      <c r="P29" s="134">
        <v>0</v>
      </c>
      <c r="Q29" s="134">
        <v>0</v>
      </c>
      <c r="R29" s="134">
        <v>0</v>
      </c>
      <c r="S29" s="134">
        <v>0</v>
      </c>
      <c r="T29" s="134">
        <v>0</v>
      </c>
      <c r="U29" s="134">
        <v>0</v>
      </c>
      <c r="V29" s="134">
        <v>0</v>
      </c>
      <c r="W29" s="134">
        <v>0</v>
      </c>
      <c r="X29" s="134">
        <v>0</v>
      </c>
      <c r="Y29" s="134">
        <v>0</v>
      </c>
      <c r="Z29" s="134">
        <v>0</v>
      </c>
      <c r="AA29" s="135">
        <f t="shared" si="0"/>
        <v>0</v>
      </c>
      <c r="AD29" s="138" t="s">
        <v>248</v>
      </c>
    </row>
    <row r="30" spans="1:30" ht="15" customHeight="1" x14ac:dyDescent="0.2">
      <c r="A30">
        <v>29</v>
      </c>
      <c r="B30" s="120" t="s">
        <v>215</v>
      </c>
      <c r="C30" s="134">
        <v>0</v>
      </c>
      <c r="D30" s="134">
        <v>0</v>
      </c>
      <c r="E30" s="134">
        <v>0</v>
      </c>
      <c r="F30" s="134">
        <v>0</v>
      </c>
      <c r="G30" s="134">
        <v>4.1000000000000002E-2</v>
      </c>
      <c r="H30" s="134">
        <v>0</v>
      </c>
      <c r="I30" s="134">
        <v>0</v>
      </c>
      <c r="J30" s="134">
        <v>0</v>
      </c>
      <c r="K30" s="134">
        <v>0</v>
      </c>
      <c r="L30" s="134">
        <v>0</v>
      </c>
      <c r="M30" s="134">
        <v>0</v>
      </c>
      <c r="N30" s="134">
        <v>0</v>
      </c>
      <c r="O30" s="134">
        <v>0</v>
      </c>
      <c r="P30" s="134">
        <v>0</v>
      </c>
      <c r="Q30" s="134">
        <v>0</v>
      </c>
      <c r="R30" s="134">
        <v>0</v>
      </c>
      <c r="S30" s="134">
        <v>0</v>
      </c>
      <c r="T30" s="134">
        <v>0</v>
      </c>
      <c r="U30" s="134">
        <v>0</v>
      </c>
      <c r="V30" s="134">
        <v>0</v>
      </c>
      <c r="W30" s="134">
        <v>0</v>
      </c>
      <c r="X30" s="134">
        <v>0</v>
      </c>
      <c r="Y30" s="134">
        <v>0</v>
      </c>
      <c r="Z30" s="134">
        <v>0</v>
      </c>
      <c r="AA30" s="135">
        <f t="shared" si="0"/>
        <v>4.1000000000000002E-2</v>
      </c>
      <c r="AD30" s="138" t="s">
        <v>248</v>
      </c>
    </row>
    <row r="31" spans="1:30" ht="15" customHeight="1" x14ac:dyDescent="0.2">
      <c r="A31">
        <v>30</v>
      </c>
      <c r="B31" s="120" t="s">
        <v>216</v>
      </c>
      <c r="C31" s="134">
        <v>0</v>
      </c>
      <c r="D31" s="134">
        <v>0</v>
      </c>
      <c r="E31" s="134">
        <v>0</v>
      </c>
      <c r="F31" s="134">
        <v>0</v>
      </c>
      <c r="G31" s="134">
        <v>0</v>
      </c>
      <c r="H31" s="134">
        <v>0</v>
      </c>
      <c r="I31" s="134">
        <v>0</v>
      </c>
      <c r="J31" s="134">
        <v>0</v>
      </c>
      <c r="K31" s="134">
        <v>0</v>
      </c>
      <c r="L31" s="134">
        <v>0</v>
      </c>
      <c r="M31" s="134">
        <v>0</v>
      </c>
      <c r="N31" s="134">
        <v>0</v>
      </c>
      <c r="O31" s="134">
        <v>0</v>
      </c>
      <c r="P31" s="134">
        <v>0</v>
      </c>
      <c r="Q31" s="134">
        <v>0</v>
      </c>
      <c r="R31" s="134">
        <v>0</v>
      </c>
      <c r="S31" s="134">
        <v>0</v>
      </c>
      <c r="T31" s="134">
        <v>0</v>
      </c>
      <c r="U31" s="134">
        <v>0</v>
      </c>
      <c r="V31" s="134">
        <v>0</v>
      </c>
      <c r="W31" s="134">
        <v>0</v>
      </c>
      <c r="X31" s="134">
        <v>0</v>
      </c>
      <c r="Y31" s="134">
        <v>0</v>
      </c>
      <c r="Z31" s="134">
        <v>0</v>
      </c>
      <c r="AA31" s="135">
        <f t="shared" si="0"/>
        <v>0</v>
      </c>
      <c r="AD31" s="138" t="s">
        <v>248</v>
      </c>
    </row>
    <row r="32" spans="1:30" ht="15" customHeight="1" x14ac:dyDescent="0.2">
      <c r="A32">
        <v>31</v>
      </c>
      <c r="B32" s="120" t="s">
        <v>217</v>
      </c>
      <c r="C32" s="134">
        <v>0</v>
      </c>
      <c r="D32" s="134">
        <v>0</v>
      </c>
      <c r="E32" s="134">
        <v>0</v>
      </c>
      <c r="F32" s="134">
        <v>0</v>
      </c>
      <c r="G32" s="134">
        <v>0</v>
      </c>
      <c r="H32" s="134">
        <v>0</v>
      </c>
      <c r="I32" s="134">
        <v>0</v>
      </c>
      <c r="J32" s="134">
        <v>0</v>
      </c>
      <c r="K32" s="134">
        <v>0</v>
      </c>
      <c r="L32" s="134">
        <v>0</v>
      </c>
      <c r="M32" s="134">
        <v>0</v>
      </c>
      <c r="N32" s="134">
        <v>0</v>
      </c>
      <c r="O32" s="134">
        <v>0</v>
      </c>
      <c r="P32" s="134">
        <v>0</v>
      </c>
      <c r="Q32" s="134">
        <v>0</v>
      </c>
      <c r="R32" s="134">
        <v>0</v>
      </c>
      <c r="S32" s="134">
        <v>0</v>
      </c>
      <c r="T32" s="134">
        <v>0</v>
      </c>
      <c r="U32" s="134">
        <v>0</v>
      </c>
      <c r="V32" s="134">
        <v>0</v>
      </c>
      <c r="W32" s="134">
        <v>0</v>
      </c>
      <c r="X32" s="134">
        <v>0</v>
      </c>
      <c r="Y32" s="134">
        <v>0</v>
      </c>
      <c r="Z32" s="134">
        <v>0</v>
      </c>
      <c r="AA32" s="135">
        <f t="shared" si="0"/>
        <v>0</v>
      </c>
      <c r="AD32" s="138" t="s">
        <v>248</v>
      </c>
    </row>
    <row r="33" spans="1:30" ht="15" customHeight="1" x14ac:dyDescent="0.2">
      <c r="A33">
        <v>32</v>
      </c>
      <c r="B33" s="120" t="s">
        <v>218</v>
      </c>
      <c r="C33" s="134">
        <v>0</v>
      </c>
      <c r="D33" s="134">
        <v>0</v>
      </c>
      <c r="E33" s="134">
        <v>0</v>
      </c>
      <c r="F33" s="134">
        <v>0</v>
      </c>
      <c r="G33" s="134">
        <v>0</v>
      </c>
      <c r="H33" s="134">
        <v>0</v>
      </c>
      <c r="I33" s="134">
        <v>0</v>
      </c>
      <c r="J33" s="134">
        <v>0</v>
      </c>
      <c r="K33" s="134">
        <v>0</v>
      </c>
      <c r="L33" s="134">
        <v>0</v>
      </c>
      <c r="M33" s="134">
        <v>0</v>
      </c>
      <c r="N33" s="134">
        <v>0</v>
      </c>
      <c r="O33" s="134">
        <v>0</v>
      </c>
      <c r="P33" s="134">
        <v>0</v>
      </c>
      <c r="Q33" s="134">
        <v>0</v>
      </c>
      <c r="R33" s="134">
        <v>0</v>
      </c>
      <c r="S33" s="134">
        <v>0</v>
      </c>
      <c r="T33" s="134">
        <v>0</v>
      </c>
      <c r="U33" s="134">
        <v>0</v>
      </c>
      <c r="V33" s="134">
        <v>0</v>
      </c>
      <c r="W33" s="134">
        <v>0</v>
      </c>
      <c r="X33" s="134">
        <v>0</v>
      </c>
      <c r="Y33" s="134">
        <v>0</v>
      </c>
      <c r="Z33" s="134">
        <v>0</v>
      </c>
      <c r="AA33" s="135">
        <f t="shared" si="0"/>
        <v>0</v>
      </c>
      <c r="AD33" s="138" t="s">
        <v>248</v>
      </c>
    </row>
    <row r="34" spans="1:30" ht="15" customHeight="1" x14ac:dyDescent="0.2">
      <c r="A34">
        <v>33</v>
      </c>
      <c r="B34" s="120" t="s">
        <v>185</v>
      </c>
      <c r="C34" s="134">
        <v>0</v>
      </c>
      <c r="D34" s="134">
        <v>0</v>
      </c>
      <c r="E34" s="134">
        <v>0</v>
      </c>
      <c r="F34" s="134">
        <v>0</v>
      </c>
      <c r="G34" s="134">
        <v>0</v>
      </c>
      <c r="H34" s="134">
        <v>0</v>
      </c>
      <c r="I34" s="134">
        <v>0</v>
      </c>
      <c r="J34" s="134">
        <v>0</v>
      </c>
      <c r="K34" s="134">
        <v>0</v>
      </c>
      <c r="L34" s="134">
        <v>0</v>
      </c>
      <c r="M34" s="134">
        <v>0</v>
      </c>
      <c r="N34" s="134">
        <v>0</v>
      </c>
      <c r="O34" s="134">
        <v>0</v>
      </c>
      <c r="P34" s="134">
        <v>0</v>
      </c>
      <c r="Q34" s="134">
        <v>0</v>
      </c>
      <c r="R34" s="134">
        <v>0</v>
      </c>
      <c r="S34" s="134">
        <v>0</v>
      </c>
      <c r="T34" s="134">
        <v>0</v>
      </c>
      <c r="U34" s="134">
        <v>0</v>
      </c>
      <c r="V34" s="134">
        <v>0</v>
      </c>
      <c r="W34" s="134">
        <v>0</v>
      </c>
      <c r="X34" s="134">
        <v>0</v>
      </c>
      <c r="Y34" s="134">
        <v>0</v>
      </c>
      <c r="Z34" s="134">
        <v>0</v>
      </c>
      <c r="AA34" s="135">
        <f t="shared" si="0"/>
        <v>0</v>
      </c>
      <c r="AD34" s="138" t="s">
        <v>248</v>
      </c>
    </row>
    <row r="35" spans="1:30" ht="15" customHeight="1" x14ac:dyDescent="0.2">
      <c r="A35">
        <v>34</v>
      </c>
      <c r="B35" s="121" t="s">
        <v>123</v>
      </c>
      <c r="C35" s="136">
        <v>0</v>
      </c>
      <c r="D35" s="136">
        <v>0</v>
      </c>
      <c r="E35" s="136">
        <v>0</v>
      </c>
      <c r="F35" s="136">
        <v>0</v>
      </c>
      <c r="G35" s="136">
        <v>0</v>
      </c>
      <c r="H35" s="136">
        <v>0</v>
      </c>
      <c r="I35" s="136">
        <v>0</v>
      </c>
      <c r="J35" s="136">
        <v>0</v>
      </c>
      <c r="K35" s="136">
        <v>0</v>
      </c>
      <c r="L35" s="136">
        <v>0</v>
      </c>
      <c r="M35" s="136">
        <v>0</v>
      </c>
      <c r="N35" s="136">
        <v>0</v>
      </c>
      <c r="O35" s="136">
        <v>0</v>
      </c>
      <c r="P35" s="136">
        <v>0</v>
      </c>
      <c r="Q35" s="136">
        <v>0</v>
      </c>
      <c r="R35" s="136">
        <v>0</v>
      </c>
      <c r="S35" s="136">
        <v>0</v>
      </c>
      <c r="T35" s="136">
        <v>0</v>
      </c>
      <c r="U35" s="136">
        <v>0</v>
      </c>
      <c r="V35" s="136">
        <v>0</v>
      </c>
      <c r="W35" s="136">
        <v>0</v>
      </c>
      <c r="X35" s="136">
        <v>0</v>
      </c>
      <c r="Y35" s="136">
        <v>0</v>
      </c>
      <c r="Z35" s="136">
        <v>0</v>
      </c>
      <c r="AA35" s="135">
        <f t="shared" si="0"/>
        <v>0</v>
      </c>
      <c r="AD35" s="138" t="s">
        <v>248</v>
      </c>
    </row>
    <row r="36" spans="1:30" ht="15" customHeight="1" x14ac:dyDescent="0.2">
      <c r="B36"/>
    </row>
    <row r="37" spans="1:30" ht="15" customHeight="1" x14ac:dyDescent="0.2">
      <c r="B37"/>
    </row>
    <row r="38" spans="1:30" ht="15" customHeight="1" x14ac:dyDescent="0.2">
      <c r="B38"/>
    </row>
    <row r="39" spans="1:30" ht="15" customHeight="1" x14ac:dyDescent="0.2">
      <c r="B39"/>
    </row>
    <row r="40" spans="1:30" ht="15" customHeight="1" x14ac:dyDescent="0.2">
      <c r="B40"/>
    </row>
    <row r="41" spans="1:30" ht="15" customHeight="1" x14ac:dyDescent="0.2">
      <c r="B41"/>
    </row>
    <row r="42" spans="1:30" ht="15" customHeight="1" x14ac:dyDescent="0.2">
      <c r="B42"/>
    </row>
    <row r="43" spans="1:30" ht="15" customHeight="1" x14ac:dyDescent="0.2">
      <c r="B43"/>
    </row>
    <row r="44" spans="1:30" ht="15" customHeight="1" x14ac:dyDescent="0.2">
      <c r="B44"/>
    </row>
    <row r="45" spans="1:30" ht="15" customHeight="1" x14ac:dyDescent="0.2">
      <c r="B45"/>
    </row>
    <row r="46" spans="1:30" ht="15" customHeight="1" x14ac:dyDescent="0.2">
      <c r="B46"/>
    </row>
    <row r="47" spans="1:30" ht="15" customHeight="1" x14ac:dyDescent="0.2">
      <c r="B47"/>
    </row>
    <row r="48" spans="1:30" ht="15" customHeight="1" x14ac:dyDescent="0.2">
      <c r="B48"/>
    </row>
    <row r="49" spans="2:2" ht="15" customHeight="1" x14ac:dyDescent="0.2">
      <c r="B49"/>
    </row>
    <row r="50" spans="2:2" x14ac:dyDescent="0.2">
      <c r="B50"/>
    </row>
    <row r="51" spans="2:2" x14ac:dyDescent="0.2">
      <c r="B51"/>
    </row>
    <row r="52" spans="2:2" x14ac:dyDescent="0.2">
      <c r="B52"/>
    </row>
    <row r="53" spans="2:2" x14ac:dyDescent="0.2">
      <c r="B53"/>
    </row>
    <row r="54" spans="2:2" x14ac:dyDescent="0.2">
      <c r="B54"/>
    </row>
    <row r="55" spans="2:2" x14ac:dyDescent="0.2">
      <c r="B55"/>
    </row>
    <row r="56" spans="2:2" x14ac:dyDescent="0.2">
      <c r="B56"/>
    </row>
    <row r="57" spans="2:2" x14ac:dyDescent="0.2">
      <c r="B57"/>
    </row>
    <row r="58" spans="2:2" x14ac:dyDescent="0.2">
      <c r="B58"/>
    </row>
    <row r="59" spans="2:2" x14ac:dyDescent="0.2">
      <c r="B59"/>
    </row>
    <row r="60" spans="2:2" x14ac:dyDescent="0.2">
      <c r="B60"/>
    </row>
    <row r="61" spans="2:2" x14ac:dyDescent="0.2">
      <c r="B61"/>
    </row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3" ht="15" customHeight="1" x14ac:dyDescent="0.2"/>
    <row r="174" ht="15" customHeight="1" x14ac:dyDescent="0.2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AA35"/>
  <sheetViews>
    <sheetView workbookViewId="0">
      <pane xSplit="2" ySplit="1" topLeftCell="C22" activePane="bottomRight" state="frozen"/>
      <selection pane="topRight" activeCell="D1" sqref="D1"/>
      <selection pane="bottomLeft" activeCell="A2" sqref="A2"/>
      <selection pane="bottomRight" activeCell="B39" sqref="B39"/>
    </sheetView>
  </sheetViews>
  <sheetFormatPr baseColWidth="10" defaultColWidth="8.83203125" defaultRowHeight="16" x14ac:dyDescent="0.2"/>
  <cols>
    <col min="1" max="1" width="19.1640625" customWidth="1"/>
    <col min="2" max="2" width="26.5" bestFit="1" customWidth="1"/>
    <col min="3" max="26" width="15.1640625" customWidth="1"/>
    <col min="27" max="27" width="8.83203125" style="125"/>
  </cols>
  <sheetData>
    <row r="1" spans="1:27" s="85" customFormat="1" ht="17" x14ac:dyDescent="0.2">
      <c r="A1" s="5" t="s">
        <v>22</v>
      </c>
      <c r="B1" s="3" t="s">
        <v>0</v>
      </c>
      <c r="C1" s="130" t="s">
        <v>224</v>
      </c>
      <c r="D1" s="131" t="s">
        <v>225</v>
      </c>
      <c r="E1" s="132" t="s">
        <v>226</v>
      </c>
      <c r="F1" s="133" t="s">
        <v>227</v>
      </c>
      <c r="G1" s="133" t="s">
        <v>228</v>
      </c>
      <c r="H1" s="133" t="s">
        <v>229</v>
      </c>
      <c r="I1" s="133" t="s">
        <v>230</v>
      </c>
      <c r="J1" s="133" t="s">
        <v>231</v>
      </c>
      <c r="K1" s="133" t="s">
        <v>232</v>
      </c>
      <c r="L1" s="133" t="s">
        <v>233</v>
      </c>
      <c r="M1" s="133" t="s">
        <v>235</v>
      </c>
      <c r="N1" s="133" t="s">
        <v>234</v>
      </c>
      <c r="O1" s="133" t="s">
        <v>236</v>
      </c>
      <c r="P1" s="133" t="s">
        <v>237</v>
      </c>
      <c r="Q1" s="133" t="s">
        <v>238</v>
      </c>
      <c r="R1" s="133" t="s">
        <v>239</v>
      </c>
      <c r="S1" s="133" t="s">
        <v>240</v>
      </c>
      <c r="T1" s="133" t="s">
        <v>241</v>
      </c>
      <c r="U1" s="133" t="s">
        <v>242</v>
      </c>
      <c r="V1" s="133" t="s">
        <v>243</v>
      </c>
      <c r="W1" s="133" t="s">
        <v>244</v>
      </c>
      <c r="X1" s="133" t="s">
        <v>245</v>
      </c>
      <c r="Y1" s="133" t="s">
        <v>246</v>
      </c>
      <c r="Z1" s="133" t="s">
        <v>247</v>
      </c>
      <c r="AA1" s="113" t="s">
        <v>188</v>
      </c>
    </row>
    <row r="2" spans="1:27" x14ac:dyDescent="0.2">
      <c r="A2" s="75">
        <v>1</v>
      </c>
      <c r="B2" s="120" t="s">
        <v>189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 s="135">
        <f>SUM(C2:Z2)</f>
        <v>0</v>
      </c>
    </row>
    <row r="3" spans="1:27" x14ac:dyDescent="0.2">
      <c r="A3">
        <v>2</v>
      </c>
      <c r="B3" s="120" t="s">
        <v>221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s="135">
        <f t="shared" ref="AA3:AA35" si="0">SUM(C3:Z3)</f>
        <v>0</v>
      </c>
    </row>
    <row r="4" spans="1:27" x14ac:dyDescent="0.2">
      <c r="A4">
        <v>3</v>
      </c>
      <c r="B4" s="120" t="s">
        <v>190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s="135">
        <f t="shared" si="0"/>
        <v>0</v>
      </c>
    </row>
    <row r="5" spans="1:27" x14ac:dyDescent="0.2">
      <c r="A5">
        <v>4</v>
      </c>
      <c r="B5" s="120" t="s">
        <v>191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s="135">
        <f t="shared" si="0"/>
        <v>0</v>
      </c>
    </row>
    <row r="6" spans="1:27" x14ac:dyDescent="0.2">
      <c r="A6">
        <v>5</v>
      </c>
      <c r="B6" s="120" t="s">
        <v>192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s="135">
        <f t="shared" si="0"/>
        <v>0</v>
      </c>
    </row>
    <row r="7" spans="1:27" x14ac:dyDescent="0.2">
      <c r="A7">
        <v>6</v>
      </c>
      <c r="B7" s="120" t="s">
        <v>193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135">
        <f t="shared" si="0"/>
        <v>0</v>
      </c>
    </row>
    <row r="8" spans="1:27" x14ac:dyDescent="0.2">
      <c r="A8">
        <v>7</v>
      </c>
      <c r="B8" s="120" t="s">
        <v>194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 s="135">
        <f t="shared" si="0"/>
        <v>0</v>
      </c>
    </row>
    <row r="9" spans="1:27" x14ac:dyDescent="0.2">
      <c r="A9">
        <v>8</v>
      </c>
      <c r="B9" s="120" t="s">
        <v>195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s="135">
        <f t="shared" si="0"/>
        <v>0</v>
      </c>
    </row>
    <row r="10" spans="1:27" x14ac:dyDescent="0.2">
      <c r="A10">
        <v>9</v>
      </c>
      <c r="B10" s="120" t="s">
        <v>196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s="135">
        <f t="shared" si="0"/>
        <v>0</v>
      </c>
    </row>
    <row r="11" spans="1:27" x14ac:dyDescent="0.2">
      <c r="A11">
        <v>10</v>
      </c>
      <c r="B11" s="120" t="s">
        <v>197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 s="135">
        <f t="shared" si="0"/>
        <v>0</v>
      </c>
    </row>
    <row r="12" spans="1:27" x14ac:dyDescent="0.2">
      <c r="A12">
        <v>11</v>
      </c>
      <c r="B12" s="120" t="s">
        <v>198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 s="135">
        <f t="shared" si="0"/>
        <v>0</v>
      </c>
    </row>
    <row r="13" spans="1:27" x14ac:dyDescent="0.2">
      <c r="A13">
        <v>12</v>
      </c>
      <c r="B13" s="120" t="s">
        <v>199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 s="135">
        <f t="shared" si="0"/>
        <v>0</v>
      </c>
    </row>
    <row r="14" spans="1:27" x14ac:dyDescent="0.2">
      <c r="A14">
        <v>13</v>
      </c>
      <c r="B14" s="120" t="s">
        <v>200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135">
        <f t="shared" si="0"/>
        <v>0</v>
      </c>
    </row>
    <row r="15" spans="1:27" x14ac:dyDescent="0.2">
      <c r="A15">
        <v>14</v>
      </c>
      <c r="B15" s="120" t="s">
        <v>201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135">
        <f t="shared" si="0"/>
        <v>0</v>
      </c>
    </row>
    <row r="16" spans="1:27" x14ac:dyDescent="0.2">
      <c r="A16">
        <v>15</v>
      </c>
      <c r="B16" s="120" t="s">
        <v>273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135">
        <f t="shared" si="0"/>
        <v>0</v>
      </c>
    </row>
    <row r="17" spans="1:27" x14ac:dyDescent="0.2">
      <c r="A17">
        <v>16</v>
      </c>
      <c r="B17" s="120" t="s">
        <v>202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135">
        <f t="shared" si="0"/>
        <v>0</v>
      </c>
    </row>
    <row r="18" spans="1:27" x14ac:dyDescent="0.2">
      <c r="A18">
        <v>17</v>
      </c>
      <c r="B18" s="120" t="s">
        <v>203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 s="135">
        <f t="shared" si="0"/>
        <v>0</v>
      </c>
    </row>
    <row r="19" spans="1:27" x14ac:dyDescent="0.2">
      <c r="A19">
        <v>18</v>
      </c>
      <c r="B19" s="120" t="s">
        <v>204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 s="135">
        <f t="shared" si="0"/>
        <v>0</v>
      </c>
    </row>
    <row r="20" spans="1:27" x14ac:dyDescent="0.2">
      <c r="A20">
        <v>19</v>
      </c>
      <c r="B20" s="120" t="s">
        <v>205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 s="135">
        <f t="shared" si="0"/>
        <v>0</v>
      </c>
    </row>
    <row r="21" spans="1:27" x14ac:dyDescent="0.2">
      <c r="A21">
        <v>20</v>
      </c>
      <c r="B21" s="120" t="s">
        <v>206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 s="135">
        <f t="shared" si="0"/>
        <v>0</v>
      </c>
    </row>
    <row r="22" spans="1:27" x14ac:dyDescent="0.2">
      <c r="A22">
        <v>21</v>
      </c>
      <c r="B22" s="120" t="s">
        <v>207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 s="135">
        <f t="shared" si="0"/>
        <v>0</v>
      </c>
    </row>
    <row r="23" spans="1:27" x14ac:dyDescent="0.2">
      <c r="A23">
        <v>22</v>
      </c>
      <c r="B23" s="120" t="s">
        <v>208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 s="135">
        <f t="shared" si="0"/>
        <v>0</v>
      </c>
    </row>
    <row r="24" spans="1:27" x14ac:dyDescent="0.2">
      <c r="A24">
        <v>23</v>
      </c>
      <c r="B24" s="120" t="s">
        <v>209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 s="135">
        <f t="shared" si="0"/>
        <v>0</v>
      </c>
    </row>
    <row r="25" spans="1:27" x14ac:dyDescent="0.2">
      <c r="A25">
        <v>24</v>
      </c>
      <c r="B25" s="120" t="s">
        <v>210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 s="135">
        <f t="shared" si="0"/>
        <v>0</v>
      </c>
    </row>
    <row r="26" spans="1:27" x14ac:dyDescent="0.2">
      <c r="A26">
        <v>25</v>
      </c>
      <c r="B26" s="120" t="s">
        <v>211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 s="135">
        <f t="shared" si="0"/>
        <v>0</v>
      </c>
    </row>
    <row r="27" spans="1:27" x14ac:dyDescent="0.2">
      <c r="A27">
        <v>26</v>
      </c>
      <c r="B27" s="120" t="s">
        <v>212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 s="135">
        <f t="shared" si="0"/>
        <v>0</v>
      </c>
    </row>
    <row r="28" spans="1:27" x14ac:dyDescent="0.2">
      <c r="A28">
        <v>27</v>
      </c>
      <c r="B28" s="120" t="s">
        <v>213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 s="135">
        <f t="shared" si="0"/>
        <v>0</v>
      </c>
    </row>
    <row r="29" spans="1:27" x14ac:dyDescent="0.2">
      <c r="A29">
        <v>28</v>
      </c>
      <c r="B29" s="120" t="s">
        <v>214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 s="135">
        <f t="shared" si="0"/>
        <v>0</v>
      </c>
    </row>
    <row r="30" spans="1:27" x14ac:dyDescent="0.2">
      <c r="A30">
        <v>29</v>
      </c>
      <c r="B30" s="120" t="s">
        <v>215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 s="135">
        <f t="shared" si="0"/>
        <v>0</v>
      </c>
    </row>
    <row r="31" spans="1:27" x14ac:dyDescent="0.2">
      <c r="A31">
        <v>30</v>
      </c>
      <c r="B31" s="120" t="s">
        <v>216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 s="135">
        <f t="shared" si="0"/>
        <v>0</v>
      </c>
    </row>
    <row r="32" spans="1:27" x14ac:dyDescent="0.2">
      <c r="A32">
        <v>31</v>
      </c>
      <c r="B32" s="120" t="s">
        <v>217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 s="135">
        <f t="shared" si="0"/>
        <v>0</v>
      </c>
    </row>
    <row r="33" spans="1:27" x14ac:dyDescent="0.2">
      <c r="A33">
        <v>32</v>
      </c>
      <c r="B33" s="120" t="s">
        <v>218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 s="135">
        <f t="shared" si="0"/>
        <v>0</v>
      </c>
    </row>
    <row r="34" spans="1:27" x14ac:dyDescent="0.2">
      <c r="A34">
        <v>33</v>
      </c>
      <c r="B34" s="120" t="s">
        <v>185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 s="135">
        <f t="shared" si="0"/>
        <v>0</v>
      </c>
    </row>
    <row r="35" spans="1:27" x14ac:dyDescent="0.2">
      <c r="A35">
        <v>34</v>
      </c>
      <c r="B35" s="121" t="s">
        <v>123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 s="135">
        <f t="shared" si="0"/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topLeftCell="A26" workbookViewId="0">
      <selection activeCell="E39" sqref="E39"/>
    </sheetView>
  </sheetViews>
  <sheetFormatPr baseColWidth="10" defaultRowHeight="13" x14ac:dyDescent="0.15"/>
  <cols>
    <col min="1" max="1" width="17.33203125" bestFit="1" customWidth="1"/>
    <col min="4" max="4" width="5.6640625" customWidth="1"/>
    <col min="5" max="5" width="26.5" bestFit="1" customWidth="1"/>
    <col min="6" max="6" width="4.83203125" bestFit="1" customWidth="1"/>
    <col min="7" max="9" width="3.83203125" bestFit="1" customWidth="1"/>
    <col min="10" max="11" width="4.83203125" style="8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86" customFormat="1" ht="14" thickBot="1" x14ac:dyDescent="0.2">
      <c r="D1" s="87" t="s">
        <v>8</v>
      </c>
      <c r="E1" s="87" t="s">
        <v>0</v>
      </c>
      <c r="F1" s="88" t="s">
        <v>99</v>
      </c>
      <c r="G1" s="89" t="s">
        <v>84</v>
      </c>
      <c r="H1" s="89" t="s">
        <v>85</v>
      </c>
      <c r="I1" s="89" t="s">
        <v>86</v>
      </c>
      <c r="J1" s="89" t="s">
        <v>87</v>
      </c>
      <c r="K1" s="89" t="s">
        <v>88</v>
      </c>
      <c r="L1" s="90" t="s">
        <v>89</v>
      </c>
      <c r="M1" s="90" t="s">
        <v>93</v>
      </c>
      <c r="N1" s="90" t="s">
        <v>92</v>
      </c>
      <c r="O1" s="90" t="s">
        <v>90</v>
      </c>
      <c r="P1" s="90" t="s">
        <v>91</v>
      </c>
      <c r="Q1" s="91" t="s">
        <v>94</v>
      </c>
      <c r="R1" s="91" t="s">
        <v>95</v>
      </c>
      <c r="S1" s="91" t="s">
        <v>96</v>
      </c>
      <c r="T1" s="91" t="s">
        <v>97</v>
      </c>
      <c r="U1" s="91" t="s">
        <v>98</v>
      </c>
      <c r="V1" s="89" t="s">
        <v>100</v>
      </c>
      <c r="W1" s="89" t="s">
        <v>101</v>
      </c>
      <c r="X1" s="89" t="s">
        <v>102</v>
      </c>
      <c r="Y1" s="89" t="s">
        <v>134</v>
      </c>
      <c r="Z1" s="90" t="s">
        <v>103</v>
      </c>
      <c r="AA1" s="90" t="s">
        <v>104</v>
      </c>
      <c r="AB1" s="90" t="s">
        <v>105</v>
      </c>
      <c r="AC1" s="92" t="s">
        <v>135</v>
      </c>
      <c r="AD1" s="91" t="s">
        <v>106</v>
      </c>
      <c r="AE1" s="91" t="s">
        <v>107</v>
      </c>
      <c r="AF1" s="91" t="s">
        <v>108</v>
      </c>
      <c r="AG1" s="91" t="s">
        <v>136</v>
      </c>
      <c r="AH1" s="89" t="s">
        <v>109</v>
      </c>
      <c r="AI1" s="89" t="s">
        <v>111</v>
      </c>
      <c r="AJ1" s="89" t="s">
        <v>110</v>
      </c>
      <c r="AK1" s="90" t="s">
        <v>115</v>
      </c>
      <c r="AL1" s="90" t="s">
        <v>116</v>
      </c>
      <c r="AM1" s="90" t="s">
        <v>117</v>
      </c>
      <c r="AN1" s="91" t="s">
        <v>112</v>
      </c>
      <c r="AO1" s="91" t="s">
        <v>113</v>
      </c>
      <c r="AP1" s="91" t="s">
        <v>114</v>
      </c>
    </row>
    <row r="2" spans="1:42" ht="16" x14ac:dyDescent="0.15">
      <c r="A2" s="93" t="s">
        <v>74</v>
      </c>
      <c r="B2" s="94">
        <v>1</v>
      </c>
      <c r="D2" s="75">
        <v>1</v>
      </c>
      <c r="E2" s="120" t="s">
        <v>189</v>
      </c>
      <c r="F2">
        <v>0.98</v>
      </c>
      <c r="G2">
        <v>0.8</v>
      </c>
      <c r="H2">
        <v>0.8</v>
      </c>
      <c r="I2">
        <v>0.8</v>
      </c>
      <c r="J2" s="84">
        <v>0.25</v>
      </c>
      <c r="K2" s="84">
        <v>0.05</v>
      </c>
    </row>
    <row r="3" spans="1:42" ht="16" x14ac:dyDescent="0.15">
      <c r="A3" s="93" t="s">
        <v>75</v>
      </c>
      <c r="B3" s="95">
        <v>1</v>
      </c>
      <c r="D3">
        <v>2</v>
      </c>
      <c r="E3" s="120" t="s">
        <v>221</v>
      </c>
      <c r="F3">
        <v>0.98</v>
      </c>
      <c r="G3">
        <v>0.8</v>
      </c>
      <c r="H3">
        <v>0.8</v>
      </c>
      <c r="I3">
        <v>0.8</v>
      </c>
      <c r="J3" s="84">
        <v>0.25</v>
      </c>
      <c r="K3" s="84">
        <v>0.05</v>
      </c>
    </row>
    <row r="4" spans="1:42" ht="16" x14ac:dyDescent="0.15">
      <c r="A4" s="93" t="s">
        <v>76</v>
      </c>
      <c r="B4" s="95">
        <v>1</v>
      </c>
      <c r="D4">
        <v>3</v>
      </c>
      <c r="E4" s="120" t="s">
        <v>190</v>
      </c>
      <c r="F4">
        <v>0.98</v>
      </c>
      <c r="G4">
        <v>0.8</v>
      </c>
      <c r="H4">
        <v>0.8</v>
      </c>
      <c r="I4">
        <v>0.8</v>
      </c>
      <c r="J4" s="84">
        <v>0.25</v>
      </c>
      <c r="K4" s="84">
        <v>0.05</v>
      </c>
    </row>
    <row r="5" spans="1:42" ht="16" x14ac:dyDescent="0.15">
      <c r="A5" s="93" t="s">
        <v>77</v>
      </c>
      <c r="B5" s="95">
        <v>1</v>
      </c>
      <c r="D5">
        <v>4</v>
      </c>
      <c r="E5" s="120" t="s">
        <v>191</v>
      </c>
      <c r="F5">
        <v>0.98</v>
      </c>
      <c r="G5">
        <v>0.8</v>
      </c>
      <c r="H5">
        <v>0.8</v>
      </c>
      <c r="I5">
        <v>0.8</v>
      </c>
      <c r="J5" s="84">
        <v>0.25</v>
      </c>
      <c r="K5" s="84">
        <v>0.05</v>
      </c>
    </row>
    <row r="6" spans="1:42" ht="16" x14ac:dyDescent="0.15">
      <c r="A6" s="93" t="s">
        <v>78</v>
      </c>
      <c r="B6" s="95">
        <v>1</v>
      </c>
      <c r="D6">
        <v>5</v>
      </c>
      <c r="E6" s="120" t="s">
        <v>192</v>
      </c>
      <c r="F6">
        <v>0.98</v>
      </c>
      <c r="G6">
        <v>0.8</v>
      </c>
      <c r="H6">
        <v>0.8</v>
      </c>
      <c r="I6">
        <v>0.8</v>
      </c>
      <c r="J6" s="84">
        <v>0.25</v>
      </c>
      <c r="K6" s="84">
        <v>0.05</v>
      </c>
    </row>
    <row r="7" spans="1:42" ht="16" x14ac:dyDescent="0.15">
      <c r="A7" s="93" t="s">
        <v>79</v>
      </c>
      <c r="B7" s="95">
        <v>1</v>
      </c>
      <c r="D7">
        <v>6</v>
      </c>
      <c r="E7" s="120" t="s">
        <v>193</v>
      </c>
      <c r="F7">
        <v>0.98</v>
      </c>
      <c r="G7">
        <v>0.8</v>
      </c>
      <c r="H7">
        <v>0.8</v>
      </c>
      <c r="I7">
        <v>0.8</v>
      </c>
      <c r="J7" s="84">
        <v>0.25</v>
      </c>
      <c r="K7" s="84">
        <v>0.05</v>
      </c>
    </row>
    <row r="8" spans="1:42" ht="16" x14ac:dyDescent="0.15">
      <c r="A8" s="93" t="s">
        <v>80</v>
      </c>
      <c r="B8" s="95">
        <v>1</v>
      </c>
      <c r="D8">
        <v>7</v>
      </c>
      <c r="E8" s="120" t="s">
        <v>194</v>
      </c>
      <c r="F8">
        <v>0.98</v>
      </c>
      <c r="G8">
        <v>0.8</v>
      </c>
      <c r="H8">
        <v>0.8</v>
      </c>
      <c r="I8">
        <v>0.8</v>
      </c>
      <c r="J8" s="84">
        <v>0.25</v>
      </c>
      <c r="K8" s="84">
        <v>0.05</v>
      </c>
    </row>
    <row r="9" spans="1:42" ht="16" x14ac:dyDescent="0.15">
      <c r="A9" s="93" t="s">
        <v>81</v>
      </c>
      <c r="B9" s="95">
        <v>0.1</v>
      </c>
      <c r="C9" s="47" t="s">
        <v>150</v>
      </c>
      <c r="D9">
        <v>8</v>
      </c>
      <c r="E9" s="120" t="s">
        <v>195</v>
      </c>
      <c r="F9">
        <v>0.98</v>
      </c>
      <c r="G9">
        <v>0.8</v>
      </c>
      <c r="H9">
        <v>0.8</v>
      </c>
      <c r="I9">
        <v>0.8</v>
      </c>
      <c r="J9" s="84">
        <v>0.25</v>
      </c>
      <c r="K9" s="84">
        <v>0.05</v>
      </c>
    </row>
    <row r="10" spans="1:42" ht="17" thickBot="1" x14ac:dyDescent="0.2">
      <c r="A10" s="93" t="s">
        <v>149</v>
      </c>
      <c r="B10" s="96">
        <f>1/3</f>
        <v>0.33333333333333331</v>
      </c>
      <c r="C10" s="47" t="s">
        <v>150</v>
      </c>
      <c r="D10">
        <v>9</v>
      </c>
      <c r="E10" s="120" t="s">
        <v>196</v>
      </c>
      <c r="F10">
        <v>0.98</v>
      </c>
      <c r="G10">
        <v>0.8</v>
      </c>
      <c r="H10">
        <v>0.8</v>
      </c>
      <c r="I10">
        <v>0.8</v>
      </c>
      <c r="J10" s="84">
        <v>0.25</v>
      </c>
      <c r="K10" s="84">
        <v>0.05</v>
      </c>
    </row>
    <row r="11" spans="1:42" ht="16" x14ac:dyDescent="0.15">
      <c r="D11">
        <v>10</v>
      </c>
      <c r="E11" s="120" t="s">
        <v>197</v>
      </c>
      <c r="F11">
        <v>0.98</v>
      </c>
      <c r="G11">
        <v>0.8</v>
      </c>
      <c r="H11">
        <v>0.8</v>
      </c>
      <c r="I11">
        <v>0.8</v>
      </c>
      <c r="J11" s="84">
        <v>0.25</v>
      </c>
      <c r="K11" s="84">
        <v>0.05</v>
      </c>
    </row>
    <row r="12" spans="1:42" ht="16" x14ac:dyDescent="0.15">
      <c r="D12">
        <v>11</v>
      </c>
      <c r="E12" s="120" t="s">
        <v>198</v>
      </c>
      <c r="F12">
        <v>0.98</v>
      </c>
      <c r="G12">
        <v>0.8</v>
      </c>
      <c r="H12">
        <v>0.8</v>
      </c>
      <c r="I12">
        <v>0.8</v>
      </c>
      <c r="J12" s="84">
        <v>0.25</v>
      </c>
      <c r="K12" s="84">
        <v>0.05</v>
      </c>
    </row>
    <row r="13" spans="1:42" ht="16" x14ac:dyDescent="0.15">
      <c r="D13">
        <v>12</v>
      </c>
      <c r="E13" s="120" t="s">
        <v>199</v>
      </c>
      <c r="F13">
        <v>0.98</v>
      </c>
      <c r="G13">
        <v>0.8</v>
      </c>
      <c r="H13">
        <v>0.8</v>
      </c>
      <c r="I13">
        <v>0.8</v>
      </c>
      <c r="J13" s="84">
        <v>0.25</v>
      </c>
      <c r="K13" s="84">
        <v>0.05</v>
      </c>
    </row>
    <row r="14" spans="1:42" ht="16" x14ac:dyDescent="0.15">
      <c r="D14">
        <v>13</v>
      </c>
      <c r="E14" s="120" t="s">
        <v>200</v>
      </c>
      <c r="F14">
        <v>0.98</v>
      </c>
      <c r="G14">
        <v>0.8</v>
      </c>
      <c r="H14">
        <v>0.8</v>
      </c>
      <c r="I14">
        <v>0.8</v>
      </c>
      <c r="J14" s="84">
        <v>0.25</v>
      </c>
      <c r="K14" s="84">
        <v>0.05</v>
      </c>
    </row>
    <row r="15" spans="1:42" ht="16" x14ac:dyDescent="0.15">
      <c r="D15">
        <v>14</v>
      </c>
      <c r="E15" s="120" t="s">
        <v>201</v>
      </c>
      <c r="F15">
        <v>0.98</v>
      </c>
      <c r="G15">
        <v>0.8</v>
      </c>
      <c r="H15">
        <v>0.8</v>
      </c>
      <c r="I15">
        <v>0.8</v>
      </c>
      <c r="J15" s="84">
        <v>0.25</v>
      </c>
      <c r="K15" s="84">
        <v>0.05</v>
      </c>
    </row>
    <row r="16" spans="1:42" ht="16" x14ac:dyDescent="0.15">
      <c r="D16">
        <v>15</v>
      </c>
      <c r="E16" s="120" t="s">
        <v>273</v>
      </c>
      <c r="F16">
        <v>0.98</v>
      </c>
      <c r="G16">
        <v>0.8</v>
      </c>
      <c r="H16">
        <v>0.8</v>
      </c>
      <c r="I16">
        <v>0.8</v>
      </c>
      <c r="J16" s="84">
        <v>0.25</v>
      </c>
      <c r="K16" s="84">
        <v>0.05</v>
      </c>
    </row>
    <row r="17" spans="4:33" ht="15" customHeight="1" x14ac:dyDescent="0.15">
      <c r="D17">
        <v>16</v>
      </c>
      <c r="E17" s="120" t="s">
        <v>202</v>
      </c>
      <c r="F17">
        <v>0.98</v>
      </c>
      <c r="G17">
        <v>0.8</v>
      </c>
      <c r="H17">
        <v>0.8</v>
      </c>
      <c r="I17">
        <v>0.8</v>
      </c>
      <c r="J17" s="84">
        <v>0.25</v>
      </c>
      <c r="K17" s="84">
        <v>0.05</v>
      </c>
    </row>
    <row r="18" spans="4:33" ht="15" customHeight="1" x14ac:dyDescent="0.15">
      <c r="D18">
        <v>17</v>
      </c>
      <c r="E18" s="120" t="s">
        <v>203</v>
      </c>
      <c r="F18">
        <v>0.98</v>
      </c>
      <c r="G18">
        <v>0.8</v>
      </c>
      <c r="H18">
        <v>0.8</v>
      </c>
      <c r="I18">
        <v>0.8</v>
      </c>
      <c r="J18" s="84">
        <v>0.25</v>
      </c>
      <c r="K18" s="84">
        <v>0.05</v>
      </c>
    </row>
    <row r="19" spans="4:33" ht="15" customHeight="1" x14ac:dyDescent="0.15">
      <c r="D19">
        <v>18</v>
      </c>
      <c r="E19" s="120" t="s">
        <v>204</v>
      </c>
      <c r="F19">
        <v>0.98</v>
      </c>
      <c r="G19">
        <v>0.8</v>
      </c>
      <c r="H19">
        <v>0.8</v>
      </c>
      <c r="I19">
        <v>0.8</v>
      </c>
      <c r="J19" s="84">
        <v>0.25</v>
      </c>
      <c r="K19" s="84">
        <v>0.05</v>
      </c>
    </row>
    <row r="20" spans="4:33" ht="15" customHeight="1" x14ac:dyDescent="0.15">
      <c r="D20">
        <v>19</v>
      </c>
      <c r="E20" s="120" t="s">
        <v>205</v>
      </c>
      <c r="F20">
        <v>0.98</v>
      </c>
      <c r="G20">
        <v>0.8</v>
      </c>
      <c r="H20">
        <v>0.8</v>
      </c>
      <c r="I20">
        <v>0.8</v>
      </c>
      <c r="J20" s="84">
        <v>0.25</v>
      </c>
      <c r="K20" s="84">
        <v>0.05</v>
      </c>
    </row>
    <row r="21" spans="4:33" ht="15" customHeight="1" x14ac:dyDescent="0.15">
      <c r="D21">
        <v>20</v>
      </c>
      <c r="E21" s="120" t="s">
        <v>206</v>
      </c>
      <c r="F21">
        <v>0.98</v>
      </c>
      <c r="G21">
        <v>0.8</v>
      </c>
      <c r="H21">
        <v>0.8</v>
      </c>
      <c r="I21">
        <v>0.8</v>
      </c>
      <c r="J21" s="84">
        <v>0.25</v>
      </c>
      <c r="K21" s="84">
        <v>0.05</v>
      </c>
    </row>
    <row r="22" spans="4:33" ht="15" customHeight="1" x14ac:dyDescent="0.15">
      <c r="D22">
        <v>21</v>
      </c>
      <c r="E22" s="120" t="s">
        <v>207</v>
      </c>
      <c r="F22">
        <v>0.98</v>
      </c>
      <c r="G22">
        <v>0.8</v>
      </c>
      <c r="H22">
        <v>0.8</v>
      </c>
      <c r="I22">
        <v>0.8</v>
      </c>
      <c r="J22" s="84">
        <v>0.25</v>
      </c>
      <c r="K22" s="84">
        <v>0.05</v>
      </c>
    </row>
    <row r="23" spans="4:33" ht="15" customHeight="1" x14ac:dyDescent="0.15">
      <c r="D23">
        <v>22</v>
      </c>
      <c r="E23" s="120" t="s">
        <v>208</v>
      </c>
      <c r="F23">
        <v>0.98</v>
      </c>
      <c r="G23">
        <v>0.8</v>
      </c>
      <c r="H23">
        <v>0.8</v>
      </c>
      <c r="I23">
        <v>0.8</v>
      </c>
      <c r="J23" s="84">
        <v>0.25</v>
      </c>
      <c r="K23" s="84">
        <v>0.05</v>
      </c>
    </row>
    <row r="24" spans="4:33" ht="15" customHeight="1" x14ac:dyDescent="0.15">
      <c r="D24">
        <v>23</v>
      </c>
      <c r="E24" s="120" t="s">
        <v>209</v>
      </c>
      <c r="F24">
        <v>0.98</v>
      </c>
      <c r="G24">
        <v>0.8</v>
      </c>
      <c r="H24">
        <v>0.8</v>
      </c>
      <c r="I24">
        <v>0.8</v>
      </c>
      <c r="J24" s="84">
        <v>0.25</v>
      </c>
      <c r="K24" s="84">
        <v>0.05</v>
      </c>
    </row>
    <row r="25" spans="4:33" ht="15" customHeight="1" x14ac:dyDescent="0.15">
      <c r="D25">
        <v>24</v>
      </c>
      <c r="E25" s="120" t="s">
        <v>210</v>
      </c>
      <c r="F25">
        <v>0.98</v>
      </c>
      <c r="G25">
        <v>0.8</v>
      </c>
      <c r="H25">
        <v>0.8</v>
      </c>
      <c r="I25">
        <v>0.8</v>
      </c>
      <c r="J25" s="84">
        <v>0.25</v>
      </c>
      <c r="K25" s="84">
        <v>0.05</v>
      </c>
    </row>
    <row r="26" spans="4:33" ht="15" customHeight="1" x14ac:dyDescent="0.15">
      <c r="D26">
        <v>25</v>
      </c>
      <c r="E26" s="120" t="s">
        <v>211</v>
      </c>
      <c r="F26">
        <v>0.98</v>
      </c>
      <c r="G26">
        <v>0.8</v>
      </c>
      <c r="H26">
        <v>0.8</v>
      </c>
      <c r="I26">
        <v>0.8</v>
      </c>
      <c r="J26" s="84">
        <v>0.25</v>
      </c>
      <c r="K26" s="84">
        <v>0.05</v>
      </c>
    </row>
    <row r="27" spans="4:33" ht="15" customHeight="1" x14ac:dyDescent="0.15">
      <c r="D27">
        <v>26</v>
      </c>
      <c r="E27" s="120" t="s">
        <v>212</v>
      </c>
      <c r="F27">
        <v>0.98</v>
      </c>
      <c r="G27">
        <v>0.8</v>
      </c>
      <c r="H27">
        <v>0.8</v>
      </c>
      <c r="I27">
        <v>0.8</v>
      </c>
      <c r="J27" s="84">
        <v>0.25</v>
      </c>
      <c r="K27" s="84">
        <v>0.05</v>
      </c>
    </row>
    <row r="28" spans="4:33" ht="15" customHeight="1" x14ac:dyDescent="0.15">
      <c r="D28">
        <v>27</v>
      </c>
      <c r="E28" s="120" t="s">
        <v>213</v>
      </c>
      <c r="F28">
        <v>0.98</v>
      </c>
      <c r="G28">
        <v>0.8</v>
      </c>
      <c r="H28">
        <v>0.8</v>
      </c>
      <c r="I28">
        <v>0.8</v>
      </c>
      <c r="J28" s="84">
        <v>0.25</v>
      </c>
      <c r="K28" s="84">
        <v>0.05</v>
      </c>
    </row>
    <row r="29" spans="4:33" ht="15" customHeight="1" x14ac:dyDescent="0.15">
      <c r="D29">
        <v>28</v>
      </c>
      <c r="E29" s="120" t="s">
        <v>214</v>
      </c>
      <c r="F29">
        <v>0.98</v>
      </c>
      <c r="G29">
        <v>0.8</v>
      </c>
      <c r="H29">
        <v>0.8</v>
      </c>
      <c r="I29">
        <v>0.8</v>
      </c>
      <c r="J29" s="84">
        <v>0.25</v>
      </c>
      <c r="K29" s="84">
        <v>0.05</v>
      </c>
      <c r="Y29"/>
      <c r="AC29"/>
      <c r="AG29"/>
    </row>
    <row r="30" spans="4:33" ht="15" customHeight="1" x14ac:dyDescent="0.15">
      <c r="D30">
        <v>29</v>
      </c>
      <c r="E30" s="120" t="s">
        <v>215</v>
      </c>
      <c r="F30">
        <v>0.98</v>
      </c>
      <c r="G30">
        <v>0.8</v>
      </c>
      <c r="H30">
        <v>0.8</v>
      </c>
      <c r="I30">
        <v>0.8</v>
      </c>
      <c r="J30" s="84">
        <v>0.25</v>
      </c>
      <c r="K30" s="84">
        <v>0.05</v>
      </c>
      <c r="Y30"/>
      <c r="AC30"/>
      <c r="AG30"/>
    </row>
    <row r="31" spans="4:33" ht="15" customHeight="1" x14ac:dyDescent="0.15">
      <c r="D31">
        <v>30</v>
      </c>
      <c r="E31" s="120" t="s">
        <v>216</v>
      </c>
      <c r="F31">
        <v>0.98</v>
      </c>
      <c r="G31">
        <v>0.8</v>
      </c>
      <c r="H31">
        <v>0.8</v>
      </c>
      <c r="I31">
        <v>0.8</v>
      </c>
      <c r="J31" s="84">
        <v>0.25</v>
      </c>
      <c r="K31" s="84">
        <v>0.05</v>
      </c>
      <c r="Y31"/>
      <c r="AC31"/>
      <c r="AG31"/>
    </row>
    <row r="32" spans="4:33" ht="15" customHeight="1" x14ac:dyDescent="0.15">
      <c r="D32">
        <v>31</v>
      </c>
      <c r="E32" s="120" t="s">
        <v>217</v>
      </c>
      <c r="F32">
        <v>0.98</v>
      </c>
      <c r="G32">
        <v>0.8</v>
      </c>
      <c r="H32">
        <v>0.8</v>
      </c>
      <c r="I32">
        <v>0</v>
      </c>
      <c r="J32" s="84">
        <v>0</v>
      </c>
      <c r="K32" s="84">
        <v>0</v>
      </c>
      <c r="Y32"/>
      <c r="AC32"/>
      <c r="AG32"/>
    </row>
    <row r="33" spans="4:33" ht="15" customHeight="1" x14ac:dyDescent="0.15">
      <c r="D33">
        <v>32</v>
      </c>
      <c r="E33" s="120" t="s">
        <v>218</v>
      </c>
      <c r="F33">
        <v>0.98</v>
      </c>
      <c r="G33">
        <v>0.8</v>
      </c>
      <c r="H33">
        <v>0.8</v>
      </c>
      <c r="I33">
        <v>0</v>
      </c>
      <c r="J33" s="84">
        <v>0</v>
      </c>
      <c r="K33" s="84">
        <v>0</v>
      </c>
      <c r="Y33"/>
      <c r="AC33"/>
      <c r="AG33"/>
    </row>
    <row r="34" spans="4:33" ht="15" customHeight="1" x14ac:dyDescent="0.15">
      <c r="D34">
        <v>33</v>
      </c>
      <c r="E34" s="120" t="s">
        <v>185</v>
      </c>
      <c r="F34">
        <v>0.98</v>
      </c>
      <c r="G34">
        <v>0.8</v>
      </c>
      <c r="H34">
        <v>0</v>
      </c>
      <c r="I34">
        <v>0</v>
      </c>
      <c r="J34" s="84">
        <v>0</v>
      </c>
      <c r="K34" s="84">
        <v>0</v>
      </c>
      <c r="Y34"/>
      <c r="AC34"/>
      <c r="AG34"/>
    </row>
    <row r="35" spans="4:33" ht="15" customHeight="1" x14ac:dyDescent="0.15">
      <c r="D35">
        <v>34</v>
      </c>
      <c r="E35" s="121" t="s">
        <v>123</v>
      </c>
      <c r="F35">
        <v>0.98</v>
      </c>
      <c r="G35">
        <v>0.8</v>
      </c>
      <c r="H35">
        <v>0</v>
      </c>
      <c r="I35">
        <v>0</v>
      </c>
      <c r="J35" s="84">
        <v>0</v>
      </c>
      <c r="K35" s="84">
        <v>0</v>
      </c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Y106"/>
      <c r="AC106"/>
      <c r="AG106"/>
    </row>
    <row r="107" spans="10:33" ht="15" customHeight="1" x14ac:dyDescent="0.15">
      <c r="Y107"/>
      <c r="AC107"/>
      <c r="AG107"/>
    </row>
    <row r="108" spans="10:33" ht="15" customHeight="1" x14ac:dyDescent="0.15"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J36"/>
  <sheetViews>
    <sheetView topLeftCell="A23" workbookViewId="0">
      <selection activeCell="B1" sqref="B1:AI1"/>
    </sheetView>
  </sheetViews>
  <sheetFormatPr baseColWidth="10" defaultRowHeight="13" x14ac:dyDescent="0.15"/>
  <cols>
    <col min="1" max="1" width="26.5" style="82" bestFit="1" customWidth="1"/>
    <col min="2" max="11" width="10.83203125" style="82" customWidth="1"/>
    <col min="12" max="16384" width="10.83203125" style="82"/>
  </cols>
  <sheetData>
    <row r="1" spans="1:36" x14ac:dyDescent="0.15">
      <c r="A1" s="49" t="s">
        <v>118</v>
      </c>
      <c r="B1" s="114" t="s">
        <v>189</v>
      </c>
      <c r="C1" s="114" t="s">
        <v>221</v>
      </c>
      <c r="D1" s="114" t="s">
        <v>190</v>
      </c>
      <c r="E1" s="114" t="s">
        <v>191</v>
      </c>
      <c r="F1" s="114" t="s">
        <v>192</v>
      </c>
      <c r="G1" s="114" t="s">
        <v>193</v>
      </c>
      <c r="H1" s="114" t="s">
        <v>194</v>
      </c>
      <c r="I1" s="114" t="s">
        <v>195</v>
      </c>
      <c r="J1" s="114" t="s">
        <v>196</v>
      </c>
      <c r="K1" s="114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273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  <c r="V1" t="s">
        <v>207</v>
      </c>
      <c r="W1" t="s">
        <v>208</v>
      </c>
      <c r="X1" t="s">
        <v>209</v>
      </c>
      <c r="Y1" t="s">
        <v>210</v>
      </c>
      <c r="Z1" t="s">
        <v>211</v>
      </c>
      <c r="AA1" t="s">
        <v>212</v>
      </c>
      <c r="AB1" t="s">
        <v>213</v>
      </c>
      <c r="AC1" t="s">
        <v>214</v>
      </c>
      <c r="AD1" t="s">
        <v>215</v>
      </c>
      <c r="AE1" s="82" t="s">
        <v>216</v>
      </c>
      <c r="AF1" s="82" t="s">
        <v>217</v>
      </c>
      <c r="AG1" s="82" t="s">
        <v>218</v>
      </c>
      <c r="AH1" s="82" t="s">
        <v>185</v>
      </c>
      <c r="AI1" s="82" t="s">
        <v>123</v>
      </c>
    </row>
    <row r="2" spans="1:36" s="125" customFormat="1" ht="16" x14ac:dyDescent="0.2">
      <c r="A2" s="120" t="s">
        <v>189</v>
      </c>
      <c r="B2" s="220">
        <v>0.8</v>
      </c>
      <c r="C2" s="220">
        <v>0.8</v>
      </c>
      <c r="D2" s="220">
        <v>0.8</v>
      </c>
      <c r="E2" s="220">
        <v>0.8</v>
      </c>
      <c r="F2" s="220">
        <v>0.8</v>
      </c>
      <c r="G2" s="220">
        <v>0.8</v>
      </c>
      <c r="H2" s="220">
        <v>0.8</v>
      </c>
      <c r="I2" s="220">
        <v>0.8</v>
      </c>
      <c r="J2" s="220">
        <v>0.8</v>
      </c>
      <c r="K2" s="220">
        <v>0.8</v>
      </c>
      <c r="L2" s="220">
        <v>0.8</v>
      </c>
      <c r="M2" s="220">
        <v>0.8</v>
      </c>
      <c r="N2" s="220">
        <v>0.8</v>
      </c>
      <c r="O2" s="220">
        <v>0.8</v>
      </c>
      <c r="P2" s="220">
        <v>0.8</v>
      </c>
      <c r="Q2" s="220">
        <v>0.8</v>
      </c>
      <c r="R2" s="220">
        <v>0.8</v>
      </c>
      <c r="S2" s="220">
        <v>0.8</v>
      </c>
      <c r="T2" s="220">
        <v>0.8</v>
      </c>
      <c r="U2" s="220">
        <v>0.8</v>
      </c>
      <c r="V2" s="220">
        <v>0.8</v>
      </c>
      <c r="W2" s="220">
        <v>0.8</v>
      </c>
      <c r="X2" s="220">
        <v>0.8</v>
      </c>
      <c r="Y2" s="220">
        <v>0.8</v>
      </c>
      <c r="Z2" s="220">
        <v>0.8</v>
      </c>
      <c r="AA2" s="220">
        <v>0.8</v>
      </c>
      <c r="AB2" s="220">
        <v>0.8</v>
      </c>
      <c r="AC2" s="220">
        <v>0.8</v>
      </c>
      <c r="AD2" s="220">
        <v>0.8</v>
      </c>
      <c r="AE2" s="220">
        <v>0.8</v>
      </c>
      <c r="AF2" s="220">
        <v>0.8</v>
      </c>
      <c r="AG2" s="220">
        <v>0.8</v>
      </c>
      <c r="AH2" s="220">
        <v>0.8</v>
      </c>
      <c r="AI2" s="220">
        <v>0.8</v>
      </c>
      <c r="AJ2"/>
    </row>
    <row r="3" spans="1:36" s="125" customFormat="1" ht="16" x14ac:dyDescent="0.2">
      <c r="A3" s="120" t="s">
        <v>221</v>
      </c>
      <c r="B3" s="220">
        <v>0.8</v>
      </c>
      <c r="C3" s="220">
        <v>0.8</v>
      </c>
      <c r="D3" s="220">
        <v>0.8</v>
      </c>
      <c r="E3" s="220">
        <v>0.8</v>
      </c>
      <c r="F3" s="220">
        <v>0.8</v>
      </c>
      <c r="G3" s="220">
        <v>0.8</v>
      </c>
      <c r="H3" s="220">
        <v>0.8</v>
      </c>
      <c r="I3" s="220">
        <v>0.8</v>
      </c>
      <c r="J3" s="220">
        <v>0.8</v>
      </c>
      <c r="K3" s="220">
        <v>0.8</v>
      </c>
      <c r="L3" s="220">
        <v>0.8</v>
      </c>
      <c r="M3" s="220">
        <v>0.8</v>
      </c>
      <c r="N3" s="220">
        <v>0.8</v>
      </c>
      <c r="O3" s="220">
        <v>0.8</v>
      </c>
      <c r="P3" s="220">
        <v>0.8</v>
      </c>
      <c r="Q3" s="220">
        <v>0.8</v>
      </c>
      <c r="R3" s="220">
        <v>0.8</v>
      </c>
      <c r="S3" s="220">
        <v>0.8</v>
      </c>
      <c r="T3" s="220">
        <v>0.8</v>
      </c>
      <c r="U3" s="220">
        <v>0.8</v>
      </c>
      <c r="V3" s="220">
        <v>0.8</v>
      </c>
      <c r="W3" s="220">
        <v>0.8</v>
      </c>
      <c r="X3" s="220">
        <v>0.8</v>
      </c>
      <c r="Y3" s="220">
        <v>0.8</v>
      </c>
      <c r="Z3" s="220">
        <v>0.8</v>
      </c>
      <c r="AA3" s="220">
        <v>0.8</v>
      </c>
      <c r="AB3" s="220">
        <v>0.8</v>
      </c>
      <c r="AC3" s="220">
        <v>0.8</v>
      </c>
      <c r="AD3" s="220">
        <v>0.8</v>
      </c>
      <c r="AE3" s="220">
        <v>0.8</v>
      </c>
      <c r="AF3" s="220">
        <v>0.8</v>
      </c>
      <c r="AG3" s="220">
        <v>0.8</v>
      </c>
      <c r="AH3" s="220">
        <v>0.8</v>
      </c>
      <c r="AI3" s="220">
        <v>0.8</v>
      </c>
      <c r="AJ3"/>
    </row>
    <row r="4" spans="1:36" s="125" customFormat="1" ht="16" x14ac:dyDescent="0.2">
      <c r="A4" s="120" t="s">
        <v>190</v>
      </c>
      <c r="B4" s="220">
        <v>0.8</v>
      </c>
      <c r="C4" s="220">
        <v>0.8</v>
      </c>
      <c r="D4" s="220">
        <v>0.8</v>
      </c>
      <c r="E4" s="220">
        <v>0.8</v>
      </c>
      <c r="F4" s="220">
        <v>0.8</v>
      </c>
      <c r="G4" s="220">
        <v>0.8</v>
      </c>
      <c r="H4" s="220">
        <v>0.8</v>
      </c>
      <c r="I4" s="220">
        <v>0.8</v>
      </c>
      <c r="J4" s="220">
        <v>0.8</v>
      </c>
      <c r="K4" s="220">
        <v>0.8</v>
      </c>
      <c r="L4" s="220">
        <v>0.8</v>
      </c>
      <c r="M4" s="220">
        <v>0.8</v>
      </c>
      <c r="N4" s="220">
        <v>0.8</v>
      </c>
      <c r="O4" s="220">
        <v>0.8</v>
      </c>
      <c r="P4" s="220">
        <v>0.8</v>
      </c>
      <c r="Q4" s="220">
        <v>0.8</v>
      </c>
      <c r="R4" s="220">
        <v>0.8</v>
      </c>
      <c r="S4" s="220">
        <v>0.8</v>
      </c>
      <c r="T4" s="220">
        <v>0.8</v>
      </c>
      <c r="U4" s="220">
        <v>0.8</v>
      </c>
      <c r="V4" s="220">
        <v>0.8</v>
      </c>
      <c r="W4" s="220">
        <v>0.8</v>
      </c>
      <c r="X4" s="220">
        <v>0.8</v>
      </c>
      <c r="Y4" s="220">
        <v>0.8</v>
      </c>
      <c r="Z4" s="220">
        <v>0.8</v>
      </c>
      <c r="AA4" s="220">
        <v>0.8</v>
      </c>
      <c r="AB4" s="220">
        <v>0.8</v>
      </c>
      <c r="AC4" s="220">
        <v>0.8</v>
      </c>
      <c r="AD4" s="220">
        <v>0.8</v>
      </c>
      <c r="AE4" s="220">
        <v>0.8</v>
      </c>
      <c r="AF4" s="220">
        <v>0.8</v>
      </c>
      <c r="AG4" s="220">
        <v>0.8</v>
      </c>
      <c r="AH4" s="220">
        <v>0.8</v>
      </c>
      <c r="AI4" s="220">
        <v>0.8</v>
      </c>
      <c r="AJ4"/>
    </row>
    <row r="5" spans="1:36" s="125" customFormat="1" ht="16" x14ac:dyDescent="0.2">
      <c r="A5" s="120" t="s">
        <v>191</v>
      </c>
      <c r="B5" s="220">
        <v>0.8</v>
      </c>
      <c r="C5" s="220">
        <v>0.8</v>
      </c>
      <c r="D5" s="220">
        <v>0.8</v>
      </c>
      <c r="E5" s="220">
        <v>0.8</v>
      </c>
      <c r="F5" s="220">
        <v>0.8</v>
      </c>
      <c r="G5" s="220">
        <v>0.8</v>
      </c>
      <c r="H5" s="220">
        <v>0.8</v>
      </c>
      <c r="I5" s="220">
        <v>0.8</v>
      </c>
      <c r="J5" s="220">
        <v>0.8</v>
      </c>
      <c r="K5" s="220">
        <v>0.8</v>
      </c>
      <c r="L5" s="220">
        <v>0.8</v>
      </c>
      <c r="M5" s="220">
        <v>0.8</v>
      </c>
      <c r="N5" s="220">
        <v>0.8</v>
      </c>
      <c r="O5" s="220">
        <v>0.8</v>
      </c>
      <c r="P5" s="220">
        <v>0.8</v>
      </c>
      <c r="Q5" s="220">
        <v>0.8</v>
      </c>
      <c r="R5" s="220">
        <v>0.8</v>
      </c>
      <c r="S5" s="220">
        <v>0.8</v>
      </c>
      <c r="T5" s="220">
        <v>0.8</v>
      </c>
      <c r="U5" s="220">
        <v>0.8</v>
      </c>
      <c r="V5" s="220">
        <v>0.8</v>
      </c>
      <c r="W5" s="220">
        <v>0.8</v>
      </c>
      <c r="X5" s="220">
        <v>0.8</v>
      </c>
      <c r="Y5" s="220">
        <v>0.8</v>
      </c>
      <c r="Z5" s="220">
        <v>0.8</v>
      </c>
      <c r="AA5" s="220">
        <v>0.8</v>
      </c>
      <c r="AB5" s="220">
        <v>0.8</v>
      </c>
      <c r="AC5" s="220">
        <v>0.8</v>
      </c>
      <c r="AD5" s="220">
        <v>0.8</v>
      </c>
      <c r="AE5" s="220">
        <v>0.8</v>
      </c>
      <c r="AF5" s="220">
        <v>0.8</v>
      </c>
      <c r="AG5" s="220">
        <v>0.8</v>
      </c>
      <c r="AH5" s="220">
        <v>0.8</v>
      </c>
      <c r="AI5" s="220">
        <v>0.8</v>
      </c>
      <c r="AJ5"/>
    </row>
    <row r="6" spans="1:36" s="125" customFormat="1" ht="16" x14ac:dyDescent="0.2">
      <c r="A6" s="120" t="s">
        <v>192</v>
      </c>
      <c r="B6" s="220">
        <v>0.8</v>
      </c>
      <c r="C6" s="220">
        <v>0.8</v>
      </c>
      <c r="D6" s="220">
        <v>0.8</v>
      </c>
      <c r="E6" s="220">
        <v>0.8</v>
      </c>
      <c r="F6" s="220">
        <v>0.8</v>
      </c>
      <c r="G6" s="220">
        <v>0.8</v>
      </c>
      <c r="H6" s="220">
        <v>0.8</v>
      </c>
      <c r="I6" s="220">
        <v>0.8</v>
      </c>
      <c r="J6" s="220">
        <v>0.8</v>
      </c>
      <c r="K6" s="220">
        <v>0.8</v>
      </c>
      <c r="L6" s="220">
        <v>0.8</v>
      </c>
      <c r="M6" s="220">
        <v>0.8</v>
      </c>
      <c r="N6" s="220">
        <v>0.8</v>
      </c>
      <c r="O6" s="220">
        <v>0.8</v>
      </c>
      <c r="P6" s="220">
        <v>0.8</v>
      </c>
      <c r="Q6" s="220">
        <v>0.8</v>
      </c>
      <c r="R6" s="220">
        <v>0.8</v>
      </c>
      <c r="S6" s="220">
        <v>0.8</v>
      </c>
      <c r="T6" s="220">
        <v>0.8</v>
      </c>
      <c r="U6" s="220">
        <v>0.8</v>
      </c>
      <c r="V6" s="220">
        <v>0.8</v>
      </c>
      <c r="W6" s="220">
        <v>0.8</v>
      </c>
      <c r="X6" s="220">
        <v>0.8</v>
      </c>
      <c r="Y6" s="220">
        <v>0.8</v>
      </c>
      <c r="Z6" s="220">
        <v>0.8</v>
      </c>
      <c r="AA6" s="220">
        <v>0.8</v>
      </c>
      <c r="AB6" s="220">
        <v>0.8</v>
      </c>
      <c r="AC6" s="220">
        <v>0.8</v>
      </c>
      <c r="AD6" s="220">
        <v>0.8</v>
      </c>
      <c r="AE6" s="220">
        <v>0.8</v>
      </c>
      <c r="AF6" s="220">
        <v>0.8</v>
      </c>
      <c r="AG6" s="220">
        <v>0.8</v>
      </c>
      <c r="AH6" s="220">
        <v>0.8</v>
      </c>
      <c r="AI6" s="220">
        <v>0.8</v>
      </c>
      <c r="AJ6"/>
    </row>
    <row r="7" spans="1:36" s="125" customFormat="1" ht="16" x14ac:dyDescent="0.2">
      <c r="A7" s="120" t="s">
        <v>193</v>
      </c>
      <c r="B7" s="220">
        <v>0.8</v>
      </c>
      <c r="C7" s="220">
        <v>0.8</v>
      </c>
      <c r="D7" s="220">
        <v>0.8</v>
      </c>
      <c r="E7" s="220">
        <v>0.8</v>
      </c>
      <c r="F7" s="220">
        <v>0.8</v>
      </c>
      <c r="G7" s="220">
        <v>0.8</v>
      </c>
      <c r="H7" s="220">
        <v>0.8</v>
      </c>
      <c r="I7" s="220">
        <v>0.8</v>
      </c>
      <c r="J7" s="220">
        <v>0.8</v>
      </c>
      <c r="K7" s="220">
        <v>0.8</v>
      </c>
      <c r="L7" s="220">
        <v>0.8</v>
      </c>
      <c r="M7" s="220">
        <v>0.8</v>
      </c>
      <c r="N7" s="220">
        <v>0.8</v>
      </c>
      <c r="O7" s="220">
        <v>0.8</v>
      </c>
      <c r="P7" s="220">
        <v>0.8</v>
      </c>
      <c r="Q7" s="220">
        <v>0.8</v>
      </c>
      <c r="R7" s="220">
        <v>0.8</v>
      </c>
      <c r="S7" s="220">
        <v>0.8</v>
      </c>
      <c r="T7" s="220">
        <v>0.8</v>
      </c>
      <c r="U7" s="220">
        <v>0.8</v>
      </c>
      <c r="V7" s="220">
        <v>0.8</v>
      </c>
      <c r="W7" s="220">
        <v>0.8</v>
      </c>
      <c r="X7" s="220">
        <v>0.8</v>
      </c>
      <c r="Y7" s="220">
        <v>0.8</v>
      </c>
      <c r="Z7" s="220">
        <v>0.8</v>
      </c>
      <c r="AA7" s="220">
        <v>0.8</v>
      </c>
      <c r="AB7" s="220">
        <v>0.8</v>
      </c>
      <c r="AC7" s="220">
        <v>0.8</v>
      </c>
      <c r="AD7" s="220">
        <v>0.8</v>
      </c>
      <c r="AE7" s="220">
        <v>0.8</v>
      </c>
      <c r="AF7" s="220">
        <v>0.8</v>
      </c>
      <c r="AG7" s="220">
        <v>0.8</v>
      </c>
      <c r="AH7" s="220">
        <v>0.8</v>
      </c>
      <c r="AI7" s="220">
        <v>0.8</v>
      </c>
      <c r="AJ7"/>
    </row>
    <row r="8" spans="1:36" s="125" customFormat="1" ht="16" x14ac:dyDescent="0.2">
      <c r="A8" s="120" t="s">
        <v>194</v>
      </c>
      <c r="B8" s="220">
        <v>0.8</v>
      </c>
      <c r="C8" s="220">
        <v>0.8</v>
      </c>
      <c r="D8" s="220">
        <v>0.8</v>
      </c>
      <c r="E8" s="220">
        <v>0.8</v>
      </c>
      <c r="F8" s="220">
        <v>0.8</v>
      </c>
      <c r="G8" s="220">
        <v>0.8</v>
      </c>
      <c r="H8" s="220">
        <v>0.8</v>
      </c>
      <c r="I8" s="220">
        <v>0.8</v>
      </c>
      <c r="J8" s="220">
        <v>0.8</v>
      </c>
      <c r="K8" s="220">
        <v>0.8</v>
      </c>
      <c r="L8" s="220">
        <v>0.8</v>
      </c>
      <c r="M8" s="220">
        <v>0.8</v>
      </c>
      <c r="N8" s="220">
        <v>0.8</v>
      </c>
      <c r="O8" s="220">
        <v>0.8</v>
      </c>
      <c r="P8" s="220">
        <v>0.8</v>
      </c>
      <c r="Q8" s="220">
        <v>0.8</v>
      </c>
      <c r="R8" s="220">
        <v>0.8</v>
      </c>
      <c r="S8" s="220">
        <v>0.8</v>
      </c>
      <c r="T8" s="220">
        <v>0.8</v>
      </c>
      <c r="U8" s="220">
        <v>0.8</v>
      </c>
      <c r="V8" s="220">
        <v>0.8</v>
      </c>
      <c r="W8" s="220">
        <v>0.8</v>
      </c>
      <c r="X8" s="220">
        <v>0.8</v>
      </c>
      <c r="Y8" s="220">
        <v>0.8</v>
      </c>
      <c r="Z8" s="220">
        <v>0.8</v>
      </c>
      <c r="AA8" s="220">
        <v>0.8</v>
      </c>
      <c r="AB8" s="220">
        <v>0.8</v>
      </c>
      <c r="AC8" s="220">
        <v>0.8</v>
      </c>
      <c r="AD8" s="220">
        <v>0.8</v>
      </c>
      <c r="AE8" s="220">
        <v>0.8</v>
      </c>
      <c r="AF8" s="220">
        <v>0.8</v>
      </c>
      <c r="AG8" s="220">
        <v>0.8</v>
      </c>
      <c r="AH8" s="220">
        <v>0.8</v>
      </c>
      <c r="AI8" s="220">
        <v>0.8</v>
      </c>
      <c r="AJ8"/>
    </row>
    <row r="9" spans="1:36" s="125" customFormat="1" ht="16" x14ac:dyDescent="0.2">
      <c r="A9" s="120" t="s">
        <v>195</v>
      </c>
      <c r="B9" s="220">
        <v>0.8</v>
      </c>
      <c r="C9" s="220">
        <v>0.8</v>
      </c>
      <c r="D9" s="220">
        <v>0.8</v>
      </c>
      <c r="E9" s="220">
        <v>0.8</v>
      </c>
      <c r="F9" s="220">
        <v>0.8</v>
      </c>
      <c r="G9" s="220">
        <v>0.8</v>
      </c>
      <c r="H9" s="220">
        <v>0.8</v>
      </c>
      <c r="I9" s="220">
        <v>0.8</v>
      </c>
      <c r="J9" s="220">
        <v>0.8</v>
      </c>
      <c r="K9" s="220">
        <v>0.8</v>
      </c>
      <c r="L9" s="220">
        <v>0.8</v>
      </c>
      <c r="M9" s="220">
        <v>0.8</v>
      </c>
      <c r="N9" s="220">
        <v>0.8</v>
      </c>
      <c r="O9" s="220">
        <v>0.8</v>
      </c>
      <c r="P9" s="220">
        <v>0.8</v>
      </c>
      <c r="Q9" s="220">
        <v>0.8</v>
      </c>
      <c r="R9" s="220">
        <v>0.8</v>
      </c>
      <c r="S9" s="220">
        <v>0.8</v>
      </c>
      <c r="T9" s="220">
        <v>0.8</v>
      </c>
      <c r="U9" s="220">
        <v>0.8</v>
      </c>
      <c r="V9" s="220">
        <v>0.8</v>
      </c>
      <c r="W9" s="220">
        <v>0.8</v>
      </c>
      <c r="X9" s="220">
        <v>0.8</v>
      </c>
      <c r="Y9" s="220">
        <v>0.8</v>
      </c>
      <c r="Z9" s="220">
        <v>0.8</v>
      </c>
      <c r="AA9" s="220">
        <v>0.8</v>
      </c>
      <c r="AB9" s="220">
        <v>0.8</v>
      </c>
      <c r="AC9" s="220">
        <v>0.8</v>
      </c>
      <c r="AD9" s="220">
        <v>0.8</v>
      </c>
      <c r="AE9" s="220">
        <v>0.8</v>
      </c>
      <c r="AF9" s="220">
        <v>0.8</v>
      </c>
      <c r="AG9" s="220">
        <v>0.8</v>
      </c>
      <c r="AH9" s="220">
        <v>0.8</v>
      </c>
      <c r="AI9" s="220">
        <v>0.8</v>
      </c>
      <c r="AJ9"/>
    </row>
    <row r="10" spans="1:36" s="125" customFormat="1" ht="16" x14ac:dyDescent="0.2">
      <c r="A10" s="120" t="s">
        <v>196</v>
      </c>
      <c r="B10" s="220">
        <v>0.8</v>
      </c>
      <c r="C10" s="220">
        <v>0.8</v>
      </c>
      <c r="D10" s="220">
        <v>0.8</v>
      </c>
      <c r="E10" s="220">
        <v>0.8</v>
      </c>
      <c r="F10" s="220">
        <v>0.8</v>
      </c>
      <c r="G10" s="220">
        <v>0.8</v>
      </c>
      <c r="H10" s="220">
        <v>0.8</v>
      </c>
      <c r="I10" s="220">
        <v>0.8</v>
      </c>
      <c r="J10" s="220">
        <v>0.8</v>
      </c>
      <c r="K10" s="220">
        <v>0.8</v>
      </c>
      <c r="L10" s="220">
        <v>0.8</v>
      </c>
      <c r="M10" s="220">
        <v>0.8</v>
      </c>
      <c r="N10" s="220">
        <v>0.8</v>
      </c>
      <c r="O10" s="220">
        <v>0.8</v>
      </c>
      <c r="P10" s="220">
        <v>0.8</v>
      </c>
      <c r="Q10" s="220">
        <v>0.8</v>
      </c>
      <c r="R10" s="220">
        <v>0.8</v>
      </c>
      <c r="S10" s="220">
        <v>0.8</v>
      </c>
      <c r="T10" s="220">
        <v>0.8</v>
      </c>
      <c r="U10" s="220">
        <v>0.8</v>
      </c>
      <c r="V10" s="220">
        <v>0.8</v>
      </c>
      <c r="W10" s="220">
        <v>0.8</v>
      </c>
      <c r="X10" s="220">
        <v>0.8</v>
      </c>
      <c r="Y10" s="220">
        <v>0.8</v>
      </c>
      <c r="Z10" s="220">
        <v>0.8</v>
      </c>
      <c r="AA10" s="220">
        <v>0.8</v>
      </c>
      <c r="AB10" s="220">
        <v>0.8</v>
      </c>
      <c r="AC10" s="220">
        <v>0.8</v>
      </c>
      <c r="AD10" s="220">
        <v>0.8</v>
      </c>
      <c r="AE10" s="220">
        <v>0.8</v>
      </c>
      <c r="AF10" s="220">
        <v>0.8</v>
      </c>
      <c r="AG10" s="220">
        <v>0.8</v>
      </c>
      <c r="AH10" s="220">
        <v>0.8</v>
      </c>
      <c r="AI10" s="220">
        <v>0.8</v>
      </c>
      <c r="AJ10"/>
    </row>
    <row r="11" spans="1:36" s="125" customFormat="1" ht="16" x14ac:dyDescent="0.2">
      <c r="A11" s="120" t="s">
        <v>197</v>
      </c>
      <c r="B11" s="220">
        <v>0.8</v>
      </c>
      <c r="C11" s="220">
        <v>0.8</v>
      </c>
      <c r="D11" s="220">
        <v>0.8</v>
      </c>
      <c r="E11" s="220">
        <v>0.8</v>
      </c>
      <c r="F11" s="220">
        <v>0.8</v>
      </c>
      <c r="G11" s="220">
        <v>0.8</v>
      </c>
      <c r="H11" s="220">
        <v>0.8</v>
      </c>
      <c r="I11" s="220">
        <v>0.8</v>
      </c>
      <c r="J11" s="220">
        <v>0.8</v>
      </c>
      <c r="K11" s="220">
        <v>0.8</v>
      </c>
      <c r="L11" s="220">
        <v>0.8</v>
      </c>
      <c r="M11" s="220">
        <v>0.8</v>
      </c>
      <c r="N11" s="220">
        <v>0.8</v>
      </c>
      <c r="O11" s="220">
        <v>0.8</v>
      </c>
      <c r="P11" s="220">
        <v>0.8</v>
      </c>
      <c r="Q11" s="220">
        <v>0.8</v>
      </c>
      <c r="R11" s="220">
        <v>0.8</v>
      </c>
      <c r="S11" s="220">
        <v>0.8</v>
      </c>
      <c r="T11" s="220">
        <v>0.8</v>
      </c>
      <c r="U11" s="220">
        <v>0.8</v>
      </c>
      <c r="V11" s="220">
        <v>0.8</v>
      </c>
      <c r="W11" s="220">
        <v>0.8</v>
      </c>
      <c r="X11" s="220">
        <v>0.8</v>
      </c>
      <c r="Y11" s="220">
        <v>0.8</v>
      </c>
      <c r="Z11" s="220">
        <v>0.8</v>
      </c>
      <c r="AA11" s="220">
        <v>0.8</v>
      </c>
      <c r="AB11" s="220">
        <v>0.8</v>
      </c>
      <c r="AC11" s="220">
        <v>0.8</v>
      </c>
      <c r="AD11" s="220">
        <v>0.8</v>
      </c>
      <c r="AE11" s="220">
        <v>0.8</v>
      </c>
      <c r="AF11" s="220">
        <v>0.8</v>
      </c>
      <c r="AG11" s="220">
        <v>0.8</v>
      </c>
      <c r="AH11" s="220">
        <v>0.8</v>
      </c>
      <c r="AI11" s="220">
        <v>0.8</v>
      </c>
      <c r="AJ11"/>
    </row>
    <row r="12" spans="1:36" s="125" customFormat="1" ht="16" x14ac:dyDescent="0.2">
      <c r="A12" s="120" t="s">
        <v>198</v>
      </c>
      <c r="B12" s="220">
        <v>0.8</v>
      </c>
      <c r="C12" s="220">
        <v>0.8</v>
      </c>
      <c r="D12" s="220">
        <v>0.8</v>
      </c>
      <c r="E12" s="220">
        <v>0.8</v>
      </c>
      <c r="F12" s="220">
        <v>0.8</v>
      </c>
      <c r="G12" s="220">
        <v>0.8</v>
      </c>
      <c r="H12" s="220">
        <v>0.8</v>
      </c>
      <c r="I12" s="220">
        <v>0.8</v>
      </c>
      <c r="J12" s="220">
        <v>0.8</v>
      </c>
      <c r="K12" s="220">
        <v>0.8</v>
      </c>
      <c r="L12" s="220">
        <v>0.8</v>
      </c>
      <c r="M12" s="220">
        <v>0.8</v>
      </c>
      <c r="N12" s="220">
        <v>0.8</v>
      </c>
      <c r="O12" s="220">
        <v>0.8</v>
      </c>
      <c r="P12" s="220">
        <v>0.8</v>
      </c>
      <c r="Q12" s="220">
        <v>0.8</v>
      </c>
      <c r="R12" s="220">
        <v>0.8</v>
      </c>
      <c r="S12" s="220">
        <v>0.8</v>
      </c>
      <c r="T12" s="220">
        <v>0.8</v>
      </c>
      <c r="U12" s="220">
        <v>0.8</v>
      </c>
      <c r="V12" s="220">
        <v>0.8</v>
      </c>
      <c r="W12" s="220">
        <v>0.8</v>
      </c>
      <c r="X12" s="220">
        <v>0.8</v>
      </c>
      <c r="Y12" s="220">
        <v>0.8</v>
      </c>
      <c r="Z12" s="220">
        <v>0.8</v>
      </c>
      <c r="AA12" s="220">
        <v>0.8</v>
      </c>
      <c r="AB12" s="220">
        <v>0.8</v>
      </c>
      <c r="AC12" s="220">
        <v>0.8</v>
      </c>
      <c r="AD12" s="220">
        <v>0.8</v>
      </c>
      <c r="AE12" s="220">
        <v>0.8</v>
      </c>
      <c r="AF12" s="220">
        <v>0.8</v>
      </c>
      <c r="AG12" s="220">
        <v>0.8</v>
      </c>
      <c r="AH12" s="220">
        <v>0.8</v>
      </c>
      <c r="AI12" s="220">
        <v>0.8</v>
      </c>
      <c r="AJ12"/>
    </row>
    <row r="13" spans="1:36" s="125" customFormat="1" ht="16" x14ac:dyDescent="0.2">
      <c r="A13" s="120" t="s">
        <v>199</v>
      </c>
      <c r="B13" s="220">
        <v>0.8</v>
      </c>
      <c r="C13" s="220">
        <v>0.8</v>
      </c>
      <c r="D13" s="220">
        <v>0.8</v>
      </c>
      <c r="E13" s="220">
        <v>0.8</v>
      </c>
      <c r="F13" s="220">
        <v>0.8</v>
      </c>
      <c r="G13" s="220">
        <v>0.8</v>
      </c>
      <c r="H13" s="220">
        <v>0.8</v>
      </c>
      <c r="I13" s="220">
        <v>0.8</v>
      </c>
      <c r="J13" s="220">
        <v>0.8</v>
      </c>
      <c r="K13" s="220">
        <v>0.8</v>
      </c>
      <c r="L13" s="220">
        <v>0.8</v>
      </c>
      <c r="M13" s="220">
        <v>0.8</v>
      </c>
      <c r="N13" s="220">
        <v>0.8</v>
      </c>
      <c r="O13" s="220">
        <v>0.8</v>
      </c>
      <c r="P13" s="220">
        <v>0.8</v>
      </c>
      <c r="Q13" s="220">
        <v>0.8</v>
      </c>
      <c r="R13" s="220">
        <v>0.8</v>
      </c>
      <c r="S13" s="220">
        <v>0.8</v>
      </c>
      <c r="T13" s="220">
        <v>0.8</v>
      </c>
      <c r="U13" s="220">
        <v>0.8</v>
      </c>
      <c r="V13" s="220">
        <v>0.8</v>
      </c>
      <c r="W13" s="220">
        <v>0.8</v>
      </c>
      <c r="X13" s="220">
        <v>0.8</v>
      </c>
      <c r="Y13" s="220">
        <v>0.8</v>
      </c>
      <c r="Z13" s="220">
        <v>0.8</v>
      </c>
      <c r="AA13" s="220">
        <v>0.8</v>
      </c>
      <c r="AB13" s="220">
        <v>0.8</v>
      </c>
      <c r="AC13" s="220">
        <v>0.8</v>
      </c>
      <c r="AD13" s="220">
        <v>0.8</v>
      </c>
      <c r="AE13" s="220">
        <v>0.8</v>
      </c>
      <c r="AF13" s="220">
        <v>0.8</v>
      </c>
      <c r="AG13" s="220">
        <v>0.8</v>
      </c>
      <c r="AH13" s="220">
        <v>0.8</v>
      </c>
      <c r="AI13" s="220">
        <v>0.8</v>
      </c>
      <c r="AJ13"/>
    </row>
    <row r="14" spans="1:36" s="125" customFormat="1" ht="16" x14ac:dyDescent="0.2">
      <c r="A14" s="120" t="s">
        <v>200</v>
      </c>
      <c r="B14" s="220">
        <v>0.8</v>
      </c>
      <c r="C14" s="220">
        <v>0.8</v>
      </c>
      <c r="D14" s="220">
        <v>0.8</v>
      </c>
      <c r="E14" s="220">
        <v>0.8</v>
      </c>
      <c r="F14" s="220">
        <v>0.8</v>
      </c>
      <c r="G14" s="220">
        <v>0.8</v>
      </c>
      <c r="H14" s="220">
        <v>0.8</v>
      </c>
      <c r="I14" s="220">
        <v>0.8</v>
      </c>
      <c r="J14" s="220">
        <v>0.8</v>
      </c>
      <c r="K14" s="220">
        <v>0.8</v>
      </c>
      <c r="L14" s="220">
        <v>0.8</v>
      </c>
      <c r="M14" s="220">
        <v>0.8</v>
      </c>
      <c r="N14" s="220">
        <v>0.8</v>
      </c>
      <c r="O14" s="220">
        <v>0.8</v>
      </c>
      <c r="P14" s="220">
        <v>0.8</v>
      </c>
      <c r="Q14" s="220">
        <v>0.8</v>
      </c>
      <c r="R14" s="220">
        <v>0.8</v>
      </c>
      <c r="S14" s="220">
        <v>0.8</v>
      </c>
      <c r="T14" s="220">
        <v>0.8</v>
      </c>
      <c r="U14" s="220">
        <v>0.8</v>
      </c>
      <c r="V14" s="220">
        <v>0.8</v>
      </c>
      <c r="W14" s="220">
        <v>0.8</v>
      </c>
      <c r="X14" s="220">
        <v>0.8</v>
      </c>
      <c r="Y14" s="220">
        <v>0.8</v>
      </c>
      <c r="Z14" s="220">
        <v>0.8</v>
      </c>
      <c r="AA14" s="220">
        <v>0.8</v>
      </c>
      <c r="AB14" s="220">
        <v>0.8</v>
      </c>
      <c r="AC14" s="220">
        <v>0.8</v>
      </c>
      <c r="AD14" s="220">
        <v>0.8</v>
      </c>
      <c r="AE14" s="220">
        <v>0.8</v>
      </c>
      <c r="AF14" s="220">
        <v>0.8</v>
      </c>
      <c r="AG14" s="220">
        <v>0.8</v>
      </c>
      <c r="AH14" s="220">
        <v>0.8</v>
      </c>
      <c r="AI14" s="220">
        <v>0.8</v>
      </c>
      <c r="AJ14"/>
    </row>
    <row r="15" spans="1:36" s="125" customFormat="1" ht="16" x14ac:dyDescent="0.2">
      <c r="A15" s="120" t="s">
        <v>201</v>
      </c>
      <c r="B15" s="220">
        <v>0.8</v>
      </c>
      <c r="C15" s="220">
        <v>0.8</v>
      </c>
      <c r="D15" s="220">
        <v>0.8</v>
      </c>
      <c r="E15" s="220">
        <v>0.8</v>
      </c>
      <c r="F15" s="220">
        <v>0.8</v>
      </c>
      <c r="G15" s="220">
        <v>0.8</v>
      </c>
      <c r="H15" s="220">
        <v>0.8</v>
      </c>
      <c r="I15" s="220">
        <v>0.8</v>
      </c>
      <c r="J15" s="220">
        <v>0.8</v>
      </c>
      <c r="K15" s="220">
        <v>0.8</v>
      </c>
      <c r="L15" s="220">
        <v>0.8</v>
      </c>
      <c r="M15" s="220">
        <v>0.8</v>
      </c>
      <c r="N15" s="220">
        <v>0.8</v>
      </c>
      <c r="O15" s="220">
        <v>0.8</v>
      </c>
      <c r="P15" s="220">
        <v>0.8</v>
      </c>
      <c r="Q15" s="220">
        <v>0.8</v>
      </c>
      <c r="R15" s="220">
        <v>0.8</v>
      </c>
      <c r="S15" s="220">
        <v>0.8</v>
      </c>
      <c r="T15" s="220">
        <v>0.8</v>
      </c>
      <c r="U15" s="220">
        <v>0.8</v>
      </c>
      <c r="V15" s="220">
        <v>0.8</v>
      </c>
      <c r="W15" s="220">
        <v>0.8</v>
      </c>
      <c r="X15" s="220">
        <v>0.8</v>
      </c>
      <c r="Y15" s="220">
        <v>0.8</v>
      </c>
      <c r="Z15" s="220">
        <v>0.8</v>
      </c>
      <c r="AA15" s="220">
        <v>0.8</v>
      </c>
      <c r="AB15" s="220">
        <v>0.8</v>
      </c>
      <c r="AC15" s="220">
        <v>0.8</v>
      </c>
      <c r="AD15" s="220">
        <v>0.8</v>
      </c>
      <c r="AE15" s="220">
        <v>0.8</v>
      </c>
      <c r="AF15" s="220">
        <v>0.8</v>
      </c>
      <c r="AG15" s="220">
        <v>0.8</v>
      </c>
      <c r="AH15" s="220">
        <v>0.8</v>
      </c>
      <c r="AI15" s="220">
        <v>0.8</v>
      </c>
      <c r="AJ15"/>
    </row>
    <row r="16" spans="1:36" s="125" customFormat="1" ht="16" x14ac:dyDescent="0.2">
      <c r="A16" s="120" t="s">
        <v>273</v>
      </c>
      <c r="B16" s="220">
        <v>0.8</v>
      </c>
      <c r="C16" s="220">
        <v>0.8</v>
      </c>
      <c r="D16" s="220">
        <v>0.8</v>
      </c>
      <c r="E16" s="220">
        <v>0.8</v>
      </c>
      <c r="F16" s="220">
        <v>0.8</v>
      </c>
      <c r="G16" s="220">
        <v>0.8</v>
      </c>
      <c r="H16" s="220">
        <v>0.8</v>
      </c>
      <c r="I16" s="220">
        <v>0.8</v>
      </c>
      <c r="J16" s="220">
        <v>0.8</v>
      </c>
      <c r="K16" s="220">
        <v>0.8</v>
      </c>
      <c r="L16" s="220">
        <v>0.8</v>
      </c>
      <c r="M16" s="220">
        <v>0.8</v>
      </c>
      <c r="N16" s="220">
        <v>0.8</v>
      </c>
      <c r="O16" s="220">
        <v>0.8</v>
      </c>
      <c r="P16" s="220">
        <v>0.8</v>
      </c>
      <c r="Q16" s="220">
        <v>0.8</v>
      </c>
      <c r="R16" s="220">
        <v>0.8</v>
      </c>
      <c r="S16" s="220">
        <v>0.8</v>
      </c>
      <c r="T16" s="220">
        <v>0.8</v>
      </c>
      <c r="U16" s="220">
        <v>0.8</v>
      </c>
      <c r="V16" s="220">
        <v>0.8</v>
      </c>
      <c r="W16" s="220">
        <v>0.8</v>
      </c>
      <c r="X16" s="220">
        <v>0.8</v>
      </c>
      <c r="Y16" s="220">
        <v>0.8</v>
      </c>
      <c r="Z16" s="220">
        <v>0.8</v>
      </c>
      <c r="AA16" s="220">
        <v>0.8</v>
      </c>
      <c r="AB16" s="220">
        <v>0.8</v>
      </c>
      <c r="AC16" s="220">
        <v>0.8</v>
      </c>
      <c r="AD16" s="220">
        <v>0.8</v>
      </c>
      <c r="AE16" s="220">
        <v>0.8</v>
      </c>
      <c r="AF16" s="220">
        <v>0.8</v>
      </c>
      <c r="AG16" s="220">
        <v>0.8</v>
      </c>
      <c r="AH16" s="220">
        <v>0.8</v>
      </c>
      <c r="AI16" s="220">
        <v>0.8</v>
      </c>
      <c r="AJ16"/>
    </row>
    <row r="17" spans="1:36" s="125" customFormat="1" ht="16" x14ac:dyDescent="0.2">
      <c r="A17" s="120" t="s">
        <v>202</v>
      </c>
      <c r="B17" s="220">
        <v>0.8</v>
      </c>
      <c r="C17" s="220">
        <v>0.8</v>
      </c>
      <c r="D17" s="220">
        <v>0.8</v>
      </c>
      <c r="E17" s="220">
        <v>0.8</v>
      </c>
      <c r="F17" s="220">
        <v>0.8</v>
      </c>
      <c r="G17" s="220">
        <v>0.8</v>
      </c>
      <c r="H17" s="220">
        <v>0.8</v>
      </c>
      <c r="I17" s="220">
        <v>0.8</v>
      </c>
      <c r="J17" s="220">
        <v>0.8</v>
      </c>
      <c r="K17" s="220">
        <v>0.8</v>
      </c>
      <c r="L17" s="220">
        <v>0.8</v>
      </c>
      <c r="M17" s="220">
        <v>0.8</v>
      </c>
      <c r="N17" s="220">
        <v>0.8</v>
      </c>
      <c r="O17" s="220">
        <v>0.8</v>
      </c>
      <c r="P17" s="220">
        <v>0.8</v>
      </c>
      <c r="Q17" s="220">
        <v>0.8</v>
      </c>
      <c r="R17" s="220">
        <v>0.8</v>
      </c>
      <c r="S17" s="220">
        <v>0.8</v>
      </c>
      <c r="T17" s="220">
        <v>0.8</v>
      </c>
      <c r="U17" s="220">
        <v>0.8</v>
      </c>
      <c r="V17" s="220">
        <v>0.8</v>
      </c>
      <c r="W17" s="220">
        <v>0.8</v>
      </c>
      <c r="X17" s="220">
        <v>0.8</v>
      </c>
      <c r="Y17" s="220">
        <v>0.8</v>
      </c>
      <c r="Z17" s="220">
        <v>0.8</v>
      </c>
      <c r="AA17" s="220">
        <v>0.8</v>
      </c>
      <c r="AB17" s="220">
        <v>0.8</v>
      </c>
      <c r="AC17" s="220">
        <v>0.8</v>
      </c>
      <c r="AD17" s="220">
        <v>0.8</v>
      </c>
      <c r="AE17" s="220">
        <v>0.8</v>
      </c>
      <c r="AF17" s="220">
        <v>0.8</v>
      </c>
      <c r="AG17" s="220">
        <v>0.8</v>
      </c>
      <c r="AH17" s="220">
        <v>0.8</v>
      </c>
      <c r="AI17" s="220">
        <v>0.8</v>
      </c>
      <c r="AJ17"/>
    </row>
    <row r="18" spans="1:36" s="125" customFormat="1" ht="16" x14ac:dyDescent="0.2">
      <c r="A18" s="120" t="s">
        <v>203</v>
      </c>
      <c r="B18" s="220">
        <v>0.8</v>
      </c>
      <c r="C18" s="220">
        <v>0.8</v>
      </c>
      <c r="D18" s="220">
        <v>0.8</v>
      </c>
      <c r="E18" s="220">
        <v>0.8</v>
      </c>
      <c r="F18" s="220">
        <v>0.8</v>
      </c>
      <c r="G18" s="220">
        <v>0.8</v>
      </c>
      <c r="H18" s="220">
        <v>0.8</v>
      </c>
      <c r="I18" s="220">
        <v>0.8</v>
      </c>
      <c r="J18" s="220">
        <v>0.8</v>
      </c>
      <c r="K18" s="220">
        <v>0.8</v>
      </c>
      <c r="L18" s="220">
        <v>0.8</v>
      </c>
      <c r="M18" s="220">
        <v>0.8</v>
      </c>
      <c r="N18" s="220">
        <v>0.8</v>
      </c>
      <c r="O18" s="220">
        <v>0.8</v>
      </c>
      <c r="P18" s="220">
        <v>0.8</v>
      </c>
      <c r="Q18" s="220">
        <v>0.8</v>
      </c>
      <c r="R18" s="220">
        <v>0.8</v>
      </c>
      <c r="S18" s="220">
        <v>0.8</v>
      </c>
      <c r="T18" s="220">
        <v>0.8</v>
      </c>
      <c r="U18" s="220">
        <v>0.8</v>
      </c>
      <c r="V18" s="220">
        <v>0.8</v>
      </c>
      <c r="W18" s="220">
        <v>0.8</v>
      </c>
      <c r="X18" s="220">
        <v>0.8</v>
      </c>
      <c r="Y18" s="220">
        <v>0.8</v>
      </c>
      <c r="Z18" s="220">
        <v>0.8</v>
      </c>
      <c r="AA18" s="220">
        <v>0.8</v>
      </c>
      <c r="AB18" s="220">
        <v>0.8</v>
      </c>
      <c r="AC18" s="220">
        <v>0.8</v>
      </c>
      <c r="AD18" s="220">
        <v>0.8</v>
      </c>
      <c r="AE18" s="220">
        <v>0.8</v>
      </c>
      <c r="AF18" s="220">
        <v>0.8</v>
      </c>
      <c r="AG18" s="220">
        <v>0.8</v>
      </c>
      <c r="AH18" s="220">
        <v>0.8</v>
      </c>
      <c r="AI18" s="220">
        <v>0.8</v>
      </c>
      <c r="AJ18"/>
    </row>
    <row r="19" spans="1:36" s="125" customFormat="1" ht="16" x14ac:dyDescent="0.2">
      <c r="A19" s="120" t="s">
        <v>204</v>
      </c>
      <c r="B19" s="220">
        <v>0.8</v>
      </c>
      <c r="C19" s="220">
        <v>0.8</v>
      </c>
      <c r="D19" s="220">
        <v>0.8</v>
      </c>
      <c r="E19" s="220">
        <v>0.8</v>
      </c>
      <c r="F19" s="220">
        <v>0.8</v>
      </c>
      <c r="G19" s="220">
        <v>0.8</v>
      </c>
      <c r="H19" s="220">
        <v>0.8</v>
      </c>
      <c r="I19" s="220">
        <v>0.8</v>
      </c>
      <c r="J19" s="220">
        <v>0.8</v>
      </c>
      <c r="K19" s="220">
        <v>0.8</v>
      </c>
      <c r="L19" s="220">
        <v>0.8</v>
      </c>
      <c r="M19" s="220">
        <v>0.8</v>
      </c>
      <c r="N19" s="220">
        <v>0.8</v>
      </c>
      <c r="O19" s="220">
        <v>0.8</v>
      </c>
      <c r="P19" s="220">
        <v>0.8</v>
      </c>
      <c r="Q19" s="220">
        <v>0.8</v>
      </c>
      <c r="R19" s="220">
        <v>0.8</v>
      </c>
      <c r="S19" s="220">
        <v>0.8</v>
      </c>
      <c r="T19" s="220">
        <v>0.8</v>
      </c>
      <c r="U19" s="220">
        <v>0.8</v>
      </c>
      <c r="V19" s="220">
        <v>0.8</v>
      </c>
      <c r="W19" s="220">
        <v>0.8</v>
      </c>
      <c r="X19" s="220">
        <v>0.8</v>
      </c>
      <c r="Y19" s="220">
        <v>0.8</v>
      </c>
      <c r="Z19" s="220">
        <v>0.8</v>
      </c>
      <c r="AA19" s="220">
        <v>0.8</v>
      </c>
      <c r="AB19" s="220">
        <v>0.8</v>
      </c>
      <c r="AC19" s="220">
        <v>0.8</v>
      </c>
      <c r="AD19" s="220">
        <v>0.8</v>
      </c>
      <c r="AE19" s="220">
        <v>0.8</v>
      </c>
      <c r="AF19" s="220">
        <v>0.8</v>
      </c>
      <c r="AG19" s="220">
        <v>0.8</v>
      </c>
      <c r="AH19" s="220">
        <v>0.8</v>
      </c>
      <c r="AI19" s="220">
        <v>0.8</v>
      </c>
      <c r="AJ19"/>
    </row>
    <row r="20" spans="1:36" s="125" customFormat="1" ht="16" x14ac:dyDescent="0.2">
      <c r="A20" s="120" t="s">
        <v>205</v>
      </c>
      <c r="B20" s="220">
        <v>0.8</v>
      </c>
      <c r="C20" s="220">
        <v>0.8</v>
      </c>
      <c r="D20" s="220">
        <v>0.8</v>
      </c>
      <c r="E20" s="220">
        <v>0.8</v>
      </c>
      <c r="F20" s="220">
        <v>0.8</v>
      </c>
      <c r="G20" s="220">
        <v>0.8</v>
      </c>
      <c r="H20" s="220">
        <v>0.8</v>
      </c>
      <c r="I20" s="220">
        <v>0.8</v>
      </c>
      <c r="J20" s="220">
        <v>0.8</v>
      </c>
      <c r="K20" s="220">
        <v>0.8</v>
      </c>
      <c r="L20" s="220">
        <v>0.8</v>
      </c>
      <c r="M20" s="220">
        <v>0.8</v>
      </c>
      <c r="N20" s="220">
        <v>0.8</v>
      </c>
      <c r="O20" s="220">
        <v>0.8</v>
      </c>
      <c r="P20" s="220">
        <v>0.8</v>
      </c>
      <c r="Q20" s="220">
        <v>0.8</v>
      </c>
      <c r="R20" s="220">
        <v>0.8</v>
      </c>
      <c r="S20" s="220">
        <v>0.8</v>
      </c>
      <c r="T20" s="220">
        <v>0.8</v>
      </c>
      <c r="U20" s="220">
        <v>0.8</v>
      </c>
      <c r="V20" s="220">
        <v>0.8</v>
      </c>
      <c r="W20" s="220">
        <v>0.8</v>
      </c>
      <c r="X20" s="220">
        <v>0.8</v>
      </c>
      <c r="Y20" s="220">
        <v>0.8</v>
      </c>
      <c r="Z20" s="220">
        <v>0.8</v>
      </c>
      <c r="AA20" s="220">
        <v>0.8</v>
      </c>
      <c r="AB20" s="220">
        <v>0.8</v>
      </c>
      <c r="AC20" s="220">
        <v>0.8</v>
      </c>
      <c r="AD20" s="220">
        <v>0.8</v>
      </c>
      <c r="AE20" s="220">
        <v>0.8</v>
      </c>
      <c r="AF20" s="220">
        <v>0.8</v>
      </c>
      <c r="AG20" s="220">
        <v>0.8</v>
      </c>
      <c r="AH20" s="220">
        <v>0.8</v>
      </c>
      <c r="AI20" s="220">
        <v>0.8</v>
      </c>
      <c r="AJ20"/>
    </row>
    <row r="21" spans="1:36" s="125" customFormat="1" ht="16" x14ac:dyDescent="0.2">
      <c r="A21" s="120" t="s">
        <v>206</v>
      </c>
      <c r="B21" s="220">
        <v>0.8</v>
      </c>
      <c r="C21" s="220">
        <v>0.8</v>
      </c>
      <c r="D21" s="220">
        <v>0.8</v>
      </c>
      <c r="E21" s="220">
        <v>0.8</v>
      </c>
      <c r="F21" s="220">
        <v>0.8</v>
      </c>
      <c r="G21" s="220">
        <v>0.8</v>
      </c>
      <c r="H21" s="220">
        <v>0.8</v>
      </c>
      <c r="I21" s="220">
        <v>0.8</v>
      </c>
      <c r="J21" s="220">
        <v>0.8</v>
      </c>
      <c r="K21" s="220">
        <v>0.8</v>
      </c>
      <c r="L21" s="220">
        <v>0.8</v>
      </c>
      <c r="M21" s="220">
        <v>0.8</v>
      </c>
      <c r="N21" s="220">
        <v>0.8</v>
      </c>
      <c r="O21" s="220">
        <v>0.8</v>
      </c>
      <c r="P21" s="220">
        <v>0.8</v>
      </c>
      <c r="Q21" s="220">
        <v>0.8</v>
      </c>
      <c r="R21" s="220">
        <v>0.8</v>
      </c>
      <c r="S21" s="220">
        <v>0.8</v>
      </c>
      <c r="T21" s="220">
        <v>0.8</v>
      </c>
      <c r="U21" s="220">
        <v>0.8</v>
      </c>
      <c r="V21" s="220">
        <v>0.8</v>
      </c>
      <c r="W21" s="220">
        <v>0.8</v>
      </c>
      <c r="X21" s="220">
        <v>0.8</v>
      </c>
      <c r="Y21" s="220">
        <v>0.8</v>
      </c>
      <c r="Z21" s="220">
        <v>0.8</v>
      </c>
      <c r="AA21" s="220">
        <v>0.8</v>
      </c>
      <c r="AB21" s="220">
        <v>0.8</v>
      </c>
      <c r="AC21" s="220">
        <v>0.8</v>
      </c>
      <c r="AD21" s="220">
        <v>0.8</v>
      </c>
      <c r="AE21" s="220">
        <v>0.8</v>
      </c>
      <c r="AF21" s="220">
        <v>0.8</v>
      </c>
      <c r="AG21" s="220">
        <v>0.8</v>
      </c>
      <c r="AH21" s="220">
        <v>0.8</v>
      </c>
      <c r="AI21" s="220">
        <v>0.8</v>
      </c>
      <c r="AJ21"/>
    </row>
    <row r="22" spans="1:36" s="125" customFormat="1" ht="16" x14ac:dyDescent="0.2">
      <c r="A22" s="120" t="s">
        <v>207</v>
      </c>
      <c r="B22" s="220">
        <v>0.8</v>
      </c>
      <c r="C22" s="220">
        <v>0.8</v>
      </c>
      <c r="D22" s="220">
        <v>0.8</v>
      </c>
      <c r="E22" s="220">
        <v>0.8</v>
      </c>
      <c r="F22" s="220">
        <v>0.8</v>
      </c>
      <c r="G22" s="220">
        <v>0.8</v>
      </c>
      <c r="H22" s="220">
        <v>0.8</v>
      </c>
      <c r="I22" s="220">
        <v>0.8</v>
      </c>
      <c r="J22" s="220">
        <v>0.8</v>
      </c>
      <c r="K22" s="220">
        <v>0.8</v>
      </c>
      <c r="L22" s="220">
        <v>0.8</v>
      </c>
      <c r="M22" s="220">
        <v>0.8</v>
      </c>
      <c r="N22" s="220">
        <v>0.8</v>
      </c>
      <c r="O22" s="220">
        <v>0.8</v>
      </c>
      <c r="P22" s="220">
        <v>0.8</v>
      </c>
      <c r="Q22" s="220">
        <v>0.8</v>
      </c>
      <c r="R22" s="220">
        <v>0.8</v>
      </c>
      <c r="S22" s="220">
        <v>0.8</v>
      </c>
      <c r="T22" s="220">
        <v>0.8</v>
      </c>
      <c r="U22" s="220">
        <v>0.8</v>
      </c>
      <c r="V22" s="220">
        <v>0.8</v>
      </c>
      <c r="W22" s="220">
        <v>0.8</v>
      </c>
      <c r="X22" s="220">
        <v>0.8</v>
      </c>
      <c r="Y22" s="220">
        <v>0.8</v>
      </c>
      <c r="Z22" s="220">
        <v>0.8</v>
      </c>
      <c r="AA22" s="220">
        <v>0.8</v>
      </c>
      <c r="AB22" s="220">
        <v>0.8</v>
      </c>
      <c r="AC22" s="220">
        <v>0.8</v>
      </c>
      <c r="AD22" s="220">
        <v>0.8</v>
      </c>
      <c r="AE22" s="220">
        <v>0.8</v>
      </c>
      <c r="AF22" s="220">
        <v>0.8</v>
      </c>
      <c r="AG22" s="220">
        <v>0.8</v>
      </c>
      <c r="AH22" s="220">
        <v>0.8</v>
      </c>
      <c r="AI22" s="220">
        <v>0.8</v>
      </c>
      <c r="AJ22"/>
    </row>
    <row r="23" spans="1:36" s="125" customFormat="1" ht="16" x14ac:dyDescent="0.2">
      <c r="A23" s="120" t="s">
        <v>208</v>
      </c>
      <c r="B23" s="220">
        <v>0.8</v>
      </c>
      <c r="C23" s="220">
        <v>0.8</v>
      </c>
      <c r="D23" s="220">
        <v>0.8</v>
      </c>
      <c r="E23" s="220">
        <v>0.8</v>
      </c>
      <c r="F23" s="220">
        <v>0.8</v>
      </c>
      <c r="G23" s="220">
        <v>0.8</v>
      </c>
      <c r="H23" s="220">
        <v>0.8</v>
      </c>
      <c r="I23" s="220">
        <v>0.8</v>
      </c>
      <c r="J23" s="220">
        <v>0.8</v>
      </c>
      <c r="K23" s="220">
        <v>0.8</v>
      </c>
      <c r="L23" s="220">
        <v>0.8</v>
      </c>
      <c r="M23" s="220">
        <v>0.8</v>
      </c>
      <c r="N23" s="220">
        <v>0.8</v>
      </c>
      <c r="O23" s="220">
        <v>0.8</v>
      </c>
      <c r="P23" s="220">
        <v>0.8</v>
      </c>
      <c r="Q23" s="220">
        <v>0.8</v>
      </c>
      <c r="R23" s="220">
        <v>0.8</v>
      </c>
      <c r="S23" s="220">
        <v>0.8</v>
      </c>
      <c r="T23" s="220">
        <v>0.8</v>
      </c>
      <c r="U23" s="220">
        <v>0.8</v>
      </c>
      <c r="V23" s="220">
        <v>0.8</v>
      </c>
      <c r="W23" s="220">
        <v>0.8</v>
      </c>
      <c r="X23" s="220">
        <v>0.8</v>
      </c>
      <c r="Y23" s="220">
        <v>0.8</v>
      </c>
      <c r="Z23" s="220">
        <v>0.8</v>
      </c>
      <c r="AA23" s="220">
        <v>0.8</v>
      </c>
      <c r="AB23" s="220">
        <v>0.8</v>
      </c>
      <c r="AC23" s="220">
        <v>0.8</v>
      </c>
      <c r="AD23" s="220">
        <v>0.8</v>
      </c>
      <c r="AE23" s="220">
        <v>0.8</v>
      </c>
      <c r="AF23" s="220">
        <v>0.8</v>
      </c>
      <c r="AG23" s="220">
        <v>0.8</v>
      </c>
      <c r="AH23" s="220">
        <v>0.8</v>
      </c>
      <c r="AI23" s="220">
        <v>0.8</v>
      </c>
      <c r="AJ23"/>
    </row>
    <row r="24" spans="1:36" s="125" customFormat="1" ht="16" x14ac:dyDescent="0.2">
      <c r="A24" s="120" t="s">
        <v>209</v>
      </c>
      <c r="B24" s="220">
        <v>0.8</v>
      </c>
      <c r="C24" s="220">
        <v>0.8</v>
      </c>
      <c r="D24" s="220">
        <v>0.8</v>
      </c>
      <c r="E24" s="220">
        <v>0.8</v>
      </c>
      <c r="F24" s="220">
        <v>0.8</v>
      </c>
      <c r="G24" s="220">
        <v>0.8</v>
      </c>
      <c r="H24" s="220">
        <v>0.8</v>
      </c>
      <c r="I24" s="220">
        <v>0.8</v>
      </c>
      <c r="J24" s="220">
        <v>0.8</v>
      </c>
      <c r="K24" s="220">
        <v>0.8</v>
      </c>
      <c r="L24" s="220">
        <v>0.8</v>
      </c>
      <c r="M24" s="220">
        <v>0.8</v>
      </c>
      <c r="N24" s="220">
        <v>0.8</v>
      </c>
      <c r="O24" s="220">
        <v>0.8</v>
      </c>
      <c r="P24" s="220">
        <v>0.8</v>
      </c>
      <c r="Q24" s="220">
        <v>0.8</v>
      </c>
      <c r="R24" s="220">
        <v>0.8</v>
      </c>
      <c r="S24" s="220">
        <v>0.8</v>
      </c>
      <c r="T24" s="220">
        <v>0.8</v>
      </c>
      <c r="U24" s="220">
        <v>0.8</v>
      </c>
      <c r="V24" s="220">
        <v>0.8</v>
      </c>
      <c r="W24" s="220">
        <v>0.8</v>
      </c>
      <c r="X24" s="220">
        <v>0.8</v>
      </c>
      <c r="Y24" s="220">
        <v>0.8</v>
      </c>
      <c r="Z24" s="220">
        <v>0.8</v>
      </c>
      <c r="AA24" s="220">
        <v>0.8</v>
      </c>
      <c r="AB24" s="220">
        <v>0.8</v>
      </c>
      <c r="AC24" s="220">
        <v>0.8</v>
      </c>
      <c r="AD24" s="220">
        <v>0.8</v>
      </c>
      <c r="AE24" s="220">
        <v>0.8</v>
      </c>
      <c r="AF24" s="220">
        <v>0.8</v>
      </c>
      <c r="AG24" s="220">
        <v>0.8</v>
      </c>
      <c r="AH24" s="220">
        <v>0.8</v>
      </c>
      <c r="AI24" s="220">
        <v>0.8</v>
      </c>
      <c r="AJ24"/>
    </row>
    <row r="25" spans="1:36" s="125" customFormat="1" ht="16" x14ac:dyDescent="0.2">
      <c r="A25" s="120" t="s">
        <v>210</v>
      </c>
      <c r="B25" s="220">
        <v>0.8</v>
      </c>
      <c r="C25" s="220">
        <v>0.8</v>
      </c>
      <c r="D25" s="220">
        <v>0.8</v>
      </c>
      <c r="E25" s="220">
        <v>0.8</v>
      </c>
      <c r="F25" s="220">
        <v>0.8</v>
      </c>
      <c r="G25" s="220">
        <v>0.8</v>
      </c>
      <c r="H25" s="220">
        <v>0.8</v>
      </c>
      <c r="I25" s="220">
        <v>0.8</v>
      </c>
      <c r="J25" s="220">
        <v>0.8</v>
      </c>
      <c r="K25" s="220">
        <v>0.8</v>
      </c>
      <c r="L25" s="220">
        <v>0.8</v>
      </c>
      <c r="M25" s="220">
        <v>0.8</v>
      </c>
      <c r="N25" s="220">
        <v>0.8</v>
      </c>
      <c r="O25" s="220">
        <v>0.8</v>
      </c>
      <c r="P25" s="220">
        <v>0.8</v>
      </c>
      <c r="Q25" s="220">
        <v>0.8</v>
      </c>
      <c r="R25" s="220">
        <v>0.8</v>
      </c>
      <c r="S25" s="220">
        <v>0.8</v>
      </c>
      <c r="T25" s="220">
        <v>0.8</v>
      </c>
      <c r="U25" s="220">
        <v>0.8</v>
      </c>
      <c r="V25" s="220">
        <v>0.8</v>
      </c>
      <c r="W25" s="220">
        <v>0.8</v>
      </c>
      <c r="X25" s="220">
        <v>0.8</v>
      </c>
      <c r="Y25" s="220">
        <v>0.8</v>
      </c>
      <c r="Z25" s="220">
        <v>0.8</v>
      </c>
      <c r="AA25" s="220">
        <v>0.8</v>
      </c>
      <c r="AB25" s="220">
        <v>0.8</v>
      </c>
      <c r="AC25" s="220">
        <v>0.8</v>
      </c>
      <c r="AD25" s="220">
        <v>0.8</v>
      </c>
      <c r="AE25" s="220">
        <v>0.8</v>
      </c>
      <c r="AF25" s="220">
        <v>0.8</v>
      </c>
      <c r="AG25" s="220">
        <v>0.8</v>
      </c>
      <c r="AH25" s="220">
        <v>0.8</v>
      </c>
      <c r="AI25" s="220">
        <v>0.8</v>
      </c>
      <c r="AJ25"/>
    </row>
    <row r="26" spans="1:36" s="125" customFormat="1" ht="16" x14ac:dyDescent="0.2">
      <c r="A26" s="120" t="s">
        <v>211</v>
      </c>
      <c r="B26" s="220">
        <v>0.8</v>
      </c>
      <c r="C26" s="220">
        <v>0.8</v>
      </c>
      <c r="D26" s="220">
        <v>0.8</v>
      </c>
      <c r="E26" s="220">
        <v>0.8</v>
      </c>
      <c r="F26" s="220">
        <v>0.8</v>
      </c>
      <c r="G26" s="220">
        <v>0.8</v>
      </c>
      <c r="H26" s="220">
        <v>0.8</v>
      </c>
      <c r="I26" s="220">
        <v>0.8</v>
      </c>
      <c r="J26" s="220">
        <v>0.8</v>
      </c>
      <c r="K26" s="220">
        <v>0.8</v>
      </c>
      <c r="L26" s="220">
        <v>0.8</v>
      </c>
      <c r="M26" s="220">
        <v>0.8</v>
      </c>
      <c r="N26" s="220">
        <v>0.8</v>
      </c>
      <c r="O26" s="220">
        <v>0.8</v>
      </c>
      <c r="P26" s="220">
        <v>0.8</v>
      </c>
      <c r="Q26" s="220">
        <v>0.8</v>
      </c>
      <c r="R26" s="220">
        <v>0.8</v>
      </c>
      <c r="S26" s="220">
        <v>0.8</v>
      </c>
      <c r="T26" s="220">
        <v>0.8</v>
      </c>
      <c r="U26" s="220">
        <v>0.8</v>
      </c>
      <c r="V26" s="220">
        <v>0.8</v>
      </c>
      <c r="W26" s="220">
        <v>0.8</v>
      </c>
      <c r="X26" s="220">
        <v>0.8</v>
      </c>
      <c r="Y26" s="220">
        <v>0.8</v>
      </c>
      <c r="Z26" s="220">
        <v>0.8</v>
      </c>
      <c r="AA26" s="220">
        <v>0.8</v>
      </c>
      <c r="AB26" s="220">
        <v>0.8</v>
      </c>
      <c r="AC26" s="220">
        <v>0.8</v>
      </c>
      <c r="AD26" s="220">
        <v>0.8</v>
      </c>
      <c r="AE26" s="220">
        <v>0.8</v>
      </c>
      <c r="AF26" s="220">
        <v>0.8</v>
      </c>
      <c r="AG26" s="220">
        <v>0.8</v>
      </c>
      <c r="AH26" s="220">
        <v>0.8</v>
      </c>
      <c r="AI26" s="220">
        <v>0.8</v>
      </c>
      <c r="AJ26"/>
    </row>
    <row r="27" spans="1:36" s="125" customFormat="1" ht="16" x14ac:dyDescent="0.2">
      <c r="A27" s="120" t="s">
        <v>212</v>
      </c>
      <c r="B27" s="220">
        <v>0.8</v>
      </c>
      <c r="C27" s="220">
        <v>0.8</v>
      </c>
      <c r="D27" s="220">
        <v>0.8</v>
      </c>
      <c r="E27" s="220">
        <v>0.8</v>
      </c>
      <c r="F27" s="220">
        <v>0.8</v>
      </c>
      <c r="G27" s="220">
        <v>0.8</v>
      </c>
      <c r="H27" s="220">
        <v>0.8</v>
      </c>
      <c r="I27" s="220">
        <v>0.8</v>
      </c>
      <c r="J27" s="220">
        <v>0.8</v>
      </c>
      <c r="K27" s="220">
        <v>0.8</v>
      </c>
      <c r="L27" s="220">
        <v>0.8</v>
      </c>
      <c r="M27" s="220">
        <v>0.8</v>
      </c>
      <c r="N27" s="220">
        <v>0.8</v>
      </c>
      <c r="O27" s="220">
        <v>0.8</v>
      </c>
      <c r="P27" s="220">
        <v>0.8</v>
      </c>
      <c r="Q27" s="220">
        <v>0.8</v>
      </c>
      <c r="R27" s="220">
        <v>0.8</v>
      </c>
      <c r="S27" s="220">
        <v>0.8</v>
      </c>
      <c r="T27" s="220">
        <v>0.8</v>
      </c>
      <c r="U27" s="220">
        <v>0.8</v>
      </c>
      <c r="V27" s="220">
        <v>0.8</v>
      </c>
      <c r="W27" s="220">
        <v>0.8</v>
      </c>
      <c r="X27" s="220">
        <v>0.8</v>
      </c>
      <c r="Y27" s="220">
        <v>0.8</v>
      </c>
      <c r="Z27" s="220">
        <v>0.8</v>
      </c>
      <c r="AA27" s="220">
        <v>0.8</v>
      </c>
      <c r="AB27" s="220">
        <v>0.8</v>
      </c>
      <c r="AC27" s="220">
        <v>0.8</v>
      </c>
      <c r="AD27" s="220">
        <v>0.8</v>
      </c>
      <c r="AE27" s="220">
        <v>0.8</v>
      </c>
      <c r="AF27" s="220">
        <v>0.8</v>
      </c>
      <c r="AG27" s="220">
        <v>0.8</v>
      </c>
      <c r="AH27" s="220">
        <v>0.8</v>
      </c>
      <c r="AI27" s="220">
        <v>0.8</v>
      </c>
      <c r="AJ27"/>
    </row>
    <row r="28" spans="1:36" s="125" customFormat="1" ht="16" x14ac:dyDescent="0.2">
      <c r="A28" s="120" t="s">
        <v>213</v>
      </c>
      <c r="B28" s="220">
        <v>0.8</v>
      </c>
      <c r="C28" s="220">
        <v>0.8</v>
      </c>
      <c r="D28" s="220">
        <v>0.8</v>
      </c>
      <c r="E28" s="220">
        <v>0.8</v>
      </c>
      <c r="F28" s="220">
        <v>0.8</v>
      </c>
      <c r="G28" s="220">
        <v>0.8</v>
      </c>
      <c r="H28" s="220">
        <v>0.8</v>
      </c>
      <c r="I28" s="220">
        <v>0.8</v>
      </c>
      <c r="J28" s="220">
        <v>0.8</v>
      </c>
      <c r="K28" s="220">
        <v>0.8</v>
      </c>
      <c r="L28" s="220">
        <v>0.8</v>
      </c>
      <c r="M28" s="220">
        <v>0.8</v>
      </c>
      <c r="N28" s="220">
        <v>0.8</v>
      </c>
      <c r="O28" s="220">
        <v>0.8</v>
      </c>
      <c r="P28" s="220">
        <v>0.8</v>
      </c>
      <c r="Q28" s="220">
        <v>0.8</v>
      </c>
      <c r="R28" s="220">
        <v>0.8</v>
      </c>
      <c r="S28" s="220">
        <v>0.8</v>
      </c>
      <c r="T28" s="220">
        <v>0.8</v>
      </c>
      <c r="U28" s="220">
        <v>0.8</v>
      </c>
      <c r="V28" s="220">
        <v>0.8</v>
      </c>
      <c r="W28" s="220">
        <v>0.8</v>
      </c>
      <c r="X28" s="220">
        <v>0.8</v>
      </c>
      <c r="Y28" s="220">
        <v>0.8</v>
      </c>
      <c r="Z28" s="220">
        <v>0.8</v>
      </c>
      <c r="AA28" s="220">
        <v>0.8</v>
      </c>
      <c r="AB28" s="220">
        <v>0.8</v>
      </c>
      <c r="AC28" s="220">
        <v>0.8</v>
      </c>
      <c r="AD28" s="220">
        <v>0.8</v>
      </c>
      <c r="AE28" s="220">
        <v>0.8</v>
      </c>
      <c r="AF28" s="220">
        <v>0.8</v>
      </c>
      <c r="AG28" s="220">
        <v>0.8</v>
      </c>
      <c r="AH28" s="220">
        <v>0.8</v>
      </c>
      <c r="AI28" s="220">
        <v>0.8</v>
      </c>
      <c r="AJ28"/>
    </row>
    <row r="29" spans="1:36" s="125" customFormat="1" ht="16" x14ac:dyDescent="0.2">
      <c r="A29" s="120" t="s">
        <v>214</v>
      </c>
      <c r="B29" s="220">
        <v>0.8</v>
      </c>
      <c r="C29" s="220">
        <v>0.8</v>
      </c>
      <c r="D29" s="220">
        <v>0.8</v>
      </c>
      <c r="E29" s="220">
        <v>0.8</v>
      </c>
      <c r="F29" s="220">
        <v>0.8</v>
      </c>
      <c r="G29" s="220">
        <v>0.8</v>
      </c>
      <c r="H29" s="220">
        <v>0.8</v>
      </c>
      <c r="I29" s="220">
        <v>0.8</v>
      </c>
      <c r="J29" s="220">
        <v>0.8</v>
      </c>
      <c r="K29" s="220">
        <v>0.8</v>
      </c>
      <c r="L29" s="220">
        <v>0.8</v>
      </c>
      <c r="M29" s="220">
        <v>0.8</v>
      </c>
      <c r="N29" s="220">
        <v>0.8</v>
      </c>
      <c r="O29" s="220">
        <v>0.8</v>
      </c>
      <c r="P29" s="220">
        <v>0.8</v>
      </c>
      <c r="Q29" s="220">
        <v>0.8</v>
      </c>
      <c r="R29" s="220">
        <v>0.8</v>
      </c>
      <c r="S29" s="220">
        <v>0.8</v>
      </c>
      <c r="T29" s="220">
        <v>0.8</v>
      </c>
      <c r="U29" s="220">
        <v>0.8</v>
      </c>
      <c r="V29" s="220">
        <v>0.8</v>
      </c>
      <c r="W29" s="220">
        <v>0.8</v>
      </c>
      <c r="X29" s="220">
        <v>0.8</v>
      </c>
      <c r="Y29" s="220">
        <v>0.8</v>
      </c>
      <c r="Z29" s="220">
        <v>0.8</v>
      </c>
      <c r="AA29" s="220">
        <v>0.8</v>
      </c>
      <c r="AB29" s="220">
        <v>0.8</v>
      </c>
      <c r="AC29" s="220">
        <v>0.8</v>
      </c>
      <c r="AD29" s="220">
        <v>0.8</v>
      </c>
      <c r="AE29" s="220">
        <v>0.8</v>
      </c>
      <c r="AF29" s="220">
        <v>0.8</v>
      </c>
      <c r="AG29" s="220">
        <v>0.8</v>
      </c>
      <c r="AH29" s="220">
        <v>0.8</v>
      </c>
      <c r="AI29" s="220">
        <v>0.8</v>
      </c>
      <c r="AJ29"/>
    </row>
    <row r="30" spans="1:36" s="125" customFormat="1" ht="16" x14ac:dyDescent="0.2">
      <c r="A30" s="120" t="s">
        <v>215</v>
      </c>
      <c r="B30" s="220">
        <v>0.8</v>
      </c>
      <c r="C30" s="220">
        <v>0.8</v>
      </c>
      <c r="D30" s="220">
        <v>0.8</v>
      </c>
      <c r="E30" s="220">
        <v>0.8</v>
      </c>
      <c r="F30" s="220">
        <v>0.8</v>
      </c>
      <c r="G30" s="220">
        <v>0.8</v>
      </c>
      <c r="H30" s="220">
        <v>0.8</v>
      </c>
      <c r="I30" s="220">
        <v>0.8</v>
      </c>
      <c r="J30" s="220">
        <v>0.8</v>
      </c>
      <c r="K30" s="220">
        <v>0.8</v>
      </c>
      <c r="L30" s="220">
        <v>0.8</v>
      </c>
      <c r="M30" s="220">
        <v>0.8</v>
      </c>
      <c r="N30" s="220">
        <v>0.8</v>
      </c>
      <c r="O30" s="220">
        <v>0.8</v>
      </c>
      <c r="P30" s="220">
        <v>0.8</v>
      </c>
      <c r="Q30" s="220">
        <v>0.8</v>
      </c>
      <c r="R30" s="220">
        <v>0.8</v>
      </c>
      <c r="S30" s="220">
        <v>0.8</v>
      </c>
      <c r="T30" s="220">
        <v>0.8</v>
      </c>
      <c r="U30" s="220">
        <v>0.8</v>
      </c>
      <c r="V30" s="220">
        <v>0.8</v>
      </c>
      <c r="W30" s="220">
        <v>0.8</v>
      </c>
      <c r="X30" s="220">
        <v>0.8</v>
      </c>
      <c r="Y30" s="220">
        <v>0.8</v>
      </c>
      <c r="Z30" s="220">
        <v>0.8</v>
      </c>
      <c r="AA30" s="220">
        <v>0.8</v>
      </c>
      <c r="AB30" s="220">
        <v>0.8</v>
      </c>
      <c r="AC30" s="220">
        <v>0.8</v>
      </c>
      <c r="AD30" s="220">
        <v>0.8</v>
      </c>
      <c r="AE30" s="220">
        <v>0.8</v>
      </c>
      <c r="AF30" s="220">
        <v>0.8</v>
      </c>
      <c r="AG30" s="220">
        <v>0.8</v>
      </c>
      <c r="AH30" s="220">
        <v>0.8</v>
      </c>
      <c r="AI30" s="220">
        <v>0.8</v>
      </c>
      <c r="AJ30"/>
    </row>
    <row r="31" spans="1:36" s="125" customFormat="1" ht="16" x14ac:dyDescent="0.2">
      <c r="A31" s="120" t="s">
        <v>216</v>
      </c>
      <c r="B31" s="220">
        <v>0.8</v>
      </c>
      <c r="C31" s="220">
        <v>0.8</v>
      </c>
      <c r="D31" s="220">
        <v>0.8</v>
      </c>
      <c r="E31" s="220">
        <v>0.8</v>
      </c>
      <c r="F31" s="220">
        <v>0.8</v>
      </c>
      <c r="G31" s="220">
        <v>0.8</v>
      </c>
      <c r="H31" s="220">
        <v>0.8</v>
      </c>
      <c r="I31" s="220">
        <v>0.8</v>
      </c>
      <c r="J31" s="220">
        <v>0.8</v>
      </c>
      <c r="K31" s="220">
        <v>0.8</v>
      </c>
      <c r="L31" s="220">
        <v>0.8</v>
      </c>
      <c r="M31" s="220">
        <v>0.8</v>
      </c>
      <c r="N31" s="220">
        <v>0.8</v>
      </c>
      <c r="O31" s="220">
        <v>0.8</v>
      </c>
      <c r="P31" s="220">
        <v>0.8</v>
      </c>
      <c r="Q31" s="220">
        <v>0.8</v>
      </c>
      <c r="R31" s="220">
        <v>0.8</v>
      </c>
      <c r="S31" s="220">
        <v>0.8</v>
      </c>
      <c r="T31" s="220">
        <v>0.8</v>
      </c>
      <c r="U31" s="220">
        <v>0.8</v>
      </c>
      <c r="V31" s="220">
        <v>0.8</v>
      </c>
      <c r="W31" s="220">
        <v>0.8</v>
      </c>
      <c r="X31" s="220">
        <v>0.8</v>
      </c>
      <c r="Y31" s="220">
        <v>0.8</v>
      </c>
      <c r="Z31" s="220">
        <v>0.8</v>
      </c>
      <c r="AA31" s="220">
        <v>0.8</v>
      </c>
      <c r="AB31" s="220">
        <v>0.8</v>
      </c>
      <c r="AC31" s="220">
        <v>0.8</v>
      </c>
      <c r="AD31" s="220">
        <v>0.8</v>
      </c>
      <c r="AE31" s="220">
        <v>0.8</v>
      </c>
      <c r="AF31" s="220">
        <v>0.8</v>
      </c>
      <c r="AG31" s="220">
        <v>0.8</v>
      </c>
      <c r="AH31" s="220">
        <v>0.8</v>
      </c>
      <c r="AI31" s="220">
        <v>0.8</v>
      </c>
      <c r="AJ31"/>
    </row>
    <row r="32" spans="1:36" s="125" customFormat="1" ht="16" x14ac:dyDescent="0.2">
      <c r="A32" s="120" t="s">
        <v>217</v>
      </c>
      <c r="B32" s="220">
        <v>0.8</v>
      </c>
      <c r="C32" s="220">
        <v>0.8</v>
      </c>
      <c r="D32" s="220">
        <v>0.8</v>
      </c>
      <c r="E32" s="220">
        <v>0.8</v>
      </c>
      <c r="F32" s="220">
        <v>0.8</v>
      </c>
      <c r="G32" s="220">
        <v>0.8</v>
      </c>
      <c r="H32" s="220">
        <v>0.8</v>
      </c>
      <c r="I32" s="220">
        <v>0.8</v>
      </c>
      <c r="J32" s="220">
        <v>0.8</v>
      </c>
      <c r="K32" s="220">
        <v>0.8</v>
      </c>
      <c r="L32" s="220">
        <v>0.8</v>
      </c>
      <c r="M32" s="220">
        <v>0.8</v>
      </c>
      <c r="N32" s="220">
        <v>0.8</v>
      </c>
      <c r="O32" s="220">
        <v>0.8</v>
      </c>
      <c r="P32" s="220">
        <v>0.8</v>
      </c>
      <c r="Q32" s="220">
        <v>0.8</v>
      </c>
      <c r="R32" s="220">
        <v>0.8</v>
      </c>
      <c r="S32" s="220">
        <v>0.8</v>
      </c>
      <c r="T32" s="220">
        <v>0.8</v>
      </c>
      <c r="U32" s="220">
        <v>0.8</v>
      </c>
      <c r="V32" s="220">
        <v>0.8</v>
      </c>
      <c r="W32" s="220">
        <v>0.8</v>
      </c>
      <c r="X32" s="220">
        <v>0.8</v>
      </c>
      <c r="Y32" s="220">
        <v>0.8</v>
      </c>
      <c r="Z32" s="220">
        <v>0.8</v>
      </c>
      <c r="AA32" s="220">
        <v>0.8</v>
      </c>
      <c r="AB32" s="220">
        <v>0.8</v>
      </c>
      <c r="AC32" s="220">
        <v>0.8</v>
      </c>
      <c r="AD32" s="220">
        <v>0.8</v>
      </c>
      <c r="AE32" s="220">
        <v>0.8</v>
      </c>
      <c r="AF32" s="220">
        <v>0.8</v>
      </c>
      <c r="AG32" s="220">
        <v>0.8</v>
      </c>
      <c r="AH32" s="220">
        <v>0.8</v>
      </c>
      <c r="AI32" s="220">
        <v>0.8</v>
      </c>
      <c r="AJ32"/>
    </row>
    <row r="33" spans="1:36" s="125" customFormat="1" ht="16" x14ac:dyDescent="0.2">
      <c r="A33" s="120" t="s">
        <v>218</v>
      </c>
      <c r="B33" s="220">
        <v>0.8</v>
      </c>
      <c r="C33" s="220">
        <v>0.8</v>
      </c>
      <c r="D33" s="220">
        <v>0.8</v>
      </c>
      <c r="E33" s="220">
        <v>0.8</v>
      </c>
      <c r="F33" s="220">
        <v>0.8</v>
      </c>
      <c r="G33" s="220">
        <v>0.8</v>
      </c>
      <c r="H33" s="220">
        <v>0.8</v>
      </c>
      <c r="I33" s="220">
        <v>0.8</v>
      </c>
      <c r="J33" s="220">
        <v>0.8</v>
      </c>
      <c r="K33" s="220">
        <v>0.8</v>
      </c>
      <c r="L33" s="220">
        <v>0.8</v>
      </c>
      <c r="M33" s="220">
        <v>0.8</v>
      </c>
      <c r="N33" s="220">
        <v>0.8</v>
      </c>
      <c r="O33" s="220">
        <v>0.8</v>
      </c>
      <c r="P33" s="220">
        <v>0.8</v>
      </c>
      <c r="Q33" s="220">
        <v>0.8</v>
      </c>
      <c r="R33" s="220">
        <v>0.8</v>
      </c>
      <c r="S33" s="220">
        <v>0.8</v>
      </c>
      <c r="T33" s="220">
        <v>0.8</v>
      </c>
      <c r="U33" s="220">
        <v>0.8</v>
      </c>
      <c r="V33" s="220">
        <v>0.8</v>
      </c>
      <c r="W33" s="220">
        <v>0.8</v>
      </c>
      <c r="X33" s="220">
        <v>0.8</v>
      </c>
      <c r="Y33" s="220">
        <v>0.8</v>
      </c>
      <c r="Z33" s="220">
        <v>0.8</v>
      </c>
      <c r="AA33" s="220">
        <v>0.8</v>
      </c>
      <c r="AB33" s="220">
        <v>0.8</v>
      </c>
      <c r="AC33" s="220">
        <v>0.8</v>
      </c>
      <c r="AD33" s="220">
        <v>0.8</v>
      </c>
      <c r="AE33" s="220">
        <v>0.8</v>
      </c>
      <c r="AF33" s="220">
        <v>0.8</v>
      </c>
      <c r="AG33" s="220">
        <v>0.8</v>
      </c>
      <c r="AH33" s="220">
        <v>0.8</v>
      </c>
      <c r="AI33" s="220">
        <v>0.8</v>
      </c>
      <c r="AJ33"/>
    </row>
    <row r="34" spans="1:36" s="125" customFormat="1" ht="16" x14ac:dyDescent="0.2">
      <c r="A34" s="120" t="s">
        <v>185</v>
      </c>
      <c r="B34" s="220">
        <v>0.8</v>
      </c>
      <c r="C34" s="220">
        <v>0.8</v>
      </c>
      <c r="D34" s="220">
        <v>0.8</v>
      </c>
      <c r="E34" s="220">
        <v>0.8</v>
      </c>
      <c r="F34" s="220">
        <v>0.8</v>
      </c>
      <c r="G34" s="220">
        <v>0.8</v>
      </c>
      <c r="H34" s="220">
        <v>0.8</v>
      </c>
      <c r="I34" s="220">
        <v>0.8</v>
      </c>
      <c r="J34" s="220">
        <v>0.8</v>
      </c>
      <c r="K34" s="220">
        <v>0.8</v>
      </c>
      <c r="L34" s="220">
        <v>0.8</v>
      </c>
      <c r="M34" s="220">
        <v>0.8</v>
      </c>
      <c r="N34" s="220">
        <v>0.8</v>
      </c>
      <c r="O34" s="220">
        <v>0.8</v>
      </c>
      <c r="P34" s="220">
        <v>0.8</v>
      </c>
      <c r="Q34" s="220">
        <v>0.8</v>
      </c>
      <c r="R34" s="220">
        <v>0.8</v>
      </c>
      <c r="S34" s="220">
        <v>0.8</v>
      </c>
      <c r="T34" s="220">
        <v>0.8</v>
      </c>
      <c r="U34" s="220">
        <v>0.8</v>
      </c>
      <c r="V34" s="220">
        <v>0.8</v>
      </c>
      <c r="W34" s="220">
        <v>0.8</v>
      </c>
      <c r="X34" s="220">
        <v>0.8</v>
      </c>
      <c r="Y34" s="220">
        <v>0.8</v>
      </c>
      <c r="Z34" s="220">
        <v>0.8</v>
      </c>
      <c r="AA34" s="220">
        <v>0.8</v>
      </c>
      <c r="AB34" s="220">
        <v>0.8</v>
      </c>
      <c r="AC34" s="220">
        <v>0.8</v>
      </c>
      <c r="AD34" s="220">
        <v>0.8</v>
      </c>
      <c r="AE34" s="220">
        <v>0.8</v>
      </c>
      <c r="AF34" s="220">
        <v>0.8</v>
      </c>
      <c r="AG34" s="220">
        <v>0.8</v>
      </c>
      <c r="AH34" s="220">
        <v>0.8</v>
      </c>
      <c r="AI34" s="220">
        <v>0.8</v>
      </c>
      <c r="AJ34"/>
    </row>
    <row r="35" spans="1:36" s="125" customFormat="1" ht="16" x14ac:dyDescent="0.2">
      <c r="A35" s="121" t="s">
        <v>123</v>
      </c>
      <c r="B35" s="220">
        <v>0.8</v>
      </c>
      <c r="C35" s="220">
        <v>0.8</v>
      </c>
      <c r="D35" s="220">
        <v>0.8</v>
      </c>
      <c r="E35" s="220">
        <v>0.8</v>
      </c>
      <c r="F35" s="220">
        <v>0.8</v>
      </c>
      <c r="G35" s="220">
        <v>0.8</v>
      </c>
      <c r="H35" s="220">
        <v>0.8</v>
      </c>
      <c r="I35" s="220">
        <v>0.8</v>
      </c>
      <c r="J35" s="220">
        <v>0.8</v>
      </c>
      <c r="K35" s="220">
        <v>0.8</v>
      </c>
      <c r="L35" s="220">
        <v>0.8</v>
      </c>
      <c r="M35" s="220">
        <v>0.8</v>
      </c>
      <c r="N35" s="220">
        <v>0.8</v>
      </c>
      <c r="O35" s="220">
        <v>0.8</v>
      </c>
      <c r="P35" s="220">
        <v>0.8</v>
      </c>
      <c r="Q35" s="220">
        <v>0.8</v>
      </c>
      <c r="R35" s="220">
        <v>0.8</v>
      </c>
      <c r="S35" s="220">
        <v>0.8</v>
      </c>
      <c r="T35" s="220">
        <v>0.8</v>
      </c>
      <c r="U35" s="220">
        <v>0.8</v>
      </c>
      <c r="V35" s="220">
        <v>0.8</v>
      </c>
      <c r="W35" s="220">
        <v>0.8</v>
      </c>
      <c r="X35" s="220">
        <v>0.8</v>
      </c>
      <c r="Y35" s="220">
        <v>0.8</v>
      </c>
      <c r="Z35" s="220">
        <v>0.8</v>
      </c>
      <c r="AA35" s="220">
        <v>0.8</v>
      </c>
      <c r="AB35" s="220">
        <v>0.8</v>
      </c>
      <c r="AC35" s="220">
        <v>0.8</v>
      </c>
      <c r="AD35" s="220">
        <v>0.8</v>
      </c>
      <c r="AE35" s="220">
        <v>0.8</v>
      </c>
      <c r="AF35" s="220">
        <v>0.8</v>
      </c>
      <c r="AG35" s="220">
        <v>0.8</v>
      </c>
      <c r="AH35" s="220">
        <v>0.8</v>
      </c>
      <c r="AI35" s="220">
        <v>0.8</v>
      </c>
      <c r="AJ35"/>
    </row>
    <row r="36" spans="1:36" s="125" customFormat="1" ht="16" x14ac:dyDescent="0.2">
      <c r="A36" s="121" t="s">
        <v>219</v>
      </c>
      <c r="B36" s="220">
        <v>0.8</v>
      </c>
      <c r="C36" s="220">
        <v>0.8</v>
      </c>
      <c r="D36" s="220">
        <v>0.8</v>
      </c>
      <c r="E36" s="220">
        <v>0.8</v>
      </c>
      <c r="F36" s="220">
        <v>0.8</v>
      </c>
      <c r="G36" s="220">
        <v>0.8</v>
      </c>
      <c r="H36" s="220">
        <v>0.8</v>
      </c>
      <c r="I36" s="220">
        <v>0.8</v>
      </c>
      <c r="J36" s="220">
        <v>0.8</v>
      </c>
      <c r="K36" s="220">
        <v>0.8</v>
      </c>
      <c r="L36" s="220">
        <v>0.8</v>
      </c>
      <c r="M36" s="220">
        <v>0.8</v>
      </c>
      <c r="N36" s="220">
        <v>0.8</v>
      </c>
      <c r="O36" s="220">
        <v>0.8</v>
      </c>
      <c r="P36" s="220">
        <v>0.8</v>
      </c>
      <c r="Q36" s="220">
        <v>0.8</v>
      </c>
      <c r="R36" s="220">
        <v>0.8</v>
      </c>
      <c r="S36" s="220">
        <v>0.8</v>
      </c>
      <c r="T36" s="220">
        <v>0.8</v>
      </c>
      <c r="U36" s="220">
        <v>0.8</v>
      </c>
      <c r="V36" s="220">
        <v>0.8</v>
      </c>
      <c r="W36" s="220">
        <v>0.8</v>
      </c>
      <c r="X36" s="220">
        <v>0.8</v>
      </c>
      <c r="Y36" s="220">
        <v>0.8</v>
      </c>
      <c r="Z36" s="220">
        <v>0.8</v>
      </c>
      <c r="AA36" s="220">
        <v>0.8</v>
      </c>
      <c r="AB36" s="220">
        <v>0.8</v>
      </c>
      <c r="AC36" s="220">
        <v>0.8</v>
      </c>
      <c r="AD36" s="220">
        <v>0.8</v>
      </c>
      <c r="AE36" s="220">
        <v>0.8</v>
      </c>
      <c r="AF36" s="220">
        <v>0.8</v>
      </c>
      <c r="AG36" s="220">
        <v>0.8</v>
      </c>
      <c r="AH36" s="220">
        <v>0.8</v>
      </c>
      <c r="AI36" s="220">
        <v>0.8</v>
      </c>
      <c r="AJ36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J36"/>
  <sheetViews>
    <sheetView topLeftCell="A18" workbookViewId="0">
      <selection activeCell="A39" sqref="A39"/>
    </sheetView>
  </sheetViews>
  <sheetFormatPr baseColWidth="10" defaultRowHeight="13" x14ac:dyDescent="0.15"/>
  <cols>
    <col min="1" max="1" width="26.5" style="82" bestFit="1" customWidth="1"/>
    <col min="2" max="11" width="10.83203125" style="82" customWidth="1"/>
    <col min="12" max="16384" width="10.83203125" style="82"/>
  </cols>
  <sheetData>
    <row r="1" spans="1:36" x14ac:dyDescent="0.15">
      <c r="A1" s="49" t="s">
        <v>139</v>
      </c>
      <c r="B1" s="114" t="s">
        <v>189</v>
      </c>
      <c r="C1" s="114" t="s">
        <v>221</v>
      </c>
      <c r="D1" s="114" t="s">
        <v>190</v>
      </c>
      <c r="E1" s="114" t="s">
        <v>191</v>
      </c>
      <c r="F1" s="114" t="s">
        <v>192</v>
      </c>
      <c r="G1" s="114" t="s">
        <v>193</v>
      </c>
      <c r="H1" s="114" t="s">
        <v>194</v>
      </c>
      <c r="I1" s="114" t="s">
        <v>195</v>
      </c>
      <c r="J1" s="114" t="s">
        <v>196</v>
      </c>
      <c r="K1" s="114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273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  <c r="V1" t="s">
        <v>207</v>
      </c>
      <c r="W1" t="s">
        <v>208</v>
      </c>
      <c r="X1" t="s">
        <v>209</v>
      </c>
      <c r="Y1" t="s">
        <v>210</v>
      </c>
      <c r="Z1" t="s">
        <v>211</v>
      </c>
      <c r="AA1" t="s">
        <v>212</v>
      </c>
      <c r="AB1" t="s">
        <v>213</v>
      </c>
      <c r="AC1" t="s">
        <v>214</v>
      </c>
      <c r="AD1" t="s">
        <v>215</v>
      </c>
      <c r="AE1" s="82" t="s">
        <v>216</v>
      </c>
      <c r="AF1" s="82" t="s">
        <v>217</v>
      </c>
      <c r="AG1" s="82" t="s">
        <v>218</v>
      </c>
      <c r="AH1" s="82" t="s">
        <v>185</v>
      </c>
      <c r="AI1" s="82" t="s">
        <v>123</v>
      </c>
    </row>
    <row r="2" spans="1:36" s="125" customFormat="1" ht="16" x14ac:dyDescent="0.2">
      <c r="A2" s="120" t="s">
        <v>189</v>
      </c>
      <c r="B2" s="220">
        <v>0</v>
      </c>
      <c r="C2" s="220">
        <v>0</v>
      </c>
      <c r="D2" s="220">
        <v>0</v>
      </c>
      <c r="E2" s="220">
        <v>0</v>
      </c>
      <c r="F2" s="220">
        <v>0</v>
      </c>
      <c r="G2" s="220">
        <v>0</v>
      </c>
      <c r="H2" s="220">
        <v>0</v>
      </c>
      <c r="I2" s="220">
        <v>0</v>
      </c>
      <c r="J2" s="220">
        <v>0</v>
      </c>
      <c r="K2" s="220">
        <v>0</v>
      </c>
      <c r="L2" s="220">
        <v>0</v>
      </c>
      <c r="M2" s="220">
        <v>0</v>
      </c>
      <c r="N2" s="220">
        <v>0</v>
      </c>
      <c r="O2" s="220">
        <v>0</v>
      </c>
      <c r="P2" s="220">
        <v>0</v>
      </c>
      <c r="Q2" s="220">
        <v>0</v>
      </c>
      <c r="R2" s="220">
        <v>0</v>
      </c>
      <c r="S2" s="220">
        <v>0</v>
      </c>
      <c r="T2" s="220">
        <v>0</v>
      </c>
      <c r="U2" s="220">
        <v>0</v>
      </c>
      <c r="V2" s="220">
        <v>0</v>
      </c>
      <c r="W2" s="220">
        <v>0</v>
      </c>
      <c r="X2" s="220">
        <v>0</v>
      </c>
      <c r="Y2" s="220">
        <v>0</v>
      </c>
      <c r="Z2" s="220">
        <v>0</v>
      </c>
      <c r="AA2" s="220">
        <v>0</v>
      </c>
      <c r="AB2" s="220">
        <v>0</v>
      </c>
      <c r="AC2" s="220">
        <v>0</v>
      </c>
      <c r="AD2" s="220">
        <v>0</v>
      </c>
      <c r="AE2" s="220">
        <v>0</v>
      </c>
      <c r="AF2" s="220">
        <v>0</v>
      </c>
      <c r="AG2" s="220">
        <v>0</v>
      </c>
      <c r="AH2" s="220">
        <v>0</v>
      </c>
      <c r="AI2" s="220">
        <v>0</v>
      </c>
      <c r="AJ2"/>
    </row>
    <row r="3" spans="1:36" s="125" customFormat="1" ht="16" x14ac:dyDescent="0.2">
      <c r="A3" s="120" t="s">
        <v>221</v>
      </c>
      <c r="B3" s="220">
        <v>0</v>
      </c>
      <c r="C3" s="220">
        <v>0</v>
      </c>
      <c r="D3" s="220">
        <v>0</v>
      </c>
      <c r="E3" s="220">
        <v>0</v>
      </c>
      <c r="F3" s="220">
        <v>0</v>
      </c>
      <c r="G3" s="220">
        <v>0</v>
      </c>
      <c r="H3" s="220">
        <v>0</v>
      </c>
      <c r="I3" s="220">
        <v>0</v>
      </c>
      <c r="J3" s="220">
        <v>0</v>
      </c>
      <c r="K3" s="220">
        <v>0</v>
      </c>
      <c r="L3" s="220">
        <v>0</v>
      </c>
      <c r="M3" s="220">
        <v>0</v>
      </c>
      <c r="N3" s="220">
        <v>0</v>
      </c>
      <c r="O3" s="220">
        <v>0</v>
      </c>
      <c r="P3" s="220">
        <v>0</v>
      </c>
      <c r="Q3" s="220">
        <v>0</v>
      </c>
      <c r="R3" s="220">
        <v>0</v>
      </c>
      <c r="S3" s="220">
        <v>0</v>
      </c>
      <c r="T3" s="220">
        <v>0</v>
      </c>
      <c r="U3" s="220">
        <v>0</v>
      </c>
      <c r="V3" s="220">
        <v>0</v>
      </c>
      <c r="W3" s="220">
        <v>0</v>
      </c>
      <c r="X3" s="220">
        <v>0</v>
      </c>
      <c r="Y3" s="220">
        <v>0</v>
      </c>
      <c r="Z3" s="220">
        <v>0</v>
      </c>
      <c r="AA3" s="220">
        <v>0</v>
      </c>
      <c r="AB3" s="220">
        <v>0</v>
      </c>
      <c r="AC3" s="220">
        <v>0</v>
      </c>
      <c r="AD3" s="220">
        <v>0</v>
      </c>
      <c r="AE3" s="220">
        <v>0</v>
      </c>
      <c r="AF3" s="220">
        <v>0</v>
      </c>
      <c r="AG3" s="220">
        <v>0</v>
      </c>
      <c r="AH3" s="220">
        <v>0</v>
      </c>
      <c r="AI3" s="220">
        <v>0</v>
      </c>
      <c r="AJ3"/>
    </row>
    <row r="4" spans="1:36" s="125" customFormat="1" ht="16" x14ac:dyDescent="0.2">
      <c r="A4" s="120" t="s">
        <v>190</v>
      </c>
      <c r="B4" s="220">
        <v>0</v>
      </c>
      <c r="C4" s="220">
        <v>0</v>
      </c>
      <c r="D4" s="220">
        <v>0</v>
      </c>
      <c r="E4" s="220">
        <v>0</v>
      </c>
      <c r="F4" s="220">
        <v>0</v>
      </c>
      <c r="G4" s="220">
        <v>0</v>
      </c>
      <c r="H4" s="220">
        <v>0</v>
      </c>
      <c r="I4" s="220">
        <v>0</v>
      </c>
      <c r="J4" s="220">
        <v>0</v>
      </c>
      <c r="K4" s="220">
        <v>0</v>
      </c>
      <c r="L4" s="220">
        <v>0</v>
      </c>
      <c r="M4" s="220">
        <v>0</v>
      </c>
      <c r="N4" s="220">
        <v>0</v>
      </c>
      <c r="O4" s="220">
        <v>0</v>
      </c>
      <c r="P4" s="220">
        <v>0</v>
      </c>
      <c r="Q4" s="220">
        <v>0</v>
      </c>
      <c r="R4" s="220">
        <v>0</v>
      </c>
      <c r="S4" s="220">
        <v>0</v>
      </c>
      <c r="T4" s="220">
        <v>0</v>
      </c>
      <c r="U4" s="220">
        <v>0</v>
      </c>
      <c r="V4" s="220">
        <v>0</v>
      </c>
      <c r="W4" s="220">
        <v>0</v>
      </c>
      <c r="X4" s="220">
        <v>0</v>
      </c>
      <c r="Y4" s="220">
        <v>0</v>
      </c>
      <c r="Z4" s="220">
        <v>0</v>
      </c>
      <c r="AA4" s="220">
        <v>0</v>
      </c>
      <c r="AB4" s="220">
        <v>0</v>
      </c>
      <c r="AC4" s="220">
        <v>0</v>
      </c>
      <c r="AD4" s="220">
        <v>0</v>
      </c>
      <c r="AE4" s="220">
        <v>0</v>
      </c>
      <c r="AF4" s="220">
        <v>0</v>
      </c>
      <c r="AG4" s="220">
        <v>0</v>
      </c>
      <c r="AH4" s="220">
        <v>0</v>
      </c>
      <c r="AI4" s="220">
        <v>0</v>
      </c>
      <c r="AJ4"/>
    </row>
    <row r="5" spans="1:36" s="125" customFormat="1" ht="16" x14ac:dyDescent="0.2">
      <c r="A5" s="120" t="s">
        <v>191</v>
      </c>
      <c r="B5" s="220">
        <v>0</v>
      </c>
      <c r="C5" s="220">
        <v>0</v>
      </c>
      <c r="D5" s="220">
        <v>0</v>
      </c>
      <c r="E5" s="220">
        <v>0</v>
      </c>
      <c r="F5" s="220">
        <v>0</v>
      </c>
      <c r="G5" s="220">
        <v>0</v>
      </c>
      <c r="H5" s="220">
        <v>0</v>
      </c>
      <c r="I5" s="220">
        <v>0</v>
      </c>
      <c r="J5" s="220">
        <v>0</v>
      </c>
      <c r="K5" s="220">
        <v>0</v>
      </c>
      <c r="L5" s="220">
        <v>0</v>
      </c>
      <c r="M5" s="220">
        <v>0</v>
      </c>
      <c r="N5" s="220">
        <v>0</v>
      </c>
      <c r="O5" s="220">
        <v>0</v>
      </c>
      <c r="P5" s="220">
        <v>0</v>
      </c>
      <c r="Q5" s="220">
        <v>0</v>
      </c>
      <c r="R5" s="220">
        <v>0</v>
      </c>
      <c r="S5" s="220">
        <v>0</v>
      </c>
      <c r="T5" s="220">
        <v>0</v>
      </c>
      <c r="U5" s="220">
        <v>0</v>
      </c>
      <c r="V5" s="220">
        <v>0</v>
      </c>
      <c r="W5" s="220">
        <v>0</v>
      </c>
      <c r="X5" s="220">
        <v>0</v>
      </c>
      <c r="Y5" s="220">
        <v>0</v>
      </c>
      <c r="Z5" s="220">
        <v>0</v>
      </c>
      <c r="AA5" s="220">
        <v>0</v>
      </c>
      <c r="AB5" s="220">
        <v>0</v>
      </c>
      <c r="AC5" s="220">
        <v>0</v>
      </c>
      <c r="AD5" s="220">
        <v>0</v>
      </c>
      <c r="AE5" s="220">
        <v>0</v>
      </c>
      <c r="AF5" s="220">
        <v>0</v>
      </c>
      <c r="AG5" s="220">
        <v>0</v>
      </c>
      <c r="AH5" s="220">
        <v>0</v>
      </c>
      <c r="AI5" s="220">
        <v>0</v>
      </c>
      <c r="AJ5"/>
    </row>
    <row r="6" spans="1:36" s="125" customFormat="1" ht="16" x14ac:dyDescent="0.2">
      <c r="A6" s="120" t="s">
        <v>192</v>
      </c>
      <c r="B6" s="220">
        <v>0</v>
      </c>
      <c r="C6" s="220">
        <v>0</v>
      </c>
      <c r="D6" s="220">
        <v>0</v>
      </c>
      <c r="E6" s="220">
        <v>0</v>
      </c>
      <c r="F6" s="220">
        <v>0</v>
      </c>
      <c r="G6" s="220">
        <v>0</v>
      </c>
      <c r="H6" s="220">
        <v>0</v>
      </c>
      <c r="I6" s="220">
        <v>0</v>
      </c>
      <c r="J6" s="220">
        <v>0</v>
      </c>
      <c r="K6" s="220">
        <v>0</v>
      </c>
      <c r="L6" s="220">
        <v>0</v>
      </c>
      <c r="M6" s="220">
        <v>0</v>
      </c>
      <c r="N6" s="220">
        <v>0</v>
      </c>
      <c r="O6" s="220">
        <v>0</v>
      </c>
      <c r="P6" s="220">
        <v>0</v>
      </c>
      <c r="Q6" s="220">
        <v>0</v>
      </c>
      <c r="R6" s="220">
        <v>0</v>
      </c>
      <c r="S6" s="220">
        <v>0</v>
      </c>
      <c r="T6" s="220">
        <v>0</v>
      </c>
      <c r="U6" s="220">
        <v>0</v>
      </c>
      <c r="V6" s="220">
        <v>0</v>
      </c>
      <c r="W6" s="220">
        <v>0</v>
      </c>
      <c r="X6" s="220">
        <v>0</v>
      </c>
      <c r="Y6" s="220">
        <v>0</v>
      </c>
      <c r="Z6" s="220">
        <v>0</v>
      </c>
      <c r="AA6" s="220">
        <v>0</v>
      </c>
      <c r="AB6" s="220">
        <v>0</v>
      </c>
      <c r="AC6" s="220">
        <v>0</v>
      </c>
      <c r="AD6" s="220">
        <v>0</v>
      </c>
      <c r="AE6" s="220">
        <v>0</v>
      </c>
      <c r="AF6" s="220">
        <v>0</v>
      </c>
      <c r="AG6" s="220">
        <v>0</v>
      </c>
      <c r="AH6" s="220">
        <v>0</v>
      </c>
      <c r="AI6" s="220">
        <v>0</v>
      </c>
      <c r="AJ6"/>
    </row>
    <row r="7" spans="1:36" s="125" customFormat="1" ht="16" x14ac:dyDescent="0.2">
      <c r="A7" s="120" t="s">
        <v>193</v>
      </c>
      <c r="B7" s="220">
        <v>0</v>
      </c>
      <c r="C7" s="220">
        <v>0</v>
      </c>
      <c r="D7" s="220">
        <v>0</v>
      </c>
      <c r="E7" s="220">
        <v>0</v>
      </c>
      <c r="F7" s="220">
        <v>0</v>
      </c>
      <c r="G7" s="220">
        <v>0</v>
      </c>
      <c r="H7" s="220">
        <v>0</v>
      </c>
      <c r="I7" s="220">
        <v>0</v>
      </c>
      <c r="J7" s="220">
        <v>0</v>
      </c>
      <c r="K7" s="220">
        <v>0</v>
      </c>
      <c r="L7" s="220">
        <v>0</v>
      </c>
      <c r="M7" s="220">
        <v>0</v>
      </c>
      <c r="N7" s="220">
        <v>0</v>
      </c>
      <c r="O7" s="220">
        <v>0</v>
      </c>
      <c r="P7" s="220">
        <v>0</v>
      </c>
      <c r="Q7" s="220">
        <v>0</v>
      </c>
      <c r="R7" s="220">
        <v>0</v>
      </c>
      <c r="S7" s="220">
        <v>0</v>
      </c>
      <c r="T7" s="220">
        <v>0</v>
      </c>
      <c r="U7" s="220">
        <v>0</v>
      </c>
      <c r="V7" s="220">
        <v>0</v>
      </c>
      <c r="W7" s="220">
        <v>0</v>
      </c>
      <c r="X7" s="220">
        <v>0</v>
      </c>
      <c r="Y7" s="220">
        <v>0</v>
      </c>
      <c r="Z7" s="220">
        <v>0</v>
      </c>
      <c r="AA7" s="220">
        <v>0</v>
      </c>
      <c r="AB7" s="220">
        <v>0</v>
      </c>
      <c r="AC7" s="220">
        <v>0</v>
      </c>
      <c r="AD7" s="220">
        <v>0</v>
      </c>
      <c r="AE7" s="220">
        <v>0</v>
      </c>
      <c r="AF7" s="220">
        <v>0</v>
      </c>
      <c r="AG7" s="220">
        <v>0</v>
      </c>
      <c r="AH7" s="220">
        <v>0</v>
      </c>
      <c r="AI7" s="220">
        <v>0</v>
      </c>
      <c r="AJ7"/>
    </row>
    <row r="8" spans="1:36" s="125" customFormat="1" ht="16" x14ac:dyDescent="0.2">
      <c r="A8" s="120" t="s">
        <v>194</v>
      </c>
      <c r="B8" s="220">
        <v>0</v>
      </c>
      <c r="C8" s="220">
        <v>0</v>
      </c>
      <c r="D8" s="220">
        <v>0</v>
      </c>
      <c r="E8" s="220">
        <v>0</v>
      </c>
      <c r="F8" s="220">
        <v>0</v>
      </c>
      <c r="G8" s="220">
        <v>0</v>
      </c>
      <c r="H8" s="220">
        <v>0</v>
      </c>
      <c r="I8" s="220">
        <v>0</v>
      </c>
      <c r="J8" s="220">
        <v>0</v>
      </c>
      <c r="K8" s="220">
        <v>0</v>
      </c>
      <c r="L8" s="220">
        <v>0</v>
      </c>
      <c r="M8" s="220">
        <v>0</v>
      </c>
      <c r="N8" s="220">
        <v>0</v>
      </c>
      <c r="O8" s="220">
        <v>0</v>
      </c>
      <c r="P8" s="220">
        <v>0</v>
      </c>
      <c r="Q8" s="220">
        <v>0</v>
      </c>
      <c r="R8" s="220">
        <v>0</v>
      </c>
      <c r="S8" s="220">
        <v>0</v>
      </c>
      <c r="T8" s="220">
        <v>0</v>
      </c>
      <c r="U8" s="220">
        <v>0</v>
      </c>
      <c r="V8" s="220">
        <v>0</v>
      </c>
      <c r="W8" s="220">
        <v>0</v>
      </c>
      <c r="X8" s="220">
        <v>0</v>
      </c>
      <c r="Y8" s="220">
        <v>0</v>
      </c>
      <c r="Z8" s="220">
        <v>0</v>
      </c>
      <c r="AA8" s="220">
        <v>0</v>
      </c>
      <c r="AB8" s="220">
        <v>0</v>
      </c>
      <c r="AC8" s="220">
        <v>0</v>
      </c>
      <c r="AD8" s="220">
        <v>0</v>
      </c>
      <c r="AE8" s="220">
        <v>0</v>
      </c>
      <c r="AF8" s="220">
        <v>0</v>
      </c>
      <c r="AG8" s="220">
        <v>0</v>
      </c>
      <c r="AH8" s="220">
        <v>0</v>
      </c>
      <c r="AI8" s="220">
        <v>0</v>
      </c>
      <c r="AJ8"/>
    </row>
    <row r="9" spans="1:36" s="125" customFormat="1" ht="16" x14ac:dyDescent="0.2">
      <c r="A9" s="120" t="s">
        <v>195</v>
      </c>
      <c r="B9" s="220">
        <v>0</v>
      </c>
      <c r="C9" s="220">
        <v>0</v>
      </c>
      <c r="D9" s="220">
        <v>0</v>
      </c>
      <c r="E9" s="220">
        <v>0</v>
      </c>
      <c r="F9" s="220">
        <v>0</v>
      </c>
      <c r="G9" s="220">
        <v>0</v>
      </c>
      <c r="H9" s="220">
        <v>0</v>
      </c>
      <c r="I9" s="220">
        <v>0</v>
      </c>
      <c r="J9" s="220">
        <v>0</v>
      </c>
      <c r="K9" s="220">
        <v>0</v>
      </c>
      <c r="L9" s="220">
        <v>0</v>
      </c>
      <c r="M9" s="220">
        <v>0</v>
      </c>
      <c r="N9" s="220">
        <v>0</v>
      </c>
      <c r="O9" s="220">
        <v>0</v>
      </c>
      <c r="P9" s="220">
        <v>0</v>
      </c>
      <c r="Q9" s="220">
        <v>0</v>
      </c>
      <c r="R9" s="220">
        <v>0</v>
      </c>
      <c r="S9" s="220">
        <v>0</v>
      </c>
      <c r="T9" s="220">
        <v>0</v>
      </c>
      <c r="U9" s="220">
        <v>0</v>
      </c>
      <c r="V9" s="220">
        <v>0</v>
      </c>
      <c r="W9" s="220">
        <v>0</v>
      </c>
      <c r="X9" s="220">
        <v>0</v>
      </c>
      <c r="Y9" s="220">
        <v>0</v>
      </c>
      <c r="Z9" s="220">
        <v>0</v>
      </c>
      <c r="AA9" s="220">
        <v>0</v>
      </c>
      <c r="AB9" s="220">
        <v>0</v>
      </c>
      <c r="AC9" s="220">
        <v>0</v>
      </c>
      <c r="AD9" s="220">
        <v>0</v>
      </c>
      <c r="AE9" s="220">
        <v>0</v>
      </c>
      <c r="AF9" s="220">
        <v>0</v>
      </c>
      <c r="AG9" s="220">
        <v>0</v>
      </c>
      <c r="AH9" s="220">
        <v>0</v>
      </c>
      <c r="AI9" s="220">
        <v>0</v>
      </c>
      <c r="AJ9"/>
    </row>
    <row r="10" spans="1:36" s="125" customFormat="1" ht="16" x14ac:dyDescent="0.2">
      <c r="A10" s="120" t="s">
        <v>196</v>
      </c>
      <c r="B10" s="220">
        <v>0</v>
      </c>
      <c r="C10" s="220">
        <v>0</v>
      </c>
      <c r="D10" s="220">
        <v>0</v>
      </c>
      <c r="E10" s="220">
        <v>0</v>
      </c>
      <c r="F10" s="220">
        <v>0</v>
      </c>
      <c r="G10" s="220">
        <v>0</v>
      </c>
      <c r="H10" s="220">
        <v>0</v>
      </c>
      <c r="I10" s="220">
        <v>0</v>
      </c>
      <c r="J10" s="220">
        <v>0</v>
      </c>
      <c r="K10" s="220">
        <v>0</v>
      </c>
      <c r="L10" s="220">
        <v>0</v>
      </c>
      <c r="M10" s="220">
        <v>0</v>
      </c>
      <c r="N10" s="220">
        <v>0</v>
      </c>
      <c r="O10" s="220">
        <v>0</v>
      </c>
      <c r="P10" s="220">
        <v>0</v>
      </c>
      <c r="Q10" s="220">
        <v>0</v>
      </c>
      <c r="R10" s="220">
        <v>0</v>
      </c>
      <c r="S10" s="220">
        <v>0</v>
      </c>
      <c r="T10" s="220">
        <v>0</v>
      </c>
      <c r="U10" s="220">
        <v>0</v>
      </c>
      <c r="V10" s="220">
        <v>0</v>
      </c>
      <c r="W10" s="220">
        <v>0</v>
      </c>
      <c r="X10" s="220">
        <v>0</v>
      </c>
      <c r="Y10" s="220">
        <v>0</v>
      </c>
      <c r="Z10" s="220">
        <v>0</v>
      </c>
      <c r="AA10" s="220">
        <v>0</v>
      </c>
      <c r="AB10" s="220">
        <v>0</v>
      </c>
      <c r="AC10" s="220">
        <v>0</v>
      </c>
      <c r="AD10" s="220">
        <v>0</v>
      </c>
      <c r="AE10" s="220">
        <v>0</v>
      </c>
      <c r="AF10" s="220">
        <v>0</v>
      </c>
      <c r="AG10" s="220">
        <v>0</v>
      </c>
      <c r="AH10" s="220">
        <v>0</v>
      </c>
      <c r="AI10" s="220">
        <v>0</v>
      </c>
      <c r="AJ10"/>
    </row>
    <row r="11" spans="1:36" s="125" customFormat="1" ht="16" x14ac:dyDescent="0.2">
      <c r="A11" s="120" t="s">
        <v>197</v>
      </c>
      <c r="B11" s="220">
        <v>0</v>
      </c>
      <c r="C11" s="220">
        <v>0</v>
      </c>
      <c r="D11" s="220">
        <v>0</v>
      </c>
      <c r="E11" s="220">
        <v>0</v>
      </c>
      <c r="F11" s="220">
        <v>0</v>
      </c>
      <c r="G11" s="220">
        <v>0</v>
      </c>
      <c r="H11" s="220">
        <v>0</v>
      </c>
      <c r="I11" s="220">
        <v>0</v>
      </c>
      <c r="J11" s="220">
        <v>0</v>
      </c>
      <c r="K11" s="220">
        <v>0</v>
      </c>
      <c r="L11" s="220">
        <v>0</v>
      </c>
      <c r="M11" s="220">
        <v>0</v>
      </c>
      <c r="N11" s="220">
        <v>0</v>
      </c>
      <c r="O11" s="220">
        <v>0</v>
      </c>
      <c r="P11" s="220">
        <v>0</v>
      </c>
      <c r="Q11" s="220">
        <v>0</v>
      </c>
      <c r="R11" s="220">
        <v>0</v>
      </c>
      <c r="S11" s="220">
        <v>0</v>
      </c>
      <c r="T11" s="220">
        <v>0</v>
      </c>
      <c r="U11" s="220">
        <v>0</v>
      </c>
      <c r="V11" s="220">
        <v>0</v>
      </c>
      <c r="W11" s="220">
        <v>0</v>
      </c>
      <c r="X11" s="220">
        <v>0</v>
      </c>
      <c r="Y11" s="220">
        <v>0</v>
      </c>
      <c r="Z11" s="220">
        <v>0</v>
      </c>
      <c r="AA11" s="220">
        <v>0</v>
      </c>
      <c r="AB11" s="220">
        <v>0</v>
      </c>
      <c r="AC11" s="220">
        <v>0</v>
      </c>
      <c r="AD11" s="220">
        <v>0</v>
      </c>
      <c r="AE11" s="220">
        <v>0</v>
      </c>
      <c r="AF11" s="220">
        <v>0</v>
      </c>
      <c r="AG11" s="220">
        <v>0</v>
      </c>
      <c r="AH11" s="220">
        <v>0</v>
      </c>
      <c r="AI11" s="220">
        <v>0</v>
      </c>
      <c r="AJ11"/>
    </row>
    <row r="12" spans="1:36" s="125" customFormat="1" ht="16" x14ac:dyDescent="0.2">
      <c r="A12" s="120" t="s">
        <v>198</v>
      </c>
      <c r="B12" s="220">
        <v>0</v>
      </c>
      <c r="C12" s="220">
        <v>0</v>
      </c>
      <c r="D12" s="220">
        <v>0</v>
      </c>
      <c r="E12" s="220">
        <v>0</v>
      </c>
      <c r="F12" s="220">
        <v>0</v>
      </c>
      <c r="G12" s="220">
        <v>0</v>
      </c>
      <c r="H12" s="220">
        <v>0</v>
      </c>
      <c r="I12" s="220">
        <v>0</v>
      </c>
      <c r="J12" s="220">
        <v>0</v>
      </c>
      <c r="K12" s="220">
        <v>0</v>
      </c>
      <c r="L12" s="220">
        <v>0</v>
      </c>
      <c r="M12" s="220">
        <v>0</v>
      </c>
      <c r="N12" s="220">
        <v>0</v>
      </c>
      <c r="O12" s="220">
        <v>0</v>
      </c>
      <c r="P12" s="220">
        <v>0</v>
      </c>
      <c r="Q12" s="220">
        <v>0</v>
      </c>
      <c r="R12" s="220">
        <v>0</v>
      </c>
      <c r="S12" s="220">
        <v>0</v>
      </c>
      <c r="T12" s="220">
        <v>0</v>
      </c>
      <c r="U12" s="220">
        <v>0</v>
      </c>
      <c r="V12" s="220">
        <v>0</v>
      </c>
      <c r="W12" s="220">
        <v>0</v>
      </c>
      <c r="X12" s="220">
        <v>0</v>
      </c>
      <c r="Y12" s="220">
        <v>0</v>
      </c>
      <c r="Z12" s="220">
        <v>0</v>
      </c>
      <c r="AA12" s="220">
        <v>0</v>
      </c>
      <c r="AB12" s="220">
        <v>0</v>
      </c>
      <c r="AC12" s="220">
        <v>0</v>
      </c>
      <c r="AD12" s="220">
        <v>0</v>
      </c>
      <c r="AE12" s="220">
        <v>0</v>
      </c>
      <c r="AF12" s="220">
        <v>0</v>
      </c>
      <c r="AG12" s="220">
        <v>0</v>
      </c>
      <c r="AH12" s="220">
        <v>0</v>
      </c>
      <c r="AI12" s="220">
        <v>0</v>
      </c>
      <c r="AJ12"/>
    </row>
    <row r="13" spans="1:36" s="125" customFormat="1" ht="16" x14ac:dyDescent="0.2">
      <c r="A13" s="120" t="s">
        <v>199</v>
      </c>
      <c r="B13" s="220">
        <v>0</v>
      </c>
      <c r="C13" s="220">
        <v>0</v>
      </c>
      <c r="D13" s="220">
        <v>0</v>
      </c>
      <c r="E13" s="220">
        <v>0</v>
      </c>
      <c r="F13" s="220">
        <v>0</v>
      </c>
      <c r="G13" s="220">
        <v>0</v>
      </c>
      <c r="H13" s="220">
        <v>0</v>
      </c>
      <c r="I13" s="220">
        <v>0</v>
      </c>
      <c r="J13" s="220">
        <v>0</v>
      </c>
      <c r="K13" s="220">
        <v>0</v>
      </c>
      <c r="L13" s="220">
        <v>0</v>
      </c>
      <c r="M13" s="220">
        <v>0</v>
      </c>
      <c r="N13" s="220">
        <v>0</v>
      </c>
      <c r="O13" s="220">
        <v>0</v>
      </c>
      <c r="P13" s="220">
        <v>0</v>
      </c>
      <c r="Q13" s="220">
        <v>0</v>
      </c>
      <c r="R13" s="220">
        <v>0</v>
      </c>
      <c r="S13" s="220">
        <v>0</v>
      </c>
      <c r="T13" s="220">
        <v>0</v>
      </c>
      <c r="U13" s="220">
        <v>0</v>
      </c>
      <c r="V13" s="220">
        <v>0</v>
      </c>
      <c r="W13" s="220">
        <v>0</v>
      </c>
      <c r="X13" s="220">
        <v>0</v>
      </c>
      <c r="Y13" s="220">
        <v>0</v>
      </c>
      <c r="Z13" s="220">
        <v>0</v>
      </c>
      <c r="AA13" s="220">
        <v>0</v>
      </c>
      <c r="AB13" s="220">
        <v>0</v>
      </c>
      <c r="AC13" s="220">
        <v>0</v>
      </c>
      <c r="AD13" s="220">
        <v>0</v>
      </c>
      <c r="AE13" s="220">
        <v>0</v>
      </c>
      <c r="AF13" s="220">
        <v>0</v>
      </c>
      <c r="AG13" s="220">
        <v>0</v>
      </c>
      <c r="AH13" s="220">
        <v>0</v>
      </c>
      <c r="AI13" s="220">
        <v>0</v>
      </c>
      <c r="AJ13"/>
    </row>
    <row r="14" spans="1:36" s="125" customFormat="1" ht="16" x14ac:dyDescent="0.2">
      <c r="A14" s="120" t="s">
        <v>200</v>
      </c>
      <c r="B14" s="220">
        <v>0</v>
      </c>
      <c r="C14" s="220">
        <v>0</v>
      </c>
      <c r="D14" s="220">
        <v>0</v>
      </c>
      <c r="E14" s="220">
        <v>0</v>
      </c>
      <c r="F14" s="220">
        <v>0</v>
      </c>
      <c r="G14" s="220">
        <v>0</v>
      </c>
      <c r="H14" s="220">
        <v>0</v>
      </c>
      <c r="I14" s="220">
        <v>0</v>
      </c>
      <c r="J14" s="220">
        <v>0</v>
      </c>
      <c r="K14" s="220">
        <v>0</v>
      </c>
      <c r="L14" s="220">
        <v>0</v>
      </c>
      <c r="M14" s="220">
        <v>0</v>
      </c>
      <c r="N14" s="220">
        <v>0</v>
      </c>
      <c r="O14" s="220">
        <v>0</v>
      </c>
      <c r="P14" s="220">
        <v>0</v>
      </c>
      <c r="Q14" s="220">
        <v>0</v>
      </c>
      <c r="R14" s="220">
        <v>0</v>
      </c>
      <c r="S14" s="220">
        <v>0</v>
      </c>
      <c r="T14" s="220">
        <v>0</v>
      </c>
      <c r="U14" s="220">
        <v>0</v>
      </c>
      <c r="V14" s="220">
        <v>0</v>
      </c>
      <c r="W14" s="220">
        <v>0</v>
      </c>
      <c r="X14" s="220">
        <v>0</v>
      </c>
      <c r="Y14" s="220">
        <v>0</v>
      </c>
      <c r="Z14" s="220">
        <v>0</v>
      </c>
      <c r="AA14" s="220">
        <v>0</v>
      </c>
      <c r="AB14" s="220">
        <v>0</v>
      </c>
      <c r="AC14" s="220">
        <v>0</v>
      </c>
      <c r="AD14" s="220">
        <v>0</v>
      </c>
      <c r="AE14" s="220">
        <v>0</v>
      </c>
      <c r="AF14" s="220">
        <v>0</v>
      </c>
      <c r="AG14" s="220">
        <v>0</v>
      </c>
      <c r="AH14" s="220">
        <v>0</v>
      </c>
      <c r="AI14" s="220">
        <v>0</v>
      </c>
      <c r="AJ14"/>
    </row>
    <row r="15" spans="1:36" s="125" customFormat="1" ht="16" x14ac:dyDescent="0.2">
      <c r="A15" s="120" t="s">
        <v>201</v>
      </c>
      <c r="B15" s="220">
        <v>0</v>
      </c>
      <c r="C15" s="220">
        <v>0</v>
      </c>
      <c r="D15" s="220">
        <v>0</v>
      </c>
      <c r="E15" s="220">
        <v>0</v>
      </c>
      <c r="F15" s="220">
        <v>0</v>
      </c>
      <c r="G15" s="220">
        <v>0</v>
      </c>
      <c r="H15" s="220">
        <v>0</v>
      </c>
      <c r="I15" s="220">
        <v>0</v>
      </c>
      <c r="J15" s="220">
        <v>0</v>
      </c>
      <c r="K15" s="220">
        <v>0</v>
      </c>
      <c r="L15" s="220">
        <v>0</v>
      </c>
      <c r="M15" s="220">
        <v>0</v>
      </c>
      <c r="N15" s="220">
        <v>0</v>
      </c>
      <c r="O15" s="220">
        <v>0</v>
      </c>
      <c r="P15" s="220">
        <v>0</v>
      </c>
      <c r="Q15" s="220">
        <v>0</v>
      </c>
      <c r="R15" s="220">
        <v>0</v>
      </c>
      <c r="S15" s="220">
        <v>0</v>
      </c>
      <c r="T15" s="220">
        <v>0</v>
      </c>
      <c r="U15" s="220">
        <v>0</v>
      </c>
      <c r="V15" s="220">
        <v>0</v>
      </c>
      <c r="W15" s="220">
        <v>0</v>
      </c>
      <c r="X15" s="220">
        <v>0</v>
      </c>
      <c r="Y15" s="220">
        <v>0</v>
      </c>
      <c r="Z15" s="220">
        <v>0</v>
      </c>
      <c r="AA15" s="220">
        <v>0</v>
      </c>
      <c r="AB15" s="220">
        <v>0</v>
      </c>
      <c r="AC15" s="220">
        <v>0</v>
      </c>
      <c r="AD15" s="220">
        <v>0</v>
      </c>
      <c r="AE15" s="220">
        <v>0</v>
      </c>
      <c r="AF15" s="220">
        <v>0</v>
      </c>
      <c r="AG15" s="220">
        <v>0</v>
      </c>
      <c r="AH15" s="220">
        <v>0</v>
      </c>
      <c r="AI15" s="220">
        <v>0</v>
      </c>
      <c r="AJ15"/>
    </row>
    <row r="16" spans="1:36" s="125" customFormat="1" ht="16" x14ac:dyDescent="0.2">
      <c r="A16" s="120" t="s">
        <v>273</v>
      </c>
      <c r="B16" s="220">
        <v>0</v>
      </c>
      <c r="C16" s="220">
        <v>0</v>
      </c>
      <c r="D16" s="220">
        <v>0</v>
      </c>
      <c r="E16" s="220">
        <v>0</v>
      </c>
      <c r="F16" s="220">
        <v>0</v>
      </c>
      <c r="G16" s="220">
        <v>0</v>
      </c>
      <c r="H16" s="220">
        <v>0</v>
      </c>
      <c r="I16" s="220">
        <v>0</v>
      </c>
      <c r="J16" s="220">
        <v>0</v>
      </c>
      <c r="K16" s="220">
        <v>0</v>
      </c>
      <c r="L16" s="220">
        <v>0</v>
      </c>
      <c r="M16" s="220">
        <v>0</v>
      </c>
      <c r="N16" s="220">
        <v>0</v>
      </c>
      <c r="O16" s="220">
        <v>0</v>
      </c>
      <c r="P16" s="220">
        <v>0</v>
      </c>
      <c r="Q16" s="220">
        <v>0</v>
      </c>
      <c r="R16" s="220">
        <v>0</v>
      </c>
      <c r="S16" s="220">
        <v>0</v>
      </c>
      <c r="T16" s="220">
        <v>0</v>
      </c>
      <c r="U16" s="220">
        <v>0</v>
      </c>
      <c r="V16" s="220">
        <v>0</v>
      </c>
      <c r="W16" s="220">
        <v>0</v>
      </c>
      <c r="X16" s="220">
        <v>0</v>
      </c>
      <c r="Y16" s="220">
        <v>0</v>
      </c>
      <c r="Z16" s="220">
        <v>0</v>
      </c>
      <c r="AA16" s="220">
        <v>0</v>
      </c>
      <c r="AB16" s="220">
        <v>0</v>
      </c>
      <c r="AC16" s="220">
        <v>0</v>
      </c>
      <c r="AD16" s="220">
        <v>0</v>
      </c>
      <c r="AE16" s="220">
        <v>0</v>
      </c>
      <c r="AF16" s="220">
        <v>0</v>
      </c>
      <c r="AG16" s="220">
        <v>0</v>
      </c>
      <c r="AH16" s="220">
        <v>0</v>
      </c>
      <c r="AI16" s="220">
        <v>0</v>
      </c>
      <c r="AJ16"/>
    </row>
    <row r="17" spans="1:36" s="125" customFormat="1" ht="16" x14ac:dyDescent="0.2">
      <c r="A17" s="120" t="s">
        <v>202</v>
      </c>
      <c r="B17" s="220">
        <v>0</v>
      </c>
      <c r="C17" s="220">
        <v>0</v>
      </c>
      <c r="D17" s="220">
        <v>0</v>
      </c>
      <c r="E17" s="220">
        <v>0</v>
      </c>
      <c r="F17" s="220">
        <v>0</v>
      </c>
      <c r="G17" s="220">
        <v>0</v>
      </c>
      <c r="H17" s="220">
        <v>0</v>
      </c>
      <c r="I17" s="220">
        <v>0</v>
      </c>
      <c r="J17" s="220">
        <v>0</v>
      </c>
      <c r="K17" s="220">
        <v>0</v>
      </c>
      <c r="L17" s="220">
        <v>0</v>
      </c>
      <c r="M17" s="220">
        <v>0</v>
      </c>
      <c r="N17" s="220">
        <v>0</v>
      </c>
      <c r="O17" s="220">
        <v>0</v>
      </c>
      <c r="P17" s="220">
        <v>0</v>
      </c>
      <c r="Q17" s="220">
        <v>0</v>
      </c>
      <c r="R17" s="220">
        <v>0</v>
      </c>
      <c r="S17" s="220">
        <v>0</v>
      </c>
      <c r="T17" s="220">
        <v>0</v>
      </c>
      <c r="U17" s="220">
        <v>0</v>
      </c>
      <c r="V17" s="220">
        <v>0</v>
      </c>
      <c r="W17" s="220">
        <v>0</v>
      </c>
      <c r="X17" s="220">
        <v>0</v>
      </c>
      <c r="Y17" s="220">
        <v>0</v>
      </c>
      <c r="Z17" s="220">
        <v>0</v>
      </c>
      <c r="AA17" s="220">
        <v>0</v>
      </c>
      <c r="AB17" s="220">
        <v>0</v>
      </c>
      <c r="AC17" s="220">
        <v>0</v>
      </c>
      <c r="AD17" s="220">
        <v>0</v>
      </c>
      <c r="AE17" s="220">
        <v>0</v>
      </c>
      <c r="AF17" s="220">
        <v>0</v>
      </c>
      <c r="AG17" s="220">
        <v>0</v>
      </c>
      <c r="AH17" s="220">
        <v>0</v>
      </c>
      <c r="AI17" s="220">
        <v>0</v>
      </c>
      <c r="AJ17"/>
    </row>
    <row r="18" spans="1:36" s="125" customFormat="1" ht="16" x14ac:dyDescent="0.2">
      <c r="A18" s="120" t="s">
        <v>203</v>
      </c>
      <c r="B18" s="220">
        <v>0</v>
      </c>
      <c r="C18" s="220">
        <v>0</v>
      </c>
      <c r="D18" s="220">
        <v>0</v>
      </c>
      <c r="E18" s="220">
        <v>0</v>
      </c>
      <c r="F18" s="220">
        <v>0</v>
      </c>
      <c r="G18" s="220">
        <v>0</v>
      </c>
      <c r="H18" s="220">
        <v>0</v>
      </c>
      <c r="I18" s="220">
        <v>0</v>
      </c>
      <c r="J18" s="220">
        <v>0</v>
      </c>
      <c r="K18" s="220">
        <v>0</v>
      </c>
      <c r="L18" s="220">
        <v>0</v>
      </c>
      <c r="M18" s="220">
        <v>0</v>
      </c>
      <c r="N18" s="220">
        <v>0</v>
      </c>
      <c r="O18" s="220">
        <v>0</v>
      </c>
      <c r="P18" s="220">
        <v>0</v>
      </c>
      <c r="Q18" s="220">
        <v>0</v>
      </c>
      <c r="R18" s="220">
        <v>0</v>
      </c>
      <c r="S18" s="220">
        <v>0</v>
      </c>
      <c r="T18" s="220">
        <v>0</v>
      </c>
      <c r="U18" s="220">
        <v>0</v>
      </c>
      <c r="V18" s="220">
        <v>0</v>
      </c>
      <c r="W18" s="220">
        <v>0</v>
      </c>
      <c r="X18" s="220">
        <v>0</v>
      </c>
      <c r="Y18" s="220">
        <v>0</v>
      </c>
      <c r="Z18" s="220">
        <v>0</v>
      </c>
      <c r="AA18" s="220">
        <v>0</v>
      </c>
      <c r="AB18" s="220">
        <v>0</v>
      </c>
      <c r="AC18" s="220">
        <v>0</v>
      </c>
      <c r="AD18" s="220">
        <v>0</v>
      </c>
      <c r="AE18" s="220">
        <v>0</v>
      </c>
      <c r="AF18" s="220">
        <v>0</v>
      </c>
      <c r="AG18" s="220">
        <v>0</v>
      </c>
      <c r="AH18" s="220">
        <v>0</v>
      </c>
      <c r="AI18" s="220">
        <v>0</v>
      </c>
      <c r="AJ18"/>
    </row>
    <row r="19" spans="1:36" s="125" customFormat="1" ht="16" x14ac:dyDescent="0.2">
      <c r="A19" s="120" t="s">
        <v>204</v>
      </c>
      <c r="B19" s="220">
        <v>0</v>
      </c>
      <c r="C19" s="220">
        <v>0</v>
      </c>
      <c r="D19" s="220">
        <v>0</v>
      </c>
      <c r="E19" s="220">
        <v>0</v>
      </c>
      <c r="F19" s="220">
        <v>0</v>
      </c>
      <c r="G19" s="220">
        <v>0</v>
      </c>
      <c r="H19" s="220">
        <v>0</v>
      </c>
      <c r="I19" s="220">
        <v>0</v>
      </c>
      <c r="J19" s="220">
        <v>0</v>
      </c>
      <c r="K19" s="220">
        <v>0</v>
      </c>
      <c r="L19" s="220">
        <v>0</v>
      </c>
      <c r="M19" s="220">
        <v>0</v>
      </c>
      <c r="N19" s="220">
        <v>0</v>
      </c>
      <c r="O19" s="220">
        <v>0</v>
      </c>
      <c r="P19" s="220">
        <v>0</v>
      </c>
      <c r="Q19" s="220">
        <v>0</v>
      </c>
      <c r="R19" s="220">
        <v>0</v>
      </c>
      <c r="S19" s="220">
        <v>0</v>
      </c>
      <c r="T19" s="220">
        <v>0</v>
      </c>
      <c r="U19" s="220">
        <v>0</v>
      </c>
      <c r="V19" s="220">
        <v>0</v>
      </c>
      <c r="W19" s="220">
        <v>0</v>
      </c>
      <c r="X19" s="220">
        <v>0</v>
      </c>
      <c r="Y19" s="220">
        <v>0</v>
      </c>
      <c r="Z19" s="220">
        <v>0</v>
      </c>
      <c r="AA19" s="220">
        <v>0</v>
      </c>
      <c r="AB19" s="220">
        <v>0</v>
      </c>
      <c r="AC19" s="220">
        <v>0</v>
      </c>
      <c r="AD19" s="220">
        <v>0</v>
      </c>
      <c r="AE19" s="220">
        <v>0</v>
      </c>
      <c r="AF19" s="220">
        <v>0</v>
      </c>
      <c r="AG19" s="220">
        <v>0</v>
      </c>
      <c r="AH19" s="220">
        <v>0</v>
      </c>
      <c r="AI19" s="220">
        <v>0</v>
      </c>
      <c r="AJ19"/>
    </row>
    <row r="20" spans="1:36" s="125" customFormat="1" ht="16" x14ac:dyDescent="0.2">
      <c r="A20" s="120" t="s">
        <v>205</v>
      </c>
      <c r="B20" s="220">
        <v>0</v>
      </c>
      <c r="C20" s="220">
        <v>0</v>
      </c>
      <c r="D20" s="220">
        <v>0</v>
      </c>
      <c r="E20" s="220">
        <v>0</v>
      </c>
      <c r="F20" s="220">
        <v>0</v>
      </c>
      <c r="G20" s="220">
        <v>0</v>
      </c>
      <c r="H20" s="220">
        <v>0</v>
      </c>
      <c r="I20" s="220">
        <v>0</v>
      </c>
      <c r="J20" s="220">
        <v>0</v>
      </c>
      <c r="K20" s="220">
        <v>0</v>
      </c>
      <c r="L20" s="220">
        <v>0</v>
      </c>
      <c r="M20" s="220">
        <v>0</v>
      </c>
      <c r="N20" s="220">
        <v>0</v>
      </c>
      <c r="O20" s="220">
        <v>0</v>
      </c>
      <c r="P20" s="220">
        <v>0</v>
      </c>
      <c r="Q20" s="220">
        <v>0</v>
      </c>
      <c r="R20" s="220">
        <v>0</v>
      </c>
      <c r="S20" s="220">
        <v>0</v>
      </c>
      <c r="T20" s="220">
        <v>0</v>
      </c>
      <c r="U20" s="220">
        <v>0</v>
      </c>
      <c r="V20" s="220">
        <v>0</v>
      </c>
      <c r="W20" s="220">
        <v>0</v>
      </c>
      <c r="X20" s="220">
        <v>0</v>
      </c>
      <c r="Y20" s="220">
        <v>0</v>
      </c>
      <c r="Z20" s="220">
        <v>0</v>
      </c>
      <c r="AA20" s="220">
        <v>0</v>
      </c>
      <c r="AB20" s="220">
        <v>0</v>
      </c>
      <c r="AC20" s="220">
        <v>0</v>
      </c>
      <c r="AD20" s="220">
        <v>0</v>
      </c>
      <c r="AE20" s="220">
        <v>0</v>
      </c>
      <c r="AF20" s="220">
        <v>0</v>
      </c>
      <c r="AG20" s="220">
        <v>0</v>
      </c>
      <c r="AH20" s="220">
        <v>0</v>
      </c>
      <c r="AI20" s="220">
        <v>0</v>
      </c>
      <c r="AJ20"/>
    </row>
    <row r="21" spans="1:36" s="125" customFormat="1" ht="16" x14ac:dyDescent="0.2">
      <c r="A21" s="120" t="s">
        <v>206</v>
      </c>
      <c r="B21" s="220">
        <v>0</v>
      </c>
      <c r="C21" s="220">
        <v>0</v>
      </c>
      <c r="D21" s="220">
        <v>0</v>
      </c>
      <c r="E21" s="220">
        <v>0</v>
      </c>
      <c r="F21" s="220">
        <v>0</v>
      </c>
      <c r="G21" s="220">
        <v>0</v>
      </c>
      <c r="H21" s="220">
        <v>0</v>
      </c>
      <c r="I21" s="220">
        <v>0</v>
      </c>
      <c r="J21" s="220">
        <v>0</v>
      </c>
      <c r="K21" s="220">
        <v>0</v>
      </c>
      <c r="L21" s="220">
        <v>0</v>
      </c>
      <c r="M21" s="220">
        <v>0</v>
      </c>
      <c r="N21" s="220">
        <v>0</v>
      </c>
      <c r="O21" s="220">
        <v>0</v>
      </c>
      <c r="P21" s="220">
        <v>0</v>
      </c>
      <c r="Q21" s="220">
        <v>0</v>
      </c>
      <c r="R21" s="220">
        <v>0</v>
      </c>
      <c r="S21" s="220">
        <v>0</v>
      </c>
      <c r="T21" s="220">
        <v>0</v>
      </c>
      <c r="U21" s="220">
        <v>0</v>
      </c>
      <c r="V21" s="220">
        <v>0</v>
      </c>
      <c r="W21" s="220">
        <v>0</v>
      </c>
      <c r="X21" s="220">
        <v>0</v>
      </c>
      <c r="Y21" s="220">
        <v>0</v>
      </c>
      <c r="Z21" s="220">
        <v>0</v>
      </c>
      <c r="AA21" s="220">
        <v>0</v>
      </c>
      <c r="AB21" s="220">
        <v>0</v>
      </c>
      <c r="AC21" s="220">
        <v>0</v>
      </c>
      <c r="AD21" s="220">
        <v>0</v>
      </c>
      <c r="AE21" s="220">
        <v>0</v>
      </c>
      <c r="AF21" s="220">
        <v>0</v>
      </c>
      <c r="AG21" s="220">
        <v>0</v>
      </c>
      <c r="AH21" s="220">
        <v>0</v>
      </c>
      <c r="AI21" s="220">
        <v>0</v>
      </c>
      <c r="AJ21"/>
    </row>
    <row r="22" spans="1:36" s="125" customFormat="1" ht="16" x14ac:dyDescent="0.2">
      <c r="A22" s="120" t="s">
        <v>207</v>
      </c>
      <c r="B22" s="220">
        <v>0</v>
      </c>
      <c r="C22" s="220">
        <v>0</v>
      </c>
      <c r="D22" s="220">
        <v>0</v>
      </c>
      <c r="E22" s="220">
        <v>0</v>
      </c>
      <c r="F22" s="220">
        <v>0</v>
      </c>
      <c r="G22" s="220">
        <v>0</v>
      </c>
      <c r="H22" s="220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0">
        <v>0</v>
      </c>
      <c r="R22" s="220">
        <v>0</v>
      </c>
      <c r="S22" s="220">
        <v>0</v>
      </c>
      <c r="T22" s="220">
        <v>0</v>
      </c>
      <c r="U22" s="220">
        <v>0</v>
      </c>
      <c r="V22" s="220">
        <v>0</v>
      </c>
      <c r="W22" s="220">
        <v>0</v>
      </c>
      <c r="X22" s="220">
        <v>0</v>
      </c>
      <c r="Y22" s="220">
        <v>0</v>
      </c>
      <c r="Z22" s="220">
        <v>0</v>
      </c>
      <c r="AA22" s="220">
        <v>0</v>
      </c>
      <c r="AB22" s="220">
        <v>0</v>
      </c>
      <c r="AC22" s="220">
        <v>0</v>
      </c>
      <c r="AD22" s="220">
        <v>0</v>
      </c>
      <c r="AE22" s="220">
        <v>0</v>
      </c>
      <c r="AF22" s="220">
        <v>0</v>
      </c>
      <c r="AG22" s="220">
        <v>0</v>
      </c>
      <c r="AH22" s="220">
        <v>0</v>
      </c>
      <c r="AI22" s="220">
        <v>0</v>
      </c>
      <c r="AJ22"/>
    </row>
    <row r="23" spans="1:36" s="125" customFormat="1" ht="16" x14ac:dyDescent="0.2">
      <c r="A23" s="120" t="s">
        <v>208</v>
      </c>
      <c r="B23" s="220">
        <v>0</v>
      </c>
      <c r="C23" s="220">
        <v>0</v>
      </c>
      <c r="D23" s="220">
        <v>0</v>
      </c>
      <c r="E23" s="220">
        <v>0</v>
      </c>
      <c r="F23" s="220">
        <v>0</v>
      </c>
      <c r="G23" s="220">
        <v>0</v>
      </c>
      <c r="H23" s="220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0</v>
      </c>
      <c r="Q23" s="220">
        <v>0</v>
      </c>
      <c r="R23" s="220">
        <v>0</v>
      </c>
      <c r="S23" s="220">
        <v>0</v>
      </c>
      <c r="T23" s="220">
        <v>0</v>
      </c>
      <c r="U23" s="220">
        <v>0</v>
      </c>
      <c r="V23" s="220">
        <v>0</v>
      </c>
      <c r="W23" s="220">
        <v>0</v>
      </c>
      <c r="X23" s="220">
        <v>0</v>
      </c>
      <c r="Y23" s="220">
        <v>0</v>
      </c>
      <c r="Z23" s="220">
        <v>0</v>
      </c>
      <c r="AA23" s="220">
        <v>0</v>
      </c>
      <c r="AB23" s="220">
        <v>0</v>
      </c>
      <c r="AC23" s="220">
        <v>0</v>
      </c>
      <c r="AD23" s="220">
        <v>0</v>
      </c>
      <c r="AE23" s="220">
        <v>0</v>
      </c>
      <c r="AF23" s="220">
        <v>0</v>
      </c>
      <c r="AG23" s="220">
        <v>0</v>
      </c>
      <c r="AH23" s="220">
        <v>0</v>
      </c>
      <c r="AI23" s="220">
        <v>0</v>
      </c>
      <c r="AJ23"/>
    </row>
    <row r="24" spans="1:36" s="125" customFormat="1" ht="16" x14ac:dyDescent="0.2">
      <c r="A24" s="120" t="s">
        <v>209</v>
      </c>
      <c r="B24" s="220">
        <v>0</v>
      </c>
      <c r="C24" s="220">
        <v>0</v>
      </c>
      <c r="D24" s="220">
        <v>0</v>
      </c>
      <c r="E24" s="220">
        <v>0</v>
      </c>
      <c r="F24" s="220">
        <v>0</v>
      </c>
      <c r="G24" s="220">
        <v>0</v>
      </c>
      <c r="H24" s="220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0">
        <v>0</v>
      </c>
      <c r="R24" s="220">
        <v>0</v>
      </c>
      <c r="S24" s="220">
        <v>0</v>
      </c>
      <c r="T24" s="220">
        <v>0</v>
      </c>
      <c r="U24" s="220">
        <v>0</v>
      </c>
      <c r="V24" s="220">
        <v>0</v>
      </c>
      <c r="W24" s="220">
        <v>0</v>
      </c>
      <c r="X24" s="220">
        <v>0</v>
      </c>
      <c r="Y24" s="220">
        <v>0</v>
      </c>
      <c r="Z24" s="220">
        <v>0</v>
      </c>
      <c r="AA24" s="220">
        <v>0</v>
      </c>
      <c r="AB24" s="220">
        <v>0</v>
      </c>
      <c r="AC24" s="220">
        <v>0</v>
      </c>
      <c r="AD24" s="220">
        <v>0</v>
      </c>
      <c r="AE24" s="220">
        <v>0</v>
      </c>
      <c r="AF24" s="220">
        <v>0</v>
      </c>
      <c r="AG24" s="220">
        <v>0</v>
      </c>
      <c r="AH24" s="220">
        <v>0</v>
      </c>
      <c r="AI24" s="220">
        <v>0</v>
      </c>
      <c r="AJ24"/>
    </row>
    <row r="25" spans="1:36" s="125" customFormat="1" ht="16" x14ac:dyDescent="0.2">
      <c r="A25" s="120" t="s">
        <v>210</v>
      </c>
      <c r="B25" s="220">
        <v>0</v>
      </c>
      <c r="C25" s="220">
        <v>0</v>
      </c>
      <c r="D25" s="220">
        <v>0</v>
      </c>
      <c r="E25" s="220">
        <v>0</v>
      </c>
      <c r="F25" s="220">
        <v>0</v>
      </c>
      <c r="G25" s="220">
        <v>0</v>
      </c>
      <c r="H25" s="220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0">
        <v>0</v>
      </c>
      <c r="R25" s="220">
        <v>0</v>
      </c>
      <c r="S25" s="220">
        <v>0</v>
      </c>
      <c r="T25" s="220">
        <v>0</v>
      </c>
      <c r="U25" s="220">
        <v>0</v>
      </c>
      <c r="V25" s="220">
        <v>0</v>
      </c>
      <c r="W25" s="220">
        <v>0</v>
      </c>
      <c r="X25" s="220">
        <v>0</v>
      </c>
      <c r="Y25" s="220">
        <v>0</v>
      </c>
      <c r="Z25" s="220">
        <v>0</v>
      </c>
      <c r="AA25" s="220">
        <v>0</v>
      </c>
      <c r="AB25" s="220">
        <v>0</v>
      </c>
      <c r="AC25" s="220">
        <v>0</v>
      </c>
      <c r="AD25" s="220">
        <v>0</v>
      </c>
      <c r="AE25" s="220">
        <v>0</v>
      </c>
      <c r="AF25" s="220">
        <v>0</v>
      </c>
      <c r="AG25" s="220">
        <v>0</v>
      </c>
      <c r="AH25" s="220">
        <v>0</v>
      </c>
      <c r="AI25" s="220">
        <v>0</v>
      </c>
      <c r="AJ25"/>
    </row>
    <row r="26" spans="1:36" s="125" customFormat="1" ht="16" x14ac:dyDescent="0.2">
      <c r="A26" s="120" t="s">
        <v>211</v>
      </c>
      <c r="B26" s="220">
        <v>0</v>
      </c>
      <c r="C26" s="220">
        <v>0</v>
      </c>
      <c r="D26" s="220">
        <v>0</v>
      </c>
      <c r="E26" s="220">
        <v>0</v>
      </c>
      <c r="F26" s="220">
        <v>0</v>
      </c>
      <c r="G26" s="220">
        <v>0</v>
      </c>
      <c r="H26" s="220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0">
        <v>0</v>
      </c>
      <c r="R26" s="220">
        <v>0</v>
      </c>
      <c r="S26" s="220">
        <v>0</v>
      </c>
      <c r="T26" s="220">
        <v>0</v>
      </c>
      <c r="U26" s="220">
        <v>0</v>
      </c>
      <c r="V26" s="220">
        <v>0</v>
      </c>
      <c r="W26" s="220">
        <v>0</v>
      </c>
      <c r="X26" s="220">
        <v>0</v>
      </c>
      <c r="Y26" s="220">
        <v>0</v>
      </c>
      <c r="Z26" s="220">
        <v>0</v>
      </c>
      <c r="AA26" s="220">
        <v>0</v>
      </c>
      <c r="AB26" s="220">
        <v>0</v>
      </c>
      <c r="AC26" s="220">
        <v>0</v>
      </c>
      <c r="AD26" s="220">
        <v>0</v>
      </c>
      <c r="AE26" s="220">
        <v>0</v>
      </c>
      <c r="AF26" s="220">
        <v>0</v>
      </c>
      <c r="AG26" s="220">
        <v>0</v>
      </c>
      <c r="AH26" s="220">
        <v>0</v>
      </c>
      <c r="AI26" s="220">
        <v>0</v>
      </c>
      <c r="AJ26"/>
    </row>
    <row r="27" spans="1:36" s="125" customFormat="1" ht="16" x14ac:dyDescent="0.2">
      <c r="A27" s="120" t="s">
        <v>212</v>
      </c>
      <c r="B27" s="220">
        <v>0</v>
      </c>
      <c r="C27" s="220">
        <v>0</v>
      </c>
      <c r="D27" s="220">
        <v>0</v>
      </c>
      <c r="E27" s="220">
        <v>0</v>
      </c>
      <c r="F27" s="220">
        <v>0</v>
      </c>
      <c r="G27" s="220">
        <v>0</v>
      </c>
      <c r="H27" s="220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0">
        <v>0</v>
      </c>
      <c r="R27" s="220">
        <v>0</v>
      </c>
      <c r="S27" s="220">
        <v>0</v>
      </c>
      <c r="T27" s="220">
        <v>0</v>
      </c>
      <c r="U27" s="220">
        <v>0</v>
      </c>
      <c r="V27" s="220">
        <v>0</v>
      </c>
      <c r="W27" s="220">
        <v>0</v>
      </c>
      <c r="X27" s="220">
        <v>0</v>
      </c>
      <c r="Y27" s="220">
        <v>0</v>
      </c>
      <c r="Z27" s="220">
        <v>0</v>
      </c>
      <c r="AA27" s="220">
        <v>0</v>
      </c>
      <c r="AB27" s="220">
        <v>0</v>
      </c>
      <c r="AC27" s="220">
        <v>0</v>
      </c>
      <c r="AD27" s="220">
        <v>0</v>
      </c>
      <c r="AE27" s="220">
        <v>0</v>
      </c>
      <c r="AF27" s="220">
        <v>0</v>
      </c>
      <c r="AG27" s="220">
        <v>0</v>
      </c>
      <c r="AH27" s="220">
        <v>0</v>
      </c>
      <c r="AI27" s="220">
        <v>0</v>
      </c>
      <c r="AJ27"/>
    </row>
    <row r="28" spans="1:36" s="125" customFormat="1" ht="16" x14ac:dyDescent="0.2">
      <c r="A28" s="120" t="s">
        <v>213</v>
      </c>
      <c r="B28" s="220">
        <v>0</v>
      </c>
      <c r="C28" s="220">
        <v>0</v>
      </c>
      <c r="D28" s="220">
        <v>0</v>
      </c>
      <c r="E28" s="220">
        <v>0</v>
      </c>
      <c r="F28" s="220">
        <v>0</v>
      </c>
      <c r="G28" s="220">
        <v>0</v>
      </c>
      <c r="H28" s="220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0">
        <v>0</v>
      </c>
      <c r="R28" s="220">
        <v>0</v>
      </c>
      <c r="S28" s="220">
        <v>0</v>
      </c>
      <c r="T28" s="220">
        <v>0</v>
      </c>
      <c r="U28" s="220">
        <v>0</v>
      </c>
      <c r="V28" s="220">
        <v>0</v>
      </c>
      <c r="W28" s="220">
        <v>0</v>
      </c>
      <c r="X28" s="220">
        <v>0</v>
      </c>
      <c r="Y28" s="220">
        <v>0</v>
      </c>
      <c r="Z28" s="220">
        <v>0</v>
      </c>
      <c r="AA28" s="220">
        <v>0</v>
      </c>
      <c r="AB28" s="220">
        <v>0</v>
      </c>
      <c r="AC28" s="220">
        <v>0</v>
      </c>
      <c r="AD28" s="220">
        <v>0</v>
      </c>
      <c r="AE28" s="220">
        <v>0</v>
      </c>
      <c r="AF28" s="220">
        <v>0</v>
      </c>
      <c r="AG28" s="220">
        <v>0</v>
      </c>
      <c r="AH28" s="220">
        <v>0</v>
      </c>
      <c r="AI28" s="220">
        <v>0</v>
      </c>
      <c r="AJ28"/>
    </row>
    <row r="29" spans="1:36" s="125" customFormat="1" ht="16" x14ac:dyDescent="0.2">
      <c r="A29" s="120" t="s">
        <v>214</v>
      </c>
      <c r="B29" s="220">
        <v>0</v>
      </c>
      <c r="C29" s="220">
        <v>0</v>
      </c>
      <c r="D29" s="220">
        <v>0</v>
      </c>
      <c r="E29" s="220">
        <v>0</v>
      </c>
      <c r="F29" s="220">
        <v>0</v>
      </c>
      <c r="G29" s="220">
        <v>0</v>
      </c>
      <c r="H29" s="220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20">
        <v>0</v>
      </c>
      <c r="S29" s="220">
        <v>0</v>
      </c>
      <c r="T29" s="220">
        <v>0</v>
      </c>
      <c r="U29" s="220">
        <v>0</v>
      </c>
      <c r="V29" s="220">
        <v>0</v>
      </c>
      <c r="W29" s="220">
        <v>0</v>
      </c>
      <c r="X29" s="220">
        <v>0</v>
      </c>
      <c r="Y29" s="220">
        <v>0</v>
      </c>
      <c r="Z29" s="220">
        <v>0</v>
      </c>
      <c r="AA29" s="220">
        <v>0</v>
      </c>
      <c r="AB29" s="220">
        <v>0</v>
      </c>
      <c r="AC29" s="220">
        <v>0</v>
      </c>
      <c r="AD29" s="220">
        <v>0</v>
      </c>
      <c r="AE29" s="220">
        <v>0</v>
      </c>
      <c r="AF29" s="220">
        <v>0</v>
      </c>
      <c r="AG29" s="220">
        <v>0</v>
      </c>
      <c r="AH29" s="220">
        <v>0</v>
      </c>
      <c r="AI29" s="220">
        <v>0</v>
      </c>
      <c r="AJ29"/>
    </row>
    <row r="30" spans="1:36" s="125" customFormat="1" ht="16" x14ac:dyDescent="0.2">
      <c r="A30" s="120" t="s">
        <v>215</v>
      </c>
      <c r="B30" s="220">
        <v>0</v>
      </c>
      <c r="C30" s="220">
        <v>0</v>
      </c>
      <c r="D30" s="220">
        <v>0</v>
      </c>
      <c r="E30" s="220">
        <v>0</v>
      </c>
      <c r="F30" s="220">
        <v>0</v>
      </c>
      <c r="G30" s="220">
        <v>0</v>
      </c>
      <c r="H30" s="220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20">
        <v>0</v>
      </c>
      <c r="S30" s="220">
        <v>0</v>
      </c>
      <c r="T30" s="220">
        <v>0</v>
      </c>
      <c r="U30" s="220">
        <v>0</v>
      </c>
      <c r="V30" s="220">
        <v>0</v>
      </c>
      <c r="W30" s="220">
        <v>0</v>
      </c>
      <c r="X30" s="220">
        <v>0</v>
      </c>
      <c r="Y30" s="220">
        <v>0</v>
      </c>
      <c r="Z30" s="220">
        <v>0</v>
      </c>
      <c r="AA30" s="220">
        <v>0</v>
      </c>
      <c r="AB30" s="220">
        <v>0</v>
      </c>
      <c r="AC30" s="220">
        <v>0</v>
      </c>
      <c r="AD30" s="220">
        <v>0</v>
      </c>
      <c r="AE30" s="220">
        <v>0</v>
      </c>
      <c r="AF30" s="220">
        <v>0</v>
      </c>
      <c r="AG30" s="220">
        <v>0</v>
      </c>
      <c r="AH30" s="220">
        <v>0</v>
      </c>
      <c r="AI30" s="220">
        <v>0</v>
      </c>
      <c r="AJ30"/>
    </row>
    <row r="31" spans="1:36" s="125" customFormat="1" ht="16" x14ac:dyDescent="0.2">
      <c r="A31" s="120" t="s">
        <v>216</v>
      </c>
      <c r="B31" s="220">
        <v>0</v>
      </c>
      <c r="C31" s="220">
        <v>0</v>
      </c>
      <c r="D31" s="220">
        <v>0</v>
      </c>
      <c r="E31" s="220">
        <v>0</v>
      </c>
      <c r="F31" s="220">
        <v>0</v>
      </c>
      <c r="G31" s="220">
        <v>0</v>
      </c>
      <c r="H31" s="220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0">
        <v>0</v>
      </c>
      <c r="R31" s="220">
        <v>0</v>
      </c>
      <c r="S31" s="220">
        <v>0</v>
      </c>
      <c r="T31" s="220">
        <v>0</v>
      </c>
      <c r="U31" s="220">
        <v>0</v>
      </c>
      <c r="V31" s="220">
        <v>0</v>
      </c>
      <c r="W31" s="220">
        <v>0</v>
      </c>
      <c r="X31" s="220">
        <v>0</v>
      </c>
      <c r="Y31" s="220">
        <v>0</v>
      </c>
      <c r="Z31" s="220">
        <v>0</v>
      </c>
      <c r="AA31" s="220">
        <v>0</v>
      </c>
      <c r="AB31" s="220">
        <v>0</v>
      </c>
      <c r="AC31" s="220">
        <v>0</v>
      </c>
      <c r="AD31" s="220">
        <v>0</v>
      </c>
      <c r="AE31" s="220">
        <v>0</v>
      </c>
      <c r="AF31" s="220">
        <v>0</v>
      </c>
      <c r="AG31" s="220">
        <v>0</v>
      </c>
      <c r="AH31" s="220">
        <v>0</v>
      </c>
      <c r="AI31" s="220">
        <v>0</v>
      </c>
      <c r="AJ31"/>
    </row>
    <row r="32" spans="1:36" s="125" customFormat="1" ht="16" x14ac:dyDescent="0.2">
      <c r="A32" s="120" t="s">
        <v>217</v>
      </c>
      <c r="B32" s="220">
        <v>0</v>
      </c>
      <c r="C32" s="220">
        <v>0</v>
      </c>
      <c r="D32" s="220">
        <v>0</v>
      </c>
      <c r="E32" s="220">
        <v>0</v>
      </c>
      <c r="F32" s="220">
        <v>0</v>
      </c>
      <c r="G32" s="220">
        <v>0</v>
      </c>
      <c r="H32" s="220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20">
        <v>0</v>
      </c>
      <c r="S32" s="220">
        <v>0</v>
      </c>
      <c r="T32" s="220">
        <v>0</v>
      </c>
      <c r="U32" s="220">
        <v>0</v>
      </c>
      <c r="V32" s="220">
        <v>0</v>
      </c>
      <c r="W32" s="220">
        <v>0</v>
      </c>
      <c r="X32" s="220">
        <v>0</v>
      </c>
      <c r="Y32" s="220">
        <v>0</v>
      </c>
      <c r="Z32" s="220">
        <v>0</v>
      </c>
      <c r="AA32" s="220">
        <v>0</v>
      </c>
      <c r="AB32" s="220">
        <v>0</v>
      </c>
      <c r="AC32" s="220">
        <v>0</v>
      </c>
      <c r="AD32" s="220">
        <v>0</v>
      </c>
      <c r="AE32" s="220">
        <v>0</v>
      </c>
      <c r="AF32" s="220">
        <v>0</v>
      </c>
      <c r="AG32" s="220">
        <v>0</v>
      </c>
      <c r="AH32" s="220">
        <v>0</v>
      </c>
      <c r="AI32" s="220">
        <v>0</v>
      </c>
      <c r="AJ32"/>
    </row>
    <row r="33" spans="1:36" s="125" customFormat="1" ht="16" x14ac:dyDescent="0.2">
      <c r="A33" s="120" t="s">
        <v>218</v>
      </c>
      <c r="B33" s="220">
        <v>0</v>
      </c>
      <c r="C33" s="220">
        <v>0</v>
      </c>
      <c r="D33" s="220">
        <v>0</v>
      </c>
      <c r="E33" s="220">
        <v>0</v>
      </c>
      <c r="F33" s="220">
        <v>0</v>
      </c>
      <c r="G33" s="220">
        <v>0</v>
      </c>
      <c r="H33" s="220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20">
        <v>0</v>
      </c>
      <c r="S33" s="220">
        <v>0</v>
      </c>
      <c r="T33" s="220">
        <v>0</v>
      </c>
      <c r="U33" s="220">
        <v>0</v>
      </c>
      <c r="V33" s="220">
        <v>0</v>
      </c>
      <c r="W33" s="220">
        <v>0</v>
      </c>
      <c r="X33" s="220">
        <v>0</v>
      </c>
      <c r="Y33" s="220">
        <v>0</v>
      </c>
      <c r="Z33" s="220">
        <v>0</v>
      </c>
      <c r="AA33" s="220">
        <v>0</v>
      </c>
      <c r="AB33" s="220">
        <v>0</v>
      </c>
      <c r="AC33" s="220">
        <v>0</v>
      </c>
      <c r="AD33" s="220">
        <v>0</v>
      </c>
      <c r="AE33" s="220">
        <v>0</v>
      </c>
      <c r="AF33" s="220">
        <v>0</v>
      </c>
      <c r="AG33" s="220">
        <v>0</v>
      </c>
      <c r="AH33" s="220">
        <v>0</v>
      </c>
      <c r="AI33" s="220">
        <v>0</v>
      </c>
      <c r="AJ33"/>
    </row>
    <row r="34" spans="1:36" s="125" customFormat="1" ht="16" x14ac:dyDescent="0.2">
      <c r="A34" s="120" t="s">
        <v>185</v>
      </c>
      <c r="B34" s="220">
        <v>0</v>
      </c>
      <c r="C34" s="220">
        <v>0</v>
      </c>
      <c r="D34" s="220">
        <v>0</v>
      </c>
      <c r="E34" s="220">
        <v>0</v>
      </c>
      <c r="F34" s="220">
        <v>0</v>
      </c>
      <c r="G34" s="220">
        <v>0</v>
      </c>
      <c r="H34" s="220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20">
        <v>0</v>
      </c>
      <c r="S34" s="220">
        <v>0</v>
      </c>
      <c r="T34" s="220">
        <v>0</v>
      </c>
      <c r="U34" s="220">
        <v>0</v>
      </c>
      <c r="V34" s="220">
        <v>0</v>
      </c>
      <c r="W34" s="220">
        <v>0</v>
      </c>
      <c r="X34" s="220">
        <v>0</v>
      </c>
      <c r="Y34" s="220">
        <v>0</v>
      </c>
      <c r="Z34" s="220">
        <v>0</v>
      </c>
      <c r="AA34" s="220">
        <v>0</v>
      </c>
      <c r="AB34" s="220">
        <v>0</v>
      </c>
      <c r="AC34" s="220">
        <v>0</v>
      </c>
      <c r="AD34" s="220">
        <v>0</v>
      </c>
      <c r="AE34" s="220">
        <v>0</v>
      </c>
      <c r="AF34" s="220">
        <v>0</v>
      </c>
      <c r="AG34" s="220">
        <v>0</v>
      </c>
      <c r="AH34" s="220">
        <v>0</v>
      </c>
      <c r="AI34" s="220">
        <v>0</v>
      </c>
      <c r="AJ34"/>
    </row>
    <row r="35" spans="1:36" s="125" customFormat="1" ht="16" x14ac:dyDescent="0.2">
      <c r="A35" s="121" t="s">
        <v>123</v>
      </c>
      <c r="B35" s="220">
        <v>0</v>
      </c>
      <c r="C35" s="220">
        <v>0</v>
      </c>
      <c r="D35" s="220">
        <v>0</v>
      </c>
      <c r="E35" s="220">
        <v>0</v>
      </c>
      <c r="F35" s="220">
        <v>0</v>
      </c>
      <c r="G35" s="220">
        <v>0</v>
      </c>
      <c r="H35" s="220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20">
        <v>0</v>
      </c>
      <c r="S35" s="220">
        <v>0</v>
      </c>
      <c r="T35" s="220">
        <v>0</v>
      </c>
      <c r="U35" s="220">
        <v>0</v>
      </c>
      <c r="V35" s="220">
        <v>0</v>
      </c>
      <c r="W35" s="220">
        <v>0</v>
      </c>
      <c r="X35" s="220">
        <v>0</v>
      </c>
      <c r="Y35" s="220">
        <v>0</v>
      </c>
      <c r="Z35" s="220">
        <v>0</v>
      </c>
      <c r="AA35" s="220">
        <v>0</v>
      </c>
      <c r="AB35" s="220">
        <v>0</v>
      </c>
      <c r="AC35" s="220">
        <v>0</v>
      </c>
      <c r="AD35" s="220">
        <v>0</v>
      </c>
      <c r="AE35" s="220">
        <v>0</v>
      </c>
      <c r="AF35" s="220">
        <v>0</v>
      </c>
      <c r="AG35" s="220">
        <v>0</v>
      </c>
      <c r="AH35" s="220">
        <v>0</v>
      </c>
      <c r="AI35" s="220">
        <v>0</v>
      </c>
      <c r="AJ35"/>
    </row>
    <row r="36" spans="1:36" s="125" customFormat="1" ht="16" x14ac:dyDescent="0.2">
      <c r="A36" s="121" t="s">
        <v>219</v>
      </c>
      <c r="B36" s="220">
        <v>0</v>
      </c>
      <c r="C36" s="220">
        <v>0</v>
      </c>
      <c r="D36" s="220">
        <v>0</v>
      </c>
      <c r="E36" s="220">
        <v>0</v>
      </c>
      <c r="F36" s="220">
        <v>0</v>
      </c>
      <c r="G36" s="220">
        <v>0</v>
      </c>
      <c r="H36" s="220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0">
        <v>0</v>
      </c>
      <c r="R36" s="220">
        <v>0</v>
      </c>
      <c r="S36" s="220">
        <v>0</v>
      </c>
      <c r="T36" s="220">
        <v>0</v>
      </c>
      <c r="U36" s="220">
        <v>0</v>
      </c>
      <c r="V36" s="220">
        <v>0</v>
      </c>
      <c r="W36" s="220">
        <v>0</v>
      </c>
      <c r="X36" s="220">
        <v>0</v>
      </c>
      <c r="Y36" s="220">
        <v>0</v>
      </c>
      <c r="Z36" s="220">
        <v>0</v>
      </c>
      <c r="AA36" s="220">
        <v>0</v>
      </c>
      <c r="AB36" s="220">
        <v>0</v>
      </c>
      <c r="AC36" s="220">
        <v>0</v>
      </c>
      <c r="AD36" s="220">
        <v>0</v>
      </c>
      <c r="AE36" s="220">
        <v>0</v>
      </c>
      <c r="AF36" s="220">
        <v>0</v>
      </c>
      <c r="AG36" s="220">
        <v>0</v>
      </c>
      <c r="AH36" s="220">
        <v>0</v>
      </c>
      <c r="AI36" s="220">
        <v>0</v>
      </c>
      <c r="AJ36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AD185"/>
  <sheetViews>
    <sheetView topLeftCell="R1" workbookViewId="0">
      <selection activeCell="C1" sqref="C1:Z1"/>
    </sheetView>
  </sheetViews>
  <sheetFormatPr baseColWidth="10" defaultRowHeight="13" x14ac:dyDescent="0.15"/>
  <cols>
    <col min="1" max="1" width="17.5" customWidth="1"/>
    <col min="2" max="2" width="26.5" bestFit="1" customWidth="1"/>
    <col min="3" max="3" width="16" bestFit="1" customWidth="1"/>
    <col min="4" max="4" width="16.33203125" bestFit="1" customWidth="1"/>
  </cols>
  <sheetData>
    <row r="1" spans="1:30" ht="34" x14ac:dyDescent="0.2">
      <c r="A1" s="5" t="s">
        <v>83</v>
      </c>
      <c r="B1" s="3" t="s">
        <v>0</v>
      </c>
      <c r="C1" s="130" t="s">
        <v>224</v>
      </c>
      <c r="D1" s="131" t="s">
        <v>225</v>
      </c>
      <c r="E1" s="132" t="s">
        <v>226</v>
      </c>
      <c r="F1" s="133" t="s">
        <v>227</v>
      </c>
      <c r="G1" s="133" t="s">
        <v>228</v>
      </c>
      <c r="H1" s="133" t="s">
        <v>229</v>
      </c>
      <c r="I1" s="133" t="s">
        <v>230</v>
      </c>
      <c r="J1" s="133" t="s">
        <v>231</v>
      </c>
      <c r="K1" s="133" t="s">
        <v>232</v>
      </c>
      <c r="L1" s="133" t="s">
        <v>233</v>
      </c>
      <c r="M1" s="133" t="s">
        <v>235</v>
      </c>
      <c r="N1" s="133" t="s">
        <v>234</v>
      </c>
      <c r="O1" s="133" t="s">
        <v>236</v>
      </c>
      <c r="P1" s="133" t="s">
        <v>237</v>
      </c>
      <c r="Q1" s="133" t="s">
        <v>238</v>
      </c>
      <c r="R1" s="133" t="s">
        <v>239</v>
      </c>
      <c r="S1" s="133" t="s">
        <v>240</v>
      </c>
      <c r="T1" s="133" t="s">
        <v>241</v>
      </c>
      <c r="U1" s="133" t="s">
        <v>242</v>
      </c>
      <c r="V1" s="133" t="s">
        <v>243</v>
      </c>
      <c r="W1" s="133" t="s">
        <v>244</v>
      </c>
      <c r="X1" s="133" t="s">
        <v>245</v>
      </c>
      <c r="Y1" s="133" t="s">
        <v>246</v>
      </c>
      <c r="Z1" s="133" t="s">
        <v>247</v>
      </c>
    </row>
    <row r="2" spans="1:30" s="125" customFormat="1" ht="15" customHeight="1" x14ac:dyDescent="0.2">
      <c r="A2" s="75">
        <v>1</v>
      </c>
      <c r="B2" s="120" t="s">
        <v>189</v>
      </c>
      <c r="C2" s="134">
        <v>0.8</v>
      </c>
      <c r="D2" s="134">
        <v>0.8</v>
      </c>
      <c r="E2" s="134">
        <v>0.8</v>
      </c>
      <c r="F2" s="134">
        <v>0.8</v>
      </c>
      <c r="G2" s="134">
        <v>0.8</v>
      </c>
      <c r="H2" s="134">
        <v>0.8</v>
      </c>
      <c r="I2" s="134">
        <v>0.8</v>
      </c>
      <c r="J2" s="134">
        <v>0.8</v>
      </c>
      <c r="K2" s="134">
        <v>0.8</v>
      </c>
      <c r="L2" s="134">
        <v>0.8</v>
      </c>
      <c r="M2" s="134">
        <v>0.8</v>
      </c>
      <c r="N2" s="134">
        <v>0.8</v>
      </c>
      <c r="O2" s="134">
        <v>0.8</v>
      </c>
      <c r="P2" s="134">
        <v>0.8</v>
      </c>
      <c r="Q2" s="134">
        <v>0.8</v>
      </c>
      <c r="R2" s="134">
        <v>0.8</v>
      </c>
      <c r="S2" s="134">
        <v>0.8</v>
      </c>
      <c r="T2" s="134">
        <v>0.8</v>
      </c>
      <c r="U2" s="134">
        <v>0.8</v>
      </c>
      <c r="V2" s="134">
        <v>0.8</v>
      </c>
      <c r="W2" s="134">
        <v>0.8</v>
      </c>
      <c r="X2" s="134">
        <v>0.8</v>
      </c>
      <c r="Y2" s="134">
        <v>0.8</v>
      </c>
      <c r="Z2" s="134">
        <v>0.8</v>
      </c>
      <c r="AA2"/>
      <c r="AD2"/>
    </row>
    <row r="3" spans="1:30" s="125" customFormat="1" ht="15" customHeight="1" x14ac:dyDescent="0.2">
      <c r="A3">
        <v>2</v>
      </c>
      <c r="B3" s="120" t="s">
        <v>221</v>
      </c>
      <c r="C3" s="134">
        <v>0.8</v>
      </c>
      <c r="D3" s="134">
        <v>0.8</v>
      </c>
      <c r="E3" s="134">
        <v>0.8</v>
      </c>
      <c r="F3" s="134">
        <v>0.8</v>
      </c>
      <c r="G3" s="134">
        <v>0.8</v>
      </c>
      <c r="H3" s="134">
        <v>0.8</v>
      </c>
      <c r="I3" s="134">
        <v>0.8</v>
      </c>
      <c r="J3" s="134">
        <v>0.8</v>
      </c>
      <c r="K3" s="134">
        <v>0.8</v>
      </c>
      <c r="L3" s="134">
        <v>0.8</v>
      </c>
      <c r="M3" s="134">
        <v>0.8</v>
      </c>
      <c r="N3" s="134">
        <v>0.8</v>
      </c>
      <c r="O3" s="134">
        <v>0.8</v>
      </c>
      <c r="P3" s="134">
        <v>0.8</v>
      </c>
      <c r="Q3" s="134">
        <v>0.8</v>
      </c>
      <c r="R3" s="134">
        <v>0.8</v>
      </c>
      <c r="S3" s="134">
        <v>0.8</v>
      </c>
      <c r="T3" s="134">
        <v>0.8</v>
      </c>
      <c r="U3" s="134">
        <v>0.8</v>
      </c>
      <c r="V3" s="134">
        <v>0.8</v>
      </c>
      <c r="W3" s="134">
        <v>0.8</v>
      </c>
      <c r="X3" s="134">
        <v>0.8</v>
      </c>
      <c r="Y3" s="134">
        <v>0.8</v>
      </c>
      <c r="Z3" s="134">
        <v>0.8</v>
      </c>
      <c r="AA3"/>
      <c r="AD3"/>
    </row>
    <row r="4" spans="1:30" s="125" customFormat="1" ht="15" customHeight="1" x14ac:dyDescent="0.2">
      <c r="A4">
        <v>3</v>
      </c>
      <c r="B4" s="120" t="s">
        <v>190</v>
      </c>
      <c r="C4" s="134">
        <v>0.8</v>
      </c>
      <c r="D4" s="134">
        <v>0.8</v>
      </c>
      <c r="E4" s="134">
        <v>0.8</v>
      </c>
      <c r="F4" s="134">
        <v>0.8</v>
      </c>
      <c r="G4" s="134">
        <v>0.8</v>
      </c>
      <c r="H4" s="134">
        <v>0.8</v>
      </c>
      <c r="I4" s="134">
        <v>0.8</v>
      </c>
      <c r="J4" s="134">
        <v>0.8</v>
      </c>
      <c r="K4" s="134">
        <v>0.8</v>
      </c>
      <c r="L4" s="134">
        <v>0.8</v>
      </c>
      <c r="M4" s="134">
        <v>0.8</v>
      </c>
      <c r="N4" s="134">
        <v>0.8</v>
      </c>
      <c r="O4" s="134">
        <v>0.8</v>
      </c>
      <c r="P4" s="134">
        <v>0.8</v>
      </c>
      <c r="Q4" s="134">
        <v>0.8</v>
      </c>
      <c r="R4" s="134">
        <v>0.8</v>
      </c>
      <c r="S4" s="134">
        <v>0.8</v>
      </c>
      <c r="T4" s="134">
        <v>0.8</v>
      </c>
      <c r="U4" s="134">
        <v>0.8</v>
      </c>
      <c r="V4" s="134">
        <v>0.8</v>
      </c>
      <c r="W4" s="134">
        <v>0.8</v>
      </c>
      <c r="X4" s="134">
        <v>0.8</v>
      </c>
      <c r="Y4" s="134">
        <v>0.8</v>
      </c>
      <c r="Z4" s="134">
        <v>0.8</v>
      </c>
      <c r="AA4"/>
      <c r="AD4"/>
    </row>
    <row r="5" spans="1:30" s="125" customFormat="1" ht="15" customHeight="1" x14ac:dyDescent="0.2">
      <c r="A5">
        <v>4</v>
      </c>
      <c r="B5" s="120" t="s">
        <v>191</v>
      </c>
      <c r="C5" s="134">
        <v>0.8</v>
      </c>
      <c r="D5" s="134">
        <v>0.8</v>
      </c>
      <c r="E5" s="134">
        <v>0.8</v>
      </c>
      <c r="F5" s="134">
        <v>0.8</v>
      </c>
      <c r="G5" s="134">
        <v>0.8</v>
      </c>
      <c r="H5" s="134">
        <v>0.8</v>
      </c>
      <c r="I5" s="134">
        <v>0.8</v>
      </c>
      <c r="J5" s="134">
        <v>0.8</v>
      </c>
      <c r="K5" s="134">
        <v>0.8</v>
      </c>
      <c r="L5" s="134">
        <v>0.8</v>
      </c>
      <c r="M5" s="134">
        <v>0.8</v>
      </c>
      <c r="N5" s="134">
        <v>0.8</v>
      </c>
      <c r="O5" s="134">
        <v>0.8</v>
      </c>
      <c r="P5" s="134">
        <v>0.8</v>
      </c>
      <c r="Q5" s="134">
        <v>0.8</v>
      </c>
      <c r="R5" s="134">
        <v>0.8</v>
      </c>
      <c r="S5" s="134">
        <v>0.8</v>
      </c>
      <c r="T5" s="134">
        <v>0.8</v>
      </c>
      <c r="U5" s="134">
        <v>0.8</v>
      </c>
      <c r="V5" s="134">
        <v>0.8</v>
      </c>
      <c r="W5" s="134">
        <v>0.8</v>
      </c>
      <c r="X5" s="134">
        <v>0.8</v>
      </c>
      <c r="Y5" s="134">
        <v>0.8</v>
      </c>
      <c r="Z5" s="134">
        <v>0.8</v>
      </c>
      <c r="AA5"/>
      <c r="AD5"/>
    </row>
    <row r="6" spans="1:30" s="125" customFormat="1" ht="15" customHeight="1" x14ac:dyDescent="0.2">
      <c r="A6">
        <v>5</v>
      </c>
      <c r="B6" s="120" t="s">
        <v>192</v>
      </c>
      <c r="C6" s="134">
        <v>0.8</v>
      </c>
      <c r="D6" s="134">
        <v>0.8</v>
      </c>
      <c r="E6" s="134">
        <v>0.8</v>
      </c>
      <c r="F6" s="134">
        <v>0.8</v>
      </c>
      <c r="G6" s="134">
        <v>0.8</v>
      </c>
      <c r="H6" s="134">
        <v>0.8</v>
      </c>
      <c r="I6" s="134">
        <v>0.8</v>
      </c>
      <c r="J6" s="134">
        <v>0.8</v>
      </c>
      <c r="K6" s="134">
        <v>0.8</v>
      </c>
      <c r="L6" s="134">
        <v>0.8</v>
      </c>
      <c r="M6" s="134">
        <v>0.8</v>
      </c>
      <c r="N6" s="134">
        <v>0.8</v>
      </c>
      <c r="O6" s="134">
        <v>0.8</v>
      </c>
      <c r="P6" s="134">
        <v>0.8</v>
      </c>
      <c r="Q6" s="134">
        <v>0.8</v>
      </c>
      <c r="R6" s="134">
        <v>0.8</v>
      </c>
      <c r="S6" s="134">
        <v>0.8</v>
      </c>
      <c r="T6" s="134">
        <v>0.8</v>
      </c>
      <c r="U6" s="134">
        <v>0.8</v>
      </c>
      <c r="V6" s="134">
        <v>0.8</v>
      </c>
      <c r="W6" s="134">
        <v>0.8</v>
      </c>
      <c r="X6" s="134">
        <v>0.8</v>
      </c>
      <c r="Y6" s="134">
        <v>0.8</v>
      </c>
      <c r="Z6" s="134">
        <v>0.8</v>
      </c>
      <c r="AA6"/>
      <c r="AD6"/>
    </row>
    <row r="7" spans="1:30" s="125" customFormat="1" ht="15" customHeight="1" x14ac:dyDescent="0.2">
      <c r="A7">
        <v>6</v>
      </c>
      <c r="B7" s="120" t="s">
        <v>193</v>
      </c>
      <c r="C7" s="134">
        <v>0.8</v>
      </c>
      <c r="D7" s="134">
        <v>0.8</v>
      </c>
      <c r="E7" s="134">
        <v>0.8</v>
      </c>
      <c r="F7" s="134">
        <v>0.8</v>
      </c>
      <c r="G7" s="134">
        <v>0.8</v>
      </c>
      <c r="H7" s="134">
        <v>0.8</v>
      </c>
      <c r="I7" s="134">
        <v>0.8</v>
      </c>
      <c r="J7" s="134">
        <v>0.8</v>
      </c>
      <c r="K7" s="134">
        <v>0.8</v>
      </c>
      <c r="L7" s="134">
        <v>0.8</v>
      </c>
      <c r="M7" s="134">
        <v>0.8</v>
      </c>
      <c r="N7" s="134">
        <v>0.8</v>
      </c>
      <c r="O7" s="134">
        <v>0.8</v>
      </c>
      <c r="P7" s="134">
        <v>0.8</v>
      </c>
      <c r="Q7" s="134">
        <v>0.8</v>
      </c>
      <c r="R7" s="134">
        <v>0.8</v>
      </c>
      <c r="S7" s="134">
        <v>0.8</v>
      </c>
      <c r="T7" s="134">
        <v>0.8</v>
      </c>
      <c r="U7" s="134">
        <v>0.8</v>
      </c>
      <c r="V7" s="134">
        <v>0.8</v>
      </c>
      <c r="W7" s="134">
        <v>0.8</v>
      </c>
      <c r="X7" s="134">
        <v>0.8</v>
      </c>
      <c r="Y7" s="134">
        <v>0.8</v>
      </c>
      <c r="Z7" s="134">
        <v>0.8</v>
      </c>
      <c r="AA7"/>
      <c r="AD7"/>
    </row>
    <row r="8" spans="1:30" s="125" customFormat="1" ht="15" customHeight="1" x14ac:dyDescent="0.2">
      <c r="A8">
        <v>7</v>
      </c>
      <c r="B8" s="120" t="s">
        <v>194</v>
      </c>
      <c r="C8" s="134">
        <v>0.8</v>
      </c>
      <c r="D8" s="134">
        <v>0.8</v>
      </c>
      <c r="E8" s="134">
        <v>0.8</v>
      </c>
      <c r="F8" s="134">
        <v>0.8</v>
      </c>
      <c r="G8" s="134">
        <v>0.8</v>
      </c>
      <c r="H8" s="134">
        <v>0.8</v>
      </c>
      <c r="I8" s="134">
        <v>0.8</v>
      </c>
      <c r="J8" s="134">
        <v>0.8</v>
      </c>
      <c r="K8" s="134">
        <v>0.8</v>
      </c>
      <c r="L8" s="134">
        <v>0.8</v>
      </c>
      <c r="M8" s="134">
        <v>0.8</v>
      </c>
      <c r="N8" s="134">
        <v>0.8</v>
      </c>
      <c r="O8" s="134">
        <v>0.8</v>
      </c>
      <c r="P8" s="134">
        <v>0.8</v>
      </c>
      <c r="Q8" s="134">
        <v>0.8</v>
      </c>
      <c r="R8" s="134">
        <v>0.8</v>
      </c>
      <c r="S8" s="134">
        <v>0.8</v>
      </c>
      <c r="T8" s="134">
        <v>0.8</v>
      </c>
      <c r="U8" s="134">
        <v>0.8</v>
      </c>
      <c r="V8" s="134">
        <v>0.8</v>
      </c>
      <c r="W8" s="134">
        <v>0.8</v>
      </c>
      <c r="X8" s="134">
        <v>0.8</v>
      </c>
      <c r="Y8" s="134">
        <v>0.8</v>
      </c>
      <c r="Z8" s="134">
        <v>0.8</v>
      </c>
      <c r="AA8"/>
      <c r="AD8"/>
    </row>
    <row r="9" spans="1:30" s="125" customFormat="1" ht="15" customHeight="1" x14ac:dyDescent="0.2">
      <c r="A9">
        <v>8</v>
      </c>
      <c r="B9" s="120" t="s">
        <v>195</v>
      </c>
      <c r="C9" s="134">
        <v>0.8</v>
      </c>
      <c r="D9" s="134">
        <v>0.8</v>
      </c>
      <c r="E9" s="134">
        <v>0.8</v>
      </c>
      <c r="F9" s="134">
        <v>0.8</v>
      </c>
      <c r="G9" s="134">
        <v>0.8</v>
      </c>
      <c r="H9" s="134">
        <v>0.8</v>
      </c>
      <c r="I9" s="134">
        <v>0.8</v>
      </c>
      <c r="J9" s="134">
        <v>0.8</v>
      </c>
      <c r="K9" s="134">
        <v>0.8</v>
      </c>
      <c r="L9" s="134">
        <v>0.8</v>
      </c>
      <c r="M9" s="134">
        <v>0.8</v>
      </c>
      <c r="N9" s="134">
        <v>0.8</v>
      </c>
      <c r="O9" s="134">
        <v>0.8</v>
      </c>
      <c r="P9" s="134">
        <v>0.8</v>
      </c>
      <c r="Q9" s="134">
        <v>0.8</v>
      </c>
      <c r="R9" s="134">
        <v>0.8</v>
      </c>
      <c r="S9" s="134">
        <v>0.8</v>
      </c>
      <c r="T9" s="134">
        <v>0.8</v>
      </c>
      <c r="U9" s="134">
        <v>0.8</v>
      </c>
      <c r="V9" s="134">
        <v>0.8</v>
      </c>
      <c r="W9" s="134">
        <v>0.8</v>
      </c>
      <c r="X9" s="134">
        <v>0.8</v>
      </c>
      <c r="Y9" s="134">
        <v>0.8</v>
      </c>
      <c r="Z9" s="134">
        <v>0.8</v>
      </c>
      <c r="AA9"/>
      <c r="AD9"/>
    </row>
    <row r="10" spans="1:30" s="125" customFormat="1" ht="15" customHeight="1" x14ac:dyDescent="0.2">
      <c r="A10">
        <v>9</v>
      </c>
      <c r="B10" s="120" t="s">
        <v>196</v>
      </c>
      <c r="C10" s="134">
        <v>0.8</v>
      </c>
      <c r="D10" s="134">
        <v>0.8</v>
      </c>
      <c r="E10" s="134">
        <v>0.8</v>
      </c>
      <c r="F10" s="134">
        <v>0.8</v>
      </c>
      <c r="G10" s="134">
        <v>0.8</v>
      </c>
      <c r="H10" s="134">
        <v>0.8</v>
      </c>
      <c r="I10" s="134">
        <v>0.8</v>
      </c>
      <c r="J10" s="134">
        <v>0.8</v>
      </c>
      <c r="K10" s="134">
        <v>0.8</v>
      </c>
      <c r="L10" s="134">
        <v>0.8</v>
      </c>
      <c r="M10" s="134">
        <v>0.8</v>
      </c>
      <c r="N10" s="134">
        <v>0.8</v>
      </c>
      <c r="O10" s="134">
        <v>0.8</v>
      </c>
      <c r="P10" s="134">
        <v>0.8</v>
      </c>
      <c r="Q10" s="134">
        <v>0.8</v>
      </c>
      <c r="R10" s="134">
        <v>0.8</v>
      </c>
      <c r="S10" s="134">
        <v>0.8</v>
      </c>
      <c r="T10" s="134">
        <v>0.8</v>
      </c>
      <c r="U10" s="134">
        <v>0.8</v>
      </c>
      <c r="V10" s="134">
        <v>0.8</v>
      </c>
      <c r="W10" s="134">
        <v>0.8</v>
      </c>
      <c r="X10" s="134">
        <v>0.8</v>
      </c>
      <c r="Y10" s="134">
        <v>0.8</v>
      </c>
      <c r="Z10" s="134">
        <v>0.8</v>
      </c>
      <c r="AA10"/>
      <c r="AD10"/>
    </row>
    <row r="11" spans="1:30" s="125" customFormat="1" ht="15" customHeight="1" x14ac:dyDescent="0.2">
      <c r="A11">
        <v>10</v>
      </c>
      <c r="B11" s="120" t="s">
        <v>197</v>
      </c>
      <c r="C11" s="134">
        <v>0.8</v>
      </c>
      <c r="D11" s="134">
        <v>0.8</v>
      </c>
      <c r="E11" s="134">
        <v>0.8</v>
      </c>
      <c r="F11" s="134">
        <v>0.8</v>
      </c>
      <c r="G11" s="134">
        <v>0.8</v>
      </c>
      <c r="H11" s="134">
        <v>0.8</v>
      </c>
      <c r="I11" s="134">
        <v>0.8</v>
      </c>
      <c r="J11" s="134">
        <v>0.8</v>
      </c>
      <c r="K11" s="134">
        <v>0.8</v>
      </c>
      <c r="L11" s="134">
        <v>0.8</v>
      </c>
      <c r="M11" s="134">
        <v>0.8</v>
      </c>
      <c r="N11" s="134">
        <v>0.8</v>
      </c>
      <c r="O11" s="134">
        <v>0.8</v>
      </c>
      <c r="P11" s="134">
        <v>0.8</v>
      </c>
      <c r="Q11" s="134">
        <v>0.8</v>
      </c>
      <c r="R11" s="134">
        <v>0.8</v>
      </c>
      <c r="S11" s="134">
        <v>0.8</v>
      </c>
      <c r="T11" s="134">
        <v>0.8</v>
      </c>
      <c r="U11" s="134">
        <v>0.8</v>
      </c>
      <c r="V11" s="134">
        <v>0.8</v>
      </c>
      <c r="W11" s="134">
        <v>0.8</v>
      </c>
      <c r="X11" s="134">
        <v>0.8</v>
      </c>
      <c r="Y11" s="134">
        <v>0.8</v>
      </c>
      <c r="Z11" s="134">
        <v>0.8</v>
      </c>
      <c r="AA11"/>
      <c r="AD11"/>
    </row>
    <row r="12" spans="1:30" s="125" customFormat="1" ht="15" customHeight="1" x14ac:dyDescent="0.2">
      <c r="A12">
        <v>11</v>
      </c>
      <c r="B12" s="120" t="s">
        <v>198</v>
      </c>
      <c r="C12" s="134">
        <v>0.8</v>
      </c>
      <c r="D12" s="134">
        <v>0.8</v>
      </c>
      <c r="E12" s="134">
        <v>0.8</v>
      </c>
      <c r="F12" s="134">
        <v>0.8</v>
      </c>
      <c r="G12" s="134">
        <v>0.8</v>
      </c>
      <c r="H12" s="134">
        <v>0.8</v>
      </c>
      <c r="I12" s="134">
        <v>0.8</v>
      </c>
      <c r="J12" s="134">
        <v>0.8</v>
      </c>
      <c r="K12" s="134">
        <v>0.8</v>
      </c>
      <c r="L12" s="134">
        <v>0.8</v>
      </c>
      <c r="M12" s="134">
        <v>0.8</v>
      </c>
      <c r="N12" s="134">
        <v>0.8</v>
      </c>
      <c r="O12" s="134">
        <v>0.8</v>
      </c>
      <c r="P12" s="134">
        <v>0.8</v>
      </c>
      <c r="Q12" s="134">
        <v>0.8</v>
      </c>
      <c r="R12" s="134">
        <v>0.8</v>
      </c>
      <c r="S12" s="134">
        <v>0.8</v>
      </c>
      <c r="T12" s="134">
        <v>0.8</v>
      </c>
      <c r="U12" s="134">
        <v>0.8</v>
      </c>
      <c r="V12" s="134">
        <v>0.8</v>
      </c>
      <c r="W12" s="134">
        <v>0.8</v>
      </c>
      <c r="X12" s="134">
        <v>0.8</v>
      </c>
      <c r="Y12" s="134">
        <v>0.8</v>
      </c>
      <c r="Z12" s="134">
        <v>0.8</v>
      </c>
      <c r="AA12"/>
      <c r="AD12"/>
    </row>
    <row r="13" spans="1:30" s="125" customFormat="1" ht="15" customHeight="1" x14ac:dyDescent="0.2">
      <c r="A13">
        <v>12</v>
      </c>
      <c r="B13" s="120" t="s">
        <v>199</v>
      </c>
      <c r="C13" s="134">
        <v>0.8</v>
      </c>
      <c r="D13" s="134">
        <v>0.8</v>
      </c>
      <c r="E13" s="134">
        <v>0.8</v>
      </c>
      <c r="F13" s="134">
        <v>0.8</v>
      </c>
      <c r="G13" s="134">
        <v>0.8</v>
      </c>
      <c r="H13" s="134">
        <v>0.8</v>
      </c>
      <c r="I13" s="134">
        <v>0.8</v>
      </c>
      <c r="J13" s="134">
        <v>0.8</v>
      </c>
      <c r="K13" s="134">
        <v>0.8</v>
      </c>
      <c r="L13" s="134">
        <v>0.8</v>
      </c>
      <c r="M13" s="134">
        <v>0.8</v>
      </c>
      <c r="N13" s="134">
        <v>0.8</v>
      </c>
      <c r="O13" s="134">
        <v>0.8</v>
      </c>
      <c r="P13" s="134">
        <v>0.8</v>
      </c>
      <c r="Q13" s="134">
        <v>0.8</v>
      </c>
      <c r="R13" s="134">
        <v>0.8</v>
      </c>
      <c r="S13" s="134">
        <v>0.8</v>
      </c>
      <c r="T13" s="134">
        <v>0.8</v>
      </c>
      <c r="U13" s="134">
        <v>0.8</v>
      </c>
      <c r="V13" s="134">
        <v>0.8</v>
      </c>
      <c r="W13" s="134">
        <v>0.8</v>
      </c>
      <c r="X13" s="134">
        <v>0.8</v>
      </c>
      <c r="Y13" s="134">
        <v>0.8</v>
      </c>
      <c r="Z13" s="134">
        <v>0.8</v>
      </c>
      <c r="AA13"/>
      <c r="AD13"/>
    </row>
    <row r="14" spans="1:30" s="125" customFormat="1" ht="15" customHeight="1" x14ac:dyDescent="0.2">
      <c r="A14">
        <v>13</v>
      </c>
      <c r="B14" s="120" t="s">
        <v>200</v>
      </c>
      <c r="C14" s="134">
        <v>0.8</v>
      </c>
      <c r="D14" s="134">
        <v>0.8</v>
      </c>
      <c r="E14" s="134">
        <v>0.8</v>
      </c>
      <c r="F14" s="134">
        <v>0.8</v>
      </c>
      <c r="G14" s="134">
        <v>0.8</v>
      </c>
      <c r="H14" s="134">
        <v>0.8</v>
      </c>
      <c r="I14" s="134">
        <v>0.8</v>
      </c>
      <c r="J14" s="134">
        <v>0.8</v>
      </c>
      <c r="K14" s="134">
        <v>0.8</v>
      </c>
      <c r="L14" s="134">
        <v>0.8</v>
      </c>
      <c r="M14" s="134">
        <v>0.8</v>
      </c>
      <c r="N14" s="134">
        <v>0.8</v>
      </c>
      <c r="O14" s="134">
        <v>0.8</v>
      </c>
      <c r="P14" s="134">
        <v>0.8</v>
      </c>
      <c r="Q14" s="134">
        <v>0.8</v>
      </c>
      <c r="R14" s="134">
        <v>0.8</v>
      </c>
      <c r="S14" s="134">
        <v>0.8</v>
      </c>
      <c r="T14" s="134">
        <v>0.8</v>
      </c>
      <c r="U14" s="134">
        <v>0.8</v>
      </c>
      <c r="V14" s="134">
        <v>0.8</v>
      </c>
      <c r="W14" s="134">
        <v>0.8</v>
      </c>
      <c r="X14" s="134">
        <v>0.8</v>
      </c>
      <c r="Y14" s="134">
        <v>0.8</v>
      </c>
      <c r="Z14" s="134">
        <v>0.8</v>
      </c>
      <c r="AA14"/>
      <c r="AD14"/>
    </row>
    <row r="15" spans="1:30" s="125" customFormat="1" ht="15" customHeight="1" x14ac:dyDescent="0.2">
      <c r="A15">
        <v>14</v>
      </c>
      <c r="B15" s="120" t="s">
        <v>201</v>
      </c>
      <c r="C15" s="134">
        <v>0.8</v>
      </c>
      <c r="D15" s="134">
        <v>0.8</v>
      </c>
      <c r="E15" s="134">
        <v>0.8</v>
      </c>
      <c r="F15" s="134">
        <v>0.8</v>
      </c>
      <c r="G15" s="134">
        <v>0.8</v>
      </c>
      <c r="H15" s="134">
        <v>0.8</v>
      </c>
      <c r="I15" s="134">
        <v>0.8</v>
      </c>
      <c r="J15" s="134">
        <v>0.8</v>
      </c>
      <c r="K15" s="134">
        <v>0.8</v>
      </c>
      <c r="L15" s="134">
        <v>0.8</v>
      </c>
      <c r="M15" s="134">
        <v>0.8</v>
      </c>
      <c r="N15" s="134">
        <v>0.8</v>
      </c>
      <c r="O15" s="134">
        <v>0.8</v>
      </c>
      <c r="P15" s="134">
        <v>0.8</v>
      </c>
      <c r="Q15" s="134">
        <v>0.8</v>
      </c>
      <c r="R15" s="134">
        <v>0.8</v>
      </c>
      <c r="S15" s="134">
        <v>0.8</v>
      </c>
      <c r="T15" s="134">
        <v>0.8</v>
      </c>
      <c r="U15" s="134">
        <v>0.8</v>
      </c>
      <c r="V15" s="134">
        <v>0.8</v>
      </c>
      <c r="W15" s="134">
        <v>0.8</v>
      </c>
      <c r="X15" s="134">
        <v>0.8</v>
      </c>
      <c r="Y15" s="134">
        <v>0.8</v>
      </c>
      <c r="Z15" s="134">
        <v>0.8</v>
      </c>
      <c r="AA15"/>
      <c r="AD15"/>
    </row>
    <row r="16" spans="1:30" s="125" customFormat="1" ht="15" customHeight="1" x14ac:dyDescent="0.2">
      <c r="A16">
        <v>15</v>
      </c>
      <c r="B16" s="120" t="s">
        <v>273</v>
      </c>
      <c r="C16" s="134">
        <v>0.8</v>
      </c>
      <c r="D16" s="134">
        <v>0.8</v>
      </c>
      <c r="E16" s="134">
        <v>0.8</v>
      </c>
      <c r="F16" s="134">
        <v>0.8</v>
      </c>
      <c r="G16" s="134">
        <v>0.8</v>
      </c>
      <c r="H16" s="134">
        <v>0.8</v>
      </c>
      <c r="I16" s="134">
        <v>0.8</v>
      </c>
      <c r="J16" s="134">
        <v>0.8</v>
      </c>
      <c r="K16" s="134">
        <v>0.8</v>
      </c>
      <c r="L16" s="134">
        <v>0.8</v>
      </c>
      <c r="M16" s="134">
        <v>0.8</v>
      </c>
      <c r="N16" s="134">
        <v>0.8</v>
      </c>
      <c r="O16" s="134">
        <v>0.8</v>
      </c>
      <c r="P16" s="134">
        <v>0.8</v>
      </c>
      <c r="Q16" s="134">
        <v>0.8</v>
      </c>
      <c r="R16" s="134">
        <v>0.8</v>
      </c>
      <c r="S16" s="134">
        <v>0.8</v>
      </c>
      <c r="T16" s="134">
        <v>0.8</v>
      </c>
      <c r="U16" s="134">
        <v>0.8</v>
      </c>
      <c r="V16" s="134">
        <v>0.8</v>
      </c>
      <c r="W16" s="134">
        <v>0.8</v>
      </c>
      <c r="X16" s="134">
        <v>0.8</v>
      </c>
      <c r="Y16" s="134">
        <v>0.8</v>
      </c>
      <c r="Z16" s="134">
        <v>0.8</v>
      </c>
      <c r="AA16"/>
      <c r="AD16"/>
    </row>
    <row r="17" spans="1:30" s="125" customFormat="1" ht="15" customHeight="1" x14ac:dyDescent="0.2">
      <c r="A17">
        <v>16</v>
      </c>
      <c r="B17" s="120" t="s">
        <v>202</v>
      </c>
      <c r="C17" s="134">
        <v>0.8</v>
      </c>
      <c r="D17" s="134">
        <v>0.8</v>
      </c>
      <c r="E17" s="134">
        <v>0.8</v>
      </c>
      <c r="F17" s="134">
        <v>0.8</v>
      </c>
      <c r="G17" s="134">
        <v>0.8</v>
      </c>
      <c r="H17" s="134">
        <v>0.8</v>
      </c>
      <c r="I17" s="134">
        <v>0.8</v>
      </c>
      <c r="J17" s="134">
        <v>0.8</v>
      </c>
      <c r="K17" s="134">
        <v>0.8</v>
      </c>
      <c r="L17" s="134">
        <v>0.8</v>
      </c>
      <c r="M17" s="134">
        <v>0.8</v>
      </c>
      <c r="N17" s="134">
        <v>0.8</v>
      </c>
      <c r="O17" s="134">
        <v>0.8</v>
      </c>
      <c r="P17" s="134">
        <v>0.8</v>
      </c>
      <c r="Q17" s="134">
        <v>0.8</v>
      </c>
      <c r="R17" s="134">
        <v>0.8</v>
      </c>
      <c r="S17" s="134">
        <v>0.8</v>
      </c>
      <c r="T17" s="134">
        <v>0.8</v>
      </c>
      <c r="U17" s="134">
        <v>0.8</v>
      </c>
      <c r="V17" s="134">
        <v>0.8</v>
      </c>
      <c r="W17" s="134">
        <v>0.8</v>
      </c>
      <c r="X17" s="134">
        <v>0.8</v>
      </c>
      <c r="Y17" s="134">
        <v>0.8</v>
      </c>
      <c r="Z17" s="134">
        <v>0.8</v>
      </c>
      <c r="AA17"/>
      <c r="AD17"/>
    </row>
    <row r="18" spans="1:30" s="125" customFormat="1" ht="15" customHeight="1" x14ac:dyDescent="0.2">
      <c r="A18">
        <v>17</v>
      </c>
      <c r="B18" s="120" t="s">
        <v>203</v>
      </c>
      <c r="C18" s="134">
        <v>0.8</v>
      </c>
      <c r="D18" s="134">
        <v>0.8</v>
      </c>
      <c r="E18" s="134">
        <v>0.8</v>
      </c>
      <c r="F18" s="134">
        <v>0.8</v>
      </c>
      <c r="G18" s="134">
        <v>0.8</v>
      </c>
      <c r="H18" s="134">
        <v>0.8</v>
      </c>
      <c r="I18" s="134">
        <v>0.8</v>
      </c>
      <c r="J18" s="134">
        <v>0.8</v>
      </c>
      <c r="K18" s="134">
        <v>0.8</v>
      </c>
      <c r="L18" s="134">
        <v>0.8</v>
      </c>
      <c r="M18" s="134">
        <v>0.8</v>
      </c>
      <c r="N18" s="134">
        <v>0.8</v>
      </c>
      <c r="O18" s="134">
        <v>0.8</v>
      </c>
      <c r="P18" s="134">
        <v>0.8</v>
      </c>
      <c r="Q18" s="134">
        <v>0.8</v>
      </c>
      <c r="R18" s="134">
        <v>0.8</v>
      </c>
      <c r="S18" s="134">
        <v>0.8</v>
      </c>
      <c r="T18" s="134">
        <v>0.8</v>
      </c>
      <c r="U18" s="134">
        <v>0.8</v>
      </c>
      <c r="V18" s="134">
        <v>0.8</v>
      </c>
      <c r="W18" s="134">
        <v>0.8</v>
      </c>
      <c r="X18" s="134">
        <v>0.8</v>
      </c>
      <c r="Y18" s="134">
        <v>0.8</v>
      </c>
      <c r="Z18" s="134">
        <v>0.8</v>
      </c>
      <c r="AA18"/>
      <c r="AD18"/>
    </row>
    <row r="19" spans="1:30" s="125" customFormat="1" ht="15" customHeight="1" x14ac:dyDescent="0.2">
      <c r="A19">
        <v>18</v>
      </c>
      <c r="B19" s="120" t="s">
        <v>204</v>
      </c>
      <c r="C19" s="134">
        <v>0.8</v>
      </c>
      <c r="D19" s="134">
        <v>0.8</v>
      </c>
      <c r="E19" s="134">
        <v>0.8</v>
      </c>
      <c r="F19" s="134">
        <v>0.8</v>
      </c>
      <c r="G19" s="134">
        <v>0.8</v>
      </c>
      <c r="H19" s="134">
        <v>0.8</v>
      </c>
      <c r="I19" s="134">
        <v>0.8</v>
      </c>
      <c r="J19" s="134">
        <v>0.8</v>
      </c>
      <c r="K19" s="134">
        <v>0.8</v>
      </c>
      <c r="L19" s="134">
        <v>0.8</v>
      </c>
      <c r="M19" s="134">
        <v>0.8</v>
      </c>
      <c r="N19" s="134">
        <v>0.8</v>
      </c>
      <c r="O19" s="134">
        <v>0.8</v>
      </c>
      <c r="P19" s="134">
        <v>0.8</v>
      </c>
      <c r="Q19" s="134">
        <v>0.8</v>
      </c>
      <c r="R19" s="134">
        <v>0.8</v>
      </c>
      <c r="S19" s="134">
        <v>0.8</v>
      </c>
      <c r="T19" s="134">
        <v>0.8</v>
      </c>
      <c r="U19" s="134">
        <v>0.8</v>
      </c>
      <c r="V19" s="134">
        <v>0.8</v>
      </c>
      <c r="W19" s="134">
        <v>0.8</v>
      </c>
      <c r="X19" s="134">
        <v>0.8</v>
      </c>
      <c r="Y19" s="134">
        <v>0.8</v>
      </c>
      <c r="Z19" s="134">
        <v>0.8</v>
      </c>
      <c r="AA19"/>
      <c r="AD19"/>
    </row>
    <row r="20" spans="1:30" s="125" customFormat="1" ht="15" customHeight="1" x14ac:dyDescent="0.2">
      <c r="A20">
        <v>19</v>
      </c>
      <c r="B20" s="120" t="s">
        <v>205</v>
      </c>
      <c r="C20" s="134">
        <v>0.8</v>
      </c>
      <c r="D20" s="134">
        <v>0.8</v>
      </c>
      <c r="E20" s="134">
        <v>0.8</v>
      </c>
      <c r="F20" s="134">
        <v>0.8</v>
      </c>
      <c r="G20" s="134">
        <v>0.8</v>
      </c>
      <c r="H20" s="134">
        <v>0.8</v>
      </c>
      <c r="I20" s="134">
        <v>0.8</v>
      </c>
      <c r="J20" s="134">
        <v>0.8</v>
      </c>
      <c r="K20" s="134">
        <v>0.8</v>
      </c>
      <c r="L20" s="134">
        <v>0.8</v>
      </c>
      <c r="M20" s="134">
        <v>0.8</v>
      </c>
      <c r="N20" s="134">
        <v>0.8</v>
      </c>
      <c r="O20" s="134">
        <v>0.8</v>
      </c>
      <c r="P20" s="134">
        <v>0.8</v>
      </c>
      <c r="Q20" s="134">
        <v>0.8</v>
      </c>
      <c r="R20" s="134">
        <v>0.8</v>
      </c>
      <c r="S20" s="134">
        <v>0.8</v>
      </c>
      <c r="T20" s="134">
        <v>0.8</v>
      </c>
      <c r="U20" s="134">
        <v>0.8</v>
      </c>
      <c r="V20" s="134">
        <v>0.8</v>
      </c>
      <c r="W20" s="134">
        <v>0.8</v>
      </c>
      <c r="X20" s="134">
        <v>0.8</v>
      </c>
      <c r="Y20" s="134">
        <v>0.8</v>
      </c>
      <c r="Z20" s="134">
        <v>0.8</v>
      </c>
      <c r="AA20"/>
      <c r="AD20"/>
    </row>
    <row r="21" spans="1:30" s="125" customFormat="1" ht="15" customHeight="1" x14ac:dyDescent="0.2">
      <c r="A21">
        <v>20</v>
      </c>
      <c r="B21" s="120" t="s">
        <v>206</v>
      </c>
      <c r="C21" s="134">
        <v>0.8</v>
      </c>
      <c r="D21" s="134">
        <v>0.8</v>
      </c>
      <c r="E21" s="134">
        <v>0.8</v>
      </c>
      <c r="F21" s="134">
        <v>0.8</v>
      </c>
      <c r="G21" s="134">
        <v>0.8</v>
      </c>
      <c r="H21" s="134">
        <v>0.8</v>
      </c>
      <c r="I21" s="134">
        <v>0.8</v>
      </c>
      <c r="J21" s="134">
        <v>0.8</v>
      </c>
      <c r="K21" s="134">
        <v>0.8</v>
      </c>
      <c r="L21" s="134">
        <v>0.8</v>
      </c>
      <c r="M21" s="134">
        <v>0.8</v>
      </c>
      <c r="N21" s="134">
        <v>0.8</v>
      </c>
      <c r="O21" s="134">
        <v>0.8</v>
      </c>
      <c r="P21" s="134">
        <v>0.8</v>
      </c>
      <c r="Q21" s="134">
        <v>0.8</v>
      </c>
      <c r="R21" s="134">
        <v>0.8</v>
      </c>
      <c r="S21" s="134">
        <v>0.8</v>
      </c>
      <c r="T21" s="134">
        <v>0.8</v>
      </c>
      <c r="U21" s="134">
        <v>0.8</v>
      </c>
      <c r="V21" s="134">
        <v>0.8</v>
      </c>
      <c r="W21" s="134">
        <v>0.8</v>
      </c>
      <c r="X21" s="134">
        <v>0.8</v>
      </c>
      <c r="Y21" s="134">
        <v>0.8</v>
      </c>
      <c r="Z21" s="134">
        <v>0.8</v>
      </c>
      <c r="AA21"/>
      <c r="AD21"/>
    </row>
    <row r="22" spans="1:30" s="125" customFormat="1" ht="15" customHeight="1" x14ac:dyDescent="0.2">
      <c r="A22">
        <v>21</v>
      </c>
      <c r="B22" s="120" t="s">
        <v>207</v>
      </c>
      <c r="C22" s="134">
        <v>0.8</v>
      </c>
      <c r="D22" s="134">
        <v>0.8</v>
      </c>
      <c r="E22" s="134">
        <v>0.8</v>
      </c>
      <c r="F22" s="134">
        <v>0.8</v>
      </c>
      <c r="G22" s="134">
        <v>0.8</v>
      </c>
      <c r="H22" s="134">
        <v>0.8</v>
      </c>
      <c r="I22" s="134">
        <v>0.8</v>
      </c>
      <c r="J22" s="134">
        <v>0.8</v>
      </c>
      <c r="K22" s="134">
        <v>0.8</v>
      </c>
      <c r="L22" s="134">
        <v>0.8</v>
      </c>
      <c r="M22" s="134">
        <v>0.8</v>
      </c>
      <c r="N22" s="134">
        <v>0.8</v>
      </c>
      <c r="O22" s="134">
        <v>0.8</v>
      </c>
      <c r="P22" s="134">
        <v>0.8</v>
      </c>
      <c r="Q22" s="134">
        <v>0.8</v>
      </c>
      <c r="R22" s="134">
        <v>0.8</v>
      </c>
      <c r="S22" s="134">
        <v>0.8</v>
      </c>
      <c r="T22" s="134">
        <v>0.8</v>
      </c>
      <c r="U22" s="134">
        <v>0.8</v>
      </c>
      <c r="V22" s="134">
        <v>0.8</v>
      </c>
      <c r="W22" s="134">
        <v>0.8</v>
      </c>
      <c r="X22" s="134">
        <v>0.8</v>
      </c>
      <c r="Y22" s="134">
        <v>0.8</v>
      </c>
      <c r="Z22" s="134">
        <v>0.8</v>
      </c>
      <c r="AA22"/>
      <c r="AD22"/>
    </row>
    <row r="23" spans="1:30" s="125" customFormat="1" ht="15" customHeight="1" x14ac:dyDescent="0.2">
      <c r="A23">
        <v>22</v>
      </c>
      <c r="B23" s="120" t="s">
        <v>208</v>
      </c>
      <c r="C23" s="134">
        <v>0.8</v>
      </c>
      <c r="D23" s="134">
        <v>0.8</v>
      </c>
      <c r="E23" s="134">
        <v>0.8</v>
      </c>
      <c r="F23" s="134">
        <v>0.8</v>
      </c>
      <c r="G23" s="134">
        <v>0.8</v>
      </c>
      <c r="H23" s="134">
        <v>0.8</v>
      </c>
      <c r="I23" s="134">
        <v>0.8</v>
      </c>
      <c r="J23" s="134">
        <v>0.8</v>
      </c>
      <c r="K23" s="134">
        <v>0.8</v>
      </c>
      <c r="L23" s="134">
        <v>0.8</v>
      </c>
      <c r="M23" s="134">
        <v>0.8</v>
      </c>
      <c r="N23" s="134">
        <v>0.8</v>
      </c>
      <c r="O23" s="134">
        <v>0.8</v>
      </c>
      <c r="P23" s="134">
        <v>0.8</v>
      </c>
      <c r="Q23" s="134">
        <v>0.8</v>
      </c>
      <c r="R23" s="134">
        <v>0.8</v>
      </c>
      <c r="S23" s="134">
        <v>0.8</v>
      </c>
      <c r="T23" s="134">
        <v>0.8</v>
      </c>
      <c r="U23" s="134">
        <v>0.8</v>
      </c>
      <c r="V23" s="134">
        <v>0.8</v>
      </c>
      <c r="W23" s="134">
        <v>0.8</v>
      </c>
      <c r="X23" s="134">
        <v>0.8</v>
      </c>
      <c r="Y23" s="134">
        <v>0.8</v>
      </c>
      <c r="Z23" s="134">
        <v>0.8</v>
      </c>
      <c r="AA23"/>
      <c r="AD23"/>
    </row>
    <row r="24" spans="1:30" s="125" customFormat="1" ht="15" customHeight="1" x14ac:dyDescent="0.2">
      <c r="A24">
        <v>23</v>
      </c>
      <c r="B24" s="120" t="s">
        <v>209</v>
      </c>
      <c r="C24" s="134">
        <v>0.8</v>
      </c>
      <c r="D24" s="134">
        <v>0.8</v>
      </c>
      <c r="E24" s="134">
        <v>0.8</v>
      </c>
      <c r="F24" s="134">
        <v>0.8</v>
      </c>
      <c r="G24" s="134">
        <v>0.8</v>
      </c>
      <c r="H24" s="134">
        <v>0.8</v>
      </c>
      <c r="I24" s="134">
        <v>0.8</v>
      </c>
      <c r="J24" s="134">
        <v>0.8</v>
      </c>
      <c r="K24" s="134">
        <v>0.8</v>
      </c>
      <c r="L24" s="134">
        <v>0.8</v>
      </c>
      <c r="M24" s="134">
        <v>0.8</v>
      </c>
      <c r="N24" s="134">
        <v>0.8</v>
      </c>
      <c r="O24" s="134">
        <v>0.8</v>
      </c>
      <c r="P24" s="134">
        <v>0.8</v>
      </c>
      <c r="Q24" s="134">
        <v>0.8</v>
      </c>
      <c r="R24" s="134">
        <v>0.8</v>
      </c>
      <c r="S24" s="134">
        <v>0.8</v>
      </c>
      <c r="T24" s="134">
        <v>0.8</v>
      </c>
      <c r="U24" s="134">
        <v>0.8</v>
      </c>
      <c r="V24" s="134">
        <v>0.8</v>
      </c>
      <c r="W24" s="134">
        <v>0.8</v>
      </c>
      <c r="X24" s="134">
        <v>0.8</v>
      </c>
      <c r="Y24" s="134">
        <v>0.8</v>
      </c>
      <c r="Z24" s="134">
        <v>0.8</v>
      </c>
      <c r="AA24"/>
      <c r="AD24"/>
    </row>
    <row r="25" spans="1:30" s="125" customFormat="1" ht="15" customHeight="1" x14ac:dyDescent="0.2">
      <c r="A25">
        <v>24</v>
      </c>
      <c r="B25" s="120" t="s">
        <v>210</v>
      </c>
      <c r="C25" s="134">
        <v>0.8</v>
      </c>
      <c r="D25" s="134">
        <v>0.8</v>
      </c>
      <c r="E25" s="134">
        <v>0.8</v>
      </c>
      <c r="F25" s="134">
        <v>0.8</v>
      </c>
      <c r="G25" s="134">
        <v>0.8</v>
      </c>
      <c r="H25" s="134">
        <v>0.8</v>
      </c>
      <c r="I25" s="134">
        <v>0.8</v>
      </c>
      <c r="J25" s="134">
        <v>0.8</v>
      </c>
      <c r="K25" s="134">
        <v>0.8</v>
      </c>
      <c r="L25" s="134">
        <v>0.8</v>
      </c>
      <c r="M25" s="134">
        <v>0.8</v>
      </c>
      <c r="N25" s="134">
        <v>0.8</v>
      </c>
      <c r="O25" s="134">
        <v>0.8</v>
      </c>
      <c r="P25" s="134">
        <v>0.8</v>
      </c>
      <c r="Q25" s="134">
        <v>0.8</v>
      </c>
      <c r="R25" s="134">
        <v>0.8</v>
      </c>
      <c r="S25" s="134">
        <v>0.8</v>
      </c>
      <c r="T25" s="134">
        <v>0.8</v>
      </c>
      <c r="U25" s="134">
        <v>0.8</v>
      </c>
      <c r="V25" s="134">
        <v>0.8</v>
      </c>
      <c r="W25" s="134">
        <v>0.8</v>
      </c>
      <c r="X25" s="134">
        <v>0.8</v>
      </c>
      <c r="Y25" s="134">
        <v>0.8</v>
      </c>
      <c r="Z25" s="134">
        <v>0.8</v>
      </c>
      <c r="AA25"/>
      <c r="AD25"/>
    </row>
    <row r="26" spans="1:30" s="125" customFormat="1" ht="15" customHeight="1" x14ac:dyDescent="0.2">
      <c r="A26">
        <v>25</v>
      </c>
      <c r="B26" s="120" t="s">
        <v>211</v>
      </c>
      <c r="C26" s="134">
        <v>0.8</v>
      </c>
      <c r="D26" s="134">
        <v>0.8</v>
      </c>
      <c r="E26" s="134">
        <v>0.8</v>
      </c>
      <c r="F26" s="134">
        <v>0.8</v>
      </c>
      <c r="G26" s="134">
        <v>0.8</v>
      </c>
      <c r="H26" s="134">
        <v>0.8</v>
      </c>
      <c r="I26" s="134">
        <v>0.8</v>
      </c>
      <c r="J26" s="134">
        <v>0.8</v>
      </c>
      <c r="K26" s="134">
        <v>0.8</v>
      </c>
      <c r="L26" s="134">
        <v>0.8</v>
      </c>
      <c r="M26" s="134">
        <v>0.8</v>
      </c>
      <c r="N26" s="134">
        <v>0.8</v>
      </c>
      <c r="O26" s="134">
        <v>0.8</v>
      </c>
      <c r="P26" s="134">
        <v>0.8</v>
      </c>
      <c r="Q26" s="134">
        <v>0.8</v>
      </c>
      <c r="R26" s="134">
        <v>0.8</v>
      </c>
      <c r="S26" s="134">
        <v>0.8</v>
      </c>
      <c r="T26" s="134">
        <v>0.8</v>
      </c>
      <c r="U26" s="134">
        <v>0.8</v>
      </c>
      <c r="V26" s="134">
        <v>0.8</v>
      </c>
      <c r="W26" s="134">
        <v>0.8</v>
      </c>
      <c r="X26" s="134">
        <v>0.8</v>
      </c>
      <c r="Y26" s="134">
        <v>0.8</v>
      </c>
      <c r="Z26" s="134">
        <v>0.8</v>
      </c>
      <c r="AA26"/>
      <c r="AD26"/>
    </row>
    <row r="27" spans="1:30" s="125" customFormat="1" ht="15" customHeight="1" x14ac:dyDescent="0.2">
      <c r="A27">
        <v>26</v>
      </c>
      <c r="B27" s="120" t="s">
        <v>212</v>
      </c>
      <c r="C27" s="134">
        <v>0.8</v>
      </c>
      <c r="D27" s="134">
        <v>0.8</v>
      </c>
      <c r="E27" s="134">
        <v>0.8</v>
      </c>
      <c r="F27" s="134">
        <v>0.8</v>
      </c>
      <c r="G27" s="134">
        <v>0.8</v>
      </c>
      <c r="H27" s="134">
        <v>0.8</v>
      </c>
      <c r="I27" s="134">
        <v>0.8</v>
      </c>
      <c r="J27" s="134">
        <v>0.8</v>
      </c>
      <c r="K27" s="134">
        <v>0.8</v>
      </c>
      <c r="L27" s="134">
        <v>0.8</v>
      </c>
      <c r="M27" s="134">
        <v>0.8</v>
      </c>
      <c r="N27" s="134">
        <v>0.8</v>
      </c>
      <c r="O27" s="134">
        <v>0.8</v>
      </c>
      <c r="P27" s="134">
        <v>0.8</v>
      </c>
      <c r="Q27" s="134">
        <v>0.8</v>
      </c>
      <c r="R27" s="134">
        <v>0.8</v>
      </c>
      <c r="S27" s="134">
        <v>0.8</v>
      </c>
      <c r="T27" s="134">
        <v>0.8</v>
      </c>
      <c r="U27" s="134">
        <v>0.8</v>
      </c>
      <c r="V27" s="134">
        <v>0.8</v>
      </c>
      <c r="W27" s="134">
        <v>0.8</v>
      </c>
      <c r="X27" s="134">
        <v>0.8</v>
      </c>
      <c r="Y27" s="134">
        <v>0.8</v>
      </c>
      <c r="Z27" s="134">
        <v>0.8</v>
      </c>
      <c r="AA27"/>
      <c r="AD27"/>
    </row>
    <row r="28" spans="1:30" s="125" customFormat="1" ht="15" customHeight="1" x14ac:dyDescent="0.2">
      <c r="A28">
        <v>27</v>
      </c>
      <c r="B28" s="120" t="s">
        <v>213</v>
      </c>
      <c r="C28" s="134">
        <v>0.8</v>
      </c>
      <c r="D28" s="134">
        <v>0.8</v>
      </c>
      <c r="E28" s="134">
        <v>0.8</v>
      </c>
      <c r="F28" s="134">
        <v>0.8</v>
      </c>
      <c r="G28" s="134">
        <v>0.8</v>
      </c>
      <c r="H28" s="134">
        <v>0.8</v>
      </c>
      <c r="I28" s="134">
        <v>0.8</v>
      </c>
      <c r="J28" s="134">
        <v>0.8</v>
      </c>
      <c r="K28" s="134">
        <v>0.8</v>
      </c>
      <c r="L28" s="134">
        <v>0.8</v>
      </c>
      <c r="M28" s="134">
        <v>0.8</v>
      </c>
      <c r="N28" s="134">
        <v>0.8</v>
      </c>
      <c r="O28" s="134">
        <v>0.8</v>
      </c>
      <c r="P28" s="134">
        <v>0.8</v>
      </c>
      <c r="Q28" s="134">
        <v>0.8</v>
      </c>
      <c r="R28" s="134">
        <v>0.8</v>
      </c>
      <c r="S28" s="134">
        <v>0.8</v>
      </c>
      <c r="T28" s="134">
        <v>0.8</v>
      </c>
      <c r="U28" s="134">
        <v>0.8</v>
      </c>
      <c r="V28" s="134">
        <v>0.8</v>
      </c>
      <c r="W28" s="134">
        <v>0.8</v>
      </c>
      <c r="X28" s="134">
        <v>0.8</v>
      </c>
      <c r="Y28" s="134">
        <v>0.8</v>
      </c>
      <c r="Z28" s="134">
        <v>0.8</v>
      </c>
      <c r="AA28"/>
      <c r="AD28"/>
    </row>
    <row r="29" spans="1:30" s="125" customFormat="1" ht="15" customHeight="1" x14ac:dyDescent="0.2">
      <c r="A29">
        <v>28</v>
      </c>
      <c r="B29" s="120" t="s">
        <v>214</v>
      </c>
      <c r="C29" s="134">
        <v>0.8</v>
      </c>
      <c r="D29" s="134">
        <v>0.8</v>
      </c>
      <c r="E29" s="134">
        <v>0.8</v>
      </c>
      <c r="F29" s="134">
        <v>0.8</v>
      </c>
      <c r="G29" s="134">
        <v>0.8</v>
      </c>
      <c r="H29" s="134">
        <v>0.8</v>
      </c>
      <c r="I29" s="134">
        <v>0.8</v>
      </c>
      <c r="J29" s="134">
        <v>0.8</v>
      </c>
      <c r="K29" s="134">
        <v>0.8</v>
      </c>
      <c r="L29" s="134">
        <v>0.8</v>
      </c>
      <c r="M29" s="134">
        <v>0.8</v>
      </c>
      <c r="N29" s="134">
        <v>0.8</v>
      </c>
      <c r="O29" s="134">
        <v>0.8</v>
      </c>
      <c r="P29" s="134">
        <v>0.8</v>
      </c>
      <c r="Q29" s="134">
        <v>0.8</v>
      </c>
      <c r="R29" s="134">
        <v>0.8</v>
      </c>
      <c r="S29" s="134">
        <v>0.8</v>
      </c>
      <c r="T29" s="134">
        <v>0.8</v>
      </c>
      <c r="U29" s="134">
        <v>0.8</v>
      </c>
      <c r="V29" s="134">
        <v>0.8</v>
      </c>
      <c r="W29" s="134">
        <v>0.8</v>
      </c>
      <c r="X29" s="134">
        <v>0.8</v>
      </c>
      <c r="Y29" s="134">
        <v>0.8</v>
      </c>
      <c r="Z29" s="134">
        <v>0.8</v>
      </c>
      <c r="AA29"/>
      <c r="AD29"/>
    </row>
    <row r="30" spans="1:30" s="125" customFormat="1" ht="15" customHeight="1" x14ac:dyDescent="0.2">
      <c r="A30">
        <v>29</v>
      </c>
      <c r="B30" s="120" t="s">
        <v>215</v>
      </c>
      <c r="C30" s="134">
        <v>0.8</v>
      </c>
      <c r="D30" s="134">
        <v>0.8</v>
      </c>
      <c r="E30" s="134">
        <v>0.8</v>
      </c>
      <c r="F30" s="134">
        <v>0.8</v>
      </c>
      <c r="G30" s="134">
        <v>0.8</v>
      </c>
      <c r="H30" s="134">
        <v>0.8</v>
      </c>
      <c r="I30" s="134">
        <v>0.8</v>
      </c>
      <c r="J30" s="134">
        <v>0.8</v>
      </c>
      <c r="K30" s="134">
        <v>0.8</v>
      </c>
      <c r="L30" s="134">
        <v>0.8</v>
      </c>
      <c r="M30" s="134">
        <v>0.8</v>
      </c>
      <c r="N30" s="134">
        <v>0.8</v>
      </c>
      <c r="O30" s="134">
        <v>0.8</v>
      </c>
      <c r="P30" s="134">
        <v>0.8</v>
      </c>
      <c r="Q30" s="134">
        <v>0.8</v>
      </c>
      <c r="R30" s="134">
        <v>0.8</v>
      </c>
      <c r="S30" s="134">
        <v>0.8</v>
      </c>
      <c r="T30" s="134">
        <v>0.8</v>
      </c>
      <c r="U30" s="134">
        <v>0.8</v>
      </c>
      <c r="V30" s="134">
        <v>0.8</v>
      </c>
      <c r="W30" s="134">
        <v>0.8</v>
      </c>
      <c r="X30" s="134">
        <v>0.8</v>
      </c>
      <c r="Y30" s="134">
        <v>0.8</v>
      </c>
      <c r="Z30" s="134">
        <v>0.8</v>
      </c>
      <c r="AA30"/>
      <c r="AD30"/>
    </row>
    <row r="31" spans="1:30" s="125" customFormat="1" ht="15" customHeight="1" x14ac:dyDescent="0.2">
      <c r="A31">
        <v>30</v>
      </c>
      <c r="B31" s="120" t="s">
        <v>216</v>
      </c>
      <c r="C31" s="134">
        <v>0.8</v>
      </c>
      <c r="D31" s="134">
        <v>0.8</v>
      </c>
      <c r="E31" s="134">
        <v>0.8</v>
      </c>
      <c r="F31" s="134">
        <v>0.8</v>
      </c>
      <c r="G31" s="134">
        <v>0.8</v>
      </c>
      <c r="H31" s="134">
        <v>0.8</v>
      </c>
      <c r="I31" s="134">
        <v>0.8</v>
      </c>
      <c r="J31" s="134">
        <v>0.8</v>
      </c>
      <c r="K31" s="134">
        <v>0.8</v>
      </c>
      <c r="L31" s="134">
        <v>0.8</v>
      </c>
      <c r="M31" s="134">
        <v>0.8</v>
      </c>
      <c r="N31" s="134">
        <v>0.8</v>
      </c>
      <c r="O31" s="134">
        <v>0.8</v>
      </c>
      <c r="P31" s="134">
        <v>0.8</v>
      </c>
      <c r="Q31" s="134">
        <v>0.8</v>
      </c>
      <c r="R31" s="134">
        <v>0.8</v>
      </c>
      <c r="S31" s="134">
        <v>0.8</v>
      </c>
      <c r="T31" s="134">
        <v>0.8</v>
      </c>
      <c r="U31" s="134">
        <v>0.8</v>
      </c>
      <c r="V31" s="134">
        <v>0.8</v>
      </c>
      <c r="W31" s="134">
        <v>0.8</v>
      </c>
      <c r="X31" s="134">
        <v>0.8</v>
      </c>
      <c r="Y31" s="134">
        <v>0.8</v>
      </c>
      <c r="Z31" s="134">
        <v>0.8</v>
      </c>
      <c r="AA31"/>
      <c r="AD31"/>
    </row>
    <row r="32" spans="1:30" s="125" customFormat="1" ht="15" customHeight="1" x14ac:dyDescent="0.2">
      <c r="A32">
        <v>31</v>
      </c>
      <c r="B32" s="120" t="s">
        <v>217</v>
      </c>
      <c r="C32" s="134">
        <v>0.8</v>
      </c>
      <c r="D32" s="134">
        <v>0.8</v>
      </c>
      <c r="E32" s="134">
        <v>0.8</v>
      </c>
      <c r="F32" s="134">
        <v>0.8</v>
      </c>
      <c r="G32" s="134">
        <v>0.8</v>
      </c>
      <c r="H32" s="134">
        <v>0.8</v>
      </c>
      <c r="I32" s="134">
        <v>0.8</v>
      </c>
      <c r="J32" s="134">
        <v>0.8</v>
      </c>
      <c r="K32" s="134">
        <v>0.8</v>
      </c>
      <c r="L32" s="134">
        <v>0.8</v>
      </c>
      <c r="M32" s="134">
        <v>0.8</v>
      </c>
      <c r="N32" s="134">
        <v>0.8</v>
      </c>
      <c r="O32" s="134">
        <v>0.8</v>
      </c>
      <c r="P32" s="134">
        <v>0.8</v>
      </c>
      <c r="Q32" s="134">
        <v>0.8</v>
      </c>
      <c r="R32" s="134">
        <v>0.8</v>
      </c>
      <c r="S32" s="134">
        <v>0.8</v>
      </c>
      <c r="T32" s="134">
        <v>0.8</v>
      </c>
      <c r="U32" s="134">
        <v>0.8</v>
      </c>
      <c r="V32" s="134">
        <v>0.8</v>
      </c>
      <c r="W32" s="134">
        <v>0.8</v>
      </c>
      <c r="X32" s="134">
        <v>0.8</v>
      </c>
      <c r="Y32" s="134">
        <v>0.8</v>
      </c>
      <c r="Z32" s="134">
        <v>0.8</v>
      </c>
      <c r="AA32"/>
      <c r="AD32"/>
    </row>
    <row r="33" spans="1:30" s="125" customFormat="1" ht="15" customHeight="1" x14ac:dyDescent="0.2">
      <c r="A33">
        <v>32</v>
      </c>
      <c r="B33" s="120" t="s">
        <v>218</v>
      </c>
      <c r="C33" s="134">
        <v>0.8</v>
      </c>
      <c r="D33" s="134">
        <v>0.8</v>
      </c>
      <c r="E33" s="134">
        <v>0.8</v>
      </c>
      <c r="F33" s="134">
        <v>0.8</v>
      </c>
      <c r="G33" s="134">
        <v>0.8</v>
      </c>
      <c r="H33" s="134">
        <v>0.8</v>
      </c>
      <c r="I33" s="134">
        <v>0.8</v>
      </c>
      <c r="J33" s="134">
        <v>0.8</v>
      </c>
      <c r="K33" s="134">
        <v>0.8</v>
      </c>
      <c r="L33" s="134">
        <v>0.8</v>
      </c>
      <c r="M33" s="134">
        <v>0.8</v>
      </c>
      <c r="N33" s="134">
        <v>0.8</v>
      </c>
      <c r="O33" s="134">
        <v>0.8</v>
      </c>
      <c r="P33" s="134">
        <v>0.8</v>
      </c>
      <c r="Q33" s="134">
        <v>0.8</v>
      </c>
      <c r="R33" s="134">
        <v>0.8</v>
      </c>
      <c r="S33" s="134">
        <v>0.8</v>
      </c>
      <c r="T33" s="134">
        <v>0.8</v>
      </c>
      <c r="U33" s="134">
        <v>0.8</v>
      </c>
      <c r="V33" s="134">
        <v>0.8</v>
      </c>
      <c r="W33" s="134">
        <v>0.8</v>
      </c>
      <c r="X33" s="134">
        <v>0.8</v>
      </c>
      <c r="Y33" s="134">
        <v>0.8</v>
      </c>
      <c r="Z33" s="134">
        <v>0.8</v>
      </c>
      <c r="AA33"/>
      <c r="AD33"/>
    </row>
    <row r="34" spans="1:30" s="125" customFormat="1" ht="15" customHeight="1" x14ac:dyDescent="0.2">
      <c r="A34">
        <v>33</v>
      </c>
      <c r="B34" s="120" t="s">
        <v>185</v>
      </c>
      <c r="C34" s="134">
        <v>0.8</v>
      </c>
      <c r="D34" s="134">
        <v>0.8</v>
      </c>
      <c r="E34" s="134">
        <v>0.8</v>
      </c>
      <c r="F34" s="134">
        <v>0.8</v>
      </c>
      <c r="G34" s="134">
        <v>0.8</v>
      </c>
      <c r="H34" s="134">
        <v>0.8</v>
      </c>
      <c r="I34" s="134">
        <v>0.8</v>
      </c>
      <c r="J34" s="134">
        <v>0.8</v>
      </c>
      <c r="K34" s="134">
        <v>0.8</v>
      </c>
      <c r="L34" s="134">
        <v>0.8</v>
      </c>
      <c r="M34" s="134">
        <v>0.8</v>
      </c>
      <c r="N34" s="134">
        <v>0.8</v>
      </c>
      <c r="O34" s="134">
        <v>0.8</v>
      </c>
      <c r="P34" s="134">
        <v>0.8</v>
      </c>
      <c r="Q34" s="134">
        <v>0.8</v>
      </c>
      <c r="R34" s="134">
        <v>0.8</v>
      </c>
      <c r="S34" s="134">
        <v>0.8</v>
      </c>
      <c r="T34" s="134">
        <v>0.8</v>
      </c>
      <c r="U34" s="134">
        <v>0.8</v>
      </c>
      <c r="V34" s="134">
        <v>0.8</v>
      </c>
      <c r="W34" s="134">
        <v>0.8</v>
      </c>
      <c r="X34" s="134">
        <v>0.8</v>
      </c>
      <c r="Y34" s="134">
        <v>0.8</v>
      </c>
      <c r="Z34" s="134">
        <v>0.8</v>
      </c>
      <c r="AA34"/>
      <c r="AD34"/>
    </row>
    <row r="35" spans="1:30" s="125" customFormat="1" ht="15" customHeight="1" x14ac:dyDescent="0.2">
      <c r="A35">
        <v>34</v>
      </c>
      <c r="B35" s="121" t="s">
        <v>123</v>
      </c>
      <c r="C35" s="134">
        <v>0.8</v>
      </c>
      <c r="D35" s="134">
        <v>0.8</v>
      </c>
      <c r="E35" s="134">
        <v>0.8</v>
      </c>
      <c r="F35" s="134">
        <v>0.8</v>
      </c>
      <c r="G35" s="134">
        <v>0.8</v>
      </c>
      <c r="H35" s="134">
        <v>0.8</v>
      </c>
      <c r="I35" s="134">
        <v>0.8</v>
      </c>
      <c r="J35" s="134">
        <v>0.8</v>
      </c>
      <c r="K35" s="134">
        <v>0.8</v>
      </c>
      <c r="L35" s="134">
        <v>0.8</v>
      </c>
      <c r="M35" s="134">
        <v>0.8</v>
      </c>
      <c r="N35" s="134">
        <v>0.8</v>
      </c>
      <c r="O35" s="134">
        <v>0.8</v>
      </c>
      <c r="P35" s="134">
        <v>0.8</v>
      </c>
      <c r="Q35" s="134">
        <v>0.8</v>
      </c>
      <c r="R35" s="134">
        <v>0.8</v>
      </c>
      <c r="S35" s="134">
        <v>0.8</v>
      </c>
      <c r="T35" s="134">
        <v>0.8</v>
      </c>
      <c r="U35" s="134">
        <v>0.8</v>
      </c>
      <c r="V35" s="134">
        <v>0.8</v>
      </c>
      <c r="W35" s="134">
        <v>0.8</v>
      </c>
      <c r="X35" s="134">
        <v>0.8</v>
      </c>
      <c r="Y35" s="134">
        <v>0.8</v>
      </c>
      <c r="Z35" s="134">
        <v>0.8</v>
      </c>
      <c r="AA35"/>
      <c r="AD35"/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AD35"/>
  <sheetViews>
    <sheetView workbookViewId="0">
      <selection activeCell="A39" sqref="A39"/>
    </sheetView>
  </sheetViews>
  <sheetFormatPr baseColWidth="10" defaultRowHeight="13" x14ac:dyDescent="0.15"/>
  <cols>
    <col min="1" max="1" width="17.83203125" customWidth="1"/>
    <col min="2" max="2" width="26.5" bestFit="1" customWidth="1"/>
    <col min="3" max="3" width="16" bestFit="1" customWidth="1"/>
    <col min="4" max="4" width="16.33203125" bestFit="1" customWidth="1"/>
  </cols>
  <sheetData>
    <row r="1" spans="1:30" ht="34" x14ac:dyDescent="0.2">
      <c r="A1" s="5" t="s">
        <v>82</v>
      </c>
      <c r="B1" s="3" t="s">
        <v>0</v>
      </c>
      <c r="C1" s="130" t="s">
        <v>224</v>
      </c>
      <c r="D1" s="131" t="s">
        <v>225</v>
      </c>
      <c r="E1" s="132" t="s">
        <v>226</v>
      </c>
      <c r="F1" s="133" t="s">
        <v>227</v>
      </c>
      <c r="G1" s="133" t="s">
        <v>228</v>
      </c>
      <c r="H1" s="133" t="s">
        <v>229</v>
      </c>
      <c r="I1" s="133" t="s">
        <v>230</v>
      </c>
      <c r="J1" s="133" t="s">
        <v>231</v>
      </c>
      <c r="K1" s="133" t="s">
        <v>232</v>
      </c>
      <c r="L1" s="133" t="s">
        <v>233</v>
      </c>
      <c r="M1" s="133" t="s">
        <v>235</v>
      </c>
      <c r="N1" s="133" t="s">
        <v>234</v>
      </c>
      <c r="O1" s="133" t="s">
        <v>236</v>
      </c>
      <c r="P1" s="133" t="s">
        <v>237</v>
      </c>
      <c r="Q1" s="133" t="s">
        <v>238</v>
      </c>
      <c r="R1" s="133" t="s">
        <v>239</v>
      </c>
      <c r="S1" s="133" t="s">
        <v>240</v>
      </c>
      <c r="T1" s="133" t="s">
        <v>241</v>
      </c>
      <c r="U1" s="133" t="s">
        <v>242</v>
      </c>
      <c r="V1" s="133" t="s">
        <v>243</v>
      </c>
      <c r="W1" s="133" t="s">
        <v>244</v>
      </c>
      <c r="X1" s="133" t="s">
        <v>245</v>
      </c>
      <c r="Y1" s="133" t="s">
        <v>246</v>
      </c>
      <c r="Z1" s="133" t="s">
        <v>247</v>
      </c>
    </row>
    <row r="2" spans="1:30" s="125" customFormat="1" ht="15" customHeight="1" x14ac:dyDescent="0.2">
      <c r="A2" s="75">
        <v>1</v>
      </c>
      <c r="B2" s="120" t="s">
        <v>189</v>
      </c>
      <c r="C2" s="134">
        <v>0.8</v>
      </c>
      <c r="D2" s="134">
        <v>0.8</v>
      </c>
      <c r="E2" s="134">
        <v>0.8</v>
      </c>
      <c r="F2" s="134">
        <v>0.8</v>
      </c>
      <c r="G2" s="134">
        <v>0.8</v>
      </c>
      <c r="H2" s="134">
        <v>0.8</v>
      </c>
      <c r="I2" s="134">
        <v>0.8</v>
      </c>
      <c r="J2" s="134">
        <v>0.8</v>
      </c>
      <c r="K2" s="134">
        <v>0.8</v>
      </c>
      <c r="L2" s="134">
        <v>0.8</v>
      </c>
      <c r="M2" s="134">
        <v>0.8</v>
      </c>
      <c r="N2" s="134">
        <v>0.8</v>
      </c>
      <c r="O2" s="134">
        <v>0.8</v>
      </c>
      <c r="P2" s="134">
        <v>0.8</v>
      </c>
      <c r="Q2" s="134">
        <v>0.8</v>
      </c>
      <c r="R2" s="134">
        <v>0.8</v>
      </c>
      <c r="S2" s="134">
        <v>0.8</v>
      </c>
      <c r="T2" s="134">
        <v>0.8</v>
      </c>
      <c r="U2" s="134">
        <v>0.8</v>
      </c>
      <c r="V2" s="134">
        <v>0.8</v>
      </c>
      <c r="W2" s="134">
        <v>0.8</v>
      </c>
      <c r="X2" s="134">
        <v>0.8</v>
      </c>
      <c r="Y2" s="134">
        <v>0.8</v>
      </c>
      <c r="Z2" s="134">
        <v>0.8</v>
      </c>
      <c r="AA2"/>
      <c r="AD2"/>
    </row>
    <row r="3" spans="1:30" s="125" customFormat="1" ht="15" customHeight="1" x14ac:dyDescent="0.2">
      <c r="A3">
        <v>2</v>
      </c>
      <c r="B3" s="120" t="s">
        <v>221</v>
      </c>
      <c r="C3" s="134">
        <v>0.8</v>
      </c>
      <c r="D3" s="134">
        <v>0.8</v>
      </c>
      <c r="E3" s="134">
        <v>0.8</v>
      </c>
      <c r="F3" s="134">
        <v>0.8</v>
      </c>
      <c r="G3" s="134">
        <v>0.8</v>
      </c>
      <c r="H3" s="134">
        <v>0.8</v>
      </c>
      <c r="I3" s="134">
        <v>0.8</v>
      </c>
      <c r="J3" s="134">
        <v>0.8</v>
      </c>
      <c r="K3" s="134">
        <v>0.8</v>
      </c>
      <c r="L3" s="134">
        <v>0.8</v>
      </c>
      <c r="M3" s="134">
        <v>0.8</v>
      </c>
      <c r="N3" s="134">
        <v>0.8</v>
      </c>
      <c r="O3" s="134">
        <v>0.8</v>
      </c>
      <c r="P3" s="134">
        <v>0.8</v>
      </c>
      <c r="Q3" s="134">
        <v>0.8</v>
      </c>
      <c r="R3" s="134">
        <v>0.8</v>
      </c>
      <c r="S3" s="134">
        <v>0.8</v>
      </c>
      <c r="T3" s="134">
        <v>0.8</v>
      </c>
      <c r="U3" s="134">
        <v>0.8</v>
      </c>
      <c r="V3" s="134">
        <v>0.8</v>
      </c>
      <c r="W3" s="134">
        <v>0.8</v>
      </c>
      <c r="X3" s="134">
        <v>0.8</v>
      </c>
      <c r="Y3" s="134">
        <v>0.8</v>
      </c>
      <c r="Z3" s="134">
        <v>0.8</v>
      </c>
      <c r="AA3"/>
      <c r="AD3"/>
    </row>
    <row r="4" spans="1:30" s="125" customFormat="1" ht="15" customHeight="1" x14ac:dyDescent="0.2">
      <c r="A4">
        <v>3</v>
      </c>
      <c r="B4" s="120" t="s">
        <v>190</v>
      </c>
      <c r="C4" s="134">
        <v>0.8</v>
      </c>
      <c r="D4" s="134">
        <v>0.8</v>
      </c>
      <c r="E4" s="134">
        <v>0.8</v>
      </c>
      <c r="F4" s="134">
        <v>0.8</v>
      </c>
      <c r="G4" s="134">
        <v>0.8</v>
      </c>
      <c r="H4" s="134">
        <v>0.8</v>
      </c>
      <c r="I4" s="134">
        <v>0.8</v>
      </c>
      <c r="J4" s="134">
        <v>0.8</v>
      </c>
      <c r="K4" s="134">
        <v>0.8</v>
      </c>
      <c r="L4" s="134">
        <v>0.8</v>
      </c>
      <c r="M4" s="134">
        <v>0.8</v>
      </c>
      <c r="N4" s="134">
        <v>0.8</v>
      </c>
      <c r="O4" s="134">
        <v>0.8</v>
      </c>
      <c r="P4" s="134">
        <v>0.8</v>
      </c>
      <c r="Q4" s="134">
        <v>0.8</v>
      </c>
      <c r="R4" s="134">
        <v>0.8</v>
      </c>
      <c r="S4" s="134">
        <v>0.8</v>
      </c>
      <c r="T4" s="134">
        <v>0.8</v>
      </c>
      <c r="U4" s="134">
        <v>0.8</v>
      </c>
      <c r="V4" s="134">
        <v>0.8</v>
      </c>
      <c r="W4" s="134">
        <v>0.8</v>
      </c>
      <c r="X4" s="134">
        <v>0.8</v>
      </c>
      <c r="Y4" s="134">
        <v>0.8</v>
      </c>
      <c r="Z4" s="134">
        <v>0.8</v>
      </c>
      <c r="AA4"/>
      <c r="AD4"/>
    </row>
    <row r="5" spans="1:30" s="125" customFormat="1" ht="15" customHeight="1" x14ac:dyDescent="0.2">
      <c r="A5">
        <v>4</v>
      </c>
      <c r="B5" s="120" t="s">
        <v>191</v>
      </c>
      <c r="C5" s="134">
        <v>0.8</v>
      </c>
      <c r="D5" s="134">
        <v>0.8</v>
      </c>
      <c r="E5" s="134">
        <v>0.8</v>
      </c>
      <c r="F5" s="134">
        <v>0.8</v>
      </c>
      <c r="G5" s="134">
        <v>0.8</v>
      </c>
      <c r="H5" s="134">
        <v>0.8</v>
      </c>
      <c r="I5" s="134">
        <v>0.8</v>
      </c>
      <c r="J5" s="134">
        <v>0.8</v>
      </c>
      <c r="K5" s="134">
        <v>0.8</v>
      </c>
      <c r="L5" s="134">
        <v>0.8</v>
      </c>
      <c r="M5" s="134">
        <v>0.8</v>
      </c>
      <c r="N5" s="134">
        <v>0.8</v>
      </c>
      <c r="O5" s="134">
        <v>0.8</v>
      </c>
      <c r="P5" s="134">
        <v>0.8</v>
      </c>
      <c r="Q5" s="134">
        <v>0.8</v>
      </c>
      <c r="R5" s="134">
        <v>0.8</v>
      </c>
      <c r="S5" s="134">
        <v>0.8</v>
      </c>
      <c r="T5" s="134">
        <v>0.8</v>
      </c>
      <c r="U5" s="134">
        <v>0.8</v>
      </c>
      <c r="V5" s="134">
        <v>0.8</v>
      </c>
      <c r="W5" s="134">
        <v>0.8</v>
      </c>
      <c r="X5" s="134">
        <v>0.8</v>
      </c>
      <c r="Y5" s="134">
        <v>0.8</v>
      </c>
      <c r="Z5" s="134">
        <v>0.8</v>
      </c>
      <c r="AA5"/>
      <c r="AD5"/>
    </row>
    <row r="6" spans="1:30" s="125" customFormat="1" ht="15" customHeight="1" x14ac:dyDescent="0.2">
      <c r="A6">
        <v>5</v>
      </c>
      <c r="B6" s="120" t="s">
        <v>192</v>
      </c>
      <c r="C6" s="134">
        <v>0.8</v>
      </c>
      <c r="D6" s="134">
        <v>0.8</v>
      </c>
      <c r="E6" s="134">
        <v>0.8</v>
      </c>
      <c r="F6" s="134">
        <v>0.8</v>
      </c>
      <c r="G6" s="134">
        <v>0.8</v>
      </c>
      <c r="H6" s="134">
        <v>0.8</v>
      </c>
      <c r="I6" s="134">
        <v>0.8</v>
      </c>
      <c r="J6" s="134">
        <v>0.8</v>
      </c>
      <c r="K6" s="134">
        <v>0.8</v>
      </c>
      <c r="L6" s="134">
        <v>0.8</v>
      </c>
      <c r="M6" s="134">
        <v>0.8</v>
      </c>
      <c r="N6" s="134">
        <v>0.8</v>
      </c>
      <c r="O6" s="134">
        <v>0.8</v>
      </c>
      <c r="P6" s="134">
        <v>0.8</v>
      </c>
      <c r="Q6" s="134">
        <v>0.8</v>
      </c>
      <c r="R6" s="134">
        <v>0.8</v>
      </c>
      <c r="S6" s="134">
        <v>0.8</v>
      </c>
      <c r="T6" s="134">
        <v>0.8</v>
      </c>
      <c r="U6" s="134">
        <v>0.8</v>
      </c>
      <c r="V6" s="134">
        <v>0.8</v>
      </c>
      <c r="W6" s="134">
        <v>0.8</v>
      </c>
      <c r="X6" s="134">
        <v>0.8</v>
      </c>
      <c r="Y6" s="134">
        <v>0.8</v>
      </c>
      <c r="Z6" s="134">
        <v>0.8</v>
      </c>
      <c r="AA6"/>
      <c r="AD6"/>
    </row>
    <row r="7" spans="1:30" s="125" customFormat="1" ht="15" customHeight="1" x14ac:dyDescent="0.2">
      <c r="A7">
        <v>6</v>
      </c>
      <c r="B7" s="120" t="s">
        <v>193</v>
      </c>
      <c r="C7" s="134">
        <v>0.8</v>
      </c>
      <c r="D7" s="134">
        <v>0.8</v>
      </c>
      <c r="E7" s="134">
        <v>0.8</v>
      </c>
      <c r="F7" s="134">
        <v>0.8</v>
      </c>
      <c r="G7" s="134">
        <v>0.8</v>
      </c>
      <c r="H7" s="134">
        <v>0.8</v>
      </c>
      <c r="I7" s="134">
        <v>0.8</v>
      </c>
      <c r="J7" s="134">
        <v>0.8</v>
      </c>
      <c r="K7" s="134">
        <v>0.8</v>
      </c>
      <c r="L7" s="134">
        <v>0.8</v>
      </c>
      <c r="M7" s="134">
        <v>0.8</v>
      </c>
      <c r="N7" s="134">
        <v>0.8</v>
      </c>
      <c r="O7" s="134">
        <v>0.8</v>
      </c>
      <c r="P7" s="134">
        <v>0.8</v>
      </c>
      <c r="Q7" s="134">
        <v>0.8</v>
      </c>
      <c r="R7" s="134">
        <v>0.8</v>
      </c>
      <c r="S7" s="134">
        <v>0.8</v>
      </c>
      <c r="T7" s="134">
        <v>0.8</v>
      </c>
      <c r="U7" s="134">
        <v>0.8</v>
      </c>
      <c r="V7" s="134">
        <v>0.8</v>
      </c>
      <c r="W7" s="134">
        <v>0.8</v>
      </c>
      <c r="X7" s="134">
        <v>0.8</v>
      </c>
      <c r="Y7" s="134">
        <v>0.8</v>
      </c>
      <c r="Z7" s="134">
        <v>0.8</v>
      </c>
      <c r="AA7"/>
      <c r="AD7"/>
    </row>
    <row r="8" spans="1:30" s="125" customFormat="1" ht="15" customHeight="1" x14ac:dyDescent="0.2">
      <c r="A8">
        <v>7</v>
      </c>
      <c r="B8" s="120" t="s">
        <v>194</v>
      </c>
      <c r="C8" s="134">
        <v>0.8</v>
      </c>
      <c r="D8" s="134">
        <v>0.8</v>
      </c>
      <c r="E8" s="134">
        <v>0.8</v>
      </c>
      <c r="F8" s="134">
        <v>0.8</v>
      </c>
      <c r="G8" s="134">
        <v>0.8</v>
      </c>
      <c r="H8" s="134">
        <v>0.8</v>
      </c>
      <c r="I8" s="134">
        <v>0.8</v>
      </c>
      <c r="J8" s="134">
        <v>0.8</v>
      </c>
      <c r="K8" s="134">
        <v>0.8</v>
      </c>
      <c r="L8" s="134">
        <v>0.8</v>
      </c>
      <c r="M8" s="134">
        <v>0.8</v>
      </c>
      <c r="N8" s="134">
        <v>0.8</v>
      </c>
      <c r="O8" s="134">
        <v>0.8</v>
      </c>
      <c r="P8" s="134">
        <v>0.8</v>
      </c>
      <c r="Q8" s="134">
        <v>0.8</v>
      </c>
      <c r="R8" s="134">
        <v>0.8</v>
      </c>
      <c r="S8" s="134">
        <v>0.8</v>
      </c>
      <c r="T8" s="134">
        <v>0.8</v>
      </c>
      <c r="U8" s="134">
        <v>0.8</v>
      </c>
      <c r="V8" s="134">
        <v>0.8</v>
      </c>
      <c r="W8" s="134">
        <v>0.8</v>
      </c>
      <c r="X8" s="134">
        <v>0.8</v>
      </c>
      <c r="Y8" s="134">
        <v>0.8</v>
      </c>
      <c r="Z8" s="134">
        <v>0.8</v>
      </c>
      <c r="AA8"/>
      <c r="AD8"/>
    </row>
    <row r="9" spans="1:30" s="125" customFormat="1" ht="15" customHeight="1" x14ac:dyDescent="0.2">
      <c r="A9">
        <v>8</v>
      </c>
      <c r="B9" s="120" t="s">
        <v>195</v>
      </c>
      <c r="C9" s="134">
        <v>0.8</v>
      </c>
      <c r="D9" s="134">
        <v>0.8</v>
      </c>
      <c r="E9" s="134">
        <v>0.8</v>
      </c>
      <c r="F9" s="134">
        <v>0.8</v>
      </c>
      <c r="G9" s="134">
        <v>0.8</v>
      </c>
      <c r="H9" s="134">
        <v>0.8</v>
      </c>
      <c r="I9" s="134">
        <v>0.8</v>
      </c>
      <c r="J9" s="134">
        <v>0.8</v>
      </c>
      <c r="K9" s="134">
        <v>0.8</v>
      </c>
      <c r="L9" s="134">
        <v>0.8</v>
      </c>
      <c r="M9" s="134">
        <v>0.8</v>
      </c>
      <c r="N9" s="134">
        <v>0.8</v>
      </c>
      <c r="O9" s="134">
        <v>0.8</v>
      </c>
      <c r="P9" s="134">
        <v>0.8</v>
      </c>
      <c r="Q9" s="134">
        <v>0.8</v>
      </c>
      <c r="R9" s="134">
        <v>0.8</v>
      </c>
      <c r="S9" s="134">
        <v>0.8</v>
      </c>
      <c r="T9" s="134">
        <v>0.8</v>
      </c>
      <c r="U9" s="134">
        <v>0.8</v>
      </c>
      <c r="V9" s="134">
        <v>0.8</v>
      </c>
      <c r="W9" s="134">
        <v>0.8</v>
      </c>
      <c r="X9" s="134">
        <v>0.8</v>
      </c>
      <c r="Y9" s="134">
        <v>0.8</v>
      </c>
      <c r="Z9" s="134">
        <v>0.8</v>
      </c>
      <c r="AA9"/>
      <c r="AD9"/>
    </row>
    <row r="10" spans="1:30" s="125" customFormat="1" ht="15" customHeight="1" x14ac:dyDescent="0.2">
      <c r="A10">
        <v>9</v>
      </c>
      <c r="B10" s="120" t="s">
        <v>196</v>
      </c>
      <c r="C10" s="134">
        <v>0.8</v>
      </c>
      <c r="D10" s="134">
        <v>0.8</v>
      </c>
      <c r="E10" s="134">
        <v>0.8</v>
      </c>
      <c r="F10" s="134">
        <v>0.8</v>
      </c>
      <c r="G10" s="134">
        <v>0.8</v>
      </c>
      <c r="H10" s="134">
        <v>0.8</v>
      </c>
      <c r="I10" s="134">
        <v>0.8</v>
      </c>
      <c r="J10" s="134">
        <v>0.8</v>
      </c>
      <c r="K10" s="134">
        <v>0.8</v>
      </c>
      <c r="L10" s="134">
        <v>0.8</v>
      </c>
      <c r="M10" s="134">
        <v>0.8</v>
      </c>
      <c r="N10" s="134">
        <v>0.8</v>
      </c>
      <c r="O10" s="134">
        <v>0.8</v>
      </c>
      <c r="P10" s="134">
        <v>0.8</v>
      </c>
      <c r="Q10" s="134">
        <v>0.8</v>
      </c>
      <c r="R10" s="134">
        <v>0.8</v>
      </c>
      <c r="S10" s="134">
        <v>0.8</v>
      </c>
      <c r="T10" s="134">
        <v>0.8</v>
      </c>
      <c r="U10" s="134">
        <v>0.8</v>
      </c>
      <c r="V10" s="134">
        <v>0.8</v>
      </c>
      <c r="W10" s="134">
        <v>0.8</v>
      </c>
      <c r="X10" s="134">
        <v>0.8</v>
      </c>
      <c r="Y10" s="134">
        <v>0.8</v>
      </c>
      <c r="Z10" s="134">
        <v>0.8</v>
      </c>
      <c r="AA10"/>
      <c r="AD10"/>
    </row>
    <row r="11" spans="1:30" s="125" customFormat="1" ht="15" customHeight="1" x14ac:dyDescent="0.2">
      <c r="A11">
        <v>10</v>
      </c>
      <c r="B11" s="120" t="s">
        <v>197</v>
      </c>
      <c r="C11" s="134">
        <v>0.8</v>
      </c>
      <c r="D11" s="134">
        <v>0.8</v>
      </c>
      <c r="E11" s="134">
        <v>0.8</v>
      </c>
      <c r="F11" s="134">
        <v>0.8</v>
      </c>
      <c r="G11" s="134">
        <v>0.8</v>
      </c>
      <c r="H11" s="134">
        <v>0.8</v>
      </c>
      <c r="I11" s="134">
        <v>0.8</v>
      </c>
      <c r="J11" s="134">
        <v>0.8</v>
      </c>
      <c r="K11" s="134">
        <v>0.8</v>
      </c>
      <c r="L11" s="134">
        <v>0.8</v>
      </c>
      <c r="M11" s="134">
        <v>0.8</v>
      </c>
      <c r="N11" s="134">
        <v>0.8</v>
      </c>
      <c r="O11" s="134">
        <v>0.8</v>
      </c>
      <c r="P11" s="134">
        <v>0.8</v>
      </c>
      <c r="Q11" s="134">
        <v>0.8</v>
      </c>
      <c r="R11" s="134">
        <v>0.8</v>
      </c>
      <c r="S11" s="134">
        <v>0.8</v>
      </c>
      <c r="T11" s="134">
        <v>0.8</v>
      </c>
      <c r="U11" s="134">
        <v>0.8</v>
      </c>
      <c r="V11" s="134">
        <v>0.8</v>
      </c>
      <c r="W11" s="134">
        <v>0.8</v>
      </c>
      <c r="X11" s="134">
        <v>0.8</v>
      </c>
      <c r="Y11" s="134">
        <v>0.8</v>
      </c>
      <c r="Z11" s="134">
        <v>0.8</v>
      </c>
      <c r="AA11"/>
      <c r="AD11"/>
    </row>
    <row r="12" spans="1:30" s="125" customFormat="1" ht="15" customHeight="1" x14ac:dyDescent="0.2">
      <c r="A12">
        <v>11</v>
      </c>
      <c r="B12" s="120" t="s">
        <v>198</v>
      </c>
      <c r="C12" s="134">
        <v>0.8</v>
      </c>
      <c r="D12" s="134">
        <v>0.8</v>
      </c>
      <c r="E12" s="134">
        <v>0.8</v>
      </c>
      <c r="F12" s="134">
        <v>0.8</v>
      </c>
      <c r="G12" s="134">
        <v>0.8</v>
      </c>
      <c r="H12" s="134">
        <v>0.8</v>
      </c>
      <c r="I12" s="134">
        <v>0.8</v>
      </c>
      <c r="J12" s="134">
        <v>0.8</v>
      </c>
      <c r="K12" s="134">
        <v>0.8</v>
      </c>
      <c r="L12" s="134">
        <v>0.8</v>
      </c>
      <c r="M12" s="134">
        <v>0.8</v>
      </c>
      <c r="N12" s="134">
        <v>0.8</v>
      </c>
      <c r="O12" s="134">
        <v>0.8</v>
      </c>
      <c r="P12" s="134">
        <v>0.8</v>
      </c>
      <c r="Q12" s="134">
        <v>0.8</v>
      </c>
      <c r="R12" s="134">
        <v>0.8</v>
      </c>
      <c r="S12" s="134">
        <v>0.8</v>
      </c>
      <c r="T12" s="134">
        <v>0.8</v>
      </c>
      <c r="U12" s="134">
        <v>0.8</v>
      </c>
      <c r="V12" s="134">
        <v>0.8</v>
      </c>
      <c r="W12" s="134">
        <v>0.8</v>
      </c>
      <c r="X12" s="134">
        <v>0.8</v>
      </c>
      <c r="Y12" s="134">
        <v>0.8</v>
      </c>
      <c r="Z12" s="134">
        <v>0.8</v>
      </c>
      <c r="AA12"/>
      <c r="AD12"/>
    </row>
    <row r="13" spans="1:30" s="125" customFormat="1" ht="15" customHeight="1" x14ac:dyDescent="0.2">
      <c r="A13">
        <v>12</v>
      </c>
      <c r="B13" s="120" t="s">
        <v>199</v>
      </c>
      <c r="C13" s="134">
        <v>0.8</v>
      </c>
      <c r="D13" s="134">
        <v>0.8</v>
      </c>
      <c r="E13" s="134">
        <v>0.8</v>
      </c>
      <c r="F13" s="134">
        <v>0.8</v>
      </c>
      <c r="G13" s="134">
        <v>0.8</v>
      </c>
      <c r="H13" s="134">
        <v>0.8</v>
      </c>
      <c r="I13" s="134">
        <v>0.8</v>
      </c>
      <c r="J13" s="134">
        <v>0.8</v>
      </c>
      <c r="K13" s="134">
        <v>0.8</v>
      </c>
      <c r="L13" s="134">
        <v>0.8</v>
      </c>
      <c r="M13" s="134">
        <v>0.8</v>
      </c>
      <c r="N13" s="134">
        <v>0.8</v>
      </c>
      <c r="O13" s="134">
        <v>0.8</v>
      </c>
      <c r="P13" s="134">
        <v>0.8</v>
      </c>
      <c r="Q13" s="134">
        <v>0.8</v>
      </c>
      <c r="R13" s="134">
        <v>0.8</v>
      </c>
      <c r="S13" s="134">
        <v>0.8</v>
      </c>
      <c r="T13" s="134">
        <v>0.8</v>
      </c>
      <c r="U13" s="134">
        <v>0.8</v>
      </c>
      <c r="V13" s="134">
        <v>0.8</v>
      </c>
      <c r="W13" s="134">
        <v>0.8</v>
      </c>
      <c r="X13" s="134">
        <v>0.8</v>
      </c>
      <c r="Y13" s="134">
        <v>0.8</v>
      </c>
      <c r="Z13" s="134">
        <v>0.8</v>
      </c>
      <c r="AA13"/>
      <c r="AD13"/>
    </row>
    <row r="14" spans="1:30" s="125" customFormat="1" ht="15" customHeight="1" x14ac:dyDescent="0.2">
      <c r="A14">
        <v>13</v>
      </c>
      <c r="B14" s="120" t="s">
        <v>200</v>
      </c>
      <c r="C14" s="134">
        <v>0.8</v>
      </c>
      <c r="D14" s="134">
        <v>0.8</v>
      </c>
      <c r="E14" s="134">
        <v>0.8</v>
      </c>
      <c r="F14" s="134">
        <v>0.8</v>
      </c>
      <c r="G14" s="134">
        <v>0.8</v>
      </c>
      <c r="H14" s="134">
        <v>0.8</v>
      </c>
      <c r="I14" s="134">
        <v>0.8</v>
      </c>
      <c r="J14" s="134">
        <v>0.8</v>
      </c>
      <c r="K14" s="134">
        <v>0.8</v>
      </c>
      <c r="L14" s="134">
        <v>0.8</v>
      </c>
      <c r="M14" s="134">
        <v>0.8</v>
      </c>
      <c r="N14" s="134">
        <v>0.8</v>
      </c>
      <c r="O14" s="134">
        <v>0.8</v>
      </c>
      <c r="P14" s="134">
        <v>0.8</v>
      </c>
      <c r="Q14" s="134">
        <v>0.8</v>
      </c>
      <c r="R14" s="134">
        <v>0.8</v>
      </c>
      <c r="S14" s="134">
        <v>0.8</v>
      </c>
      <c r="T14" s="134">
        <v>0.8</v>
      </c>
      <c r="U14" s="134">
        <v>0.8</v>
      </c>
      <c r="V14" s="134">
        <v>0.8</v>
      </c>
      <c r="W14" s="134">
        <v>0.8</v>
      </c>
      <c r="X14" s="134">
        <v>0.8</v>
      </c>
      <c r="Y14" s="134">
        <v>0.8</v>
      </c>
      <c r="Z14" s="134">
        <v>0.8</v>
      </c>
      <c r="AA14"/>
      <c r="AD14"/>
    </row>
    <row r="15" spans="1:30" s="125" customFormat="1" ht="15" customHeight="1" x14ac:dyDescent="0.2">
      <c r="A15">
        <v>14</v>
      </c>
      <c r="B15" s="120" t="s">
        <v>201</v>
      </c>
      <c r="C15" s="134">
        <v>0.8</v>
      </c>
      <c r="D15" s="134">
        <v>0.8</v>
      </c>
      <c r="E15" s="134">
        <v>0.8</v>
      </c>
      <c r="F15" s="134">
        <v>0.8</v>
      </c>
      <c r="G15" s="134">
        <v>0.8</v>
      </c>
      <c r="H15" s="134">
        <v>0.8</v>
      </c>
      <c r="I15" s="134">
        <v>0.8</v>
      </c>
      <c r="J15" s="134">
        <v>0.8</v>
      </c>
      <c r="K15" s="134">
        <v>0.8</v>
      </c>
      <c r="L15" s="134">
        <v>0.8</v>
      </c>
      <c r="M15" s="134">
        <v>0.8</v>
      </c>
      <c r="N15" s="134">
        <v>0.8</v>
      </c>
      <c r="O15" s="134">
        <v>0.8</v>
      </c>
      <c r="P15" s="134">
        <v>0.8</v>
      </c>
      <c r="Q15" s="134">
        <v>0.8</v>
      </c>
      <c r="R15" s="134">
        <v>0.8</v>
      </c>
      <c r="S15" s="134">
        <v>0.8</v>
      </c>
      <c r="T15" s="134">
        <v>0.8</v>
      </c>
      <c r="U15" s="134">
        <v>0.8</v>
      </c>
      <c r="V15" s="134">
        <v>0.8</v>
      </c>
      <c r="W15" s="134">
        <v>0.8</v>
      </c>
      <c r="X15" s="134">
        <v>0.8</v>
      </c>
      <c r="Y15" s="134">
        <v>0.8</v>
      </c>
      <c r="Z15" s="134">
        <v>0.8</v>
      </c>
      <c r="AA15"/>
      <c r="AD15"/>
    </row>
    <row r="16" spans="1:30" s="125" customFormat="1" ht="15" customHeight="1" x14ac:dyDescent="0.2">
      <c r="A16">
        <v>15</v>
      </c>
      <c r="B16" s="120" t="s">
        <v>273</v>
      </c>
      <c r="C16" s="134">
        <v>0.8</v>
      </c>
      <c r="D16" s="134">
        <v>0.8</v>
      </c>
      <c r="E16" s="134">
        <v>0.8</v>
      </c>
      <c r="F16" s="134">
        <v>0.8</v>
      </c>
      <c r="G16" s="134">
        <v>0.8</v>
      </c>
      <c r="H16" s="134">
        <v>0.8</v>
      </c>
      <c r="I16" s="134">
        <v>0.8</v>
      </c>
      <c r="J16" s="134">
        <v>0.8</v>
      </c>
      <c r="K16" s="134">
        <v>0.8</v>
      </c>
      <c r="L16" s="134">
        <v>0.8</v>
      </c>
      <c r="M16" s="134">
        <v>0.8</v>
      </c>
      <c r="N16" s="134">
        <v>0.8</v>
      </c>
      <c r="O16" s="134">
        <v>0.8</v>
      </c>
      <c r="P16" s="134">
        <v>0.8</v>
      </c>
      <c r="Q16" s="134">
        <v>0.8</v>
      </c>
      <c r="R16" s="134">
        <v>0.8</v>
      </c>
      <c r="S16" s="134">
        <v>0.8</v>
      </c>
      <c r="T16" s="134">
        <v>0.8</v>
      </c>
      <c r="U16" s="134">
        <v>0.8</v>
      </c>
      <c r="V16" s="134">
        <v>0.8</v>
      </c>
      <c r="W16" s="134">
        <v>0.8</v>
      </c>
      <c r="X16" s="134">
        <v>0.8</v>
      </c>
      <c r="Y16" s="134">
        <v>0.8</v>
      </c>
      <c r="Z16" s="134">
        <v>0.8</v>
      </c>
      <c r="AA16"/>
      <c r="AD16"/>
    </row>
    <row r="17" spans="1:30" s="125" customFormat="1" ht="15" customHeight="1" x14ac:dyDescent="0.2">
      <c r="A17">
        <v>16</v>
      </c>
      <c r="B17" s="120" t="s">
        <v>202</v>
      </c>
      <c r="C17" s="134">
        <v>0.8</v>
      </c>
      <c r="D17" s="134">
        <v>0.8</v>
      </c>
      <c r="E17" s="134">
        <v>0.8</v>
      </c>
      <c r="F17" s="134">
        <v>0.8</v>
      </c>
      <c r="G17" s="134">
        <v>0.8</v>
      </c>
      <c r="H17" s="134">
        <v>0.8</v>
      </c>
      <c r="I17" s="134">
        <v>0.8</v>
      </c>
      <c r="J17" s="134">
        <v>0.8</v>
      </c>
      <c r="K17" s="134">
        <v>0.8</v>
      </c>
      <c r="L17" s="134">
        <v>0.8</v>
      </c>
      <c r="M17" s="134">
        <v>0.8</v>
      </c>
      <c r="N17" s="134">
        <v>0.8</v>
      </c>
      <c r="O17" s="134">
        <v>0.8</v>
      </c>
      <c r="P17" s="134">
        <v>0.8</v>
      </c>
      <c r="Q17" s="134">
        <v>0.8</v>
      </c>
      <c r="R17" s="134">
        <v>0.8</v>
      </c>
      <c r="S17" s="134">
        <v>0.8</v>
      </c>
      <c r="T17" s="134">
        <v>0.8</v>
      </c>
      <c r="U17" s="134">
        <v>0.8</v>
      </c>
      <c r="V17" s="134">
        <v>0.8</v>
      </c>
      <c r="W17" s="134">
        <v>0.8</v>
      </c>
      <c r="X17" s="134">
        <v>0.8</v>
      </c>
      <c r="Y17" s="134">
        <v>0.8</v>
      </c>
      <c r="Z17" s="134">
        <v>0.8</v>
      </c>
      <c r="AA17"/>
      <c r="AD17"/>
    </row>
    <row r="18" spans="1:30" s="125" customFormat="1" ht="15" customHeight="1" x14ac:dyDescent="0.2">
      <c r="A18">
        <v>17</v>
      </c>
      <c r="B18" s="120" t="s">
        <v>203</v>
      </c>
      <c r="C18" s="134">
        <v>0.8</v>
      </c>
      <c r="D18" s="134">
        <v>0.8</v>
      </c>
      <c r="E18" s="134">
        <v>0.8</v>
      </c>
      <c r="F18" s="134">
        <v>0.8</v>
      </c>
      <c r="G18" s="134">
        <v>0.8</v>
      </c>
      <c r="H18" s="134">
        <v>0.8</v>
      </c>
      <c r="I18" s="134">
        <v>0.8</v>
      </c>
      <c r="J18" s="134">
        <v>0.8</v>
      </c>
      <c r="K18" s="134">
        <v>0.8</v>
      </c>
      <c r="L18" s="134">
        <v>0.8</v>
      </c>
      <c r="M18" s="134">
        <v>0.8</v>
      </c>
      <c r="N18" s="134">
        <v>0.8</v>
      </c>
      <c r="O18" s="134">
        <v>0.8</v>
      </c>
      <c r="P18" s="134">
        <v>0.8</v>
      </c>
      <c r="Q18" s="134">
        <v>0.8</v>
      </c>
      <c r="R18" s="134">
        <v>0.8</v>
      </c>
      <c r="S18" s="134">
        <v>0.8</v>
      </c>
      <c r="T18" s="134">
        <v>0.8</v>
      </c>
      <c r="U18" s="134">
        <v>0.8</v>
      </c>
      <c r="V18" s="134">
        <v>0.8</v>
      </c>
      <c r="W18" s="134">
        <v>0.8</v>
      </c>
      <c r="X18" s="134">
        <v>0.8</v>
      </c>
      <c r="Y18" s="134">
        <v>0.8</v>
      </c>
      <c r="Z18" s="134">
        <v>0.8</v>
      </c>
      <c r="AA18"/>
      <c r="AD18"/>
    </row>
    <row r="19" spans="1:30" s="125" customFormat="1" ht="15" customHeight="1" x14ac:dyDescent="0.2">
      <c r="A19">
        <v>18</v>
      </c>
      <c r="B19" s="120" t="s">
        <v>204</v>
      </c>
      <c r="C19" s="134">
        <v>0.8</v>
      </c>
      <c r="D19" s="134">
        <v>0.8</v>
      </c>
      <c r="E19" s="134">
        <v>0.8</v>
      </c>
      <c r="F19" s="134">
        <v>0.8</v>
      </c>
      <c r="G19" s="134">
        <v>0.8</v>
      </c>
      <c r="H19" s="134">
        <v>0.8</v>
      </c>
      <c r="I19" s="134">
        <v>0.8</v>
      </c>
      <c r="J19" s="134">
        <v>0.8</v>
      </c>
      <c r="K19" s="134">
        <v>0.8</v>
      </c>
      <c r="L19" s="134">
        <v>0.8</v>
      </c>
      <c r="M19" s="134">
        <v>0.8</v>
      </c>
      <c r="N19" s="134">
        <v>0.8</v>
      </c>
      <c r="O19" s="134">
        <v>0.8</v>
      </c>
      <c r="P19" s="134">
        <v>0.8</v>
      </c>
      <c r="Q19" s="134">
        <v>0.8</v>
      </c>
      <c r="R19" s="134">
        <v>0.8</v>
      </c>
      <c r="S19" s="134">
        <v>0.8</v>
      </c>
      <c r="T19" s="134">
        <v>0.8</v>
      </c>
      <c r="U19" s="134">
        <v>0.8</v>
      </c>
      <c r="V19" s="134">
        <v>0.8</v>
      </c>
      <c r="W19" s="134">
        <v>0.8</v>
      </c>
      <c r="X19" s="134">
        <v>0.8</v>
      </c>
      <c r="Y19" s="134">
        <v>0.8</v>
      </c>
      <c r="Z19" s="134">
        <v>0.8</v>
      </c>
      <c r="AA19"/>
      <c r="AD19"/>
    </row>
    <row r="20" spans="1:30" s="125" customFormat="1" ht="15" customHeight="1" x14ac:dyDescent="0.2">
      <c r="A20">
        <v>19</v>
      </c>
      <c r="B20" s="120" t="s">
        <v>205</v>
      </c>
      <c r="C20" s="134">
        <v>0.8</v>
      </c>
      <c r="D20" s="134">
        <v>0.8</v>
      </c>
      <c r="E20" s="134">
        <v>0.8</v>
      </c>
      <c r="F20" s="134">
        <v>0.8</v>
      </c>
      <c r="G20" s="134">
        <v>0.8</v>
      </c>
      <c r="H20" s="134">
        <v>0.8</v>
      </c>
      <c r="I20" s="134">
        <v>0.8</v>
      </c>
      <c r="J20" s="134">
        <v>0.8</v>
      </c>
      <c r="K20" s="134">
        <v>0.8</v>
      </c>
      <c r="L20" s="134">
        <v>0.8</v>
      </c>
      <c r="M20" s="134">
        <v>0.8</v>
      </c>
      <c r="N20" s="134">
        <v>0.8</v>
      </c>
      <c r="O20" s="134">
        <v>0.8</v>
      </c>
      <c r="P20" s="134">
        <v>0.8</v>
      </c>
      <c r="Q20" s="134">
        <v>0.8</v>
      </c>
      <c r="R20" s="134">
        <v>0.8</v>
      </c>
      <c r="S20" s="134">
        <v>0.8</v>
      </c>
      <c r="T20" s="134">
        <v>0.8</v>
      </c>
      <c r="U20" s="134">
        <v>0.8</v>
      </c>
      <c r="V20" s="134">
        <v>0.8</v>
      </c>
      <c r="W20" s="134">
        <v>0.8</v>
      </c>
      <c r="X20" s="134">
        <v>0.8</v>
      </c>
      <c r="Y20" s="134">
        <v>0.8</v>
      </c>
      <c r="Z20" s="134">
        <v>0.8</v>
      </c>
      <c r="AA20"/>
      <c r="AD20"/>
    </row>
    <row r="21" spans="1:30" s="125" customFormat="1" ht="15" customHeight="1" x14ac:dyDescent="0.2">
      <c r="A21">
        <v>20</v>
      </c>
      <c r="B21" s="120" t="s">
        <v>206</v>
      </c>
      <c r="C21" s="134">
        <v>0.8</v>
      </c>
      <c r="D21" s="134">
        <v>0.8</v>
      </c>
      <c r="E21" s="134">
        <v>0.8</v>
      </c>
      <c r="F21" s="134">
        <v>0.8</v>
      </c>
      <c r="G21" s="134">
        <v>0.8</v>
      </c>
      <c r="H21" s="134">
        <v>0.8</v>
      </c>
      <c r="I21" s="134">
        <v>0.8</v>
      </c>
      <c r="J21" s="134">
        <v>0.8</v>
      </c>
      <c r="K21" s="134">
        <v>0.8</v>
      </c>
      <c r="L21" s="134">
        <v>0.8</v>
      </c>
      <c r="M21" s="134">
        <v>0.8</v>
      </c>
      <c r="N21" s="134">
        <v>0.8</v>
      </c>
      <c r="O21" s="134">
        <v>0.8</v>
      </c>
      <c r="P21" s="134">
        <v>0.8</v>
      </c>
      <c r="Q21" s="134">
        <v>0.8</v>
      </c>
      <c r="R21" s="134">
        <v>0.8</v>
      </c>
      <c r="S21" s="134">
        <v>0.8</v>
      </c>
      <c r="T21" s="134">
        <v>0.8</v>
      </c>
      <c r="U21" s="134">
        <v>0.8</v>
      </c>
      <c r="V21" s="134">
        <v>0.8</v>
      </c>
      <c r="W21" s="134">
        <v>0.8</v>
      </c>
      <c r="X21" s="134">
        <v>0.8</v>
      </c>
      <c r="Y21" s="134">
        <v>0.8</v>
      </c>
      <c r="Z21" s="134">
        <v>0.8</v>
      </c>
      <c r="AA21"/>
      <c r="AD21"/>
    </row>
    <row r="22" spans="1:30" s="125" customFormat="1" ht="15" customHeight="1" x14ac:dyDescent="0.2">
      <c r="A22">
        <v>21</v>
      </c>
      <c r="B22" s="120" t="s">
        <v>207</v>
      </c>
      <c r="C22" s="134">
        <v>0.8</v>
      </c>
      <c r="D22" s="134">
        <v>0.8</v>
      </c>
      <c r="E22" s="134">
        <v>0.8</v>
      </c>
      <c r="F22" s="134">
        <v>0.8</v>
      </c>
      <c r="G22" s="134">
        <v>0.8</v>
      </c>
      <c r="H22" s="134">
        <v>0.8</v>
      </c>
      <c r="I22" s="134">
        <v>0.8</v>
      </c>
      <c r="J22" s="134">
        <v>0.8</v>
      </c>
      <c r="K22" s="134">
        <v>0.8</v>
      </c>
      <c r="L22" s="134">
        <v>0.8</v>
      </c>
      <c r="M22" s="134">
        <v>0.8</v>
      </c>
      <c r="N22" s="134">
        <v>0.8</v>
      </c>
      <c r="O22" s="134">
        <v>0.8</v>
      </c>
      <c r="P22" s="134">
        <v>0.8</v>
      </c>
      <c r="Q22" s="134">
        <v>0.8</v>
      </c>
      <c r="R22" s="134">
        <v>0.8</v>
      </c>
      <c r="S22" s="134">
        <v>0.8</v>
      </c>
      <c r="T22" s="134">
        <v>0.8</v>
      </c>
      <c r="U22" s="134">
        <v>0.8</v>
      </c>
      <c r="V22" s="134">
        <v>0.8</v>
      </c>
      <c r="W22" s="134">
        <v>0.8</v>
      </c>
      <c r="X22" s="134">
        <v>0.8</v>
      </c>
      <c r="Y22" s="134">
        <v>0.8</v>
      </c>
      <c r="Z22" s="134">
        <v>0.8</v>
      </c>
      <c r="AA22"/>
      <c r="AD22"/>
    </row>
    <row r="23" spans="1:30" s="125" customFormat="1" ht="15" customHeight="1" x14ac:dyDescent="0.2">
      <c r="A23">
        <v>22</v>
      </c>
      <c r="B23" s="120" t="s">
        <v>208</v>
      </c>
      <c r="C23" s="134">
        <v>0.8</v>
      </c>
      <c r="D23" s="134">
        <v>0.8</v>
      </c>
      <c r="E23" s="134">
        <v>0.8</v>
      </c>
      <c r="F23" s="134">
        <v>0.8</v>
      </c>
      <c r="G23" s="134">
        <v>0.8</v>
      </c>
      <c r="H23" s="134">
        <v>0.8</v>
      </c>
      <c r="I23" s="134">
        <v>0.8</v>
      </c>
      <c r="J23" s="134">
        <v>0.8</v>
      </c>
      <c r="K23" s="134">
        <v>0.8</v>
      </c>
      <c r="L23" s="134">
        <v>0.8</v>
      </c>
      <c r="M23" s="134">
        <v>0.8</v>
      </c>
      <c r="N23" s="134">
        <v>0.8</v>
      </c>
      <c r="O23" s="134">
        <v>0.8</v>
      </c>
      <c r="P23" s="134">
        <v>0.8</v>
      </c>
      <c r="Q23" s="134">
        <v>0.8</v>
      </c>
      <c r="R23" s="134">
        <v>0.8</v>
      </c>
      <c r="S23" s="134">
        <v>0.8</v>
      </c>
      <c r="T23" s="134">
        <v>0.8</v>
      </c>
      <c r="U23" s="134">
        <v>0.8</v>
      </c>
      <c r="V23" s="134">
        <v>0.8</v>
      </c>
      <c r="W23" s="134">
        <v>0.8</v>
      </c>
      <c r="X23" s="134">
        <v>0.8</v>
      </c>
      <c r="Y23" s="134">
        <v>0.8</v>
      </c>
      <c r="Z23" s="134">
        <v>0.8</v>
      </c>
      <c r="AA23"/>
      <c r="AD23"/>
    </row>
    <row r="24" spans="1:30" s="125" customFormat="1" ht="15" customHeight="1" x14ac:dyDescent="0.2">
      <c r="A24">
        <v>23</v>
      </c>
      <c r="B24" s="120" t="s">
        <v>209</v>
      </c>
      <c r="C24" s="134">
        <v>0.8</v>
      </c>
      <c r="D24" s="134">
        <v>0.8</v>
      </c>
      <c r="E24" s="134">
        <v>0.8</v>
      </c>
      <c r="F24" s="134">
        <v>0.8</v>
      </c>
      <c r="G24" s="134">
        <v>0.8</v>
      </c>
      <c r="H24" s="134">
        <v>0.8</v>
      </c>
      <c r="I24" s="134">
        <v>0.8</v>
      </c>
      <c r="J24" s="134">
        <v>0.8</v>
      </c>
      <c r="K24" s="134">
        <v>0.8</v>
      </c>
      <c r="L24" s="134">
        <v>0.8</v>
      </c>
      <c r="M24" s="134">
        <v>0.8</v>
      </c>
      <c r="N24" s="134">
        <v>0.8</v>
      </c>
      <c r="O24" s="134">
        <v>0.8</v>
      </c>
      <c r="P24" s="134">
        <v>0.8</v>
      </c>
      <c r="Q24" s="134">
        <v>0.8</v>
      </c>
      <c r="R24" s="134">
        <v>0.8</v>
      </c>
      <c r="S24" s="134">
        <v>0.8</v>
      </c>
      <c r="T24" s="134">
        <v>0.8</v>
      </c>
      <c r="U24" s="134">
        <v>0.8</v>
      </c>
      <c r="V24" s="134">
        <v>0.8</v>
      </c>
      <c r="W24" s="134">
        <v>0.8</v>
      </c>
      <c r="X24" s="134">
        <v>0.8</v>
      </c>
      <c r="Y24" s="134">
        <v>0.8</v>
      </c>
      <c r="Z24" s="134">
        <v>0.8</v>
      </c>
      <c r="AA24"/>
      <c r="AD24"/>
    </row>
    <row r="25" spans="1:30" s="125" customFormat="1" ht="15" customHeight="1" x14ac:dyDescent="0.2">
      <c r="A25">
        <v>24</v>
      </c>
      <c r="B25" s="120" t="s">
        <v>210</v>
      </c>
      <c r="C25" s="134">
        <v>0.8</v>
      </c>
      <c r="D25" s="134">
        <v>0.8</v>
      </c>
      <c r="E25" s="134">
        <v>0.8</v>
      </c>
      <c r="F25" s="134">
        <v>0.8</v>
      </c>
      <c r="G25" s="134">
        <v>0.8</v>
      </c>
      <c r="H25" s="134">
        <v>0.8</v>
      </c>
      <c r="I25" s="134">
        <v>0.8</v>
      </c>
      <c r="J25" s="134">
        <v>0.8</v>
      </c>
      <c r="K25" s="134">
        <v>0.8</v>
      </c>
      <c r="L25" s="134">
        <v>0.8</v>
      </c>
      <c r="M25" s="134">
        <v>0.8</v>
      </c>
      <c r="N25" s="134">
        <v>0.8</v>
      </c>
      <c r="O25" s="134">
        <v>0.8</v>
      </c>
      <c r="P25" s="134">
        <v>0.8</v>
      </c>
      <c r="Q25" s="134">
        <v>0.8</v>
      </c>
      <c r="R25" s="134">
        <v>0.8</v>
      </c>
      <c r="S25" s="134">
        <v>0.8</v>
      </c>
      <c r="T25" s="134">
        <v>0.8</v>
      </c>
      <c r="U25" s="134">
        <v>0.8</v>
      </c>
      <c r="V25" s="134">
        <v>0.8</v>
      </c>
      <c r="W25" s="134">
        <v>0.8</v>
      </c>
      <c r="X25" s="134">
        <v>0.8</v>
      </c>
      <c r="Y25" s="134">
        <v>0.8</v>
      </c>
      <c r="Z25" s="134">
        <v>0.8</v>
      </c>
      <c r="AA25"/>
      <c r="AD25"/>
    </row>
    <row r="26" spans="1:30" s="125" customFormat="1" ht="15" customHeight="1" x14ac:dyDescent="0.2">
      <c r="A26">
        <v>25</v>
      </c>
      <c r="B26" s="120" t="s">
        <v>211</v>
      </c>
      <c r="C26" s="134">
        <v>0.8</v>
      </c>
      <c r="D26" s="134">
        <v>0.8</v>
      </c>
      <c r="E26" s="134">
        <v>0.8</v>
      </c>
      <c r="F26" s="134">
        <v>0.8</v>
      </c>
      <c r="G26" s="134">
        <v>0.8</v>
      </c>
      <c r="H26" s="134">
        <v>0.8</v>
      </c>
      <c r="I26" s="134">
        <v>0.8</v>
      </c>
      <c r="J26" s="134">
        <v>0.8</v>
      </c>
      <c r="K26" s="134">
        <v>0.8</v>
      </c>
      <c r="L26" s="134">
        <v>0.8</v>
      </c>
      <c r="M26" s="134">
        <v>0.8</v>
      </c>
      <c r="N26" s="134">
        <v>0.8</v>
      </c>
      <c r="O26" s="134">
        <v>0.8</v>
      </c>
      <c r="P26" s="134">
        <v>0.8</v>
      </c>
      <c r="Q26" s="134">
        <v>0.8</v>
      </c>
      <c r="R26" s="134">
        <v>0.8</v>
      </c>
      <c r="S26" s="134">
        <v>0.8</v>
      </c>
      <c r="T26" s="134">
        <v>0.8</v>
      </c>
      <c r="U26" s="134">
        <v>0.8</v>
      </c>
      <c r="V26" s="134">
        <v>0.8</v>
      </c>
      <c r="W26" s="134">
        <v>0.8</v>
      </c>
      <c r="X26" s="134">
        <v>0.8</v>
      </c>
      <c r="Y26" s="134">
        <v>0.8</v>
      </c>
      <c r="Z26" s="134">
        <v>0.8</v>
      </c>
      <c r="AA26"/>
      <c r="AD26"/>
    </row>
    <row r="27" spans="1:30" s="125" customFormat="1" ht="15" customHeight="1" x14ac:dyDescent="0.2">
      <c r="A27">
        <v>26</v>
      </c>
      <c r="B27" s="120" t="s">
        <v>212</v>
      </c>
      <c r="C27" s="134">
        <v>0.8</v>
      </c>
      <c r="D27" s="134">
        <v>0.8</v>
      </c>
      <c r="E27" s="134">
        <v>0.8</v>
      </c>
      <c r="F27" s="134">
        <v>0.8</v>
      </c>
      <c r="G27" s="134">
        <v>0.8</v>
      </c>
      <c r="H27" s="134">
        <v>0.8</v>
      </c>
      <c r="I27" s="134">
        <v>0.8</v>
      </c>
      <c r="J27" s="134">
        <v>0.8</v>
      </c>
      <c r="K27" s="134">
        <v>0.8</v>
      </c>
      <c r="L27" s="134">
        <v>0.8</v>
      </c>
      <c r="M27" s="134">
        <v>0.8</v>
      </c>
      <c r="N27" s="134">
        <v>0.8</v>
      </c>
      <c r="O27" s="134">
        <v>0.8</v>
      </c>
      <c r="P27" s="134">
        <v>0.8</v>
      </c>
      <c r="Q27" s="134">
        <v>0.8</v>
      </c>
      <c r="R27" s="134">
        <v>0.8</v>
      </c>
      <c r="S27" s="134">
        <v>0.8</v>
      </c>
      <c r="T27" s="134">
        <v>0.8</v>
      </c>
      <c r="U27" s="134">
        <v>0.8</v>
      </c>
      <c r="V27" s="134">
        <v>0.8</v>
      </c>
      <c r="W27" s="134">
        <v>0.8</v>
      </c>
      <c r="X27" s="134">
        <v>0.8</v>
      </c>
      <c r="Y27" s="134">
        <v>0.8</v>
      </c>
      <c r="Z27" s="134">
        <v>0.8</v>
      </c>
      <c r="AA27"/>
      <c r="AD27"/>
    </row>
    <row r="28" spans="1:30" s="125" customFormat="1" ht="15" customHeight="1" x14ac:dyDescent="0.2">
      <c r="A28">
        <v>27</v>
      </c>
      <c r="B28" s="120" t="s">
        <v>213</v>
      </c>
      <c r="C28" s="134">
        <v>0.8</v>
      </c>
      <c r="D28" s="134">
        <v>0.8</v>
      </c>
      <c r="E28" s="134">
        <v>0.8</v>
      </c>
      <c r="F28" s="134">
        <v>0.8</v>
      </c>
      <c r="G28" s="134">
        <v>0.8</v>
      </c>
      <c r="H28" s="134">
        <v>0.8</v>
      </c>
      <c r="I28" s="134">
        <v>0.8</v>
      </c>
      <c r="J28" s="134">
        <v>0.8</v>
      </c>
      <c r="K28" s="134">
        <v>0.8</v>
      </c>
      <c r="L28" s="134">
        <v>0.8</v>
      </c>
      <c r="M28" s="134">
        <v>0.8</v>
      </c>
      <c r="N28" s="134">
        <v>0.8</v>
      </c>
      <c r="O28" s="134">
        <v>0.8</v>
      </c>
      <c r="P28" s="134">
        <v>0.8</v>
      </c>
      <c r="Q28" s="134">
        <v>0.8</v>
      </c>
      <c r="R28" s="134">
        <v>0.8</v>
      </c>
      <c r="S28" s="134">
        <v>0.8</v>
      </c>
      <c r="T28" s="134">
        <v>0.8</v>
      </c>
      <c r="U28" s="134">
        <v>0.8</v>
      </c>
      <c r="V28" s="134">
        <v>0.8</v>
      </c>
      <c r="W28" s="134">
        <v>0.8</v>
      </c>
      <c r="X28" s="134">
        <v>0.8</v>
      </c>
      <c r="Y28" s="134">
        <v>0.8</v>
      </c>
      <c r="Z28" s="134">
        <v>0.8</v>
      </c>
      <c r="AA28"/>
      <c r="AD28"/>
    </row>
    <row r="29" spans="1:30" s="125" customFormat="1" ht="15" customHeight="1" x14ac:dyDescent="0.2">
      <c r="A29">
        <v>28</v>
      </c>
      <c r="B29" s="120" t="s">
        <v>214</v>
      </c>
      <c r="C29" s="134">
        <v>0.8</v>
      </c>
      <c r="D29" s="134">
        <v>0.8</v>
      </c>
      <c r="E29" s="134">
        <v>0.8</v>
      </c>
      <c r="F29" s="134">
        <v>0.8</v>
      </c>
      <c r="G29" s="134">
        <v>0.8</v>
      </c>
      <c r="H29" s="134">
        <v>0.8</v>
      </c>
      <c r="I29" s="134">
        <v>0.8</v>
      </c>
      <c r="J29" s="134">
        <v>0.8</v>
      </c>
      <c r="K29" s="134">
        <v>0.8</v>
      </c>
      <c r="L29" s="134">
        <v>0.8</v>
      </c>
      <c r="M29" s="134">
        <v>0.8</v>
      </c>
      <c r="N29" s="134">
        <v>0.8</v>
      </c>
      <c r="O29" s="134">
        <v>0.8</v>
      </c>
      <c r="P29" s="134">
        <v>0.8</v>
      </c>
      <c r="Q29" s="134">
        <v>0.8</v>
      </c>
      <c r="R29" s="134">
        <v>0.8</v>
      </c>
      <c r="S29" s="134">
        <v>0.8</v>
      </c>
      <c r="T29" s="134">
        <v>0.8</v>
      </c>
      <c r="U29" s="134">
        <v>0.8</v>
      </c>
      <c r="V29" s="134">
        <v>0.8</v>
      </c>
      <c r="W29" s="134">
        <v>0.8</v>
      </c>
      <c r="X29" s="134">
        <v>0.8</v>
      </c>
      <c r="Y29" s="134">
        <v>0.8</v>
      </c>
      <c r="Z29" s="134">
        <v>0.8</v>
      </c>
      <c r="AA29"/>
      <c r="AD29"/>
    </row>
    <row r="30" spans="1:30" s="125" customFormat="1" ht="15" customHeight="1" x14ac:dyDescent="0.2">
      <c r="A30">
        <v>29</v>
      </c>
      <c r="B30" s="120" t="s">
        <v>215</v>
      </c>
      <c r="C30" s="134">
        <v>0.8</v>
      </c>
      <c r="D30" s="134">
        <v>0.8</v>
      </c>
      <c r="E30" s="134">
        <v>0.8</v>
      </c>
      <c r="F30" s="134">
        <v>0.8</v>
      </c>
      <c r="G30" s="134">
        <v>0.8</v>
      </c>
      <c r="H30" s="134">
        <v>0.8</v>
      </c>
      <c r="I30" s="134">
        <v>0.8</v>
      </c>
      <c r="J30" s="134">
        <v>0.8</v>
      </c>
      <c r="K30" s="134">
        <v>0.8</v>
      </c>
      <c r="L30" s="134">
        <v>0.8</v>
      </c>
      <c r="M30" s="134">
        <v>0.8</v>
      </c>
      <c r="N30" s="134">
        <v>0.8</v>
      </c>
      <c r="O30" s="134">
        <v>0.8</v>
      </c>
      <c r="P30" s="134">
        <v>0.8</v>
      </c>
      <c r="Q30" s="134">
        <v>0.8</v>
      </c>
      <c r="R30" s="134">
        <v>0.8</v>
      </c>
      <c r="S30" s="134">
        <v>0.8</v>
      </c>
      <c r="T30" s="134">
        <v>0.8</v>
      </c>
      <c r="U30" s="134">
        <v>0.8</v>
      </c>
      <c r="V30" s="134">
        <v>0.8</v>
      </c>
      <c r="W30" s="134">
        <v>0.8</v>
      </c>
      <c r="X30" s="134">
        <v>0.8</v>
      </c>
      <c r="Y30" s="134">
        <v>0.8</v>
      </c>
      <c r="Z30" s="134">
        <v>0.8</v>
      </c>
      <c r="AA30"/>
      <c r="AD30"/>
    </row>
    <row r="31" spans="1:30" s="125" customFormat="1" ht="15" customHeight="1" x14ac:dyDescent="0.2">
      <c r="A31">
        <v>30</v>
      </c>
      <c r="B31" s="120" t="s">
        <v>216</v>
      </c>
      <c r="C31" s="134">
        <v>0.8</v>
      </c>
      <c r="D31" s="134">
        <v>0.8</v>
      </c>
      <c r="E31" s="134">
        <v>0.8</v>
      </c>
      <c r="F31" s="134">
        <v>0.8</v>
      </c>
      <c r="G31" s="134">
        <v>0.8</v>
      </c>
      <c r="H31" s="134">
        <v>0.8</v>
      </c>
      <c r="I31" s="134">
        <v>0.8</v>
      </c>
      <c r="J31" s="134">
        <v>0.8</v>
      </c>
      <c r="K31" s="134">
        <v>0.8</v>
      </c>
      <c r="L31" s="134">
        <v>0.8</v>
      </c>
      <c r="M31" s="134">
        <v>0.8</v>
      </c>
      <c r="N31" s="134">
        <v>0.8</v>
      </c>
      <c r="O31" s="134">
        <v>0.8</v>
      </c>
      <c r="P31" s="134">
        <v>0.8</v>
      </c>
      <c r="Q31" s="134">
        <v>0.8</v>
      </c>
      <c r="R31" s="134">
        <v>0.8</v>
      </c>
      <c r="S31" s="134">
        <v>0.8</v>
      </c>
      <c r="T31" s="134">
        <v>0.8</v>
      </c>
      <c r="U31" s="134">
        <v>0.8</v>
      </c>
      <c r="V31" s="134">
        <v>0.8</v>
      </c>
      <c r="W31" s="134">
        <v>0.8</v>
      </c>
      <c r="X31" s="134">
        <v>0.8</v>
      </c>
      <c r="Y31" s="134">
        <v>0.8</v>
      </c>
      <c r="Z31" s="134">
        <v>0.8</v>
      </c>
      <c r="AA31"/>
      <c r="AD31"/>
    </row>
    <row r="32" spans="1:30" s="125" customFormat="1" ht="15" customHeight="1" x14ac:dyDescent="0.2">
      <c r="A32">
        <v>31</v>
      </c>
      <c r="B32" s="120" t="s">
        <v>217</v>
      </c>
      <c r="C32" s="134">
        <v>0.8</v>
      </c>
      <c r="D32" s="134">
        <v>0.8</v>
      </c>
      <c r="E32" s="134">
        <v>0.8</v>
      </c>
      <c r="F32" s="134">
        <v>0.8</v>
      </c>
      <c r="G32" s="134">
        <v>0.8</v>
      </c>
      <c r="H32" s="134">
        <v>0.8</v>
      </c>
      <c r="I32" s="134">
        <v>0.8</v>
      </c>
      <c r="J32" s="134">
        <v>0.8</v>
      </c>
      <c r="K32" s="134">
        <v>0.8</v>
      </c>
      <c r="L32" s="134">
        <v>0.8</v>
      </c>
      <c r="M32" s="134">
        <v>0.8</v>
      </c>
      <c r="N32" s="134">
        <v>0.8</v>
      </c>
      <c r="O32" s="134">
        <v>0.8</v>
      </c>
      <c r="P32" s="134">
        <v>0.8</v>
      </c>
      <c r="Q32" s="134">
        <v>0.8</v>
      </c>
      <c r="R32" s="134">
        <v>0.8</v>
      </c>
      <c r="S32" s="134">
        <v>0.8</v>
      </c>
      <c r="T32" s="134">
        <v>0.8</v>
      </c>
      <c r="U32" s="134">
        <v>0.8</v>
      </c>
      <c r="V32" s="134">
        <v>0.8</v>
      </c>
      <c r="W32" s="134">
        <v>0.8</v>
      </c>
      <c r="X32" s="134">
        <v>0.8</v>
      </c>
      <c r="Y32" s="134">
        <v>0.8</v>
      </c>
      <c r="Z32" s="134">
        <v>0.8</v>
      </c>
      <c r="AA32"/>
      <c r="AD32"/>
    </row>
    <row r="33" spans="1:30" s="125" customFormat="1" ht="15" customHeight="1" x14ac:dyDescent="0.2">
      <c r="A33">
        <v>32</v>
      </c>
      <c r="B33" s="120" t="s">
        <v>218</v>
      </c>
      <c r="C33" s="134">
        <v>0.8</v>
      </c>
      <c r="D33" s="134">
        <v>0.8</v>
      </c>
      <c r="E33" s="134">
        <v>0.8</v>
      </c>
      <c r="F33" s="134">
        <v>0.8</v>
      </c>
      <c r="G33" s="134">
        <v>0.8</v>
      </c>
      <c r="H33" s="134">
        <v>0.8</v>
      </c>
      <c r="I33" s="134">
        <v>0.8</v>
      </c>
      <c r="J33" s="134">
        <v>0.8</v>
      </c>
      <c r="K33" s="134">
        <v>0.8</v>
      </c>
      <c r="L33" s="134">
        <v>0.8</v>
      </c>
      <c r="M33" s="134">
        <v>0.8</v>
      </c>
      <c r="N33" s="134">
        <v>0.8</v>
      </c>
      <c r="O33" s="134">
        <v>0.8</v>
      </c>
      <c r="P33" s="134">
        <v>0.8</v>
      </c>
      <c r="Q33" s="134">
        <v>0.8</v>
      </c>
      <c r="R33" s="134">
        <v>0.8</v>
      </c>
      <c r="S33" s="134">
        <v>0.8</v>
      </c>
      <c r="T33" s="134">
        <v>0.8</v>
      </c>
      <c r="U33" s="134">
        <v>0.8</v>
      </c>
      <c r="V33" s="134">
        <v>0.8</v>
      </c>
      <c r="W33" s="134">
        <v>0.8</v>
      </c>
      <c r="X33" s="134">
        <v>0.8</v>
      </c>
      <c r="Y33" s="134">
        <v>0.8</v>
      </c>
      <c r="Z33" s="134">
        <v>0.8</v>
      </c>
      <c r="AA33"/>
      <c r="AD33"/>
    </row>
    <row r="34" spans="1:30" s="125" customFormat="1" ht="15" customHeight="1" x14ac:dyDescent="0.2">
      <c r="A34">
        <v>33</v>
      </c>
      <c r="B34" s="120" t="s">
        <v>185</v>
      </c>
      <c r="C34" s="134">
        <v>0.8</v>
      </c>
      <c r="D34" s="134">
        <v>0.8</v>
      </c>
      <c r="E34" s="134">
        <v>0.8</v>
      </c>
      <c r="F34" s="134">
        <v>0.8</v>
      </c>
      <c r="G34" s="134">
        <v>0.8</v>
      </c>
      <c r="H34" s="134">
        <v>0.8</v>
      </c>
      <c r="I34" s="134">
        <v>0.8</v>
      </c>
      <c r="J34" s="134">
        <v>0.8</v>
      </c>
      <c r="K34" s="134">
        <v>0.8</v>
      </c>
      <c r="L34" s="134">
        <v>0.8</v>
      </c>
      <c r="M34" s="134">
        <v>0.8</v>
      </c>
      <c r="N34" s="134">
        <v>0.8</v>
      </c>
      <c r="O34" s="134">
        <v>0.8</v>
      </c>
      <c r="P34" s="134">
        <v>0.8</v>
      </c>
      <c r="Q34" s="134">
        <v>0.8</v>
      </c>
      <c r="R34" s="134">
        <v>0.8</v>
      </c>
      <c r="S34" s="134">
        <v>0.8</v>
      </c>
      <c r="T34" s="134">
        <v>0.8</v>
      </c>
      <c r="U34" s="134">
        <v>0.8</v>
      </c>
      <c r="V34" s="134">
        <v>0.8</v>
      </c>
      <c r="W34" s="134">
        <v>0.8</v>
      </c>
      <c r="X34" s="134">
        <v>0.8</v>
      </c>
      <c r="Y34" s="134">
        <v>0.8</v>
      </c>
      <c r="Z34" s="134">
        <v>0.8</v>
      </c>
      <c r="AA34"/>
      <c r="AD34"/>
    </row>
    <row r="35" spans="1:30" s="125" customFormat="1" ht="15" customHeight="1" x14ac:dyDescent="0.2">
      <c r="A35">
        <v>34</v>
      </c>
      <c r="B35" s="121" t="s">
        <v>123</v>
      </c>
      <c r="C35" s="134">
        <v>0.8</v>
      </c>
      <c r="D35" s="134">
        <v>0.8</v>
      </c>
      <c r="E35" s="134">
        <v>0.8</v>
      </c>
      <c r="F35" s="134">
        <v>0.8</v>
      </c>
      <c r="G35" s="134">
        <v>0.8</v>
      </c>
      <c r="H35" s="134">
        <v>0.8</v>
      </c>
      <c r="I35" s="134">
        <v>0.8</v>
      </c>
      <c r="J35" s="134">
        <v>0.8</v>
      </c>
      <c r="K35" s="134">
        <v>0.8</v>
      </c>
      <c r="L35" s="134">
        <v>0.8</v>
      </c>
      <c r="M35" s="134">
        <v>0.8</v>
      </c>
      <c r="N35" s="134">
        <v>0.8</v>
      </c>
      <c r="O35" s="134">
        <v>0.8</v>
      </c>
      <c r="P35" s="134">
        <v>0.8</v>
      </c>
      <c r="Q35" s="134">
        <v>0.8</v>
      </c>
      <c r="R35" s="134">
        <v>0.8</v>
      </c>
      <c r="S35" s="134">
        <v>0.8</v>
      </c>
      <c r="T35" s="134">
        <v>0.8</v>
      </c>
      <c r="U35" s="134">
        <v>0.8</v>
      </c>
      <c r="V35" s="134">
        <v>0.8</v>
      </c>
      <c r="W35" s="134">
        <v>0.8</v>
      </c>
      <c r="X35" s="134">
        <v>0.8</v>
      </c>
      <c r="Y35" s="134">
        <v>0.8</v>
      </c>
      <c r="Z35" s="134">
        <v>0.8</v>
      </c>
      <c r="AA35"/>
      <c r="AD3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4" activePane="bottomRight" state="frozen"/>
      <selection pane="topRight" activeCell="C1" sqref="C1"/>
      <selection pane="bottomLeft" activeCell="A3" sqref="A3"/>
      <selection pane="bottomRight" activeCell="A31" sqref="A31:XFD31"/>
    </sheetView>
  </sheetViews>
  <sheetFormatPr baseColWidth="10" defaultColWidth="8.83203125" defaultRowHeight="15" customHeight="1" x14ac:dyDescent="0.15"/>
  <cols>
    <col min="1" max="1" width="8.83203125" style="58"/>
    <col min="2" max="2" width="41.83203125" style="58" bestFit="1" customWidth="1"/>
    <col min="3" max="3" width="9.33203125" style="58" bestFit="1" customWidth="1"/>
    <col min="4" max="4" width="13" style="58" bestFit="1" customWidth="1"/>
    <col min="5" max="6" width="9.33203125" style="58" bestFit="1" customWidth="1"/>
    <col min="7" max="7" width="9.33203125" style="74" bestFit="1" customWidth="1"/>
    <col min="8" max="8" width="9.33203125" style="58" bestFit="1" customWidth="1"/>
    <col min="9" max="9" width="11" style="58" customWidth="1"/>
    <col min="10" max="10" width="8.83203125" style="58"/>
    <col min="15" max="16384" width="8.83203125" style="58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1" t="s">
        <v>14</v>
      </c>
      <c r="H1" s="1" t="s">
        <v>26</v>
      </c>
      <c r="I1" s="1" t="s">
        <v>24</v>
      </c>
    </row>
    <row r="2" spans="1:10" ht="15" customHeight="1" x14ac:dyDescent="0.15">
      <c r="A2" s="234">
        <v>1</v>
      </c>
      <c r="B2" s="234" t="s">
        <v>189</v>
      </c>
      <c r="C2" s="8">
        <v>3.708043098449707</v>
      </c>
      <c r="D2" s="9">
        <v>2.0000000949949026E-3</v>
      </c>
      <c r="E2" s="9">
        <v>0.40000000596046448</v>
      </c>
      <c r="F2" s="9">
        <v>64</v>
      </c>
      <c r="G2" s="7">
        <v>2.4054616689682007E-2</v>
      </c>
      <c r="H2" s="7">
        <v>6.2500000931322575E-3</v>
      </c>
      <c r="I2">
        <v>0</v>
      </c>
      <c r="J2"/>
    </row>
    <row r="3" spans="1:10" ht="15" customHeight="1" x14ac:dyDescent="0.15">
      <c r="A3" s="235">
        <v>2</v>
      </c>
      <c r="B3" s="235" t="s">
        <v>221</v>
      </c>
      <c r="C3" s="8">
        <v>4.1715283393859863</v>
      </c>
      <c r="D3" s="9">
        <v>2.8000000864267349E-2</v>
      </c>
      <c r="E3" s="9">
        <v>0.92000001668930054</v>
      </c>
      <c r="F3" s="9">
        <v>6.869999885559082</v>
      </c>
      <c r="G3" s="7">
        <v>0.37120282649993896</v>
      </c>
      <c r="H3" s="7">
        <v>0.13391557335853577</v>
      </c>
      <c r="I3">
        <v>8.6000002920627594E-3</v>
      </c>
      <c r="J3"/>
    </row>
    <row r="4" spans="1:10" ht="15" customHeight="1" x14ac:dyDescent="0.15">
      <c r="A4" s="236">
        <v>3</v>
      </c>
      <c r="B4" s="236" t="s">
        <v>190</v>
      </c>
      <c r="C4" s="8">
        <v>3.3211755752563477</v>
      </c>
      <c r="D4" s="9">
        <v>5.299999937415123E-2</v>
      </c>
      <c r="E4" s="9">
        <v>1.6100000143051147</v>
      </c>
      <c r="F4" s="9">
        <v>7.619999885559082</v>
      </c>
      <c r="G4" s="7">
        <v>0.43855440616607666</v>
      </c>
      <c r="H4" s="7">
        <v>0.21128609776496887</v>
      </c>
      <c r="I4">
        <v>2.7800001204013824E-2</v>
      </c>
      <c r="J4"/>
    </row>
    <row r="5" spans="1:10" ht="15" customHeight="1" x14ac:dyDescent="0.15">
      <c r="A5" s="237">
        <v>4</v>
      </c>
      <c r="B5" s="237" t="s">
        <v>191</v>
      </c>
      <c r="C5" s="8">
        <v>3.3910117149353027</v>
      </c>
      <c r="D5" s="9">
        <v>7.5999997556209564E-2</v>
      </c>
      <c r="E5" s="9">
        <v>1.6599999666213989</v>
      </c>
      <c r="F5" s="9">
        <v>19.879999160766602</v>
      </c>
      <c r="G5" s="7">
        <v>0.55499958992004395</v>
      </c>
      <c r="H5" s="7">
        <v>8.350101113319397E-2</v>
      </c>
      <c r="I5">
        <v>4.8800002783536911E-2</v>
      </c>
      <c r="J5"/>
    </row>
    <row r="6" spans="1:10" ht="15" customHeight="1" x14ac:dyDescent="0.15">
      <c r="A6" s="238">
        <v>5</v>
      </c>
      <c r="B6" s="238" t="s">
        <v>192</v>
      </c>
      <c r="C6" s="8">
        <v>3.9103794097900391</v>
      </c>
      <c r="D6" s="9">
        <v>2.8999999165534973E-2</v>
      </c>
      <c r="E6" s="9">
        <v>1.9600000381469727</v>
      </c>
      <c r="F6" s="9">
        <v>11.560000419616699</v>
      </c>
      <c r="G6" s="7">
        <v>0.65063387155532837</v>
      </c>
      <c r="H6" s="7">
        <v>0.16955016553401947</v>
      </c>
      <c r="I6">
        <v>3.540000319480896E-2</v>
      </c>
      <c r="J6"/>
    </row>
    <row r="7" spans="1:10" ht="15" customHeight="1" x14ac:dyDescent="0.15">
      <c r="A7" s="239">
        <v>6</v>
      </c>
      <c r="B7" s="239" t="s">
        <v>193</v>
      </c>
      <c r="C7" s="8">
        <v>3.0355861186981201</v>
      </c>
      <c r="D7" s="9">
        <v>1.746999979019165</v>
      </c>
      <c r="E7" s="9">
        <v>3.2599999904632568</v>
      </c>
      <c r="F7" s="9">
        <v>22.399999618530273</v>
      </c>
      <c r="G7" s="7">
        <v>0.88739049434661865</v>
      </c>
      <c r="H7" s="7">
        <v>0.14553572237491608</v>
      </c>
      <c r="I7">
        <v>0.53999996185302734</v>
      </c>
      <c r="J7"/>
    </row>
    <row r="8" spans="1:10" ht="15" customHeight="1" x14ac:dyDescent="0.15">
      <c r="A8" s="240">
        <v>7</v>
      </c>
      <c r="B8" s="240" t="s">
        <v>194</v>
      </c>
      <c r="C8" s="8">
        <v>2.1741602420806885</v>
      </c>
      <c r="D8" s="9">
        <v>0.9779999852180481</v>
      </c>
      <c r="E8" s="9">
        <v>3.1500000953674316</v>
      </c>
      <c r="F8" s="9">
        <v>33.830001831054688</v>
      </c>
      <c r="G8" s="7">
        <v>0.94389843940734863</v>
      </c>
      <c r="H8" s="7">
        <v>9.311261773109436E-2</v>
      </c>
      <c r="I8">
        <v>0.88999998569488525</v>
      </c>
      <c r="J8"/>
    </row>
    <row r="9" spans="1:10" ht="15" customHeight="1" x14ac:dyDescent="0.15">
      <c r="A9" s="241">
        <v>8</v>
      </c>
      <c r="B9" s="241" t="s">
        <v>195</v>
      </c>
      <c r="C9" s="8">
        <v>2.7470481395721436</v>
      </c>
      <c r="D9" s="9">
        <v>0.73000001907348633</v>
      </c>
      <c r="E9" s="9">
        <v>4.7199997901916504</v>
      </c>
      <c r="F9" s="9">
        <v>19.069999694824219</v>
      </c>
      <c r="G9" s="7">
        <v>0.63225138187408447</v>
      </c>
      <c r="H9" s="7">
        <v>0.24750916659832001</v>
      </c>
      <c r="I9">
        <v>2.0439996719360352</v>
      </c>
      <c r="J9"/>
    </row>
    <row r="10" spans="1:10" ht="15" customHeight="1" x14ac:dyDescent="0.15">
      <c r="A10" s="242">
        <v>9</v>
      </c>
      <c r="B10" s="242" t="s">
        <v>196</v>
      </c>
      <c r="C10" s="8">
        <v>2.700042724609375</v>
      </c>
      <c r="D10" s="9">
        <v>0.75499999523162842</v>
      </c>
      <c r="E10" s="9">
        <v>3.0999999046325684</v>
      </c>
      <c r="F10" s="9">
        <v>34.319999694824219</v>
      </c>
      <c r="G10" s="7">
        <v>0.89846259355545044</v>
      </c>
      <c r="H10" s="7">
        <v>9.032633900642395E-2</v>
      </c>
      <c r="I10">
        <v>0.85800004005432129</v>
      </c>
      <c r="J10"/>
    </row>
    <row r="11" spans="1:10" ht="15" customHeight="1" x14ac:dyDescent="0.15">
      <c r="A11" s="243">
        <v>10</v>
      </c>
      <c r="B11" s="243" t="s">
        <v>197</v>
      </c>
      <c r="C11" s="8">
        <v>2.7995195388793945</v>
      </c>
      <c r="D11" s="9">
        <v>0.41100001335144043</v>
      </c>
      <c r="E11" s="9">
        <v>4.1999998092651367</v>
      </c>
      <c r="F11" s="9">
        <v>19.030000686645508</v>
      </c>
      <c r="G11" s="7">
        <v>0.69826412200927734</v>
      </c>
      <c r="H11" s="7">
        <v>0.22070413827896118</v>
      </c>
      <c r="I11">
        <v>1.1660000085830688</v>
      </c>
      <c r="J11"/>
    </row>
    <row r="12" spans="1:10" ht="15" customHeight="1" x14ac:dyDescent="0.15">
      <c r="A12" s="244">
        <v>11</v>
      </c>
      <c r="B12" s="244" t="s">
        <v>198</v>
      </c>
      <c r="C12" s="8">
        <v>2.9917037487030029</v>
      </c>
      <c r="D12" s="9">
        <v>0.80500000715255737</v>
      </c>
      <c r="E12" s="9">
        <v>2.75</v>
      </c>
      <c r="F12" s="9">
        <v>31.309999465942383</v>
      </c>
      <c r="G12" s="7">
        <v>0.66825687885284424</v>
      </c>
      <c r="H12" s="7">
        <v>8.7831363081932068E-2</v>
      </c>
      <c r="I12">
        <v>0.82639986276626587</v>
      </c>
      <c r="J12"/>
    </row>
    <row r="13" spans="1:10" ht="15" customHeight="1" x14ac:dyDescent="0.15">
      <c r="A13" s="245">
        <v>12</v>
      </c>
      <c r="B13" s="245" t="s">
        <v>199</v>
      </c>
      <c r="C13" s="8">
        <v>3.3133919239044189</v>
      </c>
      <c r="D13" s="9">
        <v>0.62999999523162842</v>
      </c>
      <c r="E13" s="9">
        <v>3.25</v>
      </c>
      <c r="F13" s="9">
        <v>17.600000381469727</v>
      </c>
      <c r="G13" s="7">
        <v>0.63722193241119385</v>
      </c>
      <c r="H13" s="7">
        <v>0.18465909361839294</v>
      </c>
      <c r="I13">
        <v>1.2400000095367432</v>
      </c>
      <c r="J13"/>
    </row>
    <row r="14" spans="1:10" ht="15" customHeight="1" x14ac:dyDescent="0.15">
      <c r="A14" s="246">
        <v>13</v>
      </c>
      <c r="B14" s="246" t="s">
        <v>200</v>
      </c>
      <c r="C14" s="8">
        <v>3.6649308204650879</v>
      </c>
      <c r="D14" s="9">
        <v>0.29600000381469727</v>
      </c>
      <c r="E14" s="9">
        <v>2.1400001049041748</v>
      </c>
      <c r="F14" s="9">
        <v>10.439999580383301</v>
      </c>
      <c r="G14" s="7">
        <v>0.63269203901290894</v>
      </c>
      <c r="H14" s="7">
        <v>0.20498086512088776</v>
      </c>
      <c r="I14">
        <v>0.27080002427101135</v>
      </c>
      <c r="J14"/>
    </row>
    <row r="15" spans="1:10" ht="15" customHeight="1" x14ac:dyDescent="0.15">
      <c r="A15" s="247">
        <v>14</v>
      </c>
      <c r="B15" s="247" t="s">
        <v>201</v>
      </c>
      <c r="C15" s="8">
        <v>3.083521842956543</v>
      </c>
      <c r="D15" s="9">
        <v>1.6649999618530273</v>
      </c>
      <c r="E15" s="9">
        <v>3.9200000762939453</v>
      </c>
      <c r="F15" s="9">
        <v>16.040000915527344</v>
      </c>
      <c r="G15" s="7">
        <v>0.8318558931350708</v>
      </c>
      <c r="H15" s="7">
        <v>0.24438901245594025</v>
      </c>
      <c r="I15">
        <v>3.1594002246856689</v>
      </c>
      <c r="J15"/>
    </row>
    <row r="16" spans="1:10" ht="15" customHeight="1" x14ac:dyDescent="0.15">
      <c r="A16" s="248">
        <v>15</v>
      </c>
      <c r="B16" s="248" t="s">
        <v>273</v>
      </c>
      <c r="C16" s="8">
        <v>3.723236083984375</v>
      </c>
      <c r="D16" s="9">
        <v>0.28600001335144043</v>
      </c>
      <c r="E16" s="9">
        <v>2.2400000095367432</v>
      </c>
      <c r="F16" s="9">
        <v>13.600000381469727</v>
      </c>
      <c r="G16" s="7">
        <v>0.42906203866004944</v>
      </c>
      <c r="H16" s="7">
        <v>0.16470587253570557</v>
      </c>
      <c r="I16">
        <v>0.25140002369880676</v>
      </c>
      <c r="J16"/>
    </row>
    <row r="17" spans="1:10" ht="15" customHeight="1" x14ac:dyDescent="0.15">
      <c r="A17" s="249">
        <v>16</v>
      </c>
      <c r="B17" s="249" t="s">
        <v>202</v>
      </c>
      <c r="C17" s="8">
        <v>3.8019020557403564</v>
      </c>
      <c r="D17" s="7">
        <v>0.17076492309570312</v>
      </c>
      <c r="E17" s="9">
        <v>2.0799999237060547</v>
      </c>
      <c r="F17" s="9">
        <v>9.8199996948242188</v>
      </c>
      <c r="G17" s="9">
        <v>0.61000001430511475</v>
      </c>
      <c r="H17" s="7">
        <v>0.21181263029575348</v>
      </c>
      <c r="I17">
        <v>0.14480000734329224</v>
      </c>
      <c r="J17"/>
    </row>
    <row r="18" spans="1:10" ht="15" customHeight="1" x14ac:dyDescent="0.15">
      <c r="A18" s="250">
        <v>17</v>
      </c>
      <c r="B18" s="250" t="s">
        <v>203</v>
      </c>
      <c r="C18" s="8">
        <v>3.1402430534362793</v>
      </c>
      <c r="D18" s="7">
        <v>0.84931111335754395</v>
      </c>
      <c r="E18" s="9">
        <v>2.6400001049041748</v>
      </c>
      <c r="F18" s="9">
        <v>16.920000076293945</v>
      </c>
      <c r="G18" s="9">
        <v>0.79000002145767212</v>
      </c>
      <c r="H18" s="7">
        <v>0.1560283750295639</v>
      </c>
      <c r="I18">
        <v>0.85900002717971802</v>
      </c>
      <c r="J18"/>
    </row>
    <row r="19" spans="1:10" ht="15" customHeight="1" x14ac:dyDescent="0.15">
      <c r="A19" s="251">
        <v>18</v>
      </c>
      <c r="B19" s="251" t="s">
        <v>204</v>
      </c>
      <c r="C19" s="8">
        <v>2.0109882354736328</v>
      </c>
      <c r="D19" s="9">
        <v>1.2899999618530273</v>
      </c>
      <c r="E19" s="9">
        <v>1.8300000429153442</v>
      </c>
      <c r="F19" s="9">
        <v>34</v>
      </c>
      <c r="G19" s="7">
        <v>8.8906839489936829E-2</v>
      </c>
      <c r="H19" s="7">
        <v>5.3823530673980713E-2</v>
      </c>
      <c r="I19">
        <v>4.5599997043609619E-2</v>
      </c>
      <c r="J19"/>
    </row>
    <row r="20" spans="1:10" ht="15" customHeight="1" x14ac:dyDescent="0.15">
      <c r="A20" s="252">
        <v>19</v>
      </c>
      <c r="B20" s="252" t="s">
        <v>205</v>
      </c>
      <c r="C20" s="8">
        <v>2.0229825973510742</v>
      </c>
      <c r="D20" s="9">
        <v>0.32800000905990601</v>
      </c>
      <c r="E20" s="9">
        <v>2.9000000953674316</v>
      </c>
      <c r="F20" s="9">
        <v>37.060001373291016</v>
      </c>
      <c r="G20" s="7">
        <v>0.11753711849451065</v>
      </c>
      <c r="H20" s="7">
        <v>7.8251481056213379E-2</v>
      </c>
      <c r="I20">
        <v>5.3399998694658279E-2</v>
      </c>
      <c r="J20"/>
    </row>
    <row r="21" spans="1:10" ht="15" customHeight="1" x14ac:dyDescent="0.15">
      <c r="A21" s="253">
        <v>20</v>
      </c>
      <c r="B21" s="253" t="s">
        <v>206</v>
      </c>
      <c r="C21" s="8">
        <v>3.1529412269592285</v>
      </c>
      <c r="D21" s="9">
        <v>1.8869999647140503</v>
      </c>
      <c r="E21" s="9">
        <v>2.1400001049041748</v>
      </c>
      <c r="F21" s="9">
        <v>18.040000915527344</v>
      </c>
      <c r="G21" s="7">
        <v>8.9554600417613983E-2</v>
      </c>
      <c r="H21" s="7">
        <v>0.11862527579069138</v>
      </c>
      <c r="I21">
        <v>9.2199996113777161E-2</v>
      </c>
      <c r="J21"/>
    </row>
    <row r="22" spans="1:10" ht="15" customHeight="1" x14ac:dyDescent="0.15">
      <c r="A22" s="254">
        <v>21</v>
      </c>
      <c r="B22" s="254" t="s">
        <v>207</v>
      </c>
      <c r="C22" s="8">
        <v>3.1770412921905518</v>
      </c>
      <c r="D22" s="9">
        <v>1.3000000268220901E-2</v>
      </c>
      <c r="E22" s="9">
        <v>6.5</v>
      </c>
      <c r="F22" s="9">
        <v>26</v>
      </c>
      <c r="G22" s="7">
        <v>0.70880919694900513</v>
      </c>
      <c r="H22" s="7">
        <v>0.25</v>
      </c>
      <c r="I22">
        <v>3.9999998989515007E-4</v>
      </c>
      <c r="J22"/>
    </row>
    <row r="23" spans="1:10" ht="15" customHeight="1" x14ac:dyDescent="0.15">
      <c r="A23" s="255">
        <v>22</v>
      </c>
      <c r="B23" s="255" t="s">
        <v>208</v>
      </c>
      <c r="C23" s="8">
        <v>3.4420771598815918</v>
      </c>
      <c r="D23" s="9">
        <v>0.12099999934434891</v>
      </c>
      <c r="E23" s="9">
        <v>2.3199999332427979</v>
      </c>
      <c r="F23" s="9">
        <v>13.199999809265137</v>
      </c>
      <c r="G23" s="7">
        <v>0.66652369499206543</v>
      </c>
      <c r="H23" s="7">
        <v>0.17575757205486298</v>
      </c>
      <c r="I23">
        <v>8.4000006318092346E-3</v>
      </c>
      <c r="J23"/>
    </row>
    <row r="24" spans="1:10" ht="15" customHeight="1" x14ac:dyDescent="0.15">
      <c r="A24" s="256">
        <v>23</v>
      </c>
      <c r="B24" s="256" t="s">
        <v>209</v>
      </c>
      <c r="C24" s="8">
        <v>3.1546375751495361</v>
      </c>
      <c r="D24" s="9">
        <v>0.47099998593330383</v>
      </c>
      <c r="E24" s="9">
        <v>2.7200000286102295</v>
      </c>
      <c r="F24" s="9">
        <v>14.789999961853027</v>
      </c>
      <c r="G24" s="7">
        <v>0.75919502973556519</v>
      </c>
      <c r="H24" s="7">
        <v>0.18390804529190063</v>
      </c>
      <c r="I24">
        <v>0.39499998092651367</v>
      </c>
      <c r="J24"/>
    </row>
    <row r="25" spans="1:10" ht="15" customHeight="1" x14ac:dyDescent="0.15">
      <c r="A25" s="257">
        <v>24</v>
      </c>
      <c r="B25" s="257" t="s">
        <v>210</v>
      </c>
      <c r="C25" s="8">
        <v>2.7719590663909912</v>
      </c>
      <c r="D25" s="9">
        <v>2.0889999866485596</v>
      </c>
      <c r="E25" s="9">
        <v>3.5</v>
      </c>
      <c r="F25" s="9">
        <v>16.200000762939453</v>
      </c>
      <c r="G25" s="7">
        <v>0.79135555028915405</v>
      </c>
      <c r="H25" s="7">
        <v>0.21604937314987183</v>
      </c>
      <c r="I25">
        <v>0.26480001211166382</v>
      </c>
      <c r="J25"/>
    </row>
    <row r="26" spans="1:10" ht="15" customHeight="1" x14ac:dyDescent="0.15">
      <c r="A26" s="258">
        <v>25</v>
      </c>
      <c r="B26" s="258" t="s">
        <v>211</v>
      </c>
      <c r="C26" s="8">
        <v>2.2478129863739014</v>
      </c>
      <c r="D26" s="9">
        <v>6.690000057220459</v>
      </c>
      <c r="E26" s="9">
        <v>3.2599999904632568</v>
      </c>
      <c r="F26" s="9">
        <v>19</v>
      </c>
      <c r="G26" s="7">
        <v>0.85044795274734497</v>
      </c>
      <c r="H26" s="7">
        <v>0.17157894372940063</v>
      </c>
      <c r="I26">
        <v>0.30500000715255737</v>
      </c>
      <c r="J26"/>
    </row>
    <row r="27" spans="1:10" ht="15" customHeight="1" x14ac:dyDescent="0.15">
      <c r="A27" s="259">
        <v>26</v>
      </c>
      <c r="B27" s="259" t="s">
        <v>212</v>
      </c>
      <c r="C27" s="8">
        <v>2.3228037357330322</v>
      </c>
      <c r="D27" s="9">
        <v>5.2789998054504395</v>
      </c>
      <c r="E27" s="9">
        <v>3.9200000762939453</v>
      </c>
      <c r="F27" s="9">
        <v>15.75</v>
      </c>
      <c r="G27" s="7">
        <v>0.82890599966049194</v>
      </c>
      <c r="H27" s="7">
        <v>0.24888889491558075</v>
      </c>
      <c r="I27">
        <v>0.13300000131130219</v>
      </c>
      <c r="J27"/>
    </row>
    <row r="28" spans="1:10" ht="15" customHeight="1" x14ac:dyDescent="0.15">
      <c r="A28" s="260">
        <v>27</v>
      </c>
      <c r="B28" s="260" t="s">
        <v>213</v>
      </c>
      <c r="C28" s="8">
        <v>2.1816444396972656</v>
      </c>
      <c r="D28" s="9">
        <v>4.8959999084472656</v>
      </c>
      <c r="E28" s="9">
        <v>2.2799999713897705</v>
      </c>
      <c r="F28" s="9">
        <v>12.25</v>
      </c>
      <c r="G28" s="7">
        <v>0.78263658285140991</v>
      </c>
      <c r="H28" s="7">
        <v>0.18612244725227356</v>
      </c>
      <c r="I28">
        <v>3.2000001519918442E-2</v>
      </c>
      <c r="J28"/>
    </row>
    <row r="29" spans="1:10" ht="15" customHeight="1" x14ac:dyDescent="0.15">
      <c r="A29" s="261">
        <v>28</v>
      </c>
      <c r="B29" s="261" t="s">
        <v>214</v>
      </c>
      <c r="C29" s="8">
        <v>2.1302647590637207</v>
      </c>
      <c r="D29" s="9">
        <v>15.994999885559082</v>
      </c>
      <c r="E29" s="9">
        <v>6.5</v>
      </c>
      <c r="F29" s="9">
        <v>25</v>
      </c>
      <c r="G29" s="7">
        <v>0.87208205461502075</v>
      </c>
      <c r="H29" s="7">
        <v>0.25999999046325684</v>
      </c>
      <c r="I29">
        <v>0</v>
      </c>
      <c r="J29"/>
    </row>
    <row r="30" spans="1:10" ht="15" customHeight="1" x14ac:dyDescent="0.15">
      <c r="A30" s="262">
        <v>29</v>
      </c>
      <c r="B30" s="262" t="s">
        <v>215</v>
      </c>
      <c r="C30" s="8">
        <v>2.0988235473632812</v>
      </c>
      <c r="D30" s="9">
        <v>11.223999977111816</v>
      </c>
      <c r="E30" s="9">
        <v>1.75</v>
      </c>
      <c r="F30" s="9">
        <v>15</v>
      </c>
      <c r="G30" s="7">
        <v>0.48949071764945984</v>
      </c>
      <c r="H30" s="7">
        <v>0.11666666716337204</v>
      </c>
      <c r="I30">
        <v>4.1000001132488251E-2</v>
      </c>
      <c r="J30"/>
    </row>
    <row r="31" spans="1:10" ht="15" customHeight="1" x14ac:dyDescent="0.15">
      <c r="A31" s="263">
        <v>30</v>
      </c>
      <c r="B31" s="263" t="s">
        <v>216</v>
      </c>
      <c r="C31" s="8">
        <v>2.1764705181121826</v>
      </c>
      <c r="D31" s="7">
        <v>17.3377685546875</v>
      </c>
      <c r="E31" s="9">
        <v>33</v>
      </c>
      <c r="F31" s="9">
        <v>145</v>
      </c>
      <c r="G31" s="9">
        <v>0.94999992847442627</v>
      </c>
      <c r="H31" s="7">
        <v>0.22758620977401733</v>
      </c>
      <c r="I31">
        <v>0</v>
      </c>
      <c r="J31"/>
    </row>
    <row r="32" spans="1:10" ht="15" customHeight="1" x14ac:dyDescent="0.15">
      <c r="A32" s="264">
        <v>31</v>
      </c>
      <c r="B32" s="264" t="s">
        <v>217</v>
      </c>
      <c r="C32" s="8">
        <v>1</v>
      </c>
      <c r="D32" s="7">
        <v>18.920890808105469</v>
      </c>
      <c r="E32" s="9">
        <v>135</v>
      </c>
      <c r="F32" s="10"/>
      <c r="G32" s="9">
        <v>0.85999995470046997</v>
      </c>
      <c r="H32" s="10"/>
      <c r="I32">
        <v>0</v>
      </c>
      <c r="J32"/>
    </row>
    <row r="33" spans="1:10" ht="15" customHeight="1" x14ac:dyDescent="0.15">
      <c r="A33" s="265">
        <v>32</v>
      </c>
      <c r="B33" s="265" t="s">
        <v>218</v>
      </c>
      <c r="C33" s="8">
        <v>1</v>
      </c>
      <c r="D33" s="9">
        <v>26.750999450683594</v>
      </c>
      <c r="E33" s="9">
        <v>15</v>
      </c>
      <c r="F33" s="10"/>
      <c r="G33" s="7">
        <v>0.60841995477676392</v>
      </c>
      <c r="H33" s="10"/>
      <c r="I33">
        <v>0</v>
      </c>
      <c r="J33"/>
    </row>
    <row r="34" spans="1:10" ht="15" customHeight="1" x14ac:dyDescent="0.15">
      <c r="A34" s="266">
        <v>33</v>
      </c>
      <c r="B34" s="266" t="s">
        <v>185</v>
      </c>
      <c r="C34" s="8">
        <v>1</v>
      </c>
      <c r="D34" s="9">
        <v>86.279998779296875</v>
      </c>
      <c r="E34" s="10"/>
      <c r="F34" s="10"/>
      <c r="G34" s="7">
        <v>0.4106428325176239</v>
      </c>
      <c r="H34" s="10"/>
      <c r="I34">
        <v>0</v>
      </c>
      <c r="J34"/>
    </row>
    <row r="35" spans="1:10" ht="15" customHeight="1" x14ac:dyDescent="0.15">
      <c r="A35" s="267">
        <v>34</v>
      </c>
      <c r="B35" s="267" t="s">
        <v>123</v>
      </c>
      <c r="C35" s="8">
        <v>1</v>
      </c>
      <c r="D35" s="10"/>
      <c r="E35" s="10"/>
      <c r="F35" s="10"/>
      <c r="G35" s="7">
        <v>0</v>
      </c>
      <c r="H35" s="10"/>
      <c r="I35">
        <v>0</v>
      </c>
      <c r="J35"/>
    </row>
    <row r="36" spans="1:10" ht="15" customHeight="1" x14ac:dyDescent="0.15">
      <c r="A36" s="268">
        <v>35</v>
      </c>
      <c r="B36" s="268" t="s">
        <v>224</v>
      </c>
      <c r="C36" s="8">
        <v>4.0332927703857422</v>
      </c>
      <c r="D36" s="10"/>
      <c r="E36" s="10"/>
      <c r="F36" s="10"/>
      <c r="G36" s="10"/>
      <c r="H36" s="10"/>
      <c r="I36">
        <v>3.0880002975463867</v>
      </c>
      <c r="J36"/>
    </row>
    <row r="37" spans="1:10" ht="15" customHeight="1" x14ac:dyDescent="0.15">
      <c r="A37" s="269">
        <v>36</v>
      </c>
      <c r="B37" s="269" t="s">
        <v>225</v>
      </c>
      <c r="C37" s="8">
        <v>3.8274366855621338</v>
      </c>
      <c r="D37" s="10"/>
      <c r="E37" s="10"/>
      <c r="F37" s="10"/>
      <c r="G37" s="10"/>
      <c r="H37" s="10"/>
      <c r="I37">
        <v>1.7169997692108154</v>
      </c>
      <c r="J37"/>
    </row>
    <row r="38" spans="1:10" ht="15" customHeight="1" x14ac:dyDescent="0.15">
      <c r="A38" s="270">
        <v>37</v>
      </c>
      <c r="B38" s="270" t="s">
        <v>226</v>
      </c>
      <c r="C38" s="8">
        <v>3.7712841033935547</v>
      </c>
      <c r="D38" s="10"/>
      <c r="E38" s="10"/>
      <c r="F38" s="10"/>
      <c r="G38" s="10"/>
      <c r="H38" s="10"/>
      <c r="I38">
        <v>0.70139998197555542</v>
      </c>
      <c r="J38"/>
    </row>
    <row r="39" spans="1:10" ht="15" customHeight="1" x14ac:dyDescent="0.15">
      <c r="A39" s="271">
        <v>38</v>
      </c>
      <c r="B39" s="271" t="s">
        <v>227</v>
      </c>
      <c r="C39" s="8">
        <v>3.7473421096801758</v>
      </c>
      <c r="D39" s="10"/>
      <c r="E39" s="10"/>
      <c r="F39" s="10"/>
      <c r="G39" s="10"/>
      <c r="H39" s="10"/>
      <c r="I39">
        <v>0.17800001800060272</v>
      </c>
      <c r="J39"/>
    </row>
    <row r="40" spans="1:10" ht="15" customHeight="1" x14ac:dyDescent="0.15">
      <c r="A40" s="272">
        <v>39</v>
      </c>
      <c r="B40" s="272" t="s">
        <v>228</v>
      </c>
      <c r="C40" s="8">
        <v>3.9916424751281738</v>
      </c>
      <c r="D40" s="10"/>
      <c r="E40" s="10"/>
      <c r="F40" s="10"/>
      <c r="G40" s="10"/>
      <c r="H40" s="10"/>
      <c r="I40">
        <v>1.7763999700546265</v>
      </c>
      <c r="J40"/>
    </row>
    <row r="41" spans="1:10" ht="15" customHeight="1" x14ac:dyDescent="0.15">
      <c r="A41" s="273">
        <v>40</v>
      </c>
      <c r="B41" s="273" t="s">
        <v>229</v>
      </c>
      <c r="C41" s="8">
        <v>3.8548836708068848</v>
      </c>
      <c r="D41" s="10"/>
      <c r="E41" s="10"/>
      <c r="F41" s="10"/>
      <c r="G41" s="10"/>
      <c r="H41" s="10"/>
      <c r="I41">
        <v>0.72200006246566772</v>
      </c>
      <c r="J41"/>
    </row>
    <row r="42" spans="1:10" ht="15" customHeight="1" x14ac:dyDescent="0.15">
      <c r="A42" s="274">
        <v>41</v>
      </c>
      <c r="B42" s="274" t="s">
        <v>230</v>
      </c>
      <c r="C42" s="8">
        <v>3.9916172027587891</v>
      </c>
      <c r="D42" s="10"/>
      <c r="E42" s="10"/>
      <c r="F42" s="10"/>
      <c r="G42" s="10"/>
      <c r="H42" s="10"/>
      <c r="I42">
        <v>0.33699998259544373</v>
      </c>
      <c r="J42"/>
    </row>
    <row r="43" spans="1:10" ht="15" customHeight="1" x14ac:dyDescent="0.15">
      <c r="A43" s="275">
        <v>42</v>
      </c>
      <c r="B43" s="275" t="s">
        <v>231</v>
      </c>
      <c r="C43" s="8">
        <v>4.103142261505127</v>
      </c>
      <c r="D43" s="10"/>
      <c r="E43" s="10"/>
      <c r="F43" s="10"/>
      <c r="G43" s="10"/>
      <c r="H43" s="10"/>
      <c r="I43">
        <v>0.36079999804496765</v>
      </c>
      <c r="J43"/>
    </row>
    <row r="44" spans="1:10" ht="15" customHeight="1" x14ac:dyDescent="0.15">
      <c r="A44" s="276">
        <v>43</v>
      </c>
      <c r="B44" s="276" t="s">
        <v>232</v>
      </c>
      <c r="C44" s="8">
        <v>4.028651237487793</v>
      </c>
      <c r="D44" s="10"/>
      <c r="E44" s="10"/>
      <c r="F44" s="10"/>
      <c r="G44" s="10"/>
      <c r="H44" s="10"/>
      <c r="I44">
        <v>0.73820006847381592</v>
      </c>
      <c r="J44"/>
    </row>
    <row r="45" spans="1:10" ht="15" customHeight="1" x14ac:dyDescent="0.15">
      <c r="A45" s="277">
        <v>44</v>
      </c>
      <c r="B45" s="277" t="s">
        <v>233</v>
      </c>
      <c r="C45" s="8">
        <v>3.9920873641967773</v>
      </c>
      <c r="D45" s="10"/>
      <c r="E45" s="10"/>
      <c r="F45" s="10"/>
      <c r="G45" s="10"/>
      <c r="H45" s="10"/>
      <c r="I45">
        <v>0.41699999570846558</v>
      </c>
      <c r="J45"/>
    </row>
    <row r="46" spans="1:10" ht="15" customHeight="1" x14ac:dyDescent="0.15">
      <c r="A46" s="278">
        <v>45</v>
      </c>
      <c r="B46" s="278" t="s">
        <v>235</v>
      </c>
      <c r="C46" s="8">
        <v>3.9327077865600586</v>
      </c>
      <c r="D46" s="10"/>
      <c r="E46" s="10"/>
      <c r="F46" s="10"/>
      <c r="G46" s="10"/>
      <c r="H46" s="10"/>
      <c r="I46">
        <v>5.4999999701976776E-2</v>
      </c>
      <c r="J46"/>
    </row>
    <row r="47" spans="1:10" ht="15" customHeight="1" x14ac:dyDescent="0.15">
      <c r="A47" s="279">
        <v>46</v>
      </c>
      <c r="B47" s="279" t="s">
        <v>234</v>
      </c>
      <c r="C47" s="8">
        <v>3.9685659408569336</v>
      </c>
      <c r="D47" s="10"/>
      <c r="E47" s="10"/>
      <c r="F47" s="10"/>
      <c r="G47" s="10"/>
      <c r="H47" s="10"/>
      <c r="I47">
        <v>0.70079994201660156</v>
      </c>
      <c r="J47"/>
    </row>
    <row r="48" spans="1:10" ht="15" customHeight="1" x14ac:dyDescent="0.15">
      <c r="A48" s="280">
        <v>47</v>
      </c>
      <c r="B48" s="280" t="s">
        <v>236</v>
      </c>
      <c r="C48" s="8">
        <v>3.8140039443969727</v>
      </c>
      <c r="D48" s="10"/>
      <c r="E48" s="10"/>
      <c r="F48" s="10"/>
      <c r="G48" s="10"/>
      <c r="H48" s="10"/>
      <c r="I48">
        <v>0.13220000267028809</v>
      </c>
      <c r="J48"/>
    </row>
    <row r="49" spans="1:10" ht="15" customHeight="1" x14ac:dyDescent="0.15">
      <c r="A49" s="281">
        <v>48</v>
      </c>
      <c r="B49" s="281" t="s">
        <v>237</v>
      </c>
      <c r="C49" s="8">
        <v>3.7719590663909912</v>
      </c>
      <c r="D49" s="10"/>
      <c r="E49" s="10"/>
      <c r="F49" s="10"/>
      <c r="G49" s="10"/>
      <c r="H49" s="10"/>
      <c r="I49">
        <v>5.6000001728534698E-2</v>
      </c>
      <c r="J49"/>
    </row>
    <row r="50" spans="1:10" ht="15" customHeight="1" x14ac:dyDescent="0.15">
      <c r="A50" s="282">
        <v>49</v>
      </c>
      <c r="B50" s="282" t="s">
        <v>238</v>
      </c>
      <c r="C50" s="8">
        <v>3.7954010963439941</v>
      </c>
      <c r="D50" s="10"/>
      <c r="E50" s="10"/>
      <c r="F50" s="10"/>
      <c r="G50" s="10"/>
      <c r="H50" s="10"/>
      <c r="I50">
        <v>6.8400003015995026E-2</v>
      </c>
      <c r="J50"/>
    </row>
    <row r="51" spans="1:10" ht="15" customHeight="1" x14ac:dyDescent="0.15">
      <c r="A51" s="283">
        <v>50</v>
      </c>
      <c r="B51" s="283" t="s">
        <v>239</v>
      </c>
      <c r="C51" s="8">
        <v>3.9631025791168213</v>
      </c>
      <c r="D51" s="10"/>
      <c r="E51" s="10"/>
      <c r="F51" s="10"/>
      <c r="G51" s="10"/>
      <c r="H51" s="10"/>
      <c r="I51">
        <v>0.72839993238449097</v>
      </c>
      <c r="J51"/>
    </row>
    <row r="52" spans="1:10" ht="15" customHeight="1" x14ac:dyDescent="0.15">
      <c r="A52" s="284">
        <v>51</v>
      </c>
      <c r="B52" s="284" t="s">
        <v>240</v>
      </c>
      <c r="C52" s="8">
        <v>3.3819448947906494</v>
      </c>
      <c r="D52" s="10"/>
      <c r="E52" s="10"/>
      <c r="F52" s="10"/>
      <c r="G52" s="10"/>
      <c r="H52" s="10"/>
      <c r="I52">
        <v>9.9399998784065247E-2</v>
      </c>
      <c r="J52"/>
    </row>
    <row r="53" spans="1:10" ht="15" customHeight="1" x14ac:dyDescent="0.15">
      <c r="A53" s="285">
        <v>52</v>
      </c>
      <c r="B53" s="285" t="s">
        <v>241</v>
      </c>
      <c r="C53" s="8">
        <v>3.5951123237609863</v>
      </c>
      <c r="D53" s="10"/>
      <c r="E53" s="10"/>
      <c r="F53" s="10"/>
      <c r="G53" s="10"/>
      <c r="H53" s="10"/>
      <c r="I53">
        <v>0.68799996376037598</v>
      </c>
      <c r="J53"/>
    </row>
    <row r="54" spans="1:10" ht="15" customHeight="1" x14ac:dyDescent="0.15">
      <c r="A54" s="286">
        <v>53</v>
      </c>
      <c r="B54" s="286" t="s">
        <v>242</v>
      </c>
      <c r="C54" s="8">
        <v>3.4544711112976074</v>
      </c>
      <c r="D54" s="10"/>
      <c r="E54" s="10"/>
      <c r="F54" s="10"/>
      <c r="G54" s="10"/>
      <c r="H54" s="10"/>
      <c r="I54">
        <v>0.21819999814033508</v>
      </c>
      <c r="J54"/>
    </row>
    <row r="55" spans="1:10" ht="15" customHeight="1" x14ac:dyDescent="0.15">
      <c r="A55" s="287">
        <v>54</v>
      </c>
      <c r="B55" s="287" t="s">
        <v>243</v>
      </c>
      <c r="C55" s="8">
        <v>4.1392364501953125</v>
      </c>
      <c r="D55" s="10"/>
      <c r="E55" s="10"/>
      <c r="F55" s="10"/>
      <c r="G55" s="10"/>
      <c r="H55" s="10"/>
      <c r="I55">
        <v>0.17340001463890076</v>
      </c>
      <c r="J55"/>
    </row>
    <row r="56" spans="1:10" ht="15" customHeight="1" x14ac:dyDescent="0.15">
      <c r="A56" s="288">
        <v>55</v>
      </c>
      <c r="B56" s="288" t="s">
        <v>244</v>
      </c>
      <c r="C56" s="8">
        <v>4.1578474044799805</v>
      </c>
      <c r="D56" s="10"/>
      <c r="E56" s="10"/>
      <c r="F56" s="10"/>
      <c r="G56" s="10"/>
      <c r="H56" s="10"/>
      <c r="I56">
        <v>7.1800000965595245E-2</v>
      </c>
      <c r="J56"/>
    </row>
    <row r="57" spans="1:10" ht="15" customHeight="1" x14ac:dyDescent="0.15">
      <c r="A57" s="289">
        <v>56</v>
      </c>
      <c r="B57" s="289" t="s">
        <v>245</v>
      </c>
      <c r="C57" s="8">
        <v>4.1738882064819336</v>
      </c>
      <c r="D57" s="10"/>
      <c r="E57" s="10"/>
      <c r="F57" s="10"/>
      <c r="G57" s="10"/>
      <c r="H57" s="10"/>
      <c r="I57">
        <v>0.65099996328353882</v>
      </c>
      <c r="J57"/>
    </row>
    <row r="58" spans="1:10" ht="15" customHeight="1" x14ac:dyDescent="0.15">
      <c r="A58" s="290">
        <v>57</v>
      </c>
      <c r="B58" s="290" t="s">
        <v>246</v>
      </c>
      <c r="C58" s="8">
        <v>3.9163334369659424</v>
      </c>
      <c r="D58" s="10"/>
      <c r="E58" s="10"/>
      <c r="F58" s="10"/>
      <c r="G58" s="10"/>
      <c r="H58" s="10"/>
      <c r="I58">
        <v>3.2399997115135193E-2</v>
      </c>
      <c r="J58"/>
    </row>
    <row r="59" spans="1:10" ht="15" customHeight="1" x14ac:dyDescent="0.15">
      <c r="A59" s="291">
        <v>58</v>
      </c>
      <c r="B59" s="291" t="s">
        <v>247</v>
      </c>
      <c r="C59" s="8">
        <v>4.4094042778015137</v>
      </c>
      <c r="D59" s="10"/>
      <c r="E59" s="10"/>
      <c r="F59" s="10"/>
      <c r="G59" s="10"/>
      <c r="H59" s="10"/>
      <c r="I59">
        <v>3.0400000512599945E-2</v>
      </c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2" activePane="bottomRight" state="frozen"/>
      <selection pane="topRight" activeCell="D1" sqref="D1"/>
      <selection pane="bottomLeft" activeCell="A2" sqref="A2"/>
      <selection pane="bottomRight" activeCell="A31" sqref="A31:XFD31"/>
    </sheetView>
  </sheetViews>
  <sheetFormatPr baseColWidth="10" defaultColWidth="8.83203125" defaultRowHeight="15" customHeight="1" x14ac:dyDescent="0.15"/>
  <cols>
    <col min="1" max="1" width="40.33203125" style="58" bestFit="1" customWidth="1"/>
    <col min="2" max="4" width="9.5" style="58" bestFit="1" customWidth="1"/>
    <col min="5" max="7" width="9" style="58" bestFit="1" customWidth="1"/>
    <col min="8" max="16" width="12.6640625" style="58" bestFit="1" customWidth="1"/>
    <col min="17" max="17" width="12.33203125" style="58" bestFit="1" customWidth="1"/>
    <col min="18" max="18" width="8.83203125" style="58"/>
    <col min="19" max="21" width="9.33203125" style="58" bestFit="1" customWidth="1"/>
    <col min="22" max="23" width="8.83203125" style="58"/>
    <col min="24" max="24" width="9.33203125" style="58" bestFit="1" customWidth="1"/>
    <col min="25" max="27" width="8.83203125" style="58"/>
    <col min="28" max="58" width="9" style="58" bestFit="1" customWidth="1"/>
    <col min="59" max="59" width="12.33203125" style="58" bestFit="1" customWidth="1"/>
    <col min="60" max="60" width="9" style="58" bestFit="1" customWidth="1"/>
    <col min="61" max="61" width="11.33203125" style="58" bestFit="1" customWidth="1"/>
    <col min="62" max="77" width="9" style="58" bestFit="1" customWidth="1"/>
    <col min="78" max="78" width="12.33203125" style="58" bestFit="1" customWidth="1"/>
    <col min="79" max="79" width="9" style="58" bestFit="1" customWidth="1"/>
    <col min="80" max="80" width="12.33203125" style="58" bestFit="1" customWidth="1"/>
    <col min="81" max="107" width="9" style="58" bestFit="1" customWidth="1"/>
    <col min="108" max="108" width="11.33203125" style="58" bestFit="1" customWidth="1"/>
    <col min="109" max="124" width="9" style="58" bestFit="1" customWidth="1"/>
    <col min="125" max="125" width="10.33203125" style="58" bestFit="1" customWidth="1"/>
    <col min="126" max="129" width="9.33203125" style="58" bestFit="1" customWidth="1"/>
    <col min="130" max="130" width="9" style="58" bestFit="1" customWidth="1"/>
    <col min="131" max="134" width="9.33203125" style="58" bestFit="1" customWidth="1"/>
    <col min="135" max="165" width="9" style="58" bestFit="1" customWidth="1"/>
    <col min="166" max="166" width="12.33203125" style="58" bestFit="1" customWidth="1"/>
    <col min="167" max="170" width="9" style="58" bestFit="1" customWidth="1"/>
    <col min="171" max="176" width="8.83203125" style="58"/>
    <col min="177" max="177" width="13.83203125" style="58" bestFit="1" customWidth="1"/>
    <col min="178" max="16384" width="8.83203125" style="58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249</v>
      </c>
      <c r="E1" t="s">
        <v>250</v>
      </c>
      <c r="F1" t="s">
        <v>251</v>
      </c>
      <c r="G1" t="s">
        <v>252</v>
      </c>
      <c r="H1" t="s">
        <v>253</v>
      </c>
      <c r="I1" t="s">
        <v>254</v>
      </c>
      <c r="J1" t="s">
        <v>255</v>
      </c>
      <c r="K1" t="s">
        <v>256</v>
      </c>
      <c r="L1" t="s">
        <v>257</v>
      </c>
      <c r="M1" t="s">
        <v>258</v>
      </c>
      <c r="N1" t="s">
        <v>259</v>
      </c>
      <c r="O1" t="s">
        <v>260</v>
      </c>
      <c r="P1" t="s">
        <v>261</v>
      </c>
      <c r="Q1" t="s">
        <v>262</v>
      </c>
      <c r="R1" t="s">
        <v>263</v>
      </c>
      <c r="S1" t="s">
        <v>264</v>
      </c>
      <c r="T1" t="s">
        <v>265</v>
      </c>
      <c r="U1" t="s">
        <v>266</v>
      </c>
      <c r="V1" t="s">
        <v>267</v>
      </c>
      <c r="W1" t="s">
        <v>268</v>
      </c>
      <c r="X1" t="s">
        <v>269</v>
      </c>
      <c r="Y1" t="s">
        <v>270</v>
      </c>
      <c r="Z1" t="s">
        <v>271</v>
      </c>
      <c r="AA1" t="s">
        <v>272</v>
      </c>
      <c r="AB1" t="s">
        <v>189</v>
      </c>
      <c r="AC1" t="s">
        <v>221</v>
      </c>
      <c r="AD1" t="s">
        <v>190</v>
      </c>
      <c r="AE1" t="s">
        <v>191</v>
      </c>
      <c r="AF1" t="s">
        <v>192</v>
      </c>
      <c r="AG1" t="s">
        <v>193</v>
      </c>
      <c r="AH1" t="s">
        <v>194</v>
      </c>
      <c r="AI1" t="s">
        <v>195</v>
      </c>
      <c r="AJ1" t="s">
        <v>196</v>
      </c>
      <c r="AK1" t="s">
        <v>197</v>
      </c>
      <c r="AL1" t="s">
        <v>198</v>
      </c>
      <c r="AM1" t="s">
        <v>199</v>
      </c>
      <c r="AN1" t="s">
        <v>200</v>
      </c>
      <c r="AO1" t="s">
        <v>201</v>
      </c>
      <c r="AP1" t="s">
        <v>273</v>
      </c>
      <c r="AQ1" t="s">
        <v>202</v>
      </c>
      <c r="AR1" t="s">
        <v>203</v>
      </c>
      <c r="AS1" t="s">
        <v>204</v>
      </c>
      <c r="AT1" t="s">
        <v>205</v>
      </c>
      <c r="AU1" t="s">
        <v>206</v>
      </c>
      <c r="AV1" t="s">
        <v>207</v>
      </c>
      <c r="AW1" t="s">
        <v>208</v>
      </c>
      <c r="AX1" t="s">
        <v>209</v>
      </c>
      <c r="AY1" t="s">
        <v>210</v>
      </c>
      <c r="AZ1" t="s">
        <v>211</v>
      </c>
      <c r="BA1" t="s">
        <v>212</v>
      </c>
      <c r="BB1" t="s">
        <v>213</v>
      </c>
      <c r="BC1" t="s">
        <v>214</v>
      </c>
      <c r="BD1" t="s">
        <v>215</v>
      </c>
      <c r="BE1" t="s">
        <v>216</v>
      </c>
      <c r="BF1" t="s">
        <v>217</v>
      </c>
      <c r="BG1" t="s">
        <v>218</v>
      </c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189</v>
      </c>
      <c r="B2">
        <v>0.40000000596046448</v>
      </c>
      <c r="C2">
        <v>0.39037814736366272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 s="154">
        <v>9.6218464896082878E-3</v>
      </c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221</v>
      </c>
      <c r="B3">
        <v>0.92000001668930054</v>
      </c>
      <c r="C3">
        <v>0.57849341630935669</v>
      </c>
      <c r="D3"/>
      <c r="E3"/>
      <c r="F3"/>
      <c r="G3"/>
      <c r="H3" s="141">
        <v>7.1428574621677399E-2</v>
      </c>
      <c r="I3" s="168">
        <v>3.5714287310838699E-2</v>
      </c>
      <c r="J3"/>
      <c r="K3"/>
      <c r="L3" s="160">
        <v>1.428571343421936E-2</v>
      </c>
      <c r="M3"/>
      <c r="N3"/>
      <c r="O3" s="160">
        <v>1.428571343421936E-2</v>
      </c>
      <c r="P3" s="160">
        <v>1.428571343421936E-2</v>
      </c>
      <c r="Q3"/>
      <c r="R3"/>
      <c r="S3" s="141">
        <v>7.1428574621677399E-2</v>
      </c>
      <c r="T3"/>
      <c r="U3"/>
      <c r="V3"/>
      <c r="W3" s="168">
        <v>3.5714287310838699E-2</v>
      </c>
      <c r="X3"/>
      <c r="Y3" s="168">
        <v>3.5714287310838699E-2</v>
      </c>
      <c r="Z3"/>
      <c r="AA3" s="160">
        <v>1.428571343421936E-2</v>
      </c>
      <c r="AB3"/>
      <c r="AC3" s="185">
        <v>3.4363742917776108E-2</v>
      </c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190</v>
      </c>
      <c r="B4">
        <v>1.6100000143051147</v>
      </c>
      <c r="C4">
        <v>0.90392738580703735</v>
      </c>
      <c r="D4" s="140">
        <v>9.4339624047279358E-2</v>
      </c>
      <c r="E4"/>
      <c r="F4"/>
      <c r="G4"/>
      <c r="H4" s="162">
        <v>0.30188679695129395</v>
      </c>
      <c r="I4"/>
      <c r="J4"/>
      <c r="K4"/>
      <c r="L4" s="157">
        <v>5.6603774428367615E-2</v>
      </c>
      <c r="M4"/>
      <c r="N4"/>
      <c r="O4" s="176">
        <v>1.8867924809455872E-2</v>
      </c>
      <c r="P4" s="12">
        <v>7.5471699237823486E-3</v>
      </c>
      <c r="Q4"/>
      <c r="R4"/>
      <c r="S4"/>
      <c r="T4"/>
      <c r="U4"/>
      <c r="V4" s="12">
        <v>7.5471699237823486E-3</v>
      </c>
      <c r="W4" s="154">
        <v>3.7735849618911743E-2</v>
      </c>
      <c r="X4"/>
      <c r="Y4"/>
      <c r="Z4"/>
      <c r="AA4"/>
      <c r="AB4"/>
      <c r="AC4" s="187">
        <v>0.18154428899288177</v>
      </c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191</v>
      </c>
      <c r="B5">
        <v>1.6599999666213989</v>
      </c>
      <c r="C5">
        <v>0.73870068788528442</v>
      </c>
      <c r="D5" s="141">
        <v>0.1315789520740509</v>
      </c>
      <c r="E5" s="15">
        <v>5.263158306479454E-2</v>
      </c>
      <c r="F5" s="12">
        <v>5.2631581202149391E-3</v>
      </c>
      <c r="G5"/>
      <c r="H5" s="163">
        <v>0.14473684132099152</v>
      </c>
      <c r="I5"/>
      <c r="J5"/>
      <c r="K5" s="150">
        <v>1.3157895766198635E-2</v>
      </c>
      <c r="L5" s="12">
        <v>5.2631581202149391E-3</v>
      </c>
      <c r="M5"/>
      <c r="N5"/>
      <c r="O5" s="172">
        <v>0.1184210479259491</v>
      </c>
      <c r="P5"/>
      <c r="Q5"/>
      <c r="R5"/>
      <c r="S5" s="169">
        <v>9.2105269432067871E-2</v>
      </c>
      <c r="T5"/>
      <c r="U5"/>
      <c r="V5"/>
      <c r="W5"/>
      <c r="X5"/>
      <c r="Y5"/>
      <c r="Z5"/>
      <c r="AA5" s="183">
        <v>7.8947372734546661E-2</v>
      </c>
      <c r="AB5"/>
      <c r="AC5" s="11">
        <v>1.2660326901823282E-3</v>
      </c>
      <c r="AD5"/>
      <c r="AE5"/>
      <c r="AF5" s="165">
        <v>2.2033233195543289E-2</v>
      </c>
      <c r="AG5"/>
      <c r="AH5"/>
      <c r="AI5"/>
      <c r="AJ5"/>
      <c r="AK5"/>
      <c r="AL5"/>
      <c r="AM5"/>
      <c r="AN5"/>
      <c r="AO5"/>
      <c r="AP5" s="190">
        <v>0.25589475035667419</v>
      </c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192</v>
      </c>
      <c r="B6">
        <v>1.9600000381469727</v>
      </c>
      <c r="C6">
        <v>0.68475764989852905</v>
      </c>
      <c r="D6" s="142">
        <v>0.10344827920198441</v>
      </c>
      <c r="E6" s="142">
        <v>0.10344827920198441</v>
      </c>
      <c r="F6" s="157">
        <v>6.8965524435043335E-2</v>
      </c>
      <c r="G6"/>
      <c r="H6"/>
      <c r="I6"/>
      <c r="J6"/>
      <c r="K6"/>
      <c r="L6"/>
      <c r="M6"/>
      <c r="N6"/>
      <c r="O6" s="150">
        <v>1.3793103396892548E-2</v>
      </c>
      <c r="P6"/>
      <c r="Q6"/>
      <c r="R6"/>
      <c r="S6" s="178">
        <v>0.17241379618644714</v>
      </c>
      <c r="T6"/>
      <c r="U6"/>
      <c r="V6"/>
      <c r="W6"/>
      <c r="X6"/>
      <c r="Y6" s="118">
        <v>0.55172419548034668</v>
      </c>
      <c r="Z6"/>
      <c r="AA6" s="184">
        <v>0.20689655840396881</v>
      </c>
      <c r="AB6"/>
      <c r="AC6" s="161">
        <v>1.9907271489500999E-2</v>
      </c>
      <c r="AD6"/>
      <c r="AE6"/>
      <c r="AF6" s="173">
        <v>3.4645356237888336E-2</v>
      </c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193</v>
      </c>
      <c r="B7">
        <v>3.2599999904632568</v>
      </c>
      <c r="C7">
        <v>0.36710697412490845</v>
      </c>
      <c r="D7"/>
      <c r="E7"/>
      <c r="F7"/>
      <c r="G7" s="150">
        <v>2.4041213095188141E-2</v>
      </c>
      <c r="H7"/>
      <c r="I7" s="14">
        <v>1.8889525905251503E-2</v>
      </c>
      <c r="J7" s="160">
        <v>4.9799654632806778E-2</v>
      </c>
      <c r="K7"/>
      <c r="L7"/>
      <c r="M7" s="175">
        <v>0.19690899550914764</v>
      </c>
      <c r="N7" s="13">
        <v>3.434459213167429E-3</v>
      </c>
      <c r="O7"/>
      <c r="P7"/>
      <c r="Q7"/>
      <c r="R7"/>
      <c r="S7" s="13">
        <v>9.1585582122206688E-3</v>
      </c>
      <c r="T7" s="11">
        <v>5.724098882637918E-4</v>
      </c>
      <c r="U7"/>
      <c r="V7" s="13">
        <v>6.2965084798634052E-3</v>
      </c>
      <c r="W7"/>
      <c r="X7"/>
      <c r="Y7"/>
      <c r="Z7"/>
      <c r="AA7"/>
      <c r="AB7" s="12">
        <v>1.5151421539485455E-2</v>
      </c>
      <c r="AC7"/>
      <c r="AD7"/>
      <c r="AE7" s="195">
        <v>0.16864429414272308</v>
      </c>
      <c r="AF7" s="14">
        <v>2.0895626395940781E-2</v>
      </c>
      <c r="AG7" s="170">
        <v>0.15680001676082611</v>
      </c>
      <c r="AH7"/>
      <c r="AI7"/>
      <c r="AJ7"/>
      <c r="AK7" s="13">
        <v>4.4770068489015102E-3</v>
      </c>
      <c r="AL7" s="152">
        <v>0.1442733108997345</v>
      </c>
      <c r="AM7" s="205">
        <v>1.0599290132522583</v>
      </c>
      <c r="AN7" s="171">
        <v>0.14136934280395508</v>
      </c>
      <c r="AO7" s="161">
        <v>3.0574245378375053E-2</v>
      </c>
      <c r="AP7" s="199">
        <v>0.3361932635307312</v>
      </c>
      <c r="AQ7" s="12">
        <v>1.0537611320614815E-2</v>
      </c>
      <c r="AR7" s="14">
        <v>1.6451453790068626E-2</v>
      </c>
      <c r="AS7"/>
      <c r="AT7"/>
      <c r="AU7"/>
      <c r="AV7"/>
      <c r="AW7"/>
      <c r="AX7" s="202">
        <v>0.47849500179290771</v>
      </c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194</v>
      </c>
      <c r="B8">
        <v>3.1500000953674316</v>
      </c>
      <c r="C8">
        <v>0.17671991884708405</v>
      </c>
      <c r="D8" s="111">
        <v>9.2024542391300201E-2</v>
      </c>
      <c r="E8" s="152">
        <v>0.14314928650856018</v>
      </c>
      <c r="F8" s="12">
        <v>1.0224948637187481E-2</v>
      </c>
      <c r="G8" s="160">
        <v>5.1124744117259979E-2</v>
      </c>
      <c r="H8" s="164">
        <v>6.3394680619239807E-2</v>
      </c>
      <c r="I8" s="142">
        <v>0.16462168097496033</v>
      </c>
      <c r="J8" s="12">
        <v>1.3292433694005013E-2</v>
      </c>
      <c r="K8" s="14">
        <v>1.6359919682145119E-2</v>
      </c>
      <c r="L8" s="14">
        <v>2.1472392603754997E-2</v>
      </c>
      <c r="M8" s="150">
        <v>2.3517383262515068E-2</v>
      </c>
      <c r="N8" s="13">
        <v>5.1124743185937405E-3</v>
      </c>
      <c r="O8" s="11">
        <v>2.0449899602681398E-3</v>
      </c>
      <c r="P8"/>
      <c r="Q8"/>
      <c r="R8"/>
      <c r="S8" s="179">
        <v>8.5889570415019989E-2</v>
      </c>
      <c r="T8"/>
      <c r="U8" s="117">
        <v>0.21370144188404083</v>
      </c>
      <c r="V8" s="13">
        <v>4.0899799205362797E-3</v>
      </c>
      <c r="W8"/>
      <c r="X8"/>
      <c r="Y8"/>
      <c r="Z8"/>
      <c r="AA8"/>
      <c r="AB8" s="176">
        <v>3.4909877926111221E-2</v>
      </c>
      <c r="AC8" s="11">
        <v>1.5741264214739203E-3</v>
      </c>
      <c r="AD8"/>
      <c r="AE8" s="169">
        <v>0.16993537545204163</v>
      </c>
      <c r="AF8" s="176">
        <v>3.595607727766037E-2</v>
      </c>
      <c r="AG8"/>
      <c r="AH8"/>
      <c r="AI8"/>
      <c r="AJ8"/>
      <c r="AK8"/>
      <c r="AL8" s="193">
        <v>0.18040066957473755</v>
      </c>
      <c r="AM8" s="166">
        <v>0.47617179155349731</v>
      </c>
      <c r="AN8" s="194">
        <v>0.20833548903465271</v>
      </c>
      <c r="AO8" s="173">
        <v>5.4614730179309845E-2</v>
      </c>
      <c r="AP8" s="200">
        <v>0.61644995212554932</v>
      </c>
      <c r="AQ8"/>
      <c r="AR8"/>
      <c r="AS8"/>
      <c r="AT8"/>
      <c r="AU8"/>
      <c r="AV8"/>
      <c r="AW8"/>
      <c r="AX8" s="180">
        <v>0.2849116325378418</v>
      </c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195</v>
      </c>
      <c r="B9">
        <v>4.7199997901916504</v>
      </c>
      <c r="C9">
        <v>1.7357734441757202</v>
      </c>
      <c r="D9" s="143">
        <v>0.3561643660068512</v>
      </c>
      <c r="E9" s="153">
        <v>1.2397259473800659</v>
      </c>
      <c r="F9" s="150">
        <v>3.6986302584409714E-2</v>
      </c>
      <c r="G9" s="161">
        <v>4.7945205122232437E-2</v>
      </c>
      <c r="H9" s="13">
        <v>5.4794522002339363E-3</v>
      </c>
      <c r="I9" s="169">
        <v>0.26301369071006775</v>
      </c>
      <c r="J9" s="11">
        <v>2.7397261001169682E-3</v>
      </c>
      <c r="K9" s="12">
        <v>1.6438355669379234E-2</v>
      </c>
      <c r="L9" s="13">
        <v>5.4794522002339363E-3</v>
      </c>
      <c r="M9"/>
      <c r="N9" s="11">
        <v>4.1095889173448086E-3</v>
      </c>
      <c r="O9" s="12">
        <v>1.6438355669379234E-2</v>
      </c>
      <c r="P9"/>
      <c r="Q9"/>
      <c r="R9"/>
      <c r="S9" s="171">
        <v>0.20136985182762146</v>
      </c>
      <c r="T9" s="13">
        <v>8.2191778346896172E-3</v>
      </c>
      <c r="U9" s="182">
        <v>0.59452050924301147</v>
      </c>
      <c r="V9" s="11">
        <v>1.3698630500584841E-3</v>
      </c>
      <c r="W9"/>
      <c r="X9"/>
      <c r="Y9"/>
      <c r="Z9"/>
      <c r="AA9"/>
      <c r="AB9" s="13">
        <v>8.7583661079406738E-3</v>
      </c>
      <c r="AC9" s="11">
        <v>4.2177960276603699E-3</v>
      </c>
      <c r="AD9"/>
      <c r="AE9" s="13">
        <v>6.209095474332571E-3</v>
      </c>
      <c r="AF9" s="14">
        <v>2.9820321127772331E-2</v>
      </c>
      <c r="AG9"/>
      <c r="AH9"/>
      <c r="AI9"/>
      <c r="AJ9"/>
      <c r="AK9"/>
      <c r="AL9"/>
      <c r="AM9"/>
      <c r="AN9" s="13">
        <v>8.4579531103372574E-3</v>
      </c>
      <c r="AO9"/>
      <c r="AP9" s="174">
        <v>0.11722082644701004</v>
      </c>
      <c r="AQ9"/>
      <c r="AR9"/>
      <c r="AS9"/>
      <c r="AT9"/>
      <c r="AU9"/>
      <c r="AV9"/>
      <c r="AW9"/>
      <c r="AX9" s="13">
        <v>9.5425890758633614E-3</v>
      </c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196</v>
      </c>
      <c r="B10">
        <v>3.0999999046325684</v>
      </c>
      <c r="C10">
        <v>0.31476595997810364</v>
      </c>
      <c r="D10" s="144">
        <v>0.40794703364372253</v>
      </c>
      <c r="E10" s="154">
        <v>7.2847679257392883E-2</v>
      </c>
      <c r="F10" s="158">
        <v>0.25960263609886169</v>
      </c>
      <c r="G10" s="12">
        <v>1.3245033100247383E-2</v>
      </c>
      <c r="H10" s="165">
        <v>3.9735097438097E-2</v>
      </c>
      <c r="I10" s="14">
        <v>1.5894040465354919E-2</v>
      </c>
      <c r="J10" s="13">
        <v>3.9735101163387299E-3</v>
      </c>
      <c r="K10" s="160">
        <v>4.6357616782188416E-2</v>
      </c>
      <c r="L10" s="161">
        <v>3.0463576316833496E-2</v>
      </c>
      <c r="M10"/>
      <c r="N10"/>
      <c r="O10" s="177">
        <v>0.19205297529697418</v>
      </c>
      <c r="P10"/>
      <c r="Q10"/>
      <c r="R10"/>
      <c r="S10" s="150">
        <v>2.5165561586618423E-2</v>
      </c>
      <c r="T10"/>
      <c r="U10" s="13">
        <v>5.2980133332312107E-3</v>
      </c>
      <c r="V10"/>
      <c r="W10"/>
      <c r="X10"/>
      <c r="Y10" s="12">
        <v>1.4569536782801151E-2</v>
      </c>
      <c r="Z10" s="13">
        <v>5.2980133332312107E-3</v>
      </c>
      <c r="AA10" s="13">
        <v>3.9735101163387299E-3</v>
      </c>
      <c r="AB10" s="161">
        <v>3.3195946365594864E-2</v>
      </c>
      <c r="AC10" s="14">
        <v>1.5802768990397453E-2</v>
      </c>
      <c r="AD10"/>
      <c r="AE10" s="117">
        <v>0.21012237668037415</v>
      </c>
      <c r="AF10" s="179">
        <v>8.428075909614563E-2</v>
      </c>
      <c r="AG10"/>
      <c r="AH10"/>
      <c r="AI10"/>
      <c r="AJ10"/>
      <c r="AK10"/>
      <c r="AL10"/>
      <c r="AM10" s="197">
        <v>0.42589670419692993</v>
      </c>
      <c r="AN10" s="180">
        <v>0.28213715553283691</v>
      </c>
      <c r="AO10"/>
      <c r="AP10" s="198">
        <v>0.55124133825302124</v>
      </c>
      <c r="AQ10"/>
      <c r="AR10"/>
      <c r="AS10"/>
      <c r="AT10"/>
      <c r="AU10"/>
      <c r="AV10"/>
      <c r="AW10"/>
      <c r="AX10" s="160">
        <v>4.6133041381835938E-2</v>
      </c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197</v>
      </c>
      <c r="B11">
        <v>4.1999998092651367</v>
      </c>
      <c r="C11">
        <v>1.2672905921936035</v>
      </c>
      <c r="D11" s="145">
        <v>0.7007298469543457</v>
      </c>
      <c r="E11" s="155">
        <v>0.6082724928855896</v>
      </c>
      <c r="F11" s="159">
        <v>1.1094889640808105</v>
      </c>
      <c r="G11"/>
      <c r="H11" s="13">
        <v>1.2165449559688568E-2</v>
      </c>
      <c r="I11"/>
      <c r="J11"/>
      <c r="K11"/>
      <c r="L11"/>
      <c r="M11"/>
      <c r="N11"/>
      <c r="O11" s="163">
        <v>0.36496350169181824</v>
      </c>
      <c r="P11"/>
      <c r="Q11"/>
      <c r="R11"/>
      <c r="S11" s="150">
        <v>3.6496348679065704E-2</v>
      </c>
      <c r="T11"/>
      <c r="U11" s="11">
        <v>2.4330900050699711E-3</v>
      </c>
      <c r="V11"/>
      <c r="W11"/>
      <c r="X11"/>
      <c r="Y11" s="11">
        <v>2.4330900050699711E-3</v>
      </c>
      <c r="Z11"/>
      <c r="AA11"/>
      <c r="AB11" s="11">
        <v>3.1112441793084145E-3</v>
      </c>
      <c r="AC11" s="13">
        <v>4.6821641735732555E-3</v>
      </c>
      <c r="AD11"/>
      <c r="AE11"/>
      <c r="AF11" s="13">
        <v>1.2222814373672009E-2</v>
      </c>
      <c r="AG11"/>
      <c r="AH11"/>
      <c r="AI11"/>
      <c r="AJ11"/>
      <c r="AK11"/>
      <c r="AL11"/>
      <c r="AM11"/>
      <c r="AN11"/>
      <c r="AO11"/>
      <c r="AP11" s="173">
        <v>7.5709983706474304E-2</v>
      </c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198</v>
      </c>
      <c r="B12">
        <v>2.75</v>
      </c>
      <c r="C12">
        <v>0.91229355335235596</v>
      </c>
      <c r="D12" s="146">
        <v>0.22484470903873444</v>
      </c>
      <c r="E12" s="12">
        <v>8.6956527084112167E-3</v>
      </c>
      <c r="F12" s="11">
        <v>2.4844722356647253E-3</v>
      </c>
      <c r="G12" s="14">
        <v>1.6149068251252174E-2</v>
      </c>
      <c r="H12" s="160">
        <v>4.0993787348270416E-2</v>
      </c>
      <c r="I12" s="170">
        <v>0.13664595782756805</v>
      </c>
      <c r="J12" s="172">
        <v>0.19627329707145691</v>
      </c>
      <c r="K12" s="14">
        <v>1.8633540719747543E-2</v>
      </c>
      <c r="L12" s="173">
        <v>4.8447206616401672E-2</v>
      </c>
      <c r="M12" s="11">
        <v>1.2422361178323627E-3</v>
      </c>
      <c r="N12" s="11">
        <v>2.4844722356647253E-3</v>
      </c>
      <c r="O12" s="164">
        <v>5.2173912525177002E-2</v>
      </c>
      <c r="P12"/>
      <c r="Q12"/>
      <c r="R12"/>
      <c r="S12" s="180">
        <v>0.24968944489955902</v>
      </c>
      <c r="T12"/>
      <c r="U12" s="14">
        <v>1.3664595782756805E-2</v>
      </c>
      <c r="V12" s="11">
        <v>4.9689441220834851E-4</v>
      </c>
      <c r="W12"/>
      <c r="X12"/>
      <c r="Y12" s="12">
        <v>1.1180123314261436E-2</v>
      </c>
      <c r="Z12" s="11">
        <v>2.4844722356647253E-3</v>
      </c>
      <c r="AA12"/>
      <c r="AB12" s="14">
        <v>1.5090500935912132E-2</v>
      </c>
      <c r="AC12" s="11">
        <v>1.9124170066788793E-3</v>
      </c>
      <c r="AD12"/>
      <c r="AE12" s="119">
        <v>9.3843474984169006E-2</v>
      </c>
      <c r="AF12" s="173">
        <v>4.784359410405159E-2</v>
      </c>
      <c r="AG12"/>
      <c r="AH12"/>
      <c r="AI12"/>
      <c r="AJ12"/>
      <c r="AK12"/>
      <c r="AL12"/>
      <c r="AM12" s="168">
        <v>0.11019130796194077</v>
      </c>
      <c r="AN12" s="168">
        <v>0.10737922787666321</v>
      </c>
      <c r="AO12"/>
      <c r="AP12" s="189">
        <v>0.4348621666431427</v>
      </c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199</v>
      </c>
      <c r="B13">
        <v>3.25</v>
      </c>
      <c r="C13">
        <v>1.1790287494659424</v>
      </c>
      <c r="D13" s="147">
        <v>0.71587300300598145</v>
      </c>
      <c r="E13" s="156">
        <v>0.56031745672225952</v>
      </c>
      <c r="F13" s="12">
        <v>1.1111111380159855E-2</v>
      </c>
      <c r="G13" s="14">
        <v>1.746031828224659E-2</v>
      </c>
      <c r="H13" s="154">
        <v>7.9365082085132599E-2</v>
      </c>
      <c r="I13"/>
      <c r="J13"/>
      <c r="K13"/>
      <c r="L13" s="173">
        <v>5.7142853736877441E-2</v>
      </c>
      <c r="M13"/>
      <c r="N13"/>
      <c r="O13" s="175">
        <v>0.19523809850215912</v>
      </c>
      <c r="P13"/>
      <c r="Q13"/>
      <c r="R13"/>
      <c r="S13" s="181">
        <v>0.31587302684783936</v>
      </c>
      <c r="T13"/>
      <c r="U13" s="12">
        <v>1.1111111380159855E-2</v>
      </c>
      <c r="V13"/>
      <c r="W13"/>
      <c r="X13"/>
      <c r="Y13"/>
      <c r="Z13" s="11">
        <v>1.5873017255216837E-3</v>
      </c>
      <c r="AA13" s="11">
        <v>3.1746034510433674E-3</v>
      </c>
      <c r="AB13" s="13">
        <v>4.0594330057501793E-3</v>
      </c>
      <c r="AC13" s="11">
        <v>3.0545550398528576E-3</v>
      </c>
      <c r="AD13"/>
      <c r="AE13"/>
      <c r="AF13" s="154">
        <v>7.7081337571144104E-2</v>
      </c>
      <c r="AG13"/>
      <c r="AH13"/>
      <c r="AI13"/>
      <c r="AJ13"/>
      <c r="AK13"/>
      <c r="AL13"/>
      <c r="AM13"/>
      <c r="AN13"/>
      <c r="AO13"/>
      <c r="AP13" s="14">
        <v>1.8521906808018684E-2</v>
      </c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200</v>
      </c>
      <c r="B14">
        <v>2.1400001049041748</v>
      </c>
      <c r="C14">
        <v>0.78603905439376831</v>
      </c>
      <c r="D14" s="146">
        <v>0.17567567527294159</v>
      </c>
      <c r="E14"/>
      <c r="F14"/>
      <c r="G14" s="13">
        <v>3.3783784601837397E-3</v>
      </c>
      <c r="H14" s="166">
        <v>0.32432430982589722</v>
      </c>
      <c r="I14" s="141">
        <v>0.1689189225435257</v>
      </c>
      <c r="J14"/>
      <c r="K14" s="12">
        <v>6.7567569203674793E-3</v>
      </c>
      <c r="L14" s="142">
        <v>0.11148648709058762</v>
      </c>
      <c r="M14"/>
      <c r="N14"/>
      <c r="O14" s="173">
        <v>3.7162162363529205E-2</v>
      </c>
      <c r="P14" s="12">
        <v>1.0135134682059288E-2</v>
      </c>
      <c r="Q14"/>
      <c r="R14" s="11">
        <v>1.351351267658174E-3</v>
      </c>
      <c r="S14" s="12">
        <v>6.7567569203674793E-3</v>
      </c>
      <c r="T14"/>
      <c r="U14"/>
      <c r="V14" s="11">
        <v>1.351351267658174E-3</v>
      </c>
      <c r="W14" s="161">
        <v>2.0270269364118576E-2</v>
      </c>
      <c r="X14"/>
      <c r="Y14" s="164">
        <v>4.3918918818235397E-2</v>
      </c>
      <c r="Z14" s="13">
        <v>3.3783784601837397E-3</v>
      </c>
      <c r="AA14"/>
      <c r="AB14" s="13">
        <v>4.3200044892728329E-3</v>
      </c>
      <c r="AC14" s="141">
        <v>0.16903245449066162</v>
      </c>
      <c r="AD14"/>
      <c r="AE14"/>
      <c r="AF14" s="165">
        <v>2.8285905718803406E-2</v>
      </c>
      <c r="AG14"/>
      <c r="AH14"/>
      <c r="AI14"/>
      <c r="AJ14"/>
      <c r="AK14"/>
      <c r="AL14"/>
      <c r="AM14"/>
      <c r="AN14" s="168">
        <v>8.3436563611030579E-2</v>
      </c>
      <c r="AO14"/>
      <c r="AP14" s="175">
        <v>0.13140541315078735</v>
      </c>
      <c r="AQ14" s="161">
        <v>2.2615736350417137E-2</v>
      </c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201</v>
      </c>
      <c r="B15">
        <v>3.9200000762939453</v>
      </c>
      <c r="C15">
        <v>0.65912491083145142</v>
      </c>
      <c r="D15" s="148">
        <v>0.51051056385040283</v>
      </c>
      <c r="E15"/>
      <c r="F15"/>
      <c r="G15" s="11">
        <v>3.0030030757188797E-3</v>
      </c>
      <c r="H15" s="145">
        <v>0.65465468168258667</v>
      </c>
      <c r="I15" s="161">
        <v>3.843843936920166E-2</v>
      </c>
      <c r="J15" s="161">
        <v>3.7837840616703033E-2</v>
      </c>
      <c r="K15" s="164">
        <v>7.8078076243400574E-2</v>
      </c>
      <c r="L15" s="140">
        <v>0.23423422873020172</v>
      </c>
      <c r="M15" s="13">
        <v>5.4054050706326962E-3</v>
      </c>
      <c r="N15" s="12">
        <v>1.3813814148306847E-2</v>
      </c>
      <c r="O15" s="161">
        <v>3.9639640599489212E-2</v>
      </c>
      <c r="P15" s="11">
        <v>1.8018018454313278E-3</v>
      </c>
      <c r="Q15"/>
      <c r="R15" s="11">
        <v>2.4024024605751038E-3</v>
      </c>
      <c r="S15" s="11">
        <v>6.0060061514377594E-4</v>
      </c>
      <c r="T15" s="11">
        <v>6.0060061514377594E-4</v>
      </c>
      <c r="U15" s="12">
        <v>1.2012012302875519E-2</v>
      </c>
      <c r="V15" s="14">
        <v>2.3423423990607262E-2</v>
      </c>
      <c r="W15" s="12">
        <v>1.5015015378594398E-2</v>
      </c>
      <c r="X15" s="11">
        <v>2.4024024605751038E-4</v>
      </c>
      <c r="Y15" s="169">
        <v>0.21681682765483856</v>
      </c>
      <c r="Z15" s="13">
        <v>9.0090092271566391E-3</v>
      </c>
      <c r="AA15"/>
      <c r="AB15" s="13">
        <v>7.6800086535513401E-3</v>
      </c>
      <c r="AC15" s="150">
        <v>3.3517546951770782E-2</v>
      </c>
      <c r="AD15" s="11">
        <v>2.4255856988020241E-4</v>
      </c>
      <c r="AE15" s="11">
        <v>9.0743554756045341E-4</v>
      </c>
      <c r="AF15" s="13">
        <v>7.0400489494204521E-3</v>
      </c>
      <c r="AG15"/>
      <c r="AH15"/>
      <c r="AI15"/>
      <c r="AJ15"/>
      <c r="AK15"/>
      <c r="AL15"/>
      <c r="AM15"/>
      <c r="AN15" s="201">
        <v>0.44128671288490295</v>
      </c>
      <c r="AO15" s="149">
        <v>0.56139999628067017</v>
      </c>
      <c r="AP15" s="195">
        <v>0.20324036478996277</v>
      </c>
      <c r="AQ15" s="13">
        <v>4.0205754339694977E-3</v>
      </c>
      <c r="AR15"/>
      <c r="AS15"/>
      <c r="AT15"/>
      <c r="AU15"/>
      <c r="AV15"/>
      <c r="AW15"/>
      <c r="AX15" s="151">
        <v>8.3676755428314209E-2</v>
      </c>
      <c r="AY15" s="14">
        <v>2.0325407385826111E-2</v>
      </c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273</v>
      </c>
      <c r="B16">
        <v>2.2400000095367432</v>
      </c>
      <c r="C16">
        <v>1.2789009809494019</v>
      </c>
      <c r="D16" s="149">
        <v>0.32167831063270569</v>
      </c>
      <c r="E16"/>
      <c r="F16" s="13">
        <v>3.4965034574270248E-3</v>
      </c>
      <c r="G16" s="13">
        <v>3.4965034574270248E-3</v>
      </c>
      <c r="H16" s="150">
        <v>1.7482515424489975E-2</v>
      </c>
      <c r="I16" s="117">
        <v>0.1538461446762085</v>
      </c>
      <c r="J16" s="13">
        <v>3.4965034574270248E-3</v>
      </c>
      <c r="K16" s="117">
        <v>0.1538461446762085</v>
      </c>
      <c r="L16" s="165">
        <v>3.1468529254198074E-2</v>
      </c>
      <c r="M16" s="13">
        <v>3.4965034574270248E-3</v>
      </c>
      <c r="N16"/>
      <c r="O16" s="161">
        <v>2.0979020744562149E-2</v>
      </c>
      <c r="P16"/>
      <c r="Q16"/>
      <c r="R16"/>
      <c r="S16" s="15">
        <v>6.99300616979599E-2</v>
      </c>
      <c r="T16" s="14">
        <v>1.3986013829708099E-2</v>
      </c>
      <c r="U16" s="12">
        <v>6.9930069148540497E-3</v>
      </c>
      <c r="V16" s="11">
        <v>1.3986013364046812E-3</v>
      </c>
      <c r="W16" s="12">
        <v>1.0489510372281075E-2</v>
      </c>
      <c r="X16"/>
      <c r="Y16" s="154">
        <v>5.2447549998760223E-2</v>
      </c>
      <c r="Z16" s="13">
        <v>3.4965034574270248E-3</v>
      </c>
      <c r="AA16" s="12">
        <v>6.9930069148540497E-3</v>
      </c>
      <c r="AB16"/>
      <c r="AC16" s="13">
        <v>4.7099953517317772E-3</v>
      </c>
      <c r="AD16"/>
      <c r="AE16"/>
      <c r="AF16" s="12">
        <v>9.3679763376712799E-3</v>
      </c>
      <c r="AG16"/>
      <c r="AH16"/>
      <c r="AI16"/>
      <c r="AJ16"/>
      <c r="AK16"/>
      <c r="AL16"/>
      <c r="AM16"/>
      <c r="AN16"/>
      <c r="AO16"/>
      <c r="AP16" s="111">
        <v>6.8000003695487976E-2</v>
      </c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202</v>
      </c>
      <c r="B17">
        <v>2.0799999237060547</v>
      </c>
      <c r="C17">
        <v>0.81119996309280396</v>
      </c>
      <c r="D17" s="141">
        <v>0.16396810114383698</v>
      </c>
      <c r="E17"/>
      <c r="F17"/>
      <c r="G17"/>
      <c r="H17" s="167">
        <v>0.15811209380626678</v>
      </c>
      <c r="I17"/>
      <c r="J17"/>
      <c r="K17" s="151">
        <v>4.6848032623529434E-2</v>
      </c>
      <c r="L17" s="185">
        <v>7.6128050684928894E-2</v>
      </c>
      <c r="M17" s="174">
        <v>5.2704028785228729E-2</v>
      </c>
      <c r="N17"/>
      <c r="O17" s="176">
        <v>2.3424016311764717E-2</v>
      </c>
      <c r="P17" s="14">
        <v>1.1712008155882359E-2</v>
      </c>
      <c r="Q17"/>
      <c r="R17"/>
      <c r="S17"/>
      <c r="T17"/>
      <c r="U17"/>
      <c r="V17" s="13">
        <v>2.3424013052135706E-3</v>
      </c>
      <c r="W17" s="140">
        <v>0.12297607213258743</v>
      </c>
      <c r="X17" s="13">
        <v>2.3424013052135706E-3</v>
      </c>
      <c r="Y17" s="158">
        <v>0.17568010091781616</v>
      </c>
      <c r="Z17"/>
      <c r="AA17" s="14">
        <v>1.1712008155882359E-2</v>
      </c>
      <c r="AB17"/>
      <c r="AC17" s="154">
        <v>4.9584105610847473E-2</v>
      </c>
      <c r="AD17"/>
      <c r="AE17"/>
      <c r="AF17" s="13">
        <v>5.8836163952946663E-3</v>
      </c>
      <c r="AG17"/>
      <c r="AH17"/>
      <c r="AI17"/>
      <c r="AJ17"/>
      <c r="AK17"/>
      <c r="AL17"/>
      <c r="AM17"/>
      <c r="AN17" s="173">
        <v>3.6156758666038513E-2</v>
      </c>
      <c r="AO17"/>
      <c r="AP17" s="178">
        <v>0.18222011625766754</v>
      </c>
      <c r="AQ17" s="172">
        <v>0.14700597524642944</v>
      </c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203</v>
      </c>
      <c r="B18">
        <v>2.6400001049041748</v>
      </c>
      <c r="C18">
        <v>0.55439996719360352</v>
      </c>
      <c r="D18" s="224">
        <v>0.44742143154144287</v>
      </c>
      <c r="E18"/>
      <c r="F18"/>
      <c r="G18" s="11">
        <v>1.1774249142035842E-3</v>
      </c>
      <c r="H18" s="11">
        <v>2.3548498284071684E-3</v>
      </c>
      <c r="I18"/>
      <c r="J18"/>
      <c r="K18" s="111">
        <v>7.6532609760761261E-2</v>
      </c>
      <c r="L18" s="151">
        <v>5.5338963866233826E-2</v>
      </c>
      <c r="M18" s="14">
        <v>1.648394763469696E-2</v>
      </c>
      <c r="N18"/>
      <c r="O18" s="119">
        <v>8.5952013731002808E-2</v>
      </c>
      <c r="P18"/>
      <c r="Q18"/>
      <c r="R18"/>
      <c r="S18"/>
      <c r="T18" s="13">
        <v>4.7096996568143368E-3</v>
      </c>
      <c r="U18"/>
      <c r="V18" s="13">
        <v>5.8871242217719555E-3</v>
      </c>
      <c r="W18" s="157">
        <v>9.5371410250663757E-2</v>
      </c>
      <c r="X18"/>
      <c r="Y18" s="146">
        <v>0.21782359480857849</v>
      </c>
      <c r="Z18" s="11">
        <v>2.3548498284071684E-3</v>
      </c>
      <c r="AA18"/>
      <c r="AB18"/>
      <c r="AC18" s="14">
        <v>1.3368222862482071E-2</v>
      </c>
      <c r="AD18" s="11">
        <v>4.7551479656249285E-4</v>
      </c>
      <c r="AE18"/>
      <c r="AF18" s="11">
        <v>1.1829767609015107E-3</v>
      </c>
      <c r="AG18"/>
      <c r="AH18"/>
      <c r="AI18"/>
      <c r="AJ18"/>
      <c r="AK18"/>
      <c r="AL18"/>
      <c r="AM18"/>
      <c r="AN18"/>
      <c r="AO18"/>
      <c r="AP18" s="185">
        <v>0.10075366497039795</v>
      </c>
      <c r="AQ18" s="225">
        <v>0.70543766021728516</v>
      </c>
      <c r="AR18" s="172">
        <v>0.18612000346183777</v>
      </c>
      <c r="AS18"/>
      <c r="AT18"/>
      <c r="AU18"/>
      <c r="AV18"/>
      <c r="AW18" s="150">
        <v>1.8805829808115959E-2</v>
      </c>
      <c r="AX18" s="12">
        <v>8.2020480185747147E-3</v>
      </c>
      <c r="AY18" s="160">
        <v>3.9846181869506836E-2</v>
      </c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204</v>
      </c>
      <c r="B19">
        <v>1.8300000429153442</v>
      </c>
      <c r="C19">
        <v>1.6673005819320679</v>
      </c>
      <c r="D19" s="14">
        <v>9.3023255467414856E-3</v>
      </c>
      <c r="E19"/>
      <c r="F19"/>
      <c r="G19"/>
      <c r="H19"/>
      <c r="I19"/>
      <c r="J19"/>
      <c r="K19" s="11">
        <v>3.10077506583184E-4</v>
      </c>
      <c r="L19"/>
      <c r="M19"/>
      <c r="N19"/>
      <c r="O19" s="14">
        <v>1.2403101660311222E-2</v>
      </c>
      <c r="P19" s="11">
        <v>3.10077506583184E-4</v>
      </c>
      <c r="Q19"/>
      <c r="R19"/>
      <c r="S19"/>
      <c r="T19" s="11">
        <v>3.10077506583184E-4</v>
      </c>
      <c r="U19"/>
      <c r="V19" s="11">
        <v>3.10077506583184E-4</v>
      </c>
      <c r="W19" s="12">
        <v>8.5271317511796951E-3</v>
      </c>
      <c r="X19"/>
      <c r="Y19"/>
      <c r="Z19" s="13">
        <v>3.8759689778089523E-3</v>
      </c>
      <c r="AA19"/>
      <c r="AB19"/>
      <c r="AC19" s="12">
        <v>7.309621199965477E-3</v>
      </c>
      <c r="AD19"/>
      <c r="AE19"/>
      <c r="AF19" s="11">
        <v>7.7884912025183439E-4</v>
      </c>
      <c r="AG19"/>
      <c r="AH19"/>
      <c r="AI19"/>
      <c r="AJ19"/>
      <c r="AK19"/>
      <c r="AL19"/>
      <c r="AM19"/>
      <c r="AN19"/>
      <c r="AO19"/>
      <c r="AP19" s="157">
        <v>6.6334269940853119E-2</v>
      </c>
      <c r="AQ19" s="164">
        <v>3.7622764706611633E-2</v>
      </c>
      <c r="AR19"/>
      <c r="AS19"/>
      <c r="AT19"/>
      <c r="AU19"/>
      <c r="AV19"/>
      <c r="AW19" s="14">
        <v>9.9051166325807571E-3</v>
      </c>
      <c r="AX19" s="12">
        <v>5.4000699892640114E-3</v>
      </c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205</v>
      </c>
      <c r="B20">
        <v>2.9000000953674316</v>
      </c>
      <c r="C20">
        <v>2.5591423511505127</v>
      </c>
      <c r="D20" s="13">
        <v>3.048780607059598E-3</v>
      </c>
      <c r="E20"/>
      <c r="F20"/>
      <c r="G20"/>
      <c r="H20"/>
      <c r="I20"/>
      <c r="J20"/>
      <c r="K20" s="11">
        <v>1.2195120798423886E-3</v>
      </c>
      <c r="L20" s="13">
        <v>6.0975612141191959E-3</v>
      </c>
      <c r="M20" s="14">
        <v>1.5243901871144772E-2</v>
      </c>
      <c r="N20" s="12">
        <v>9.1463411226868629E-3</v>
      </c>
      <c r="O20" s="14">
        <v>1.5243901871144772E-2</v>
      </c>
      <c r="P20"/>
      <c r="Q20"/>
      <c r="R20"/>
      <c r="S20"/>
      <c r="T20" s="176">
        <v>3.3536583185195923E-2</v>
      </c>
      <c r="U20"/>
      <c r="V20" s="151">
        <v>6.4024388790130615E-2</v>
      </c>
      <c r="W20" s="14">
        <v>1.5243901871144772E-2</v>
      </c>
      <c r="X20"/>
      <c r="Y20"/>
      <c r="Z20"/>
      <c r="AA20"/>
      <c r="AB20"/>
      <c r="AC20" s="12">
        <v>9.3871681019663811E-3</v>
      </c>
      <c r="AD20"/>
      <c r="AE20"/>
      <c r="AF20" s="13">
        <v>3.0631565023213625E-3</v>
      </c>
      <c r="AG20"/>
      <c r="AH20"/>
      <c r="AI20"/>
      <c r="AJ20"/>
      <c r="AK20"/>
      <c r="AL20"/>
      <c r="AM20"/>
      <c r="AN20"/>
      <c r="AO20"/>
      <c r="AP20" s="119">
        <v>9.4868302345275879E-2</v>
      </c>
      <c r="AQ20" s="164">
        <v>5.612562969326973E-2</v>
      </c>
      <c r="AR20"/>
      <c r="AS20"/>
      <c r="AT20"/>
      <c r="AU20"/>
      <c r="AV20"/>
      <c r="AW20" s="14">
        <v>1.4608536846935749E-2</v>
      </c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206</v>
      </c>
      <c r="B21">
        <v>2.1400001049041748</v>
      </c>
      <c r="C21">
        <v>1.9483532905578613</v>
      </c>
      <c r="D21" s="150">
        <v>1.8547959625720978E-2</v>
      </c>
      <c r="E21"/>
      <c r="F21"/>
      <c r="G21"/>
      <c r="H21"/>
      <c r="I21"/>
      <c r="J21"/>
      <c r="K21" s="13">
        <v>2.6497084181755781E-3</v>
      </c>
      <c r="L21"/>
      <c r="M21"/>
      <c r="N21" s="13">
        <v>3.1796502880752087E-3</v>
      </c>
      <c r="O21" s="150">
        <v>1.5368308871984482E-2</v>
      </c>
      <c r="P21"/>
      <c r="Q21"/>
      <c r="R21"/>
      <c r="S21" s="11">
        <v>2.1197668684180826E-4</v>
      </c>
      <c r="T21" s="11">
        <v>1.0598835069686174E-3</v>
      </c>
      <c r="U21"/>
      <c r="V21" s="11">
        <v>2.1197668684180826E-4</v>
      </c>
      <c r="W21" s="12">
        <v>7.4191843159496784E-3</v>
      </c>
      <c r="X21"/>
      <c r="Y21"/>
      <c r="Z21" s="11">
        <v>2.1197668684180826E-4</v>
      </c>
      <c r="AA21"/>
      <c r="AB21"/>
      <c r="AC21" s="13">
        <v>3.5693130921572447E-3</v>
      </c>
      <c r="AD21"/>
      <c r="AE21"/>
      <c r="AF21" s="11">
        <v>8.8740099454298615E-4</v>
      </c>
      <c r="AG21"/>
      <c r="AH21"/>
      <c r="AI21"/>
      <c r="AJ21"/>
      <c r="AK21"/>
      <c r="AL21"/>
      <c r="AM21"/>
      <c r="AN21"/>
      <c r="AO21"/>
      <c r="AP21" s="111">
        <v>6.183784082531929E-2</v>
      </c>
      <c r="AQ21" s="154">
        <v>5.2326604723930359E-2</v>
      </c>
      <c r="AR21"/>
      <c r="AS21"/>
      <c r="AT21"/>
      <c r="AU21"/>
      <c r="AV21"/>
      <c r="AW21" s="13">
        <v>2.5392689276486635E-3</v>
      </c>
      <c r="AX21" s="13">
        <v>3.6916218232363462E-3</v>
      </c>
      <c r="AY21" s="150">
        <v>1.7934182658791542E-2</v>
      </c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207</v>
      </c>
      <c r="B22">
        <v>6.5</v>
      </c>
      <c r="C22">
        <v>1.8927402496337891</v>
      </c>
      <c r="D22"/>
      <c r="E22"/>
      <c r="F22"/>
      <c r="G22"/>
      <c r="H22" s="12">
        <v>3.0769228935241699E-2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 s="173">
        <v>0.11622154712677002</v>
      </c>
      <c r="AF22" s="12">
        <v>2.5761935859918594E-2</v>
      </c>
      <c r="AG22"/>
      <c r="AH22"/>
      <c r="AI22"/>
      <c r="AJ22"/>
      <c r="AK22" s="186">
        <v>0.60164082050323486</v>
      </c>
      <c r="AL22"/>
      <c r="AM22" s="144">
        <v>0.85292309522628784</v>
      </c>
      <c r="AN22" s="185">
        <v>0.23747329413890839</v>
      </c>
      <c r="AO22" s="189">
        <v>1.0271769762039185</v>
      </c>
      <c r="AP22" s="152">
        <v>0.29920002818107605</v>
      </c>
      <c r="AQ22" s="223">
        <v>1.4160928726196289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208</v>
      </c>
      <c r="B23">
        <v>2.3199999332427979</v>
      </c>
      <c r="C23">
        <v>0.77366501092910767</v>
      </c>
      <c r="D23"/>
      <c r="E23"/>
      <c r="F23"/>
      <c r="G23"/>
      <c r="H23" s="12">
        <v>8.2644633948802948E-3</v>
      </c>
      <c r="I23"/>
      <c r="J23"/>
      <c r="K23"/>
      <c r="L23" s="174">
        <v>5.7851240038871765E-2</v>
      </c>
      <c r="M23"/>
      <c r="N23"/>
      <c r="O23"/>
      <c r="P23"/>
      <c r="Q23"/>
      <c r="R23"/>
      <c r="S23"/>
      <c r="T23"/>
      <c r="U23"/>
      <c r="V23"/>
      <c r="W23" s="13">
        <v>3.3057851251214743E-3</v>
      </c>
      <c r="X23"/>
      <c r="Y23"/>
      <c r="Z23"/>
      <c r="AA23"/>
      <c r="AB23"/>
      <c r="AC23" s="13">
        <v>6.3615525141358376E-3</v>
      </c>
      <c r="AD23"/>
      <c r="AE23"/>
      <c r="AF23"/>
      <c r="AG23"/>
      <c r="AH23"/>
      <c r="AI23"/>
      <c r="AJ23"/>
      <c r="AK23"/>
      <c r="AL23"/>
      <c r="AM23"/>
      <c r="AN23"/>
      <c r="AO23"/>
      <c r="AP23" s="188">
        <v>9.6436373889446259E-2</v>
      </c>
      <c r="AQ23" s="197">
        <v>0.31811556220054626</v>
      </c>
      <c r="AR23"/>
      <c r="AS23"/>
      <c r="AT23"/>
      <c r="AU23"/>
      <c r="AV23"/>
      <c r="AW23" s="192">
        <v>1.0559999942779541</v>
      </c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209</v>
      </c>
      <c r="B24">
        <v>2.7200000286102295</v>
      </c>
      <c r="C24">
        <v>0.65498954057693481</v>
      </c>
      <c r="D24" s="111">
        <v>7.8556269407272339E-2</v>
      </c>
      <c r="E24"/>
      <c r="F24"/>
      <c r="G24" s="150">
        <v>1.9108280539512634E-2</v>
      </c>
      <c r="H24" s="167">
        <v>0.21019108593463898</v>
      </c>
      <c r="I24" s="171">
        <v>0.11677282303571701</v>
      </c>
      <c r="J24" s="150">
        <v>2.1231422200798988E-2</v>
      </c>
      <c r="K24" s="151">
        <v>5.7324845343828201E-2</v>
      </c>
      <c r="L24" s="15">
        <v>8.7048836052417755E-2</v>
      </c>
      <c r="M24" s="12">
        <v>1.2738853693008423E-2</v>
      </c>
      <c r="N24" s="14">
        <v>1.4861996285617352E-2</v>
      </c>
      <c r="O24" s="11">
        <v>2.123142359778285E-3</v>
      </c>
      <c r="P24"/>
      <c r="Q24"/>
      <c r="R24"/>
      <c r="S24" s="150">
        <v>2.1231422200798988E-2</v>
      </c>
      <c r="T24"/>
      <c r="U24"/>
      <c r="V24" s="11">
        <v>2.123142359778285E-3</v>
      </c>
      <c r="W24" s="13">
        <v>4.2462847195565701E-3</v>
      </c>
      <c r="X24" s="169">
        <v>0.15074311196804047</v>
      </c>
      <c r="Y24" s="150">
        <v>1.9108280539512634E-2</v>
      </c>
      <c r="Z24" s="11">
        <v>2.123142359778285E-3</v>
      </c>
      <c r="AA24" s="150">
        <v>1.9108280539512634E-2</v>
      </c>
      <c r="AB24" s="11">
        <v>1.357453758828342E-3</v>
      </c>
      <c r="AC24" s="11">
        <v>2.0428553689271212E-3</v>
      </c>
      <c r="AD24" s="11">
        <v>1.7149045597761869E-3</v>
      </c>
      <c r="AE24" s="154">
        <v>6.4156264066696167E-2</v>
      </c>
      <c r="AF24" s="119">
        <v>9.2436663806438446E-2</v>
      </c>
      <c r="AG24"/>
      <c r="AH24"/>
      <c r="AI24"/>
      <c r="AJ24"/>
      <c r="AK24"/>
      <c r="AL24"/>
      <c r="AM24"/>
      <c r="AN24" s="191">
        <v>0.21629735827445984</v>
      </c>
      <c r="AO24" s="161">
        <v>2.8350958600640297E-2</v>
      </c>
      <c r="AP24" s="196">
        <v>0.65239584445953369</v>
      </c>
      <c r="AQ24" s="173">
        <v>4.6191800385713577E-2</v>
      </c>
      <c r="AR24"/>
      <c r="AS24"/>
      <c r="AT24"/>
      <c r="AU24"/>
      <c r="AV24"/>
      <c r="AW24" s="173">
        <v>4.7475159168243408E-2</v>
      </c>
      <c r="AX24" s="179">
        <v>7.3950000107288361E-2</v>
      </c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210</v>
      </c>
      <c r="B25">
        <v>3.5</v>
      </c>
      <c r="C25">
        <v>0.7302556037902832</v>
      </c>
      <c r="D25" s="11">
        <v>2.3934897035360336E-3</v>
      </c>
      <c r="E25"/>
      <c r="F25"/>
      <c r="G25"/>
      <c r="H25" s="13">
        <v>4.7869794070720673E-3</v>
      </c>
      <c r="I25"/>
      <c r="J25"/>
      <c r="K25"/>
      <c r="L25" s="11">
        <v>1.9147917919326574E-4</v>
      </c>
      <c r="M25" s="11">
        <v>4.7869796981103718E-4</v>
      </c>
      <c r="N25"/>
      <c r="O25" s="11">
        <v>2.3934897035360336E-3</v>
      </c>
      <c r="P25" s="173">
        <v>5.8401148766279221E-2</v>
      </c>
      <c r="Q25" s="150">
        <v>2.6807086542248726E-2</v>
      </c>
      <c r="R25" s="150">
        <v>3.063667006790638E-2</v>
      </c>
      <c r="S25"/>
      <c r="T25"/>
      <c r="U25"/>
      <c r="V25" s="11">
        <v>1.9147917919326574E-4</v>
      </c>
      <c r="W25" s="11">
        <v>4.7869796981103718E-4</v>
      </c>
      <c r="X25"/>
      <c r="Y25"/>
      <c r="Z25"/>
      <c r="AA25"/>
      <c r="AB25" s="11">
        <v>4.8969709314405918E-4</v>
      </c>
      <c r="AC25" s="13">
        <v>5.0665545277297497E-3</v>
      </c>
      <c r="AD25" s="161">
        <v>3.1898945569992065E-2</v>
      </c>
      <c r="AE25"/>
      <c r="AF25" s="11">
        <v>8.0159201752394438E-4</v>
      </c>
      <c r="AG25"/>
      <c r="AH25"/>
      <c r="AI25"/>
      <c r="AJ25"/>
      <c r="AK25"/>
      <c r="AL25"/>
      <c r="AM25"/>
      <c r="AN25" s="177">
        <v>0.22167207300662994</v>
      </c>
      <c r="AO25" s="206">
        <v>0.95882970094680786</v>
      </c>
      <c r="AP25" s="161">
        <v>3.3514983952045441E-2</v>
      </c>
      <c r="AQ25" s="152">
        <v>0.15782296657562256</v>
      </c>
      <c r="AR25" s="226">
        <v>0.35083174705505371</v>
      </c>
      <c r="AS25"/>
      <c r="AT25"/>
      <c r="AU25"/>
      <c r="AV25"/>
      <c r="AW25" s="119">
        <v>0.11545102298259735</v>
      </c>
      <c r="AX25" s="142">
        <v>0.18340590596199036</v>
      </c>
      <c r="AY25" s="145">
        <v>0.58319997787475586</v>
      </c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211</v>
      </c>
      <c r="B26">
        <v>3.2599999904632568</v>
      </c>
      <c r="C26">
        <v>0.48753967881202698</v>
      </c>
      <c r="D26"/>
      <c r="E26"/>
      <c r="F26"/>
      <c r="G26"/>
      <c r="H26" s="13">
        <v>5.6801191531121731E-3</v>
      </c>
      <c r="I26"/>
      <c r="J26"/>
      <c r="K26"/>
      <c r="L26" s="13">
        <v>8.8191330432891846E-3</v>
      </c>
      <c r="M26" s="11">
        <v>5.979073466733098E-4</v>
      </c>
      <c r="N26"/>
      <c r="O26"/>
      <c r="P26"/>
      <c r="Q26"/>
      <c r="R26"/>
      <c r="S26"/>
      <c r="T26" s="12">
        <v>1.0463378392159939E-2</v>
      </c>
      <c r="U26"/>
      <c r="V26" s="14">
        <v>1.9880417734384537E-2</v>
      </c>
      <c r="W26" s="11">
        <v>1.4947683666832745E-4</v>
      </c>
      <c r="X26"/>
      <c r="Y26"/>
      <c r="Z26"/>
      <c r="AA26"/>
      <c r="AB26" s="11">
        <v>2.8670884785242379E-4</v>
      </c>
      <c r="AC26" s="11">
        <v>2.876486541936174E-5</v>
      </c>
      <c r="AD26" s="12">
        <v>1.4488250017166138E-2</v>
      </c>
      <c r="AE26" s="161">
        <v>3.3876236528158188E-2</v>
      </c>
      <c r="AF26" s="11">
        <v>9.0109009761363268E-4</v>
      </c>
      <c r="AG26" s="13">
        <v>5.8494475670158863E-3</v>
      </c>
      <c r="AH26"/>
      <c r="AI26"/>
      <c r="AJ26"/>
      <c r="AK26" s="12">
        <v>1.0521969757974148E-2</v>
      </c>
      <c r="AL26" s="193">
        <v>0.18460731208324432</v>
      </c>
      <c r="AM26" s="209">
        <v>0.41434979438781738</v>
      </c>
      <c r="AN26" s="15">
        <v>0.10152071714401245</v>
      </c>
      <c r="AO26" s="211">
        <v>0.73852330446243286</v>
      </c>
      <c r="AP26" s="164">
        <v>6.6280178725719452E-2</v>
      </c>
      <c r="AQ26" s="150">
        <v>2.5516228750348091E-2</v>
      </c>
      <c r="AR26" s="172">
        <v>0.22983959317207336</v>
      </c>
      <c r="AS26"/>
      <c r="AT26"/>
      <c r="AU26"/>
      <c r="AV26" s="11">
        <v>4.0418535354547203E-4</v>
      </c>
      <c r="AW26" s="11">
        <v>1.1937218951061368E-3</v>
      </c>
      <c r="AX26" s="179">
        <v>9.1631673276424408E-2</v>
      </c>
      <c r="AY26" s="140">
        <v>0.19222547113895416</v>
      </c>
      <c r="AZ26" s="210">
        <v>0.56999999284744263</v>
      </c>
      <c r="BA26"/>
      <c r="BB26" s="165">
        <v>4.4825110584497452E-2</v>
      </c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212</v>
      </c>
      <c r="B27">
        <v>3.9200000762939453</v>
      </c>
      <c r="C27">
        <v>0.67068850994110107</v>
      </c>
      <c r="D27"/>
      <c r="E27"/>
      <c r="F27"/>
      <c r="G27"/>
      <c r="H27" s="14">
        <v>2.3868158459663391E-2</v>
      </c>
      <c r="I27"/>
      <c r="J27"/>
      <c r="K27"/>
      <c r="L27" s="11">
        <v>1.3260088162496686E-3</v>
      </c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 s="11">
        <v>1.6955960018094629E-4</v>
      </c>
      <c r="AC27" s="11">
        <v>3.6453297070693225E-5</v>
      </c>
      <c r="AD27" s="14">
        <v>2.3027440533041954E-2</v>
      </c>
      <c r="AE27"/>
      <c r="AF27"/>
      <c r="AG27"/>
      <c r="AH27"/>
      <c r="AI27"/>
      <c r="AJ27"/>
      <c r="AK27"/>
      <c r="AL27" s="164">
        <v>7.6391898095607758E-2</v>
      </c>
      <c r="AM27" s="183">
        <v>0.18273460865020752</v>
      </c>
      <c r="AN27" s="11">
        <v>2.9239940922707319E-3</v>
      </c>
      <c r="AO27" s="207">
        <v>0.48060750961303711</v>
      </c>
      <c r="AP27" s="13">
        <v>5.1576439291238785E-3</v>
      </c>
      <c r="AQ27" s="14">
        <v>2.3776726797223091E-2</v>
      </c>
      <c r="AR27" s="184">
        <v>0.41377010941505432</v>
      </c>
      <c r="AS27"/>
      <c r="AT27" s="11">
        <v>2.3026484996080399E-3</v>
      </c>
      <c r="AU27"/>
      <c r="AV27"/>
      <c r="AW27" s="157">
        <v>0.14008402824401855</v>
      </c>
      <c r="AX27" s="15">
        <v>0.12536059319972992</v>
      </c>
      <c r="AY27" s="212">
        <v>1.6026616096496582</v>
      </c>
      <c r="AZ27"/>
      <c r="BA27" s="150">
        <v>3.1500000506639481E-2</v>
      </c>
      <c r="BB27" s="111">
        <v>0.11361242830753326</v>
      </c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213</v>
      </c>
      <c r="B28">
        <v>2.2799999713897705</v>
      </c>
      <c r="C28">
        <v>0.49558857083320618</v>
      </c>
      <c r="D28"/>
      <c r="E28"/>
      <c r="F28"/>
      <c r="G28"/>
      <c r="H28" s="13">
        <v>5.7189543731510639E-3</v>
      </c>
      <c r="I28"/>
      <c r="J28"/>
      <c r="K28"/>
      <c r="L28" s="11">
        <v>6.1274511972442269E-4</v>
      </c>
      <c r="M28"/>
      <c r="N28"/>
      <c r="O28"/>
      <c r="P28" s="11">
        <v>2.0424838294275105E-4</v>
      </c>
      <c r="Q28"/>
      <c r="R28"/>
      <c r="S28"/>
      <c r="T28"/>
      <c r="U28"/>
      <c r="V28"/>
      <c r="W28"/>
      <c r="X28"/>
      <c r="Y28"/>
      <c r="Z28"/>
      <c r="AA28"/>
      <c r="AB28" s="11">
        <v>1.3058837794233114E-4</v>
      </c>
      <c r="AC28" s="11">
        <v>3.9304934034589678E-5</v>
      </c>
      <c r="AD28" s="13">
        <v>3.3819975797086954E-3</v>
      </c>
      <c r="AE28"/>
      <c r="AF28"/>
      <c r="AG28"/>
      <c r="AH28"/>
      <c r="AI28"/>
      <c r="AJ28"/>
      <c r="AK28"/>
      <c r="AL28"/>
      <c r="AM28"/>
      <c r="AN28" s="13">
        <v>2.5221838150173426E-3</v>
      </c>
      <c r="AO28" s="157">
        <v>8.182169497013092E-2</v>
      </c>
      <c r="AP28" s="13">
        <v>3.972222562879324E-3</v>
      </c>
      <c r="AQ28" s="150">
        <v>1.914207823574543E-2</v>
      </c>
      <c r="AR28" s="227">
        <v>0.43439769744873047</v>
      </c>
      <c r="AS28"/>
      <c r="AT28"/>
      <c r="AU28"/>
      <c r="AV28"/>
      <c r="AW28" s="150">
        <v>1.6963725909590721E-2</v>
      </c>
      <c r="AX28" s="157">
        <v>7.8254684805870056E-2</v>
      </c>
      <c r="AY28" s="208">
        <v>0.5253220796585083</v>
      </c>
      <c r="AZ28"/>
      <c r="BA28" s="203">
        <v>0.30567735433578491</v>
      </c>
      <c r="BB28" s="204">
        <v>0.30625000596046448</v>
      </c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214</v>
      </c>
      <c r="B29">
        <v>6.5</v>
      </c>
      <c r="C29">
        <v>0.8314666748046875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 s="11">
        <v>7.9945075412979349E-6</v>
      </c>
      <c r="AC29"/>
      <c r="AD29" s="11">
        <v>5.756803322583437E-3</v>
      </c>
      <c r="AE29"/>
      <c r="AF29"/>
      <c r="AG29" s="173">
        <v>0.11988166719675064</v>
      </c>
      <c r="AH29" s="160">
        <v>0.10342526435852051</v>
      </c>
      <c r="AI29" s="164">
        <v>0.13316214084625244</v>
      </c>
      <c r="AJ29" s="176">
        <v>8.0999061465263367E-2</v>
      </c>
      <c r="AK29" s="14">
        <v>4.4008739292621613E-2</v>
      </c>
      <c r="AL29" s="119">
        <v>0.21272987127304077</v>
      </c>
      <c r="AM29" s="12">
        <v>3.1194750219583511E-2</v>
      </c>
      <c r="AN29" s="13">
        <v>1.6405625268816948E-2</v>
      </c>
      <c r="AO29" s="181">
        <v>0.63948911428451538</v>
      </c>
      <c r="AP29" s="11">
        <v>6.0794004239141941E-3</v>
      </c>
      <c r="AQ29" s="11">
        <v>3.5574364010244608E-3</v>
      </c>
      <c r="AR29" s="195">
        <v>0.33331650495529175</v>
      </c>
      <c r="AS29"/>
      <c r="AT29" s="13">
        <v>1.1399513110518456E-2</v>
      </c>
      <c r="AU29"/>
      <c r="AV29"/>
      <c r="AW29" s="13">
        <v>1.7974117770791054E-2</v>
      </c>
      <c r="AX29" s="13">
        <v>1.2629983946681023E-2</v>
      </c>
      <c r="AY29" s="169">
        <v>0.35756576061248779</v>
      </c>
      <c r="AZ29" s="185">
        <v>0.2384057492017746</v>
      </c>
      <c r="BA29" s="213">
        <v>0.76932471990585327</v>
      </c>
      <c r="BB29" s="169">
        <v>0.35621881484985352</v>
      </c>
      <c r="BC29" s="214">
        <v>2.1749999523162842</v>
      </c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215</v>
      </c>
      <c r="B30">
        <v>1.75</v>
      </c>
      <c r="C30">
        <v>0.89339125156402588</v>
      </c>
      <c r="D30"/>
      <c r="E30"/>
      <c r="F30"/>
      <c r="G30"/>
      <c r="H30" s="13">
        <v>3.6528867203742266E-3</v>
      </c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 s="11">
        <v>5.3972733439877629E-4</v>
      </c>
      <c r="AE30"/>
      <c r="AF30"/>
      <c r="AG30"/>
      <c r="AH30"/>
      <c r="AI30"/>
      <c r="AJ30"/>
      <c r="AK30"/>
      <c r="AL30"/>
      <c r="AM30"/>
      <c r="AN30"/>
      <c r="AO30" s="183">
        <v>8.3279669284820557E-2</v>
      </c>
      <c r="AP30"/>
      <c r="AQ30"/>
      <c r="AR30" s="195">
        <v>8.8342279195785522E-2</v>
      </c>
      <c r="AS30" s="151">
        <v>3.9076976478099823E-2</v>
      </c>
      <c r="AT30"/>
      <c r="AU30"/>
      <c r="AV30"/>
      <c r="AW30" s="13">
        <v>3.4152532462030649E-3</v>
      </c>
      <c r="AX30"/>
      <c r="AY30" s="194">
        <v>0.11759001016616821</v>
      </c>
      <c r="AZ30"/>
      <c r="BA30" s="150">
        <v>1.4815439470112324E-2</v>
      </c>
      <c r="BB30" s="154">
        <v>4.2748395353555679E-2</v>
      </c>
      <c r="BC30" s="159">
        <v>0.46314817667007446</v>
      </c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216</v>
      </c>
      <c r="B31">
        <v>33</v>
      </c>
      <c r="C31">
        <v>1.6500023603439331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 s="11">
        <v>3.68767578038387E-5</v>
      </c>
      <c r="AC31"/>
      <c r="AD31"/>
      <c r="AE31" s="11">
        <v>2.5707436725497246E-2</v>
      </c>
      <c r="AF31" s="11">
        <v>1.9316507678013295E-4</v>
      </c>
      <c r="AG31" s="193">
        <v>1.8508089780807495</v>
      </c>
      <c r="AH31" s="14">
        <v>0.19083045423030853</v>
      </c>
      <c r="AI31" s="176">
        <v>0.39183226227760315</v>
      </c>
      <c r="AJ31" s="174">
        <v>0.81750112771987915</v>
      </c>
      <c r="AK31" s="150">
        <v>0.2616468071937561</v>
      </c>
      <c r="AL31" s="179">
        <v>0.89986300468444824</v>
      </c>
      <c r="AM31" s="14">
        <v>0.20592823624610901</v>
      </c>
      <c r="AN31" s="11">
        <v>8.9029705850407481E-4</v>
      </c>
      <c r="AO31" s="11">
        <v>3.0807424336671829E-2</v>
      </c>
      <c r="AP31" s="11">
        <v>3.3651390112936497E-3</v>
      </c>
      <c r="AQ31"/>
      <c r="AR31" s="11">
        <v>1.2432693503797054E-2</v>
      </c>
      <c r="AS31"/>
      <c r="AT31" s="11">
        <v>2.804439514875412E-3</v>
      </c>
      <c r="AU31" s="140">
        <v>1.9241607189178467</v>
      </c>
      <c r="AV31" s="11">
        <v>1.9339051097631454E-2</v>
      </c>
      <c r="AW31"/>
      <c r="AX31" s="12">
        <v>0.12455397099256516</v>
      </c>
      <c r="AY31"/>
      <c r="AZ31" s="119">
        <v>1.0997090339660645</v>
      </c>
      <c r="BA31" s="160">
        <v>0.52751123905181885</v>
      </c>
      <c r="BB31" s="13">
        <v>4.8429761081933975E-2</v>
      </c>
      <c r="BC31" s="161">
        <v>0.34595713019371033</v>
      </c>
      <c r="BD31" s="174">
        <v>0.81568974256515503</v>
      </c>
      <c r="BE31" s="217">
        <v>21.75</v>
      </c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217</v>
      </c>
      <c r="B32">
        <v>135</v>
      </c>
      <c r="C32">
        <v>18.900005340576172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 s="11">
        <v>5.5896737612783909E-3</v>
      </c>
      <c r="AF32"/>
      <c r="AG32" s="13">
        <v>0.2130279541015625</v>
      </c>
      <c r="AH32" s="176">
        <v>1.4863401651382446</v>
      </c>
      <c r="AI32" s="13">
        <v>0.25457048416137695</v>
      </c>
      <c r="AJ32" s="12">
        <v>0.47109782695770264</v>
      </c>
      <c r="AK32" s="11">
        <v>0.12483776360750198</v>
      </c>
      <c r="AL32" s="13">
        <v>0.14120277762413025</v>
      </c>
      <c r="AM32"/>
      <c r="AN32"/>
      <c r="AO32"/>
      <c r="AP32"/>
      <c r="AQ32"/>
      <c r="AR32"/>
      <c r="AS32"/>
      <c r="AT32"/>
      <c r="AU32"/>
      <c r="AV32"/>
      <c r="AW32"/>
      <c r="AX32"/>
      <c r="AY32"/>
      <c r="AZ32" s="174">
        <v>3.3253958225250244</v>
      </c>
      <c r="BA32" s="165">
        <v>1.8456097841262817</v>
      </c>
      <c r="BB32" s="13">
        <v>0.15849147737026215</v>
      </c>
      <c r="BC32"/>
      <c r="BD32" s="165">
        <v>1.7796202898025513</v>
      </c>
      <c r="BE32" s="228">
        <v>106.29421234130859</v>
      </c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218</v>
      </c>
      <c r="B33">
        <v>15</v>
      </c>
      <c r="C33">
        <v>5.8737006187438965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 s="14">
        <v>7.4875526130199432E-2</v>
      </c>
      <c r="AP33"/>
      <c r="AQ33"/>
      <c r="AR33" s="13">
        <v>2.2024750709533691E-2</v>
      </c>
      <c r="AS33" s="215">
        <v>1.6067736148834229</v>
      </c>
      <c r="AT33" s="111">
        <v>0.44167777895927429</v>
      </c>
      <c r="AU33"/>
      <c r="AV33"/>
      <c r="AW33"/>
      <c r="AX33" s="13">
        <v>1.5624290332198143E-2</v>
      </c>
      <c r="AY33" s="150">
        <v>0.12397654354572296</v>
      </c>
      <c r="AZ33" s="193">
        <v>0.84103286266326904</v>
      </c>
      <c r="BA33" s="12">
        <v>6.2161602079868317E-2</v>
      </c>
      <c r="BB33" s="193">
        <v>0.85196369886398315</v>
      </c>
      <c r="BC33" s="216">
        <v>3.5127894878387451</v>
      </c>
      <c r="BD33" s="199">
        <v>1.5733991861343384</v>
      </c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185</v>
      </c>
      <c r="B34"/>
      <c r="C34">
        <v>0.4106428325176239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 s="9">
        <v>2.4231597781181335E-3</v>
      </c>
      <c r="AE34"/>
      <c r="AF34"/>
      <c r="AG34" s="9">
        <v>0.78265601396560669</v>
      </c>
      <c r="AH34"/>
      <c r="AI34" s="9">
        <v>0.18097430467605591</v>
      </c>
      <c r="AJ34" s="9">
        <v>1.5287843942642212</v>
      </c>
      <c r="AK34" s="9">
        <v>0.13296262919902802</v>
      </c>
      <c r="AL34" s="9">
        <v>1.4618638753890991</v>
      </c>
      <c r="AM34" s="9">
        <v>0.54331201314926147</v>
      </c>
      <c r="AN34" s="9">
        <v>1.5435764566063881E-2</v>
      </c>
      <c r="AO34" s="9">
        <v>2.056408166885376</v>
      </c>
      <c r="AP34"/>
      <c r="AQ34"/>
      <c r="AR34" s="9">
        <v>0.47422134876251221</v>
      </c>
      <c r="AS34" s="9">
        <v>0.43859997391700745</v>
      </c>
      <c r="AT34" s="9">
        <v>9.7245447337627411E-2</v>
      </c>
      <c r="AU34" s="9">
        <v>0.68082958459854126</v>
      </c>
      <c r="AV34"/>
      <c r="AW34" s="9">
        <v>1.1180399917066097E-2</v>
      </c>
      <c r="AX34" s="9">
        <v>0.79413425922393799</v>
      </c>
      <c r="AY34" s="9">
        <v>9.8479642868041992</v>
      </c>
      <c r="AZ34" s="9">
        <v>14.998980522155762</v>
      </c>
      <c r="BA34" s="9">
        <v>23.280389785766602</v>
      </c>
      <c r="BB34" s="9">
        <v>24.770086288452148</v>
      </c>
      <c r="BC34" s="9">
        <v>259.91873168945312</v>
      </c>
      <c r="BD34" s="9">
        <v>78.455757141113281</v>
      </c>
      <c r="BE34" s="9">
        <v>125.69882202148438</v>
      </c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123</v>
      </c>
      <c r="B35"/>
      <c r="C35">
        <v>0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70" sqref="D70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6.5" bestFit="1" customWidth="1"/>
    <col min="5" max="7" width="9.5" customWidth="1"/>
    <col min="8" max="8" width="26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7" thickBot="1" x14ac:dyDescent="0.25">
      <c r="C1" s="40"/>
      <c r="D1" s="230" t="s">
        <v>32</v>
      </c>
      <c r="E1" s="230" t="s">
        <v>33</v>
      </c>
      <c r="F1" s="230" t="s">
        <v>34</v>
      </c>
      <c r="G1" s="230" t="s">
        <v>35</v>
      </c>
      <c r="H1" s="230" t="s">
        <v>36</v>
      </c>
      <c r="J1" s="1" t="s">
        <v>130</v>
      </c>
      <c r="K1" s="1" t="s">
        <v>131</v>
      </c>
      <c r="L1" s="48" t="s">
        <v>166</v>
      </c>
    </row>
    <row r="2" spans="1:12" ht="16" x14ac:dyDescent="0.2">
      <c r="A2" s="1" t="s">
        <v>37</v>
      </c>
      <c r="B2" s="25">
        <v>3</v>
      </c>
      <c r="C2" s="23"/>
      <c r="D2" s="125" t="s">
        <v>38</v>
      </c>
      <c r="E2" s="135">
        <v>1</v>
      </c>
      <c r="F2" s="125">
        <v>1</v>
      </c>
      <c r="G2" s="135">
        <v>1</v>
      </c>
      <c r="H2" s="125" t="s">
        <v>38</v>
      </c>
      <c r="J2" s="41"/>
      <c r="K2" s="42"/>
      <c r="L2" s="48" t="s">
        <v>167</v>
      </c>
    </row>
    <row r="3" spans="1:12" ht="17" thickBot="1" x14ac:dyDescent="0.25">
      <c r="A3" s="1" t="s">
        <v>39</v>
      </c>
      <c r="B3" s="26">
        <v>0</v>
      </c>
      <c r="C3" s="23"/>
      <c r="D3" s="125" t="s">
        <v>40</v>
      </c>
      <c r="E3" s="125">
        <v>2</v>
      </c>
      <c r="F3" s="125">
        <v>1.1000000000000001</v>
      </c>
      <c r="G3" s="125">
        <v>2</v>
      </c>
      <c r="H3" s="125" t="s">
        <v>40</v>
      </c>
      <c r="J3" s="43"/>
      <c r="K3" s="44"/>
    </row>
    <row r="4" spans="1:12" ht="16" x14ac:dyDescent="0.2">
      <c r="D4" s="125" t="s">
        <v>41</v>
      </c>
      <c r="E4" s="125">
        <v>3</v>
      </c>
      <c r="F4" s="125">
        <v>1.2</v>
      </c>
      <c r="G4" s="125">
        <v>3</v>
      </c>
      <c r="H4" s="125" t="s">
        <v>41</v>
      </c>
      <c r="J4" s="43"/>
      <c r="K4" s="44"/>
    </row>
    <row r="5" spans="1:12" ht="16" x14ac:dyDescent="0.2">
      <c r="D5" s="120" t="s">
        <v>189</v>
      </c>
      <c r="E5" s="125">
        <v>4</v>
      </c>
      <c r="F5" s="125">
        <v>3</v>
      </c>
      <c r="G5" s="125">
        <v>4</v>
      </c>
      <c r="H5" s="120" t="s">
        <v>189</v>
      </c>
      <c r="J5" s="43"/>
      <c r="K5" s="44"/>
    </row>
    <row r="6" spans="1:12" ht="17" thickBot="1" x14ac:dyDescent="0.25">
      <c r="A6" s="27" t="s">
        <v>121</v>
      </c>
      <c r="D6" s="120" t="s">
        <v>221</v>
      </c>
      <c r="E6" s="125">
        <v>5</v>
      </c>
      <c r="F6" s="125">
        <v>3</v>
      </c>
      <c r="G6" s="125">
        <v>5</v>
      </c>
      <c r="H6" s="120" t="s">
        <v>221</v>
      </c>
      <c r="J6" s="43"/>
      <c r="K6" s="44"/>
    </row>
    <row r="7" spans="1:12" ht="16" x14ac:dyDescent="0.2">
      <c r="A7" s="22" t="s">
        <v>126</v>
      </c>
      <c r="B7" s="29">
        <v>1</v>
      </c>
      <c r="C7" s="24"/>
      <c r="D7" s="120" t="s">
        <v>190</v>
      </c>
      <c r="E7" s="125">
        <v>6</v>
      </c>
      <c r="F7" s="125">
        <v>3</v>
      </c>
      <c r="G7" s="125">
        <v>6</v>
      </c>
      <c r="H7" s="120" t="s">
        <v>190</v>
      </c>
      <c r="J7" s="43"/>
      <c r="K7" s="44"/>
    </row>
    <row r="8" spans="1:12" ht="16" x14ac:dyDescent="0.2">
      <c r="A8" s="22" t="s">
        <v>38</v>
      </c>
      <c r="B8" s="30">
        <v>1</v>
      </c>
      <c r="C8" s="24"/>
      <c r="D8" s="120" t="s">
        <v>191</v>
      </c>
      <c r="E8" s="125">
        <v>7</v>
      </c>
      <c r="F8" s="125">
        <v>3</v>
      </c>
      <c r="G8" s="125">
        <v>7</v>
      </c>
      <c r="H8" s="120" t="s">
        <v>191</v>
      </c>
      <c r="J8" s="43"/>
      <c r="K8" s="44"/>
    </row>
    <row r="9" spans="1:12" ht="16" x14ac:dyDescent="0.2">
      <c r="A9" s="22" t="s">
        <v>40</v>
      </c>
      <c r="B9" s="30">
        <v>1.1000000000000001</v>
      </c>
      <c r="C9" s="24"/>
      <c r="D9" s="120" t="s">
        <v>192</v>
      </c>
      <c r="E9" s="125">
        <v>8</v>
      </c>
      <c r="F9" s="125">
        <v>3</v>
      </c>
      <c r="G9" s="125">
        <v>8</v>
      </c>
      <c r="H9" s="120" t="s">
        <v>192</v>
      </c>
      <c r="J9" s="43"/>
      <c r="K9" s="44"/>
    </row>
    <row r="10" spans="1:12" ht="16" x14ac:dyDescent="0.2">
      <c r="A10" s="22" t="s">
        <v>41</v>
      </c>
      <c r="B10" s="30">
        <v>1.2</v>
      </c>
      <c r="C10" s="24"/>
      <c r="D10" s="120" t="s">
        <v>193</v>
      </c>
      <c r="E10" s="125">
        <v>9</v>
      </c>
      <c r="F10" s="125">
        <v>3</v>
      </c>
      <c r="G10" s="125">
        <v>9</v>
      </c>
      <c r="H10" s="120" t="s">
        <v>193</v>
      </c>
      <c r="J10" s="43"/>
      <c r="K10" s="44"/>
    </row>
    <row r="11" spans="1:12" ht="12" customHeight="1" x14ac:dyDescent="0.2">
      <c r="A11" s="28" t="s">
        <v>127</v>
      </c>
      <c r="B11" s="30">
        <v>2</v>
      </c>
      <c r="C11" s="24"/>
      <c r="D11" s="120" t="s">
        <v>194</v>
      </c>
      <c r="E11" s="125">
        <v>10</v>
      </c>
      <c r="F11" s="125">
        <v>3</v>
      </c>
      <c r="G11" s="125">
        <v>10</v>
      </c>
      <c r="H11" s="120" t="s">
        <v>194</v>
      </c>
      <c r="J11" s="43"/>
      <c r="K11" s="44"/>
    </row>
    <row r="12" spans="1:12" ht="16" x14ac:dyDescent="0.2">
      <c r="A12" s="22" t="s">
        <v>42</v>
      </c>
      <c r="B12" s="30">
        <v>2.1</v>
      </c>
      <c r="C12" s="24"/>
      <c r="D12" s="120" t="s">
        <v>195</v>
      </c>
      <c r="E12" s="125">
        <v>11</v>
      </c>
      <c r="F12" s="125">
        <v>3</v>
      </c>
      <c r="G12" s="125">
        <v>11</v>
      </c>
      <c r="H12" s="120" t="s">
        <v>195</v>
      </c>
      <c r="J12" s="43"/>
      <c r="K12" s="44"/>
    </row>
    <row r="13" spans="1:12" ht="16" x14ac:dyDescent="0.2">
      <c r="A13" s="22" t="s">
        <v>43</v>
      </c>
      <c r="B13" s="30">
        <v>2.2000000000000002</v>
      </c>
      <c r="C13" s="24"/>
      <c r="D13" s="120" t="s">
        <v>196</v>
      </c>
      <c r="E13" s="125">
        <v>12</v>
      </c>
      <c r="F13" s="125">
        <v>3</v>
      </c>
      <c r="G13" s="125">
        <v>12</v>
      </c>
      <c r="H13" s="120" t="s">
        <v>196</v>
      </c>
      <c r="J13" s="43"/>
      <c r="K13" s="44"/>
    </row>
    <row r="14" spans="1:12" ht="16" x14ac:dyDescent="0.2">
      <c r="A14" s="22" t="s">
        <v>67</v>
      </c>
      <c r="B14" s="30">
        <v>2.2999999999999998</v>
      </c>
      <c r="C14" s="24"/>
      <c r="D14" s="120" t="s">
        <v>197</v>
      </c>
      <c r="E14" s="125">
        <v>13</v>
      </c>
      <c r="F14" s="125">
        <v>3</v>
      </c>
      <c r="G14" s="125">
        <v>13</v>
      </c>
      <c r="H14" s="120" t="s">
        <v>197</v>
      </c>
      <c r="J14" s="43"/>
      <c r="K14" s="44"/>
    </row>
    <row r="15" spans="1:12" ht="16" x14ac:dyDescent="0.2">
      <c r="A15" s="28" t="s">
        <v>128</v>
      </c>
      <c r="B15" s="30">
        <v>3</v>
      </c>
      <c r="C15" s="24"/>
      <c r="D15" s="120" t="s">
        <v>198</v>
      </c>
      <c r="E15" s="125">
        <v>14</v>
      </c>
      <c r="F15" s="125">
        <v>3</v>
      </c>
      <c r="G15" s="125">
        <v>14</v>
      </c>
      <c r="H15" s="120" t="s">
        <v>198</v>
      </c>
      <c r="J15" s="43"/>
      <c r="K15" s="44"/>
    </row>
    <row r="16" spans="1:12" ht="16" x14ac:dyDescent="0.2">
      <c r="A16" s="22" t="s">
        <v>62</v>
      </c>
      <c r="B16" s="30">
        <v>3.11</v>
      </c>
      <c r="C16" s="24"/>
      <c r="D16" s="120" t="s">
        <v>199</v>
      </c>
      <c r="E16" s="125">
        <v>15</v>
      </c>
      <c r="F16" s="125">
        <v>3</v>
      </c>
      <c r="G16" s="125">
        <v>15</v>
      </c>
      <c r="H16" s="120" t="s">
        <v>199</v>
      </c>
      <c r="J16" s="43"/>
      <c r="K16" s="44"/>
    </row>
    <row r="17" spans="1:12" ht="16" x14ac:dyDescent="0.2">
      <c r="A17" s="22" t="s">
        <v>61</v>
      </c>
      <c r="B17" s="30">
        <v>3.12</v>
      </c>
      <c r="C17" s="24"/>
      <c r="D17" s="120" t="s">
        <v>200</v>
      </c>
      <c r="E17" s="125">
        <v>16</v>
      </c>
      <c r="F17" s="125">
        <v>3</v>
      </c>
      <c r="G17" s="125">
        <v>16</v>
      </c>
      <c r="H17" s="120" t="s">
        <v>200</v>
      </c>
      <c r="J17" s="43"/>
      <c r="K17" s="44"/>
    </row>
    <row r="18" spans="1:12" ht="16" x14ac:dyDescent="0.2">
      <c r="A18" s="22" t="s">
        <v>68</v>
      </c>
      <c r="B18" s="30">
        <v>3.13</v>
      </c>
      <c r="C18" s="24"/>
      <c r="D18" s="120" t="s">
        <v>201</v>
      </c>
      <c r="E18" s="125">
        <v>17</v>
      </c>
      <c r="F18" s="125">
        <v>3</v>
      </c>
      <c r="G18" s="125">
        <v>17</v>
      </c>
      <c r="H18" s="120" t="s">
        <v>201</v>
      </c>
      <c r="J18" s="43"/>
      <c r="K18" s="44"/>
    </row>
    <row r="19" spans="1:12" ht="16" x14ac:dyDescent="0.2">
      <c r="A19" s="22" t="s">
        <v>66</v>
      </c>
      <c r="B19" s="30">
        <v>3.21</v>
      </c>
      <c r="C19" s="24"/>
      <c r="D19" s="120" t="s">
        <v>273</v>
      </c>
      <c r="E19" s="125">
        <v>18</v>
      </c>
      <c r="F19" s="125">
        <v>3</v>
      </c>
      <c r="G19" s="125">
        <v>18</v>
      </c>
      <c r="H19" s="120" t="s">
        <v>273</v>
      </c>
      <c r="J19" s="43"/>
      <c r="K19" s="44"/>
    </row>
    <row r="20" spans="1:12" ht="16" x14ac:dyDescent="0.2">
      <c r="A20" s="22" t="s">
        <v>63</v>
      </c>
      <c r="B20" s="30">
        <v>3.22</v>
      </c>
      <c r="C20" s="24"/>
      <c r="D20" s="120" t="s">
        <v>202</v>
      </c>
      <c r="E20" s="125">
        <v>19</v>
      </c>
      <c r="F20" s="125">
        <v>3</v>
      </c>
      <c r="G20" s="125">
        <v>19</v>
      </c>
      <c r="H20" s="120" t="s">
        <v>202</v>
      </c>
      <c r="J20" s="43"/>
      <c r="K20" s="44"/>
    </row>
    <row r="21" spans="1:12" ht="17" thickBot="1" x14ac:dyDescent="0.25">
      <c r="A21" s="22" t="s">
        <v>69</v>
      </c>
      <c r="B21" s="30">
        <v>3.23</v>
      </c>
      <c r="C21" s="24"/>
      <c r="D21" s="120" t="s">
        <v>203</v>
      </c>
      <c r="E21" s="125">
        <v>20</v>
      </c>
      <c r="F21" s="125">
        <v>3</v>
      </c>
      <c r="G21" s="125">
        <v>20</v>
      </c>
      <c r="H21" s="120" t="s">
        <v>203</v>
      </c>
      <c r="J21" s="45"/>
      <c r="K21" s="46"/>
      <c r="L21" s="48" t="s">
        <v>152</v>
      </c>
    </row>
    <row r="22" spans="1:12" ht="16" x14ac:dyDescent="0.2">
      <c r="A22" s="22" t="s">
        <v>64</v>
      </c>
      <c r="B22" s="30">
        <v>8</v>
      </c>
      <c r="C22" s="24"/>
      <c r="D22" s="120" t="s">
        <v>204</v>
      </c>
      <c r="E22" s="125">
        <v>21</v>
      </c>
      <c r="F22" s="125">
        <v>3</v>
      </c>
      <c r="G22" s="125">
        <v>21</v>
      </c>
      <c r="H22" s="120" t="s">
        <v>204</v>
      </c>
    </row>
    <row r="23" spans="1:12" ht="16" x14ac:dyDescent="0.2">
      <c r="A23" s="22" t="s">
        <v>129</v>
      </c>
      <c r="B23" s="30">
        <v>4</v>
      </c>
      <c r="C23" s="24"/>
      <c r="D23" s="120" t="s">
        <v>205</v>
      </c>
      <c r="E23" s="125">
        <v>22</v>
      </c>
      <c r="F23" s="125">
        <v>3</v>
      </c>
      <c r="G23" s="125">
        <v>22</v>
      </c>
      <c r="H23" s="120" t="s">
        <v>205</v>
      </c>
    </row>
    <row r="24" spans="1:12" ht="16" x14ac:dyDescent="0.2">
      <c r="A24" s="22" t="s">
        <v>122</v>
      </c>
      <c r="B24" s="30">
        <v>4.0999999999999996</v>
      </c>
      <c r="C24" s="24"/>
      <c r="D24" s="120" t="s">
        <v>206</v>
      </c>
      <c r="E24" s="125">
        <v>23</v>
      </c>
      <c r="F24" s="125">
        <v>3</v>
      </c>
      <c r="G24" s="125">
        <v>23</v>
      </c>
      <c r="H24" s="120" t="s">
        <v>206</v>
      </c>
    </row>
    <row r="25" spans="1:12" ht="16" x14ac:dyDescent="0.2">
      <c r="A25" s="22" t="s">
        <v>70</v>
      </c>
      <c r="B25" s="30">
        <v>4.2</v>
      </c>
      <c r="C25" s="24"/>
      <c r="D25" s="120" t="s">
        <v>207</v>
      </c>
      <c r="E25" s="125">
        <v>24</v>
      </c>
      <c r="F25" s="125">
        <v>3</v>
      </c>
      <c r="G25" s="125">
        <v>24</v>
      </c>
      <c r="H25" s="120" t="s">
        <v>207</v>
      </c>
    </row>
    <row r="26" spans="1:12" ht="16" x14ac:dyDescent="0.2">
      <c r="A26" s="22" t="s">
        <v>123</v>
      </c>
      <c r="B26" s="30">
        <v>4.3</v>
      </c>
      <c r="C26" s="24"/>
      <c r="D26" s="120" t="s">
        <v>208</v>
      </c>
      <c r="E26" s="125">
        <v>25</v>
      </c>
      <c r="F26" s="125">
        <v>3</v>
      </c>
      <c r="G26" s="125">
        <v>25</v>
      </c>
      <c r="H26" s="120" t="s">
        <v>208</v>
      </c>
    </row>
    <row r="27" spans="1:12" ht="16" x14ac:dyDescent="0.2">
      <c r="A27" s="22" t="s">
        <v>125</v>
      </c>
      <c r="B27" s="30">
        <v>6.1</v>
      </c>
      <c r="D27" s="120" t="s">
        <v>209</v>
      </c>
      <c r="E27" s="125">
        <v>26</v>
      </c>
      <c r="F27" s="125">
        <v>3</v>
      </c>
      <c r="G27" s="125">
        <v>26</v>
      </c>
      <c r="H27" s="120" t="s">
        <v>209</v>
      </c>
    </row>
    <row r="28" spans="1:12" ht="16" customHeight="1" x14ac:dyDescent="0.2">
      <c r="A28" s="22" t="s">
        <v>124</v>
      </c>
      <c r="B28" s="30">
        <v>6.2</v>
      </c>
      <c r="D28" s="120" t="s">
        <v>210</v>
      </c>
      <c r="E28" s="125">
        <v>27</v>
      </c>
      <c r="F28" s="125">
        <v>3</v>
      </c>
      <c r="G28" s="125">
        <v>27</v>
      </c>
      <c r="H28" s="120" t="s">
        <v>210</v>
      </c>
    </row>
    <row r="29" spans="1:12" ht="16" customHeight="1" x14ac:dyDescent="0.2">
      <c r="A29" s="22" t="s">
        <v>44</v>
      </c>
      <c r="B29" s="30">
        <v>5</v>
      </c>
      <c r="D29" s="120" t="s">
        <v>211</v>
      </c>
      <c r="E29" s="125">
        <v>28</v>
      </c>
      <c r="F29" s="125">
        <v>3</v>
      </c>
      <c r="G29" s="125">
        <v>28</v>
      </c>
      <c r="H29" s="120" t="s">
        <v>211</v>
      </c>
    </row>
    <row r="30" spans="1:12" ht="16" customHeight="1" x14ac:dyDescent="0.2">
      <c r="A30" s="22" t="s">
        <v>73</v>
      </c>
      <c r="B30" s="30">
        <v>7</v>
      </c>
      <c r="D30" s="120" t="s">
        <v>212</v>
      </c>
      <c r="E30" s="125">
        <v>29</v>
      </c>
      <c r="F30" s="125">
        <v>3</v>
      </c>
      <c r="G30" s="125">
        <v>29</v>
      </c>
      <c r="H30" s="120" t="s">
        <v>212</v>
      </c>
    </row>
    <row r="31" spans="1:12" ht="16" customHeight="1" x14ac:dyDescent="0.2">
      <c r="A31" s="22" t="s">
        <v>169</v>
      </c>
      <c r="B31" s="30">
        <v>3.14</v>
      </c>
      <c r="D31" s="120" t="s">
        <v>213</v>
      </c>
      <c r="E31" s="125">
        <v>30</v>
      </c>
      <c r="F31" s="125">
        <v>3</v>
      </c>
      <c r="G31" s="125">
        <v>30</v>
      </c>
      <c r="H31" s="120" t="s">
        <v>213</v>
      </c>
    </row>
    <row r="32" spans="1:12" ht="16" customHeight="1" thickBot="1" x14ac:dyDescent="0.25">
      <c r="A32" s="28" t="s">
        <v>170</v>
      </c>
      <c r="B32" s="31">
        <v>9</v>
      </c>
      <c r="D32" s="120" t="s">
        <v>214</v>
      </c>
      <c r="E32" s="125">
        <v>31</v>
      </c>
      <c r="F32" s="125">
        <v>3</v>
      </c>
      <c r="G32" s="125">
        <v>31</v>
      </c>
      <c r="H32" s="120" t="s">
        <v>214</v>
      </c>
    </row>
    <row r="33" spans="4:8" customFormat="1" ht="16" customHeight="1" x14ac:dyDescent="0.2">
      <c r="D33" s="120" t="s">
        <v>215</v>
      </c>
      <c r="E33" s="125">
        <v>32</v>
      </c>
      <c r="F33" s="125">
        <v>3</v>
      </c>
      <c r="G33" s="125">
        <v>32</v>
      </c>
      <c r="H33" s="120" t="s">
        <v>215</v>
      </c>
    </row>
    <row r="34" spans="4:8" customFormat="1" ht="16" customHeight="1" x14ac:dyDescent="0.2">
      <c r="D34" s="120" t="s">
        <v>216</v>
      </c>
      <c r="E34" s="125">
        <v>33</v>
      </c>
      <c r="F34" s="125">
        <v>3</v>
      </c>
      <c r="G34" s="125">
        <v>33</v>
      </c>
      <c r="H34" s="120" t="s">
        <v>216</v>
      </c>
    </row>
    <row r="35" spans="4:8" customFormat="1" ht="16" customHeight="1" x14ac:dyDescent="0.2">
      <c r="D35" s="120" t="s">
        <v>217</v>
      </c>
      <c r="E35" s="125">
        <v>34</v>
      </c>
      <c r="F35" s="125">
        <v>2.1</v>
      </c>
      <c r="G35" s="125">
        <v>34</v>
      </c>
      <c r="H35" s="120" t="s">
        <v>217</v>
      </c>
    </row>
    <row r="36" spans="4:8" customFormat="1" ht="16" customHeight="1" x14ac:dyDescent="0.2">
      <c r="D36" s="120" t="s">
        <v>218</v>
      </c>
      <c r="E36" s="125">
        <v>35</v>
      </c>
      <c r="F36" s="125">
        <v>2</v>
      </c>
      <c r="G36" s="125">
        <v>35</v>
      </c>
      <c r="H36" s="120" t="s">
        <v>218</v>
      </c>
    </row>
    <row r="37" spans="4:8" customFormat="1" ht="16" customHeight="1" x14ac:dyDescent="0.2">
      <c r="D37" s="120" t="s">
        <v>185</v>
      </c>
      <c r="E37" s="125">
        <v>36</v>
      </c>
      <c r="F37" s="125">
        <v>4.0999999999999996</v>
      </c>
      <c r="G37" s="125">
        <v>36</v>
      </c>
      <c r="H37" s="120" t="s">
        <v>185</v>
      </c>
    </row>
    <row r="38" spans="4:8" customFormat="1" ht="16" customHeight="1" x14ac:dyDescent="0.2">
      <c r="D38" s="121" t="s">
        <v>123</v>
      </c>
      <c r="E38" s="125">
        <v>37</v>
      </c>
      <c r="F38" s="125">
        <v>4.3</v>
      </c>
      <c r="G38" s="125">
        <v>37</v>
      </c>
      <c r="H38" s="121" t="s">
        <v>123</v>
      </c>
    </row>
    <row r="39" spans="4:8" customFormat="1" ht="16" customHeight="1" x14ac:dyDescent="0.2">
      <c r="D39" t="s">
        <v>224</v>
      </c>
      <c r="E39" s="125">
        <v>38</v>
      </c>
      <c r="F39" s="125">
        <v>5</v>
      </c>
      <c r="G39" s="125">
        <v>38</v>
      </c>
      <c r="H39" s="125" t="s">
        <v>224</v>
      </c>
    </row>
    <row r="40" spans="4:8" customFormat="1" ht="16" x14ac:dyDescent="0.2">
      <c r="D40" t="s">
        <v>225</v>
      </c>
      <c r="E40" s="125">
        <v>39</v>
      </c>
      <c r="F40" s="125">
        <v>5</v>
      </c>
      <c r="G40" s="125">
        <v>39</v>
      </c>
      <c r="H40" s="125" t="s">
        <v>225</v>
      </c>
    </row>
    <row r="41" spans="4:8" customFormat="1" ht="16" x14ac:dyDescent="0.2">
      <c r="D41" t="s">
        <v>226</v>
      </c>
      <c r="E41" s="125">
        <v>40</v>
      </c>
      <c r="F41" s="125">
        <v>5</v>
      </c>
      <c r="G41" s="125">
        <v>40</v>
      </c>
      <c r="H41" s="125" t="s">
        <v>226</v>
      </c>
    </row>
    <row r="42" spans="4:8" customFormat="1" ht="16" x14ac:dyDescent="0.2">
      <c r="D42" t="s">
        <v>227</v>
      </c>
      <c r="E42" s="125">
        <v>41</v>
      </c>
      <c r="F42" s="125">
        <v>5</v>
      </c>
      <c r="G42" s="125">
        <v>41</v>
      </c>
      <c r="H42" s="125" t="s">
        <v>227</v>
      </c>
    </row>
    <row r="43" spans="4:8" customFormat="1" ht="16" x14ac:dyDescent="0.2">
      <c r="D43" t="s">
        <v>228</v>
      </c>
      <c r="E43" s="125">
        <v>42</v>
      </c>
      <c r="F43" s="125">
        <v>5</v>
      </c>
      <c r="G43" s="125">
        <v>42</v>
      </c>
      <c r="H43" s="125" t="s">
        <v>228</v>
      </c>
    </row>
    <row r="44" spans="4:8" customFormat="1" ht="16" x14ac:dyDescent="0.2">
      <c r="D44" t="s">
        <v>229</v>
      </c>
      <c r="E44" s="125">
        <v>43</v>
      </c>
      <c r="F44" s="125">
        <v>5</v>
      </c>
      <c r="G44" s="125">
        <v>43</v>
      </c>
      <c r="H44" s="125" t="s">
        <v>229</v>
      </c>
    </row>
    <row r="45" spans="4:8" customFormat="1" ht="16" x14ac:dyDescent="0.2">
      <c r="D45" t="s">
        <v>230</v>
      </c>
      <c r="E45" s="125">
        <v>44</v>
      </c>
      <c r="F45" s="125">
        <v>5</v>
      </c>
      <c r="G45" s="125">
        <v>44</v>
      </c>
      <c r="H45" s="125" t="s">
        <v>230</v>
      </c>
    </row>
    <row r="46" spans="4:8" customFormat="1" ht="16" x14ac:dyDescent="0.2">
      <c r="D46" t="s">
        <v>231</v>
      </c>
      <c r="E46" s="125">
        <v>45</v>
      </c>
      <c r="F46" s="125">
        <v>5</v>
      </c>
      <c r="G46" s="125">
        <v>45</v>
      </c>
      <c r="H46" s="125" t="s">
        <v>231</v>
      </c>
    </row>
    <row r="47" spans="4:8" customFormat="1" ht="16" x14ac:dyDescent="0.2">
      <c r="D47" t="s">
        <v>232</v>
      </c>
      <c r="E47" s="125">
        <v>46</v>
      </c>
      <c r="F47" s="125">
        <v>5</v>
      </c>
      <c r="G47" s="125">
        <v>46</v>
      </c>
      <c r="H47" s="125" t="s">
        <v>232</v>
      </c>
    </row>
    <row r="48" spans="4:8" customFormat="1" ht="16" x14ac:dyDescent="0.2">
      <c r="D48" t="s">
        <v>233</v>
      </c>
      <c r="E48" s="125">
        <v>47</v>
      </c>
      <c r="F48" s="125">
        <v>5</v>
      </c>
      <c r="G48" s="125">
        <v>47</v>
      </c>
      <c r="H48" s="125" t="s">
        <v>233</v>
      </c>
    </row>
    <row r="49" spans="4:8" customFormat="1" ht="16" x14ac:dyDescent="0.2">
      <c r="D49" t="s">
        <v>235</v>
      </c>
      <c r="E49" s="125">
        <v>48</v>
      </c>
      <c r="F49" s="125">
        <v>5</v>
      </c>
      <c r="G49" s="125">
        <v>48</v>
      </c>
      <c r="H49" s="125" t="s">
        <v>235</v>
      </c>
    </row>
    <row r="50" spans="4:8" customFormat="1" ht="12" customHeight="1" x14ac:dyDescent="0.2">
      <c r="D50" t="s">
        <v>234</v>
      </c>
      <c r="E50" s="125">
        <v>49</v>
      </c>
      <c r="F50" s="125">
        <v>5</v>
      </c>
      <c r="G50" s="125">
        <v>49</v>
      </c>
      <c r="H50" s="125" t="s">
        <v>234</v>
      </c>
    </row>
    <row r="51" spans="4:8" customFormat="1" ht="16" x14ac:dyDescent="0.2">
      <c r="D51" t="s">
        <v>236</v>
      </c>
      <c r="E51" s="125">
        <v>50</v>
      </c>
      <c r="F51" s="125">
        <v>5</v>
      </c>
      <c r="G51" s="125">
        <v>50</v>
      </c>
      <c r="H51" s="125" t="s">
        <v>236</v>
      </c>
    </row>
    <row r="52" spans="4:8" customFormat="1" ht="12" customHeight="1" x14ac:dyDescent="0.2">
      <c r="D52" t="s">
        <v>237</v>
      </c>
      <c r="E52" s="125">
        <v>51</v>
      </c>
      <c r="F52" s="125">
        <v>5</v>
      </c>
      <c r="G52" s="125">
        <v>51</v>
      </c>
      <c r="H52" s="125" t="s">
        <v>237</v>
      </c>
    </row>
    <row r="53" spans="4:8" customFormat="1" ht="16" x14ac:dyDescent="0.2">
      <c r="D53" t="s">
        <v>238</v>
      </c>
      <c r="E53" s="125">
        <v>52</v>
      </c>
      <c r="F53" s="125">
        <v>5</v>
      </c>
      <c r="G53" s="125">
        <v>52</v>
      </c>
      <c r="H53" s="125" t="s">
        <v>238</v>
      </c>
    </row>
    <row r="54" spans="4:8" customFormat="1" ht="12" customHeight="1" x14ac:dyDescent="0.2">
      <c r="D54" t="s">
        <v>239</v>
      </c>
      <c r="E54" s="125">
        <v>53</v>
      </c>
      <c r="F54" s="125">
        <v>5</v>
      </c>
      <c r="G54" s="125">
        <v>53</v>
      </c>
      <c r="H54" s="125" t="s">
        <v>239</v>
      </c>
    </row>
    <row r="55" spans="4:8" customFormat="1" ht="12" customHeight="1" x14ac:dyDescent="0.2">
      <c r="D55" t="s">
        <v>240</v>
      </c>
      <c r="E55" s="125">
        <v>54</v>
      </c>
      <c r="F55" s="125">
        <v>5</v>
      </c>
      <c r="G55" s="125">
        <v>54</v>
      </c>
      <c r="H55" s="125" t="s">
        <v>240</v>
      </c>
    </row>
    <row r="56" spans="4:8" customFormat="1" ht="16" x14ac:dyDescent="0.2">
      <c r="D56" t="s">
        <v>241</v>
      </c>
      <c r="E56" s="125">
        <v>55</v>
      </c>
      <c r="F56" s="125">
        <v>5</v>
      </c>
      <c r="G56" s="125">
        <v>55</v>
      </c>
      <c r="H56" s="125" t="s">
        <v>241</v>
      </c>
    </row>
    <row r="57" spans="4:8" customFormat="1" ht="16" x14ac:dyDescent="0.2">
      <c r="D57" t="s">
        <v>242</v>
      </c>
      <c r="E57" s="125">
        <v>56</v>
      </c>
      <c r="F57" s="125">
        <v>5</v>
      </c>
      <c r="G57" s="125">
        <v>56</v>
      </c>
      <c r="H57" s="125" t="s">
        <v>242</v>
      </c>
    </row>
    <row r="58" spans="4:8" customFormat="1" ht="16" x14ac:dyDescent="0.2">
      <c r="D58" t="s">
        <v>243</v>
      </c>
      <c r="E58" s="125">
        <v>57</v>
      </c>
      <c r="F58" s="125">
        <v>5</v>
      </c>
      <c r="G58" s="125">
        <v>57</v>
      </c>
      <c r="H58" s="125" t="s">
        <v>243</v>
      </c>
    </row>
    <row r="59" spans="4:8" customFormat="1" ht="16" x14ac:dyDescent="0.2">
      <c r="D59" t="s">
        <v>244</v>
      </c>
      <c r="E59" s="125">
        <v>58</v>
      </c>
      <c r="F59" s="125">
        <v>5</v>
      </c>
      <c r="G59" s="125">
        <v>58</v>
      </c>
      <c r="H59" s="125" t="s">
        <v>244</v>
      </c>
    </row>
    <row r="60" spans="4:8" customFormat="1" ht="16" x14ac:dyDescent="0.2">
      <c r="D60" t="s">
        <v>245</v>
      </c>
      <c r="E60" s="125">
        <v>59</v>
      </c>
      <c r="F60" s="125">
        <v>5</v>
      </c>
      <c r="G60" s="125">
        <v>59</v>
      </c>
      <c r="H60" s="125" t="s">
        <v>245</v>
      </c>
    </row>
    <row r="61" spans="4:8" customFormat="1" ht="16" x14ac:dyDescent="0.2">
      <c r="D61" t="s">
        <v>246</v>
      </c>
      <c r="E61" s="125">
        <v>60</v>
      </c>
      <c r="F61" s="125">
        <v>5</v>
      </c>
      <c r="G61" s="125">
        <v>60</v>
      </c>
      <c r="H61" s="125" t="s">
        <v>246</v>
      </c>
    </row>
    <row r="62" spans="4:8" customFormat="1" ht="16" x14ac:dyDescent="0.2">
      <c r="D62" t="s">
        <v>247</v>
      </c>
      <c r="E62" s="125">
        <v>61</v>
      </c>
      <c r="F62" s="125">
        <v>5</v>
      </c>
      <c r="G62" s="125">
        <v>61</v>
      </c>
      <c r="H62" s="125" t="s">
        <v>247</v>
      </c>
    </row>
    <row r="63" spans="4:8" customFormat="1" ht="16" x14ac:dyDescent="0.2">
      <c r="D63" s="231" t="s">
        <v>138</v>
      </c>
      <c r="E63" s="125">
        <v>62</v>
      </c>
      <c r="F63" s="125">
        <v>6.1</v>
      </c>
      <c r="G63" s="125">
        <v>62</v>
      </c>
      <c r="H63" s="232" t="s">
        <v>138</v>
      </c>
    </row>
    <row r="64" spans="4:8" customFormat="1" ht="16" x14ac:dyDescent="0.2">
      <c r="D64" s="231" t="s">
        <v>45</v>
      </c>
      <c r="E64" s="125">
        <v>62</v>
      </c>
      <c r="F64" s="125">
        <v>6.2</v>
      </c>
      <c r="G64" s="125">
        <v>62</v>
      </c>
      <c r="H64" s="232" t="s">
        <v>45</v>
      </c>
    </row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59" bestFit="1" customWidth="1"/>
    <col min="2" max="2" width="10.83203125" style="58" customWidth="1"/>
    <col min="3" max="3" width="13.1640625" style="58" customWidth="1"/>
    <col min="4" max="4" width="39.6640625" style="58" customWidth="1"/>
    <col min="5" max="5" width="8.1640625" style="58" customWidth="1"/>
    <col min="6" max="6" width="26.5" style="58" bestFit="1" customWidth="1"/>
    <col min="7" max="15" width="10.5" style="58" customWidth="1"/>
    <col min="16" max="16" width="10.5" style="51" customWidth="1"/>
    <col min="17" max="17" width="10.5" style="58" customWidth="1"/>
    <col min="18" max="18" width="10.5" style="52" customWidth="1"/>
    <col min="19" max="16384" width="11.5" style="58"/>
  </cols>
  <sheetData>
    <row r="1" spans="1:23" ht="15" customHeight="1" thickBot="1" x14ac:dyDescent="0.2">
      <c r="F1" s="1"/>
      <c r="G1" s="50" t="s">
        <v>46</v>
      </c>
      <c r="H1" s="50" t="s">
        <v>47</v>
      </c>
      <c r="I1" s="50" t="s">
        <v>120</v>
      </c>
      <c r="J1" s="50" t="s">
        <v>132</v>
      </c>
      <c r="K1" s="60" t="s">
        <v>48</v>
      </c>
      <c r="L1" s="52"/>
      <c r="M1" s="60" t="s">
        <v>119</v>
      </c>
      <c r="N1" s="52"/>
      <c r="O1" s="60" t="s">
        <v>49</v>
      </c>
      <c r="P1" s="53"/>
      <c r="Q1" s="60" t="s">
        <v>50</v>
      </c>
      <c r="R1" s="50" t="s">
        <v>154</v>
      </c>
    </row>
    <row r="2" spans="1:23" ht="15" customHeight="1" x14ac:dyDescent="0.15">
      <c r="A2" s="60" t="s">
        <v>51</v>
      </c>
      <c r="B2" s="61">
        <v>0.5</v>
      </c>
      <c r="C2" s="59" t="s">
        <v>52</v>
      </c>
      <c r="D2" s="62"/>
      <c r="F2" s="1"/>
      <c r="G2" s="63"/>
      <c r="H2" s="63"/>
      <c r="I2" s="63" t="s">
        <v>133</v>
      </c>
      <c r="J2" s="63" t="s">
        <v>133</v>
      </c>
      <c r="K2" s="63" t="s">
        <v>52</v>
      </c>
      <c r="L2" s="63" t="s">
        <v>53</v>
      </c>
      <c r="M2" s="63" t="s">
        <v>52</v>
      </c>
      <c r="N2" s="63" t="s">
        <v>53</v>
      </c>
      <c r="O2" s="63" t="s">
        <v>52</v>
      </c>
      <c r="P2" s="64" t="s">
        <v>53</v>
      </c>
      <c r="Q2" s="63"/>
      <c r="R2" s="65" t="s">
        <v>155</v>
      </c>
    </row>
    <row r="3" spans="1:23" ht="15" customHeight="1" thickBot="1" x14ac:dyDescent="0.2">
      <c r="A3" s="60" t="s">
        <v>54</v>
      </c>
      <c r="B3" s="66">
        <v>0.5</v>
      </c>
      <c r="C3" s="59" t="s">
        <v>53</v>
      </c>
      <c r="D3" s="62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0">
        <v>0</v>
      </c>
      <c r="R3" s="24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0">
        <v>0</v>
      </c>
      <c r="R4" s="83">
        <v>0</v>
      </c>
    </row>
    <row r="5" spans="1:23" ht="15" customHeight="1" x14ac:dyDescent="0.15">
      <c r="A5" s="60" t="s">
        <v>55</v>
      </c>
      <c r="B5" s="67">
        <v>0.5</v>
      </c>
      <c r="C5" s="59" t="s">
        <v>52</v>
      </c>
      <c r="D5" s="62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0">
        <v>0</v>
      </c>
      <c r="R5" s="83">
        <v>0</v>
      </c>
    </row>
    <row r="6" spans="1:23" ht="15" customHeight="1" thickBot="1" x14ac:dyDescent="0.2">
      <c r="A6" s="60"/>
      <c r="B6" s="68">
        <v>0.5</v>
      </c>
      <c r="C6" s="59" t="s">
        <v>53</v>
      </c>
      <c r="D6" s="62"/>
      <c r="F6" s="120" t="s">
        <v>189</v>
      </c>
      <c r="G6" s="58">
        <v>0</v>
      </c>
      <c r="H6" s="58">
        <v>0</v>
      </c>
      <c r="I6" s="58">
        <v>0</v>
      </c>
      <c r="J6" s="58">
        <v>0</v>
      </c>
      <c r="K6" s="58">
        <v>1</v>
      </c>
      <c r="L6" s="58">
        <v>0</v>
      </c>
      <c r="M6" s="58">
        <v>1</v>
      </c>
      <c r="N6" s="58">
        <v>0</v>
      </c>
      <c r="O6" s="58">
        <v>1</v>
      </c>
      <c r="P6" s="51">
        <v>0</v>
      </c>
      <c r="Q6" s="58">
        <v>0</v>
      </c>
      <c r="R6" s="52">
        <v>1</v>
      </c>
      <c r="S6"/>
      <c r="T6"/>
    </row>
    <row r="7" spans="1:23" ht="15" customHeight="1" thickBot="1" x14ac:dyDescent="0.2">
      <c r="F7" s="120" t="s">
        <v>221</v>
      </c>
      <c r="G7" s="58">
        <v>0</v>
      </c>
      <c r="H7" s="58">
        <v>0</v>
      </c>
      <c r="I7" s="58">
        <v>0</v>
      </c>
      <c r="J7" s="58">
        <v>0</v>
      </c>
      <c r="K7" s="58">
        <v>1</v>
      </c>
      <c r="L7" s="58">
        <v>0</v>
      </c>
      <c r="M7" s="58">
        <v>1</v>
      </c>
      <c r="N7" s="58">
        <v>0</v>
      </c>
      <c r="O7" s="58">
        <v>1</v>
      </c>
      <c r="P7" s="51">
        <v>0</v>
      </c>
      <c r="Q7" s="58">
        <v>0</v>
      </c>
      <c r="R7" s="52">
        <v>1</v>
      </c>
      <c r="S7"/>
      <c r="T7"/>
    </row>
    <row r="8" spans="1:23" ht="15" customHeight="1" x14ac:dyDescent="0.15">
      <c r="A8" s="60" t="s">
        <v>56</v>
      </c>
      <c r="B8" s="67">
        <f>E32</f>
        <v>0.86423501347347575</v>
      </c>
      <c r="C8" s="120" t="s">
        <v>217</v>
      </c>
      <c r="D8" s="62" t="s">
        <v>160</v>
      </c>
      <c r="F8" s="120" t="s">
        <v>190</v>
      </c>
      <c r="G8" s="58">
        <v>0</v>
      </c>
      <c r="H8" s="58">
        <v>0</v>
      </c>
      <c r="I8" s="58">
        <v>0</v>
      </c>
      <c r="J8" s="58">
        <v>0</v>
      </c>
      <c r="K8" s="58">
        <v>1</v>
      </c>
      <c r="L8" s="58">
        <v>0</v>
      </c>
      <c r="M8" s="58">
        <v>1</v>
      </c>
      <c r="N8" s="58">
        <v>0</v>
      </c>
      <c r="O8" s="58">
        <v>1</v>
      </c>
      <c r="P8" s="51">
        <v>0</v>
      </c>
      <c r="Q8" s="58">
        <v>0</v>
      </c>
      <c r="R8" s="52">
        <v>1</v>
      </c>
      <c r="S8"/>
      <c r="T8"/>
      <c r="W8"/>
    </row>
    <row r="9" spans="1:23" ht="15" customHeight="1" x14ac:dyDescent="0.15">
      <c r="A9" s="97" t="s">
        <v>168</v>
      </c>
      <c r="B9" s="69">
        <f>E33</f>
        <v>0.13576498652652425</v>
      </c>
      <c r="C9" s="120" t="s">
        <v>218</v>
      </c>
      <c r="D9" s="62" t="s">
        <v>160</v>
      </c>
      <c r="F9" s="120" t="s">
        <v>191</v>
      </c>
      <c r="G9" s="58">
        <v>0</v>
      </c>
      <c r="H9" s="58">
        <v>0</v>
      </c>
      <c r="I9" s="58">
        <v>0</v>
      </c>
      <c r="J9" s="58">
        <v>0</v>
      </c>
      <c r="K9" s="58">
        <v>1</v>
      </c>
      <c r="L9" s="58">
        <v>0</v>
      </c>
      <c r="M9" s="58">
        <v>1</v>
      </c>
      <c r="N9" s="58">
        <v>0</v>
      </c>
      <c r="O9" s="58">
        <v>1</v>
      </c>
      <c r="P9" s="51">
        <v>0</v>
      </c>
      <c r="Q9" s="58">
        <v>0</v>
      </c>
      <c r="R9" s="52">
        <v>1</v>
      </c>
      <c r="S9"/>
      <c r="T9"/>
      <c r="W9"/>
    </row>
    <row r="10" spans="1:23" ht="15" customHeight="1" x14ac:dyDescent="0.15">
      <c r="B10" s="69"/>
      <c r="C10" s="57"/>
      <c r="D10" s="62" t="s">
        <v>160</v>
      </c>
      <c r="F10" s="120" t="s">
        <v>192</v>
      </c>
      <c r="G10" s="58">
        <v>0</v>
      </c>
      <c r="H10" s="58">
        <v>0</v>
      </c>
      <c r="I10" s="58">
        <v>0</v>
      </c>
      <c r="J10" s="58">
        <v>0</v>
      </c>
      <c r="K10" s="58">
        <v>1</v>
      </c>
      <c r="L10" s="58">
        <v>0</v>
      </c>
      <c r="M10" s="58">
        <v>1</v>
      </c>
      <c r="N10" s="58">
        <v>0</v>
      </c>
      <c r="O10" s="58">
        <v>1</v>
      </c>
      <c r="P10" s="51">
        <v>0</v>
      </c>
      <c r="Q10" s="58">
        <v>0</v>
      </c>
      <c r="R10" s="52">
        <v>1</v>
      </c>
      <c r="S10"/>
      <c r="T10"/>
      <c r="W10"/>
    </row>
    <row r="11" spans="1:23" ht="15" customHeight="1" x14ac:dyDescent="0.15">
      <c r="A11" s="60"/>
      <c r="B11" s="69"/>
      <c r="C11" s="72"/>
      <c r="D11" s="62" t="s">
        <v>160</v>
      </c>
      <c r="F11" s="120" t="s">
        <v>193</v>
      </c>
      <c r="G11" s="58">
        <v>0</v>
      </c>
      <c r="H11" s="58">
        <v>0</v>
      </c>
      <c r="I11" s="58">
        <v>0</v>
      </c>
      <c r="J11" s="58">
        <v>0</v>
      </c>
      <c r="K11" s="58">
        <v>1</v>
      </c>
      <c r="L11" s="58">
        <v>0</v>
      </c>
      <c r="M11" s="58">
        <v>1</v>
      </c>
      <c r="N11" s="58">
        <v>0</v>
      </c>
      <c r="O11" s="58">
        <v>1</v>
      </c>
      <c r="P11" s="51">
        <v>0</v>
      </c>
      <c r="Q11" s="58">
        <v>0</v>
      </c>
      <c r="R11" s="52">
        <v>1</v>
      </c>
      <c r="S11"/>
      <c r="T11"/>
      <c r="W11"/>
    </row>
    <row r="12" spans="1:23" ht="15" customHeight="1" x14ac:dyDescent="0.15">
      <c r="B12" s="69"/>
      <c r="C12" s="73"/>
      <c r="D12" s="62" t="s">
        <v>160</v>
      </c>
      <c r="F12" s="120" t="s">
        <v>194</v>
      </c>
      <c r="G12" s="58">
        <v>0</v>
      </c>
      <c r="H12" s="58">
        <v>0</v>
      </c>
      <c r="I12" s="58">
        <v>0</v>
      </c>
      <c r="J12" s="58">
        <v>0</v>
      </c>
      <c r="K12" s="58">
        <v>1</v>
      </c>
      <c r="L12" s="58">
        <v>0</v>
      </c>
      <c r="M12" s="58">
        <v>1</v>
      </c>
      <c r="N12" s="58">
        <v>0</v>
      </c>
      <c r="O12" s="58">
        <v>1</v>
      </c>
      <c r="P12" s="51">
        <v>0</v>
      </c>
      <c r="Q12" s="58">
        <v>0</v>
      </c>
      <c r="R12" s="52">
        <v>1</v>
      </c>
      <c r="S12"/>
      <c r="T12"/>
      <c r="W12"/>
    </row>
    <row r="13" spans="1:23" ht="15" customHeight="1" x14ac:dyDescent="0.15">
      <c r="B13" s="69"/>
      <c r="C13" s="73"/>
      <c r="D13" s="62" t="s">
        <v>160</v>
      </c>
      <c r="F13" s="120" t="s">
        <v>195</v>
      </c>
      <c r="G13" s="58">
        <v>0</v>
      </c>
      <c r="H13" s="58">
        <v>0</v>
      </c>
      <c r="I13" s="58">
        <v>0</v>
      </c>
      <c r="J13" s="58">
        <v>0</v>
      </c>
      <c r="K13" s="58">
        <v>0</v>
      </c>
      <c r="L13" s="58">
        <v>0</v>
      </c>
      <c r="M13" s="58">
        <v>1</v>
      </c>
      <c r="N13" s="58">
        <v>0</v>
      </c>
      <c r="O13" s="58">
        <v>1</v>
      </c>
      <c r="P13" s="51">
        <v>0</v>
      </c>
      <c r="Q13" s="58">
        <v>0</v>
      </c>
      <c r="R13" s="52">
        <v>1</v>
      </c>
      <c r="S13"/>
      <c r="T13"/>
      <c r="W13"/>
    </row>
    <row r="14" spans="1:23" ht="15" customHeight="1" x14ac:dyDescent="0.15">
      <c r="B14" s="69"/>
      <c r="C14" s="57"/>
      <c r="D14" s="62" t="s">
        <v>160</v>
      </c>
      <c r="F14" s="120" t="s">
        <v>196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1</v>
      </c>
      <c r="M14" s="58">
        <v>0</v>
      </c>
      <c r="N14" s="58">
        <v>1</v>
      </c>
      <c r="O14" s="58">
        <v>1</v>
      </c>
      <c r="P14" s="51">
        <v>0</v>
      </c>
      <c r="Q14" s="58">
        <v>0</v>
      </c>
      <c r="R14" s="52">
        <v>1</v>
      </c>
      <c r="S14"/>
      <c r="T14"/>
      <c r="W14"/>
    </row>
    <row r="15" spans="1:23" ht="15" customHeight="1" x14ac:dyDescent="0.15">
      <c r="B15" s="69"/>
      <c r="C15" s="57"/>
      <c r="D15" s="62" t="s">
        <v>160</v>
      </c>
      <c r="F15" s="120" t="s">
        <v>197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1</v>
      </c>
      <c r="M15" s="58">
        <v>0</v>
      </c>
      <c r="N15" s="58">
        <v>1</v>
      </c>
      <c r="O15" s="58">
        <v>1</v>
      </c>
      <c r="P15" s="51">
        <v>0</v>
      </c>
      <c r="Q15" s="58">
        <v>0</v>
      </c>
      <c r="R15" s="52">
        <v>1</v>
      </c>
      <c r="S15"/>
      <c r="T15"/>
      <c r="W15"/>
    </row>
    <row r="16" spans="1:23" ht="15" customHeight="1" x14ac:dyDescent="0.15">
      <c r="B16" s="69"/>
      <c r="C16" s="57"/>
      <c r="D16" s="62" t="s">
        <v>160</v>
      </c>
      <c r="F16" s="120" t="s">
        <v>198</v>
      </c>
      <c r="G16" s="58">
        <v>0</v>
      </c>
      <c r="H16" s="58">
        <v>0</v>
      </c>
      <c r="I16" s="58">
        <v>0</v>
      </c>
      <c r="J16" s="58">
        <v>0</v>
      </c>
      <c r="K16">
        <v>0</v>
      </c>
      <c r="L16">
        <v>1</v>
      </c>
      <c r="M16" s="58">
        <v>0</v>
      </c>
      <c r="N16" s="58">
        <v>1</v>
      </c>
      <c r="O16" s="58">
        <v>1</v>
      </c>
      <c r="P16" s="51">
        <v>0</v>
      </c>
      <c r="Q16" s="58">
        <v>0</v>
      </c>
      <c r="R16" s="52">
        <v>1</v>
      </c>
      <c r="S16"/>
      <c r="T16"/>
    </row>
    <row r="17" spans="1:20" ht="15" customHeight="1" thickBot="1" x14ac:dyDescent="0.2">
      <c r="B17" s="68"/>
      <c r="C17" s="57"/>
      <c r="D17" s="62" t="s">
        <v>160</v>
      </c>
      <c r="F17" s="120" t="s">
        <v>199</v>
      </c>
      <c r="G17" s="58">
        <v>0</v>
      </c>
      <c r="H17" s="58">
        <v>0</v>
      </c>
      <c r="I17" s="58">
        <v>0</v>
      </c>
      <c r="J17" s="58">
        <v>0</v>
      </c>
      <c r="K17">
        <v>0</v>
      </c>
      <c r="L17">
        <v>1</v>
      </c>
      <c r="M17" s="58">
        <v>0</v>
      </c>
      <c r="N17" s="58">
        <v>1</v>
      </c>
      <c r="O17" s="58">
        <v>1</v>
      </c>
      <c r="P17" s="51">
        <v>0</v>
      </c>
      <c r="Q17" s="58">
        <v>0</v>
      </c>
      <c r="R17" s="52">
        <v>1</v>
      </c>
      <c r="S17"/>
      <c r="T17"/>
    </row>
    <row r="18" spans="1:20" ht="15" customHeight="1" thickBot="1" x14ac:dyDescent="0.2">
      <c r="B18" s="70"/>
      <c r="F18" s="120" t="s">
        <v>200</v>
      </c>
      <c r="G18" s="58">
        <v>0</v>
      </c>
      <c r="H18" s="58">
        <v>0</v>
      </c>
      <c r="I18" s="58">
        <v>0</v>
      </c>
      <c r="J18" s="58">
        <v>0</v>
      </c>
      <c r="K18">
        <v>0</v>
      </c>
      <c r="L18">
        <v>1</v>
      </c>
      <c r="M18" s="58">
        <v>0</v>
      </c>
      <c r="N18" s="58">
        <v>1</v>
      </c>
      <c r="O18" s="58">
        <v>1</v>
      </c>
      <c r="P18" s="51">
        <v>0</v>
      </c>
      <c r="Q18" s="58">
        <v>0</v>
      </c>
      <c r="R18" s="52">
        <v>1</v>
      </c>
      <c r="S18"/>
      <c r="T18"/>
    </row>
    <row r="19" spans="1:20" ht="15" customHeight="1" x14ac:dyDescent="0.15">
      <c r="A19" s="60" t="s">
        <v>57</v>
      </c>
      <c r="B19" s="67">
        <f>E32</f>
        <v>0.86423501347347575</v>
      </c>
      <c r="C19" s="120" t="s">
        <v>217</v>
      </c>
      <c r="D19" s="62" t="s">
        <v>160</v>
      </c>
      <c r="F19" s="120" t="s">
        <v>201</v>
      </c>
      <c r="G19" s="58">
        <v>0</v>
      </c>
      <c r="H19" s="58">
        <v>0</v>
      </c>
      <c r="I19" s="58">
        <v>0</v>
      </c>
      <c r="J19" s="58">
        <v>0</v>
      </c>
      <c r="K19">
        <v>0</v>
      </c>
      <c r="L19">
        <v>1</v>
      </c>
      <c r="M19" s="58">
        <v>0</v>
      </c>
      <c r="N19" s="58">
        <v>1</v>
      </c>
      <c r="O19" s="58">
        <v>1</v>
      </c>
      <c r="P19" s="51">
        <v>0</v>
      </c>
      <c r="Q19" s="58">
        <v>0</v>
      </c>
      <c r="R19" s="52">
        <v>1</v>
      </c>
      <c r="S19"/>
      <c r="T19"/>
    </row>
    <row r="20" spans="1:20" ht="15" customHeight="1" x14ac:dyDescent="0.15">
      <c r="A20" s="97" t="s">
        <v>168</v>
      </c>
      <c r="B20" s="69">
        <f>E33</f>
        <v>0.13576498652652425</v>
      </c>
      <c r="C20" s="120" t="s">
        <v>218</v>
      </c>
      <c r="D20" s="62" t="s">
        <v>160</v>
      </c>
      <c r="F20" s="120" t="s">
        <v>273</v>
      </c>
      <c r="G20" s="58">
        <v>0</v>
      </c>
      <c r="H20" s="58">
        <v>0</v>
      </c>
      <c r="I20" s="58">
        <v>0</v>
      </c>
      <c r="J20" s="58">
        <v>0</v>
      </c>
      <c r="K20">
        <v>0</v>
      </c>
      <c r="L20">
        <v>1</v>
      </c>
      <c r="M20" s="58">
        <v>0</v>
      </c>
      <c r="N20" s="58">
        <v>1</v>
      </c>
      <c r="O20" s="58">
        <v>1</v>
      </c>
      <c r="P20" s="51">
        <v>0</v>
      </c>
      <c r="Q20" s="58">
        <v>0</v>
      </c>
      <c r="R20" s="52">
        <v>1</v>
      </c>
      <c r="S20"/>
      <c r="T20"/>
    </row>
    <row r="21" spans="1:20" ht="15" customHeight="1" x14ac:dyDescent="0.15">
      <c r="B21" s="69"/>
      <c r="C21" s="57"/>
      <c r="D21" s="62" t="s">
        <v>160</v>
      </c>
      <c r="F21" s="120" t="s">
        <v>202</v>
      </c>
      <c r="G21" s="58">
        <v>0</v>
      </c>
      <c r="H21" s="58">
        <v>0</v>
      </c>
      <c r="I21" s="58">
        <v>0</v>
      </c>
      <c r="J21" s="58">
        <v>0</v>
      </c>
      <c r="K21">
        <v>0</v>
      </c>
      <c r="L21">
        <v>1</v>
      </c>
      <c r="M21" s="58">
        <v>0</v>
      </c>
      <c r="N21" s="58">
        <v>1</v>
      </c>
      <c r="O21" s="58">
        <v>1</v>
      </c>
      <c r="P21" s="51">
        <v>0</v>
      </c>
      <c r="Q21" s="58">
        <v>0</v>
      </c>
      <c r="R21" s="52">
        <v>1</v>
      </c>
      <c r="S21"/>
      <c r="T21"/>
    </row>
    <row r="22" spans="1:20" ht="15" customHeight="1" x14ac:dyDescent="0.15">
      <c r="A22" s="58"/>
      <c r="B22" s="69"/>
      <c r="C22" s="72"/>
      <c r="D22" s="62" t="s">
        <v>160</v>
      </c>
      <c r="F22" s="120" t="s">
        <v>203</v>
      </c>
      <c r="G22" s="58">
        <v>0</v>
      </c>
      <c r="H22" s="58">
        <v>0</v>
      </c>
      <c r="I22" s="58">
        <v>0</v>
      </c>
      <c r="J22" s="58">
        <v>0</v>
      </c>
      <c r="K22">
        <v>0</v>
      </c>
      <c r="L22">
        <v>1</v>
      </c>
      <c r="M22" s="58">
        <v>0</v>
      </c>
      <c r="N22" s="58">
        <v>1</v>
      </c>
      <c r="O22" s="58">
        <v>0</v>
      </c>
      <c r="P22" s="51">
        <v>1</v>
      </c>
      <c r="Q22" s="58">
        <v>0</v>
      </c>
      <c r="R22" s="52">
        <v>1</v>
      </c>
      <c r="S22"/>
      <c r="T22"/>
    </row>
    <row r="23" spans="1:20" ht="15" customHeight="1" x14ac:dyDescent="0.15">
      <c r="A23" s="58"/>
      <c r="B23" s="69"/>
      <c r="C23" s="73"/>
      <c r="D23" s="62" t="s">
        <v>160</v>
      </c>
      <c r="F23" s="120" t="s">
        <v>204</v>
      </c>
      <c r="G23" s="58">
        <v>0</v>
      </c>
      <c r="H23" s="58">
        <v>0</v>
      </c>
      <c r="I23" s="58">
        <v>0</v>
      </c>
      <c r="J23" s="58">
        <v>0</v>
      </c>
      <c r="K23">
        <v>0</v>
      </c>
      <c r="L23">
        <v>1</v>
      </c>
      <c r="M23" s="58">
        <v>0</v>
      </c>
      <c r="N23" s="58">
        <v>1</v>
      </c>
      <c r="O23" s="58">
        <v>1</v>
      </c>
      <c r="P23" s="51">
        <v>0</v>
      </c>
      <c r="Q23" s="58">
        <v>0</v>
      </c>
      <c r="R23" s="52">
        <v>1</v>
      </c>
      <c r="S23"/>
      <c r="T23"/>
    </row>
    <row r="24" spans="1:20" ht="15" customHeight="1" x14ac:dyDescent="0.15">
      <c r="A24" s="58"/>
      <c r="B24" s="69"/>
      <c r="C24" s="73"/>
      <c r="D24" s="62" t="s">
        <v>160</v>
      </c>
      <c r="F24" s="120" t="s">
        <v>205</v>
      </c>
      <c r="G24" s="58">
        <v>0</v>
      </c>
      <c r="H24" s="58">
        <v>0</v>
      </c>
      <c r="I24" s="58">
        <v>0</v>
      </c>
      <c r="J24" s="58">
        <v>0</v>
      </c>
      <c r="K24">
        <v>0</v>
      </c>
      <c r="L24">
        <v>1</v>
      </c>
      <c r="M24" s="58">
        <v>0</v>
      </c>
      <c r="N24" s="58">
        <v>1</v>
      </c>
      <c r="O24" s="58">
        <v>1</v>
      </c>
      <c r="P24" s="51">
        <v>0</v>
      </c>
      <c r="Q24" s="58">
        <v>0</v>
      </c>
      <c r="R24" s="52">
        <v>1</v>
      </c>
      <c r="S24"/>
      <c r="T24"/>
    </row>
    <row r="25" spans="1:20" ht="15" customHeight="1" x14ac:dyDescent="0.15">
      <c r="A25" s="58"/>
      <c r="B25" s="69"/>
      <c r="C25" s="57"/>
      <c r="D25" s="62" t="s">
        <v>160</v>
      </c>
      <c r="F25" s="120" t="s">
        <v>206</v>
      </c>
      <c r="G25" s="58">
        <v>0</v>
      </c>
      <c r="H25" s="58">
        <v>0</v>
      </c>
      <c r="I25" s="58">
        <v>0</v>
      </c>
      <c r="J25" s="58">
        <v>0</v>
      </c>
      <c r="K25">
        <v>0</v>
      </c>
      <c r="L25">
        <v>1</v>
      </c>
      <c r="M25" s="58">
        <v>0</v>
      </c>
      <c r="N25" s="58">
        <v>1</v>
      </c>
      <c r="O25" s="58">
        <v>1</v>
      </c>
      <c r="P25" s="51">
        <v>0</v>
      </c>
      <c r="Q25" s="58">
        <v>0</v>
      </c>
      <c r="R25" s="52">
        <v>1</v>
      </c>
      <c r="S25"/>
      <c r="T25"/>
    </row>
    <row r="26" spans="1:20" ht="15" customHeight="1" x14ac:dyDescent="0.15">
      <c r="B26" s="69"/>
      <c r="C26" s="57"/>
      <c r="D26" s="62" t="s">
        <v>160</v>
      </c>
      <c r="F26" s="120" t="s">
        <v>207</v>
      </c>
      <c r="G26" s="58">
        <v>0</v>
      </c>
      <c r="H26" s="58">
        <v>0</v>
      </c>
      <c r="I26" s="58">
        <v>0</v>
      </c>
      <c r="J26" s="58">
        <v>0</v>
      </c>
      <c r="K26">
        <v>0</v>
      </c>
      <c r="L26">
        <v>1</v>
      </c>
      <c r="M26" s="58">
        <v>0</v>
      </c>
      <c r="N26" s="58">
        <v>1</v>
      </c>
      <c r="O26" s="58">
        <v>1</v>
      </c>
      <c r="P26" s="51">
        <v>0</v>
      </c>
      <c r="Q26" s="58">
        <v>0</v>
      </c>
      <c r="R26" s="52">
        <v>1</v>
      </c>
      <c r="S26"/>
      <c r="T26"/>
    </row>
    <row r="27" spans="1:20" ht="15" customHeight="1" x14ac:dyDescent="0.15">
      <c r="B27" s="69"/>
      <c r="C27" s="57"/>
      <c r="D27" s="62" t="s">
        <v>160</v>
      </c>
      <c r="F27" s="120" t="s">
        <v>208</v>
      </c>
      <c r="G27" s="58">
        <v>0</v>
      </c>
      <c r="H27" s="58">
        <v>0</v>
      </c>
      <c r="I27" s="58">
        <v>0</v>
      </c>
      <c r="J27" s="58">
        <v>0</v>
      </c>
      <c r="K27">
        <v>0</v>
      </c>
      <c r="L27">
        <v>1</v>
      </c>
      <c r="M27" s="58">
        <v>0</v>
      </c>
      <c r="N27" s="58">
        <v>1</v>
      </c>
      <c r="O27" s="58">
        <v>0</v>
      </c>
      <c r="P27" s="51">
        <v>1</v>
      </c>
      <c r="Q27" s="58">
        <v>0</v>
      </c>
      <c r="R27" s="52">
        <v>1</v>
      </c>
      <c r="S27"/>
      <c r="T27"/>
    </row>
    <row r="28" spans="1:20" ht="15" customHeight="1" thickBot="1" x14ac:dyDescent="0.2">
      <c r="B28" s="68"/>
      <c r="C28" s="57"/>
      <c r="D28" s="62" t="s">
        <v>160</v>
      </c>
      <c r="F28" s="120" t="s">
        <v>209</v>
      </c>
      <c r="G28" s="58">
        <v>0</v>
      </c>
      <c r="H28" s="58">
        <v>0</v>
      </c>
      <c r="I28" s="58">
        <v>0</v>
      </c>
      <c r="J28" s="58">
        <v>0</v>
      </c>
      <c r="K28">
        <v>0</v>
      </c>
      <c r="L28">
        <v>1</v>
      </c>
      <c r="M28" s="58">
        <v>0</v>
      </c>
      <c r="N28" s="58">
        <v>1</v>
      </c>
      <c r="O28" s="58">
        <v>1</v>
      </c>
      <c r="P28" s="51">
        <v>0</v>
      </c>
      <c r="Q28" s="58">
        <v>0</v>
      </c>
      <c r="R28" s="52">
        <v>1</v>
      </c>
      <c r="S28"/>
      <c r="T28"/>
    </row>
    <row r="29" spans="1:20" ht="15" customHeight="1" x14ac:dyDescent="0.15">
      <c r="F29" s="120" t="s">
        <v>210</v>
      </c>
      <c r="G29" s="58">
        <v>0</v>
      </c>
      <c r="H29" s="58">
        <v>0</v>
      </c>
      <c r="I29" s="58">
        <v>0</v>
      </c>
      <c r="J29" s="58">
        <v>0</v>
      </c>
      <c r="K29">
        <v>0</v>
      </c>
      <c r="L29">
        <v>1</v>
      </c>
      <c r="M29" s="58">
        <v>0</v>
      </c>
      <c r="N29" s="58">
        <v>1</v>
      </c>
      <c r="O29" s="58">
        <v>0</v>
      </c>
      <c r="P29" s="51">
        <v>1</v>
      </c>
      <c r="Q29" s="58">
        <v>0</v>
      </c>
      <c r="R29" s="52">
        <v>1</v>
      </c>
      <c r="S29"/>
      <c r="T29"/>
    </row>
    <row r="30" spans="1:20" ht="15" customHeight="1" x14ac:dyDescent="0.15">
      <c r="F30" s="120" t="s">
        <v>211</v>
      </c>
      <c r="G30" s="58">
        <v>0</v>
      </c>
      <c r="H30" s="58">
        <v>0</v>
      </c>
      <c r="I30" s="58">
        <v>0</v>
      </c>
      <c r="J30" s="58">
        <v>0</v>
      </c>
      <c r="K30">
        <v>0</v>
      </c>
      <c r="L30">
        <v>1</v>
      </c>
      <c r="M30" s="58">
        <v>0</v>
      </c>
      <c r="N30" s="58">
        <v>1</v>
      </c>
      <c r="O30" s="58">
        <v>0</v>
      </c>
      <c r="P30" s="51">
        <v>1</v>
      </c>
      <c r="Q30" s="58">
        <v>0</v>
      </c>
      <c r="R30" s="52">
        <v>1</v>
      </c>
      <c r="S30"/>
      <c r="T30"/>
    </row>
    <row r="31" spans="1:20" ht="15" customHeight="1" x14ac:dyDescent="0.15">
      <c r="A31" s="98"/>
      <c r="B31" s="108" t="s">
        <v>17</v>
      </c>
      <c r="C31" s="108" t="s">
        <v>1</v>
      </c>
      <c r="D31" s="108" t="s">
        <v>161</v>
      </c>
      <c r="E31" s="109" t="s">
        <v>163</v>
      </c>
      <c r="F31" s="120" t="s">
        <v>212</v>
      </c>
      <c r="G31" s="58">
        <v>0</v>
      </c>
      <c r="H31" s="58">
        <v>0</v>
      </c>
      <c r="I31" s="58">
        <v>0</v>
      </c>
      <c r="J31" s="58">
        <v>0</v>
      </c>
      <c r="K31">
        <v>0</v>
      </c>
      <c r="L31">
        <v>1</v>
      </c>
      <c r="M31" s="58">
        <v>0</v>
      </c>
      <c r="N31" s="58">
        <v>1</v>
      </c>
      <c r="O31" s="58">
        <v>0</v>
      </c>
      <c r="P31" s="51">
        <v>1</v>
      </c>
      <c r="Q31" s="58">
        <v>0</v>
      </c>
      <c r="R31" s="52">
        <v>1</v>
      </c>
      <c r="S31"/>
      <c r="T31"/>
    </row>
    <row r="32" spans="1:20" ht="15" customHeight="1" x14ac:dyDescent="0.15">
      <c r="A32" s="120" t="s">
        <v>217</v>
      </c>
      <c r="B32" s="70">
        <f>MainOutputs!D32</f>
        <v>18.920890808105469</v>
      </c>
      <c r="C32" s="70">
        <f>MainOutputs!E32</f>
        <v>135</v>
      </c>
      <c r="D32" s="70">
        <f>B32*C32</f>
        <v>2554.3202590942383</v>
      </c>
      <c r="E32" s="99">
        <f>D32/D42</f>
        <v>0.86423501347347575</v>
      </c>
      <c r="F32" s="120" t="s">
        <v>213</v>
      </c>
      <c r="G32" s="58">
        <v>0</v>
      </c>
      <c r="H32" s="58">
        <v>0</v>
      </c>
      <c r="I32" s="58">
        <v>0</v>
      </c>
      <c r="J32" s="58">
        <v>0</v>
      </c>
      <c r="K32">
        <v>0</v>
      </c>
      <c r="L32">
        <v>1</v>
      </c>
      <c r="M32" s="58">
        <v>0</v>
      </c>
      <c r="N32" s="58">
        <v>1</v>
      </c>
      <c r="O32" s="58">
        <v>0</v>
      </c>
      <c r="P32" s="51">
        <v>1</v>
      </c>
      <c r="Q32" s="58">
        <v>0</v>
      </c>
      <c r="R32" s="52">
        <v>1</v>
      </c>
      <c r="S32"/>
      <c r="T32"/>
    </row>
    <row r="33" spans="1:20" ht="15" customHeight="1" x14ac:dyDescent="0.15">
      <c r="A33" s="120" t="s">
        <v>218</v>
      </c>
      <c r="B33" s="70">
        <f>MainOutputs!D33</f>
        <v>26.750999450683594</v>
      </c>
      <c r="C33" s="70">
        <f>MainOutputs!E33</f>
        <v>15</v>
      </c>
      <c r="D33" s="70">
        <f>B33*C33</f>
        <v>401.26499176025391</v>
      </c>
      <c r="E33" s="99">
        <f>D33/D42</f>
        <v>0.13576498652652425</v>
      </c>
      <c r="F33" s="120" t="s">
        <v>214</v>
      </c>
      <c r="G33" s="58">
        <v>0</v>
      </c>
      <c r="H33" s="58">
        <v>0</v>
      </c>
      <c r="I33" s="58">
        <v>0</v>
      </c>
      <c r="J33" s="58">
        <v>0</v>
      </c>
      <c r="K33">
        <v>0</v>
      </c>
      <c r="L33">
        <v>1</v>
      </c>
      <c r="M33" s="58">
        <v>0</v>
      </c>
      <c r="N33" s="58">
        <v>1</v>
      </c>
      <c r="O33" s="58">
        <v>0</v>
      </c>
      <c r="P33" s="51">
        <v>1</v>
      </c>
      <c r="Q33" s="58">
        <v>0</v>
      </c>
      <c r="R33" s="52">
        <v>1</v>
      </c>
      <c r="S33"/>
      <c r="T33"/>
    </row>
    <row r="34" spans="1:20" ht="15" customHeight="1" x14ac:dyDescent="0.15">
      <c r="A34" s="100"/>
      <c r="B34" s="70"/>
      <c r="C34" s="70"/>
      <c r="D34" s="70"/>
      <c r="E34" s="99"/>
      <c r="F34" s="120" t="s">
        <v>215</v>
      </c>
      <c r="G34" s="58">
        <v>0</v>
      </c>
      <c r="H34" s="58">
        <v>0</v>
      </c>
      <c r="I34" s="58">
        <v>0</v>
      </c>
      <c r="J34" s="58">
        <v>0</v>
      </c>
      <c r="K34">
        <v>0</v>
      </c>
      <c r="L34">
        <v>1</v>
      </c>
      <c r="M34" s="58">
        <v>0</v>
      </c>
      <c r="N34" s="58">
        <v>1</v>
      </c>
      <c r="O34" s="58">
        <v>0</v>
      </c>
      <c r="P34" s="51">
        <v>1</v>
      </c>
      <c r="Q34" s="58">
        <v>0</v>
      </c>
      <c r="R34" s="52">
        <v>1</v>
      </c>
      <c r="S34"/>
      <c r="T34"/>
    </row>
    <row r="35" spans="1:20" ht="15" customHeight="1" x14ac:dyDescent="0.15">
      <c r="A35" s="101"/>
      <c r="B35" s="70"/>
      <c r="C35" s="70"/>
      <c r="D35" s="70"/>
      <c r="E35" s="99"/>
      <c r="F35" s="120" t="s">
        <v>216</v>
      </c>
      <c r="G35" s="58">
        <v>0</v>
      </c>
      <c r="H35" s="58">
        <v>0</v>
      </c>
      <c r="I35" s="58">
        <v>0</v>
      </c>
      <c r="J35" s="58">
        <v>0</v>
      </c>
      <c r="K35" s="233">
        <v>1</v>
      </c>
      <c r="L35" s="233">
        <v>0</v>
      </c>
      <c r="M35" s="58">
        <v>0</v>
      </c>
      <c r="N35" s="58">
        <v>1</v>
      </c>
      <c r="O35" s="58">
        <v>1</v>
      </c>
      <c r="P35" s="51">
        <v>0</v>
      </c>
      <c r="Q35" s="58">
        <v>0</v>
      </c>
      <c r="R35" s="52">
        <v>0</v>
      </c>
      <c r="S35"/>
      <c r="T35"/>
    </row>
    <row r="36" spans="1:20" ht="15" customHeight="1" x14ac:dyDescent="0.15">
      <c r="A36" s="102"/>
      <c r="B36" s="70"/>
      <c r="C36" s="70"/>
      <c r="D36" s="70"/>
      <c r="E36" s="99"/>
      <c r="F36" s="120" t="s">
        <v>217</v>
      </c>
      <c r="G36" s="58">
        <v>0</v>
      </c>
      <c r="H36" s="58">
        <v>0</v>
      </c>
      <c r="I36" s="58">
        <v>0</v>
      </c>
      <c r="J36" s="58">
        <v>0</v>
      </c>
      <c r="K36" s="233">
        <v>0</v>
      </c>
      <c r="L36" s="233">
        <v>0</v>
      </c>
      <c r="M36" s="233">
        <v>1</v>
      </c>
      <c r="N36" s="233">
        <v>0</v>
      </c>
      <c r="O36" s="233">
        <v>0</v>
      </c>
      <c r="P36" s="233">
        <v>0</v>
      </c>
      <c r="Q36" s="58">
        <v>0</v>
      </c>
      <c r="R36" s="52">
        <v>0</v>
      </c>
      <c r="S36"/>
      <c r="T36"/>
    </row>
    <row r="37" spans="1:20" ht="15" customHeight="1" x14ac:dyDescent="0.15">
      <c r="A37" s="102"/>
      <c r="B37" s="70"/>
      <c r="C37" s="70"/>
      <c r="D37" s="70"/>
      <c r="E37" s="99"/>
      <c r="F37" s="120" t="s">
        <v>218</v>
      </c>
      <c r="G37" s="58">
        <v>0</v>
      </c>
      <c r="H37" s="58">
        <v>0</v>
      </c>
      <c r="I37" s="58">
        <v>0</v>
      </c>
      <c r="J37" s="58">
        <v>0</v>
      </c>
      <c r="K37" s="233">
        <v>0</v>
      </c>
      <c r="L37" s="233">
        <v>0</v>
      </c>
      <c r="M37" s="233">
        <v>0</v>
      </c>
      <c r="N37" s="233">
        <v>1</v>
      </c>
      <c r="O37" s="233">
        <v>0</v>
      </c>
      <c r="P37" s="233">
        <v>0</v>
      </c>
      <c r="Q37" s="58">
        <v>0</v>
      </c>
      <c r="R37" s="52">
        <v>1</v>
      </c>
      <c r="S37"/>
      <c r="T37"/>
    </row>
    <row r="38" spans="1:20" ht="15" customHeight="1" x14ac:dyDescent="0.15">
      <c r="A38" s="103"/>
      <c r="B38" s="70"/>
      <c r="C38" s="70"/>
      <c r="D38" s="70"/>
      <c r="E38" s="99"/>
      <c r="F38" s="120" t="s">
        <v>185</v>
      </c>
      <c r="G38" s="58">
        <v>0</v>
      </c>
      <c r="H38" s="58">
        <v>0</v>
      </c>
      <c r="I38" s="58">
        <v>0</v>
      </c>
      <c r="J38" s="58">
        <v>0</v>
      </c>
      <c r="K38" s="233">
        <v>0</v>
      </c>
      <c r="L38" s="233">
        <v>0</v>
      </c>
      <c r="M38" s="233">
        <v>0</v>
      </c>
      <c r="N38" s="233">
        <v>1</v>
      </c>
      <c r="O38" s="233">
        <v>1</v>
      </c>
      <c r="P38" s="233">
        <v>0</v>
      </c>
      <c r="Q38" s="58">
        <v>0</v>
      </c>
      <c r="R38" s="52">
        <v>0</v>
      </c>
      <c r="S38"/>
      <c r="T38"/>
    </row>
    <row r="39" spans="1:20" ht="15" customHeight="1" x14ac:dyDescent="0.15">
      <c r="A39" s="103"/>
      <c r="B39" s="70"/>
      <c r="C39" s="70"/>
      <c r="D39" s="70"/>
      <c r="E39" s="99"/>
      <c r="F39" s="121" t="s">
        <v>123</v>
      </c>
      <c r="G39" s="58">
        <v>0</v>
      </c>
      <c r="H39" s="58">
        <v>0</v>
      </c>
      <c r="I39" s="58">
        <v>0</v>
      </c>
      <c r="J39" s="58">
        <v>0</v>
      </c>
      <c r="K39" s="233">
        <v>0</v>
      </c>
      <c r="L39" s="233">
        <v>0</v>
      </c>
      <c r="M39" s="233">
        <v>0</v>
      </c>
      <c r="N39" s="233">
        <v>1</v>
      </c>
      <c r="O39" s="233">
        <v>0</v>
      </c>
      <c r="P39" s="233">
        <v>1</v>
      </c>
      <c r="Q39" s="58">
        <v>0</v>
      </c>
      <c r="R39" s="52">
        <v>1</v>
      </c>
      <c r="S39"/>
      <c r="T39"/>
    </row>
    <row r="40" spans="1:20" ht="15" customHeight="1" x14ac:dyDescent="0.2">
      <c r="A40" s="103"/>
      <c r="B40" s="70"/>
      <c r="C40" s="70"/>
      <c r="D40" s="70"/>
      <c r="E40" s="99"/>
      <c r="F40" s="125" t="s">
        <v>224</v>
      </c>
      <c r="G40" s="58">
        <v>0</v>
      </c>
      <c r="H40" s="58">
        <v>0</v>
      </c>
      <c r="I40" s="58">
        <v>0</v>
      </c>
      <c r="J40" s="58">
        <v>0</v>
      </c>
      <c r="K40" s="233">
        <v>0</v>
      </c>
      <c r="L40" s="233">
        <v>1</v>
      </c>
      <c r="M40" s="233">
        <v>0</v>
      </c>
      <c r="N40" s="233">
        <v>0</v>
      </c>
      <c r="O40" s="233">
        <v>0</v>
      </c>
      <c r="P40" s="233">
        <v>0</v>
      </c>
      <c r="Q40" s="58">
        <v>0</v>
      </c>
      <c r="R40" s="52">
        <v>1</v>
      </c>
      <c r="S40"/>
      <c r="T40"/>
    </row>
    <row r="41" spans="1:20" ht="15" customHeight="1" thickBot="1" x14ac:dyDescent="0.25">
      <c r="A41" s="103"/>
      <c r="B41" s="70"/>
      <c r="C41" s="70"/>
      <c r="D41" s="71"/>
      <c r="E41" s="104"/>
      <c r="F41" s="125" t="s">
        <v>225</v>
      </c>
      <c r="G41" s="58">
        <v>0</v>
      </c>
      <c r="H41" s="58">
        <v>0</v>
      </c>
      <c r="I41" s="58">
        <v>0</v>
      </c>
      <c r="J41" s="58">
        <v>0</v>
      </c>
      <c r="K41" s="233">
        <v>0</v>
      </c>
      <c r="L41" s="233">
        <v>1</v>
      </c>
      <c r="M41" s="233">
        <v>0</v>
      </c>
      <c r="N41" s="233">
        <v>0</v>
      </c>
      <c r="O41" s="233">
        <v>0</v>
      </c>
      <c r="P41" s="233">
        <v>0</v>
      </c>
      <c r="Q41" s="58">
        <v>0</v>
      </c>
      <c r="R41" s="52">
        <v>1</v>
      </c>
      <c r="S41"/>
      <c r="T41"/>
    </row>
    <row r="42" spans="1:20" ht="15" customHeight="1" x14ac:dyDescent="0.2">
      <c r="A42" s="105"/>
      <c r="B42" s="106"/>
      <c r="C42" s="106" t="s">
        <v>162</v>
      </c>
      <c r="D42" s="106">
        <f>SUM(D32:D41)</f>
        <v>2955.5852508544922</v>
      </c>
      <c r="E42" s="107">
        <f>SUM(E32:E41)</f>
        <v>1</v>
      </c>
      <c r="F42" s="125" t="s">
        <v>226</v>
      </c>
      <c r="G42" s="58">
        <v>0</v>
      </c>
      <c r="H42" s="58">
        <v>0</v>
      </c>
      <c r="I42" s="58">
        <v>0</v>
      </c>
      <c r="J42" s="58">
        <v>0</v>
      </c>
      <c r="K42" s="233">
        <v>0</v>
      </c>
      <c r="L42" s="233">
        <v>1</v>
      </c>
      <c r="M42" s="233">
        <v>0</v>
      </c>
      <c r="N42" s="233">
        <v>0</v>
      </c>
      <c r="O42" s="233">
        <v>0</v>
      </c>
      <c r="P42" s="233">
        <v>0</v>
      </c>
      <c r="Q42" s="58">
        <v>0</v>
      </c>
      <c r="R42" s="52">
        <v>1</v>
      </c>
      <c r="S42"/>
      <c r="T42"/>
    </row>
    <row r="43" spans="1:20" ht="15" customHeight="1" x14ac:dyDescent="0.2">
      <c r="A43" s="58"/>
      <c r="F43" s="125" t="s">
        <v>227</v>
      </c>
      <c r="G43" s="58">
        <v>0</v>
      </c>
      <c r="H43" s="58">
        <v>0</v>
      </c>
      <c r="I43" s="58">
        <v>0</v>
      </c>
      <c r="J43" s="58">
        <v>0</v>
      </c>
      <c r="K43" s="233">
        <v>0</v>
      </c>
      <c r="L43" s="233">
        <v>1</v>
      </c>
      <c r="M43" s="233">
        <v>0</v>
      </c>
      <c r="N43" s="233">
        <v>0</v>
      </c>
      <c r="O43" s="233">
        <v>0</v>
      </c>
      <c r="P43" s="233">
        <v>0</v>
      </c>
      <c r="Q43" s="58">
        <v>0</v>
      </c>
      <c r="R43" s="52">
        <v>1</v>
      </c>
      <c r="S43"/>
      <c r="T43"/>
    </row>
    <row r="44" spans="1:20" ht="15" customHeight="1" x14ac:dyDescent="0.2">
      <c r="A44" s="58"/>
      <c r="F44" s="125" t="s">
        <v>228</v>
      </c>
      <c r="G44" s="58">
        <v>0</v>
      </c>
      <c r="H44" s="58">
        <v>0</v>
      </c>
      <c r="I44" s="58">
        <v>0</v>
      </c>
      <c r="J44" s="58">
        <v>0</v>
      </c>
      <c r="K44" s="233">
        <v>0</v>
      </c>
      <c r="L44" s="233">
        <v>1</v>
      </c>
      <c r="M44" s="233">
        <v>0</v>
      </c>
      <c r="N44" s="233">
        <v>0</v>
      </c>
      <c r="O44" s="233">
        <v>0</v>
      </c>
      <c r="P44" s="233">
        <v>0</v>
      </c>
      <c r="Q44" s="58">
        <v>0</v>
      </c>
      <c r="R44" s="52">
        <v>1</v>
      </c>
    </row>
    <row r="45" spans="1:20" ht="15" customHeight="1" x14ac:dyDescent="0.2">
      <c r="A45" s="58"/>
      <c r="F45" s="125" t="s">
        <v>229</v>
      </c>
      <c r="G45" s="58">
        <v>0</v>
      </c>
      <c r="H45" s="58">
        <v>0</v>
      </c>
      <c r="I45" s="58">
        <v>0</v>
      </c>
      <c r="J45" s="58">
        <v>0</v>
      </c>
      <c r="K45" s="233">
        <v>0</v>
      </c>
      <c r="L45" s="233">
        <v>1</v>
      </c>
      <c r="M45" s="233">
        <v>0</v>
      </c>
      <c r="N45" s="233">
        <v>0</v>
      </c>
      <c r="O45" s="233">
        <v>0</v>
      </c>
      <c r="P45" s="233">
        <v>0</v>
      </c>
      <c r="Q45" s="58">
        <v>0</v>
      </c>
      <c r="R45" s="52">
        <v>1</v>
      </c>
    </row>
    <row r="46" spans="1:20" ht="15" customHeight="1" x14ac:dyDescent="0.2">
      <c r="A46" s="58"/>
      <c r="F46" s="125" t="s">
        <v>230</v>
      </c>
      <c r="G46" s="58">
        <v>0</v>
      </c>
      <c r="H46" s="58">
        <v>0</v>
      </c>
      <c r="I46" s="58">
        <v>0</v>
      </c>
      <c r="J46" s="58">
        <v>0</v>
      </c>
      <c r="K46" s="233">
        <v>0</v>
      </c>
      <c r="L46" s="233">
        <v>1</v>
      </c>
      <c r="M46" s="233">
        <v>0</v>
      </c>
      <c r="N46" s="233">
        <v>0</v>
      </c>
      <c r="O46" s="233">
        <v>0</v>
      </c>
      <c r="P46" s="233">
        <v>0</v>
      </c>
      <c r="Q46" s="58">
        <v>0</v>
      </c>
      <c r="R46" s="52">
        <v>1</v>
      </c>
    </row>
    <row r="47" spans="1:20" ht="15" customHeight="1" x14ac:dyDescent="0.2">
      <c r="A47" s="58"/>
      <c r="F47" s="125" t="s">
        <v>231</v>
      </c>
      <c r="G47" s="58">
        <v>0</v>
      </c>
      <c r="H47" s="58">
        <v>0</v>
      </c>
      <c r="I47" s="58">
        <v>0</v>
      </c>
      <c r="J47" s="58">
        <v>0</v>
      </c>
      <c r="K47" s="233">
        <v>0</v>
      </c>
      <c r="L47" s="233">
        <v>1</v>
      </c>
      <c r="M47" s="233">
        <v>0</v>
      </c>
      <c r="N47" s="233">
        <v>0</v>
      </c>
      <c r="O47" s="233">
        <v>0</v>
      </c>
      <c r="P47" s="233">
        <v>0</v>
      </c>
      <c r="Q47" s="58">
        <v>0</v>
      </c>
      <c r="R47" s="52">
        <v>1</v>
      </c>
    </row>
    <row r="48" spans="1:20" ht="15" customHeight="1" x14ac:dyDescent="0.2">
      <c r="A48" s="58"/>
      <c r="F48" s="125" t="s">
        <v>232</v>
      </c>
      <c r="G48" s="58">
        <v>0</v>
      </c>
      <c r="H48" s="58">
        <v>0</v>
      </c>
      <c r="I48" s="58">
        <v>0</v>
      </c>
      <c r="J48" s="58">
        <v>0</v>
      </c>
      <c r="K48" s="233">
        <v>0</v>
      </c>
      <c r="L48" s="233">
        <v>1</v>
      </c>
      <c r="M48" s="233">
        <v>0</v>
      </c>
      <c r="N48" s="233">
        <v>0</v>
      </c>
      <c r="O48" s="233">
        <v>0</v>
      </c>
      <c r="P48" s="233">
        <v>0</v>
      </c>
      <c r="Q48" s="58">
        <v>0</v>
      </c>
      <c r="R48" s="52">
        <v>1</v>
      </c>
    </row>
    <row r="49" spans="6:18" s="58" customFormat="1" ht="15" customHeight="1" x14ac:dyDescent="0.2">
      <c r="F49" s="125" t="s">
        <v>233</v>
      </c>
      <c r="G49" s="58">
        <v>0</v>
      </c>
      <c r="H49" s="58">
        <v>0</v>
      </c>
      <c r="I49" s="58">
        <v>0</v>
      </c>
      <c r="J49" s="58">
        <v>0</v>
      </c>
      <c r="K49" s="233">
        <v>0</v>
      </c>
      <c r="L49" s="233">
        <v>1</v>
      </c>
      <c r="M49" s="233">
        <v>0</v>
      </c>
      <c r="N49" s="233">
        <v>0</v>
      </c>
      <c r="O49" s="233">
        <v>0</v>
      </c>
      <c r="P49" s="233">
        <v>0</v>
      </c>
      <c r="Q49" s="58">
        <v>0</v>
      </c>
      <c r="R49" s="52">
        <v>1</v>
      </c>
    </row>
    <row r="50" spans="6:18" s="58" customFormat="1" ht="15" customHeight="1" x14ac:dyDescent="0.2">
      <c r="F50" s="125" t="s">
        <v>235</v>
      </c>
      <c r="G50" s="58">
        <v>0</v>
      </c>
      <c r="H50" s="58">
        <v>0</v>
      </c>
      <c r="I50" s="58">
        <v>0</v>
      </c>
      <c r="J50" s="58">
        <v>0</v>
      </c>
      <c r="K50" s="233">
        <v>0</v>
      </c>
      <c r="L50" s="233">
        <v>1</v>
      </c>
      <c r="M50" s="233">
        <v>0</v>
      </c>
      <c r="N50" s="233">
        <v>0</v>
      </c>
      <c r="O50" s="233">
        <v>0</v>
      </c>
      <c r="P50" s="233">
        <v>0</v>
      </c>
      <c r="Q50" s="58">
        <v>0</v>
      </c>
      <c r="R50" s="52">
        <v>1</v>
      </c>
    </row>
    <row r="51" spans="6:18" s="58" customFormat="1" ht="15" customHeight="1" x14ac:dyDescent="0.2">
      <c r="F51" s="125" t="s">
        <v>234</v>
      </c>
      <c r="G51" s="58">
        <v>0</v>
      </c>
      <c r="H51" s="58">
        <v>0</v>
      </c>
      <c r="I51" s="58">
        <v>0</v>
      </c>
      <c r="J51" s="58">
        <v>0</v>
      </c>
      <c r="K51" s="233">
        <v>0</v>
      </c>
      <c r="L51" s="233">
        <v>1</v>
      </c>
      <c r="M51" s="233">
        <v>0</v>
      </c>
      <c r="N51" s="233">
        <v>0</v>
      </c>
      <c r="O51" s="233">
        <v>0</v>
      </c>
      <c r="P51" s="233">
        <v>0</v>
      </c>
      <c r="Q51" s="58">
        <v>0</v>
      </c>
      <c r="R51" s="52">
        <v>1</v>
      </c>
    </row>
    <row r="52" spans="6:18" s="58" customFormat="1" ht="15" customHeight="1" x14ac:dyDescent="0.2">
      <c r="F52" s="125" t="s">
        <v>236</v>
      </c>
      <c r="G52" s="58">
        <v>0</v>
      </c>
      <c r="H52" s="58">
        <v>0</v>
      </c>
      <c r="I52" s="58">
        <v>0</v>
      </c>
      <c r="J52" s="58">
        <v>0</v>
      </c>
      <c r="K52" s="233">
        <v>0</v>
      </c>
      <c r="L52" s="233">
        <v>1</v>
      </c>
      <c r="M52" s="233">
        <v>0</v>
      </c>
      <c r="N52" s="233">
        <v>0</v>
      </c>
      <c r="O52" s="233">
        <v>0</v>
      </c>
      <c r="P52" s="233">
        <v>0</v>
      </c>
      <c r="Q52" s="58">
        <v>0</v>
      </c>
      <c r="R52" s="52">
        <v>1</v>
      </c>
    </row>
    <row r="53" spans="6:18" s="58" customFormat="1" ht="15" customHeight="1" x14ac:dyDescent="0.2">
      <c r="F53" s="125" t="s">
        <v>237</v>
      </c>
      <c r="G53" s="58">
        <v>0</v>
      </c>
      <c r="H53" s="58">
        <v>0</v>
      </c>
      <c r="I53" s="58">
        <v>0</v>
      </c>
      <c r="J53" s="58">
        <v>0</v>
      </c>
      <c r="K53" s="233">
        <v>0</v>
      </c>
      <c r="L53" s="233">
        <v>1</v>
      </c>
      <c r="M53" s="233">
        <v>0</v>
      </c>
      <c r="N53" s="233">
        <v>0</v>
      </c>
      <c r="O53" s="233">
        <v>0</v>
      </c>
      <c r="P53" s="233">
        <v>0</v>
      </c>
      <c r="Q53" s="58">
        <v>0</v>
      </c>
      <c r="R53" s="52">
        <v>1</v>
      </c>
    </row>
    <row r="54" spans="6:18" s="58" customFormat="1" ht="15" customHeight="1" x14ac:dyDescent="0.2">
      <c r="F54" s="125" t="s">
        <v>238</v>
      </c>
      <c r="G54" s="58">
        <v>0</v>
      </c>
      <c r="H54" s="58">
        <v>0</v>
      </c>
      <c r="I54" s="58">
        <v>0</v>
      </c>
      <c r="J54" s="58">
        <v>0</v>
      </c>
      <c r="K54" s="233">
        <v>0</v>
      </c>
      <c r="L54" s="233">
        <v>1</v>
      </c>
      <c r="M54" s="233">
        <v>0</v>
      </c>
      <c r="N54" s="233">
        <v>0</v>
      </c>
      <c r="O54" s="233">
        <v>0</v>
      </c>
      <c r="P54" s="233">
        <v>0</v>
      </c>
      <c r="Q54" s="58">
        <v>0</v>
      </c>
      <c r="R54" s="52">
        <v>1</v>
      </c>
    </row>
    <row r="55" spans="6:18" s="58" customFormat="1" ht="15" customHeight="1" x14ac:dyDescent="0.2">
      <c r="F55" s="125" t="s">
        <v>239</v>
      </c>
      <c r="G55" s="58">
        <v>0</v>
      </c>
      <c r="H55" s="58">
        <v>0</v>
      </c>
      <c r="I55" s="58">
        <v>0</v>
      </c>
      <c r="J55" s="58">
        <v>0</v>
      </c>
      <c r="K55" s="233">
        <v>0</v>
      </c>
      <c r="L55" s="233">
        <v>1</v>
      </c>
      <c r="M55" s="233">
        <v>0</v>
      </c>
      <c r="N55" s="233">
        <v>0</v>
      </c>
      <c r="O55" s="233">
        <v>0</v>
      </c>
      <c r="P55" s="233">
        <v>0</v>
      </c>
      <c r="Q55" s="58">
        <v>0</v>
      </c>
      <c r="R55" s="52">
        <v>1</v>
      </c>
    </row>
    <row r="56" spans="6:18" s="58" customFormat="1" ht="15" customHeight="1" x14ac:dyDescent="0.2">
      <c r="F56" s="125" t="s">
        <v>240</v>
      </c>
      <c r="G56" s="58">
        <v>0</v>
      </c>
      <c r="H56" s="58">
        <v>0</v>
      </c>
      <c r="I56" s="58">
        <v>0</v>
      </c>
      <c r="J56" s="58">
        <v>0</v>
      </c>
      <c r="K56" s="233">
        <v>0</v>
      </c>
      <c r="L56" s="233">
        <v>1</v>
      </c>
      <c r="M56" s="233">
        <v>0</v>
      </c>
      <c r="N56" s="233">
        <v>0</v>
      </c>
      <c r="O56" s="233">
        <v>0</v>
      </c>
      <c r="P56" s="233">
        <v>0</v>
      </c>
      <c r="Q56" s="58">
        <v>0</v>
      </c>
      <c r="R56" s="52">
        <v>1</v>
      </c>
    </row>
    <row r="57" spans="6:18" s="58" customFormat="1" ht="15" customHeight="1" x14ac:dyDescent="0.2">
      <c r="F57" s="125" t="s">
        <v>241</v>
      </c>
      <c r="G57" s="58">
        <v>0</v>
      </c>
      <c r="H57" s="58">
        <v>0</v>
      </c>
      <c r="I57" s="58">
        <v>0</v>
      </c>
      <c r="J57" s="58">
        <v>0</v>
      </c>
      <c r="K57" s="233">
        <v>0</v>
      </c>
      <c r="L57" s="233">
        <v>1</v>
      </c>
      <c r="M57" s="233">
        <v>0</v>
      </c>
      <c r="N57" s="233">
        <v>0</v>
      </c>
      <c r="O57" s="233">
        <v>0</v>
      </c>
      <c r="P57" s="233">
        <v>0</v>
      </c>
      <c r="Q57" s="58">
        <v>0</v>
      </c>
      <c r="R57" s="52">
        <v>1</v>
      </c>
    </row>
    <row r="58" spans="6:18" s="58" customFormat="1" ht="15" customHeight="1" x14ac:dyDescent="0.2">
      <c r="F58" s="125" t="s">
        <v>242</v>
      </c>
      <c r="G58" s="58">
        <v>0</v>
      </c>
      <c r="H58" s="58">
        <v>0</v>
      </c>
      <c r="I58" s="58">
        <v>0</v>
      </c>
      <c r="J58" s="58">
        <v>0</v>
      </c>
      <c r="K58" s="233">
        <v>0</v>
      </c>
      <c r="L58" s="233">
        <v>1</v>
      </c>
      <c r="M58" s="233">
        <v>0</v>
      </c>
      <c r="N58" s="233">
        <v>0</v>
      </c>
      <c r="O58" s="233">
        <v>0</v>
      </c>
      <c r="P58" s="233">
        <v>0</v>
      </c>
      <c r="Q58" s="58">
        <v>0</v>
      </c>
      <c r="R58" s="52">
        <v>1</v>
      </c>
    </row>
    <row r="59" spans="6:18" s="58" customFormat="1" ht="15" customHeight="1" x14ac:dyDescent="0.2">
      <c r="F59" s="125" t="s">
        <v>243</v>
      </c>
      <c r="G59" s="58">
        <v>0</v>
      </c>
      <c r="H59" s="58">
        <v>0</v>
      </c>
      <c r="I59" s="58">
        <v>0</v>
      </c>
      <c r="J59" s="58">
        <v>0</v>
      </c>
      <c r="K59" s="233">
        <v>0</v>
      </c>
      <c r="L59" s="233">
        <v>1</v>
      </c>
      <c r="M59" s="233">
        <v>0</v>
      </c>
      <c r="N59" s="233">
        <v>0</v>
      </c>
      <c r="O59" s="233">
        <v>0</v>
      </c>
      <c r="P59" s="233">
        <v>0</v>
      </c>
      <c r="Q59" s="58">
        <v>0</v>
      </c>
      <c r="R59" s="52">
        <v>1</v>
      </c>
    </row>
    <row r="60" spans="6:18" s="58" customFormat="1" ht="15" customHeight="1" x14ac:dyDescent="0.2">
      <c r="F60" s="125" t="s">
        <v>244</v>
      </c>
      <c r="G60" s="58">
        <v>0</v>
      </c>
      <c r="H60" s="58">
        <v>0</v>
      </c>
      <c r="I60" s="58">
        <v>0</v>
      </c>
      <c r="J60" s="58">
        <v>0</v>
      </c>
      <c r="K60" s="233">
        <v>0</v>
      </c>
      <c r="L60" s="233">
        <v>1</v>
      </c>
      <c r="M60" s="233">
        <v>0</v>
      </c>
      <c r="N60" s="233">
        <v>0</v>
      </c>
      <c r="O60" s="233">
        <v>0</v>
      </c>
      <c r="P60" s="233">
        <v>0</v>
      </c>
      <c r="Q60" s="58">
        <v>0</v>
      </c>
      <c r="R60" s="52">
        <v>1</v>
      </c>
    </row>
    <row r="61" spans="6:18" s="58" customFormat="1" ht="15" customHeight="1" x14ac:dyDescent="0.2">
      <c r="F61" s="125" t="s">
        <v>245</v>
      </c>
      <c r="G61" s="58">
        <v>0</v>
      </c>
      <c r="H61" s="58">
        <v>0</v>
      </c>
      <c r="I61" s="58">
        <v>0</v>
      </c>
      <c r="J61" s="58">
        <v>0</v>
      </c>
      <c r="K61" s="233">
        <v>0</v>
      </c>
      <c r="L61" s="233">
        <v>1</v>
      </c>
      <c r="M61" s="233">
        <v>0</v>
      </c>
      <c r="N61" s="233">
        <v>0</v>
      </c>
      <c r="O61" s="233">
        <v>0</v>
      </c>
      <c r="P61" s="233">
        <v>0</v>
      </c>
      <c r="Q61" s="58">
        <v>0</v>
      </c>
      <c r="R61" s="52">
        <v>1</v>
      </c>
    </row>
    <row r="62" spans="6:18" s="58" customFormat="1" ht="15" customHeight="1" x14ac:dyDescent="0.2">
      <c r="F62" s="125" t="s">
        <v>246</v>
      </c>
      <c r="G62" s="58">
        <v>0</v>
      </c>
      <c r="H62" s="58">
        <v>0</v>
      </c>
      <c r="I62" s="58">
        <v>0</v>
      </c>
      <c r="J62" s="58">
        <v>0</v>
      </c>
      <c r="K62" s="233">
        <v>0</v>
      </c>
      <c r="L62" s="233">
        <v>1</v>
      </c>
      <c r="M62" s="233">
        <v>0</v>
      </c>
      <c r="N62" s="233">
        <v>0</v>
      </c>
      <c r="O62" s="233">
        <v>0</v>
      </c>
      <c r="P62" s="233">
        <v>0</v>
      </c>
      <c r="Q62" s="58">
        <v>0</v>
      </c>
      <c r="R62" s="52">
        <v>1</v>
      </c>
    </row>
    <row r="63" spans="6:18" s="58" customFormat="1" ht="15" customHeight="1" x14ac:dyDescent="0.2">
      <c r="F63" s="125" t="s">
        <v>247</v>
      </c>
      <c r="G63" s="58">
        <v>0</v>
      </c>
      <c r="H63" s="58">
        <v>0</v>
      </c>
      <c r="I63" s="58">
        <v>0</v>
      </c>
      <c r="J63" s="58">
        <v>0</v>
      </c>
      <c r="K63" s="233">
        <v>0</v>
      </c>
      <c r="L63" s="233">
        <v>1</v>
      </c>
      <c r="M63" s="233">
        <v>0</v>
      </c>
      <c r="N63" s="233">
        <v>0</v>
      </c>
      <c r="O63" s="233">
        <v>0</v>
      </c>
      <c r="P63" s="233">
        <v>0</v>
      </c>
      <c r="Q63" s="58">
        <v>0</v>
      </c>
      <c r="R63" s="52">
        <v>1</v>
      </c>
    </row>
    <row r="64" spans="6:18" s="58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58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58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5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58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58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58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58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58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58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58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58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58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5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58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58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58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58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58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58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58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58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58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5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58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58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58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58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58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58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58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58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58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58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58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58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58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58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58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58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58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58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58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58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58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58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58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58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58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58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58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58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58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58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58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58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58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58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58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58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58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58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58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58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58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58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58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58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58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58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58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58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58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58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58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58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58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58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58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58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58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58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58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58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58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58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58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58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58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58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58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58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58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58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58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58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58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58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58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58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58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58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58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58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58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58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58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N192"/>
  <sheetViews>
    <sheetView workbookViewId="0">
      <pane xSplit="1" ySplit="1" topLeftCell="B35" activePane="bottomRight" state="frozen"/>
      <selection pane="topRight" activeCell="B1" sqref="B1"/>
      <selection pane="bottomLeft" activeCell="A2" sqref="A2"/>
      <selection pane="bottomRight" activeCell="A62" sqref="A62"/>
    </sheetView>
  </sheetViews>
  <sheetFormatPr baseColWidth="10" defaultColWidth="8.83203125" defaultRowHeight="13" x14ac:dyDescent="0.15"/>
  <cols>
    <col min="1" max="1" width="26.5" bestFit="1" customWidth="1"/>
    <col min="2" max="2" width="5.6640625" style="83" customWidth="1"/>
    <col min="3" max="5" width="7.83203125" style="83" customWidth="1"/>
    <col min="6" max="8" width="8.83203125" style="6"/>
    <col min="9" max="9" width="6.83203125" style="6" customWidth="1"/>
    <col min="10" max="10" width="26.5" style="6" customWidth="1"/>
    <col min="11" max="11" width="16.1640625" style="6" customWidth="1"/>
    <col min="12" max="12" width="19.83203125" style="6" customWidth="1"/>
    <col min="13" max="13" width="17.5" style="6" customWidth="1"/>
    <col min="14" max="14" width="16.5" style="6" customWidth="1"/>
    <col min="15" max="15" width="11.33203125" style="6" customWidth="1"/>
    <col min="16" max="16" width="13.1640625" style="6" customWidth="1"/>
    <col min="17" max="17" width="7.6640625" style="6" customWidth="1"/>
    <col min="18" max="18" width="21.6640625" style="6" customWidth="1"/>
    <col min="19" max="38" width="8.83203125" style="6"/>
    <col min="81" max="81" width="22.1640625" bestFit="1" customWidth="1"/>
  </cols>
  <sheetData>
    <row r="1" spans="1:66" x14ac:dyDescent="0.15">
      <c r="A1" s="4" t="s">
        <v>156</v>
      </c>
      <c r="B1" s="23" t="s">
        <v>157</v>
      </c>
      <c r="C1" s="23" t="s">
        <v>17</v>
      </c>
      <c r="D1" s="23" t="s">
        <v>158</v>
      </c>
      <c r="E1" s="23" t="s">
        <v>159</v>
      </c>
      <c r="F1"/>
      <c r="G1"/>
      <c r="H1"/>
      <c r="I1" s="115" t="s">
        <v>189</v>
      </c>
      <c r="J1" s="115" t="s">
        <v>221</v>
      </c>
      <c r="K1" s="115" t="s">
        <v>190</v>
      </c>
      <c r="L1" s="115" t="s">
        <v>191</v>
      </c>
      <c r="M1" s="115" t="s">
        <v>192</v>
      </c>
      <c r="N1" s="115" t="s">
        <v>193</v>
      </c>
      <c r="O1" s="115" t="s">
        <v>194</v>
      </c>
      <c r="P1" s="115" t="s">
        <v>195</v>
      </c>
      <c r="Q1" s="115" t="s">
        <v>196</v>
      </c>
      <c r="R1" s="115" t="s">
        <v>197</v>
      </c>
      <c r="S1" s="116" t="s">
        <v>198</v>
      </c>
      <c r="T1" t="s">
        <v>199</v>
      </c>
      <c r="U1" t="s">
        <v>200</v>
      </c>
      <c r="V1" t="s">
        <v>201</v>
      </c>
      <c r="W1" t="s">
        <v>273</v>
      </c>
      <c r="X1" t="s">
        <v>202</v>
      </c>
      <c r="Y1" t="s">
        <v>203</v>
      </c>
      <c r="Z1" t="s">
        <v>204</v>
      </c>
      <c r="AA1" t="s">
        <v>205</v>
      </c>
      <c r="AB1" t="s">
        <v>206</v>
      </c>
      <c r="AC1" t="s">
        <v>207</v>
      </c>
      <c r="AD1" t="s">
        <v>208</v>
      </c>
      <c r="AE1" t="s">
        <v>209</v>
      </c>
      <c r="AF1" t="s">
        <v>210</v>
      </c>
      <c r="AG1" t="s">
        <v>211</v>
      </c>
      <c r="AH1" t="s">
        <v>212</v>
      </c>
      <c r="AI1" t="s">
        <v>213</v>
      </c>
      <c r="AJ1" t="s">
        <v>214</v>
      </c>
      <c r="AK1" t="s">
        <v>215</v>
      </c>
      <c r="AL1" t="s">
        <v>216</v>
      </c>
      <c r="AM1" t="s">
        <v>217</v>
      </c>
      <c r="AN1" t="s">
        <v>218</v>
      </c>
      <c r="AO1" t="s">
        <v>185</v>
      </c>
      <c r="AP1" t="s">
        <v>123</v>
      </c>
      <c r="AQ1" t="s">
        <v>224</v>
      </c>
      <c r="AR1" t="s">
        <v>225</v>
      </c>
      <c r="AS1" t="s">
        <v>226</v>
      </c>
      <c r="AT1" t="s">
        <v>227</v>
      </c>
      <c r="AU1" t="s">
        <v>228</v>
      </c>
      <c r="AV1" t="s">
        <v>229</v>
      </c>
      <c r="AW1" t="s">
        <v>230</v>
      </c>
      <c r="AX1" t="s">
        <v>231</v>
      </c>
      <c r="AY1" t="s">
        <v>232</v>
      </c>
      <c r="AZ1" t="s">
        <v>233</v>
      </c>
      <c r="BA1" t="s">
        <v>235</v>
      </c>
      <c r="BB1" t="s">
        <v>234</v>
      </c>
      <c r="BC1" t="s">
        <v>236</v>
      </c>
      <c r="BD1" t="s">
        <v>237</v>
      </c>
      <c r="BE1" t="s">
        <v>238</v>
      </c>
      <c r="BF1" t="s">
        <v>239</v>
      </c>
      <c r="BG1" t="s">
        <v>240</v>
      </c>
      <c r="BH1" t="s">
        <v>241</v>
      </c>
      <c r="BI1" t="s">
        <v>242</v>
      </c>
      <c r="BJ1" t="s">
        <v>243</v>
      </c>
      <c r="BK1" t="s">
        <v>244</v>
      </c>
      <c r="BL1" t="s">
        <v>245</v>
      </c>
      <c r="BM1" t="s">
        <v>246</v>
      </c>
      <c r="BN1" t="s">
        <v>247</v>
      </c>
    </row>
    <row r="2" spans="1:66" ht="16" x14ac:dyDescent="0.15">
      <c r="A2" s="120" t="s">
        <v>189</v>
      </c>
      <c r="B2" s="8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66" ht="16" x14ac:dyDescent="0.15">
      <c r="A3" s="120" t="s">
        <v>221</v>
      </c>
      <c r="B3" s="8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66" ht="16" x14ac:dyDescent="0.15">
      <c r="A4" s="120" t="s">
        <v>190</v>
      </c>
      <c r="B4" s="8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66" ht="16" x14ac:dyDescent="0.15">
      <c r="A5" s="120" t="s">
        <v>191</v>
      </c>
      <c r="B5" s="8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66" ht="16" x14ac:dyDescent="0.15">
      <c r="A6" s="120" t="s">
        <v>192</v>
      </c>
      <c r="B6" s="8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66" ht="16" x14ac:dyDescent="0.15">
      <c r="A7" s="120" t="s">
        <v>193</v>
      </c>
      <c r="B7" s="8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66" ht="16" x14ac:dyDescent="0.15">
      <c r="A8" s="120" t="s">
        <v>194</v>
      </c>
      <c r="B8" s="8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66" ht="16" x14ac:dyDescent="0.15">
      <c r="A9" s="120" t="s">
        <v>195</v>
      </c>
      <c r="B9" s="8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66" ht="16" x14ac:dyDescent="0.15">
      <c r="A10" s="120" t="s">
        <v>196</v>
      </c>
      <c r="B10" s="8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66" ht="16" x14ac:dyDescent="0.15">
      <c r="A11" s="120" t="s">
        <v>197</v>
      </c>
      <c r="B11" s="8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66" ht="16" x14ac:dyDescent="0.15">
      <c r="A12" s="120" t="s">
        <v>198</v>
      </c>
      <c r="B12" s="8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66" ht="16" x14ac:dyDescent="0.15">
      <c r="A13" s="120" t="s">
        <v>199</v>
      </c>
      <c r="B13" s="8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66" ht="16" x14ac:dyDescent="0.15">
      <c r="A14" s="120" t="s">
        <v>200</v>
      </c>
      <c r="B14" s="8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66" ht="16" x14ac:dyDescent="0.15">
      <c r="A15" s="120" t="s">
        <v>201</v>
      </c>
      <c r="B15" s="8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66" ht="16" x14ac:dyDescent="0.15">
      <c r="A16" s="120" t="s">
        <v>273</v>
      </c>
      <c r="B16" s="8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20" t="s">
        <v>202</v>
      </c>
      <c r="B17" s="8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20" t="s">
        <v>203</v>
      </c>
      <c r="B18" s="8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20" t="s">
        <v>204</v>
      </c>
      <c r="B19" s="8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20" t="s">
        <v>205</v>
      </c>
      <c r="B20" s="8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20" t="s">
        <v>206</v>
      </c>
      <c r="B21" s="8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20" t="s">
        <v>207</v>
      </c>
      <c r="B22" s="8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20" t="s">
        <v>208</v>
      </c>
      <c r="B23" s="8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20" t="s">
        <v>209</v>
      </c>
      <c r="B24" s="8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20" t="s">
        <v>210</v>
      </c>
      <c r="B25" s="8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20" t="s">
        <v>211</v>
      </c>
      <c r="B26" s="8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20" t="s">
        <v>212</v>
      </c>
      <c r="B27" s="8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20" t="s">
        <v>213</v>
      </c>
      <c r="B28" s="8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20" t="s">
        <v>214</v>
      </c>
      <c r="B29" s="8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20" t="s">
        <v>215</v>
      </c>
      <c r="B30" s="8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20" t="s">
        <v>216</v>
      </c>
      <c r="B31" s="8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20" t="s">
        <v>217</v>
      </c>
      <c r="B32" s="8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20" t="s">
        <v>218</v>
      </c>
      <c r="B33" s="8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20" t="s">
        <v>185</v>
      </c>
      <c r="B34" s="8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21" t="s">
        <v>123</v>
      </c>
      <c r="B35" s="8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t="s">
        <v>224</v>
      </c>
      <c r="B36" s="83">
        <v>0</v>
      </c>
      <c r="C36"/>
      <c r="D36"/>
    </row>
    <row r="37" spans="1:38" ht="15" customHeight="1" x14ac:dyDescent="0.15">
      <c r="A37" t="s">
        <v>225</v>
      </c>
      <c r="B37" s="83">
        <v>0</v>
      </c>
      <c r="C37"/>
      <c r="D37"/>
    </row>
    <row r="38" spans="1:38" ht="15" customHeight="1" x14ac:dyDescent="0.15">
      <c r="A38" t="s">
        <v>226</v>
      </c>
      <c r="B38" s="8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t="s">
        <v>227</v>
      </c>
      <c r="B39" s="83">
        <v>0</v>
      </c>
      <c r="C39"/>
      <c r="D39"/>
    </row>
    <row r="40" spans="1:38" ht="15" customHeight="1" x14ac:dyDescent="0.15">
      <c r="A40" t="s">
        <v>228</v>
      </c>
      <c r="B40" s="83">
        <v>0</v>
      </c>
      <c r="C40"/>
      <c r="D40"/>
    </row>
    <row r="41" spans="1:38" ht="15" customHeight="1" x14ac:dyDescent="0.15">
      <c r="A41" t="s">
        <v>229</v>
      </c>
      <c r="B41" s="83">
        <v>0</v>
      </c>
      <c r="C41"/>
      <c r="D41"/>
    </row>
    <row r="42" spans="1:38" ht="15" customHeight="1" x14ac:dyDescent="0.15">
      <c r="A42" t="s">
        <v>230</v>
      </c>
      <c r="B42" s="83">
        <v>0</v>
      </c>
    </row>
    <row r="43" spans="1:38" ht="15" customHeight="1" x14ac:dyDescent="0.15">
      <c r="A43" t="s">
        <v>231</v>
      </c>
      <c r="B43" s="83">
        <v>0</v>
      </c>
    </row>
    <row r="44" spans="1:38" ht="15" customHeight="1" x14ac:dyDescent="0.15">
      <c r="A44" t="s">
        <v>232</v>
      </c>
      <c r="B44" s="83">
        <v>0</v>
      </c>
    </row>
    <row r="45" spans="1:38" ht="15" customHeight="1" x14ac:dyDescent="0.15">
      <c r="A45" t="s">
        <v>233</v>
      </c>
      <c r="B45" s="83">
        <v>0</v>
      </c>
    </row>
    <row r="46" spans="1:38" ht="15" customHeight="1" x14ac:dyDescent="0.15">
      <c r="A46" t="s">
        <v>235</v>
      </c>
      <c r="B46" s="83">
        <v>0</v>
      </c>
    </row>
    <row r="47" spans="1:38" ht="15" customHeight="1" x14ac:dyDescent="0.15">
      <c r="A47" t="s">
        <v>234</v>
      </c>
      <c r="B47" s="83">
        <v>0</v>
      </c>
    </row>
    <row r="48" spans="1:38" ht="15" customHeight="1" x14ac:dyDescent="0.15">
      <c r="A48" t="s">
        <v>236</v>
      </c>
      <c r="B48" s="83">
        <v>0</v>
      </c>
    </row>
    <row r="49" spans="1:38" ht="15" customHeight="1" x14ac:dyDescent="0.15">
      <c r="A49" t="s">
        <v>237</v>
      </c>
      <c r="B49" s="83">
        <v>0</v>
      </c>
    </row>
    <row r="50" spans="1:38" ht="15" customHeight="1" x14ac:dyDescent="0.15">
      <c r="A50" t="s">
        <v>238</v>
      </c>
      <c r="B50" s="83">
        <v>0</v>
      </c>
    </row>
    <row r="51" spans="1:38" ht="15" customHeight="1" x14ac:dyDescent="0.15">
      <c r="A51" t="s">
        <v>239</v>
      </c>
      <c r="B51" s="83">
        <v>0</v>
      </c>
    </row>
    <row r="52" spans="1:38" ht="15" customHeight="1" x14ac:dyDescent="0.15">
      <c r="A52" t="s">
        <v>240</v>
      </c>
      <c r="B52" s="83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t="s">
        <v>241</v>
      </c>
      <c r="B53" s="83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t="s">
        <v>242</v>
      </c>
      <c r="B54" s="83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t="s">
        <v>243</v>
      </c>
      <c r="B55" s="83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t="s">
        <v>244</v>
      </c>
      <c r="B56" s="83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t="s">
        <v>245</v>
      </c>
      <c r="B57" s="83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t="s">
        <v>246</v>
      </c>
      <c r="B58" s="83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t="s">
        <v>247</v>
      </c>
      <c r="B59" s="83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2023-09-11T19:12:52Z</dcterms:modified>
</cp:coreProperties>
</file>