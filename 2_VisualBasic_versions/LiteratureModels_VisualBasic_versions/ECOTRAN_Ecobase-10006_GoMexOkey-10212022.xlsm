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false" codeName="ThisWorkbook" checkCompatibility="true" autoCompressPictures="false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BASE_ManualEntries_READ/"/>
    </mc:Choice>
  </mc:AlternateContent>
  <xr:revisionPtr revIDLastSave="0" documentId="13_ncr:1_{28D68793-118B-494E-96F1-29C0522E594D}" xr6:coauthVersionLast="45" xr6:coauthVersionMax="45" xr10:uidLastSave="{00000000-0000-0000-0000-000000000000}"/>
  <bookViews>
    <workbookView xWindow="0" yWindow="460" windowWidth="25600" windowHeight="14240" tabRatio="728" firstSheet="8" activeTab="15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Main!$C$2:$N$71</definedName>
    <definedName name="matDetritus">Detritus!$C$2:$F$71</definedName>
    <definedName name="matDiet">Diets!$B$2:$BD$60</definedName>
    <definedName name="matDiscards">Discards!$C$2:$N$59</definedName>
    <definedName name="matFishery">Fishing!$C$2:$N$59</definedName>
    <definedName name="matFishing">Fishing!#REF!</definedName>
    <definedName name="matMort">Mortalities!$A$1:$BU$59</definedName>
    <definedName name="matOut">MainOutputs!$A$2:$I$71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 fullCalcOnLoad="true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<sst xmlns="http://schemas.openxmlformats.org/spreadsheetml/2006/main" count="1766" uniqueCount="300">
  <si>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</si>
  <si>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</si>
  <si>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</si>
  <si>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</si>
  <si>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</si>
  <si>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</si>
  <si>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</si>
  <si>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</si>
  <si>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</si>
  <si>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</si>
  <si>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</si>
  <si>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</si>
  <si>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</si>
  <si>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</si>
  <si>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</si>
  <si>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</si>
  <si>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</si>
  <si>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</si>
  <si>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</si>
  <si>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</si>
  <si>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</si>
  <si>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</si>
  <si>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</si>
  <si>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</si>
  <si>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</si>
  <si>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</si>
  <si>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</si>
  <si>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</si>
  <si>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</si>
  <si>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</si>
  <si>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</si>
  <si>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</si>
  <si>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</si>
  <si>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</si>
  <si>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</si>
  <si>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</si>
  <si>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</si>
  <si>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</si>
  <si>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</si>
  <si>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</si>
  <si>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</si>
  <si>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</si>
  <si>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</si>
  <si>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</si>
  <si>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</si>
  <si>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</si>
  <si>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</si>
  <si>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</si>
  <si>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</si>
  <si>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</si>
  <si>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</si>
  <si>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</si>
  <si>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</si>
  <si>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</si>
  <si>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</si>
  <si>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</si>
  <si>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</si>
  <si>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</si>
  <si>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</si>
  <si>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</si>
  <si>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</si>
  <si>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</si>
  <si>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</si>
  <si>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</si>
  <si>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</si>
  <si>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</si>
  <si>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</si>
  <si>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</si>
  <si>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</si>
  <si>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</si>
  <si>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</si>
  <si>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</si>
  <si>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</si>
  <si>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</si>
  <si>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</si>
  <si>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</si>
  <si>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</si>
  <si>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</si>
  <si>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</si>
  <si>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</si>
  <si>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</si>
  <si>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</si>
  <si>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</si>
  <si>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</si>
  <si>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</si>
  <si>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</si>
  <si>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</si>
  <si>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</si>
  <si>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</si>
  <si>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</si>
  <si>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</si>
  <si>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</si>
  <si>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</si>
  <si>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</si>
  <si>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</si>
  <si>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</si>
  <si>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</si>
  <si>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</si>
  <si>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</si>
  <si>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</si>
  <si>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</si>
  <si>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</si>
  <si>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</si>
  <si>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</si>
  <si>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</si>
  <si>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</si>
  <si>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</si>
  <si>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</si>
  <si>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</si>
  <si>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</si>
  <si>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</si>
  <si>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</si>
  <si>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</si>
  <si>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</si>
  <si>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</si>
  <si>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</si>
  <si>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</si>
  <si>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</si>
  <si>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</si>
  <si>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</si>
  <si>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</si>
  <si>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</si>
  <si>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</si>
  <si>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</si>
  <si>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</si>
  <si>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</si>
  <si>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</si>
  <si>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</si>
  <si>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</si>
  <si>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</si>
  <si>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</si>
  <si>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</si>
  <si>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</si>
  <si>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</si>
  <si>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</si>
  <si>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</si>
  <si>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</si>
  <si>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</si>
  <si>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</si>
  <si>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</si>
  <si>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</si>
  <si>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</si>
  <si>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</si>
  <si>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</si>
  <si>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</si>
  <si>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</si>
  <si>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</si>
  <si>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</si>
  <si>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</si>
  <si>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</si>
  <si>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</si>
  <si>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</si>
  <si>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</si>
  <si>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</si>
  <si>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</si>
  <si>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</si>
  <si>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</si>
  <si>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</si>
  <si>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</si>
  <si>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</si>
  <si>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</si>
  <si>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</si>
  <si>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</si>
  <si>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</si>
  <si>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</si>
  <si>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</si>
  <si>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NOTE: Maximum of 10 primary producers-&gt;</t>
  </si>
  <si>
    <t>Dolphins</t>
  </si>
  <si>
    <t>Seabirds</t>
  </si>
  <si>
    <t>Turtles</t>
  </si>
  <si>
    <t>Manatees</t>
  </si>
  <si>
    <t>LgOcePisc</t>
  </si>
  <si>
    <t>LgOcePlank</t>
  </si>
  <si>
    <t>Coastalsharks</t>
  </si>
  <si>
    <t>Rays/sharks</t>
  </si>
  <si>
    <t>PelOcePisc</t>
  </si>
  <si>
    <t>PelCoasPisc</t>
  </si>
  <si>
    <t>MackerelAdul</t>
  </si>
  <si>
    <t>MackerelJuv</t>
  </si>
  <si>
    <t>Sardine/Herring</t>
  </si>
  <si>
    <t>PelOceJelly/eaters</t>
  </si>
  <si>
    <t>PelOcePlanktivores</t>
  </si>
  <si>
    <t>DemOceInvert/eaters</t>
  </si>
  <si>
    <t>DemCoasPisc</t>
  </si>
  <si>
    <t>DemCoasInvert/eaters</t>
  </si>
  <si>
    <t>DemCoasOmniv</t>
  </si>
  <si>
    <t>BentOcePisc</t>
  </si>
  <si>
    <t>BentOceInvert/eaters</t>
  </si>
  <si>
    <t>BentCoasPisc</t>
  </si>
  <si>
    <t>BentCoasInvert/eaters</t>
  </si>
  <si>
    <t>SurfacePelagics</t>
  </si>
  <si>
    <t>StrucAssCoasPisc</t>
  </si>
  <si>
    <t>LgGroupers</t>
  </si>
  <si>
    <t>StrucAssCoasInvert/eaters</t>
  </si>
  <si>
    <t>StrucAssCoasOmniv</t>
  </si>
  <si>
    <t>StrucAssCoasPlank</t>
  </si>
  <si>
    <t>NearshAssPisc</t>
  </si>
  <si>
    <t>Mullets</t>
  </si>
  <si>
    <t>NearshPlanktivores</t>
  </si>
  <si>
    <t>Other fishes</t>
  </si>
  <si>
    <t>Squid</t>
  </si>
  <si>
    <t>Adult shrimps</t>
  </si>
  <si>
    <t>Lobsters</t>
  </si>
  <si>
    <t>Large crabs</t>
  </si>
  <si>
    <t>Octopods</t>
  </si>
  <si>
    <t>Stomatopods</t>
  </si>
  <si>
    <t>Echinoderms/Lggastropods</t>
  </si>
  <si>
    <t>Bivalves</t>
  </si>
  <si>
    <t>Sessile epibenthos</t>
  </si>
  <si>
    <t>Small infauna</t>
  </si>
  <si>
    <t>Small modile epifauna</t>
  </si>
  <si>
    <t>Meiofauna</t>
  </si>
  <si>
    <t>Small copepods</t>
  </si>
  <si>
    <t>Other mesozoop</t>
  </si>
  <si>
    <t>CarnivZooplank</t>
  </si>
  <si>
    <t>Ichthyoplankton</t>
  </si>
  <si>
    <t>CarnivJellyfish</t>
  </si>
  <si>
    <t>Microbial heterotrophs</t>
  </si>
  <si>
    <t>Macroalgae</t>
  </si>
  <si>
    <t>Microphytobenthos</t>
  </si>
  <si>
    <t>Phytoplankton</t>
  </si>
  <si>
    <t>Sea grasses</t>
  </si>
  <si>
    <t>fishery offal</t>
  </si>
  <si>
    <t>Unknown</t>
  </si>
  <si>
    <t>Trawl</t>
  </si>
  <si>
    <t>Recreation</t>
  </si>
  <si>
    <t>Headboats</t>
  </si>
  <si>
    <t>Gill net</t>
  </si>
  <si>
    <t>Trammel net</t>
  </si>
  <si>
    <t>Spear / gig</t>
  </si>
  <si>
    <t>Hook and line</t>
  </si>
  <si>
    <t>Purse seine</t>
  </si>
  <si>
    <t>Haul seine</t>
  </si>
  <si>
    <t>Long line</t>
  </si>
  <si>
    <t>Traps</t>
  </si>
  <si>
    <t>Import</t>
  </si>
  <si>
    <t>sum</t>
  </si>
  <si>
    <t>1 - sum</t>
  </si>
  <si>
    <t>export</t>
  </si>
  <si>
    <t>TOTAL</t>
  </si>
  <si>
    <t>Okey Parameter Keys--&gt;&gt;</t>
  </si>
  <si>
    <t>Parameter</t>
  </si>
  <si>
    <t>Pnum</t>
  </si>
  <si>
    <t>Cat</t>
  </si>
  <si>
    <t>cv</t>
  </si>
  <si>
    <t>Criterion</t>
  </si>
  <si>
    <t>NA</t>
  </si>
  <si>
    <t>Estimated by Ecopath</t>
  </si>
  <si>
    <t>From Other Model</t>
  </si>
  <si>
    <t>Guesstimate</t>
  </si>
  <si>
    <t>Approx. or indirect method</t>
  </si>
  <si>
    <t>Highly variable population</t>
  </si>
  <si>
    <t>Sampling w/ low precision</t>
  </si>
  <si>
    <t>Sampling w/ high precision</t>
  </si>
  <si>
    <t>Assessment and sampling combined</t>
  </si>
  <si>
    <t>Don't vary</t>
  </si>
  <si>
    <t>From other model</t>
  </si>
  <si>
    <t>Empirical Relationship</t>
  </si>
  <si>
    <t>Similar group, similar system</t>
  </si>
  <si>
    <t>Similar group, same system</t>
  </si>
  <si>
    <t>Same group, similar system</t>
  </si>
  <si>
    <t>Same group, same system</t>
  </si>
  <si>
    <t>Diet</t>
  </si>
  <si>
    <t>General knowledge of related Group</t>
  </si>
  <si>
    <t>General knowledge of same Group</t>
  </si>
  <si>
    <t>Qualitative for broad prey</t>
  </si>
  <si>
    <t>Qualitative for Specific prey</t>
  </si>
  <si>
    <t>Quantitative, different time</t>
  </si>
  <si>
    <t>Quanitative but limited</t>
  </si>
  <si>
    <t>Quantitative, detailed, same time</t>
  </si>
  <si>
    <t>Fishery</t>
  </si>
  <si>
    <t>FAO Statistics</t>
  </si>
  <si>
    <t>Highly variable/changing</t>
  </si>
  <si>
    <t>National Statistics, broad</t>
  </si>
  <si>
    <t>National Statistics, local</t>
  </si>
  <si>
    <t>Local Study, low precision</t>
  </si>
  <si>
    <t>Local Study, high precision</t>
  </si>
  <si>
    <t>&lt;-- use AggregationCode numbers</t>
  </si>
  <si>
    <t>PreyGuilds are NOT necessary</t>
  </si>
  <si>
    <t>pelagic bacteria</t>
  </si>
  <si>
    <t>benthic bacteria</t>
  </si>
  <si>
    <t>&lt;-NOTE: every model must have a terminal pelagic &amp; benthic detritus group</t>
  </si>
  <si>
    <t>&lt;-NOTE: fisheries FOLLOW terminal detritus groups</t>
  </si>
  <si>
    <t>&lt;-NOTE: BA &amp; EM at very end</t>
  </si>
  <si>
    <t>accumulation</t>
  </si>
  <si>
    <t>NOTE: fishery discards are defined as "feces"</t>
  </si>
  <si>
    <t>NOTE: "ExcretionFate" of detritus groups is really used to define the fate of excretion by bacteria that metabolise detritus</t>
  </si>
  <si>
    <t>NOTE: "EL"; linear = 0; non-linear =1</t>
  </si>
  <si>
    <t>F Unknown</t>
  </si>
  <si>
    <t>F Trawl</t>
  </si>
  <si>
    <t>F Recreation</t>
  </si>
  <si>
    <t>F Headboats</t>
  </si>
  <si>
    <t>F Gill net</t>
  </si>
  <si>
    <t>F Trammel net</t>
  </si>
  <si>
    <t>F Spear / gig</t>
  </si>
  <si>
    <t>F Hook and line</t>
  </si>
  <si>
    <t>F Purse seine</t>
  </si>
  <si>
    <t>F Haul seine</t>
  </si>
  <si>
    <t>F Long line</t>
  </si>
  <si>
    <t>F Traps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</si>
</sst>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2"/>
      <color rgb="FF000000"/>
      <name val="Calibri"/>
      <family val="2"/>
      <scheme val="minor"/>
    </font>
  </fonts>
  <fills count="209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2"/>
        <bgColor indexed="64"/>
      </patternFill>
    </fill>
    <fill>
      <patternFill patternType="solid">
        <fgColor theme="6" tint="0.39997558519242"/>
        <bgColor indexed="64"/>
      </patternFill>
    </fill>
    <fill>
      <patternFill patternType="solid">
        <fgColor theme="3" tint="0.39997558519242"/>
        <bgColor indexed="64"/>
      </patternFill>
    </fill>
    <fill>
      <patternFill patternType="solid">
        <fgColor theme="2" tint="-0.24994659260842"/>
        <bgColor indexed="64"/>
      </patternFill>
    </fill>
    <fill>
      <patternFill patternType="solid">
        <fgColor theme="7" tint="0.39997558519242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46592608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7" tint="0.5999633777886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69B12E"/>
        <bgColor indexed="64"/>
      </patternFill>
    </fill>
    <fill>
      <patternFill patternType="solid">
        <fgColor rgb="FF6C8BD0"/>
        <bgColor indexed="64"/>
      </patternFill>
    </fill>
    <fill>
      <patternFill patternType="solid">
        <fgColor rgb="FF8A6D82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FFE1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DEFF00"/>
        <bgColor indexed="64"/>
      </patternFill>
    </fill>
    <fill>
      <patternFill patternType="solid">
        <fgColor rgb="FFB3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D9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EDFF00"/>
        <bgColor indexed="64"/>
      </patternFill>
    </fill>
    <fill>
      <patternFill patternType="solid">
        <fgColor rgb="FFFFAD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FA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FFF3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DDFF00"/>
        <bgColor indexed="64"/>
      </patternFill>
    </fill>
    <fill>
      <patternFill patternType="solid">
        <fgColor rgb="FFFFA9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61FF0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auto="true"/>
      </bottom>
      <diagonal/>
    </border>
    <border>
      <left style="medium">
        <color auto="true"/>
      </left>
      <right style="medium">
        <color auto="true"/>
      </right>
      <top style="medium">
        <color auto="true"/>
      </top>
      <bottom/>
      <diagonal/>
    </border>
    <border>
      <left style="medium">
        <color auto="true"/>
      </left>
      <right style="medium">
        <color auto="true"/>
      </right>
      <top/>
      <bottom style="medium">
        <color auto="true"/>
      </bottom>
      <diagonal/>
    </border>
    <border>
      <left style="medium">
        <color auto="true"/>
      </left>
      <right style="medium">
        <color auto="true"/>
      </right>
      <top/>
      <bottom/>
      <diagonal/>
    </border>
    <border>
      <left style="medium">
        <color auto="true"/>
      </left>
      <right/>
      <top style="medium">
        <color auto="true"/>
      </top>
      <bottom/>
      <diagonal/>
    </border>
    <border>
      <left/>
      <right style="medium">
        <color auto="true"/>
      </right>
      <top style="medium">
        <color auto="true"/>
      </top>
      <bottom/>
      <diagonal/>
    </border>
    <border>
      <left style="medium">
        <color auto="true"/>
      </left>
      <right/>
      <top/>
      <bottom/>
      <diagonal/>
    </border>
    <border>
      <left/>
      <right style="medium">
        <color auto="true"/>
      </right>
      <top/>
      <bottom/>
      <diagonal/>
    </border>
    <border>
      <left style="medium">
        <color auto="true"/>
      </left>
      <right/>
      <top/>
      <bottom style="medium">
        <color auto="true"/>
      </bottom>
      <diagonal/>
    </border>
    <border>
      <left/>
      <right/>
      <top/>
      <bottom style="medium">
        <color auto="true"/>
      </bottom>
      <diagonal/>
    </border>
    <border>
      <left/>
      <right style="medium">
        <color auto="true"/>
      </right>
      <top/>
      <bottom style="medium">
        <color auto="true"/>
      </bottom>
      <diagonal/>
    </border>
    <border>
      <left style="medium">
        <color auto="true"/>
      </left>
      <right style="medium">
        <color auto="true"/>
      </right>
      <top style="medium">
        <color auto="true"/>
      </top>
      <bottom style="medium">
        <color auto="true"/>
      </bottom>
      <diagonal/>
    </border>
    <border>
      <left style="medium">
        <color auto="true"/>
      </left>
      <right/>
      <top style="medium">
        <color auto="true"/>
      </top>
      <bottom style="medium">
        <color auto="true"/>
      </bottom>
      <diagonal/>
    </border>
    <border>
      <left/>
      <right style="medium">
        <color auto="true"/>
      </right>
      <top style="medium">
        <color auto="true"/>
      </top>
      <bottom style="medium">
        <color auto="true"/>
      </bottom>
      <diagonal/>
    </border>
    <border>
      <left style="thin">
        <color auto="true"/>
      </left>
      <right/>
      <top style="thin">
        <color auto="true"/>
      </top>
      <bottom/>
      <diagonal/>
    </border>
    <border>
      <left style="thin">
        <color auto="true"/>
      </left>
      <right/>
      <top/>
      <bottom/>
      <diagonal/>
    </border>
    <border>
      <left/>
      <right style="thin">
        <color auto="true"/>
      </right>
      <top/>
      <bottom/>
      <diagonal/>
    </border>
    <border>
      <left style="thin">
        <color auto="true"/>
      </left>
      <right/>
      <top/>
      <bottom style="thin">
        <color rgb="FFC0C0C0"/>
      </bottom>
      <diagonal/>
    </border>
    <border>
      <left/>
      <right style="thin">
        <color auto="true"/>
      </right>
      <top/>
      <bottom style="medium">
        <color auto="true"/>
      </bottom>
      <diagonal/>
    </border>
    <border>
      <left style="thin">
        <color auto="true"/>
      </left>
      <right/>
      <top/>
      <bottom style="thin">
        <color auto="true"/>
      </bottom>
      <diagonal/>
    </border>
    <border>
      <left/>
      <right style="thin">
        <color auto="true"/>
      </right>
      <top/>
      <bottom style="thin">
        <color auto="true"/>
      </bottom>
      <diagonal/>
    </border>
    <border>
      <left/>
      <right style="thin">
        <color auto="true"/>
      </right>
      <top style="thin">
        <color auto="true"/>
      </top>
      <bottom style="thin">
        <color auto="true"/>
      </bottom>
      <diagonal/>
    </border>
    <border>
      <left/>
      <right/>
      <top style="thin">
        <color auto="true"/>
      </top>
      <bottom style="thin">
        <color auto="true"/>
      </bottom>
      <diagonal/>
    </border>
    <border>
      <left/>
      <right/>
      <top/>
      <bottom style="thin">
        <color rgb="FFC0C0C0"/>
      </bottom>
      <diagonal/>
    </border>
    <border/>
    <border/>
    <border/>
    <border/>
  </borders>
  <cellStyleXfs count="3654">
    <xf numFmtId="0" fontId="0" fillId="0" borderId="0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4" fillId="0" borderId="0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6" fillId="0" borderId="0" applyNumberFormat="false" applyFill="false" applyBorder="false" applyAlignment="false" applyProtection="false"/>
  </cellStyleXfs>
  <cellXfs count="300">
    <xf numFmtId="0" fontId="0" fillId="0" borderId="0" xfId="0"/>
    <xf numFmtId="0" fontId="1" fillId="0" borderId="0" xfId="0" applyFont="true"/>
    <xf numFmtId="0" fontId="3" fillId="0" borderId="0" xfId="0" applyFont="true"/>
    <xf numFmtId="0" fontId="1" fillId="0" borderId="0" xfId="0" applyFont="true" applyAlignment="true">
      <alignment wrapText="true"/>
    </xf>
    <xf numFmtId="0" fontId="1" fillId="2" borderId="0" xfId="0" applyFont="true" applyFill="true"/>
    <xf numFmtId="0" fontId="1" fillId="2" borderId="0" xfId="0" applyFont="true" applyFill="true" applyAlignment="true">
      <alignment wrapText="true"/>
    </xf>
    <xf numFmtId="0" fontId="0" fillId="3" borderId="0" xfId="0" applyFill="true"/>
    <xf numFmtId="2" fontId="0" fillId="3" borderId="0" xfId="0" applyNumberFormat="true" applyFill="true"/>
    <xf numFmtId="0" fontId="0" fillId="4" borderId="0" xfId="0" applyFill="true"/>
    <xf numFmtId="0" fontId="0" fillId="5" borderId="0" xfId="0" applyFill="true"/>
    <xf numFmtId="0" fontId="0" fillId="6" borderId="0" xfId="0" applyFill="true"/>
    <xf numFmtId="0" fontId="0" fillId="7" borderId="0" xfId="0" applyFill="true"/>
    <xf numFmtId="0" fontId="0" fillId="8" borderId="0" xfId="0" applyFill="true"/>
    <xf numFmtId="0" fontId="0" fillId="9" borderId="0" xfId="0" applyFill="true"/>
    <xf numFmtId="0" fontId="0" fillId="10" borderId="0" xfId="0" applyFill="true"/>
    <xf numFmtId="0" fontId="0" fillId="11" borderId="0" xfId="0" applyFill="true"/>
    <xf numFmtId="0" fontId="0" fillId="12" borderId="0" xfId="0" applyFill="true"/>
    <xf numFmtId="0" fontId="0" fillId="13" borderId="0" xfId="0" applyFill="true"/>
    <xf numFmtId="0" fontId="0" fillId="14" borderId="0" xfId="0" applyFill="true"/>
    <xf numFmtId="0" fontId="0" fillId="15" borderId="0" xfId="0" applyFill="true"/>
    <xf numFmtId="0" fontId="0" fillId="16" borderId="0" xfId="0" applyFill="true"/>
    <xf numFmtId="0" fontId="0" fillId="17" borderId="0" xfId="0" applyFill="true"/>
    <xf numFmtId="0" fontId="0" fillId="18" borderId="0" xfId="0" applyFill="true"/>
    <xf numFmtId="0" fontId="0" fillId="19" borderId="0" xfId="0" applyFill="true"/>
    <xf numFmtId="0" fontId="0" fillId="20" borderId="0" xfId="0" applyFill="true"/>
    <xf numFmtId="0" fontId="0" fillId="21" borderId="0" xfId="0" applyFill="true"/>
    <xf numFmtId="0" fontId="0" fillId="22" borderId="0" xfId="0" applyFill="true"/>
    <xf numFmtId="0" fontId="0" fillId="23" borderId="0" xfId="0" applyFill="true"/>
    <xf numFmtId="0" fontId="0" fillId="24" borderId="0" xfId="0" applyFill="true"/>
    <xf numFmtId="14" fontId="0" fillId="0" borderId="0" xfId="0" applyNumberFormat="true"/>
    <xf numFmtId="0" fontId="0" fillId="0" borderId="6" xfId="0" applyBorder="true"/>
    <xf numFmtId="0" fontId="0" fillId="0" borderId="7" xfId="0" applyBorder="true"/>
    <xf numFmtId="0" fontId="0" fillId="0" borderId="8" xfId="0" applyBorder="true"/>
    <xf numFmtId="0" fontId="0" fillId="0" borderId="11" xfId="0" applyBorder="true"/>
    <xf numFmtId="2" fontId="1" fillId="0" borderId="0" xfId="0" applyNumberFormat="true" applyFont="true"/>
    <xf numFmtId="0" fontId="1" fillId="0" borderId="0" xfId="0" applyFont="true" applyAlignment="true">
      <alignment horizontal="right"/>
    </xf>
    <xf numFmtId="0" fontId="1" fillId="2" borderId="2" xfId="0" applyFont="true" applyFill="true" applyBorder="true" applyAlignment="true">
      <alignment horizontal="center"/>
    </xf>
    <xf numFmtId="0" fontId="1" fillId="2" borderId="3" xfId="0" applyFont="true" applyFill="true" applyBorder="true" applyAlignment="true">
      <alignment horizontal="center"/>
    </xf>
    <xf numFmtId="0" fontId="7" fillId="0" borderId="0" xfId="0" applyFont="true" applyAlignment="true">
      <alignment horizontal="right"/>
    </xf>
    <xf numFmtId="0" fontId="1" fillId="25" borderId="2" xfId="0" applyFont="true" applyFill="true" applyBorder="true" applyAlignment="true">
      <alignment horizontal="center"/>
    </xf>
    <xf numFmtId="0" fontId="1" fillId="25" borderId="4" xfId="0" applyFont="true" applyFill="true" applyBorder="true" applyAlignment="true">
      <alignment horizontal="center"/>
    </xf>
    <xf numFmtId="0" fontId="1" fillId="25" borderId="3" xfId="0" applyFont="true" applyFill="true" applyBorder="true" applyAlignment="true">
      <alignment horizontal="center"/>
    </xf>
    <xf numFmtId="0" fontId="1" fillId="0" borderId="10" xfId="0" applyFont="true" applyBorder="true" applyAlignment="true">
      <alignment horizontal="center"/>
    </xf>
    <xf numFmtId="0" fontId="1" fillId="0" borderId="13" xfId="0" applyFont="true" applyBorder="true" applyAlignment="true">
      <alignment horizontal="center"/>
    </xf>
    <xf numFmtId="0" fontId="0" fillId="0" borderId="14" xfId="0" applyBorder="true"/>
    <xf numFmtId="0" fontId="0" fillId="0" borderId="7" xfId="0" applyBorder="true" applyAlignment="true">
      <alignment horizontal="right"/>
    </xf>
    <xf numFmtId="0" fontId="0" fillId="0" borderId="9" xfId="0" applyBorder="true" applyAlignment="true">
      <alignment horizontal="right"/>
    </xf>
    <xf numFmtId="0" fontId="0" fillId="0" borderId="7" xfId="0" applyFill="true" applyBorder="true" applyAlignment="true">
      <alignment horizontal="left"/>
    </xf>
    <xf numFmtId="2" fontId="1" fillId="0" borderId="12" xfId="0" applyNumberFormat="true" applyFont="true" applyBorder="true" applyAlignment="true">
      <alignment horizontal="center"/>
    </xf>
    <xf numFmtId="0" fontId="0" fillId="0" borderId="5" xfId="0" applyBorder="true" applyAlignment="true">
      <alignment horizontal="right"/>
    </xf>
    <xf numFmtId="0" fontId="0" fillId="25" borderId="5" xfId="0" applyFill="true" applyBorder="true"/>
    <xf numFmtId="0" fontId="0" fillId="25" borderId="6" xfId="0" applyFill="true" applyBorder="true"/>
    <xf numFmtId="0" fontId="0" fillId="25" borderId="7" xfId="0" applyFill="true" applyBorder="true"/>
    <xf numFmtId="0" fontId="0" fillId="25" borderId="8" xfId="0" applyFill="true" applyBorder="true"/>
    <xf numFmtId="0" fontId="0" fillId="25" borderId="9" xfId="0" applyFill="true" applyBorder="true"/>
    <xf numFmtId="0" fontId="0" fillId="25" borderId="11" xfId="0" applyFill="true" applyBorder="true"/>
    <xf numFmtId="0" fontId="8" fillId="0" borderId="0" xfId="0" applyFont="true"/>
    <xf numFmtId="0" fontId="9" fillId="0" borderId="0" xfId="0" applyFont="true"/>
    <xf numFmtId="0" fontId="0" fillId="31" borderId="0" xfId="0" applyFill="true"/>
    <xf numFmtId="0" fontId="0" fillId="32" borderId="0" xfId="0" applyFill="true"/>
    <xf numFmtId="0" fontId="0" fillId="33" borderId="0" xfId="0" applyFill="true"/>
    <xf numFmtId="0" fontId="0" fillId="34" borderId="0" xfId="0" applyFill="true"/>
    <xf numFmtId="0" fontId="0" fillId="35" borderId="0" xfId="0" applyFill="true"/>
    <xf numFmtId="0" fontId="0" fillId="36" borderId="0" xfId="0" applyFill="true"/>
    <xf numFmtId="0" fontId="0" fillId="37" borderId="0" xfId="0" applyFill="true"/>
    <xf numFmtId="0" fontId="1" fillId="0" borderId="0" xfId="0" applyFont="true" applyAlignment="true">
      <alignment horizontal="center"/>
    </xf>
    <xf numFmtId="0" fontId="0" fillId="38" borderId="0" xfId="0" applyFill="true"/>
    <xf numFmtId="0" fontId="0" fillId="0" borderId="0" xfId="0" applyFont="true" applyFill="true"/>
    <xf numFmtId="0" fontId="0" fillId="40" borderId="0" xfId="0" applyFill="true"/>
    <xf numFmtId="0" fontId="0" fillId="41" borderId="0" xfId="0" applyFill="true"/>
    <xf numFmtId="0" fontId="0" fillId="42" borderId="0" xfId="0" applyFill="true"/>
    <xf numFmtId="0" fontId="0" fillId="43" borderId="0" xfId="0" applyFill="true"/>
    <xf numFmtId="0" fontId="1" fillId="0" borderId="0" xfId="0" applyFont="true" applyAlignment="true"/>
    <xf numFmtId="0" fontId="0" fillId="0" borderId="0" xfId="0" applyFont="true" applyFill="true" applyAlignment="true">
      <alignment horizontal="left"/>
    </xf>
    <xf numFmtId="0" fontId="0" fillId="0" borderId="0" xfId="0" applyFont="true"/>
    <xf numFmtId="0" fontId="0" fillId="0" borderId="0" xfId="0" applyFont="true" applyAlignment="true">
      <alignment horizontal="left"/>
    </xf>
    <xf numFmtId="0" fontId="1" fillId="0" borderId="0" xfId="0" applyFont="true" applyAlignment="true">
      <alignment horizontal="left"/>
    </xf>
    <xf numFmtId="0" fontId="0" fillId="39" borderId="2" xfId="0" applyNumberFormat="true" applyFont="true" applyFill="true" applyBorder="true"/>
    <xf numFmtId="0" fontId="11" fillId="0" borderId="0" xfId="0" applyFont="true"/>
    <xf numFmtId="0" fontId="0" fillId="39" borderId="3" xfId="0" applyNumberFormat="true" applyFont="true" applyFill="true" applyBorder="true"/>
    <xf numFmtId="0" fontId="0" fillId="39" borderId="2" xfId="0" applyFont="true" applyFill="true" applyBorder="true"/>
    <xf numFmtId="0" fontId="0" fillId="39" borderId="3" xfId="0" applyFont="true" applyFill="true" applyBorder="true"/>
    <xf numFmtId="0" fontId="0" fillId="39" borderId="4" xfId="0" applyFont="true" applyFill="true" applyBorder="true"/>
    <xf numFmtId="0" fontId="0" fillId="0" borderId="0" xfId="0" applyFont="true" applyBorder="true"/>
    <xf numFmtId="0" fontId="0" fillId="0" borderId="10" xfId="0" applyFont="true" applyBorder="true"/>
    <xf numFmtId="2" fontId="0" fillId="0" borderId="0" xfId="0" applyNumberFormat="true" applyFont="true"/>
    <xf numFmtId="0" fontId="0" fillId="0" borderId="0" xfId="0" applyFont="true" applyAlignment="true"/>
    <xf numFmtId="0" fontId="0" fillId="0" borderId="14" xfId="0" applyFont="true" applyBorder="true"/>
    <xf numFmtId="0" fontId="0" fillId="0" borderId="7" xfId="0" applyFont="true" applyBorder="true" applyAlignment="true">
      <alignment horizontal="right"/>
    </xf>
    <xf numFmtId="0" fontId="0" fillId="0" borderId="8" xfId="0" applyFont="true" applyBorder="true"/>
    <xf numFmtId="0" fontId="0" fillId="0" borderId="9" xfId="0" applyFont="true" applyBorder="true" applyAlignment="true">
      <alignment horizontal="right"/>
    </xf>
    <xf numFmtId="0" fontId="0" fillId="0" borderId="11" xfId="0" applyFont="true" applyBorder="true"/>
    <xf numFmtId="0" fontId="0" fillId="0" borderId="7" xfId="0" applyFont="true" applyFill="true" applyBorder="true" applyAlignment="true">
      <alignment horizontal="left"/>
    </xf>
    <xf numFmtId="0" fontId="0" fillId="44" borderId="0" xfId="0" applyFill="true"/>
    <xf numFmtId="0" fontId="0" fillId="45" borderId="0" xfId="0" applyFill="true"/>
    <xf numFmtId="0" fontId="0" fillId="46" borderId="0" xfId="0" applyFill="true"/>
    <xf numFmtId="0" fontId="0" fillId="47" borderId="0" xfId="0" applyFill="true"/>
    <xf numFmtId="0" fontId="0" fillId="48" borderId="0" xfId="0" applyFill="true"/>
    <xf numFmtId="0" fontId="0" fillId="49" borderId="0" xfId="0" applyFill="true"/>
    <xf numFmtId="0" fontId="0" fillId="0" borderId="0" xfId="0" applyBorder="true"/>
    <xf numFmtId="0" fontId="0" fillId="0" borderId="0" xfId="0" applyFill="true" applyAlignment="true">
      <alignment horizontal="center"/>
    </xf>
    <xf numFmtId="0" fontId="0" fillId="0" borderId="0" xfId="0" applyAlignment="true">
      <alignment horizontal="center"/>
    </xf>
    <xf numFmtId="0" fontId="0" fillId="0" borderId="0" xfId="0" applyAlignment="true">
      <alignment wrapText="true"/>
    </xf>
    <xf numFmtId="0" fontId="12" fillId="0" borderId="0" xfId="0" applyFont="true" applyAlignment="true">
      <alignment horizontal="center"/>
    </xf>
    <xf numFmtId="0" fontId="12" fillId="30" borderId="0" xfId="0" applyFont="true" applyFill="true" applyAlignment="true">
      <alignment horizontal="center"/>
    </xf>
    <xf numFmtId="0" fontId="12" fillId="28" borderId="0" xfId="0" applyFont="true" applyFill="true" applyAlignment="true">
      <alignment horizontal="center"/>
    </xf>
    <xf numFmtId="0" fontId="12" fillId="29" borderId="0" xfId="0" applyFont="true" applyFill="true" applyAlignment="true">
      <alignment horizontal="center"/>
    </xf>
    <xf numFmtId="0" fontId="12" fillId="26" borderId="0" xfId="0" applyFont="true" applyFill="true" applyAlignment="true">
      <alignment horizontal="center"/>
    </xf>
    <xf numFmtId="0" fontId="12" fillId="27" borderId="0" xfId="0" applyFont="true" applyFill="true" applyAlignment="true">
      <alignment horizontal="center"/>
    </xf>
    <xf numFmtId="0" fontId="0" fillId="25" borderId="2" xfId="0" applyFill="true" applyBorder="true" applyAlignment="true">
      <alignment horizontal="center"/>
    </xf>
    <xf numFmtId="0" fontId="0" fillId="25" borderId="4" xfId="0" applyFill="true" applyBorder="true" applyAlignment="true">
      <alignment horizontal="center"/>
    </xf>
    <xf numFmtId="0" fontId="0" fillId="25" borderId="3" xfId="0" applyFill="true" applyBorder="true"/>
    <xf numFmtId="0" fontId="9" fillId="0" borderId="0" xfId="0" applyFont="true" applyAlignment="true">
      <alignment horizontal="left"/>
    </xf>
    <xf numFmtId="0" fontId="0" fillId="0" borderId="15" xfId="0" applyFont="true" applyBorder="true"/>
    <xf numFmtId="0" fontId="0" fillId="0" borderId="16" xfId="0" applyBorder="true" applyAlignment="true">
      <alignment horizontal="right"/>
    </xf>
    <xf numFmtId="0" fontId="0" fillId="0" borderId="17" xfId="0" applyFont="true" applyBorder="true"/>
    <xf numFmtId="0" fontId="10" fillId="0" borderId="18" xfId="0" applyFont="true" applyFill="true" applyBorder="true" applyAlignment="true">
      <alignment horizontal="right" wrapText="true"/>
    </xf>
    <xf numFmtId="0" fontId="0" fillId="0" borderId="16" xfId="0" applyFont="true" applyFill="true" applyBorder="true" applyAlignment="true">
      <alignment horizontal="right"/>
    </xf>
    <xf numFmtId="0" fontId="0" fillId="0" borderId="19" xfId="0" applyFont="true" applyBorder="true"/>
    <xf numFmtId="0" fontId="0" fillId="0" borderId="20" xfId="0" applyFont="true" applyBorder="true"/>
    <xf numFmtId="0" fontId="0" fillId="0" borderId="1" xfId="0" applyFont="true" applyBorder="true"/>
    <xf numFmtId="0" fontId="0" fillId="0" borderId="21" xfId="0" applyFont="true" applyBorder="true"/>
    <xf numFmtId="0" fontId="1" fillId="0" borderId="23" xfId="0" applyFont="true" applyBorder="true" applyAlignment="true">
      <alignment horizontal="center"/>
    </xf>
    <xf numFmtId="0" fontId="1" fillId="0" borderId="22" xfId="0" applyFont="true" applyBorder="true" applyAlignment="true">
      <alignment horizontal="center"/>
    </xf>
    <xf numFmtId="0" fontId="0" fillId="50" borderId="0" xfId="0" applyFill="true"/>
    <xf numFmtId="0" fontId="0" fillId="51" borderId="0" xfId="0" applyFill="true"/>
    <xf numFmtId="0" fontId="0" fillId="0" borderId="0" xfId="0" applyNumberFormat="true"/>
    <xf numFmtId="0" fontId="0" fillId="52" borderId="0" xfId="0" applyFill="true"/>
    <xf numFmtId="0" fontId="0" fillId="53" borderId="0" xfId="0" applyFill="true"/>
    <xf numFmtId="0" fontId="0" fillId="54" borderId="0" xfId="0" applyFill="true"/>
    <xf numFmtId="0" fontId="0" fillId="55" borderId="0" xfId="0" applyFill="true"/>
    <xf numFmtId="0" fontId="0" fillId="56" borderId="0" xfId="0" applyFill="true"/>
    <xf numFmtId="0" fontId="0" fillId="57" borderId="0" xfId="0" applyFill="true"/>
    <xf numFmtId="0" fontId="0" fillId="58" borderId="0" xfId="0" applyFill="true"/>
    <xf numFmtId="0" fontId="0" fillId="59" borderId="0" xfId="0" applyFill="true"/>
    <xf numFmtId="0" fontId="0" fillId="60" borderId="0" xfId="0" applyFill="true"/>
    <xf numFmtId="0" fontId="0" fillId="61" borderId="0" xfId="0" applyFill="true"/>
    <xf numFmtId="0" fontId="0" fillId="62" borderId="0" xfId="0" applyFill="true"/>
    <xf numFmtId="0" fontId="0" fillId="63" borderId="0" xfId="0" applyFill="true"/>
    <xf numFmtId="0" fontId="0" fillId="64" borderId="0" xfId="0" applyFill="true"/>
    <xf numFmtId="0" fontId="0" fillId="65" borderId="0" xfId="0" applyFill="true"/>
    <xf numFmtId="0" fontId="0" fillId="66" borderId="0" xfId="0" applyFill="true"/>
    <xf numFmtId="0" fontId="0" fillId="67" borderId="0" xfId="0" applyFill="true"/>
    <xf numFmtId="0" fontId="0" fillId="68" borderId="0" xfId="0" applyFill="true"/>
    <xf numFmtId="0" fontId="0" fillId="69" borderId="0" xfId="0" applyFill="true"/>
    <xf numFmtId="0" fontId="0" fillId="70" borderId="0" xfId="0" applyFill="true"/>
    <xf numFmtId="0" fontId="0" fillId="71" borderId="0" xfId="0" applyFill="true"/>
    <xf numFmtId="0" fontId="0" fillId="72" borderId="0" xfId="0" applyFill="true"/>
    <xf numFmtId="0" fontId="0" fillId="73" borderId="0" xfId="0" applyFill="true"/>
    <xf numFmtId="0" fontId="0" fillId="74" borderId="0" xfId="0" applyFill="true"/>
    <xf numFmtId="0" fontId="0" fillId="75" borderId="0" xfId="0" applyFill="true"/>
    <xf numFmtId="0" fontId="0" fillId="76" borderId="0" xfId="0" applyFill="true"/>
    <xf numFmtId="0" fontId="0" fillId="77" borderId="0" xfId="0" applyFill="true"/>
    <xf numFmtId="0" fontId="0" fillId="78" borderId="0" xfId="0" applyFill="true"/>
    <xf numFmtId="0" fontId="0" fillId="79" borderId="0" xfId="0" applyFill="true"/>
    <xf numFmtId="0" fontId="0" fillId="80" borderId="0" xfId="0" applyFill="true"/>
    <xf numFmtId="0" fontId="0" fillId="81" borderId="0" xfId="0" applyFill="true"/>
    <xf numFmtId="0" fontId="0" fillId="82" borderId="0" xfId="0" applyFill="true"/>
    <xf numFmtId="0" fontId="0" fillId="83" borderId="0" xfId="0" applyFill="true"/>
    <xf numFmtId="0" fontId="0" fillId="84" borderId="0" xfId="0" applyFill="true"/>
    <xf numFmtId="0" fontId="0" fillId="85" borderId="0" xfId="0" applyFill="true"/>
    <xf numFmtId="0" fontId="0" fillId="86" borderId="0" xfId="0" applyFill="true"/>
    <xf numFmtId="0" fontId="0" fillId="87" borderId="0" xfId="0" applyFill="true"/>
    <xf numFmtId="0" fontId="13" fillId="0" borderId="0" xfId="0" applyFont="true"/>
    <xf numFmtId="0" fontId="0" fillId="88" borderId="0" xfId="0" applyFill="true"/>
    <xf numFmtId="0" fontId="12" fillId="0" borderId="0" xfId="0" applyFont="true" applyAlignment="true">
      <alignment horizontal="right"/>
    </xf>
    <xf numFmtId="0" fontId="0" fillId="0" borderId="0" xfId="0" applyAlignment="true">
      <alignment horizontal="right"/>
    </xf>
    <xf numFmtId="0" fontId="12" fillId="0" borderId="0" xfId="0" applyFont="true" applyAlignment="true">
      <alignment horizontal="left"/>
    </xf>
    <xf numFmtId="0" fontId="0" fillId="0" borderId="1" xfId="0" applyBorder="true" applyAlignment="true">
      <alignment horizontal="center"/>
    </xf>
    <xf numFmtId="0" fontId="0" fillId="89" borderId="13" xfId="0" applyFill="true" applyBorder="true"/>
    <xf numFmtId="0" fontId="0" fillId="89" borderId="14" xfId="0" applyFill="true" applyBorder="true"/>
    <xf numFmtId="0" fontId="0" fillId="90" borderId="5" xfId="0" applyFill="true" applyBorder="true"/>
    <xf numFmtId="0" fontId="0" fillId="90" borderId="6" xfId="0" applyFill="true" applyBorder="true"/>
    <xf numFmtId="0" fontId="0" fillId="90" borderId="7" xfId="0" applyFill="true" applyBorder="true"/>
    <xf numFmtId="0" fontId="0" fillId="90" borderId="8" xfId="0" applyFill="true" applyBorder="true"/>
    <xf numFmtId="0" fontId="0" fillId="90" borderId="9" xfId="0" applyFill="true" applyBorder="true"/>
    <xf numFmtId="0" fontId="0" fillId="90" borderId="11" xfId="0" applyFill="true" applyBorder="true"/>
    <xf numFmtId="0" fontId="0" fillId="91" borderId="0" xfId="0" applyFill="true"/>
    <xf numFmtId="0" fontId="0" fillId="92" borderId="0" xfId="0" applyFill="true"/>
    <xf numFmtId="0" fontId="0" fillId="93" borderId="0" xfId="0" applyFill="true"/>
    <xf numFmtId="0" fontId="0" fillId="94" borderId="0" xfId="0" applyFill="true"/>
    <xf numFmtId="0" fontId="0" fillId="95" borderId="0" xfId="0" applyFill="true"/>
    <xf numFmtId="0" fontId="0" fillId="96" borderId="0" xfId="0" applyFill="true"/>
    <xf numFmtId="0" fontId="0" fillId="97" borderId="0" xfId="0" applyFill="true"/>
    <xf numFmtId="0" fontId="0" fillId="98" borderId="0" xfId="0" applyFill="true"/>
    <xf numFmtId="0" fontId="0" fillId="99" borderId="0" xfId="0" applyFill="true"/>
    <xf numFmtId="0" fontId="0" fillId="100" borderId="0" xfId="0" applyFill="true"/>
    <xf numFmtId="0" fontId="0" fillId="101" borderId="0" xfId="0" applyFill="true"/>
    <xf numFmtId="0" fontId="0" fillId="102" borderId="0" xfId="0" applyFill="true"/>
    <xf numFmtId="0" fontId="0" fillId="103" borderId="0" xfId="0" applyFill="true"/>
    <xf numFmtId="0" fontId="0" fillId="104" borderId="0" xfId="0" applyFill="true"/>
    <xf numFmtId="0" fontId="0" fillId="105" borderId="0" xfId="0" applyFill="true"/>
    <xf numFmtId="0" fontId="0" fillId="106" borderId="0" xfId="0" applyFill="true"/>
    <xf numFmtId="0" fontId="0" fillId="107" borderId="0" xfId="0" applyFill="true"/>
    <xf numFmtId="0" fontId="0" fillId="108" borderId="0" xfId="0" applyFill="true"/>
    <xf numFmtId="0" fontId="0" fillId="109" borderId="0" xfId="0" applyFill="true"/>
    <xf numFmtId="0" fontId="0" fillId="110" borderId="0" xfId="0" applyFill="true"/>
    <xf numFmtId="0" fontId="0" fillId="111" borderId="0" xfId="0" applyFill="true"/>
    <xf numFmtId="0" fontId="0" fillId="112" borderId="0" xfId="0" applyFill="true"/>
    <xf numFmtId="0" fontId="0" fillId="113" borderId="0" xfId="0" applyFill="true"/>
    <xf numFmtId="0" fontId="0" fillId="114" borderId="0" xfId="0" applyFill="true"/>
    <xf numFmtId="0" fontId="0" fillId="115" borderId="0" xfId="0" applyFill="true"/>
    <xf numFmtId="0" fontId="0" fillId="116" borderId="0" xfId="0" applyFill="true"/>
    <xf numFmtId="0" fontId="0" fillId="117" borderId="0" xfId="0" applyFill="true"/>
    <xf numFmtId="0" fontId="0" fillId="118" borderId="0" xfId="0" applyFill="true"/>
    <xf numFmtId="0" fontId="0" fillId="119" borderId="0" xfId="0" applyFill="true"/>
    <xf numFmtId="0" fontId="0" fillId="120" borderId="0" xfId="0" applyFill="true"/>
    <xf numFmtId="0" fontId="0" fillId="121" borderId="0" xfId="0" applyFill="true"/>
    <xf numFmtId="0" fontId="0" fillId="122" borderId="0" xfId="0" applyFill="true"/>
    <xf numFmtId="0" fontId="0" fillId="123" borderId="0" xfId="0" applyFill="true"/>
    <xf numFmtId="0" fontId="0" fillId="124" borderId="0" xfId="0" applyFill="true"/>
    <xf numFmtId="0" fontId="0" fillId="125" borderId="0" xfId="0" applyFill="true"/>
    <xf numFmtId="0" fontId="0" fillId="126" borderId="0" xfId="0" applyFill="true"/>
    <xf numFmtId="0" fontId="0" fillId="127" borderId="0" xfId="0" applyFill="true"/>
    <xf numFmtId="0" fontId="0" fillId="128" borderId="0" xfId="0" applyFill="true"/>
    <xf numFmtId="0" fontId="0" fillId="129" borderId="0" xfId="0" applyFill="true"/>
    <xf numFmtId="0" fontId="0" fillId="130" borderId="0" xfId="0" applyFill="true"/>
    <xf numFmtId="0" fontId="0" fillId="131" borderId="0" xfId="0" applyFill="true"/>
    <xf numFmtId="0" fontId="0" fillId="132" borderId="0" xfId="0" applyFill="true"/>
    <xf numFmtId="0" fontId="0" fillId="133" borderId="0" xfId="0" applyFill="true"/>
    <xf numFmtId="0" fontId="0" fillId="134" borderId="0" xfId="0" applyFill="true"/>
    <xf numFmtId="0" fontId="0" fillId="135" borderId="0" xfId="0" applyFill="true"/>
    <xf numFmtId="0" fontId="0" fillId="136" borderId="0" xfId="0" applyFill="true"/>
    <xf numFmtId="0" fontId="0" fillId="137" borderId="0" xfId="0" applyFill="true"/>
    <xf numFmtId="0" fontId="0" fillId="138" borderId="0" xfId="0" applyFill="true"/>
    <xf numFmtId="0" fontId="0" fillId="139" borderId="0" xfId="0" applyFill="true"/>
    <xf numFmtId="0" fontId="0" fillId="140" borderId="0" xfId="0" applyFill="true"/>
    <xf numFmtId="0" fontId="0" fillId="141" borderId="0" xfId="0" applyFill="true"/>
    <xf numFmtId="0" fontId="0" fillId="142" borderId="0" xfId="0" applyFill="true"/>
    <xf numFmtId="0" fontId="0" fillId="143" borderId="0" xfId="0" applyFill="true"/>
    <xf numFmtId="0" fontId="0" fillId="144" borderId="0" xfId="0" applyFill="true"/>
    <xf numFmtId="0" fontId="0" fillId="145" borderId="0" xfId="0" applyFill="true"/>
    <xf numFmtId="0" fontId="0" fillId="146" borderId="0" xfId="0" applyFill="true"/>
    <xf numFmtId="0" fontId="0" fillId="147" borderId="0" xfId="0" applyFill="true"/>
    <xf numFmtId="0" fontId="0" fillId="148" borderId="0" xfId="0" applyFill="true"/>
    <xf numFmtId="0" fontId="0" fillId="149" borderId="0" xfId="0" applyFill="true"/>
    <xf numFmtId="0" fontId="0" fillId="150" borderId="0" xfId="0" applyFill="true"/>
    <xf numFmtId="0" fontId="0" fillId="151" borderId="0" xfId="0" applyFill="true"/>
    <xf numFmtId="0" fontId="0" fillId="152" borderId="0" xfId="0" applyFill="true"/>
    <xf numFmtId="0" fontId="0" fillId="153" borderId="0" xfId="0" applyFill="true"/>
    <xf numFmtId="0" fontId="0" fillId="154" borderId="0" xfId="0" applyFill="true"/>
    <xf numFmtId="0" fontId="0" fillId="155" borderId="0" xfId="0" applyFill="true"/>
    <xf numFmtId="0" fontId="0" fillId="156" borderId="0" xfId="0" applyFill="true"/>
    <xf numFmtId="0" fontId="0" fillId="157" borderId="0" xfId="0" applyFill="true"/>
    <xf numFmtId="0" fontId="0" fillId="158" borderId="0" xfId="0" applyFill="true"/>
    <xf numFmtId="0" fontId="0" fillId="159" borderId="0" xfId="0" applyFill="true"/>
    <xf numFmtId="0" fontId="0" fillId="160" borderId="0" xfId="0" applyFill="true"/>
    <xf numFmtId="0" fontId="0" fillId="161" borderId="0" xfId="0" applyFill="true"/>
    <xf numFmtId="0" fontId="0" fillId="162" borderId="0" xfId="0" applyFill="true"/>
    <xf numFmtId="0" fontId="0" fillId="163" borderId="0" xfId="0" applyFill="true"/>
    <xf numFmtId="0" fontId="0" fillId="164" borderId="0" xfId="0" applyFill="true"/>
    <xf numFmtId="0" fontId="0" fillId="165" borderId="0" xfId="0" applyFill="true"/>
    <xf numFmtId="0" fontId="0" fillId="166" borderId="0" xfId="0" applyFill="true"/>
    <xf numFmtId="0" fontId="0" fillId="167" borderId="0" xfId="0" applyFill="true"/>
    <xf numFmtId="0" fontId="0" fillId="168" borderId="0" xfId="0" applyFill="true"/>
    <xf numFmtId="0" fontId="0" fillId="169" borderId="0" xfId="0" applyFill="true"/>
    <xf numFmtId="0" fontId="0" fillId="170" borderId="0" xfId="0" applyFill="true"/>
    <xf numFmtId="0" fontId="0" fillId="171" borderId="0" xfId="0" applyFill="true"/>
    <xf numFmtId="0" fontId="0" fillId="172" borderId="0" xfId="0" applyFill="true"/>
    <xf numFmtId="0" fontId="0" fillId="173" borderId="0" xfId="0" applyFill="true"/>
    <xf numFmtId="0" fontId="0" fillId="174" borderId="0" xfId="0" applyFill="true"/>
    <xf numFmtId="0" fontId="0" fillId="175" borderId="0" xfId="0" applyFill="true"/>
    <xf numFmtId="0" fontId="0" fillId="176" borderId="0" xfId="0" applyFill="true"/>
    <xf numFmtId="0" fontId="0" fillId="177" borderId="0" xfId="0" applyFill="true"/>
    <xf numFmtId="0" fontId="0" fillId="178" borderId="0" xfId="0" applyFill="true"/>
    <xf numFmtId="0" fontId="0" fillId="179" borderId="0" xfId="0" applyFill="true"/>
    <xf numFmtId="0" fontId="0" fillId="180" borderId="0" xfId="0" applyFill="true"/>
    <xf numFmtId="0" fontId="0" fillId="181" borderId="0" xfId="0" applyFill="true"/>
    <xf numFmtId="0" fontId="0" fillId="182" borderId="0" xfId="0" applyFill="true"/>
    <xf numFmtId="0" fontId="0" fillId="183" borderId="0" xfId="0" applyFill="true"/>
    <xf numFmtId="0" fontId="0" fillId="184" borderId="0" xfId="0" applyFill="true"/>
    <xf numFmtId="0" fontId="0" fillId="185" borderId="0" xfId="0" applyFill="true"/>
    <xf numFmtId="0" fontId="0" fillId="186" borderId="0" xfId="0" applyFill="true"/>
    <xf numFmtId="0" fontId="0" fillId="187" borderId="0" xfId="0" applyFill="true"/>
    <xf numFmtId="0" fontId="0" fillId="188" borderId="0" xfId="0" applyFill="true"/>
    <xf numFmtId="0" fontId="0" fillId="189" borderId="0" xfId="0" applyFill="true"/>
    <xf numFmtId="0" fontId="0" fillId="190" borderId="0" xfId="0" applyFill="true"/>
    <xf numFmtId="0" fontId="0" fillId="191" borderId="0" xfId="0" applyFill="true"/>
    <xf numFmtId="0" fontId="0" fillId="192" borderId="0" xfId="0" applyFill="true"/>
    <xf numFmtId="0" fontId="0" fillId="193" borderId="0" xfId="0" applyFill="true"/>
    <xf numFmtId="0" fontId="0" fillId="194" borderId="0" xfId="0" applyFill="true"/>
    <xf numFmtId="0" fontId="0" fillId="195" borderId="0" xfId="0" applyFill="true"/>
    <xf numFmtId="0" fontId="0" fillId="196" borderId="0" xfId="0" applyFill="true"/>
    <xf numFmtId="0" fontId="0" fillId="197" borderId="0" xfId="0" applyFill="true"/>
    <xf numFmtId="0" fontId="0" fillId="198" borderId="0" xfId="0" applyFill="true"/>
    <xf numFmtId="0" fontId="0" fillId="199" borderId="0" xfId="0" applyFill="true"/>
    <xf numFmtId="0" fontId="0" fillId="200" borderId="0" xfId="0" applyFill="true"/>
    <xf numFmtId="0" fontId="0" fillId="201" borderId="0" xfId="0" applyFill="true"/>
    <xf numFmtId="0" fontId="0" fillId="202" borderId="0" xfId="0" applyFill="true"/>
    <xf numFmtId="0" fontId="0" fillId="203" borderId="0" xfId="0" applyFill="true"/>
    <xf numFmtId="0" fontId="0" fillId="204" borderId="0" xfId="0" applyFill="true"/>
    <xf numFmtId="0" fontId="0" fillId="205" borderId="0" xfId="0" applyFill="true"/>
    <xf numFmtId="0" fontId="0" fillId="206" borderId="0" xfId="0" applyFill="true"/>
    <xf numFmtId="0" fontId="0" fillId="207" borderId="0" xfId="0" applyFill="true"/>
    <xf numFmtId="0" fontId="0" fillId="208" borderId="0" xfId="0" applyFill="true"/>
    <xf numFmtId="0" fontId="10" fillId="0" borderId="24" xfId="0" applyFont="true" applyFill="true" applyBorder="true" applyAlignment="true">
      <alignment horizontal="left" wrapText="true"/>
    </xf>
    <xf numFmtId="49" fontId="0" fillId="0" borderId="25" xfId="0" applyNumberFormat="true"/>
    <xf numFmtId="22" fontId="0" fillId="0" borderId="26" xfId="0" applyNumberFormat="true"/>
    <xf numFmtId="49" fontId="0" fillId="0" borderId="27" xfId="0" applyNumberFormat="true"/>
    <xf numFmtId="22" fontId="0" fillId="0" borderId="28" xfId="0" applyNumberFormat="true"/>
  </cellXfs>
  <cellStyles count="3654">
    <cellStyle name="Followed Hyperlink" xfId="2" builtinId="9" hidden="true"/>
    <cellStyle name="Followed Hyperlink" xfId="4" builtinId="9" hidden="true"/>
    <cellStyle name="Followed Hyperlink" xfId="6" builtinId="9" hidden="true"/>
    <cellStyle name="Followed Hyperlink" xfId="8" builtinId="9" hidden="true"/>
    <cellStyle name="Followed Hyperlink" xfId="10" builtinId="9" hidden="true"/>
    <cellStyle name="Followed Hyperlink" xfId="12" builtinId="9" hidden="true"/>
    <cellStyle name="Followed Hyperlink" xfId="14" builtinId="9" hidden="true"/>
    <cellStyle name="Followed Hyperlink" xfId="16" builtinId="9" hidden="true"/>
    <cellStyle name="Followed Hyperlink" xfId="18" builtinId="9" hidden="true"/>
    <cellStyle name="Followed Hyperlink" xfId="20" builtinId="9" hidden="true"/>
    <cellStyle name="Followed Hyperlink" xfId="22" builtinId="9" hidden="true"/>
    <cellStyle name="Followed Hyperlink" xfId="24" builtinId="9" hidden="true"/>
    <cellStyle name="Followed Hyperlink" xfId="26" builtinId="9" hidden="true"/>
    <cellStyle name="Followed Hyperlink" xfId="28" builtinId="9" hidden="true"/>
    <cellStyle name="Followed Hyperlink" xfId="30" builtinId="9" hidden="true"/>
    <cellStyle name="Followed Hyperlink" xfId="32" builtinId="9" hidden="true"/>
    <cellStyle name="Followed Hyperlink" xfId="34" builtinId="9" hidden="true"/>
    <cellStyle name="Followed Hyperlink" xfId="36" builtinId="9" hidden="true"/>
    <cellStyle name="Followed Hyperlink" xfId="38" builtinId="9" hidden="true"/>
    <cellStyle name="Followed Hyperlink" xfId="40" builtinId="9" hidden="true"/>
    <cellStyle name="Followed Hyperlink" xfId="42" builtinId="9" hidden="true"/>
    <cellStyle name="Followed Hyperlink" xfId="44" builtinId="9" hidden="true"/>
    <cellStyle name="Followed Hyperlink" xfId="46" builtinId="9" hidden="true"/>
    <cellStyle name="Followed Hyperlink" xfId="48" builtinId="9" hidden="true"/>
    <cellStyle name="Followed Hyperlink" xfId="50" builtinId="9" hidden="true"/>
    <cellStyle name="Followed Hyperlink" xfId="52" builtinId="9" hidden="true"/>
    <cellStyle name="Followed Hyperlink" xfId="54" builtinId="9" hidden="true"/>
    <cellStyle name="Followed Hyperlink" xfId="56" builtinId="9" hidden="true"/>
    <cellStyle name="Followed Hyperlink" xfId="58" builtinId="9" hidden="true"/>
    <cellStyle name="Followed Hyperlink" xfId="60" builtinId="9" hidden="true"/>
    <cellStyle name="Followed Hyperlink" xfId="62" builtinId="9" hidden="true"/>
    <cellStyle name="Followed Hyperlink" xfId="64" builtinId="9" hidden="true"/>
    <cellStyle name="Followed Hyperlink" xfId="66" builtinId="9" hidden="true"/>
    <cellStyle name="Followed Hyperlink" xfId="68" builtinId="9" hidden="true"/>
    <cellStyle name="Followed Hyperlink" xfId="70" builtinId="9" hidden="true"/>
    <cellStyle name="Followed Hyperlink" xfId="72" builtinId="9" hidden="true"/>
    <cellStyle name="Followed Hyperlink" xfId="74" builtinId="9" hidden="true"/>
    <cellStyle name="Followed Hyperlink" xfId="76" builtinId="9" hidden="true"/>
    <cellStyle name="Followed Hyperlink" xfId="78" builtinId="9" hidden="true"/>
    <cellStyle name="Followed Hyperlink" xfId="80" builtinId="9" hidden="true"/>
    <cellStyle name="Followed Hyperlink" xfId="82" builtinId="9" hidden="true"/>
    <cellStyle name="Followed Hyperlink" xfId="84" builtinId="9" hidden="true"/>
    <cellStyle name="Followed Hyperlink" xfId="86" builtinId="9" hidden="true"/>
    <cellStyle name="Followed Hyperlink" xfId="88" builtinId="9" hidden="true"/>
    <cellStyle name="Followed Hyperlink" xfId="90" builtinId="9" hidden="true"/>
    <cellStyle name="Followed Hyperlink" xfId="92" builtinId="9" hidden="true"/>
    <cellStyle name="Followed Hyperlink" xfId="94" builtinId="9" hidden="true"/>
    <cellStyle name="Followed Hyperlink" xfId="96" builtinId="9" hidden="true"/>
    <cellStyle name="Followed Hyperlink" xfId="98" builtinId="9" hidden="true"/>
    <cellStyle name="Followed Hyperlink" xfId="100" builtinId="9" hidden="true"/>
    <cellStyle name="Followed Hyperlink" xfId="102" builtinId="9" hidden="true"/>
    <cellStyle name="Followed Hyperlink" xfId="104" builtinId="9" hidden="true"/>
    <cellStyle name="Followed Hyperlink" xfId="106" builtinId="9" hidden="true"/>
    <cellStyle name="Followed Hyperlink" xfId="108" builtinId="9" hidden="true"/>
    <cellStyle name="Followed Hyperlink" xfId="110" builtinId="9" hidden="true"/>
    <cellStyle name="Followed Hyperlink" xfId="112" builtinId="9" hidden="true"/>
    <cellStyle name="Followed Hyperlink" xfId="114" builtinId="9" hidden="true"/>
    <cellStyle name="Followed Hyperlink" xfId="116" builtinId="9" hidden="true"/>
    <cellStyle name="Followed Hyperlink" xfId="118" builtinId="9" hidden="true"/>
    <cellStyle name="Followed Hyperlink" xfId="120" builtinId="9" hidden="true"/>
    <cellStyle name="Followed Hyperlink" xfId="122" builtinId="9" hidden="true"/>
    <cellStyle name="Followed Hyperlink" xfId="124" builtinId="9" hidden="true"/>
    <cellStyle name="Followed Hyperlink" xfId="126" builtinId="9" hidden="true"/>
    <cellStyle name="Followed Hyperlink" xfId="128" builtinId="9" hidden="true"/>
    <cellStyle name="Followed Hyperlink" xfId="130" builtinId="9" hidden="true"/>
    <cellStyle name="Followed Hyperlink" xfId="132" builtinId="9" hidden="true"/>
    <cellStyle name="Followed Hyperlink" xfId="134" builtinId="9" hidden="true"/>
    <cellStyle name="Followed Hyperlink" xfId="136" builtinId="9" hidden="true"/>
    <cellStyle name="Followed Hyperlink" xfId="138" builtinId="9" hidden="true"/>
    <cellStyle name="Followed Hyperlink" xfId="140" builtinId="9" hidden="true"/>
    <cellStyle name="Followed Hyperlink" xfId="142" builtinId="9" hidden="true"/>
    <cellStyle name="Followed Hyperlink" xfId="144" builtinId="9" hidden="true"/>
    <cellStyle name="Followed Hyperlink" xfId="146" builtinId="9" hidden="true"/>
    <cellStyle name="Followed Hyperlink" xfId="148" builtinId="9" hidden="true"/>
    <cellStyle name="Followed Hyperlink" xfId="150" builtinId="9" hidden="true"/>
    <cellStyle name="Followed Hyperlink" xfId="152" builtinId="9" hidden="true"/>
    <cellStyle name="Followed Hyperlink" xfId="154" builtinId="9" hidden="true"/>
    <cellStyle name="Followed Hyperlink" xfId="156" builtinId="9" hidden="true"/>
    <cellStyle name="Followed Hyperlink" xfId="158" builtinId="9" hidden="true"/>
    <cellStyle name="Followed Hyperlink" xfId="160" builtinId="9" hidden="true"/>
    <cellStyle name="Followed Hyperlink" xfId="162" builtinId="9" hidden="true"/>
    <cellStyle name="Followed Hyperlink" xfId="164" builtinId="9" hidden="true"/>
    <cellStyle name="Followed Hyperlink" xfId="166" builtinId="9" hidden="true"/>
    <cellStyle name="Followed Hyperlink" xfId="168" builtinId="9" hidden="true"/>
    <cellStyle name="Followed Hyperlink" xfId="170" builtinId="9" hidden="true"/>
    <cellStyle name="Followed Hyperlink" xfId="172" builtinId="9" hidden="true"/>
    <cellStyle name="Followed Hyperlink" xfId="174" builtinId="9" hidden="true"/>
    <cellStyle name="Followed Hyperlink" xfId="176" builtinId="9" hidden="true"/>
    <cellStyle name="Followed Hyperlink" xfId="178" builtinId="9" hidden="true"/>
    <cellStyle name="Followed Hyperlink" xfId="180" builtinId="9" hidden="true"/>
    <cellStyle name="Followed Hyperlink" xfId="182" builtinId="9" hidden="true"/>
    <cellStyle name="Followed Hyperlink" xfId="184" builtinId="9" hidden="true"/>
    <cellStyle name="Followed Hyperlink" xfId="186" builtinId="9" hidden="true"/>
    <cellStyle name="Followed Hyperlink" xfId="188" builtinId="9" hidden="true"/>
    <cellStyle name="Followed Hyperlink" xfId="190" builtinId="9" hidden="true"/>
    <cellStyle name="Followed Hyperlink" xfId="192" builtinId="9" hidden="true"/>
    <cellStyle name="Followed Hyperlink" xfId="194" builtinId="9" hidden="true"/>
    <cellStyle name="Followed Hyperlink" xfId="196" builtinId="9" hidden="true"/>
    <cellStyle name="Followed Hyperlink" xfId="198" builtinId="9" hidden="true"/>
    <cellStyle name="Followed Hyperlink" xfId="200" builtinId="9" hidden="true"/>
    <cellStyle name="Followed Hyperlink" xfId="202" builtinId="9" hidden="true"/>
    <cellStyle name="Followed Hyperlink" xfId="204" builtinId="9" hidden="true"/>
    <cellStyle name="Followed Hyperlink" xfId="206" builtinId="9" hidden="true"/>
    <cellStyle name="Followed Hyperlink" xfId="208" builtinId="9" hidden="true"/>
    <cellStyle name="Followed Hyperlink" xfId="210" builtinId="9" hidden="true"/>
    <cellStyle name="Followed Hyperlink" xfId="212" builtinId="9" hidden="true"/>
    <cellStyle name="Followed Hyperlink" xfId="214" builtinId="9" hidden="true"/>
    <cellStyle name="Followed Hyperlink" xfId="216" builtinId="9" hidden="true"/>
    <cellStyle name="Followed Hyperlink" xfId="218" builtinId="9" hidden="true"/>
    <cellStyle name="Followed Hyperlink" xfId="220" builtinId="9" hidden="true"/>
    <cellStyle name="Followed Hyperlink" xfId="222" builtinId="9" hidden="true"/>
    <cellStyle name="Followed Hyperlink" xfId="224" builtinId="9" hidden="true"/>
    <cellStyle name="Followed Hyperlink" xfId="226" builtinId="9" hidden="true"/>
    <cellStyle name="Followed Hyperlink" xfId="228" builtinId="9" hidden="true"/>
    <cellStyle name="Followed Hyperlink" xfId="230" builtinId="9" hidden="true"/>
    <cellStyle name="Followed Hyperlink" xfId="232" builtinId="9" hidden="true"/>
    <cellStyle name="Followed Hyperlink" xfId="234" builtinId="9" hidden="true"/>
    <cellStyle name="Followed Hyperlink" xfId="236" builtinId="9" hidden="true"/>
    <cellStyle name="Followed Hyperlink" xfId="238" builtinId="9" hidden="true"/>
    <cellStyle name="Followed Hyperlink" xfId="240" builtinId="9" hidden="true"/>
    <cellStyle name="Followed Hyperlink" xfId="242" builtinId="9" hidden="true"/>
    <cellStyle name="Followed Hyperlink" xfId="244" builtinId="9" hidden="true"/>
    <cellStyle name="Followed Hyperlink" xfId="246" builtinId="9" hidden="true"/>
    <cellStyle name="Followed Hyperlink" xfId="248" builtinId="9" hidden="true"/>
    <cellStyle name="Followed Hyperlink" xfId="250" builtinId="9" hidden="true"/>
    <cellStyle name="Followed Hyperlink" xfId="252" builtinId="9" hidden="true"/>
    <cellStyle name="Followed Hyperlink" xfId="254" builtinId="9" hidden="true"/>
    <cellStyle name="Followed Hyperlink" xfId="256" builtinId="9" hidden="true"/>
    <cellStyle name="Followed Hyperlink" xfId="258" builtinId="9" hidden="true"/>
    <cellStyle name="Followed Hyperlink" xfId="260" builtinId="9" hidden="true"/>
    <cellStyle name="Followed Hyperlink" xfId="262" builtinId="9" hidden="true"/>
    <cellStyle name="Followed Hyperlink" xfId="264" builtinId="9" hidden="true"/>
    <cellStyle name="Followed Hyperlink" xfId="266" builtinId="9" hidden="true"/>
    <cellStyle name="Followed Hyperlink" xfId="268" builtinId="9" hidden="true"/>
    <cellStyle name="Followed Hyperlink" xfId="270" builtinId="9" hidden="true"/>
    <cellStyle name="Followed Hyperlink" xfId="272" builtinId="9" hidden="true"/>
    <cellStyle name="Followed Hyperlink" xfId="274" builtinId="9" hidden="true"/>
    <cellStyle name="Followed Hyperlink" xfId="276" builtinId="9" hidden="true"/>
    <cellStyle name="Followed Hyperlink" xfId="278" builtinId="9" hidden="true"/>
    <cellStyle name="Followed Hyperlink" xfId="280" builtinId="9" hidden="true"/>
    <cellStyle name="Followed Hyperlink" xfId="282" builtinId="9" hidden="true"/>
    <cellStyle name="Followed Hyperlink" xfId="284" builtinId="9" hidden="true"/>
    <cellStyle name="Followed Hyperlink" xfId="286" builtinId="9" hidden="true"/>
    <cellStyle name="Followed Hyperlink" xfId="288" builtinId="9" hidden="true"/>
    <cellStyle name="Followed Hyperlink" xfId="290" builtinId="9" hidden="true"/>
    <cellStyle name="Followed Hyperlink" xfId="292" builtinId="9" hidden="true"/>
    <cellStyle name="Followed Hyperlink" xfId="294" builtinId="9" hidden="true"/>
    <cellStyle name="Followed Hyperlink" xfId="296" builtinId="9" hidden="true"/>
    <cellStyle name="Followed Hyperlink" xfId="298" builtinId="9" hidden="true"/>
    <cellStyle name="Followed Hyperlink" xfId="300" builtinId="9" hidden="true"/>
    <cellStyle name="Followed Hyperlink" xfId="302" builtinId="9" hidden="true"/>
    <cellStyle name="Followed Hyperlink" xfId="304" builtinId="9" hidden="true"/>
    <cellStyle name="Followed Hyperlink" xfId="306" builtinId="9" hidden="true"/>
    <cellStyle name="Followed Hyperlink" xfId="308" builtinId="9" hidden="true"/>
    <cellStyle name="Followed Hyperlink" xfId="310" builtinId="9" hidden="true"/>
    <cellStyle name="Followed Hyperlink" xfId="312" builtinId="9" hidden="true"/>
    <cellStyle name="Followed Hyperlink" xfId="314" builtinId="9" hidden="true"/>
    <cellStyle name="Followed Hyperlink" xfId="316" builtinId="9" hidden="true"/>
    <cellStyle name="Followed Hyperlink" xfId="318" builtinId="9" hidden="true"/>
    <cellStyle name="Followed Hyperlink" xfId="320" builtinId="9" hidden="true"/>
    <cellStyle name="Followed Hyperlink" xfId="322" builtinId="9" hidden="true"/>
    <cellStyle name="Followed Hyperlink" xfId="324" builtinId="9" hidden="true"/>
    <cellStyle name="Followed Hyperlink" xfId="326" builtinId="9" hidden="true"/>
    <cellStyle name="Followed Hyperlink" xfId="328" builtinId="9" hidden="true"/>
    <cellStyle name="Followed Hyperlink" xfId="330" builtinId="9" hidden="true"/>
    <cellStyle name="Followed Hyperlink" xfId="332" builtinId="9" hidden="true"/>
    <cellStyle name="Followed Hyperlink" xfId="334" builtinId="9" hidden="true"/>
    <cellStyle name="Followed Hyperlink" xfId="336" builtinId="9" hidden="true"/>
    <cellStyle name="Followed Hyperlink" xfId="338" builtinId="9" hidden="true"/>
    <cellStyle name="Followed Hyperlink" xfId="340" builtinId="9" hidden="true"/>
    <cellStyle name="Followed Hyperlink" xfId="342" builtinId="9" hidden="true"/>
    <cellStyle name="Followed Hyperlink" xfId="344" builtinId="9" hidden="true"/>
    <cellStyle name="Followed Hyperlink" xfId="346" builtinId="9" hidden="true"/>
    <cellStyle name="Followed Hyperlink" xfId="348" builtinId="9" hidden="true"/>
    <cellStyle name="Followed Hyperlink" xfId="350" builtinId="9" hidden="true"/>
    <cellStyle name="Followed Hyperlink" xfId="352" builtinId="9" hidden="true"/>
    <cellStyle name="Followed Hyperlink" xfId="354" builtinId="9" hidden="true"/>
    <cellStyle name="Followed Hyperlink" xfId="356" builtinId="9" hidden="true"/>
    <cellStyle name="Followed Hyperlink" xfId="358" builtinId="9" hidden="true"/>
    <cellStyle name="Followed Hyperlink" xfId="360" builtinId="9" hidden="true"/>
    <cellStyle name="Followed Hyperlink" xfId="362" builtinId="9" hidden="true"/>
    <cellStyle name="Followed Hyperlink" xfId="364" builtinId="9" hidden="true"/>
    <cellStyle name="Followed Hyperlink" xfId="366" builtinId="9" hidden="true"/>
    <cellStyle name="Followed Hyperlink" xfId="368" builtinId="9" hidden="true"/>
    <cellStyle name="Followed Hyperlink" xfId="370" builtinId="9" hidden="true"/>
    <cellStyle name="Followed Hyperlink" xfId="372" builtinId="9" hidden="true"/>
    <cellStyle name="Followed Hyperlink" xfId="374" builtinId="9" hidden="true"/>
    <cellStyle name="Followed Hyperlink" xfId="376" builtinId="9" hidden="true"/>
    <cellStyle name="Followed Hyperlink" xfId="378" builtinId="9" hidden="true"/>
    <cellStyle name="Followed Hyperlink" xfId="380" builtinId="9" hidden="true"/>
    <cellStyle name="Followed Hyperlink" xfId="382" builtinId="9" hidden="true"/>
    <cellStyle name="Followed Hyperlink" xfId="384" builtinId="9" hidden="true"/>
    <cellStyle name="Followed Hyperlink" xfId="386" builtinId="9" hidden="true"/>
    <cellStyle name="Followed Hyperlink" xfId="388" builtinId="9" hidden="true"/>
    <cellStyle name="Followed Hyperlink" xfId="390" builtinId="9" hidden="true"/>
    <cellStyle name="Followed Hyperlink" xfId="392" builtinId="9" hidden="true"/>
    <cellStyle name="Followed Hyperlink" xfId="394" builtinId="9" hidden="true"/>
    <cellStyle name="Followed Hyperlink" xfId="396" builtinId="9" hidden="true"/>
    <cellStyle name="Followed Hyperlink" xfId="398" builtinId="9" hidden="true"/>
    <cellStyle name="Followed Hyperlink" xfId="400" builtinId="9" hidden="true"/>
    <cellStyle name="Followed Hyperlink" xfId="402" builtinId="9" hidden="true"/>
    <cellStyle name="Followed Hyperlink" xfId="404" builtinId="9" hidden="true"/>
    <cellStyle name="Followed Hyperlink" xfId="406" builtinId="9" hidden="true"/>
    <cellStyle name="Followed Hyperlink" xfId="408" builtinId="9" hidden="true"/>
    <cellStyle name="Followed Hyperlink" xfId="410" builtinId="9" hidden="true"/>
    <cellStyle name="Followed Hyperlink" xfId="412" builtinId="9" hidden="true"/>
    <cellStyle name="Followed Hyperlink" xfId="414" builtinId="9" hidden="true"/>
    <cellStyle name="Followed Hyperlink" xfId="416" builtinId="9" hidden="true"/>
    <cellStyle name="Followed Hyperlink" xfId="418" builtinId="9" hidden="true"/>
    <cellStyle name="Followed Hyperlink" xfId="420" builtinId="9" hidden="true"/>
    <cellStyle name="Followed Hyperlink" xfId="422" builtinId="9" hidden="true"/>
    <cellStyle name="Followed Hyperlink" xfId="424" builtinId="9" hidden="true"/>
    <cellStyle name="Followed Hyperlink" xfId="426" builtinId="9" hidden="true"/>
    <cellStyle name="Followed Hyperlink" xfId="428" builtinId="9" hidden="true"/>
    <cellStyle name="Followed Hyperlink" xfId="430" builtinId="9" hidden="true"/>
    <cellStyle name="Followed Hyperlink" xfId="432" builtinId="9" hidden="true"/>
    <cellStyle name="Followed Hyperlink" xfId="434" builtinId="9" hidden="true"/>
    <cellStyle name="Followed Hyperlink" xfId="436" builtinId="9" hidden="true"/>
    <cellStyle name="Followed Hyperlink" xfId="438" builtinId="9" hidden="true"/>
    <cellStyle name="Followed Hyperlink" xfId="440" builtinId="9" hidden="true"/>
    <cellStyle name="Followed Hyperlink" xfId="442" builtinId="9" hidden="true"/>
    <cellStyle name="Followed Hyperlink" xfId="444" builtinId="9" hidden="true"/>
    <cellStyle name="Followed Hyperlink" xfId="446" builtinId="9" hidden="true"/>
    <cellStyle name="Followed Hyperlink" xfId="448" builtinId="9" hidden="true"/>
    <cellStyle name="Followed Hyperlink" xfId="450" builtinId="9" hidden="true"/>
    <cellStyle name="Followed Hyperlink" xfId="452" builtinId="9" hidden="true"/>
    <cellStyle name="Followed Hyperlink" xfId="454" builtinId="9" hidden="true"/>
    <cellStyle name="Followed Hyperlink" xfId="456" builtinId="9" hidden="true"/>
    <cellStyle name="Followed Hyperlink" xfId="458" builtinId="9" hidden="true"/>
    <cellStyle name="Followed Hyperlink" xfId="460" builtinId="9" hidden="true"/>
    <cellStyle name="Followed Hyperlink" xfId="462" builtinId="9" hidden="true"/>
    <cellStyle name="Followed Hyperlink" xfId="464" builtinId="9" hidden="true"/>
    <cellStyle name="Followed Hyperlink" xfId="466" builtinId="9" hidden="true"/>
    <cellStyle name="Followed Hyperlink" xfId="468" builtinId="9" hidden="true"/>
    <cellStyle name="Followed Hyperlink" xfId="470" builtinId="9" hidden="true"/>
    <cellStyle name="Followed Hyperlink" xfId="472" builtinId="9" hidden="true"/>
    <cellStyle name="Followed Hyperlink" xfId="474" builtinId="9" hidden="true"/>
    <cellStyle name="Followed Hyperlink" xfId="476" builtinId="9" hidden="true"/>
    <cellStyle name="Followed Hyperlink" xfId="478" builtinId="9" hidden="true"/>
    <cellStyle name="Followed Hyperlink" xfId="480" builtinId="9" hidden="true"/>
    <cellStyle name="Followed Hyperlink" xfId="482" builtinId="9" hidden="true"/>
    <cellStyle name="Followed Hyperlink" xfId="484" builtinId="9" hidden="true"/>
    <cellStyle name="Followed Hyperlink" xfId="486" builtinId="9" hidden="true"/>
    <cellStyle name="Followed Hyperlink" xfId="488" builtinId="9" hidden="true"/>
    <cellStyle name="Followed Hyperlink" xfId="490" builtinId="9" hidden="true"/>
    <cellStyle name="Followed Hyperlink" xfId="492" builtinId="9" hidden="true"/>
    <cellStyle name="Followed Hyperlink" xfId="494" builtinId="9" hidden="true"/>
    <cellStyle name="Followed Hyperlink" xfId="496" builtinId="9" hidden="true"/>
    <cellStyle name="Followed Hyperlink" xfId="498" builtinId="9" hidden="true"/>
    <cellStyle name="Followed Hyperlink" xfId="500" builtinId="9" hidden="true"/>
    <cellStyle name="Followed Hyperlink" xfId="502" builtinId="9" hidden="true"/>
    <cellStyle name="Followed Hyperlink" xfId="504" builtinId="9" hidden="true"/>
    <cellStyle name="Followed Hyperlink" xfId="506" builtinId="9" hidden="true"/>
    <cellStyle name="Followed Hyperlink" xfId="508" builtinId="9" hidden="true"/>
    <cellStyle name="Followed Hyperlink" xfId="510" builtinId="9" hidden="true"/>
    <cellStyle name="Followed Hyperlink" xfId="512" builtinId="9" hidden="true"/>
    <cellStyle name="Followed Hyperlink" xfId="514" builtinId="9" hidden="true"/>
    <cellStyle name="Followed Hyperlink" xfId="516" builtinId="9" hidden="true"/>
    <cellStyle name="Followed Hyperlink" xfId="518" builtinId="9" hidden="true"/>
    <cellStyle name="Followed Hyperlink" xfId="520" builtinId="9" hidden="true"/>
    <cellStyle name="Followed Hyperlink" xfId="522" builtinId="9" hidden="true"/>
    <cellStyle name="Followed Hyperlink" xfId="524" builtinId="9" hidden="true"/>
    <cellStyle name="Followed Hyperlink" xfId="526" builtinId="9" hidden="true"/>
    <cellStyle name="Followed Hyperlink" xfId="528" builtinId="9" hidden="true"/>
    <cellStyle name="Followed Hyperlink" xfId="530" builtinId="9" hidden="true"/>
    <cellStyle name="Followed Hyperlink" xfId="532" builtinId="9" hidden="true"/>
    <cellStyle name="Followed Hyperlink" xfId="534" builtinId="9" hidden="true"/>
    <cellStyle name="Followed Hyperlink" xfId="536" builtinId="9" hidden="true"/>
    <cellStyle name="Followed Hyperlink" xfId="538" builtinId="9" hidden="true"/>
    <cellStyle name="Followed Hyperlink" xfId="540" builtinId="9" hidden="true"/>
    <cellStyle name="Followed Hyperlink" xfId="542" builtinId="9" hidden="true"/>
    <cellStyle name="Followed Hyperlink" xfId="544" builtinId="9" hidden="true"/>
    <cellStyle name="Followed Hyperlink" xfId="546" builtinId="9" hidden="true"/>
    <cellStyle name="Followed Hyperlink" xfId="548" builtinId="9" hidden="true"/>
    <cellStyle name="Followed Hyperlink" xfId="550" builtinId="9" hidden="true"/>
    <cellStyle name="Followed Hyperlink" xfId="552" builtinId="9" hidden="true"/>
    <cellStyle name="Followed Hyperlink" xfId="554" builtinId="9" hidden="true"/>
    <cellStyle name="Followed Hyperlink" xfId="556" builtinId="9" hidden="true"/>
    <cellStyle name="Followed Hyperlink" xfId="558" builtinId="9" hidden="true"/>
    <cellStyle name="Followed Hyperlink" xfId="560" builtinId="9" hidden="true"/>
    <cellStyle name="Followed Hyperlink" xfId="562" builtinId="9" hidden="true"/>
    <cellStyle name="Followed Hyperlink" xfId="564" builtinId="9" hidden="true"/>
    <cellStyle name="Followed Hyperlink" xfId="566" builtinId="9" hidden="true"/>
    <cellStyle name="Followed Hyperlink" xfId="568" builtinId="9" hidden="true"/>
    <cellStyle name="Followed Hyperlink" xfId="570" builtinId="9" hidden="true"/>
    <cellStyle name="Followed Hyperlink" xfId="572" builtinId="9" hidden="true"/>
    <cellStyle name="Followed Hyperlink" xfId="574" builtinId="9" hidden="true"/>
    <cellStyle name="Followed Hyperlink" xfId="576" builtinId="9" hidden="true"/>
    <cellStyle name="Followed Hyperlink" xfId="578" builtinId="9" hidden="true"/>
    <cellStyle name="Followed Hyperlink" xfId="580" builtinId="9" hidden="true"/>
    <cellStyle name="Followed Hyperlink" xfId="582" builtinId="9" hidden="true"/>
    <cellStyle name="Followed Hyperlink" xfId="584" builtinId="9" hidden="true"/>
    <cellStyle name="Followed Hyperlink" xfId="586" builtinId="9" hidden="true"/>
    <cellStyle name="Followed Hyperlink" xfId="588" builtinId="9" hidden="true"/>
    <cellStyle name="Followed Hyperlink" xfId="590" builtinId="9" hidden="true"/>
    <cellStyle name="Followed Hyperlink" xfId="592" builtinId="9" hidden="true"/>
    <cellStyle name="Followed Hyperlink" xfId="594" builtinId="9" hidden="true"/>
    <cellStyle name="Followed Hyperlink" xfId="596" builtinId="9" hidden="true"/>
    <cellStyle name="Followed Hyperlink" xfId="598" builtinId="9" hidden="true"/>
    <cellStyle name="Followed Hyperlink" xfId="600" builtinId="9" hidden="true"/>
    <cellStyle name="Followed Hyperlink" xfId="602" builtinId="9" hidden="true"/>
    <cellStyle name="Followed Hyperlink" xfId="604" builtinId="9" hidden="true"/>
    <cellStyle name="Followed Hyperlink" xfId="606" builtinId="9" hidden="true"/>
    <cellStyle name="Followed Hyperlink" xfId="608" builtinId="9" hidden="true"/>
    <cellStyle name="Followed Hyperlink" xfId="610" builtinId="9" hidden="true"/>
    <cellStyle name="Followed Hyperlink" xfId="612" builtinId="9" hidden="true"/>
    <cellStyle name="Followed Hyperlink" xfId="614" builtinId="9" hidden="true"/>
    <cellStyle name="Followed Hyperlink" xfId="616" builtinId="9" hidden="true"/>
    <cellStyle name="Followed Hyperlink" xfId="618" builtinId="9" hidden="true"/>
    <cellStyle name="Followed Hyperlink" xfId="620" builtinId="9" hidden="true"/>
    <cellStyle name="Followed Hyperlink" xfId="622" builtinId="9" hidden="true"/>
    <cellStyle name="Followed Hyperlink" xfId="624" builtinId="9" hidden="true"/>
    <cellStyle name="Followed Hyperlink" xfId="626" builtinId="9" hidden="true"/>
    <cellStyle name="Followed Hyperlink" xfId="628" builtinId="9" hidden="true"/>
    <cellStyle name="Followed Hyperlink" xfId="630" builtinId="9" hidden="true"/>
    <cellStyle name="Followed Hyperlink" xfId="632" builtinId="9" hidden="true"/>
    <cellStyle name="Followed Hyperlink" xfId="634" builtinId="9" hidden="true"/>
    <cellStyle name="Followed Hyperlink" xfId="636" builtinId="9" hidden="true"/>
    <cellStyle name="Followed Hyperlink" xfId="638" builtinId="9" hidden="true"/>
    <cellStyle name="Followed Hyperlink" xfId="640" builtinId="9" hidden="true"/>
    <cellStyle name="Followed Hyperlink" xfId="642" builtinId="9" hidden="true"/>
    <cellStyle name="Followed Hyperlink" xfId="644" builtinId="9" hidden="true"/>
    <cellStyle name="Followed Hyperlink" xfId="646" builtinId="9" hidden="true"/>
    <cellStyle name="Followed Hyperlink" xfId="648" builtinId="9" hidden="true"/>
    <cellStyle name="Followed Hyperlink" xfId="650" builtinId="9" hidden="true"/>
    <cellStyle name="Followed Hyperlink" xfId="652" builtinId="9" hidden="true"/>
    <cellStyle name="Followed Hyperlink" xfId="654" builtinId="9" hidden="true"/>
    <cellStyle name="Followed Hyperlink" xfId="656" builtinId="9" hidden="true"/>
    <cellStyle name="Followed Hyperlink" xfId="658" builtinId="9" hidden="true"/>
    <cellStyle name="Followed Hyperlink" xfId="660" builtinId="9" hidden="true"/>
    <cellStyle name="Followed Hyperlink" xfId="662" builtinId="9" hidden="true"/>
    <cellStyle name="Followed Hyperlink" xfId="664" builtinId="9" hidden="true"/>
    <cellStyle name="Followed Hyperlink" xfId="666" builtinId="9" hidden="true"/>
    <cellStyle name="Followed Hyperlink" xfId="668" builtinId="9" hidden="true"/>
    <cellStyle name="Followed Hyperlink" xfId="670" builtinId="9" hidden="true"/>
    <cellStyle name="Followed Hyperlink" xfId="672" builtinId="9" hidden="true"/>
    <cellStyle name="Followed Hyperlink" xfId="674" builtinId="9" hidden="true"/>
    <cellStyle name="Followed Hyperlink" xfId="676" builtinId="9" hidden="true"/>
    <cellStyle name="Followed Hyperlink" xfId="678" builtinId="9" hidden="true"/>
    <cellStyle name="Followed Hyperlink" xfId="680" builtinId="9" hidden="true"/>
    <cellStyle name="Followed Hyperlink" xfId="682" builtinId="9" hidden="true"/>
    <cellStyle name="Followed Hyperlink" xfId="684" builtinId="9" hidden="true"/>
    <cellStyle name="Followed Hyperlink" xfId="686" builtinId="9" hidden="true"/>
    <cellStyle name="Followed Hyperlink" xfId="688" builtinId="9" hidden="true"/>
    <cellStyle name="Followed Hyperlink" xfId="690" builtinId="9" hidden="true"/>
    <cellStyle name="Followed Hyperlink" xfId="692" builtinId="9" hidden="true"/>
    <cellStyle name="Followed Hyperlink" xfId="694" builtinId="9" hidden="true"/>
    <cellStyle name="Followed Hyperlink" xfId="696" builtinId="9" hidden="true"/>
    <cellStyle name="Followed Hyperlink" xfId="698" builtinId="9" hidden="true"/>
    <cellStyle name="Followed Hyperlink" xfId="700" builtinId="9" hidden="true"/>
    <cellStyle name="Followed Hyperlink" xfId="702" builtinId="9" hidden="true"/>
    <cellStyle name="Followed Hyperlink" xfId="704" builtinId="9" hidden="true"/>
    <cellStyle name="Followed Hyperlink" xfId="706" builtinId="9" hidden="true"/>
    <cellStyle name="Followed Hyperlink" xfId="708" builtinId="9" hidden="true"/>
    <cellStyle name="Followed Hyperlink" xfId="710" builtinId="9" hidden="true"/>
    <cellStyle name="Followed Hyperlink" xfId="712" builtinId="9" hidden="true"/>
    <cellStyle name="Followed Hyperlink" xfId="714" builtinId="9" hidden="true"/>
    <cellStyle name="Followed Hyperlink" xfId="716" builtinId="9" hidden="true"/>
    <cellStyle name="Followed Hyperlink" xfId="718" builtinId="9" hidden="true"/>
    <cellStyle name="Followed Hyperlink" xfId="720" builtinId="9" hidden="true"/>
    <cellStyle name="Followed Hyperlink" xfId="722" builtinId="9" hidden="true"/>
    <cellStyle name="Followed Hyperlink" xfId="724" builtinId="9" hidden="true"/>
    <cellStyle name="Followed Hyperlink" xfId="726" builtinId="9" hidden="true"/>
    <cellStyle name="Followed Hyperlink" xfId="728" builtinId="9" hidden="true"/>
    <cellStyle name="Followed Hyperlink" xfId="730" builtinId="9" hidden="true"/>
    <cellStyle name="Followed Hyperlink" xfId="732" builtinId="9" hidden="true"/>
    <cellStyle name="Followed Hyperlink" xfId="734" builtinId="9" hidden="true"/>
    <cellStyle name="Followed Hyperlink" xfId="736" builtinId="9" hidden="true"/>
    <cellStyle name="Followed Hyperlink" xfId="738" builtinId="9" hidden="true"/>
    <cellStyle name="Followed Hyperlink" xfId="740" builtinId="9" hidden="true"/>
    <cellStyle name="Followed Hyperlink" xfId="742" builtinId="9" hidden="true"/>
    <cellStyle name="Followed Hyperlink" xfId="744" builtinId="9" hidden="true"/>
    <cellStyle name="Followed Hyperlink" xfId="746" builtinId="9" hidden="true"/>
    <cellStyle name="Followed Hyperlink" xfId="748" builtinId="9" hidden="true"/>
    <cellStyle name="Followed Hyperlink" xfId="750" builtinId="9" hidden="true"/>
    <cellStyle name="Followed Hyperlink" xfId="752" builtinId="9" hidden="true"/>
    <cellStyle name="Followed Hyperlink" xfId="754" builtinId="9" hidden="true"/>
    <cellStyle name="Followed Hyperlink" xfId="756" builtinId="9" hidden="true"/>
    <cellStyle name="Followed Hyperlink" xfId="758" builtinId="9" hidden="true"/>
    <cellStyle name="Followed Hyperlink" xfId="760" builtinId="9" hidden="true"/>
    <cellStyle name="Followed Hyperlink" xfId="762" builtinId="9" hidden="true"/>
    <cellStyle name="Followed Hyperlink" xfId="764" builtinId="9" hidden="true"/>
    <cellStyle name="Followed Hyperlink" xfId="766" builtinId="9" hidden="true"/>
    <cellStyle name="Followed Hyperlink" xfId="768" builtinId="9" hidden="true"/>
    <cellStyle name="Followed Hyperlink" xfId="770" builtinId="9" hidden="true"/>
    <cellStyle name="Followed Hyperlink" xfId="772" builtinId="9" hidden="true"/>
    <cellStyle name="Followed Hyperlink" xfId="774" builtinId="9" hidden="true"/>
    <cellStyle name="Followed Hyperlink" xfId="776" builtinId="9" hidden="true"/>
    <cellStyle name="Followed Hyperlink" xfId="778" builtinId="9" hidden="true"/>
    <cellStyle name="Followed Hyperlink" xfId="780" builtinId="9" hidden="true"/>
    <cellStyle name="Followed Hyperlink" xfId="782" builtinId="9" hidden="true"/>
    <cellStyle name="Followed Hyperlink" xfId="784" builtinId="9" hidden="true"/>
    <cellStyle name="Followed Hyperlink" xfId="786" builtinId="9" hidden="true"/>
    <cellStyle name="Followed Hyperlink" xfId="788" builtinId="9" hidden="true"/>
    <cellStyle name="Followed Hyperlink" xfId="790" builtinId="9" hidden="true"/>
    <cellStyle name="Followed Hyperlink" xfId="792" builtinId="9" hidden="true"/>
    <cellStyle name="Followed Hyperlink" xfId="794" builtinId="9" hidden="true"/>
    <cellStyle name="Followed Hyperlink" xfId="796" builtinId="9" hidden="true"/>
    <cellStyle name="Followed Hyperlink" xfId="798" builtinId="9" hidden="true"/>
    <cellStyle name="Followed Hyperlink" xfId="800" builtinId="9" hidden="true"/>
    <cellStyle name="Followed Hyperlink" xfId="802" builtinId="9" hidden="true"/>
    <cellStyle name="Followed Hyperlink" xfId="804" builtinId="9" hidden="true"/>
    <cellStyle name="Followed Hyperlink" xfId="806" builtinId="9" hidden="true"/>
    <cellStyle name="Followed Hyperlink" xfId="808" builtinId="9" hidden="true"/>
    <cellStyle name="Followed Hyperlink" xfId="810" builtinId="9" hidden="true"/>
    <cellStyle name="Followed Hyperlink" xfId="812" builtinId="9" hidden="true"/>
    <cellStyle name="Followed Hyperlink" xfId="814" builtinId="9" hidden="true"/>
    <cellStyle name="Followed Hyperlink" xfId="816" builtinId="9" hidden="true"/>
    <cellStyle name="Followed Hyperlink" xfId="818" builtinId="9" hidden="true"/>
    <cellStyle name="Followed Hyperlink" xfId="820" builtinId="9" hidden="true"/>
    <cellStyle name="Followed Hyperlink" xfId="822" builtinId="9" hidden="true"/>
    <cellStyle name="Followed Hyperlink" xfId="824" builtinId="9" hidden="true"/>
    <cellStyle name="Followed Hyperlink" xfId="826" builtinId="9" hidden="true"/>
    <cellStyle name="Followed Hyperlink" xfId="828" builtinId="9" hidden="true"/>
    <cellStyle name="Followed Hyperlink" xfId="830" builtinId="9" hidden="true"/>
    <cellStyle name="Followed Hyperlink" xfId="832" builtinId="9" hidden="true"/>
    <cellStyle name="Followed Hyperlink" xfId="834" builtinId="9" hidden="true"/>
    <cellStyle name="Followed Hyperlink" xfId="836" builtinId="9" hidden="true"/>
    <cellStyle name="Followed Hyperlink" xfId="838" builtinId="9" hidden="true"/>
    <cellStyle name="Followed Hyperlink" xfId="840" builtinId="9" hidden="true"/>
    <cellStyle name="Followed Hyperlink" xfId="842" builtinId="9" hidden="true"/>
    <cellStyle name="Followed Hyperlink" xfId="844" builtinId="9" hidden="true"/>
    <cellStyle name="Followed Hyperlink" xfId="846" builtinId="9" hidden="true"/>
    <cellStyle name="Followed Hyperlink" xfId="848" builtinId="9" hidden="true"/>
    <cellStyle name="Followed Hyperlink" xfId="850" builtinId="9" hidden="true"/>
    <cellStyle name="Followed Hyperlink" xfId="852" builtinId="9" hidden="true"/>
    <cellStyle name="Followed Hyperlink" xfId="854" builtinId="9" hidden="true"/>
    <cellStyle name="Followed Hyperlink" xfId="856" builtinId="9" hidden="true"/>
    <cellStyle name="Followed Hyperlink" xfId="858" builtinId="9" hidden="true"/>
    <cellStyle name="Followed Hyperlink" xfId="860" builtinId="9" hidden="true"/>
    <cellStyle name="Followed Hyperlink" xfId="862" builtinId="9" hidden="true"/>
    <cellStyle name="Followed Hyperlink" xfId="864" builtinId="9" hidden="true"/>
    <cellStyle name="Followed Hyperlink" xfId="866" builtinId="9" hidden="true"/>
    <cellStyle name="Followed Hyperlink" xfId="868" builtinId="9" hidden="true"/>
    <cellStyle name="Followed Hyperlink" xfId="870" builtinId="9" hidden="true"/>
    <cellStyle name="Followed Hyperlink" xfId="872" builtinId="9" hidden="true"/>
    <cellStyle name="Followed Hyperlink" xfId="874" builtinId="9" hidden="true"/>
    <cellStyle name="Followed Hyperlink" xfId="876" builtinId="9" hidden="true"/>
    <cellStyle name="Followed Hyperlink" xfId="878" builtinId="9" hidden="true"/>
    <cellStyle name="Followed Hyperlink" xfId="880" builtinId="9" hidden="true"/>
    <cellStyle name="Followed Hyperlink" xfId="882" builtinId="9" hidden="true"/>
    <cellStyle name="Followed Hyperlink" xfId="884" builtinId="9" hidden="true"/>
    <cellStyle name="Followed Hyperlink" xfId="886" builtinId="9" hidden="true"/>
    <cellStyle name="Followed Hyperlink" xfId="888" builtinId="9" hidden="true"/>
    <cellStyle name="Followed Hyperlink" xfId="890" builtinId="9" hidden="true"/>
    <cellStyle name="Followed Hyperlink" xfId="892" builtinId="9" hidden="true"/>
    <cellStyle name="Followed Hyperlink" xfId="894" builtinId="9" hidden="true"/>
    <cellStyle name="Followed Hyperlink" xfId="896" builtinId="9" hidden="true"/>
    <cellStyle name="Followed Hyperlink" xfId="898" builtinId="9" hidden="true"/>
    <cellStyle name="Followed Hyperlink" xfId="900" builtinId="9" hidden="true"/>
    <cellStyle name="Followed Hyperlink" xfId="902" builtinId="9" hidden="true"/>
    <cellStyle name="Followed Hyperlink" xfId="904" builtinId="9" hidden="true"/>
    <cellStyle name="Followed Hyperlink" xfId="906" builtinId="9" hidden="true"/>
    <cellStyle name="Followed Hyperlink" xfId="908" builtinId="9" hidden="true"/>
    <cellStyle name="Followed Hyperlink" xfId="910" builtinId="9" hidden="true"/>
    <cellStyle name="Followed Hyperlink" xfId="912" builtinId="9" hidden="true"/>
    <cellStyle name="Followed Hyperlink" xfId="914" builtinId="9" hidden="true"/>
    <cellStyle name="Followed Hyperlink" xfId="916" builtinId="9" hidden="true"/>
    <cellStyle name="Followed Hyperlink" xfId="918" builtinId="9" hidden="true"/>
    <cellStyle name="Followed Hyperlink" xfId="920" builtinId="9" hidden="true"/>
    <cellStyle name="Followed Hyperlink" xfId="922" builtinId="9" hidden="true"/>
    <cellStyle name="Followed Hyperlink" xfId="924" builtinId="9" hidden="true"/>
    <cellStyle name="Followed Hyperlink" xfId="926" builtinId="9" hidden="true"/>
    <cellStyle name="Followed Hyperlink" xfId="928" builtinId="9" hidden="true"/>
    <cellStyle name="Followed Hyperlink" xfId="930" builtinId="9" hidden="true"/>
    <cellStyle name="Followed Hyperlink" xfId="932" builtinId="9" hidden="true"/>
    <cellStyle name="Followed Hyperlink" xfId="934" builtinId="9" hidden="true"/>
    <cellStyle name="Followed Hyperlink" xfId="936" builtinId="9" hidden="true"/>
    <cellStyle name="Followed Hyperlink" xfId="938" builtinId="9" hidden="true"/>
    <cellStyle name="Followed Hyperlink" xfId="940" builtinId="9" hidden="true"/>
    <cellStyle name="Followed Hyperlink" xfId="942" builtinId="9" hidden="true"/>
    <cellStyle name="Followed Hyperlink" xfId="944" builtinId="9" hidden="true"/>
    <cellStyle name="Followed Hyperlink" xfId="946" builtinId="9" hidden="true"/>
    <cellStyle name="Followed Hyperlink" xfId="948" builtinId="9" hidden="true"/>
    <cellStyle name="Followed Hyperlink" xfId="950" builtinId="9" hidden="true"/>
    <cellStyle name="Followed Hyperlink" xfId="952" builtinId="9" hidden="true"/>
    <cellStyle name="Followed Hyperlink" xfId="954" builtinId="9" hidden="true"/>
    <cellStyle name="Followed Hyperlink" xfId="956" builtinId="9" hidden="true"/>
    <cellStyle name="Followed Hyperlink" xfId="958" builtinId="9" hidden="true"/>
    <cellStyle name="Followed Hyperlink" xfId="960" builtinId="9" hidden="true"/>
    <cellStyle name="Followed Hyperlink" xfId="962" builtinId="9" hidden="true"/>
    <cellStyle name="Followed Hyperlink" xfId="964" builtinId="9" hidden="true"/>
    <cellStyle name="Followed Hyperlink" xfId="966" builtinId="9" hidden="true"/>
    <cellStyle name="Followed Hyperlink" xfId="968" builtinId="9" hidden="true"/>
    <cellStyle name="Followed Hyperlink" xfId="970" builtinId="9" hidden="true"/>
    <cellStyle name="Followed Hyperlink" xfId="973" builtinId="9" hidden="true"/>
    <cellStyle name="Followed Hyperlink" xfId="975" builtinId="9" hidden="true"/>
    <cellStyle name="Followed Hyperlink" xfId="977" builtinId="9" hidden="true"/>
    <cellStyle name="Followed Hyperlink" xfId="979" builtinId="9" hidden="true"/>
    <cellStyle name="Followed Hyperlink" xfId="981" builtinId="9" hidden="true"/>
    <cellStyle name="Followed Hyperlink" xfId="983" builtinId="9" hidden="true"/>
    <cellStyle name="Followed Hyperlink" xfId="985" builtinId="9" hidden="true"/>
    <cellStyle name="Followed Hyperlink" xfId="987" builtinId="9" hidden="true"/>
    <cellStyle name="Followed Hyperlink" xfId="989" builtinId="9" hidden="true"/>
    <cellStyle name="Followed Hyperlink" xfId="991" builtinId="9" hidden="true"/>
    <cellStyle name="Followed Hyperlink" xfId="993" builtinId="9" hidden="true"/>
    <cellStyle name="Followed Hyperlink" xfId="995" builtinId="9" hidden="true"/>
    <cellStyle name="Followed Hyperlink" xfId="997" builtinId="9" hidden="true"/>
    <cellStyle name="Followed Hyperlink" xfId="999" builtinId="9" hidden="true"/>
    <cellStyle name="Followed Hyperlink" xfId="1001" builtinId="9" hidden="true"/>
    <cellStyle name="Followed Hyperlink" xfId="1003" builtinId="9" hidden="true"/>
    <cellStyle name="Followed Hyperlink" xfId="1005" builtinId="9" hidden="true"/>
    <cellStyle name="Followed Hyperlink" xfId="1007" builtinId="9" hidden="true"/>
    <cellStyle name="Followed Hyperlink" xfId="1009" builtinId="9" hidden="true"/>
    <cellStyle name="Followed Hyperlink" xfId="1011" builtinId="9" hidden="true"/>
    <cellStyle name="Followed Hyperlink" xfId="1013" builtinId="9" hidden="true"/>
    <cellStyle name="Followed Hyperlink" xfId="1015" builtinId="9" hidden="true"/>
    <cellStyle name="Followed Hyperlink" xfId="1017" builtinId="9" hidden="true"/>
    <cellStyle name="Followed Hyperlink" xfId="1019" builtinId="9" hidden="true"/>
    <cellStyle name="Followed Hyperlink" xfId="1021" builtinId="9" hidden="true"/>
    <cellStyle name="Followed Hyperlink" xfId="1023" builtinId="9" hidden="true"/>
    <cellStyle name="Followed Hyperlink" xfId="1025" builtinId="9" hidden="true"/>
    <cellStyle name="Followed Hyperlink" xfId="1027" builtinId="9" hidden="true"/>
    <cellStyle name="Followed Hyperlink" xfId="1029" builtinId="9" hidden="true"/>
    <cellStyle name="Followed Hyperlink" xfId="1031" builtinId="9" hidden="true"/>
    <cellStyle name="Followed Hyperlink" xfId="1033" builtinId="9" hidden="true"/>
    <cellStyle name="Followed Hyperlink" xfId="1035" builtinId="9" hidden="true"/>
    <cellStyle name="Followed Hyperlink" xfId="1037" builtinId="9" hidden="true"/>
    <cellStyle name="Followed Hyperlink" xfId="1039" builtinId="9" hidden="true"/>
    <cellStyle name="Followed Hyperlink" xfId="1041" builtinId="9" hidden="true"/>
    <cellStyle name="Followed Hyperlink" xfId="1043" builtinId="9" hidden="true"/>
    <cellStyle name="Followed Hyperlink" xfId="1045" builtinId="9" hidden="true"/>
    <cellStyle name="Followed Hyperlink" xfId="1047" builtinId="9" hidden="true"/>
    <cellStyle name="Followed Hyperlink" xfId="1049" builtinId="9" hidden="true"/>
    <cellStyle name="Followed Hyperlink" xfId="1051" builtinId="9" hidden="true"/>
    <cellStyle name="Followed Hyperlink" xfId="1053" builtinId="9" hidden="true"/>
    <cellStyle name="Followed Hyperlink" xfId="1055" builtinId="9" hidden="true"/>
    <cellStyle name="Followed Hyperlink" xfId="1057" builtinId="9" hidden="true"/>
    <cellStyle name="Followed Hyperlink" xfId="1059" builtinId="9" hidden="true"/>
    <cellStyle name="Followed Hyperlink" xfId="1061" builtinId="9" hidden="true"/>
    <cellStyle name="Followed Hyperlink" xfId="1063" builtinId="9" hidden="true"/>
    <cellStyle name="Followed Hyperlink" xfId="1065" builtinId="9" hidden="true"/>
    <cellStyle name="Followed Hyperlink" xfId="1067" builtinId="9" hidden="true"/>
    <cellStyle name="Followed Hyperlink" xfId="1069" builtinId="9" hidden="true"/>
    <cellStyle name="Followed Hyperlink" xfId="1071" builtinId="9" hidden="true"/>
    <cellStyle name="Followed Hyperlink" xfId="1073" builtinId="9" hidden="true"/>
    <cellStyle name="Followed Hyperlink" xfId="1075" builtinId="9" hidden="true"/>
    <cellStyle name="Followed Hyperlink" xfId="1077" builtinId="9" hidden="true"/>
    <cellStyle name="Followed Hyperlink" xfId="1079" builtinId="9" hidden="true"/>
    <cellStyle name="Followed Hyperlink" xfId="1081" builtinId="9" hidden="true"/>
    <cellStyle name="Followed Hyperlink" xfId="1083" builtinId="9" hidden="true"/>
    <cellStyle name="Followed Hyperlink" xfId="1085" builtinId="9" hidden="true"/>
    <cellStyle name="Followed Hyperlink" xfId="1087" builtinId="9" hidden="true"/>
    <cellStyle name="Followed Hyperlink" xfId="1089" builtinId="9" hidden="true"/>
    <cellStyle name="Followed Hyperlink" xfId="1091" builtinId="9" hidden="true"/>
    <cellStyle name="Followed Hyperlink" xfId="1093" builtinId="9" hidden="true"/>
    <cellStyle name="Followed Hyperlink" xfId="1095" builtinId="9" hidden="true"/>
    <cellStyle name="Followed Hyperlink" xfId="1097" builtinId="9" hidden="true"/>
    <cellStyle name="Followed Hyperlink" xfId="1099" builtinId="9" hidden="true"/>
    <cellStyle name="Followed Hyperlink" xfId="1101" builtinId="9" hidden="true"/>
    <cellStyle name="Followed Hyperlink" xfId="1103" builtinId="9" hidden="true"/>
    <cellStyle name="Followed Hyperlink" xfId="1105" builtinId="9" hidden="true"/>
    <cellStyle name="Followed Hyperlink" xfId="1107" builtinId="9" hidden="true"/>
    <cellStyle name="Followed Hyperlink" xfId="1109" builtinId="9" hidden="true"/>
    <cellStyle name="Followed Hyperlink" xfId="1111" builtinId="9" hidden="true"/>
    <cellStyle name="Followed Hyperlink" xfId="1113" builtinId="9" hidden="true"/>
    <cellStyle name="Followed Hyperlink" xfId="1115" builtinId="9" hidden="true"/>
    <cellStyle name="Followed Hyperlink" xfId="1117" builtinId="9" hidden="true"/>
    <cellStyle name="Followed Hyperlink" xfId="1119" builtinId="9" hidden="true"/>
    <cellStyle name="Followed Hyperlink" xfId="1121" builtinId="9" hidden="true"/>
    <cellStyle name="Followed Hyperlink" xfId="1123" builtinId="9" hidden="true"/>
    <cellStyle name="Followed Hyperlink" xfId="1125" builtinId="9" hidden="true"/>
    <cellStyle name="Followed Hyperlink" xfId="1127" builtinId="9" hidden="true"/>
    <cellStyle name="Followed Hyperlink" xfId="1129" builtinId="9" hidden="true"/>
    <cellStyle name="Followed Hyperlink" xfId="1131" builtinId="9" hidden="true"/>
    <cellStyle name="Followed Hyperlink" xfId="1133" builtinId="9" hidden="true"/>
    <cellStyle name="Followed Hyperlink" xfId="1135" builtinId="9" hidden="true"/>
    <cellStyle name="Followed Hyperlink" xfId="1137" builtinId="9" hidden="true"/>
    <cellStyle name="Followed Hyperlink" xfId="1139" builtinId="9" hidden="true"/>
    <cellStyle name="Followed Hyperlink" xfId="1141" builtinId="9" hidden="true"/>
    <cellStyle name="Followed Hyperlink" xfId="1143" builtinId="9" hidden="true"/>
    <cellStyle name="Followed Hyperlink" xfId="1145" builtinId="9" hidden="true"/>
    <cellStyle name="Followed Hyperlink" xfId="1147" builtinId="9" hidden="true"/>
    <cellStyle name="Followed Hyperlink" xfId="1149" builtinId="9" hidden="true"/>
    <cellStyle name="Followed Hyperlink" xfId="1151" builtinId="9" hidden="true"/>
    <cellStyle name="Followed Hyperlink" xfId="1153" builtinId="9" hidden="true"/>
    <cellStyle name="Followed Hyperlink" xfId="1155" builtinId="9" hidden="true"/>
    <cellStyle name="Followed Hyperlink" xfId="1157" builtinId="9" hidden="true"/>
    <cellStyle name="Followed Hyperlink" xfId="1159" builtinId="9" hidden="true"/>
    <cellStyle name="Followed Hyperlink" xfId="1161" builtinId="9" hidden="true"/>
    <cellStyle name="Followed Hyperlink" xfId="1163" builtinId="9" hidden="true"/>
    <cellStyle name="Followed Hyperlink" xfId="1165" builtinId="9" hidden="true"/>
    <cellStyle name="Followed Hyperlink" xfId="1167" builtinId="9" hidden="true"/>
    <cellStyle name="Followed Hyperlink" xfId="1169" builtinId="9" hidden="true"/>
    <cellStyle name="Followed Hyperlink" xfId="1171" builtinId="9" hidden="true"/>
    <cellStyle name="Followed Hyperlink" xfId="1173" builtinId="9" hidden="true"/>
    <cellStyle name="Followed Hyperlink" xfId="1175" builtinId="9" hidden="true"/>
    <cellStyle name="Followed Hyperlink" xfId="1177" builtinId="9" hidden="true"/>
    <cellStyle name="Followed Hyperlink" xfId="1179" builtinId="9" hidden="true"/>
    <cellStyle name="Followed Hyperlink" xfId="1181" builtinId="9" hidden="true"/>
    <cellStyle name="Followed Hyperlink" xfId="1183" builtinId="9" hidden="true"/>
    <cellStyle name="Followed Hyperlink" xfId="1185" builtinId="9" hidden="true"/>
    <cellStyle name="Followed Hyperlink" xfId="1187" builtinId="9" hidden="true"/>
    <cellStyle name="Followed Hyperlink" xfId="1189" builtinId="9" hidden="true"/>
    <cellStyle name="Followed Hyperlink" xfId="1191" builtinId="9" hidden="true"/>
    <cellStyle name="Followed Hyperlink" xfId="1193" builtinId="9" hidden="true"/>
    <cellStyle name="Followed Hyperlink" xfId="1195" builtinId="9" hidden="true"/>
    <cellStyle name="Followed Hyperlink" xfId="1197" builtinId="9" hidden="true"/>
    <cellStyle name="Followed Hyperlink" xfId="1199" builtinId="9" hidden="true"/>
    <cellStyle name="Followed Hyperlink" xfId="1201" builtinId="9" hidden="true"/>
    <cellStyle name="Followed Hyperlink" xfId="1203" builtinId="9" hidden="true"/>
    <cellStyle name="Followed Hyperlink" xfId="1205" builtinId="9" hidden="true"/>
    <cellStyle name="Followed Hyperlink" xfId="1207" builtinId="9" hidden="true"/>
    <cellStyle name="Followed Hyperlink" xfId="1209" builtinId="9" hidden="true"/>
    <cellStyle name="Followed Hyperlink" xfId="1211" builtinId="9" hidden="true"/>
    <cellStyle name="Followed Hyperlink" xfId="1213" builtinId="9" hidden="true"/>
    <cellStyle name="Followed Hyperlink" xfId="1215" builtinId="9" hidden="true"/>
    <cellStyle name="Followed Hyperlink" xfId="1217" builtinId="9" hidden="true"/>
    <cellStyle name="Followed Hyperlink" xfId="1219" builtinId="9" hidden="true"/>
    <cellStyle name="Followed Hyperlink" xfId="1221" builtinId="9" hidden="true"/>
    <cellStyle name="Followed Hyperlink" xfId="1223" builtinId="9" hidden="true"/>
    <cellStyle name="Followed Hyperlink" xfId="1225" builtinId="9" hidden="true"/>
    <cellStyle name="Followed Hyperlink" xfId="1227" builtinId="9" hidden="true"/>
    <cellStyle name="Followed Hyperlink" xfId="1229" builtinId="9" hidden="true"/>
    <cellStyle name="Followed Hyperlink" xfId="1231" builtinId="9" hidden="true"/>
    <cellStyle name="Followed Hyperlink" xfId="1233" builtinId="9" hidden="true"/>
    <cellStyle name="Followed Hyperlink" xfId="1235" builtinId="9" hidden="true"/>
    <cellStyle name="Followed Hyperlink" xfId="1237" builtinId="9" hidden="true"/>
    <cellStyle name="Followed Hyperlink" xfId="1239" builtinId="9" hidden="true"/>
    <cellStyle name="Followed Hyperlink" xfId="1241" builtinId="9" hidden="true"/>
    <cellStyle name="Followed Hyperlink" xfId="1243" builtinId="9" hidden="true"/>
    <cellStyle name="Followed Hyperlink" xfId="1245" builtinId="9" hidden="true"/>
    <cellStyle name="Followed Hyperlink" xfId="1247" builtinId="9" hidden="true"/>
    <cellStyle name="Followed Hyperlink" xfId="1249" builtinId="9" hidden="true"/>
    <cellStyle name="Followed Hyperlink" xfId="1251" builtinId="9" hidden="true"/>
    <cellStyle name="Followed Hyperlink" xfId="1253" builtinId="9" hidden="true"/>
    <cellStyle name="Followed Hyperlink" xfId="1255" builtinId="9" hidden="true"/>
    <cellStyle name="Followed Hyperlink" xfId="1257" builtinId="9" hidden="true"/>
    <cellStyle name="Followed Hyperlink" xfId="1259" builtinId="9" hidden="true"/>
    <cellStyle name="Followed Hyperlink" xfId="1261" builtinId="9" hidden="true"/>
    <cellStyle name="Followed Hyperlink" xfId="1263" builtinId="9" hidden="true"/>
    <cellStyle name="Followed Hyperlink" xfId="1265" builtinId="9" hidden="true"/>
    <cellStyle name="Followed Hyperlink" xfId="1267" builtinId="9" hidden="true"/>
    <cellStyle name="Followed Hyperlink" xfId="1269" builtinId="9" hidden="true"/>
    <cellStyle name="Followed Hyperlink" xfId="1271" builtinId="9" hidden="true"/>
    <cellStyle name="Followed Hyperlink" xfId="1273" builtinId="9" hidden="true"/>
    <cellStyle name="Followed Hyperlink" xfId="1275" builtinId="9" hidden="true"/>
    <cellStyle name="Followed Hyperlink" xfId="1277" builtinId="9" hidden="true"/>
    <cellStyle name="Followed Hyperlink" xfId="1279" builtinId="9" hidden="true"/>
    <cellStyle name="Followed Hyperlink" xfId="1281" builtinId="9" hidden="true"/>
    <cellStyle name="Followed Hyperlink" xfId="1283" builtinId="9" hidden="true"/>
    <cellStyle name="Followed Hyperlink" xfId="1285" builtinId="9" hidden="true"/>
    <cellStyle name="Followed Hyperlink" xfId="1287" builtinId="9" hidden="true"/>
    <cellStyle name="Followed Hyperlink" xfId="1289" builtinId="9" hidden="true"/>
    <cellStyle name="Followed Hyperlink" xfId="1291" builtinId="9" hidden="true"/>
    <cellStyle name="Followed Hyperlink" xfId="1293" builtinId="9" hidden="true"/>
    <cellStyle name="Followed Hyperlink" xfId="1295" builtinId="9" hidden="true"/>
    <cellStyle name="Followed Hyperlink" xfId="1297" builtinId="9" hidden="true"/>
    <cellStyle name="Followed Hyperlink" xfId="1299" builtinId="9" hidden="true"/>
    <cellStyle name="Followed Hyperlink" xfId="1301" builtinId="9" hidden="true"/>
    <cellStyle name="Followed Hyperlink" xfId="1303" builtinId="9" hidden="true"/>
    <cellStyle name="Followed Hyperlink" xfId="1305" builtinId="9" hidden="true"/>
    <cellStyle name="Followed Hyperlink" xfId="1307" builtinId="9" hidden="true"/>
    <cellStyle name="Followed Hyperlink" xfId="1309" builtinId="9" hidden="true"/>
    <cellStyle name="Followed Hyperlink" xfId="1311" builtinId="9" hidden="true"/>
    <cellStyle name="Followed Hyperlink" xfId="1313" builtinId="9" hidden="true"/>
    <cellStyle name="Followed Hyperlink" xfId="1315" builtinId="9" hidden="true"/>
    <cellStyle name="Followed Hyperlink" xfId="1317" builtinId="9" hidden="true"/>
    <cellStyle name="Followed Hyperlink" xfId="1319" builtinId="9" hidden="true"/>
    <cellStyle name="Followed Hyperlink" xfId="1321" builtinId="9" hidden="true"/>
    <cellStyle name="Followed Hyperlink" xfId="1323" builtinId="9" hidden="true"/>
    <cellStyle name="Followed Hyperlink" xfId="1325" builtinId="9" hidden="true"/>
    <cellStyle name="Followed Hyperlink" xfId="1327" builtinId="9" hidden="true"/>
    <cellStyle name="Followed Hyperlink" xfId="1329" builtinId="9" hidden="true"/>
    <cellStyle name="Followed Hyperlink" xfId="1331" builtinId="9" hidden="true"/>
    <cellStyle name="Followed Hyperlink" xfId="1333" builtinId="9" hidden="true"/>
    <cellStyle name="Followed Hyperlink" xfId="1335" builtinId="9" hidden="true"/>
    <cellStyle name="Followed Hyperlink" xfId="1337" builtinId="9" hidden="true"/>
    <cellStyle name="Followed Hyperlink" xfId="1339" builtinId="9" hidden="true"/>
    <cellStyle name="Followed Hyperlink" xfId="1341" builtinId="9" hidden="true"/>
    <cellStyle name="Followed Hyperlink" xfId="1343" builtinId="9" hidden="true"/>
    <cellStyle name="Followed Hyperlink" xfId="1345" builtinId="9" hidden="true"/>
    <cellStyle name="Followed Hyperlink" xfId="1347" builtinId="9" hidden="true"/>
    <cellStyle name="Followed Hyperlink" xfId="1349" builtinId="9" hidden="true"/>
    <cellStyle name="Followed Hyperlink" xfId="1351" builtinId="9" hidden="true"/>
    <cellStyle name="Followed Hyperlink" xfId="1353" builtinId="9" hidden="true"/>
    <cellStyle name="Followed Hyperlink" xfId="1355" builtinId="9" hidden="true"/>
    <cellStyle name="Followed Hyperlink" xfId="1357" builtinId="9" hidden="true"/>
    <cellStyle name="Followed Hyperlink" xfId="1359" builtinId="9" hidden="true"/>
    <cellStyle name="Followed Hyperlink" xfId="1361" builtinId="9" hidden="true"/>
    <cellStyle name="Followed Hyperlink" xfId="1363" builtinId="9" hidden="true"/>
    <cellStyle name="Followed Hyperlink" xfId="1365" builtinId="9" hidden="true"/>
    <cellStyle name="Followed Hyperlink" xfId="1367" builtinId="9" hidden="true"/>
    <cellStyle name="Followed Hyperlink" xfId="1369" builtinId="9" hidden="true"/>
    <cellStyle name="Followed Hyperlink" xfId="1371" builtinId="9" hidden="true"/>
    <cellStyle name="Followed Hyperlink" xfId="1373" builtinId="9" hidden="true"/>
    <cellStyle name="Followed Hyperlink" xfId="1375" builtinId="9" hidden="true"/>
    <cellStyle name="Followed Hyperlink" xfId="1377" builtinId="9" hidden="true"/>
    <cellStyle name="Followed Hyperlink" xfId="1379" builtinId="9" hidden="true"/>
    <cellStyle name="Followed Hyperlink" xfId="1381" builtinId="9" hidden="true"/>
    <cellStyle name="Followed Hyperlink" xfId="1383" builtinId="9" hidden="true"/>
    <cellStyle name="Followed Hyperlink" xfId="1385" builtinId="9" hidden="true"/>
    <cellStyle name="Followed Hyperlink" xfId="1387" builtinId="9" hidden="true"/>
    <cellStyle name="Followed Hyperlink" xfId="1389" builtinId="9" hidden="true"/>
    <cellStyle name="Followed Hyperlink" xfId="1391" builtinId="9" hidden="true"/>
    <cellStyle name="Followed Hyperlink" xfId="1393" builtinId="9" hidden="true"/>
    <cellStyle name="Followed Hyperlink" xfId="1395" builtinId="9" hidden="true"/>
    <cellStyle name="Followed Hyperlink" xfId="1397" builtinId="9" hidden="true"/>
    <cellStyle name="Followed Hyperlink" xfId="1399" builtinId="9" hidden="true"/>
    <cellStyle name="Followed Hyperlink" xfId="1401" builtinId="9" hidden="true"/>
    <cellStyle name="Followed Hyperlink" xfId="1403" builtinId="9" hidden="true"/>
    <cellStyle name="Followed Hyperlink" xfId="1405" builtinId="9" hidden="true"/>
    <cellStyle name="Followed Hyperlink" xfId="1407" builtinId="9" hidden="true"/>
    <cellStyle name="Followed Hyperlink" xfId="1409" builtinId="9" hidden="true"/>
    <cellStyle name="Followed Hyperlink" xfId="1411" builtinId="9" hidden="true"/>
    <cellStyle name="Followed Hyperlink" xfId="1413" builtinId="9" hidden="true"/>
    <cellStyle name="Followed Hyperlink" xfId="1415" builtinId="9" hidden="true"/>
    <cellStyle name="Followed Hyperlink" xfId="1417" builtinId="9" hidden="true"/>
    <cellStyle name="Followed Hyperlink" xfId="1419" builtinId="9" hidden="true"/>
    <cellStyle name="Followed Hyperlink" xfId="1421" builtinId="9" hidden="true"/>
    <cellStyle name="Followed Hyperlink" xfId="1423" builtinId="9" hidden="true"/>
    <cellStyle name="Followed Hyperlink" xfId="1425" builtinId="9" hidden="true"/>
    <cellStyle name="Followed Hyperlink" xfId="1427" builtinId="9" hidden="true"/>
    <cellStyle name="Followed Hyperlink" xfId="1429" builtinId="9" hidden="true"/>
    <cellStyle name="Followed Hyperlink" xfId="1431" builtinId="9" hidden="true"/>
    <cellStyle name="Followed Hyperlink" xfId="1433" builtinId="9" hidden="true"/>
    <cellStyle name="Followed Hyperlink" xfId="1435" builtinId="9" hidden="true"/>
    <cellStyle name="Followed Hyperlink" xfId="1437" builtinId="9" hidden="true"/>
    <cellStyle name="Followed Hyperlink" xfId="1439" builtinId="9" hidden="true"/>
    <cellStyle name="Followed Hyperlink" xfId="1441" builtinId="9" hidden="true"/>
    <cellStyle name="Followed Hyperlink" xfId="1443" builtinId="9" hidden="true"/>
    <cellStyle name="Followed Hyperlink" xfId="1445" builtinId="9" hidden="true"/>
    <cellStyle name="Followed Hyperlink" xfId="1447" builtinId="9" hidden="true"/>
    <cellStyle name="Followed Hyperlink" xfId="1449" builtinId="9" hidden="true"/>
    <cellStyle name="Followed Hyperlink" xfId="1451" builtinId="9" hidden="true"/>
    <cellStyle name="Followed Hyperlink" xfId="1453" builtinId="9" hidden="true"/>
    <cellStyle name="Followed Hyperlink" xfId="1455" builtinId="9" hidden="true"/>
    <cellStyle name="Followed Hyperlink" xfId="1457" builtinId="9" hidden="true"/>
    <cellStyle name="Followed Hyperlink" xfId="1459" builtinId="9" hidden="true"/>
    <cellStyle name="Followed Hyperlink" xfId="1461" builtinId="9" hidden="true"/>
    <cellStyle name="Followed Hyperlink" xfId="1463" builtinId="9" hidden="true"/>
    <cellStyle name="Followed Hyperlink" xfId="1465" builtinId="9" hidden="true"/>
    <cellStyle name="Followed Hyperlink" xfId="1467" builtinId="9" hidden="true"/>
    <cellStyle name="Followed Hyperlink" xfId="1469" builtinId="9" hidden="true"/>
    <cellStyle name="Followed Hyperlink" xfId="1471" builtinId="9" hidden="true"/>
    <cellStyle name="Followed Hyperlink" xfId="1473" builtinId="9" hidden="true"/>
    <cellStyle name="Followed Hyperlink" xfId="1475" builtinId="9" hidden="true"/>
    <cellStyle name="Followed Hyperlink" xfId="1477" builtinId="9" hidden="true"/>
    <cellStyle name="Followed Hyperlink" xfId="1479" builtinId="9" hidden="true"/>
    <cellStyle name="Followed Hyperlink" xfId="1481" builtinId="9" hidden="true"/>
    <cellStyle name="Followed Hyperlink" xfId="1483" builtinId="9" hidden="true"/>
    <cellStyle name="Followed Hyperlink" xfId="1485" builtinId="9" hidden="true"/>
    <cellStyle name="Followed Hyperlink" xfId="1487" builtinId="9" hidden="true"/>
    <cellStyle name="Followed Hyperlink" xfId="1489" builtinId="9" hidden="true"/>
    <cellStyle name="Followed Hyperlink" xfId="1491" builtinId="9" hidden="true"/>
    <cellStyle name="Followed Hyperlink" xfId="1493" builtinId="9" hidden="true"/>
    <cellStyle name="Followed Hyperlink" xfId="1495" builtinId="9" hidden="true"/>
    <cellStyle name="Followed Hyperlink" xfId="1497" builtinId="9" hidden="true"/>
    <cellStyle name="Followed Hyperlink" xfId="1499" builtinId="9" hidden="true"/>
    <cellStyle name="Followed Hyperlink" xfId="1501" builtinId="9" hidden="true"/>
    <cellStyle name="Followed Hyperlink" xfId="1503" builtinId="9" hidden="true"/>
    <cellStyle name="Followed Hyperlink" xfId="1505" builtinId="9" hidden="true"/>
    <cellStyle name="Followed Hyperlink" xfId="1507" builtinId="9" hidden="true"/>
    <cellStyle name="Followed Hyperlink" xfId="1509" builtinId="9" hidden="true"/>
    <cellStyle name="Followed Hyperlink" xfId="1511" builtinId="9" hidden="true"/>
    <cellStyle name="Followed Hyperlink" xfId="1513" builtinId="9" hidden="true"/>
    <cellStyle name="Followed Hyperlink" xfId="1515" builtinId="9" hidden="true"/>
    <cellStyle name="Followed Hyperlink" xfId="1517" builtinId="9" hidden="true"/>
    <cellStyle name="Followed Hyperlink" xfId="1519" builtinId="9" hidden="true"/>
    <cellStyle name="Followed Hyperlink" xfId="1521" builtinId="9" hidden="true"/>
    <cellStyle name="Followed Hyperlink" xfId="1523" builtinId="9" hidden="true"/>
    <cellStyle name="Followed Hyperlink" xfId="1525" builtinId="9" hidden="true"/>
    <cellStyle name="Followed Hyperlink" xfId="1527" builtinId="9" hidden="true"/>
    <cellStyle name="Followed Hyperlink" xfId="1529" builtinId="9" hidden="true"/>
    <cellStyle name="Followed Hyperlink" xfId="1531" builtinId="9" hidden="true"/>
    <cellStyle name="Followed Hyperlink" xfId="1533" builtinId="9" hidden="true"/>
    <cellStyle name="Followed Hyperlink" xfId="1535" builtinId="9" hidden="true"/>
    <cellStyle name="Followed Hyperlink" xfId="1537" builtinId="9" hidden="true"/>
    <cellStyle name="Followed Hyperlink" xfId="1539" builtinId="9" hidden="true"/>
    <cellStyle name="Followed Hyperlink" xfId="1541" builtinId="9" hidden="true"/>
    <cellStyle name="Followed Hyperlink" xfId="1543" builtinId="9" hidden="true"/>
    <cellStyle name="Followed Hyperlink" xfId="1545" builtinId="9" hidden="true"/>
    <cellStyle name="Followed Hyperlink" xfId="1547" builtinId="9" hidden="true"/>
    <cellStyle name="Followed Hyperlink" xfId="1549" builtinId="9" hidden="true"/>
    <cellStyle name="Followed Hyperlink" xfId="1551" builtinId="9" hidden="true"/>
    <cellStyle name="Followed Hyperlink" xfId="1553" builtinId="9" hidden="true"/>
    <cellStyle name="Followed Hyperlink" xfId="1555" builtinId="9" hidden="true"/>
    <cellStyle name="Followed Hyperlink" xfId="1557" builtinId="9" hidden="true"/>
    <cellStyle name="Followed Hyperlink" xfId="1559" builtinId="9" hidden="true"/>
    <cellStyle name="Followed Hyperlink" xfId="1561" builtinId="9" hidden="true"/>
    <cellStyle name="Followed Hyperlink" xfId="1563" builtinId="9" hidden="true"/>
    <cellStyle name="Followed Hyperlink" xfId="1565" builtinId="9" hidden="true"/>
    <cellStyle name="Followed Hyperlink" xfId="1567" builtinId="9" hidden="true"/>
    <cellStyle name="Followed Hyperlink" xfId="1569" builtinId="9" hidden="true"/>
    <cellStyle name="Followed Hyperlink" xfId="1571" builtinId="9" hidden="true"/>
    <cellStyle name="Followed Hyperlink" xfId="1573" builtinId="9" hidden="true"/>
    <cellStyle name="Followed Hyperlink" xfId="1575" builtinId="9" hidden="true"/>
    <cellStyle name="Followed Hyperlink" xfId="1577" builtinId="9" hidden="true"/>
    <cellStyle name="Followed Hyperlink" xfId="1579" builtinId="9" hidden="true"/>
    <cellStyle name="Followed Hyperlink" xfId="1581" builtinId="9" hidden="true"/>
    <cellStyle name="Followed Hyperlink" xfId="1583" builtinId="9" hidden="true"/>
    <cellStyle name="Followed Hyperlink" xfId="1585" builtinId="9" hidden="true"/>
    <cellStyle name="Followed Hyperlink" xfId="1587" builtinId="9" hidden="true"/>
    <cellStyle name="Followed Hyperlink" xfId="1589" builtinId="9" hidden="true"/>
    <cellStyle name="Followed Hyperlink" xfId="1591" builtinId="9" hidden="true"/>
    <cellStyle name="Followed Hyperlink" xfId="1593" builtinId="9" hidden="true"/>
    <cellStyle name="Followed Hyperlink" xfId="1595" builtinId="9" hidden="true"/>
    <cellStyle name="Followed Hyperlink" xfId="1597" builtinId="9" hidden="true"/>
    <cellStyle name="Followed Hyperlink" xfId="1599" builtinId="9" hidden="true"/>
    <cellStyle name="Followed Hyperlink" xfId="1601" builtinId="9" hidden="true"/>
    <cellStyle name="Followed Hyperlink" xfId="1603" builtinId="9" hidden="true"/>
    <cellStyle name="Followed Hyperlink" xfId="1605" builtinId="9" hidden="true"/>
    <cellStyle name="Followed Hyperlink" xfId="1607" builtinId="9" hidden="true"/>
    <cellStyle name="Followed Hyperlink" xfId="1609" builtinId="9" hidden="true"/>
    <cellStyle name="Followed Hyperlink" xfId="1611" builtinId="9" hidden="true"/>
    <cellStyle name="Followed Hyperlink" xfId="1613" builtinId="9" hidden="true"/>
    <cellStyle name="Followed Hyperlink" xfId="1615" builtinId="9" hidden="true"/>
    <cellStyle name="Followed Hyperlink" xfId="1617" builtinId="9" hidden="true"/>
    <cellStyle name="Followed Hyperlink" xfId="1619" builtinId="9" hidden="true"/>
    <cellStyle name="Followed Hyperlink" xfId="1621" builtinId="9" hidden="true"/>
    <cellStyle name="Followed Hyperlink" xfId="1623" builtinId="9" hidden="true"/>
    <cellStyle name="Followed Hyperlink" xfId="1625" builtinId="9" hidden="true"/>
    <cellStyle name="Followed Hyperlink" xfId="1627" builtinId="9" hidden="true"/>
    <cellStyle name="Followed Hyperlink" xfId="1629" builtinId="9" hidden="true"/>
    <cellStyle name="Followed Hyperlink" xfId="1631" builtinId="9" hidden="true"/>
    <cellStyle name="Followed Hyperlink" xfId="1633" builtinId="9" hidden="true"/>
    <cellStyle name="Followed Hyperlink" xfId="1635" builtinId="9" hidden="true"/>
    <cellStyle name="Followed Hyperlink" xfId="1637" builtinId="9" hidden="true"/>
    <cellStyle name="Followed Hyperlink" xfId="1639" builtinId="9" hidden="true"/>
    <cellStyle name="Followed Hyperlink" xfId="1641" builtinId="9" hidden="true"/>
    <cellStyle name="Followed Hyperlink" xfId="1643" builtinId="9" hidden="true"/>
    <cellStyle name="Followed Hyperlink" xfId="1645" builtinId="9" hidden="true"/>
    <cellStyle name="Followed Hyperlink" xfId="1647" builtinId="9" hidden="true"/>
    <cellStyle name="Followed Hyperlink" xfId="1649" builtinId="9" hidden="true"/>
    <cellStyle name="Followed Hyperlink" xfId="1651" builtinId="9" hidden="true"/>
    <cellStyle name="Followed Hyperlink" xfId="1653" builtinId="9" hidden="true"/>
    <cellStyle name="Followed Hyperlink" xfId="1655" builtinId="9" hidden="true"/>
    <cellStyle name="Followed Hyperlink" xfId="1657" builtinId="9" hidden="true"/>
    <cellStyle name="Followed Hyperlink" xfId="1659" builtinId="9" hidden="true"/>
    <cellStyle name="Followed Hyperlink" xfId="1661" builtinId="9" hidden="true"/>
    <cellStyle name="Followed Hyperlink" xfId="1663" builtinId="9" hidden="true"/>
    <cellStyle name="Followed Hyperlink" xfId="1665" builtinId="9" hidden="true"/>
    <cellStyle name="Followed Hyperlink" xfId="1667" builtinId="9" hidden="true"/>
    <cellStyle name="Followed Hyperlink" xfId="1669" builtinId="9" hidden="true"/>
    <cellStyle name="Followed Hyperlink" xfId="1671" builtinId="9" hidden="true"/>
    <cellStyle name="Followed Hyperlink" xfId="1673" builtinId="9" hidden="true"/>
    <cellStyle name="Followed Hyperlink" xfId="1675" builtinId="9" hidden="true"/>
    <cellStyle name="Followed Hyperlink" xfId="1677" builtinId="9" hidden="true"/>
    <cellStyle name="Followed Hyperlink" xfId="1679" builtinId="9" hidden="true"/>
    <cellStyle name="Followed Hyperlink" xfId="1681" builtinId="9" hidden="true"/>
    <cellStyle name="Followed Hyperlink" xfId="1683" builtinId="9" hidden="true"/>
    <cellStyle name="Followed Hyperlink" xfId="1685" builtinId="9" hidden="true"/>
    <cellStyle name="Followed Hyperlink" xfId="1687" builtinId="9" hidden="true"/>
    <cellStyle name="Followed Hyperlink" xfId="1689" builtinId="9" hidden="true"/>
    <cellStyle name="Followed Hyperlink" xfId="1691" builtinId="9" hidden="true"/>
    <cellStyle name="Followed Hyperlink" xfId="1693" builtinId="9" hidden="true"/>
    <cellStyle name="Followed Hyperlink" xfId="1695" builtinId="9" hidden="true"/>
    <cellStyle name="Followed Hyperlink" xfId="1697" builtinId="9" hidden="true"/>
    <cellStyle name="Followed Hyperlink" xfId="1699" builtinId="9" hidden="true"/>
    <cellStyle name="Followed Hyperlink" xfId="1701" builtinId="9" hidden="true"/>
    <cellStyle name="Followed Hyperlink" xfId="1703" builtinId="9" hidden="true"/>
    <cellStyle name="Followed Hyperlink" xfId="1705" builtinId="9" hidden="true"/>
    <cellStyle name="Followed Hyperlink" xfId="1707" builtinId="9" hidden="true"/>
    <cellStyle name="Followed Hyperlink" xfId="1709" builtinId="9" hidden="true"/>
    <cellStyle name="Followed Hyperlink" xfId="1711" builtinId="9" hidden="true"/>
    <cellStyle name="Followed Hyperlink" xfId="1713" builtinId="9" hidden="true"/>
    <cellStyle name="Followed Hyperlink" xfId="1715" builtinId="9" hidden="true"/>
    <cellStyle name="Followed Hyperlink" xfId="1717" builtinId="9" hidden="true"/>
    <cellStyle name="Followed Hyperlink" xfId="1719" builtinId="9" hidden="true"/>
    <cellStyle name="Followed Hyperlink" xfId="1721" builtinId="9" hidden="true"/>
    <cellStyle name="Followed Hyperlink" xfId="1723" builtinId="9" hidden="true"/>
    <cellStyle name="Followed Hyperlink" xfId="1725" builtinId="9" hidden="true"/>
    <cellStyle name="Followed Hyperlink" xfId="1727" builtinId="9" hidden="true"/>
    <cellStyle name="Followed Hyperlink" xfId="1729" builtinId="9" hidden="true"/>
    <cellStyle name="Followed Hyperlink" xfId="1731" builtinId="9" hidden="true"/>
    <cellStyle name="Followed Hyperlink" xfId="1733" builtinId="9" hidden="true"/>
    <cellStyle name="Followed Hyperlink" xfId="1735" builtinId="9" hidden="true"/>
    <cellStyle name="Followed Hyperlink" xfId="1737" builtinId="9" hidden="true"/>
    <cellStyle name="Followed Hyperlink" xfId="1739" builtinId="9" hidden="true"/>
    <cellStyle name="Followed Hyperlink" xfId="1741" builtinId="9" hidden="true"/>
    <cellStyle name="Followed Hyperlink" xfId="1743" builtinId="9" hidden="true"/>
    <cellStyle name="Followed Hyperlink" xfId="1745" builtinId="9" hidden="true"/>
    <cellStyle name="Followed Hyperlink" xfId="1747" builtinId="9" hidden="true"/>
    <cellStyle name="Followed Hyperlink" xfId="1749" builtinId="9" hidden="true"/>
    <cellStyle name="Followed Hyperlink" xfId="1751" builtinId="9" hidden="true"/>
    <cellStyle name="Followed Hyperlink" xfId="1753" builtinId="9" hidden="true"/>
    <cellStyle name="Followed Hyperlink" xfId="1755" builtinId="9" hidden="true"/>
    <cellStyle name="Followed Hyperlink" xfId="1757" builtinId="9" hidden="true"/>
    <cellStyle name="Followed Hyperlink" xfId="1759" builtinId="9" hidden="true"/>
    <cellStyle name="Followed Hyperlink" xfId="1761" builtinId="9" hidden="true"/>
    <cellStyle name="Followed Hyperlink" xfId="1763" builtinId="9" hidden="true"/>
    <cellStyle name="Followed Hyperlink" xfId="1765" builtinId="9" hidden="true"/>
    <cellStyle name="Followed Hyperlink" xfId="1767" builtinId="9" hidden="true"/>
    <cellStyle name="Followed Hyperlink" xfId="1769" builtinId="9" hidden="true"/>
    <cellStyle name="Followed Hyperlink" xfId="1771" builtinId="9" hidden="true"/>
    <cellStyle name="Followed Hyperlink" xfId="1773" builtinId="9" hidden="true"/>
    <cellStyle name="Followed Hyperlink" xfId="1775" builtinId="9" hidden="true"/>
    <cellStyle name="Followed Hyperlink" xfId="1777" builtinId="9" hidden="true"/>
    <cellStyle name="Followed Hyperlink" xfId="1779" builtinId="9" hidden="true"/>
    <cellStyle name="Followed Hyperlink" xfId="1781" builtinId="9" hidden="true"/>
    <cellStyle name="Followed Hyperlink" xfId="1783" builtinId="9" hidden="true"/>
    <cellStyle name="Followed Hyperlink" xfId="1785" builtinId="9" hidden="true"/>
    <cellStyle name="Followed Hyperlink" xfId="1787" builtinId="9" hidden="true"/>
    <cellStyle name="Followed Hyperlink" xfId="1789" builtinId="9" hidden="true"/>
    <cellStyle name="Followed Hyperlink" xfId="1791" builtinId="9" hidden="true"/>
    <cellStyle name="Followed Hyperlink" xfId="1793" builtinId="9" hidden="true"/>
    <cellStyle name="Followed Hyperlink" xfId="1795" builtinId="9" hidden="true"/>
    <cellStyle name="Followed Hyperlink" xfId="1797" builtinId="9" hidden="true"/>
    <cellStyle name="Followed Hyperlink" xfId="1799" builtinId="9" hidden="true"/>
    <cellStyle name="Followed Hyperlink" xfId="1801" builtinId="9" hidden="true"/>
    <cellStyle name="Followed Hyperlink" xfId="1803" builtinId="9" hidden="true"/>
    <cellStyle name="Followed Hyperlink" xfId="1805" builtinId="9" hidden="true"/>
    <cellStyle name="Followed Hyperlink" xfId="1807" builtinId="9" hidden="true"/>
    <cellStyle name="Followed Hyperlink" xfId="1809" builtinId="9" hidden="true"/>
    <cellStyle name="Followed Hyperlink" xfId="1811" builtinId="9" hidden="true"/>
    <cellStyle name="Followed Hyperlink" xfId="1813" builtinId="9" hidden="true"/>
    <cellStyle name="Followed Hyperlink" xfId="1815" builtinId="9" hidden="true"/>
    <cellStyle name="Followed Hyperlink" xfId="1817" builtinId="9" hidden="true"/>
    <cellStyle name="Followed Hyperlink" xfId="1819" builtinId="9" hidden="true"/>
    <cellStyle name="Followed Hyperlink" xfId="1821" builtinId="9" hidden="true"/>
    <cellStyle name="Followed Hyperlink" xfId="1823" builtinId="9" hidden="true"/>
    <cellStyle name="Followed Hyperlink" xfId="1825" builtinId="9" hidden="true"/>
    <cellStyle name="Followed Hyperlink" xfId="1827" builtinId="9" hidden="true"/>
    <cellStyle name="Followed Hyperlink" xfId="1829" builtinId="9" hidden="true"/>
    <cellStyle name="Followed Hyperlink" xfId="1831" builtinId="9" hidden="true"/>
    <cellStyle name="Followed Hyperlink" xfId="1833" builtinId="9" hidden="true"/>
    <cellStyle name="Followed Hyperlink" xfId="1835" builtinId="9" hidden="true"/>
    <cellStyle name="Followed Hyperlink" xfId="1837" builtinId="9" hidden="true"/>
    <cellStyle name="Followed Hyperlink" xfId="1839" builtinId="9" hidden="true"/>
    <cellStyle name="Followed Hyperlink" xfId="1841" builtinId="9" hidden="true"/>
    <cellStyle name="Followed Hyperlink" xfId="1843" builtinId="9" hidden="true"/>
    <cellStyle name="Followed Hyperlink" xfId="1845" builtinId="9" hidden="true"/>
    <cellStyle name="Followed Hyperlink" xfId="1847" builtinId="9" hidden="true"/>
    <cellStyle name="Followed Hyperlink" xfId="1849" builtinId="9" hidden="true"/>
    <cellStyle name="Followed Hyperlink" xfId="1851" builtinId="9" hidden="true"/>
    <cellStyle name="Followed Hyperlink" xfId="1853" builtinId="9" hidden="true"/>
    <cellStyle name="Followed Hyperlink" xfId="1855" builtinId="9" hidden="true"/>
    <cellStyle name="Followed Hyperlink" xfId="1857" builtinId="9" hidden="true"/>
    <cellStyle name="Followed Hyperlink" xfId="1859" builtinId="9" hidden="true"/>
    <cellStyle name="Followed Hyperlink" xfId="1861" builtinId="9" hidden="true"/>
    <cellStyle name="Followed Hyperlink" xfId="1863" builtinId="9" hidden="true"/>
    <cellStyle name="Followed Hyperlink" xfId="1865" builtinId="9" hidden="true"/>
    <cellStyle name="Followed Hyperlink" xfId="1867" builtinId="9" hidden="true"/>
    <cellStyle name="Followed Hyperlink" xfId="1869" builtinId="9" hidden="true"/>
    <cellStyle name="Followed Hyperlink" xfId="1871" builtinId="9" hidden="true"/>
    <cellStyle name="Followed Hyperlink" xfId="1873" builtinId="9" hidden="true"/>
    <cellStyle name="Followed Hyperlink" xfId="1875" builtinId="9" hidden="true"/>
    <cellStyle name="Followed Hyperlink" xfId="1877" builtinId="9" hidden="true"/>
    <cellStyle name="Followed Hyperlink" xfId="1879" builtinId="9" hidden="true"/>
    <cellStyle name="Followed Hyperlink" xfId="1881" builtinId="9" hidden="true"/>
    <cellStyle name="Followed Hyperlink" xfId="1883" builtinId="9" hidden="true"/>
    <cellStyle name="Followed Hyperlink" xfId="1885" builtinId="9" hidden="true"/>
    <cellStyle name="Followed Hyperlink" xfId="1887" builtinId="9" hidden="true"/>
    <cellStyle name="Followed Hyperlink" xfId="1889" builtinId="9" hidden="true"/>
    <cellStyle name="Followed Hyperlink" xfId="1891" builtinId="9" hidden="true"/>
    <cellStyle name="Followed Hyperlink" xfId="1893" builtinId="9" hidden="true"/>
    <cellStyle name="Followed Hyperlink" xfId="1895" builtinId="9" hidden="true"/>
    <cellStyle name="Followed Hyperlink" xfId="1897" builtinId="9" hidden="true"/>
    <cellStyle name="Followed Hyperlink" xfId="1899" builtinId="9" hidden="true"/>
    <cellStyle name="Followed Hyperlink" xfId="1901" builtinId="9" hidden="true"/>
    <cellStyle name="Followed Hyperlink" xfId="1903" builtinId="9" hidden="true"/>
    <cellStyle name="Followed Hyperlink" xfId="1905" builtinId="9" hidden="true"/>
    <cellStyle name="Followed Hyperlink" xfId="1907" builtinId="9" hidden="true"/>
    <cellStyle name="Followed Hyperlink" xfId="1909" builtinId="9" hidden="true"/>
    <cellStyle name="Followed Hyperlink" xfId="1911" builtinId="9" hidden="true"/>
    <cellStyle name="Followed Hyperlink" xfId="1913" builtinId="9" hidden="true"/>
    <cellStyle name="Followed Hyperlink" xfId="1915" builtinId="9" hidden="true"/>
    <cellStyle name="Followed Hyperlink" xfId="1917" builtinId="9" hidden="true"/>
    <cellStyle name="Followed Hyperlink" xfId="1919" builtinId="9" hidden="true"/>
    <cellStyle name="Followed Hyperlink" xfId="1921" builtinId="9" hidden="true"/>
    <cellStyle name="Followed Hyperlink" xfId="1923" builtinId="9" hidden="true"/>
    <cellStyle name="Followed Hyperlink" xfId="1925" builtinId="9" hidden="true"/>
    <cellStyle name="Followed Hyperlink" xfId="1927" builtinId="9" hidden="true"/>
    <cellStyle name="Followed Hyperlink" xfId="1929" builtinId="9" hidden="true"/>
    <cellStyle name="Followed Hyperlink" xfId="1931" builtinId="9" hidden="true"/>
    <cellStyle name="Followed Hyperlink" xfId="1933" builtinId="9" hidden="true"/>
    <cellStyle name="Followed Hyperlink" xfId="1935" builtinId="9" hidden="true"/>
    <cellStyle name="Followed Hyperlink" xfId="1937" builtinId="9" hidden="true"/>
    <cellStyle name="Followed Hyperlink" xfId="1939" builtinId="9" hidden="true"/>
    <cellStyle name="Followed Hyperlink" xfId="1941" builtinId="9" hidden="true"/>
    <cellStyle name="Followed Hyperlink" xfId="1943" builtinId="9" hidden="true"/>
    <cellStyle name="Followed Hyperlink" xfId="1945" builtinId="9" hidden="true"/>
    <cellStyle name="Followed Hyperlink" xfId="1947" builtinId="9" hidden="true"/>
    <cellStyle name="Followed Hyperlink" xfId="1949" builtinId="9" hidden="true"/>
    <cellStyle name="Followed Hyperlink" xfId="1951" builtinId="9" hidden="true"/>
    <cellStyle name="Followed Hyperlink" xfId="1953" builtinId="9" hidden="true"/>
    <cellStyle name="Followed Hyperlink" xfId="1955" builtinId="9" hidden="true"/>
    <cellStyle name="Followed Hyperlink" xfId="1957" builtinId="9" hidden="true"/>
    <cellStyle name="Followed Hyperlink" xfId="1959" builtinId="9" hidden="true"/>
    <cellStyle name="Followed Hyperlink" xfId="1961" builtinId="9" hidden="true"/>
    <cellStyle name="Followed Hyperlink" xfId="1963" builtinId="9" hidden="true"/>
    <cellStyle name="Followed Hyperlink" xfId="1965" builtinId="9" hidden="true"/>
    <cellStyle name="Followed Hyperlink" xfId="1967" builtinId="9" hidden="true"/>
    <cellStyle name="Followed Hyperlink" xfId="1969" builtinId="9" hidden="true"/>
    <cellStyle name="Followed Hyperlink" xfId="1971" builtinId="9" hidden="true"/>
    <cellStyle name="Followed Hyperlink" xfId="1973" builtinId="9" hidden="true"/>
    <cellStyle name="Followed Hyperlink" xfId="1975" builtinId="9" hidden="true"/>
    <cellStyle name="Followed Hyperlink" xfId="1977" builtinId="9" hidden="true"/>
    <cellStyle name="Followed Hyperlink" xfId="1979" builtinId="9" hidden="true"/>
    <cellStyle name="Followed Hyperlink" xfId="1981" builtinId="9" hidden="true"/>
    <cellStyle name="Followed Hyperlink" xfId="1983" builtinId="9" hidden="true"/>
    <cellStyle name="Followed Hyperlink" xfId="1985" builtinId="9" hidden="true"/>
    <cellStyle name="Followed Hyperlink" xfId="1987" builtinId="9" hidden="true"/>
    <cellStyle name="Followed Hyperlink" xfId="1989" builtinId="9" hidden="true"/>
    <cellStyle name="Followed Hyperlink" xfId="1991" builtinId="9" hidden="true"/>
    <cellStyle name="Followed Hyperlink" xfId="1993" builtinId="9" hidden="true"/>
    <cellStyle name="Followed Hyperlink" xfId="1995" builtinId="9" hidden="true"/>
    <cellStyle name="Followed Hyperlink" xfId="1997" builtinId="9" hidden="true"/>
    <cellStyle name="Followed Hyperlink" xfId="1999" builtinId="9" hidden="true"/>
    <cellStyle name="Followed Hyperlink" xfId="2001" builtinId="9" hidden="true"/>
    <cellStyle name="Followed Hyperlink" xfId="2003" builtinId="9" hidden="true"/>
    <cellStyle name="Followed Hyperlink" xfId="2005" builtinId="9" hidden="true"/>
    <cellStyle name="Followed Hyperlink" xfId="2007" builtinId="9" hidden="true"/>
    <cellStyle name="Followed Hyperlink" xfId="2009" builtinId="9" hidden="true"/>
    <cellStyle name="Followed Hyperlink" xfId="2011" builtinId="9" hidden="true"/>
    <cellStyle name="Followed Hyperlink" xfId="2013" builtinId="9" hidden="true"/>
    <cellStyle name="Followed Hyperlink" xfId="2015" builtinId="9" hidden="true"/>
    <cellStyle name="Followed Hyperlink" xfId="2017" builtinId="9" hidden="true"/>
    <cellStyle name="Followed Hyperlink" xfId="2019" builtinId="9" hidden="true"/>
    <cellStyle name="Followed Hyperlink" xfId="2021" builtinId="9" hidden="true"/>
    <cellStyle name="Followed Hyperlink" xfId="2023" builtinId="9" hidden="true"/>
    <cellStyle name="Followed Hyperlink" xfId="2025" builtinId="9" hidden="true"/>
    <cellStyle name="Followed Hyperlink" xfId="2027" builtinId="9" hidden="true"/>
    <cellStyle name="Followed Hyperlink" xfId="2029" builtinId="9" hidden="true"/>
    <cellStyle name="Followed Hyperlink" xfId="2031" builtinId="9" hidden="true"/>
    <cellStyle name="Followed Hyperlink" xfId="2033" builtinId="9" hidden="true"/>
    <cellStyle name="Followed Hyperlink" xfId="2035" builtinId="9" hidden="true"/>
    <cellStyle name="Followed Hyperlink" xfId="2037" builtinId="9" hidden="true"/>
    <cellStyle name="Followed Hyperlink" xfId="2039" builtinId="9" hidden="true"/>
    <cellStyle name="Followed Hyperlink" xfId="2041" builtinId="9" hidden="true"/>
    <cellStyle name="Followed Hyperlink" xfId="2043" builtinId="9" hidden="true"/>
    <cellStyle name="Followed Hyperlink" xfId="2045" builtinId="9" hidden="true"/>
    <cellStyle name="Followed Hyperlink" xfId="2047" builtinId="9" hidden="true"/>
    <cellStyle name="Followed Hyperlink" xfId="2049" builtinId="9" hidden="true"/>
    <cellStyle name="Followed Hyperlink" xfId="2051" builtinId="9" hidden="true"/>
    <cellStyle name="Followed Hyperlink" xfId="2053" builtinId="9" hidden="true"/>
    <cellStyle name="Followed Hyperlink" xfId="2055" builtinId="9" hidden="true"/>
    <cellStyle name="Followed Hyperlink" xfId="2057" builtinId="9" hidden="true"/>
    <cellStyle name="Followed Hyperlink" xfId="2059" builtinId="9" hidden="true"/>
    <cellStyle name="Followed Hyperlink" xfId="2061" builtinId="9" hidden="true"/>
    <cellStyle name="Followed Hyperlink" xfId="2063" builtinId="9" hidden="true"/>
    <cellStyle name="Followed Hyperlink" xfId="2065" builtinId="9" hidden="true"/>
    <cellStyle name="Followed Hyperlink" xfId="2067" builtinId="9" hidden="true"/>
    <cellStyle name="Followed Hyperlink" xfId="2069" builtinId="9" hidden="true"/>
    <cellStyle name="Followed Hyperlink" xfId="2071" builtinId="9" hidden="true"/>
    <cellStyle name="Followed Hyperlink" xfId="2073" builtinId="9" hidden="true"/>
    <cellStyle name="Followed Hyperlink" xfId="2075" builtinId="9" hidden="true"/>
    <cellStyle name="Followed Hyperlink" xfId="2077" builtinId="9" hidden="true"/>
    <cellStyle name="Followed Hyperlink" xfId="2079" builtinId="9" hidden="true"/>
    <cellStyle name="Followed Hyperlink" xfId="2081" builtinId="9" hidden="true"/>
    <cellStyle name="Followed Hyperlink" xfId="2083" builtinId="9" hidden="true"/>
    <cellStyle name="Followed Hyperlink" xfId="2085" builtinId="9" hidden="true"/>
    <cellStyle name="Followed Hyperlink" xfId="2087" builtinId="9" hidden="true"/>
    <cellStyle name="Followed Hyperlink" xfId="2089" builtinId="9" hidden="true"/>
    <cellStyle name="Followed Hyperlink" xfId="2091" builtinId="9" hidden="true"/>
    <cellStyle name="Followed Hyperlink" xfId="2093" builtinId="9" hidden="true"/>
    <cellStyle name="Followed Hyperlink" xfId="2095" builtinId="9" hidden="true"/>
    <cellStyle name="Followed Hyperlink" xfId="2097" builtinId="9" hidden="true"/>
    <cellStyle name="Followed Hyperlink" xfId="2099" builtinId="9" hidden="true"/>
    <cellStyle name="Followed Hyperlink" xfId="2101" builtinId="9" hidden="true"/>
    <cellStyle name="Followed Hyperlink" xfId="2103" builtinId="9" hidden="true"/>
    <cellStyle name="Followed Hyperlink" xfId="2105" builtinId="9" hidden="true"/>
    <cellStyle name="Followed Hyperlink" xfId="2107" builtinId="9" hidden="true"/>
    <cellStyle name="Followed Hyperlink" xfId="2109" builtinId="9" hidden="true"/>
    <cellStyle name="Followed Hyperlink" xfId="2111" builtinId="9" hidden="true"/>
    <cellStyle name="Followed Hyperlink" xfId="2113" builtinId="9" hidden="true"/>
    <cellStyle name="Followed Hyperlink" xfId="2115" builtinId="9" hidden="true"/>
    <cellStyle name="Followed Hyperlink" xfId="2117" builtinId="9" hidden="true"/>
    <cellStyle name="Followed Hyperlink" xfId="2119" builtinId="9" hidden="true"/>
    <cellStyle name="Followed Hyperlink" xfId="2121" builtinId="9" hidden="true"/>
    <cellStyle name="Followed Hyperlink" xfId="2123" builtinId="9" hidden="true"/>
    <cellStyle name="Followed Hyperlink" xfId="2125" builtinId="9" hidden="true"/>
    <cellStyle name="Followed Hyperlink" xfId="2127" builtinId="9" hidden="true"/>
    <cellStyle name="Followed Hyperlink" xfId="2129" builtinId="9" hidden="true"/>
    <cellStyle name="Followed Hyperlink" xfId="2131" builtinId="9" hidden="true"/>
    <cellStyle name="Followed Hyperlink" xfId="2133" builtinId="9" hidden="true"/>
    <cellStyle name="Followed Hyperlink" xfId="2135" builtinId="9" hidden="true"/>
    <cellStyle name="Followed Hyperlink" xfId="2137" builtinId="9" hidden="true"/>
    <cellStyle name="Followed Hyperlink" xfId="2139" builtinId="9" hidden="true"/>
    <cellStyle name="Followed Hyperlink" xfId="2141" builtinId="9" hidden="true"/>
    <cellStyle name="Followed Hyperlink" xfId="2143" builtinId="9" hidden="true"/>
    <cellStyle name="Followed Hyperlink" xfId="2145" builtinId="9" hidden="true"/>
    <cellStyle name="Followed Hyperlink" xfId="2147" builtinId="9" hidden="true"/>
    <cellStyle name="Followed Hyperlink" xfId="2149" builtinId="9" hidden="true"/>
    <cellStyle name="Followed Hyperlink" xfId="2151" builtinId="9" hidden="true"/>
    <cellStyle name="Followed Hyperlink" xfId="2153" builtinId="9" hidden="true"/>
    <cellStyle name="Followed Hyperlink" xfId="2155" builtinId="9" hidden="true"/>
    <cellStyle name="Followed Hyperlink" xfId="2157" builtinId="9" hidden="true"/>
    <cellStyle name="Followed Hyperlink" xfId="2159" builtinId="9" hidden="true"/>
    <cellStyle name="Followed Hyperlink" xfId="2161" builtinId="9" hidden="true"/>
    <cellStyle name="Followed Hyperlink" xfId="2163" builtinId="9" hidden="true"/>
    <cellStyle name="Followed Hyperlink" xfId="2165" builtinId="9" hidden="true"/>
    <cellStyle name="Followed Hyperlink" xfId="2167" builtinId="9" hidden="true"/>
    <cellStyle name="Followed Hyperlink" xfId="2169" builtinId="9" hidden="true"/>
    <cellStyle name="Followed Hyperlink" xfId="2171" builtinId="9" hidden="true"/>
    <cellStyle name="Followed Hyperlink" xfId="2173" builtinId="9" hidden="true"/>
    <cellStyle name="Followed Hyperlink" xfId="2175" builtinId="9" hidden="true"/>
    <cellStyle name="Followed Hyperlink" xfId="2177" builtinId="9" hidden="true"/>
    <cellStyle name="Followed Hyperlink" xfId="2179" builtinId="9" hidden="true"/>
    <cellStyle name="Followed Hyperlink" xfId="2181" builtinId="9" hidden="true"/>
    <cellStyle name="Followed Hyperlink" xfId="2183" builtinId="9" hidden="true"/>
    <cellStyle name="Followed Hyperlink" xfId="2185" builtinId="9" hidden="true"/>
    <cellStyle name="Followed Hyperlink" xfId="2187" builtinId="9" hidden="true"/>
    <cellStyle name="Followed Hyperlink" xfId="2189" builtinId="9" hidden="true"/>
    <cellStyle name="Followed Hyperlink" xfId="2191" builtinId="9" hidden="true"/>
    <cellStyle name="Followed Hyperlink" xfId="2193" builtinId="9" hidden="true"/>
    <cellStyle name="Followed Hyperlink" xfId="2195" builtinId="9" hidden="true"/>
    <cellStyle name="Followed Hyperlink" xfId="2197" builtinId="9" hidden="true"/>
    <cellStyle name="Followed Hyperlink" xfId="2199" builtinId="9" hidden="true"/>
    <cellStyle name="Followed Hyperlink" xfId="2201" builtinId="9" hidden="true"/>
    <cellStyle name="Followed Hyperlink" xfId="2203" builtinId="9" hidden="true"/>
    <cellStyle name="Followed Hyperlink" xfId="2205" builtinId="9" hidden="true"/>
    <cellStyle name="Followed Hyperlink" xfId="2207" builtinId="9" hidden="true"/>
    <cellStyle name="Followed Hyperlink" xfId="2209" builtinId="9" hidden="true"/>
    <cellStyle name="Followed Hyperlink" xfId="2211" builtinId="9" hidden="true"/>
    <cellStyle name="Followed Hyperlink" xfId="2213" builtinId="9" hidden="true"/>
    <cellStyle name="Followed Hyperlink" xfId="2215" builtinId="9" hidden="true"/>
    <cellStyle name="Followed Hyperlink" xfId="2217" builtinId="9" hidden="true"/>
    <cellStyle name="Followed Hyperlink" xfId="2219" builtinId="9" hidden="true"/>
    <cellStyle name="Followed Hyperlink" xfId="2221" builtinId="9" hidden="true"/>
    <cellStyle name="Followed Hyperlink" xfId="2223" builtinId="9" hidden="true"/>
    <cellStyle name="Followed Hyperlink" xfId="2225" builtinId="9" hidden="true"/>
    <cellStyle name="Followed Hyperlink" xfId="2227" builtinId="9" hidden="true"/>
    <cellStyle name="Followed Hyperlink" xfId="2229" builtinId="9" hidden="true"/>
    <cellStyle name="Followed Hyperlink" xfId="2231" builtinId="9" hidden="true"/>
    <cellStyle name="Followed Hyperlink" xfId="2233" builtinId="9" hidden="true"/>
    <cellStyle name="Followed Hyperlink" xfId="2235" builtinId="9" hidden="true"/>
    <cellStyle name="Followed Hyperlink" xfId="2237" builtinId="9" hidden="true"/>
    <cellStyle name="Followed Hyperlink" xfId="2239" builtinId="9" hidden="true"/>
    <cellStyle name="Followed Hyperlink" xfId="2241" builtinId="9" hidden="true"/>
    <cellStyle name="Followed Hyperlink" xfId="2243" builtinId="9" hidden="true"/>
    <cellStyle name="Followed Hyperlink" xfId="2245" builtinId="9" hidden="true"/>
    <cellStyle name="Followed Hyperlink" xfId="2247" builtinId="9" hidden="true"/>
    <cellStyle name="Followed Hyperlink" xfId="2249" builtinId="9" hidden="true"/>
    <cellStyle name="Followed Hyperlink" xfId="2251" builtinId="9" hidden="true"/>
    <cellStyle name="Followed Hyperlink" xfId="2253" builtinId="9" hidden="true"/>
    <cellStyle name="Followed Hyperlink" xfId="2255" builtinId="9" hidden="true"/>
    <cellStyle name="Followed Hyperlink" xfId="2257" builtinId="9" hidden="true"/>
    <cellStyle name="Followed Hyperlink" xfId="2259" builtinId="9" hidden="true"/>
    <cellStyle name="Followed Hyperlink" xfId="2261" builtinId="9" hidden="true"/>
    <cellStyle name="Followed Hyperlink" xfId="2263" builtinId="9" hidden="true"/>
    <cellStyle name="Followed Hyperlink" xfId="2265" builtinId="9" hidden="true"/>
    <cellStyle name="Followed Hyperlink" xfId="2267" builtinId="9" hidden="true"/>
    <cellStyle name="Followed Hyperlink" xfId="2269" builtinId="9" hidden="true"/>
    <cellStyle name="Followed Hyperlink" xfId="2271" builtinId="9" hidden="true"/>
    <cellStyle name="Followed Hyperlink" xfId="2273" builtinId="9" hidden="true"/>
    <cellStyle name="Followed Hyperlink" xfId="2275" builtinId="9" hidden="true"/>
    <cellStyle name="Followed Hyperlink" xfId="2277" builtinId="9" hidden="true"/>
    <cellStyle name="Followed Hyperlink" xfId="2279" builtinId="9" hidden="true"/>
    <cellStyle name="Followed Hyperlink" xfId="2281" builtinId="9" hidden="true"/>
    <cellStyle name="Followed Hyperlink" xfId="2283" builtinId="9" hidden="true"/>
    <cellStyle name="Followed Hyperlink" xfId="2285" builtinId="9" hidden="true"/>
    <cellStyle name="Followed Hyperlink" xfId="2287" builtinId="9" hidden="true"/>
    <cellStyle name="Followed Hyperlink" xfId="2289" builtinId="9" hidden="true"/>
    <cellStyle name="Followed Hyperlink" xfId="2291" builtinId="9" hidden="true"/>
    <cellStyle name="Followed Hyperlink" xfId="2293" builtinId="9" hidden="true"/>
    <cellStyle name="Followed Hyperlink" xfId="2295" builtinId="9" hidden="true"/>
    <cellStyle name="Followed Hyperlink" xfId="2297" builtinId="9" hidden="true"/>
    <cellStyle name="Followed Hyperlink" xfId="2299" builtinId="9" hidden="true"/>
    <cellStyle name="Followed Hyperlink" xfId="2301" builtinId="9" hidden="true"/>
    <cellStyle name="Followed Hyperlink" xfId="2303" builtinId="9" hidden="true"/>
    <cellStyle name="Followed Hyperlink" xfId="2305" builtinId="9" hidden="true"/>
    <cellStyle name="Followed Hyperlink" xfId="2307" builtinId="9" hidden="true"/>
    <cellStyle name="Followed Hyperlink" xfId="2309" builtinId="9" hidden="true"/>
    <cellStyle name="Followed Hyperlink" xfId="2311" builtinId="9" hidden="true"/>
    <cellStyle name="Followed Hyperlink" xfId="2313" builtinId="9" hidden="true"/>
    <cellStyle name="Followed Hyperlink" xfId="2315" builtinId="9" hidden="true"/>
    <cellStyle name="Followed Hyperlink" xfId="2317" builtinId="9" hidden="true"/>
    <cellStyle name="Followed Hyperlink" xfId="2319" builtinId="9" hidden="true"/>
    <cellStyle name="Followed Hyperlink" xfId="2321" builtinId="9" hidden="true"/>
    <cellStyle name="Followed Hyperlink" xfId="2323" builtinId="9" hidden="true"/>
    <cellStyle name="Followed Hyperlink" xfId="2325" builtinId="9" hidden="true"/>
    <cellStyle name="Followed Hyperlink" xfId="2327" builtinId="9" hidden="true"/>
    <cellStyle name="Followed Hyperlink" xfId="2329" builtinId="9" hidden="true"/>
    <cellStyle name="Followed Hyperlink" xfId="2331" builtinId="9" hidden="true"/>
    <cellStyle name="Followed Hyperlink" xfId="2333" builtinId="9" hidden="true"/>
    <cellStyle name="Followed Hyperlink" xfId="2335" builtinId="9" hidden="true"/>
    <cellStyle name="Followed Hyperlink" xfId="2337" builtinId="9" hidden="true"/>
    <cellStyle name="Followed Hyperlink" xfId="2339" builtinId="9" hidden="true"/>
    <cellStyle name="Followed Hyperlink" xfId="2341" builtinId="9" hidden="true"/>
    <cellStyle name="Followed Hyperlink" xfId="2343" builtinId="9" hidden="true"/>
    <cellStyle name="Followed Hyperlink" xfId="2345" builtinId="9" hidden="true"/>
    <cellStyle name="Followed Hyperlink" xfId="2347" builtinId="9" hidden="true"/>
    <cellStyle name="Followed Hyperlink" xfId="2349" builtinId="9" hidden="true"/>
    <cellStyle name="Followed Hyperlink" xfId="2351" builtinId="9" hidden="true"/>
    <cellStyle name="Followed Hyperlink" xfId="2353" builtinId="9" hidden="true"/>
    <cellStyle name="Followed Hyperlink" xfId="2355" builtinId="9" hidden="true"/>
    <cellStyle name="Followed Hyperlink" xfId="2357" builtinId="9" hidden="true"/>
    <cellStyle name="Followed Hyperlink" xfId="2359" builtinId="9" hidden="true"/>
    <cellStyle name="Followed Hyperlink" xfId="2361" builtinId="9" hidden="true"/>
    <cellStyle name="Followed Hyperlink" xfId="2363" builtinId="9" hidden="true"/>
    <cellStyle name="Followed Hyperlink" xfId="2365" builtinId="9" hidden="true"/>
    <cellStyle name="Followed Hyperlink" xfId="2367" builtinId="9" hidden="true"/>
    <cellStyle name="Followed Hyperlink" xfId="2369" builtinId="9" hidden="true"/>
    <cellStyle name="Followed Hyperlink" xfId="2371" builtinId="9" hidden="true"/>
    <cellStyle name="Followed Hyperlink" xfId="2373" builtinId="9" hidden="true"/>
    <cellStyle name="Followed Hyperlink" xfId="2375" builtinId="9" hidden="true"/>
    <cellStyle name="Followed Hyperlink" xfId="2377" builtinId="9" hidden="true"/>
    <cellStyle name="Followed Hyperlink" xfId="2379" builtinId="9" hidden="true"/>
    <cellStyle name="Followed Hyperlink" xfId="2381" builtinId="9" hidden="true"/>
    <cellStyle name="Followed Hyperlink" xfId="2383" builtinId="9" hidden="true"/>
    <cellStyle name="Followed Hyperlink" xfId="2385" builtinId="9" hidden="true"/>
    <cellStyle name="Followed Hyperlink" xfId="2387" builtinId="9" hidden="true"/>
    <cellStyle name="Followed Hyperlink" xfId="2389" builtinId="9" hidden="true"/>
    <cellStyle name="Followed Hyperlink" xfId="2391" builtinId="9" hidden="true"/>
    <cellStyle name="Followed Hyperlink" xfId="2393" builtinId="9" hidden="true"/>
    <cellStyle name="Followed Hyperlink" xfId="2395" builtinId="9" hidden="true"/>
    <cellStyle name="Followed Hyperlink" xfId="2397" builtinId="9" hidden="true"/>
    <cellStyle name="Followed Hyperlink" xfId="2399" builtinId="9" hidden="true"/>
    <cellStyle name="Followed Hyperlink" xfId="2401" builtinId="9" hidden="true"/>
    <cellStyle name="Followed Hyperlink" xfId="2403" builtinId="9" hidden="true"/>
    <cellStyle name="Followed Hyperlink" xfId="2405" builtinId="9" hidden="true"/>
    <cellStyle name="Followed Hyperlink" xfId="2407" builtinId="9" hidden="true"/>
    <cellStyle name="Followed Hyperlink" xfId="2409" builtinId="9" hidden="true"/>
    <cellStyle name="Followed Hyperlink" xfId="2411" builtinId="9" hidden="true"/>
    <cellStyle name="Followed Hyperlink" xfId="2413" builtinId="9" hidden="true"/>
    <cellStyle name="Followed Hyperlink" xfId="2415" builtinId="9" hidden="true"/>
    <cellStyle name="Followed Hyperlink" xfId="2417" builtinId="9" hidden="true"/>
    <cellStyle name="Followed Hyperlink" xfId="2419" builtinId="9" hidden="true"/>
    <cellStyle name="Followed Hyperlink" xfId="2421" builtinId="9" hidden="true"/>
    <cellStyle name="Followed Hyperlink" xfId="2423" builtinId="9" hidden="true"/>
    <cellStyle name="Followed Hyperlink" xfId="2425" builtinId="9" hidden="true"/>
    <cellStyle name="Followed Hyperlink" xfId="2427" builtinId="9" hidden="true"/>
    <cellStyle name="Followed Hyperlink" xfId="2429" builtinId="9" hidden="true"/>
    <cellStyle name="Followed Hyperlink" xfId="2431" builtinId="9" hidden="true"/>
    <cellStyle name="Followed Hyperlink" xfId="2433" builtinId="9" hidden="true"/>
    <cellStyle name="Followed Hyperlink" xfId="2435" builtinId="9" hidden="true"/>
    <cellStyle name="Followed Hyperlink" xfId="2437" builtinId="9" hidden="true"/>
    <cellStyle name="Followed Hyperlink" xfId="2439" builtinId="9" hidden="true"/>
    <cellStyle name="Followed Hyperlink" xfId="2441" builtinId="9" hidden="true"/>
    <cellStyle name="Followed Hyperlink" xfId="2443" builtinId="9" hidden="true"/>
    <cellStyle name="Followed Hyperlink" xfId="2445" builtinId="9" hidden="true"/>
    <cellStyle name="Followed Hyperlink" xfId="2447" builtinId="9" hidden="true"/>
    <cellStyle name="Followed Hyperlink" xfId="2449" builtinId="9" hidden="true"/>
    <cellStyle name="Followed Hyperlink" xfId="2451" builtinId="9" hidden="true"/>
    <cellStyle name="Followed Hyperlink" xfId="2453" builtinId="9" hidden="true"/>
    <cellStyle name="Followed Hyperlink" xfId="2455" builtinId="9" hidden="true"/>
    <cellStyle name="Followed Hyperlink" xfId="2457" builtinId="9" hidden="true"/>
    <cellStyle name="Followed Hyperlink" xfId="2459" builtinId="9" hidden="true"/>
    <cellStyle name="Followed Hyperlink" xfId="2461" builtinId="9" hidden="true"/>
    <cellStyle name="Followed Hyperlink" xfId="2463" builtinId="9" hidden="true"/>
    <cellStyle name="Followed Hyperlink" xfId="2465" builtinId="9" hidden="true"/>
    <cellStyle name="Followed Hyperlink" xfId="2467" builtinId="9" hidden="true"/>
    <cellStyle name="Followed Hyperlink" xfId="2469" builtinId="9" hidden="true"/>
    <cellStyle name="Followed Hyperlink" xfId="2471" builtinId="9" hidden="true"/>
    <cellStyle name="Followed Hyperlink" xfId="2473" builtinId="9" hidden="true"/>
    <cellStyle name="Followed Hyperlink" xfId="2475" builtinId="9" hidden="true"/>
    <cellStyle name="Followed Hyperlink" xfId="2477" builtinId="9" hidden="true"/>
    <cellStyle name="Followed Hyperlink" xfId="2479" builtinId="9" hidden="true"/>
    <cellStyle name="Followed Hyperlink" xfId="2481" builtinId="9" hidden="true"/>
    <cellStyle name="Followed Hyperlink" xfId="2483" builtinId="9" hidden="true"/>
    <cellStyle name="Followed Hyperlink" xfId="2485" builtinId="9" hidden="true"/>
    <cellStyle name="Followed Hyperlink" xfId="2487" builtinId="9" hidden="true"/>
    <cellStyle name="Followed Hyperlink" xfId="2489" builtinId="9" hidden="true"/>
    <cellStyle name="Followed Hyperlink" xfId="2491" builtinId="9" hidden="true"/>
    <cellStyle name="Followed Hyperlink" xfId="2493" builtinId="9" hidden="true"/>
    <cellStyle name="Followed Hyperlink" xfId="2495" builtinId="9" hidden="true"/>
    <cellStyle name="Followed Hyperlink" xfId="2497" builtinId="9" hidden="true"/>
    <cellStyle name="Followed Hyperlink" xfId="2499" builtinId="9" hidden="true"/>
    <cellStyle name="Followed Hyperlink" xfId="2501" builtinId="9" hidden="true"/>
    <cellStyle name="Followed Hyperlink" xfId="2503" builtinId="9" hidden="true"/>
    <cellStyle name="Followed Hyperlink" xfId="2505" builtinId="9" hidden="true"/>
    <cellStyle name="Followed Hyperlink" xfId="2507" builtinId="9" hidden="true"/>
    <cellStyle name="Followed Hyperlink" xfId="2509" builtinId="9" hidden="true"/>
    <cellStyle name="Followed Hyperlink" xfId="2511" builtinId="9" hidden="true"/>
    <cellStyle name="Followed Hyperlink" xfId="2513" builtinId="9" hidden="true"/>
    <cellStyle name="Followed Hyperlink" xfId="2515" builtinId="9" hidden="true"/>
    <cellStyle name="Followed Hyperlink" xfId="2517" builtinId="9" hidden="true"/>
    <cellStyle name="Followed Hyperlink" xfId="2519" builtinId="9" hidden="true"/>
    <cellStyle name="Followed Hyperlink" xfId="2521" builtinId="9" hidden="true"/>
    <cellStyle name="Followed Hyperlink" xfId="2523" builtinId="9" hidden="true"/>
    <cellStyle name="Followed Hyperlink" xfId="2525" builtinId="9" hidden="true"/>
    <cellStyle name="Followed Hyperlink" xfId="2527" builtinId="9" hidden="true"/>
    <cellStyle name="Followed Hyperlink" xfId="2529" builtinId="9" hidden="true"/>
    <cellStyle name="Followed Hyperlink" xfId="2531" builtinId="9" hidden="true"/>
    <cellStyle name="Followed Hyperlink" xfId="2533" builtinId="9" hidden="true"/>
    <cellStyle name="Followed Hyperlink" xfId="2535" builtinId="9" hidden="true"/>
    <cellStyle name="Followed Hyperlink" xfId="2537" builtinId="9" hidden="true"/>
    <cellStyle name="Followed Hyperlink" xfId="2539" builtinId="9" hidden="true"/>
    <cellStyle name="Followed Hyperlink" xfId="2541" builtinId="9" hidden="true"/>
    <cellStyle name="Followed Hyperlink" xfId="2543" builtinId="9" hidden="true"/>
    <cellStyle name="Followed Hyperlink" xfId="2545" builtinId="9" hidden="true"/>
    <cellStyle name="Followed Hyperlink" xfId="2547" builtinId="9" hidden="true"/>
    <cellStyle name="Followed Hyperlink" xfId="2549" builtinId="9" hidden="true"/>
    <cellStyle name="Followed Hyperlink" xfId="2551" builtinId="9" hidden="true"/>
    <cellStyle name="Followed Hyperlink" xfId="2553" builtinId="9" hidden="true"/>
    <cellStyle name="Followed Hyperlink" xfId="2555" builtinId="9" hidden="true"/>
    <cellStyle name="Followed Hyperlink" xfId="2557" builtinId="9" hidden="true"/>
    <cellStyle name="Followed Hyperlink" xfId="2559" builtinId="9" hidden="true"/>
    <cellStyle name="Followed Hyperlink" xfId="2561" builtinId="9" hidden="true"/>
    <cellStyle name="Followed Hyperlink" xfId="2563" builtinId="9" hidden="true"/>
    <cellStyle name="Followed Hyperlink" xfId="2565" builtinId="9" hidden="true"/>
    <cellStyle name="Followed Hyperlink" xfId="2567" builtinId="9" hidden="true"/>
    <cellStyle name="Followed Hyperlink" xfId="2569" builtinId="9" hidden="true"/>
    <cellStyle name="Followed Hyperlink" xfId="2571" builtinId="9" hidden="true"/>
    <cellStyle name="Followed Hyperlink" xfId="2573" builtinId="9" hidden="true"/>
    <cellStyle name="Followed Hyperlink" xfId="2575" builtinId="9" hidden="true"/>
    <cellStyle name="Followed Hyperlink" xfId="2577" builtinId="9" hidden="true"/>
    <cellStyle name="Followed Hyperlink" xfId="2579" builtinId="9" hidden="true"/>
    <cellStyle name="Followed Hyperlink" xfId="2581" builtinId="9" hidden="true"/>
    <cellStyle name="Followed Hyperlink" xfId="2583" builtinId="9" hidden="true"/>
    <cellStyle name="Followed Hyperlink" xfId="2585" builtinId="9" hidden="true"/>
    <cellStyle name="Followed Hyperlink" xfId="2587" builtinId="9" hidden="true"/>
    <cellStyle name="Followed Hyperlink" xfId="2589" builtinId="9" hidden="true"/>
    <cellStyle name="Followed Hyperlink" xfId="2591" builtinId="9" hidden="true"/>
    <cellStyle name="Followed Hyperlink" xfId="2593" builtinId="9" hidden="true"/>
    <cellStyle name="Followed Hyperlink" xfId="2595" builtinId="9" hidden="true"/>
    <cellStyle name="Followed Hyperlink" xfId="2597" builtinId="9" hidden="true"/>
    <cellStyle name="Followed Hyperlink" xfId="2599" builtinId="9" hidden="true"/>
    <cellStyle name="Followed Hyperlink" xfId="2601" builtinId="9" hidden="true"/>
    <cellStyle name="Followed Hyperlink" xfId="2603" builtinId="9" hidden="true"/>
    <cellStyle name="Followed Hyperlink" xfId="2605" builtinId="9" hidden="true"/>
    <cellStyle name="Followed Hyperlink" xfId="2607" builtinId="9" hidden="true"/>
    <cellStyle name="Followed Hyperlink" xfId="2609" builtinId="9" hidden="true"/>
    <cellStyle name="Followed Hyperlink" xfId="2611" builtinId="9" hidden="true"/>
    <cellStyle name="Followed Hyperlink" xfId="2613" builtinId="9" hidden="true"/>
    <cellStyle name="Followed Hyperlink" xfId="2615" builtinId="9" hidden="true"/>
    <cellStyle name="Followed Hyperlink" xfId="2617" builtinId="9" hidden="true"/>
    <cellStyle name="Followed Hyperlink" xfId="2619" builtinId="9" hidden="true"/>
    <cellStyle name="Followed Hyperlink" xfId="2621" builtinId="9" hidden="true"/>
    <cellStyle name="Followed Hyperlink" xfId="2623" builtinId="9" hidden="true"/>
    <cellStyle name="Followed Hyperlink" xfId="2625" builtinId="9" hidden="true"/>
    <cellStyle name="Followed Hyperlink" xfId="2627" builtinId="9" hidden="true"/>
    <cellStyle name="Followed Hyperlink" xfId="2629" builtinId="9" hidden="true"/>
    <cellStyle name="Followed Hyperlink" xfId="2631" builtinId="9" hidden="true"/>
    <cellStyle name="Followed Hyperlink" xfId="2633" builtinId="9" hidden="true"/>
    <cellStyle name="Followed Hyperlink" xfId="2635" builtinId="9" hidden="true"/>
    <cellStyle name="Followed Hyperlink" xfId="2637" builtinId="9" hidden="true"/>
    <cellStyle name="Followed Hyperlink" xfId="2639" builtinId="9" hidden="true"/>
    <cellStyle name="Followed Hyperlink" xfId="2641" builtinId="9" hidden="true"/>
    <cellStyle name="Followed Hyperlink" xfId="2643" builtinId="9" hidden="true"/>
    <cellStyle name="Followed Hyperlink" xfId="2645" builtinId="9" hidden="true"/>
    <cellStyle name="Followed Hyperlink" xfId="2647" builtinId="9" hidden="true"/>
    <cellStyle name="Followed Hyperlink" xfId="2649" builtinId="9" hidden="true"/>
    <cellStyle name="Followed Hyperlink" xfId="2651" builtinId="9" hidden="true"/>
    <cellStyle name="Followed Hyperlink" xfId="2653" builtinId="9" hidden="true"/>
    <cellStyle name="Followed Hyperlink" xfId="2655" builtinId="9" hidden="true"/>
    <cellStyle name="Followed Hyperlink" xfId="2657" builtinId="9" hidden="true"/>
    <cellStyle name="Followed Hyperlink" xfId="2659" builtinId="9" hidden="true"/>
    <cellStyle name="Followed Hyperlink" xfId="2661" builtinId="9" hidden="true"/>
    <cellStyle name="Followed Hyperlink" xfId="2663" builtinId="9" hidden="true"/>
    <cellStyle name="Followed Hyperlink" xfId="2665" builtinId="9" hidden="true"/>
    <cellStyle name="Followed Hyperlink" xfId="2667" builtinId="9" hidden="true"/>
    <cellStyle name="Followed Hyperlink" xfId="2669" builtinId="9" hidden="true"/>
    <cellStyle name="Followed Hyperlink" xfId="2671" builtinId="9" hidden="true"/>
    <cellStyle name="Followed Hyperlink" xfId="2673" builtinId="9" hidden="true"/>
    <cellStyle name="Followed Hyperlink" xfId="2675" builtinId="9" hidden="true"/>
    <cellStyle name="Followed Hyperlink" xfId="2677" builtinId="9" hidden="true"/>
    <cellStyle name="Followed Hyperlink" xfId="2679" builtinId="9" hidden="true"/>
    <cellStyle name="Followed Hyperlink" xfId="2681" builtinId="9" hidden="true"/>
    <cellStyle name="Followed Hyperlink" xfId="2683" builtinId="9" hidden="true"/>
    <cellStyle name="Followed Hyperlink" xfId="2685" builtinId="9" hidden="true"/>
    <cellStyle name="Followed Hyperlink" xfId="2687" builtinId="9" hidden="true"/>
    <cellStyle name="Followed Hyperlink" xfId="2689" builtinId="9" hidden="true"/>
    <cellStyle name="Followed Hyperlink" xfId="2691" builtinId="9" hidden="true"/>
    <cellStyle name="Followed Hyperlink" xfId="2693" builtinId="9" hidden="true"/>
    <cellStyle name="Followed Hyperlink" xfId="2695" builtinId="9" hidden="true"/>
    <cellStyle name="Followed Hyperlink" xfId="2697" builtinId="9" hidden="true"/>
    <cellStyle name="Followed Hyperlink" xfId="2699" builtinId="9" hidden="true"/>
    <cellStyle name="Followed Hyperlink" xfId="2701" builtinId="9" hidden="true"/>
    <cellStyle name="Followed Hyperlink" xfId="2703" builtinId="9" hidden="true"/>
    <cellStyle name="Followed Hyperlink" xfId="2705" builtinId="9" hidden="true"/>
    <cellStyle name="Followed Hyperlink" xfId="2707" builtinId="9" hidden="true"/>
    <cellStyle name="Followed Hyperlink" xfId="2709" builtinId="9" hidden="true"/>
    <cellStyle name="Followed Hyperlink" xfId="2711" builtinId="9" hidden="true"/>
    <cellStyle name="Followed Hyperlink" xfId="2713" builtinId="9" hidden="true"/>
    <cellStyle name="Followed Hyperlink" xfId="2715" builtinId="9" hidden="true"/>
    <cellStyle name="Followed Hyperlink" xfId="2717" builtinId="9" hidden="true"/>
    <cellStyle name="Followed Hyperlink" xfId="2719" builtinId="9" hidden="true"/>
    <cellStyle name="Followed Hyperlink" xfId="2721" builtinId="9" hidden="true"/>
    <cellStyle name="Followed Hyperlink" xfId="2723" builtinId="9" hidden="true"/>
    <cellStyle name="Followed Hyperlink" xfId="2725" builtinId="9" hidden="true"/>
    <cellStyle name="Followed Hyperlink" xfId="2727" builtinId="9" hidden="true"/>
    <cellStyle name="Followed Hyperlink" xfId="2729" builtinId="9" hidden="true"/>
    <cellStyle name="Followed Hyperlink" xfId="2731" builtinId="9" hidden="true"/>
    <cellStyle name="Followed Hyperlink" xfId="2733" builtinId="9" hidden="true"/>
    <cellStyle name="Followed Hyperlink" xfId="2735" builtinId="9" hidden="true"/>
    <cellStyle name="Followed Hyperlink" xfId="2737" builtinId="9" hidden="true"/>
    <cellStyle name="Followed Hyperlink" xfId="2739" builtinId="9" hidden="true"/>
    <cellStyle name="Followed Hyperlink" xfId="2741" builtinId="9" hidden="true"/>
    <cellStyle name="Followed Hyperlink" xfId="2743" builtinId="9" hidden="true"/>
    <cellStyle name="Followed Hyperlink" xfId="2745" builtinId="9" hidden="true"/>
    <cellStyle name="Followed Hyperlink" xfId="2747" builtinId="9" hidden="true"/>
    <cellStyle name="Followed Hyperlink" xfId="2749" builtinId="9" hidden="true"/>
    <cellStyle name="Followed Hyperlink" xfId="2751" builtinId="9" hidden="true"/>
    <cellStyle name="Followed Hyperlink" xfId="2753" builtinId="9" hidden="true"/>
    <cellStyle name="Followed Hyperlink" xfId="2755" builtinId="9" hidden="true"/>
    <cellStyle name="Followed Hyperlink" xfId="2757" builtinId="9" hidden="true"/>
    <cellStyle name="Followed Hyperlink" xfId="2759" builtinId="9" hidden="true"/>
    <cellStyle name="Followed Hyperlink" xfId="2761" builtinId="9" hidden="true"/>
    <cellStyle name="Followed Hyperlink" xfId="2763" builtinId="9" hidden="true"/>
    <cellStyle name="Followed Hyperlink" xfId="2765" builtinId="9" hidden="true"/>
    <cellStyle name="Followed Hyperlink" xfId="2767" builtinId="9" hidden="true"/>
    <cellStyle name="Followed Hyperlink" xfId="2769" builtinId="9" hidden="true"/>
    <cellStyle name="Followed Hyperlink" xfId="2771" builtinId="9" hidden="true"/>
    <cellStyle name="Followed Hyperlink" xfId="2773" builtinId="9" hidden="true"/>
    <cellStyle name="Followed Hyperlink" xfId="2775" builtinId="9" hidden="true"/>
    <cellStyle name="Followed Hyperlink" xfId="2777" builtinId="9" hidden="true"/>
    <cellStyle name="Followed Hyperlink" xfId="2779" builtinId="9" hidden="true"/>
    <cellStyle name="Followed Hyperlink" xfId="2781" builtinId="9" hidden="true"/>
    <cellStyle name="Followed Hyperlink" xfId="2783" builtinId="9" hidden="true"/>
    <cellStyle name="Followed Hyperlink" xfId="2785" builtinId="9" hidden="true"/>
    <cellStyle name="Followed Hyperlink" xfId="2787" builtinId="9" hidden="true"/>
    <cellStyle name="Followed Hyperlink" xfId="2789" builtinId="9" hidden="true"/>
    <cellStyle name="Followed Hyperlink" xfId="2791" builtinId="9" hidden="true"/>
    <cellStyle name="Followed Hyperlink" xfId="2793" builtinId="9" hidden="true"/>
    <cellStyle name="Followed Hyperlink" xfId="2795" builtinId="9" hidden="true"/>
    <cellStyle name="Followed Hyperlink" xfId="2797" builtinId="9" hidden="true"/>
    <cellStyle name="Followed Hyperlink" xfId="2799" builtinId="9" hidden="true"/>
    <cellStyle name="Followed Hyperlink" xfId="2801" builtinId="9" hidden="true"/>
    <cellStyle name="Followed Hyperlink" xfId="2803" builtinId="9" hidden="true"/>
    <cellStyle name="Followed Hyperlink" xfId="2805" builtinId="9" hidden="true"/>
    <cellStyle name="Followed Hyperlink" xfId="2807" builtinId="9" hidden="true"/>
    <cellStyle name="Followed Hyperlink" xfId="2809" builtinId="9" hidden="true"/>
    <cellStyle name="Followed Hyperlink" xfId="2811" builtinId="9" hidden="true"/>
    <cellStyle name="Followed Hyperlink" xfId="2813" builtinId="9" hidden="true"/>
    <cellStyle name="Followed Hyperlink" xfId="2815" builtinId="9" hidden="true"/>
    <cellStyle name="Followed Hyperlink" xfId="2817" builtinId="9" hidden="true"/>
    <cellStyle name="Followed Hyperlink" xfId="2819" builtinId="9" hidden="true"/>
    <cellStyle name="Followed Hyperlink" xfId="2821" builtinId="9" hidden="true"/>
    <cellStyle name="Followed Hyperlink" xfId="2823" builtinId="9" hidden="true"/>
    <cellStyle name="Followed Hyperlink" xfId="2825" builtinId="9" hidden="true"/>
    <cellStyle name="Followed Hyperlink" xfId="2827" builtinId="9" hidden="true"/>
    <cellStyle name="Followed Hyperlink" xfId="2829" builtinId="9" hidden="true"/>
    <cellStyle name="Followed Hyperlink" xfId="2831" builtinId="9" hidden="true"/>
    <cellStyle name="Followed Hyperlink" xfId="2833" builtinId="9" hidden="true"/>
    <cellStyle name="Followed Hyperlink" xfId="2835" builtinId="9" hidden="true"/>
    <cellStyle name="Followed Hyperlink" xfId="2837" builtinId="9" hidden="true"/>
    <cellStyle name="Followed Hyperlink" xfId="2839" builtinId="9" hidden="true"/>
    <cellStyle name="Followed Hyperlink" xfId="2841" builtinId="9" hidden="true"/>
    <cellStyle name="Followed Hyperlink" xfId="2843" builtinId="9" hidden="true"/>
    <cellStyle name="Followed Hyperlink" xfId="2845" builtinId="9" hidden="true"/>
    <cellStyle name="Followed Hyperlink" xfId="2847" builtinId="9" hidden="true"/>
    <cellStyle name="Followed Hyperlink" xfId="2849" builtinId="9" hidden="true"/>
    <cellStyle name="Followed Hyperlink" xfId="2851" builtinId="9" hidden="true"/>
    <cellStyle name="Followed Hyperlink" xfId="2853" builtinId="9" hidden="true"/>
    <cellStyle name="Followed Hyperlink" xfId="2855" builtinId="9" hidden="true"/>
    <cellStyle name="Followed Hyperlink" xfId="2857" builtinId="9" hidden="true"/>
    <cellStyle name="Followed Hyperlink" xfId="2859" builtinId="9" hidden="true"/>
    <cellStyle name="Followed Hyperlink" xfId="2861" builtinId="9" hidden="true"/>
    <cellStyle name="Followed Hyperlink" xfId="2863" builtinId="9" hidden="true"/>
    <cellStyle name="Followed Hyperlink" xfId="2865" builtinId="9" hidden="true"/>
    <cellStyle name="Followed Hyperlink" xfId="2867" builtinId="9" hidden="true"/>
    <cellStyle name="Followed Hyperlink" xfId="2869" builtinId="9" hidden="true"/>
    <cellStyle name="Followed Hyperlink" xfId="2871" builtinId="9" hidden="true"/>
    <cellStyle name="Followed Hyperlink" xfId="2873" builtinId="9" hidden="true"/>
    <cellStyle name="Followed Hyperlink" xfId="2875" builtinId="9" hidden="true"/>
    <cellStyle name="Followed Hyperlink" xfId="2877" builtinId="9" hidden="true"/>
    <cellStyle name="Followed Hyperlink" xfId="2879" builtinId="9" hidden="true"/>
    <cellStyle name="Followed Hyperlink" xfId="2881" builtinId="9" hidden="true"/>
    <cellStyle name="Followed Hyperlink" xfId="2883" builtinId="9" hidden="true"/>
    <cellStyle name="Followed Hyperlink" xfId="2885" builtinId="9" hidden="true"/>
    <cellStyle name="Followed Hyperlink" xfId="2887" builtinId="9" hidden="true"/>
    <cellStyle name="Followed Hyperlink" xfId="2889" builtinId="9" hidden="true"/>
    <cellStyle name="Followed Hyperlink" xfId="2891" builtinId="9" hidden="true"/>
    <cellStyle name="Followed Hyperlink" xfId="2893" builtinId="9" hidden="true"/>
    <cellStyle name="Followed Hyperlink" xfId="2895" builtinId="9" hidden="true"/>
    <cellStyle name="Followed Hyperlink" xfId="2897" builtinId="9" hidden="true"/>
    <cellStyle name="Followed Hyperlink" xfId="2899" builtinId="9" hidden="true"/>
    <cellStyle name="Followed Hyperlink" xfId="2901" builtinId="9" hidden="true"/>
    <cellStyle name="Followed Hyperlink" xfId="2903" builtinId="9" hidden="true"/>
    <cellStyle name="Followed Hyperlink" xfId="2905" builtinId="9" hidden="true"/>
    <cellStyle name="Followed Hyperlink" xfId="2907" builtinId="9" hidden="true"/>
    <cellStyle name="Followed Hyperlink" xfId="2909" builtinId="9" hidden="true"/>
    <cellStyle name="Followed Hyperlink" xfId="2911" builtinId="9" hidden="true"/>
    <cellStyle name="Followed Hyperlink" xfId="2913" builtinId="9" hidden="true"/>
    <cellStyle name="Followed Hyperlink" xfId="2915" builtinId="9" hidden="true"/>
    <cellStyle name="Followed Hyperlink" xfId="2917" builtinId="9" hidden="true"/>
    <cellStyle name="Followed Hyperlink" xfId="2919" builtinId="9" hidden="true"/>
    <cellStyle name="Followed Hyperlink" xfId="2921" builtinId="9" hidden="true"/>
    <cellStyle name="Followed Hyperlink" xfId="2923" builtinId="9" hidden="true"/>
    <cellStyle name="Followed Hyperlink" xfId="2925" builtinId="9" hidden="true"/>
    <cellStyle name="Followed Hyperlink" xfId="2927" builtinId="9" hidden="true"/>
    <cellStyle name="Followed Hyperlink" xfId="2929" builtinId="9" hidden="true"/>
    <cellStyle name="Followed Hyperlink" xfId="2931" builtinId="9" hidden="true"/>
    <cellStyle name="Followed Hyperlink" xfId="2933" builtinId="9" hidden="true"/>
    <cellStyle name="Followed Hyperlink" xfId="2935" builtinId="9" hidden="true"/>
    <cellStyle name="Followed Hyperlink" xfId="2937" builtinId="9" hidden="true"/>
    <cellStyle name="Followed Hyperlink" xfId="2939" builtinId="9" hidden="true"/>
    <cellStyle name="Followed Hyperlink" xfId="2941" builtinId="9" hidden="true"/>
    <cellStyle name="Followed Hyperlink" xfId="2943" builtinId="9" hidden="true"/>
    <cellStyle name="Followed Hyperlink" xfId="2945" builtinId="9" hidden="true"/>
    <cellStyle name="Followed Hyperlink" xfId="2947" builtinId="9" hidden="true"/>
    <cellStyle name="Followed Hyperlink" xfId="2949" builtinId="9" hidden="true"/>
    <cellStyle name="Followed Hyperlink" xfId="2951" builtinId="9" hidden="true"/>
    <cellStyle name="Followed Hyperlink" xfId="2953" builtinId="9" hidden="true"/>
    <cellStyle name="Followed Hyperlink" xfId="2955" builtinId="9" hidden="true"/>
    <cellStyle name="Followed Hyperlink" xfId="2957" builtinId="9" hidden="true"/>
    <cellStyle name="Followed Hyperlink" xfId="2959" builtinId="9" hidden="true"/>
    <cellStyle name="Followed Hyperlink" xfId="2961" builtinId="9" hidden="true"/>
    <cellStyle name="Followed Hyperlink" xfId="2963" builtinId="9" hidden="true"/>
    <cellStyle name="Followed Hyperlink" xfId="2965" builtinId="9" hidden="true"/>
    <cellStyle name="Followed Hyperlink" xfId="2967" builtinId="9" hidden="true"/>
    <cellStyle name="Followed Hyperlink" xfId="2969" builtinId="9" hidden="true"/>
    <cellStyle name="Followed Hyperlink" xfId="2971" builtinId="9" hidden="true"/>
    <cellStyle name="Followed Hyperlink" xfId="2973" builtinId="9" hidden="true"/>
    <cellStyle name="Followed Hyperlink" xfId="2975" builtinId="9" hidden="true"/>
    <cellStyle name="Followed Hyperlink" xfId="2977" builtinId="9" hidden="true"/>
    <cellStyle name="Followed Hyperlink" xfId="2979" builtinId="9" hidden="true"/>
    <cellStyle name="Followed Hyperlink" xfId="2981" builtinId="9" hidden="true"/>
    <cellStyle name="Followed Hyperlink" xfId="2983" builtinId="9" hidden="true"/>
    <cellStyle name="Followed Hyperlink" xfId="2985" builtinId="9" hidden="true"/>
    <cellStyle name="Followed Hyperlink" xfId="2987" builtinId="9" hidden="true"/>
    <cellStyle name="Followed Hyperlink" xfId="2989" builtinId="9" hidden="true"/>
    <cellStyle name="Followed Hyperlink" xfId="2991" builtinId="9" hidden="true"/>
    <cellStyle name="Followed Hyperlink" xfId="2993" builtinId="9" hidden="true"/>
    <cellStyle name="Followed Hyperlink" xfId="2995" builtinId="9" hidden="true"/>
    <cellStyle name="Followed Hyperlink" xfId="2997" builtinId="9" hidden="true"/>
    <cellStyle name="Followed Hyperlink" xfId="2999" builtinId="9" hidden="true"/>
    <cellStyle name="Followed Hyperlink" xfId="3001" builtinId="9" hidden="true"/>
    <cellStyle name="Followed Hyperlink" xfId="3003" builtinId="9" hidden="true"/>
    <cellStyle name="Followed Hyperlink" xfId="3005" builtinId="9" hidden="true"/>
    <cellStyle name="Followed Hyperlink" xfId="3007" builtinId="9" hidden="true"/>
    <cellStyle name="Followed Hyperlink" xfId="3009" builtinId="9" hidden="true"/>
    <cellStyle name="Followed Hyperlink" xfId="3011" builtinId="9" hidden="true"/>
    <cellStyle name="Followed Hyperlink" xfId="3013" builtinId="9" hidden="true"/>
    <cellStyle name="Followed Hyperlink" xfId="3015" builtinId="9" hidden="true"/>
    <cellStyle name="Followed Hyperlink" xfId="3017" builtinId="9" hidden="true"/>
    <cellStyle name="Followed Hyperlink" xfId="3019" builtinId="9" hidden="true"/>
    <cellStyle name="Followed Hyperlink" xfId="3021" builtinId="9" hidden="true"/>
    <cellStyle name="Followed Hyperlink" xfId="3023" builtinId="9" hidden="true"/>
    <cellStyle name="Followed Hyperlink" xfId="3025" builtinId="9" hidden="true"/>
    <cellStyle name="Followed Hyperlink" xfId="3027" builtinId="9" hidden="true"/>
    <cellStyle name="Followed Hyperlink" xfId="3029" builtinId="9" hidden="true"/>
    <cellStyle name="Followed Hyperlink" xfId="3031" builtinId="9" hidden="true"/>
    <cellStyle name="Followed Hyperlink" xfId="3033" builtinId="9" hidden="true"/>
    <cellStyle name="Followed Hyperlink" xfId="3035" builtinId="9" hidden="true"/>
    <cellStyle name="Followed Hyperlink" xfId="3037" builtinId="9" hidden="true"/>
    <cellStyle name="Followed Hyperlink" xfId="3039" builtinId="9" hidden="true"/>
    <cellStyle name="Followed Hyperlink" xfId="3041" builtinId="9" hidden="true"/>
    <cellStyle name="Followed Hyperlink" xfId="3043" builtinId="9" hidden="true"/>
    <cellStyle name="Followed Hyperlink" xfId="3045" builtinId="9" hidden="true"/>
    <cellStyle name="Followed Hyperlink" xfId="3047" builtinId="9" hidden="true"/>
    <cellStyle name="Followed Hyperlink" xfId="3049" builtinId="9" hidden="true"/>
    <cellStyle name="Followed Hyperlink" xfId="3051" builtinId="9" hidden="true"/>
    <cellStyle name="Followed Hyperlink" xfId="3053" builtinId="9" hidden="true"/>
    <cellStyle name="Followed Hyperlink" xfId="3055" builtinId="9" hidden="true"/>
    <cellStyle name="Followed Hyperlink" xfId="3057" builtinId="9" hidden="true"/>
    <cellStyle name="Followed Hyperlink" xfId="3059" builtinId="9" hidden="true"/>
    <cellStyle name="Followed Hyperlink" xfId="3061" builtinId="9" hidden="true"/>
    <cellStyle name="Followed Hyperlink" xfId="3063" builtinId="9" hidden="true"/>
    <cellStyle name="Followed Hyperlink" xfId="3065" builtinId="9" hidden="true"/>
    <cellStyle name="Followed Hyperlink" xfId="3067" builtinId="9" hidden="true"/>
    <cellStyle name="Followed Hyperlink" xfId="3069" builtinId="9" hidden="true"/>
    <cellStyle name="Followed Hyperlink" xfId="3071" builtinId="9" hidden="true"/>
    <cellStyle name="Followed Hyperlink" xfId="3073" builtinId="9" hidden="true"/>
    <cellStyle name="Followed Hyperlink" xfId="3075" builtinId="9" hidden="true"/>
    <cellStyle name="Followed Hyperlink" xfId="3077" builtinId="9" hidden="true"/>
    <cellStyle name="Followed Hyperlink" xfId="3079" builtinId="9" hidden="true"/>
    <cellStyle name="Followed Hyperlink" xfId="3081" builtinId="9" hidden="true"/>
    <cellStyle name="Followed Hyperlink" xfId="3083" builtinId="9" hidden="true"/>
    <cellStyle name="Followed Hyperlink" xfId="3085" builtinId="9" hidden="true"/>
    <cellStyle name="Followed Hyperlink" xfId="3087" builtinId="9" hidden="true"/>
    <cellStyle name="Followed Hyperlink" xfId="3089" builtinId="9" hidden="true"/>
    <cellStyle name="Followed Hyperlink" xfId="3091" builtinId="9" hidden="true"/>
    <cellStyle name="Followed Hyperlink" xfId="3093" builtinId="9" hidden="true"/>
    <cellStyle name="Followed Hyperlink" xfId="3095" builtinId="9" hidden="true"/>
    <cellStyle name="Followed Hyperlink" xfId="3097" builtinId="9" hidden="true"/>
    <cellStyle name="Followed Hyperlink" xfId="3099" builtinId="9" hidden="true"/>
    <cellStyle name="Followed Hyperlink" xfId="3101" builtinId="9" hidden="true"/>
    <cellStyle name="Followed Hyperlink" xfId="3103" builtinId="9" hidden="true"/>
    <cellStyle name="Followed Hyperlink" xfId="3105" builtinId="9" hidden="true"/>
    <cellStyle name="Followed Hyperlink" xfId="3107" builtinId="9" hidden="true"/>
    <cellStyle name="Followed Hyperlink" xfId="3109" builtinId="9" hidden="true"/>
    <cellStyle name="Followed Hyperlink" xfId="3111" builtinId="9" hidden="true"/>
    <cellStyle name="Followed Hyperlink" xfId="3113" builtinId="9" hidden="true"/>
    <cellStyle name="Followed Hyperlink" xfId="3115" builtinId="9" hidden="true"/>
    <cellStyle name="Followed Hyperlink" xfId="3117" builtinId="9" hidden="true"/>
    <cellStyle name="Followed Hyperlink" xfId="3119" builtinId="9" hidden="true"/>
    <cellStyle name="Followed Hyperlink" xfId="3121" builtinId="9" hidden="true"/>
    <cellStyle name="Followed Hyperlink" xfId="3123" builtinId="9" hidden="true"/>
    <cellStyle name="Followed Hyperlink" xfId="3125" builtinId="9" hidden="true"/>
    <cellStyle name="Followed Hyperlink" xfId="3127" builtinId="9" hidden="true"/>
    <cellStyle name="Followed Hyperlink" xfId="3129" builtinId="9" hidden="true"/>
    <cellStyle name="Followed Hyperlink" xfId="3131" builtinId="9" hidden="true"/>
    <cellStyle name="Followed Hyperlink" xfId="3133" builtinId="9" hidden="true"/>
    <cellStyle name="Followed Hyperlink" xfId="3135" builtinId="9" hidden="true"/>
    <cellStyle name="Followed Hyperlink" xfId="3137" builtinId="9" hidden="true"/>
    <cellStyle name="Followed Hyperlink" xfId="3139" builtinId="9" hidden="true"/>
    <cellStyle name="Followed Hyperlink" xfId="3141" builtinId="9" hidden="true"/>
    <cellStyle name="Followed Hyperlink" xfId="3143" builtinId="9" hidden="true"/>
    <cellStyle name="Followed Hyperlink" xfId="3145" builtinId="9" hidden="true"/>
    <cellStyle name="Followed Hyperlink" xfId="3147" builtinId="9" hidden="true"/>
    <cellStyle name="Followed Hyperlink" xfId="3149" builtinId="9" hidden="true"/>
    <cellStyle name="Followed Hyperlink" xfId="3151" builtinId="9" hidden="true"/>
    <cellStyle name="Followed Hyperlink" xfId="3153" builtinId="9" hidden="true"/>
    <cellStyle name="Followed Hyperlink" xfId="3155" builtinId="9" hidden="true"/>
    <cellStyle name="Followed Hyperlink" xfId="3157" builtinId="9" hidden="true"/>
    <cellStyle name="Followed Hyperlink" xfId="3159" builtinId="9" hidden="true"/>
    <cellStyle name="Followed Hyperlink" xfId="3161" builtinId="9" hidden="true"/>
    <cellStyle name="Followed Hyperlink" xfId="3163" builtinId="9" hidden="true"/>
    <cellStyle name="Followed Hyperlink" xfId="3165" builtinId="9" hidden="true"/>
    <cellStyle name="Followed Hyperlink" xfId="3167" builtinId="9" hidden="true"/>
    <cellStyle name="Followed Hyperlink" xfId="3169" builtinId="9" hidden="true"/>
    <cellStyle name="Followed Hyperlink" xfId="3171" builtinId="9" hidden="true"/>
    <cellStyle name="Followed Hyperlink" xfId="3173" builtinId="9" hidden="true"/>
    <cellStyle name="Followed Hyperlink" xfId="3175" builtinId="9" hidden="true"/>
    <cellStyle name="Followed Hyperlink" xfId="3177" builtinId="9" hidden="true"/>
    <cellStyle name="Followed Hyperlink" xfId="3179" builtinId="9" hidden="true"/>
    <cellStyle name="Followed Hyperlink" xfId="3181" builtinId="9" hidden="true"/>
    <cellStyle name="Followed Hyperlink" xfId="3183" builtinId="9" hidden="true"/>
    <cellStyle name="Followed Hyperlink" xfId="3185" builtinId="9" hidden="true"/>
    <cellStyle name="Followed Hyperlink" xfId="3187" builtinId="9" hidden="true"/>
    <cellStyle name="Followed Hyperlink" xfId="3189" builtinId="9" hidden="true"/>
    <cellStyle name="Followed Hyperlink" xfId="3191" builtinId="9" hidden="true"/>
    <cellStyle name="Followed Hyperlink" xfId="3193" builtinId="9" hidden="true"/>
    <cellStyle name="Followed Hyperlink" xfId="3195" builtinId="9" hidden="true"/>
    <cellStyle name="Followed Hyperlink" xfId="3197" builtinId="9" hidden="true"/>
    <cellStyle name="Followed Hyperlink" xfId="3199" builtinId="9" hidden="true"/>
    <cellStyle name="Followed Hyperlink" xfId="3201" builtinId="9" hidden="true"/>
    <cellStyle name="Followed Hyperlink" xfId="3203" builtinId="9" hidden="true"/>
    <cellStyle name="Followed Hyperlink" xfId="3205" builtinId="9" hidden="true"/>
    <cellStyle name="Followed Hyperlink" xfId="3207" builtinId="9" hidden="true"/>
    <cellStyle name="Followed Hyperlink" xfId="3209" builtinId="9" hidden="true"/>
    <cellStyle name="Followed Hyperlink" xfId="3211" builtinId="9" hidden="true"/>
    <cellStyle name="Followed Hyperlink" xfId="3213" builtinId="9" hidden="true"/>
    <cellStyle name="Followed Hyperlink" xfId="3215" builtinId="9" hidden="true"/>
    <cellStyle name="Followed Hyperlink" xfId="3217" builtinId="9" hidden="true"/>
    <cellStyle name="Followed Hyperlink" xfId="3219" builtinId="9" hidden="true"/>
    <cellStyle name="Followed Hyperlink" xfId="3221" builtinId="9" hidden="true"/>
    <cellStyle name="Followed Hyperlink" xfId="3223" builtinId="9" hidden="true"/>
    <cellStyle name="Followed Hyperlink" xfId="3225" builtinId="9" hidden="true"/>
    <cellStyle name="Followed Hyperlink" xfId="3227" builtinId="9" hidden="true"/>
    <cellStyle name="Followed Hyperlink" xfId="3229" builtinId="9" hidden="true"/>
    <cellStyle name="Followed Hyperlink" xfId="3231" builtinId="9" hidden="true"/>
    <cellStyle name="Followed Hyperlink" xfId="3233" builtinId="9" hidden="true"/>
    <cellStyle name="Followed Hyperlink" xfId="3235" builtinId="9" hidden="true"/>
    <cellStyle name="Followed Hyperlink" xfId="3237" builtinId="9" hidden="true"/>
    <cellStyle name="Followed Hyperlink" xfId="3239" builtinId="9" hidden="true"/>
    <cellStyle name="Followed Hyperlink" xfId="3241" builtinId="9" hidden="true"/>
    <cellStyle name="Followed Hyperlink" xfId="3243" builtinId="9" hidden="true"/>
    <cellStyle name="Followed Hyperlink" xfId="3245" builtinId="9" hidden="true"/>
    <cellStyle name="Followed Hyperlink" xfId="3247" builtinId="9" hidden="true"/>
    <cellStyle name="Followed Hyperlink" xfId="3249" builtinId="9" hidden="true"/>
    <cellStyle name="Followed Hyperlink" xfId="3251" builtinId="9" hidden="true"/>
    <cellStyle name="Followed Hyperlink" xfId="3253" builtinId="9" hidden="true"/>
    <cellStyle name="Followed Hyperlink" xfId="3255" builtinId="9" hidden="true"/>
    <cellStyle name="Followed Hyperlink" xfId="3257" builtinId="9" hidden="true"/>
    <cellStyle name="Followed Hyperlink" xfId="3259" builtinId="9" hidden="true"/>
    <cellStyle name="Followed Hyperlink" xfId="3261" builtinId="9" hidden="true"/>
    <cellStyle name="Followed Hyperlink" xfId="3263" builtinId="9" hidden="true"/>
    <cellStyle name="Followed Hyperlink" xfId="3265" builtinId="9" hidden="true"/>
    <cellStyle name="Followed Hyperlink" xfId="3267" builtinId="9" hidden="true"/>
    <cellStyle name="Followed Hyperlink" xfId="3269" builtinId="9" hidden="true"/>
    <cellStyle name="Followed Hyperlink" xfId="3271" builtinId="9" hidden="true"/>
    <cellStyle name="Followed Hyperlink" xfId="3273" builtinId="9" hidden="true"/>
    <cellStyle name="Followed Hyperlink" xfId="3275" builtinId="9" hidden="true"/>
    <cellStyle name="Followed Hyperlink" xfId="3277" builtinId="9" hidden="true"/>
    <cellStyle name="Followed Hyperlink" xfId="3279" builtinId="9" hidden="true"/>
    <cellStyle name="Followed Hyperlink" xfId="3281" builtinId="9" hidden="true"/>
    <cellStyle name="Followed Hyperlink" xfId="3283" builtinId="9" hidden="true"/>
    <cellStyle name="Followed Hyperlink" xfId="3285" builtinId="9" hidden="true"/>
    <cellStyle name="Followed Hyperlink" xfId="3287" builtinId="9" hidden="true"/>
    <cellStyle name="Followed Hyperlink" xfId="3289" builtinId="9" hidden="true"/>
    <cellStyle name="Followed Hyperlink" xfId="3291" builtinId="9" hidden="true"/>
    <cellStyle name="Followed Hyperlink" xfId="3293" builtinId="9" hidden="true"/>
    <cellStyle name="Followed Hyperlink" xfId="3295" builtinId="9" hidden="true"/>
    <cellStyle name="Followed Hyperlink" xfId="3297" builtinId="9" hidden="true"/>
    <cellStyle name="Followed Hyperlink" xfId="3299" builtinId="9" hidden="true"/>
    <cellStyle name="Followed Hyperlink" xfId="3301" builtinId="9" hidden="true"/>
    <cellStyle name="Followed Hyperlink" xfId="3303" builtinId="9" hidden="true"/>
    <cellStyle name="Followed Hyperlink" xfId="3305" builtinId="9" hidden="true"/>
    <cellStyle name="Followed Hyperlink" xfId="3307" builtinId="9" hidden="true"/>
    <cellStyle name="Followed Hyperlink" xfId="3309" builtinId="9" hidden="true"/>
    <cellStyle name="Followed Hyperlink" xfId="3311" builtinId="9" hidden="true"/>
    <cellStyle name="Followed Hyperlink" xfId="3313" builtinId="9" hidden="true"/>
    <cellStyle name="Followed Hyperlink" xfId="3315" builtinId="9" hidden="true"/>
    <cellStyle name="Followed Hyperlink" xfId="3317" builtinId="9" hidden="true"/>
    <cellStyle name="Followed Hyperlink" xfId="3319" builtinId="9" hidden="true"/>
    <cellStyle name="Followed Hyperlink" xfId="3321" builtinId="9" hidden="true"/>
    <cellStyle name="Followed Hyperlink" xfId="3323" builtinId="9" hidden="true"/>
    <cellStyle name="Followed Hyperlink" xfId="3325" builtinId="9" hidden="true"/>
    <cellStyle name="Followed Hyperlink" xfId="3327" builtinId="9" hidden="true"/>
    <cellStyle name="Followed Hyperlink" xfId="3329" builtinId="9" hidden="true"/>
    <cellStyle name="Followed Hyperlink" xfId="3331" builtinId="9" hidden="true"/>
    <cellStyle name="Followed Hyperlink" xfId="3333" builtinId="9" hidden="true"/>
    <cellStyle name="Followed Hyperlink" xfId="3335" builtinId="9" hidden="true"/>
    <cellStyle name="Followed Hyperlink" xfId="3337" builtinId="9" hidden="true"/>
    <cellStyle name="Followed Hyperlink" xfId="3339" builtinId="9" hidden="true"/>
    <cellStyle name="Followed Hyperlink" xfId="3341" builtinId="9" hidden="true"/>
    <cellStyle name="Followed Hyperlink" xfId="3343" builtinId="9" hidden="true"/>
    <cellStyle name="Followed Hyperlink" xfId="3345" builtinId="9" hidden="true"/>
    <cellStyle name="Followed Hyperlink" xfId="3347" builtinId="9" hidden="true"/>
    <cellStyle name="Followed Hyperlink" xfId="3349" builtinId="9" hidden="true"/>
    <cellStyle name="Followed Hyperlink" xfId="3351" builtinId="9" hidden="true"/>
    <cellStyle name="Followed Hyperlink" xfId="3353" builtinId="9" hidden="true"/>
    <cellStyle name="Followed Hyperlink" xfId="3355" builtinId="9" hidden="true"/>
    <cellStyle name="Followed Hyperlink" xfId="3357" builtinId="9" hidden="true"/>
    <cellStyle name="Followed Hyperlink" xfId="3359" builtinId="9" hidden="true"/>
    <cellStyle name="Followed Hyperlink" xfId="3361" builtinId="9" hidden="true"/>
    <cellStyle name="Followed Hyperlink" xfId="3363" builtinId="9" hidden="true"/>
    <cellStyle name="Followed Hyperlink" xfId="3365" builtinId="9" hidden="true"/>
    <cellStyle name="Followed Hyperlink" xfId="3367" builtinId="9" hidden="true"/>
    <cellStyle name="Followed Hyperlink" xfId="3369" builtinId="9" hidden="true"/>
    <cellStyle name="Followed Hyperlink" xfId="3371" builtinId="9" hidden="true"/>
    <cellStyle name="Followed Hyperlink" xfId="3373" builtinId="9" hidden="true"/>
    <cellStyle name="Followed Hyperlink" xfId="3375" builtinId="9" hidden="true"/>
    <cellStyle name="Followed Hyperlink" xfId="3377" builtinId="9" hidden="true"/>
    <cellStyle name="Followed Hyperlink" xfId="3379" builtinId="9" hidden="true"/>
    <cellStyle name="Followed Hyperlink" xfId="3381" builtinId="9" hidden="true"/>
    <cellStyle name="Followed Hyperlink" xfId="3383" builtinId="9" hidden="true"/>
    <cellStyle name="Followed Hyperlink" xfId="3385" builtinId="9" hidden="true"/>
    <cellStyle name="Followed Hyperlink" xfId="3387" builtinId="9" hidden="true"/>
    <cellStyle name="Followed Hyperlink" xfId="3389" builtinId="9" hidden="true"/>
    <cellStyle name="Followed Hyperlink" xfId="3391" builtinId="9" hidden="true"/>
    <cellStyle name="Followed Hyperlink" xfId="3393" builtinId="9" hidden="true"/>
    <cellStyle name="Followed Hyperlink" xfId="3395" builtinId="9" hidden="true"/>
    <cellStyle name="Followed Hyperlink" xfId="3397" builtinId="9" hidden="true"/>
    <cellStyle name="Followed Hyperlink" xfId="3399" builtinId="9" hidden="true"/>
    <cellStyle name="Followed Hyperlink" xfId="3401" builtinId="9" hidden="true"/>
    <cellStyle name="Followed Hyperlink" xfId="3403" builtinId="9" hidden="true"/>
    <cellStyle name="Followed Hyperlink" xfId="3405" builtinId="9" hidden="true"/>
    <cellStyle name="Followed Hyperlink" xfId="3407" builtinId="9" hidden="true"/>
    <cellStyle name="Followed Hyperlink" xfId="3409" builtinId="9" hidden="true"/>
    <cellStyle name="Followed Hyperlink" xfId="3411" builtinId="9" hidden="true"/>
    <cellStyle name="Followed Hyperlink" xfId="3413" builtinId="9" hidden="true"/>
    <cellStyle name="Followed Hyperlink" xfId="3415" builtinId="9" hidden="true"/>
    <cellStyle name="Followed Hyperlink" xfId="3417" builtinId="9" hidden="true"/>
    <cellStyle name="Followed Hyperlink" xfId="3419" builtinId="9" hidden="true"/>
    <cellStyle name="Followed Hyperlink" xfId="3421" builtinId="9" hidden="true"/>
    <cellStyle name="Followed Hyperlink" xfId="3423" builtinId="9" hidden="true"/>
    <cellStyle name="Followed Hyperlink" xfId="3425" builtinId="9" hidden="true"/>
    <cellStyle name="Followed Hyperlink" xfId="3427" builtinId="9" hidden="true"/>
    <cellStyle name="Followed Hyperlink" xfId="3429" builtinId="9" hidden="true"/>
    <cellStyle name="Followed Hyperlink" xfId="3431" builtinId="9" hidden="true"/>
    <cellStyle name="Followed Hyperlink" xfId="3433" builtinId="9" hidden="true"/>
    <cellStyle name="Followed Hyperlink" xfId="3435" builtinId="9" hidden="true"/>
    <cellStyle name="Followed Hyperlink" xfId="3437" builtinId="9" hidden="true"/>
    <cellStyle name="Followed Hyperlink" xfId="3439" builtinId="9" hidden="true"/>
    <cellStyle name="Followed Hyperlink" xfId="3441" builtinId="9" hidden="true"/>
    <cellStyle name="Followed Hyperlink" xfId="3443" builtinId="9" hidden="true"/>
    <cellStyle name="Followed Hyperlink" xfId="3445" builtinId="9" hidden="true"/>
    <cellStyle name="Followed Hyperlink" xfId="3447" builtinId="9" hidden="true"/>
    <cellStyle name="Followed Hyperlink" xfId="3449" builtinId="9" hidden="true"/>
    <cellStyle name="Followed Hyperlink" xfId="3451" builtinId="9" hidden="true"/>
    <cellStyle name="Followed Hyperlink" xfId="3453" builtinId="9" hidden="true"/>
    <cellStyle name="Followed Hyperlink" xfId="3455" builtinId="9" hidden="true"/>
    <cellStyle name="Followed Hyperlink" xfId="3457" builtinId="9" hidden="true"/>
    <cellStyle name="Followed Hyperlink" xfId="3459" builtinId="9" hidden="true"/>
    <cellStyle name="Followed Hyperlink" xfId="3461" builtinId="9" hidden="true"/>
    <cellStyle name="Followed Hyperlink" xfId="3463" builtinId="9" hidden="true"/>
    <cellStyle name="Followed Hyperlink" xfId="3465" builtinId="9" hidden="true"/>
    <cellStyle name="Followed Hyperlink" xfId="3467" builtinId="9" hidden="true"/>
    <cellStyle name="Followed Hyperlink" xfId="3469" builtinId="9" hidden="true"/>
    <cellStyle name="Followed Hyperlink" xfId="3471" builtinId="9" hidden="true"/>
    <cellStyle name="Followed Hyperlink" xfId="3473" builtinId="9" hidden="true"/>
    <cellStyle name="Followed Hyperlink" xfId="3475" builtinId="9" hidden="true"/>
    <cellStyle name="Followed Hyperlink" xfId="3477" builtinId="9" hidden="true"/>
    <cellStyle name="Followed Hyperlink" xfId="3479" builtinId="9" hidden="true"/>
    <cellStyle name="Followed Hyperlink" xfId="3481" builtinId="9" hidden="true"/>
    <cellStyle name="Followed Hyperlink" xfId="3483" builtinId="9" hidden="true"/>
    <cellStyle name="Followed Hyperlink" xfId="3485" builtinId="9" hidden="true"/>
    <cellStyle name="Followed Hyperlink" xfId="3487" builtinId="9" hidden="true"/>
    <cellStyle name="Followed Hyperlink" xfId="3489" builtinId="9" hidden="true"/>
    <cellStyle name="Followed Hyperlink" xfId="3491" builtinId="9" hidden="true"/>
    <cellStyle name="Followed Hyperlink" xfId="3493" builtinId="9" hidden="true"/>
    <cellStyle name="Followed Hyperlink" xfId="3495" builtinId="9" hidden="true"/>
    <cellStyle name="Followed Hyperlink" xfId="3497" builtinId="9" hidden="true"/>
    <cellStyle name="Followed Hyperlink" xfId="3499" builtinId="9" hidden="true"/>
    <cellStyle name="Followed Hyperlink" xfId="3501" builtinId="9" hidden="true"/>
    <cellStyle name="Followed Hyperlink" xfId="3503" builtinId="9" hidden="true"/>
    <cellStyle name="Followed Hyperlink" xfId="3505" builtinId="9" hidden="true"/>
    <cellStyle name="Followed Hyperlink" xfId="3507" builtinId="9" hidden="true"/>
    <cellStyle name="Followed Hyperlink" xfId="3509" builtinId="9" hidden="true"/>
    <cellStyle name="Followed Hyperlink" xfId="3511" builtinId="9" hidden="true"/>
    <cellStyle name="Followed Hyperlink" xfId="3513" builtinId="9" hidden="true"/>
    <cellStyle name="Followed Hyperlink" xfId="3515" builtinId="9" hidden="true"/>
    <cellStyle name="Followed Hyperlink" xfId="3517" builtinId="9" hidden="true"/>
    <cellStyle name="Followed Hyperlink" xfId="3519" builtinId="9" hidden="true"/>
    <cellStyle name="Followed Hyperlink" xfId="3521" builtinId="9" hidden="true"/>
    <cellStyle name="Followed Hyperlink" xfId="3523" builtinId="9" hidden="true"/>
    <cellStyle name="Followed Hyperlink" xfId="3525" builtinId="9" hidden="true"/>
    <cellStyle name="Followed Hyperlink" xfId="3527" builtinId="9" hidden="true"/>
    <cellStyle name="Followed Hyperlink" xfId="3529" builtinId="9" hidden="true"/>
    <cellStyle name="Followed Hyperlink" xfId="3531" builtinId="9" hidden="true"/>
    <cellStyle name="Followed Hyperlink" xfId="3533" builtinId="9" hidden="true"/>
    <cellStyle name="Followed Hyperlink" xfId="3535" builtinId="9" hidden="true"/>
    <cellStyle name="Followed Hyperlink" xfId="3537" builtinId="9" hidden="true"/>
    <cellStyle name="Followed Hyperlink" xfId="3539" builtinId="9" hidden="true"/>
    <cellStyle name="Followed Hyperlink" xfId="3541" builtinId="9" hidden="true"/>
    <cellStyle name="Followed Hyperlink" xfId="3543" builtinId="9" hidden="true"/>
    <cellStyle name="Followed Hyperlink" xfId="3545" builtinId="9" hidden="true"/>
    <cellStyle name="Followed Hyperlink" xfId="3547" builtinId="9" hidden="true"/>
    <cellStyle name="Followed Hyperlink" xfId="3549" builtinId="9" hidden="true"/>
    <cellStyle name="Followed Hyperlink" xfId="3551" builtinId="9" hidden="true"/>
    <cellStyle name="Followed Hyperlink" xfId="3553" builtinId="9" hidden="true"/>
    <cellStyle name="Followed Hyperlink" xfId="3555" builtinId="9" hidden="true"/>
    <cellStyle name="Followed Hyperlink" xfId="3557" builtinId="9" hidden="true"/>
    <cellStyle name="Followed Hyperlink" xfId="3559" builtinId="9" hidden="true"/>
    <cellStyle name="Followed Hyperlink" xfId="3561" builtinId="9" hidden="true"/>
    <cellStyle name="Followed Hyperlink" xfId="3563" builtinId="9" hidden="true"/>
    <cellStyle name="Followed Hyperlink" xfId="3565" builtinId="9" hidden="true"/>
    <cellStyle name="Followed Hyperlink" xfId="3567" builtinId="9" hidden="true"/>
    <cellStyle name="Followed Hyperlink" xfId="3569" builtinId="9" hidden="true"/>
    <cellStyle name="Followed Hyperlink" xfId="3571" builtinId="9" hidden="true"/>
    <cellStyle name="Followed Hyperlink" xfId="3573" builtinId="9" hidden="true"/>
    <cellStyle name="Followed Hyperlink" xfId="3575" builtinId="9" hidden="true"/>
    <cellStyle name="Followed Hyperlink" xfId="3577" builtinId="9" hidden="true"/>
    <cellStyle name="Followed Hyperlink" xfId="3579" builtinId="9" hidden="true"/>
    <cellStyle name="Followed Hyperlink" xfId="3581" builtinId="9" hidden="true"/>
    <cellStyle name="Followed Hyperlink" xfId="3583" builtinId="9" hidden="true"/>
    <cellStyle name="Followed Hyperlink" xfId="3585" builtinId="9" hidden="true"/>
    <cellStyle name="Followed Hyperlink" xfId="3587" builtinId="9" hidden="true"/>
    <cellStyle name="Followed Hyperlink" xfId="3589" builtinId="9" hidden="true"/>
    <cellStyle name="Followed Hyperlink" xfId="3591" builtinId="9" hidden="true"/>
    <cellStyle name="Followed Hyperlink" xfId="3593" builtinId="9" hidden="true"/>
    <cellStyle name="Followed Hyperlink" xfId="3595" builtinId="9" hidden="true"/>
    <cellStyle name="Followed Hyperlink" xfId="3597" builtinId="9" hidden="true"/>
    <cellStyle name="Followed Hyperlink" xfId="3599" builtinId="9" hidden="true"/>
    <cellStyle name="Followed Hyperlink" xfId="3601" builtinId="9" hidden="true"/>
    <cellStyle name="Followed Hyperlink" xfId="3603" builtinId="9" hidden="true"/>
    <cellStyle name="Followed Hyperlink" xfId="3605" builtinId="9" hidden="true"/>
    <cellStyle name="Followed Hyperlink" xfId="3607" builtinId="9" hidden="true"/>
    <cellStyle name="Followed Hyperlink" xfId="3609" builtinId="9" hidden="true"/>
    <cellStyle name="Followed Hyperlink" xfId="3611" builtinId="9" hidden="true"/>
    <cellStyle name="Followed Hyperlink" xfId="3613" builtinId="9" hidden="true"/>
    <cellStyle name="Followed Hyperlink" xfId="3615" builtinId="9" hidden="true"/>
    <cellStyle name="Followed Hyperlink" xfId="3617" builtinId="9" hidden="true"/>
    <cellStyle name="Followed Hyperlink" xfId="3619" builtinId="9" hidden="true"/>
    <cellStyle name="Followed Hyperlink" xfId="3621" builtinId="9" hidden="true"/>
    <cellStyle name="Followed Hyperlink" xfId="3623" builtinId="9" hidden="true"/>
    <cellStyle name="Followed Hyperlink" xfId="3625" builtinId="9" hidden="true"/>
    <cellStyle name="Followed Hyperlink" xfId="3627" builtinId="9" hidden="true"/>
    <cellStyle name="Followed Hyperlink" xfId="3629" builtinId="9" hidden="true"/>
    <cellStyle name="Followed Hyperlink" xfId="3631" builtinId="9" hidden="true"/>
    <cellStyle name="Followed Hyperlink" xfId="3633" builtinId="9" hidden="true"/>
    <cellStyle name="Followed Hyperlink" xfId="3635" builtinId="9" hidden="true"/>
    <cellStyle name="Followed Hyperlink" xfId="3637" builtinId="9" hidden="true"/>
    <cellStyle name="Followed Hyperlink" xfId="3639" builtinId="9" hidden="true"/>
    <cellStyle name="Followed Hyperlink" xfId="3641" builtinId="9" hidden="true"/>
    <cellStyle name="Followed Hyperlink" xfId="3643" builtinId="9" hidden="true"/>
    <cellStyle name="Followed Hyperlink" xfId="3645" builtinId="9" hidden="true"/>
    <cellStyle name="Followed Hyperlink" xfId="3647" builtinId="9" hidden="true"/>
    <cellStyle name="Followed Hyperlink" xfId="3649" builtinId="9" hidden="true"/>
    <cellStyle name="Followed Hyperlink" xfId="3651" builtinId="9" hidden="true"/>
    <cellStyle name="Followed Hyperlink" xfId="3653" builtinId="9" hidden="true"/>
    <cellStyle name="Hyperlink" xfId="1" builtinId="8" hidden="true"/>
    <cellStyle name="Hyperlink" xfId="3" builtinId="8" hidden="true"/>
    <cellStyle name="Hyperlink" xfId="5" builtinId="8" hidden="true"/>
    <cellStyle name="Hyperlink" xfId="7" builtinId="8" hidden="true"/>
    <cellStyle name="Hyperlink" xfId="9" builtinId="8" hidden="true"/>
    <cellStyle name="Hyperlink" xfId="11" builtinId="8" hidden="true"/>
    <cellStyle name="Hyperlink" xfId="13" builtinId="8" hidden="true"/>
    <cellStyle name="Hyperlink" xfId="15" builtinId="8" hidden="true"/>
    <cellStyle name="Hyperlink" xfId="17" builtinId="8" hidden="true"/>
    <cellStyle name="Hyperlink" xfId="19" builtinId="8" hidden="true"/>
    <cellStyle name="Hyperlink" xfId="21" builtinId="8" hidden="true"/>
    <cellStyle name="Hyperlink" xfId="23" builtinId="8" hidden="true"/>
    <cellStyle name="Hyperlink" xfId="25" builtinId="8" hidden="true"/>
    <cellStyle name="Hyperlink" xfId="27" builtinId="8" hidden="true"/>
    <cellStyle name="Hyperlink" xfId="29" builtinId="8" hidden="true"/>
    <cellStyle name="Hyperlink" xfId="31" builtinId="8" hidden="true"/>
    <cellStyle name="Hyperlink" xfId="33" builtinId="8" hidden="true"/>
    <cellStyle name="Hyperlink" xfId="35" builtinId="8" hidden="true"/>
    <cellStyle name="Hyperlink" xfId="37" builtinId="8" hidden="true"/>
    <cellStyle name="Hyperlink" xfId="39" builtinId="8" hidden="true"/>
    <cellStyle name="Hyperlink" xfId="41" builtinId="8" hidden="true"/>
    <cellStyle name="Hyperlink" xfId="43" builtinId="8" hidden="true"/>
    <cellStyle name="Hyperlink" xfId="45" builtinId="8" hidden="true"/>
    <cellStyle name="Hyperlink" xfId="47" builtinId="8" hidden="true"/>
    <cellStyle name="Hyperlink" xfId="49" builtinId="8" hidden="true"/>
    <cellStyle name="Hyperlink" xfId="51" builtinId="8" hidden="true"/>
    <cellStyle name="Hyperlink" xfId="53" builtinId="8" hidden="true"/>
    <cellStyle name="Hyperlink" xfId="55" builtinId="8" hidden="true"/>
    <cellStyle name="Hyperlink" xfId="57" builtinId="8" hidden="true"/>
    <cellStyle name="Hyperlink" xfId="59" builtinId="8" hidden="true"/>
    <cellStyle name="Hyperlink" xfId="61" builtinId="8" hidden="true"/>
    <cellStyle name="Hyperlink" xfId="63" builtinId="8" hidden="true"/>
    <cellStyle name="Hyperlink" xfId="65" builtinId="8" hidden="true"/>
    <cellStyle name="Hyperlink" xfId="67" builtinId="8" hidden="true"/>
    <cellStyle name="Hyperlink" xfId="69" builtinId="8" hidden="true"/>
    <cellStyle name="Hyperlink" xfId="71" builtinId="8" hidden="true"/>
    <cellStyle name="Hyperlink" xfId="73" builtinId="8" hidden="true"/>
    <cellStyle name="Hyperlink" xfId="75" builtinId="8" hidden="true"/>
    <cellStyle name="Hyperlink" xfId="77" builtinId="8" hidden="true"/>
    <cellStyle name="Hyperlink" xfId="79" builtinId="8" hidden="true"/>
    <cellStyle name="Hyperlink" xfId="81" builtinId="8" hidden="true"/>
    <cellStyle name="Hyperlink" xfId="83" builtinId="8" hidden="true"/>
    <cellStyle name="Hyperlink" xfId="85" builtinId="8" hidden="true"/>
    <cellStyle name="Hyperlink" xfId="87" builtinId="8" hidden="true"/>
    <cellStyle name="Hyperlink" xfId="89" builtinId="8" hidden="true"/>
    <cellStyle name="Hyperlink" xfId="91" builtinId="8" hidden="true"/>
    <cellStyle name="Hyperlink" xfId="93" builtinId="8" hidden="true"/>
    <cellStyle name="Hyperlink" xfId="95" builtinId="8" hidden="true"/>
    <cellStyle name="Hyperlink" xfId="97" builtinId="8" hidden="true"/>
    <cellStyle name="Hyperlink" xfId="99" builtinId="8" hidden="true"/>
    <cellStyle name="Hyperlink" xfId="101" builtinId="8" hidden="true"/>
    <cellStyle name="Hyperlink" xfId="103" builtinId="8" hidden="true"/>
    <cellStyle name="Hyperlink" xfId="105" builtinId="8" hidden="true"/>
    <cellStyle name="Hyperlink" xfId="107" builtinId="8" hidden="true"/>
    <cellStyle name="Hyperlink" xfId="109" builtinId="8" hidden="true"/>
    <cellStyle name="Hyperlink" xfId="111" builtinId="8" hidden="true"/>
    <cellStyle name="Hyperlink" xfId="113" builtinId="8" hidden="true"/>
    <cellStyle name="Hyperlink" xfId="115" builtinId="8" hidden="true"/>
    <cellStyle name="Hyperlink" xfId="117" builtinId="8" hidden="true"/>
    <cellStyle name="Hyperlink" xfId="119" builtinId="8" hidden="true"/>
    <cellStyle name="Hyperlink" xfId="121" builtinId="8" hidden="true"/>
    <cellStyle name="Hyperlink" xfId="123" builtinId="8" hidden="true"/>
    <cellStyle name="Hyperlink" xfId="125" builtinId="8" hidden="true"/>
    <cellStyle name="Hyperlink" xfId="127" builtinId="8" hidden="true"/>
    <cellStyle name="Hyperlink" xfId="129" builtinId="8" hidden="true"/>
    <cellStyle name="Hyperlink" xfId="131" builtinId="8" hidden="true"/>
    <cellStyle name="Hyperlink" xfId="133" builtinId="8" hidden="true"/>
    <cellStyle name="Hyperlink" xfId="135" builtinId="8" hidden="true"/>
    <cellStyle name="Hyperlink" xfId="137" builtinId="8" hidden="true"/>
    <cellStyle name="Hyperlink" xfId="139" builtinId="8" hidden="true"/>
    <cellStyle name="Hyperlink" xfId="141" builtinId="8" hidden="true"/>
    <cellStyle name="Hyperlink" xfId="143" builtinId="8" hidden="true"/>
    <cellStyle name="Hyperlink" xfId="145" builtinId="8" hidden="true"/>
    <cellStyle name="Hyperlink" xfId="147" builtinId="8" hidden="true"/>
    <cellStyle name="Hyperlink" xfId="149" builtinId="8" hidden="true"/>
    <cellStyle name="Hyperlink" xfId="151" builtinId="8" hidden="true"/>
    <cellStyle name="Hyperlink" xfId="153" builtinId="8" hidden="true"/>
    <cellStyle name="Hyperlink" xfId="155" builtinId="8" hidden="true"/>
    <cellStyle name="Hyperlink" xfId="157" builtinId="8" hidden="true"/>
    <cellStyle name="Hyperlink" xfId="159" builtinId="8" hidden="true"/>
    <cellStyle name="Hyperlink" xfId="161" builtinId="8" hidden="true"/>
    <cellStyle name="Hyperlink" xfId="163" builtinId="8" hidden="true"/>
    <cellStyle name="Hyperlink" xfId="165" builtinId="8" hidden="true"/>
    <cellStyle name="Hyperlink" xfId="167" builtinId="8" hidden="true"/>
    <cellStyle name="Hyperlink" xfId="169" builtinId="8" hidden="true"/>
    <cellStyle name="Hyperlink" xfId="171" builtinId="8" hidden="true"/>
    <cellStyle name="Hyperlink" xfId="173" builtinId="8" hidden="true"/>
    <cellStyle name="Hyperlink" xfId="175" builtinId="8" hidden="true"/>
    <cellStyle name="Hyperlink" xfId="177" builtinId="8" hidden="true"/>
    <cellStyle name="Hyperlink" xfId="179" builtinId="8" hidden="true"/>
    <cellStyle name="Hyperlink" xfId="181" builtinId="8" hidden="true"/>
    <cellStyle name="Hyperlink" xfId="183" builtinId="8" hidden="true"/>
    <cellStyle name="Hyperlink" xfId="185" builtinId="8" hidden="true"/>
    <cellStyle name="Hyperlink" xfId="187" builtinId="8" hidden="true"/>
    <cellStyle name="Hyperlink" xfId="189" builtinId="8" hidden="true"/>
    <cellStyle name="Hyperlink" xfId="191" builtinId="8" hidden="true"/>
    <cellStyle name="Hyperlink" xfId="193" builtinId="8" hidden="true"/>
    <cellStyle name="Hyperlink" xfId="195" builtinId="8" hidden="true"/>
    <cellStyle name="Hyperlink" xfId="197" builtinId="8" hidden="true"/>
    <cellStyle name="Hyperlink" xfId="199" builtinId="8" hidden="true"/>
    <cellStyle name="Hyperlink" xfId="201" builtinId="8" hidden="true"/>
    <cellStyle name="Hyperlink" xfId="203" builtinId="8" hidden="true"/>
    <cellStyle name="Hyperlink" xfId="205" builtinId="8" hidden="true"/>
    <cellStyle name="Hyperlink" xfId="207" builtinId="8" hidden="true"/>
    <cellStyle name="Hyperlink" xfId="209" builtinId="8" hidden="true"/>
    <cellStyle name="Hyperlink" xfId="211" builtinId="8" hidden="true"/>
    <cellStyle name="Hyperlink" xfId="213" builtinId="8" hidden="true"/>
    <cellStyle name="Hyperlink" xfId="215" builtinId="8" hidden="true"/>
    <cellStyle name="Hyperlink" xfId="217" builtinId="8" hidden="true"/>
    <cellStyle name="Hyperlink" xfId="219" builtinId="8" hidden="true"/>
    <cellStyle name="Hyperlink" xfId="221" builtinId="8" hidden="true"/>
    <cellStyle name="Hyperlink" xfId="223" builtinId="8" hidden="true"/>
    <cellStyle name="Hyperlink" xfId="225" builtinId="8" hidden="true"/>
    <cellStyle name="Hyperlink" xfId="227" builtinId="8" hidden="true"/>
    <cellStyle name="Hyperlink" xfId="229" builtinId="8" hidden="true"/>
    <cellStyle name="Hyperlink" xfId="231" builtinId="8" hidden="true"/>
    <cellStyle name="Hyperlink" xfId="233" builtinId="8" hidden="true"/>
    <cellStyle name="Hyperlink" xfId="235" builtinId="8" hidden="true"/>
    <cellStyle name="Hyperlink" xfId="237" builtinId="8" hidden="true"/>
    <cellStyle name="Hyperlink" xfId="239" builtinId="8" hidden="true"/>
    <cellStyle name="Hyperlink" xfId="241" builtinId="8" hidden="true"/>
    <cellStyle name="Hyperlink" xfId="243" builtinId="8" hidden="true"/>
    <cellStyle name="Hyperlink" xfId="245" builtinId="8" hidden="true"/>
    <cellStyle name="Hyperlink" xfId="247" builtinId="8" hidden="true"/>
    <cellStyle name="Hyperlink" xfId="249" builtinId="8" hidden="true"/>
    <cellStyle name="Hyperlink" xfId="251" builtinId="8" hidden="true"/>
    <cellStyle name="Hyperlink" xfId="253" builtinId="8" hidden="true"/>
    <cellStyle name="Hyperlink" xfId="255" builtinId="8" hidden="true"/>
    <cellStyle name="Hyperlink" xfId="257" builtinId="8" hidden="true"/>
    <cellStyle name="Hyperlink" xfId="259" builtinId="8" hidden="true"/>
    <cellStyle name="Hyperlink" xfId="261" builtinId="8" hidden="true"/>
    <cellStyle name="Hyperlink" xfId="263" builtinId="8" hidden="true"/>
    <cellStyle name="Hyperlink" xfId="265" builtinId="8" hidden="true"/>
    <cellStyle name="Hyperlink" xfId="267" builtinId="8" hidden="true"/>
    <cellStyle name="Hyperlink" xfId="269" builtinId="8" hidden="true"/>
    <cellStyle name="Hyperlink" xfId="271" builtinId="8" hidden="true"/>
    <cellStyle name="Hyperlink" xfId="273" builtinId="8" hidden="true"/>
    <cellStyle name="Hyperlink" xfId="275" builtinId="8" hidden="true"/>
    <cellStyle name="Hyperlink" xfId="277" builtinId="8" hidden="true"/>
    <cellStyle name="Hyperlink" xfId="279" builtinId="8" hidden="true"/>
    <cellStyle name="Hyperlink" xfId="281" builtinId="8" hidden="true"/>
    <cellStyle name="Hyperlink" xfId="283" builtinId="8" hidden="true"/>
    <cellStyle name="Hyperlink" xfId="285" builtinId="8" hidden="true"/>
    <cellStyle name="Hyperlink" xfId="287" builtinId="8" hidden="true"/>
    <cellStyle name="Hyperlink" xfId="289" builtinId="8" hidden="true"/>
    <cellStyle name="Hyperlink" xfId="291" builtinId="8" hidden="true"/>
    <cellStyle name="Hyperlink" xfId="293" builtinId="8" hidden="true"/>
    <cellStyle name="Hyperlink" xfId="295" builtinId="8" hidden="true"/>
    <cellStyle name="Hyperlink" xfId="297" builtinId="8" hidden="true"/>
    <cellStyle name="Hyperlink" xfId="299" builtinId="8" hidden="true"/>
    <cellStyle name="Hyperlink" xfId="301" builtinId="8" hidden="true"/>
    <cellStyle name="Hyperlink" xfId="303" builtinId="8" hidden="true"/>
    <cellStyle name="Hyperlink" xfId="305" builtinId="8" hidden="true"/>
    <cellStyle name="Hyperlink" xfId="307" builtinId="8" hidden="true"/>
    <cellStyle name="Hyperlink" xfId="309" builtinId="8" hidden="true"/>
    <cellStyle name="Hyperlink" xfId="311" builtinId="8" hidden="true"/>
    <cellStyle name="Hyperlink" xfId="313" builtinId="8" hidden="true"/>
    <cellStyle name="Hyperlink" xfId="315" builtinId="8" hidden="true"/>
    <cellStyle name="Hyperlink" xfId="317" builtinId="8" hidden="true"/>
    <cellStyle name="Hyperlink" xfId="319" builtinId="8" hidden="true"/>
    <cellStyle name="Hyperlink" xfId="321" builtinId="8" hidden="true"/>
    <cellStyle name="Hyperlink" xfId="323" builtinId="8" hidden="true"/>
    <cellStyle name="Hyperlink" xfId="325" builtinId="8" hidden="true"/>
    <cellStyle name="Hyperlink" xfId="327" builtinId="8" hidden="true"/>
    <cellStyle name="Hyperlink" xfId="329" builtinId="8" hidden="true"/>
    <cellStyle name="Hyperlink" xfId="331" builtinId="8" hidden="true"/>
    <cellStyle name="Hyperlink" xfId="333" builtinId="8" hidden="true"/>
    <cellStyle name="Hyperlink" xfId="335" builtinId="8" hidden="true"/>
    <cellStyle name="Hyperlink" xfId="337" builtinId="8" hidden="true"/>
    <cellStyle name="Hyperlink" xfId="339" builtinId="8" hidden="true"/>
    <cellStyle name="Hyperlink" xfId="341" builtinId="8" hidden="true"/>
    <cellStyle name="Hyperlink" xfId="343" builtinId="8" hidden="true"/>
    <cellStyle name="Hyperlink" xfId="345" builtinId="8" hidden="true"/>
    <cellStyle name="Hyperlink" xfId="347" builtinId="8" hidden="true"/>
    <cellStyle name="Hyperlink" xfId="349" builtinId="8" hidden="true"/>
    <cellStyle name="Hyperlink" xfId="351" builtinId="8" hidden="true"/>
    <cellStyle name="Hyperlink" xfId="353" builtinId="8" hidden="true"/>
    <cellStyle name="Hyperlink" xfId="355" builtinId="8" hidden="true"/>
    <cellStyle name="Hyperlink" xfId="357" builtinId="8" hidden="true"/>
    <cellStyle name="Hyperlink" xfId="359" builtinId="8" hidden="true"/>
    <cellStyle name="Hyperlink" xfId="361" builtinId="8" hidden="true"/>
    <cellStyle name="Hyperlink" xfId="363" builtinId="8" hidden="true"/>
    <cellStyle name="Hyperlink" xfId="365" builtinId="8" hidden="true"/>
    <cellStyle name="Hyperlink" xfId="367" builtinId="8" hidden="true"/>
    <cellStyle name="Hyperlink" xfId="369" builtinId="8" hidden="true"/>
    <cellStyle name="Hyperlink" xfId="371" builtinId="8" hidden="true"/>
    <cellStyle name="Hyperlink" xfId="373" builtinId="8" hidden="true"/>
    <cellStyle name="Hyperlink" xfId="375" builtinId="8" hidden="true"/>
    <cellStyle name="Hyperlink" xfId="377" builtinId="8" hidden="true"/>
    <cellStyle name="Hyperlink" xfId="379" builtinId="8" hidden="true"/>
    <cellStyle name="Hyperlink" xfId="381" builtinId="8" hidden="true"/>
    <cellStyle name="Hyperlink" xfId="383" builtinId="8" hidden="true"/>
    <cellStyle name="Hyperlink" xfId="385" builtinId="8" hidden="true"/>
    <cellStyle name="Hyperlink" xfId="387" builtinId="8" hidden="true"/>
    <cellStyle name="Hyperlink" xfId="389" builtinId="8" hidden="true"/>
    <cellStyle name="Hyperlink" xfId="391" builtinId="8" hidden="true"/>
    <cellStyle name="Hyperlink" xfId="393" builtinId="8" hidden="true"/>
    <cellStyle name="Hyperlink" xfId="395" builtinId="8" hidden="true"/>
    <cellStyle name="Hyperlink" xfId="397" builtinId="8" hidden="true"/>
    <cellStyle name="Hyperlink" xfId="399" builtinId="8" hidden="true"/>
    <cellStyle name="Hyperlink" xfId="401" builtinId="8" hidden="true"/>
    <cellStyle name="Hyperlink" xfId="403" builtinId="8" hidden="true"/>
    <cellStyle name="Hyperlink" xfId="405" builtinId="8" hidden="true"/>
    <cellStyle name="Hyperlink" xfId="407" builtinId="8" hidden="true"/>
    <cellStyle name="Hyperlink" xfId="409" builtinId="8" hidden="true"/>
    <cellStyle name="Hyperlink" xfId="411" builtinId="8" hidden="true"/>
    <cellStyle name="Hyperlink" xfId="413" builtinId="8" hidden="true"/>
    <cellStyle name="Hyperlink" xfId="415" builtinId="8" hidden="true"/>
    <cellStyle name="Hyperlink" xfId="417" builtinId="8" hidden="true"/>
    <cellStyle name="Hyperlink" xfId="419" builtinId="8" hidden="true"/>
    <cellStyle name="Hyperlink" xfId="421" builtinId="8" hidden="true"/>
    <cellStyle name="Hyperlink" xfId="423" builtinId="8" hidden="true"/>
    <cellStyle name="Hyperlink" xfId="425" builtinId="8" hidden="true"/>
    <cellStyle name="Hyperlink" xfId="427" builtinId="8" hidden="true"/>
    <cellStyle name="Hyperlink" xfId="429" builtinId="8" hidden="true"/>
    <cellStyle name="Hyperlink" xfId="431" builtinId="8" hidden="true"/>
    <cellStyle name="Hyperlink" xfId="433" builtinId="8" hidden="true"/>
    <cellStyle name="Hyperlink" xfId="435" builtinId="8" hidden="true"/>
    <cellStyle name="Hyperlink" xfId="437" builtinId="8" hidden="true"/>
    <cellStyle name="Hyperlink" xfId="439" builtinId="8" hidden="true"/>
    <cellStyle name="Hyperlink" xfId="441" builtinId="8" hidden="true"/>
    <cellStyle name="Hyperlink" xfId="443" builtinId="8" hidden="true"/>
    <cellStyle name="Hyperlink" xfId="445" builtinId="8" hidden="true"/>
    <cellStyle name="Hyperlink" xfId="447" builtinId="8" hidden="true"/>
    <cellStyle name="Hyperlink" xfId="449" builtinId="8" hidden="true"/>
    <cellStyle name="Hyperlink" xfId="451" builtinId="8" hidden="true"/>
    <cellStyle name="Hyperlink" xfId="453" builtinId="8" hidden="true"/>
    <cellStyle name="Hyperlink" xfId="455" builtinId="8" hidden="true"/>
    <cellStyle name="Hyperlink" xfId="457" builtinId="8" hidden="true"/>
    <cellStyle name="Hyperlink" xfId="459" builtinId="8" hidden="true"/>
    <cellStyle name="Hyperlink" xfId="461" builtinId="8" hidden="true"/>
    <cellStyle name="Hyperlink" xfId="463" builtinId="8" hidden="true"/>
    <cellStyle name="Hyperlink" xfId="465" builtinId="8" hidden="true"/>
    <cellStyle name="Hyperlink" xfId="467" builtinId="8" hidden="true"/>
    <cellStyle name="Hyperlink" xfId="469" builtinId="8" hidden="true"/>
    <cellStyle name="Hyperlink" xfId="471" builtinId="8" hidden="true"/>
    <cellStyle name="Hyperlink" xfId="473" builtinId="8" hidden="true"/>
    <cellStyle name="Hyperlink" xfId="475" builtinId="8" hidden="true"/>
    <cellStyle name="Hyperlink" xfId="477" builtinId="8" hidden="true"/>
    <cellStyle name="Hyperlink" xfId="479" builtinId="8" hidden="true"/>
    <cellStyle name="Hyperlink" xfId="481" builtinId="8" hidden="true"/>
    <cellStyle name="Hyperlink" xfId="483" builtinId="8" hidden="true"/>
    <cellStyle name="Hyperlink" xfId="485" builtinId="8" hidden="true"/>
    <cellStyle name="Hyperlink" xfId="487" builtinId="8" hidden="true"/>
    <cellStyle name="Hyperlink" xfId="489" builtinId="8" hidden="true"/>
    <cellStyle name="Hyperlink" xfId="491" builtinId="8" hidden="true"/>
    <cellStyle name="Hyperlink" xfId="493" builtinId="8" hidden="true"/>
    <cellStyle name="Hyperlink" xfId="495" builtinId="8" hidden="true"/>
    <cellStyle name="Hyperlink" xfId="497" builtinId="8" hidden="true"/>
    <cellStyle name="Hyperlink" xfId="499" builtinId="8" hidden="true"/>
    <cellStyle name="Hyperlink" xfId="501" builtinId="8" hidden="true"/>
    <cellStyle name="Hyperlink" xfId="503" builtinId="8" hidden="true"/>
    <cellStyle name="Hyperlink" xfId="505" builtinId="8" hidden="true"/>
    <cellStyle name="Hyperlink" xfId="507" builtinId="8" hidden="true"/>
    <cellStyle name="Hyperlink" xfId="509" builtinId="8" hidden="true"/>
    <cellStyle name="Hyperlink" xfId="511" builtinId="8" hidden="true"/>
    <cellStyle name="Hyperlink" xfId="513" builtinId="8" hidden="true"/>
    <cellStyle name="Hyperlink" xfId="515" builtinId="8" hidden="true"/>
    <cellStyle name="Hyperlink" xfId="517" builtinId="8" hidden="true"/>
    <cellStyle name="Hyperlink" xfId="519" builtinId="8" hidden="true"/>
    <cellStyle name="Hyperlink" xfId="521" builtinId="8" hidden="true"/>
    <cellStyle name="Hyperlink" xfId="523" builtinId="8" hidden="true"/>
    <cellStyle name="Hyperlink" xfId="525" builtinId="8" hidden="true"/>
    <cellStyle name="Hyperlink" xfId="527" builtinId="8" hidden="true"/>
    <cellStyle name="Hyperlink" xfId="529" builtinId="8" hidden="true"/>
    <cellStyle name="Hyperlink" xfId="531" builtinId="8" hidden="true"/>
    <cellStyle name="Hyperlink" xfId="533" builtinId="8" hidden="true"/>
    <cellStyle name="Hyperlink" xfId="535" builtinId="8" hidden="true"/>
    <cellStyle name="Hyperlink" xfId="537" builtinId="8" hidden="true"/>
    <cellStyle name="Hyperlink" xfId="539" builtinId="8" hidden="true"/>
    <cellStyle name="Hyperlink" xfId="541" builtinId="8" hidden="true"/>
    <cellStyle name="Hyperlink" xfId="543" builtinId="8" hidden="true"/>
    <cellStyle name="Hyperlink" xfId="545" builtinId="8" hidden="true"/>
    <cellStyle name="Hyperlink" xfId="547" builtinId="8" hidden="true"/>
    <cellStyle name="Hyperlink" xfId="549" builtinId="8" hidden="true"/>
    <cellStyle name="Hyperlink" xfId="551" builtinId="8" hidden="true"/>
    <cellStyle name="Hyperlink" xfId="553" builtinId="8" hidden="true"/>
    <cellStyle name="Hyperlink" xfId="555" builtinId="8" hidden="true"/>
    <cellStyle name="Hyperlink" xfId="557" builtinId="8" hidden="true"/>
    <cellStyle name="Hyperlink" xfId="559" builtinId="8" hidden="true"/>
    <cellStyle name="Hyperlink" xfId="561" builtinId="8" hidden="true"/>
    <cellStyle name="Hyperlink" xfId="563" builtinId="8" hidden="true"/>
    <cellStyle name="Hyperlink" xfId="565" builtinId="8" hidden="true"/>
    <cellStyle name="Hyperlink" xfId="567" builtinId="8" hidden="true"/>
    <cellStyle name="Hyperlink" xfId="569" builtinId="8" hidden="true"/>
    <cellStyle name="Hyperlink" xfId="571" builtinId="8" hidden="true"/>
    <cellStyle name="Hyperlink" xfId="573" builtinId="8" hidden="true"/>
    <cellStyle name="Hyperlink" xfId="575" builtinId="8" hidden="true"/>
    <cellStyle name="Hyperlink" xfId="577" builtinId="8" hidden="true"/>
    <cellStyle name="Hyperlink" xfId="579" builtinId="8" hidden="true"/>
    <cellStyle name="Hyperlink" xfId="581" builtinId="8" hidden="true"/>
    <cellStyle name="Hyperlink" xfId="583" builtinId="8" hidden="true"/>
    <cellStyle name="Hyperlink" xfId="585" builtinId="8" hidden="true"/>
    <cellStyle name="Hyperlink" xfId="587" builtinId="8" hidden="true"/>
    <cellStyle name="Hyperlink" xfId="589" builtinId="8" hidden="true"/>
    <cellStyle name="Hyperlink" xfId="591" builtinId="8" hidden="true"/>
    <cellStyle name="Hyperlink" xfId="593" builtinId="8" hidden="true"/>
    <cellStyle name="Hyperlink" xfId="595" builtinId="8" hidden="true"/>
    <cellStyle name="Hyperlink" xfId="597" builtinId="8" hidden="true"/>
    <cellStyle name="Hyperlink" xfId="599" builtinId="8" hidden="true"/>
    <cellStyle name="Hyperlink" xfId="601" builtinId="8" hidden="true"/>
    <cellStyle name="Hyperlink" xfId="603" builtinId="8" hidden="true"/>
    <cellStyle name="Hyperlink" xfId="605" builtinId="8" hidden="true"/>
    <cellStyle name="Hyperlink" xfId="607" builtinId="8" hidden="true"/>
    <cellStyle name="Hyperlink" xfId="609" builtinId="8" hidden="true"/>
    <cellStyle name="Hyperlink" xfId="611" builtinId="8" hidden="true"/>
    <cellStyle name="Hyperlink" xfId="613" builtinId="8" hidden="true"/>
    <cellStyle name="Hyperlink" xfId="615" builtinId="8" hidden="true"/>
    <cellStyle name="Hyperlink" xfId="617" builtinId="8" hidden="true"/>
    <cellStyle name="Hyperlink" xfId="619" builtinId="8" hidden="true"/>
    <cellStyle name="Hyperlink" xfId="621" builtinId="8" hidden="true"/>
    <cellStyle name="Hyperlink" xfId="623" builtinId="8" hidden="true"/>
    <cellStyle name="Hyperlink" xfId="625" builtinId="8" hidden="true"/>
    <cellStyle name="Hyperlink" xfId="627" builtinId="8" hidden="true"/>
    <cellStyle name="Hyperlink" xfId="629" builtinId="8" hidden="true"/>
    <cellStyle name="Hyperlink" xfId="631" builtinId="8" hidden="true"/>
    <cellStyle name="Hyperlink" xfId="633" builtinId="8" hidden="true"/>
    <cellStyle name="Hyperlink" xfId="635" builtinId="8" hidden="true"/>
    <cellStyle name="Hyperlink" xfId="637" builtinId="8" hidden="true"/>
    <cellStyle name="Hyperlink" xfId="639" builtinId="8" hidden="true"/>
    <cellStyle name="Hyperlink" xfId="641" builtinId="8" hidden="true"/>
    <cellStyle name="Hyperlink" xfId="643" builtinId="8" hidden="true"/>
    <cellStyle name="Hyperlink" xfId="645" builtinId="8" hidden="true"/>
    <cellStyle name="Hyperlink" xfId="647" builtinId="8" hidden="true"/>
    <cellStyle name="Hyperlink" xfId="649" builtinId="8" hidden="true"/>
    <cellStyle name="Hyperlink" xfId="651" builtinId="8" hidden="true"/>
    <cellStyle name="Hyperlink" xfId="653" builtinId="8" hidden="true"/>
    <cellStyle name="Hyperlink" xfId="655" builtinId="8" hidden="true"/>
    <cellStyle name="Hyperlink" xfId="657" builtinId="8" hidden="true"/>
    <cellStyle name="Hyperlink" xfId="659" builtinId="8" hidden="true"/>
    <cellStyle name="Hyperlink" xfId="661" builtinId="8" hidden="true"/>
    <cellStyle name="Hyperlink" xfId="663" builtinId="8" hidden="true"/>
    <cellStyle name="Hyperlink" xfId="665" builtinId="8" hidden="true"/>
    <cellStyle name="Hyperlink" xfId="667" builtinId="8" hidden="true"/>
    <cellStyle name="Hyperlink" xfId="669" builtinId="8" hidden="true"/>
    <cellStyle name="Hyperlink" xfId="671" builtinId="8" hidden="true"/>
    <cellStyle name="Hyperlink" xfId="673" builtinId="8" hidden="true"/>
    <cellStyle name="Hyperlink" xfId="675" builtinId="8" hidden="true"/>
    <cellStyle name="Hyperlink" xfId="677" builtinId="8" hidden="true"/>
    <cellStyle name="Hyperlink" xfId="679" builtinId="8" hidden="true"/>
    <cellStyle name="Hyperlink" xfId="681" builtinId="8" hidden="true"/>
    <cellStyle name="Hyperlink" xfId="683" builtinId="8" hidden="true"/>
    <cellStyle name="Hyperlink" xfId="685" builtinId="8" hidden="true"/>
    <cellStyle name="Hyperlink" xfId="687" builtinId="8" hidden="true"/>
    <cellStyle name="Hyperlink" xfId="689" builtinId="8" hidden="true"/>
    <cellStyle name="Hyperlink" xfId="691" builtinId="8" hidden="true"/>
    <cellStyle name="Hyperlink" xfId="693" builtinId="8" hidden="true"/>
    <cellStyle name="Hyperlink" xfId="695" builtinId="8" hidden="true"/>
    <cellStyle name="Hyperlink" xfId="697" builtinId="8" hidden="true"/>
    <cellStyle name="Hyperlink" xfId="699" builtinId="8" hidden="true"/>
    <cellStyle name="Hyperlink" xfId="701" builtinId="8" hidden="true"/>
    <cellStyle name="Hyperlink" xfId="703" builtinId="8" hidden="true"/>
    <cellStyle name="Hyperlink" xfId="705" builtinId="8" hidden="true"/>
    <cellStyle name="Hyperlink" xfId="707" builtinId="8" hidden="true"/>
    <cellStyle name="Hyperlink" xfId="709" builtinId="8" hidden="true"/>
    <cellStyle name="Hyperlink" xfId="711" builtinId="8" hidden="true"/>
    <cellStyle name="Hyperlink" xfId="713" builtinId="8" hidden="true"/>
    <cellStyle name="Hyperlink" xfId="715" builtinId="8" hidden="true"/>
    <cellStyle name="Hyperlink" xfId="717" builtinId="8" hidden="true"/>
    <cellStyle name="Hyperlink" xfId="719" builtinId="8" hidden="true"/>
    <cellStyle name="Hyperlink" xfId="721" builtinId="8" hidden="true"/>
    <cellStyle name="Hyperlink" xfId="723" builtinId="8" hidden="true"/>
    <cellStyle name="Hyperlink" xfId="725" builtinId="8" hidden="true"/>
    <cellStyle name="Hyperlink" xfId="727" builtinId="8" hidden="true"/>
    <cellStyle name="Hyperlink" xfId="729" builtinId="8" hidden="true"/>
    <cellStyle name="Hyperlink" xfId="731" builtinId="8" hidden="true"/>
    <cellStyle name="Hyperlink" xfId="733" builtinId="8" hidden="true"/>
    <cellStyle name="Hyperlink" xfId="735" builtinId="8" hidden="true"/>
    <cellStyle name="Hyperlink" xfId="737" builtinId="8" hidden="true"/>
    <cellStyle name="Hyperlink" xfId="739" builtinId="8" hidden="true"/>
    <cellStyle name="Hyperlink" xfId="741" builtinId="8" hidden="true"/>
    <cellStyle name="Hyperlink" xfId="743" builtinId="8" hidden="true"/>
    <cellStyle name="Hyperlink" xfId="745" builtinId="8" hidden="true"/>
    <cellStyle name="Hyperlink" xfId="747" builtinId="8" hidden="true"/>
    <cellStyle name="Hyperlink" xfId="749" builtinId="8" hidden="true"/>
    <cellStyle name="Hyperlink" xfId="751" builtinId="8" hidden="true"/>
    <cellStyle name="Hyperlink" xfId="753" builtinId="8" hidden="true"/>
    <cellStyle name="Hyperlink" xfId="755" builtinId="8" hidden="true"/>
    <cellStyle name="Hyperlink" xfId="757" builtinId="8" hidden="true"/>
    <cellStyle name="Hyperlink" xfId="759" builtinId="8" hidden="true"/>
    <cellStyle name="Hyperlink" xfId="761" builtinId="8" hidden="true"/>
    <cellStyle name="Hyperlink" xfId="763" builtinId="8" hidden="true"/>
    <cellStyle name="Hyperlink" xfId="765" builtinId="8" hidden="true"/>
    <cellStyle name="Hyperlink" xfId="767" builtinId="8" hidden="true"/>
    <cellStyle name="Hyperlink" xfId="769" builtinId="8" hidden="true"/>
    <cellStyle name="Hyperlink" xfId="771" builtinId="8" hidden="true"/>
    <cellStyle name="Hyperlink" xfId="773" builtinId="8" hidden="true"/>
    <cellStyle name="Hyperlink" xfId="775" builtinId="8" hidden="true"/>
    <cellStyle name="Hyperlink" xfId="777" builtinId="8" hidden="true"/>
    <cellStyle name="Hyperlink" xfId="779" builtinId="8" hidden="true"/>
    <cellStyle name="Hyperlink" xfId="781" builtinId="8" hidden="true"/>
    <cellStyle name="Hyperlink" xfId="783" builtinId="8" hidden="true"/>
    <cellStyle name="Hyperlink" xfId="785" builtinId="8" hidden="true"/>
    <cellStyle name="Hyperlink" xfId="787" builtinId="8" hidden="true"/>
    <cellStyle name="Hyperlink" xfId="789" builtinId="8" hidden="true"/>
    <cellStyle name="Hyperlink" xfId="791" builtinId="8" hidden="true"/>
    <cellStyle name="Hyperlink" xfId="793" builtinId="8" hidden="true"/>
    <cellStyle name="Hyperlink" xfId="795" builtinId="8" hidden="true"/>
    <cellStyle name="Hyperlink" xfId="797" builtinId="8" hidden="true"/>
    <cellStyle name="Hyperlink" xfId="799" builtinId="8" hidden="true"/>
    <cellStyle name="Hyperlink" xfId="801" builtinId="8" hidden="true"/>
    <cellStyle name="Hyperlink" xfId="803" builtinId="8" hidden="true"/>
    <cellStyle name="Hyperlink" xfId="805" builtinId="8" hidden="true"/>
    <cellStyle name="Hyperlink" xfId="807" builtinId="8" hidden="true"/>
    <cellStyle name="Hyperlink" xfId="809" builtinId="8" hidden="true"/>
    <cellStyle name="Hyperlink" xfId="811" builtinId="8" hidden="true"/>
    <cellStyle name="Hyperlink" xfId="813" builtinId="8" hidden="true"/>
    <cellStyle name="Hyperlink" xfId="815" builtinId="8" hidden="true"/>
    <cellStyle name="Hyperlink" xfId="817" builtinId="8" hidden="true"/>
    <cellStyle name="Hyperlink" xfId="819" builtinId="8" hidden="true"/>
    <cellStyle name="Hyperlink" xfId="821" builtinId="8" hidden="true"/>
    <cellStyle name="Hyperlink" xfId="823" builtinId="8" hidden="true"/>
    <cellStyle name="Hyperlink" xfId="825" builtinId="8" hidden="true"/>
    <cellStyle name="Hyperlink" xfId="827" builtinId="8" hidden="true"/>
    <cellStyle name="Hyperlink" xfId="829" builtinId="8" hidden="true"/>
    <cellStyle name="Hyperlink" xfId="831" builtinId="8" hidden="true"/>
    <cellStyle name="Hyperlink" xfId="833" builtinId="8" hidden="true"/>
    <cellStyle name="Hyperlink" xfId="835" builtinId="8" hidden="true"/>
    <cellStyle name="Hyperlink" xfId="837" builtinId="8" hidden="true"/>
    <cellStyle name="Hyperlink" xfId="839" builtinId="8" hidden="true"/>
    <cellStyle name="Hyperlink" xfId="841" builtinId="8" hidden="true"/>
    <cellStyle name="Hyperlink" xfId="843" builtinId="8" hidden="true"/>
    <cellStyle name="Hyperlink" xfId="845" builtinId="8" hidden="true"/>
    <cellStyle name="Hyperlink" xfId="847" builtinId="8" hidden="true"/>
    <cellStyle name="Hyperlink" xfId="849" builtinId="8" hidden="true"/>
    <cellStyle name="Hyperlink" xfId="851" builtinId="8" hidden="true"/>
    <cellStyle name="Hyperlink" xfId="853" builtinId="8" hidden="true"/>
    <cellStyle name="Hyperlink" xfId="855" builtinId="8" hidden="true"/>
    <cellStyle name="Hyperlink" xfId="857" builtinId="8" hidden="true"/>
    <cellStyle name="Hyperlink" xfId="859" builtinId="8" hidden="true"/>
    <cellStyle name="Hyperlink" xfId="861" builtinId="8" hidden="true"/>
    <cellStyle name="Hyperlink" xfId="863" builtinId="8" hidden="true"/>
    <cellStyle name="Hyperlink" xfId="865" builtinId="8" hidden="true"/>
    <cellStyle name="Hyperlink" xfId="867" builtinId="8" hidden="true"/>
    <cellStyle name="Hyperlink" xfId="869" builtinId="8" hidden="true"/>
    <cellStyle name="Hyperlink" xfId="871" builtinId="8" hidden="true"/>
    <cellStyle name="Hyperlink" xfId="873" builtinId="8" hidden="true"/>
    <cellStyle name="Hyperlink" xfId="875" builtinId="8" hidden="true"/>
    <cellStyle name="Hyperlink" xfId="877" builtinId="8" hidden="true"/>
    <cellStyle name="Hyperlink" xfId="879" builtinId="8" hidden="true"/>
    <cellStyle name="Hyperlink" xfId="881" builtinId="8" hidden="true"/>
    <cellStyle name="Hyperlink" xfId="883" builtinId="8" hidden="true"/>
    <cellStyle name="Hyperlink" xfId="885" builtinId="8" hidden="true"/>
    <cellStyle name="Hyperlink" xfId="887" builtinId="8" hidden="true"/>
    <cellStyle name="Hyperlink" xfId="889" builtinId="8" hidden="true"/>
    <cellStyle name="Hyperlink" xfId="891" builtinId="8" hidden="true"/>
    <cellStyle name="Hyperlink" xfId="893" builtinId="8" hidden="true"/>
    <cellStyle name="Hyperlink" xfId="895" builtinId="8" hidden="true"/>
    <cellStyle name="Hyperlink" xfId="897" builtinId="8" hidden="true"/>
    <cellStyle name="Hyperlink" xfId="899" builtinId="8" hidden="true"/>
    <cellStyle name="Hyperlink" xfId="901" builtinId="8" hidden="true"/>
    <cellStyle name="Hyperlink" xfId="903" builtinId="8" hidden="true"/>
    <cellStyle name="Hyperlink" xfId="905" builtinId="8" hidden="true"/>
    <cellStyle name="Hyperlink" xfId="907" builtinId="8" hidden="true"/>
    <cellStyle name="Hyperlink" xfId="909" builtinId="8" hidden="true"/>
    <cellStyle name="Hyperlink" xfId="911" builtinId="8" hidden="true"/>
    <cellStyle name="Hyperlink" xfId="913" builtinId="8" hidden="true"/>
    <cellStyle name="Hyperlink" xfId="915" builtinId="8" hidden="true"/>
    <cellStyle name="Hyperlink" xfId="917" builtinId="8" hidden="true"/>
    <cellStyle name="Hyperlink" xfId="919" builtinId="8" hidden="true"/>
    <cellStyle name="Hyperlink" xfId="921" builtinId="8" hidden="true"/>
    <cellStyle name="Hyperlink" xfId="923" builtinId="8" hidden="true"/>
    <cellStyle name="Hyperlink" xfId="925" builtinId="8" hidden="true"/>
    <cellStyle name="Hyperlink" xfId="927" builtinId="8" hidden="true"/>
    <cellStyle name="Hyperlink" xfId="929" builtinId="8" hidden="true"/>
    <cellStyle name="Hyperlink" xfId="931" builtinId="8" hidden="true"/>
    <cellStyle name="Hyperlink" xfId="933" builtinId="8" hidden="true"/>
    <cellStyle name="Hyperlink" xfId="935" builtinId="8" hidden="true"/>
    <cellStyle name="Hyperlink" xfId="937" builtinId="8" hidden="true"/>
    <cellStyle name="Hyperlink" xfId="939" builtinId="8" hidden="true"/>
    <cellStyle name="Hyperlink" xfId="941" builtinId="8" hidden="true"/>
    <cellStyle name="Hyperlink" xfId="943" builtinId="8" hidden="true"/>
    <cellStyle name="Hyperlink" xfId="945" builtinId="8" hidden="true"/>
    <cellStyle name="Hyperlink" xfId="947" builtinId="8" hidden="true"/>
    <cellStyle name="Hyperlink" xfId="949" builtinId="8" hidden="true"/>
    <cellStyle name="Hyperlink" xfId="951" builtinId="8" hidden="true"/>
    <cellStyle name="Hyperlink" xfId="953" builtinId="8" hidden="true"/>
    <cellStyle name="Hyperlink" xfId="955" builtinId="8" hidden="true"/>
    <cellStyle name="Hyperlink" xfId="957" builtinId="8" hidden="true"/>
    <cellStyle name="Hyperlink" xfId="959" builtinId="8" hidden="true"/>
    <cellStyle name="Hyperlink" xfId="961" builtinId="8" hidden="true"/>
    <cellStyle name="Hyperlink" xfId="963" builtinId="8" hidden="true"/>
    <cellStyle name="Hyperlink" xfId="965" builtinId="8" hidden="true"/>
    <cellStyle name="Hyperlink" xfId="967" builtinId="8" hidden="true"/>
    <cellStyle name="Hyperlink" xfId="969" builtinId="8" hidden="true"/>
    <cellStyle name="Hyperlink" xfId="972" builtinId="8" hidden="true"/>
    <cellStyle name="Hyperlink" xfId="974" builtinId="8" hidden="true"/>
    <cellStyle name="Hyperlink" xfId="976" builtinId="8" hidden="true"/>
    <cellStyle name="Hyperlink" xfId="978" builtinId="8" hidden="true"/>
    <cellStyle name="Hyperlink" xfId="980" builtinId="8" hidden="true"/>
    <cellStyle name="Hyperlink" xfId="982" builtinId="8" hidden="true"/>
    <cellStyle name="Hyperlink" xfId="984" builtinId="8" hidden="true"/>
    <cellStyle name="Hyperlink" xfId="986" builtinId="8" hidden="true"/>
    <cellStyle name="Hyperlink" xfId="988" builtinId="8" hidden="true"/>
    <cellStyle name="Hyperlink" xfId="990" builtinId="8" hidden="true"/>
    <cellStyle name="Hyperlink" xfId="992" builtinId="8" hidden="true"/>
    <cellStyle name="Hyperlink" xfId="994" builtinId="8" hidden="true"/>
    <cellStyle name="Hyperlink" xfId="996" builtinId="8" hidden="true"/>
    <cellStyle name="Hyperlink" xfId="998" builtinId="8" hidden="true"/>
    <cellStyle name="Hyperlink" xfId="1000" builtinId="8" hidden="true"/>
    <cellStyle name="Hyperlink" xfId="1002" builtinId="8" hidden="true"/>
    <cellStyle name="Hyperlink" xfId="1004" builtinId="8" hidden="true"/>
    <cellStyle name="Hyperlink" xfId="1006" builtinId="8" hidden="true"/>
    <cellStyle name="Hyperlink" xfId="1008" builtinId="8" hidden="true"/>
    <cellStyle name="Hyperlink" xfId="1010" builtinId="8" hidden="true"/>
    <cellStyle name="Hyperlink" xfId="1012" builtinId="8" hidden="true"/>
    <cellStyle name="Hyperlink" xfId="1014" builtinId="8" hidden="true"/>
    <cellStyle name="Hyperlink" xfId="1016" builtinId="8" hidden="true"/>
    <cellStyle name="Hyperlink" xfId="1018" builtinId="8" hidden="true"/>
    <cellStyle name="Hyperlink" xfId="1020" builtinId="8" hidden="true"/>
    <cellStyle name="Hyperlink" xfId="1022" builtinId="8" hidden="true"/>
    <cellStyle name="Hyperlink" xfId="1024" builtinId="8" hidden="true"/>
    <cellStyle name="Hyperlink" xfId="1026" builtinId="8" hidden="true"/>
    <cellStyle name="Hyperlink" xfId="1028" builtinId="8" hidden="true"/>
    <cellStyle name="Hyperlink" xfId="1030" builtinId="8" hidden="true"/>
    <cellStyle name="Hyperlink" xfId="1032" builtinId="8" hidden="true"/>
    <cellStyle name="Hyperlink" xfId="1034" builtinId="8" hidden="true"/>
    <cellStyle name="Hyperlink" xfId="1036" builtinId="8" hidden="true"/>
    <cellStyle name="Hyperlink" xfId="1038" builtinId="8" hidden="true"/>
    <cellStyle name="Hyperlink" xfId="1040" builtinId="8" hidden="true"/>
    <cellStyle name="Hyperlink" xfId="1042" builtinId="8" hidden="true"/>
    <cellStyle name="Hyperlink" xfId="1044" builtinId="8" hidden="true"/>
    <cellStyle name="Hyperlink" xfId="1046" builtinId="8" hidden="true"/>
    <cellStyle name="Hyperlink" xfId="1048" builtinId="8" hidden="true"/>
    <cellStyle name="Hyperlink" xfId="1050" builtinId="8" hidden="true"/>
    <cellStyle name="Hyperlink" xfId="1052" builtinId="8" hidden="true"/>
    <cellStyle name="Hyperlink" xfId="1054" builtinId="8" hidden="true"/>
    <cellStyle name="Hyperlink" xfId="1056" builtinId="8" hidden="true"/>
    <cellStyle name="Hyperlink" xfId="1058" builtinId="8" hidden="true"/>
    <cellStyle name="Hyperlink" xfId="1060" builtinId="8" hidden="true"/>
    <cellStyle name="Hyperlink" xfId="1062" builtinId="8" hidden="true"/>
    <cellStyle name="Hyperlink" xfId="1064" builtinId="8" hidden="true"/>
    <cellStyle name="Hyperlink" xfId="1066" builtinId="8" hidden="true"/>
    <cellStyle name="Hyperlink" xfId="1068" builtinId="8" hidden="true"/>
    <cellStyle name="Hyperlink" xfId="1070" builtinId="8" hidden="true"/>
    <cellStyle name="Hyperlink" xfId="1072" builtinId="8" hidden="true"/>
    <cellStyle name="Hyperlink" xfId="1074" builtinId="8" hidden="true"/>
    <cellStyle name="Hyperlink" xfId="1076" builtinId="8" hidden="true"/>
    <cellStyle name="Hyperlink" xfId="1078" builtinId="8" hidden="true"/>
    <cellStyle name="Hyperlink" xfId="1080" builtinId="8" hidden="true"/>
    <cellStyle name="Hyperlink" xfId="1082" builtinId="8" hidden="true"/>
    <cellStyle name="Hyperlink" xfId="1084" builtinId="8" hidden="true"/>
    <cellStyle name="Hyperlink" xfId="1086" builtinId="8" hidden="true"/>
    <cellStyle name="Hyperlink" xfId="1088" builtinId="8" hidden="true"/>
    <cellStyle name="Hyperlink" xfId="1090" builtinId="8" hidden="true"/>
    <cellStyle name="Hyperlink" xfId="1092" builtinId="8" hidden="true"/>
    <cellStyle name="Hyperlink" xfId="1094" builtinId="8" hidden="true"/>
    <cellStyle name="Hyperlink" xfId="1096" builtinId="8" hidden="true"/>
    <cellStyle name="Hyperlink" xfId="1098" builtinId="8" hidden="true"/>
    <cellStyle name="Hyperlink" xfId="1100" builtinId="8" hidden="true"/>
    <cellStyle name="Hyperlink" xfId="1102" builtinId="8" hidden="true"/>
    <cellStyle name="Hyperlink" xfId="1104" builtinId="8" hidden="true"/>
    <cellStyle name="Hyperlink" xfId="1106" builtinId="8" hidden="true"/>
    <cellStyle name="Hyperlink" xfId="1108" builtinId="8" hidden="true"/>
    <cellStyle name="Hyperlink" xfId="1110" builtinId="8" hidden="true"/>
    <cellStyle name="Hyperlink" xfId="1112" builtinId="8" hidden="true"/>
    <cellStyle name="Hyperlink" xfId="1114" builtinId="8" hidden="true"/>
    <cellStyle name="Hyperlink" xfId="1116" builtinId="8" hidden="true"/>
    <cellStyle name="Hyperlink" xfId="1118" builtinId="8" hidden="true"/>
    <cellStyle name="Hyperlink" xfId="1120" builtinId="8" hidden="true"/>
    <cellStyle name="Hyperlink" xfId="1122" builtinId="8" hidden="true"/>
    <cellStyle name="Hyperlink" xfId="1124" builtinId="8" hidden="true"/>
    <cellStyle name="Hyperlink" xfId="1126" builtinId="8" hidden="true"/>
    <cellStyle name="Hyperlink" xfId="1128" builtinId="8" hidden="true"/>
    <cellStyle name="Hyperlink" xfId="1130" builtinId="8" hidden="true"/>
    <cellStyle name="Hyperlink" xfId="1132" builtinId="8" hidden="true"/>
    <cellStyle name="Hyperlink" xfId="1134" builtinId="8" hidden="true"/>
    <cellStyle name="Hyperlink" xfId="1136" builtinId="8" hidden="true"/>
    <cellStyle name="Hyperlink" xfId="1138" builtinId="8" hidden="true"/>
    <cellStyle name="Hyperlink" xfId="1140" builtinId="8" hidden="true"/>
    <cellStyle name="Hyperlink" xfId="1142" builtinId="8" hidden="true"/>
    <cellStyle name="Hyperlink" xfId="1144" builtinId="8" hidden="true"/>
    <cellStyle name="Hyperlink" xfId="1146" builtinId="8" hidden="true"/>
    <cellStyle name="Hyperlink" xfId="1148" builtinId="8" hidden="true"/>
    <cellStyle name="Hyperlink" xfId="1150" builtinId="8" hidden="true"/>
    <cellStyle name="Hyperlink" xfId="1152" builtinId="8" hidden="true"/>
    <cellStyle name="Hyperlink" xfId="1154" builtinId="8" hidden="true"/>
    <cellStyle name="Hyperlink" xfId="1156" builtinId="8" hidden="true"/>
    <cellStyle name="Hyperlink" xfId="1158" builtinId="8" hidden="true"/>
    <cellStyle name="Hyperlink" xfId="1160" builtinId="8" hidden="true"/>
    <cellStyle name="Hyperlink" xfId="1162" builtinId="8" hidden="true"/>
    <cellStyle name="Hyperlink" xfId="1164" builtinId="8" hidden="true"/>
    <cellStyle name="Hyperlink" xfId="1166" builtinId="8" hidden="true"/>
    <cellStyle name="Hyperlink" xfId="1168" builtinId="8" hidden="true"/>
    <cellStyle name="Hyperlink" xfId="1170" builtinId="8" hidden="true"/>
    <cellStyle name="Hyperlink" xfId="1172" builtinId="8" hidden="true"/>
    <cellStyle name="Hyperlink" xfId="1174" builtinId="8" hidden="true"/>
    <cellStyle name="Hyperlink" xfId="1176" builtinId="8" hidden="true"/>
    <cellStyle name="Hyperlink" xfId="1178" builtinId="8" hidden="true"/>
    <cellStyle name="Hyperlink" xfId="1180" builtinId="8" hidden="true"/>
    <cellStyle name="Hyperlink" xfId="1182" builtinId="8" hidden="true"/>
    <cellStyle name="Hyperlink" xfId="1184" builtinId="8" hidden="true"/>
    <cellStyle name="Hyperlink" xfId="1186" builtinId="8" hidden="true"/>
    <cellStyle name="Hyperlink" xfId="1188" builtinId="8" hidden="true"/>
    <cellStyle name="Hyperlink" xfId="1190" builtinId="8" hidden="true"/>
    <cellStyle name="Hyperlink" xfId="1192" builtinId="8" hidden="true"/>
    <cellStyle name="Hyperlink" xfId="1194" builtinId="8" hidden="true"/>
    <cellStyle name="Hyperlink" xfId="1196" builtinId="8" hidden="true"/>
    <cellStyle name="Hyperlink" xfId="1198" builtinId="8" hidden="true"/>
    <cellStyle name="Hyperlink" xfId="1200" builtinId="8" hidden="true"/>
    <cellStyle name="Hyperlink" xfId="1202" builtinId="8" hidden="true"/>
    <cellStyle name="Hyperlink" xfId="1204" builtinId="8" hidden="true"/>
    <cellStyle name="Hyperlink" xfId="1206" builtinId="8" hidden="true"/>
    <cellStyle name="Hyperlink" xfId="1208" builtinId="8" hidden="true"/>
    <cellStyle name="Hyperlink" xfId="1210" builtinId="8" hidden="true"/>
    <cellStyle name="Hyperlink" xfId="1212" builtinId="8" hidden="true"/>
    <cellStyle name="Hyperlink" xfId="1214" builtinId="8" hidden="true"/>
    <cellStyle name="Hyperlink" xfId="1216" builtinId="8" hidden="true"/>
    <cellStyle name="Hyperlink" xfId="1218" builtinId="8" hidden="true"/>
    <cellStyle name="Hyperlink" xfId="1220" builtinId="8" hidden="true"/>
    <cellStyle name="Hyperlink" xfId="1222" builtinId="8" hidden="true"/>
    <cellStyle name="Hyperlink" xfId="1224" builtinId="8" hidden="true"/>
    <cellStyle name="Hyperlink" xfId="1226" builtinId="8" hidden="true"/>
    <cellStyle name="Hyperlink" xfId="1228" builtinId="8" hidden="true"/>
    <cellStyle name="Hyperlink" xfId="1230" builtinId="8" hidden="true"/>
    <cellStyle name="Hyperlink" xfId="1232" builtinId="8" hidden="true"/>
    <cellStyle name="Hyperlink" xfId="1234" builtinId="8" hidden="true"/>
    <cellStyle name="Hyperlink" xfId="1236" builtinId="8" hidden="true"/>
    <cellStyle name="Hyperlink" xfId="1238" builtinId="8" hidden="true"/>
    <cellStyle name="Hyperlink" xfId="1240" builtinId="8" hidden="true"/>
    <cellStyle name="Hyperlink" xfId="1242" builtinId="8" hidden="true"/>
    <cellStyle name="Hyperlink" xfId="1244" builtinId="8" hidden="true"/>
    <cellStyle name="Hyperlink" xfId="1246" builtinId="8" hidden="true"/>
    <cellStyle name="Hyperlink" xfId="1248" builtinId="8" hidden="true"/>
    <cellStyle name="Hyperlink" xfId="1250" builtinId="8" hidden="true"/>
    <cellStyle name="Hyperlink" xfId="1252" builtinId="8" hidden="true"/>
    <cellStyle name="Hyperlink" xfId="1254" builtinId="8" hidden="true"/>
    <cellStyle name="Hyperlink" xfId="1256" builtinId="8" hidden="true"/>
    <cellStyle name="Hyperlink" xfId="1258" builtinId="8" hidden="true"/>
    <cellStyle name="Hyperlink" xfId="1260" builtinId="8" hidden="true"/>
    <cellStyle name="Hyperlink" xfId="1262" builtinId="8" hidden="true"/>
    <cellStyle name="Hyperlink" xfId="1264" builtinId="8" hidden="true"/>
    <cellStyle name="Hyperlink" xfId="1266" builtinId="8" hidden="true"/>
    <cellStyle name="Hyperlink" xfId="1268" builtinId="8" hidden="true"/>
    <cellStyle name="Hyperlink" xfId="1270" builtinId="8" hidden="true"/>
    <cellStyle name="Hyperlink" xfId="1272" builtinId="8" hidden="true"/>
    <cellStyle name="Hyperlink" xfId="1274" builtinId="8" hidden="true"/>
    <cellStyle name="Hyperlink" xfId="1276" builtinId="8" hidden="true"/>
    <cellStyle name="Hyperlink" xfId="1278" builtinId="8" hidden="true"/>
    <cellStyle name="Hyperlink" xfId="1280" builtinId="8" hidden="true"/>
    <cellStyle name="Hyperlink" xfId="1282" builtinId="8" hidden="true"/>
    <cellStyle name="Hyperlink" xfId="1284" builtinId="8" hidden="true"/>
    <cellStyle name="Hyperlink" xfId="1286" builtinId="8" hidden="true"/>
    <cellStyle name="Hyperlink" xfId="1288" builtinId="8" hidden="true"/>
    <cellStyle name="Hyperlink" xfId="1290" builtinId="8" hidden="true"/>
    <cellStyle name="Hyperlink" xfId="1292" builtinId="8" hidden="true"/>
    <cellStyle name="Hyperlink" xfId="1294" builtinId="8" hidden="true"/>
    <cellStyle name="Hyperlink" xfId="1296" builtinId="8" hidden="true"/>
    <cellStyle name="Hyperlink" xfId="1298" builtinId="8" hidden="true"/>
    <cellStyle name="Hyperlink" xfId="1300" builtinId="8" hidden="true"/>
    <cellStyle name="Hyperlink" xfId="1302" builtinId="8" hidden="true"/>
    <cellStyle name="Hyperlink" xfId="1304" builtinId="8" hidden="true"/>
    <cellStyle name="Hyperlink" xfId="1306" builtinId="8" hidden="true"/>
    <cellStyle name="Hyperlink" xfId="1308" builtinId="8" hidden="true"/>
    <cellStyle name="Hyperlink" xfId="1310" builtinId="8" hidden="true"/>
    <cellStyle name="Hyperlink" xfId="1312" builtinId="8" hidden="true"/>
    <cellStyle name="Hyperlink" xfId="1314" builtinId="8" hidden="true"/>
    <cellStyle name="Hyperlink" xfId="1316" builtinId="8" hidden="true"/>
    <cellStyle name="Hyperlink" xfId="1318" builtinId="8" hidden="true"/>
    <cellStyle name="Hyperlink" xfId="1320" builtinId="8" hidden="true"/>
    <cellStyle name="Hyperlink" xfId="1322" builtinId="8" hidden="true"/>
    <cellStyle name="Hyperlink" xfId="1324" builtinId="8" hidden="true"/>
    <cellStyle name="Hyperlink" xfId="1326" builtinId="8" hidden="true"/>
    <cellStyle name="Hyperlink" xfId="1328" builtinId="8" hidden="true"/>
    <cellStyle name="Hyperlink" xfId="1330" builtinId="8" hidden="true"/>
    <cellStyle name="Hyperlink" xfId="1332" builtinId="8" hidden="true"/>
    <cellStyle name="Hyperlink" xfId="1334" builtinId="8" hidden="true"/>
    <cellStyle name="Hyperlink" xfId="1336" builtinId="8" hidden="true"/>
    <cellStyle name="Hyperlink" xfId="1338" builtinId="8" hidden="true"/>
    <cellStyle name="Hyperlink" xfId="1340" builtinId="8" hidden="true"/>
    <cellStyle name="Hyperlink" xfId="1342" builtinId="8" hidden="true"/>
    <cellStyle name="Hyperlink" xfId="1344" builtinId="8" hidden="true"/>
    <cellStyle name="Hyperlink" xfId="1346" builtinId="8" hidden="true"/>
    <cellStyle name="Hyperlink" xfId="1348" builtinId="8" hidden="true"/>
    <cellStyle name="Hyperlink" xfId="1350" builtinId="8" hidden="true"/>
    <cellStyle name="Hyperlink" xfId="1352" builtinId="8" hidden="true"/>
    <cellStyle name="Hyperlink" xfId="1354" builtinId="8" hidden="true"/>
    <cellStyle name="Hyperlink" xfId="1356" builtinId="8" hidden="true"/>
    <cellStyle name="Hyperlink" xfId="1358" builtinId="8" hidden="true"/>
    <cellStyle name="Hyperlink" xfId="1360" builtinId="8" hidden="true"/>
    <cellStyle name="Hyperlink" xfId="1362" builtinId="8" hidden="true"/>
    <cellStyle name="Hyperlink" xfId="1364" builtinId="8" hidden="true"/>
    <cellStyle name="Hyperlink" xfId="1366" builtinId="8" hidden="true"/>
    <cellStyle name="Hyperlink" xfId="1368" builtinId="8" hidden="true"/>
    <cellStyle name="Hyperlink" xfId="1370" builtinId="8" hidden="true"/>
    <cellStyle name="Hyperlink" xfId="1372" builtinId="8" hidden="true"/>
    <cellStyle name="Hyperlink" xfId="1374" builtinId="8" hidden="true"/>
    <cellStyle name="Hyperlink" xfId="1376" builtinId="8" hidden="true"/>
    <cellStyle name="Hyperlink" xfId="1378" builtinId="8" hidden="true"/>
    <cellStyle name="Hyperlink" xfId="1380" builtinId="8" hidden="true"/>
    <cellStyle name="Hyperlink" xfId="1382" builtinId="8" hidden="true"/>
    <cellStyle name="Hyperlink" xfId="1384" builtinId="8" hidden="true"/>
    <cellStyle name="Hyperlink" xfId="1386" builtinId="8" hidden="true"/>
    <cellStyle name="Hyperlink" xfId="1388" builtinId="8" hidden="true"/>
    <cellStyle name="Hyperlink" xfId="1390" builtinId="8" hidden="true"/>
    <cellStyle name="Hyperlink" xfId="1392" builtinId="8" hidden="true"/>
    <cellStyle name="Hyperlink" xfId="1394" builtinId="8" hidden="true"/>
    <cellStyle name="Hyperlink" xfId="1396" builtinId="8" hidden="true"/>
    <cellStyle name="Hyperlink" xfId="1398" builtinId="8" hidden="true"/>
    <cellStyle name="Hyperlink" xfId="1400" builtinId="8" hidden="true"/>
    <cellStyle name="Hyperlink" xfId="1402" builtinId="8" hidden="true"/>
    <cellStyle name="Hyperlink" xfId="1404" builtinId="8" hidden="true"/>
    <cellStyle name="Hyperlink" xfId="1406" builtinId="8" hidden="true"/>
    <cellStyle name="Hyperlink" xfId="1408" builtinId="8" hidden="true"/>
    <cellStyle name="Hyperlink" xfId="1410" builtinId="8" hidden="true"/>
    <cellStyle name="Hyperlink" xfId="1412" builtinId="8" hidden="true"/>
    <cellStyle name="Hyperlink" xfId="1414" builtinId="8" hidden="true"/>
    <cellStyle name="Hyperlink" xfId="1416" builtinId="8" hidden="true"/>
    <cellStyle name="Hyperlink" xfId="1418" builtinId="8" hidden="true"/>
    <cellStyle name="Hyperlink" xfId="1420" builtinId="8" hidden="true"/>
    <cellStyle name="Hyperlink" xfId="1422" builtinId="8" hidden="true"/>
    <cellStyle name="Hyperlink" xfId="1424" builtinId="8" hidden="true"/>
    <cellStyle name="Hyperlink" xfId="1426" builtinId="8" hidden="true"/>
    <cellStyle name="Hyperlink" xfId="1428" builtinId="8" hidden="true"/>
    <cellStyle name="Hyperlink" xfId="1430" builtinId="8" hidden="true"/>
    <cellStyle name="Hyperlink" xfId="1432" builtinId="8" hidden="true"/>
    <cellStyle name="Hyperlink" xfId="1434" builtinId="8" hidden="true"/>
    <cellStyle name="Hyperlink" xfId="1436" builtinId="8" hidden="true"/>
    <cellStyle name="Hyperlink" xfId="1438" builtinId="8" hidden="true"/>
    <cellStyle name="Hyperlink" xfId="1440" builtinId="8" hidden="true"/>
    <cellStyle name="Hyperlink" xfId="1442" builtinId="8" hidden="true"/>
    <cellStyle name="Hyperlink" xfId="1444" builtinId="8" hidden="true"/>
    <cellStyle name="Hyperlink" xfId="1446" builtinId="8" hidden="true"/>
    <cellStyle name="Hyperlink" xfId="1448" builtinId="8" hidden="true"/>
    <cellStyle name="Hyperlink" xfId="1450" builtinId="8" hidden="true"/>
    <cellStyle name="Hyperlink" xfId="1452" builtinId="8" hidden="true"/>
    <cellStyle name="Hyperlink" xfId="1454" builtinId="8" hidden="true"/>
    <cellStyle name="Hyperlink" xfId="1456" builtinId="8" hidden="true"/>
    <cellStyle name="Hyperlink" xfId="1458" builtinId="8" hidden="true"/>
    <cellStyle name="Hyperlink" xfId="1460" builtinId="8" hidden="true"/>
    <cellStyle name="Hyperlink" xfId="1462" builtinId="8" hidden="true"/>
    <cellStyle name="Hyperlink" xfId="1464" builtinId="8" hidden="true"/>
    <cellStyle name="Hyperlink" xfId="1466" builtinId="8" hidden="true"/>
    <cellStyle name="Hyperlink" xfId="1468" builtinId="8" hidden="true"/>
    <cellStyle name="Hyperlink" xfId="1470" builtinId="8" hidden="true"/>
    <cellStyle name="Hyperlink" xfId="1472" builtinId="8" hidden="true"/>
    <cellStyle name="Hyperlink" xfId="1474" builtinId="8" hidden="true"/>
    <cellStyle name="Hyperlink" xfId="1476" builtinId="8" hidden="true"/>
    <cellStyle name="Hyperlink" xfId="1478" builtinId="8" hidden="true"/>
    <cellStyle name="Hyperlink" xfId="1480" builtinId="8" hidden="true"/>
    <cellStyle name="Hyperlink" xfId="1482" builtinId="8" hidden="true"/>
    <cellStyle name="Hyperlink" xfId="1484" builtinId="8" hidden="true"/>
    <cellStyle name="Hyperlink" xfId="1486" builtinId="8" hidden="true"/>
    <cellStyle name="Hyperlink" xfId="1488" builtinId="8" hidden="true"/>
    <cellStyle name="Hyperlink" xfId="1490" builtinId="8" hidden="true"/>
    <cellStyle name="Hyperlink" xfId="1492" builtinId="8" hidden="true"/>
    <cellStyle name="Hyperlink" xfId="1494" builtinId="8" hidden="true"/>
    <cellStyle name="Hyperlink" xfId="1496" builtinId="8" hidden="true"/>
    <cellStyle name="Hyperlink" xfId="1498" builtinId="8" hidden="true"/>
    <cellStyle name="Hyperlink" xfId="1500" builtinId="8" hidden="true"/>
    <cellStyle name="Hyperlink" xfId="1502" builtinId="8" hidden="true"/>
    <cellStyle name="Hyperlink" xfId="1504" builtinId="8" hidden="true"/>
    <cellStyle name="Hyperlink" xfId="1506" builtinId="8" hidden="true"/>
    <cellStyle name="Hyperlink" xfId="1508" builtinId="8" hidden="true"/>
    <cellStyle name="Hyperlink" xfId="1510" builtinId="8" hidden="true"/>
    <cellStyle name="Hyperlink" xfId="1512" builtinId="8" hidden="true"/>
    <cellStyle name="Hyperlink" xfId="1514" builtinId="8" hidden="true"/>
    <cellStyle name="Hyperlink" xfId="1516" builtinId="8" hidden="true"/>
    <cellStyle name="Hyperlink" xfId="1518" builtinId="8" hidden="true"/>
    <cellStyle name="Hyperlink" xfId="1520" builtinId="8" hidden="true"/>
    <cellStyle name="Hyperlink" xfId="1522" builtinId="8" hidden="true"/>
    <cellStyle name="Hyperlink" xfId="1524" builtinId="8" hidden="true"/>
    <cellStyle name="Hyperlink" xfId="1526" builtinId="8" hidden="true"/>
    <cellStyle name="Hyperlink" xfId="1528" builtinId="8" hidden="true"/>
    <cellStyle name="Hyperlink" xfId="1530" builtinId="8" hidden="true"/>
    <cellStyle name="Hyperlink" xfId="1532" builtinId="8" hidden="true"/>
    <cellStyle name="Hyperlink" xfId="1534" builtinId="8" hidden="true"/>
    <cellStyle name="Hyperlink" xfId="1536" builtinId="8" hidden="true"/>
    <cellStyle name="Hyperlink" xfId="1538" builtinId="8" hidden="true"/>
    <cellStyle name="Hyperlink" xfId="1540" builtinId="8" hidden="true"/>
    <cellStyle name="Hyperlink" xfId="1542" builtinId="8" hidden="true"/>
    <cellStyle name="Hyperlink" xfId="1544" builtinId="8" hidden="true"/>
    <cellStyle name="Hyperlink" xfId="1546" builtinId="8" hidden="true"/>
    <cellStyle name="Hyperlink" xfId="1548" builtinId="8" hidden="true"/>
    <cellStyle name="Hyperlink" xfId="1550" builtinId="8" hidden="true"/>
    <cellStyle name="Hyperlink" xfId="1552" builtinId="8" hidden="true"/>
    <cellStyle name="Hyperlink" xfId="1554" builtinId="8" hidden="true"/>
    <cellStyle name="Hyperlink" xfId="1556" builtinId="8" hidden="true"/>
    <cellStyle name="Hyperlink" xfId="1558" builtinId="8" hidden="true"/>
    <cellStyle name="Hyperlink" xfId="1560" builtinId="8" hidden="true"/>
    <cellStyle name="Hyperlink" xfId="1562" builtinId="8" hidden="true"/>
    <cellStyle name="Hyperlink" xfId="1564" builtinId="8" hidden="true"/>
    <cellStyle name="Hyperlink" xfId="1566" builtinId="8" hidden="true"/>
    <cellStyle name="Hyperlink" xfId="1568" builtinId="8" hidden="true"/>
    <cellStyle name="Hyperlink" xfId="1570" builtinId="8" hidden="true"/>
    <cellStyle name="Hyperlink" xfId="1572" builtinId="8" hidden="true"/>
    <cellStyle name="Hyperlink" xfId="1574" builtinId="8" hidden="true"/>
    <cellStyle name="Hyperlink" xfId="1576" builtinId="8" hidden="true"/>
    <cellStyle name="Hyperlink" xfId="1578" builtinId="8" hidden="true"/>
    <cellStyle name="Hyperlink" xfId="1580" builtinId="8" hidden="true"/>
    <cellStyle name="Hyperlink" xfId="1582" builtinId="8" hidden="true"/>
    <cellStyle name="Hyperlink" xfId="1584" builtinId="8" hidden="true"/>
    <cellStyle name="Hyperlink" xfId="1586" builtinId="8" hidden="true"/>
    <cellStyle name="Hyperlink" xfId="1588" builtinId="8" hidden="true"/>
    <cellStyle name="Hyperlink" xfId="1590" builtinId="8" hidden="true"/>
    <cellStyle name="Hyperlink" xfId="1592" builtinId="8" hidden="true"/>
    <cellStyle name="Hyperlink" xfId="1594" builtinId="8" hidden="true"/>
    <cellStyle name="Hyperlink" xfId="1596" builtinId="8" hidden="true"/>
    <cellStyle name="Hyperlink" xfId="1598" builtinId="8" hidden="true"/>
    <cellStyle name="Hyperlink" xfId="1600" builtinId="8" hidden="true"/>
    <cellStyle name="Hyperlink" xfId="1602" builtinId="8" hidden="true"/>
    <cellStyle name="Hyperlink" xfId="1604" builtinId="8" hidden="true"/>
    <cellStyle name="Hyperlink" xfId="1606" builtinId="8" hidden="true"/>
    <cellStyle name="Hyperlink" xfId="1608" builtinId="8" hidden="true"/>
    <cellStyle name="Hyperlink" xfId="1610" builtinId="8" hidden="true"/>
    <cellStyle name="Hyperlink" xfId="1612" builtinId="8" hidden="true"/>
    <cellStyle name="Hyperlink" xfId="1614" builtinId="8" hidden="true"/>
    <cellStyle name="Hyperlink" xfId="1616" builtinId="8" hidden="true"/>
    <cellStyle name="Hyperlink" xfId="1618" builtinId="8" hidden="true"/>
    <cellStyle name="Hyperlink" xfId="1620" builtinId="8" hidden="true"/>
    <cellStyle name="Hyperlink" xfId="1622" builtinId="8" hidden="true"/>
    <cellStyle name="Hyperlink" xfId="1624" builtinId="8" hidden="true"/>
    <cellStyle name="Hyperlink" xfId="1626" builtinId="8" hidden="true"/>
    <cellStyle name="Hyperlink" xfId="1628" builtinId="8" hidden="true"/>
    <cellStyle name="Hyperlink" xfId="1630" builtinId="8" hidden="true"/>
    <cellStyle name="Hyperlink" xfId="1632" builtinId="8" hidden="true"/>
    <cellStyle name="Hyperlink" xfId="1634" builtinId="8" hidden="true"/>
    <cellStyle name="Hyperlink" xfId="1636" builtinId="8" hidden="true"/>
    <cellStyle name="Hyperlink" xfId="1638" builtinId="8" hidden="true"/>
    <cellStyle name="Hyperlink" xfId="1640" builtinId="8" hidden="true"/>
    <cellStyle name="Hyperlink" xfId="1642" builtinId="8" hidden="true"/>
    <cellStyle name="Hyperlink" xfId="1644" builtinId="8" hidden="true"/>
    <cellStyle name="Hyperlink" xfId="1646" builtinId="8" hidden="true"/>
    <cellStyle name="Hyperlink" xfId="1648" builtinId="8" hidden="true"/>
    <cellStyle name="Hyperlink" xfId="1650" builtinId="8" hidden="true"/>
    <cellStyle name="Hyperlink" xfId="1652" builtinId="8" hidden="true"/>
    <cellStyle name="Hyperlink" xfId="1654" builtinId="8" hidden="true"/>
    <cellStyle name="Hyperlink" xfId="1656" builtinId="8" hidden="true"/>
    <cellStyle name="Hyperlink" xfId="1658" builtinId="8" hidden="true"/>
    <cellStyle name="Hyperlink" xfId="1660" builtinId="8" hidden="true"/>
    <cellStyle name="Hyperlink" xfId="1662" builtinId="8" hidden="true"/>
    <cellStyle name="Hyperlink" xfId="1664" builtinId="8" hidden="true"/>
    <cellStyle name="Hyperlink" xfId="1666" builtinId="8" hidden="true"/>
    <cellStyle name="Hyperlink" xfId="1668" builtinId="8" hidden="true"/>
    <cellStyle name="Hyperlink" xfId="1670" builtinId="8" hidden="true"/>
    <cellStyle name="Hyperlink" xfId="1672" builtinId="8" hidden="true"/>
    <cellStyle name="Hyperlink" xfId="1674" builtinId="8" hidden="true"/>
    <cellStyle name="Hyperlink" xfId="1676" builtinId="8" hidden="true"/>
    <cellStyle name="Hyperlink" xfId="1678" builtinId="8" hidden="true"/>
    <cellStyle name="Hyperlink" xfId="1680" builtinId="8" hidden="true"/>
    <cellStyle name="Hyperlink" xfId="1682" builtinId="8" hidden="true"/>
    <cellStyle name="Hyperlink" xfId="1684" builtinId="8" hidden="true"/>
    <cellStyle name="Hyperlink" xfId="1686" builtinId="8" hidden="true"/>
    <cellStyle name="Hyperlink" xfId="1688" builtinId="8" hidden="true"/>
    <cellStyle name="Hyperlink" xfId="1690" builtinId="8" hidden="true"/>
    <cellStyle name="Hyperlink" xfId="1692" builtinId="8" hidden="true"/>
    <cellStyle name="Hyperlink" xfId="1694" builtinId="8" hidden="true"/>
    <cellStyle name="Hyperlink" xfId="1696" builtinId="8" hidden="true"/>
    <cellStyle name="Hyperlink" xfId="1698" builtinId="8" hidden="true"/>
    <cellStyle name="Hyperlink" xfId="1700" builtinId="8" hidden="true"/>
    <cellStyle name="Hyperlink" xfId="1702" builtinId="8" hidden="true"/>
    <cellStyle name="Hyperlink" xfId="1704" builtinId="8" hidden="true"/>
    <cellStyle name="Hyperlink" xfId="1706" builtinId="8" hidden="true"/>
    <cellStyle name="Hyperlink" xfId="1708" builtinId="8" hidden="true"/>
    <cellStyle name="Hyperlink" xfId="1710" builtinId="8" hidden="true"/>
    <cellStyle name="Hyperlink" xfId="1712" builtinId="8" hidden="true"/>
    <cellStyle name="Hyperlink" xfId="1714" builtinId="8" hidden="true"/>
    <cellStyle name="Hyperlink" xfId="1716" builtinId="8" hidden="true"/>
    <cellStyle name="Hyperlink" xfId="1718" builtinId="8" hidden="true"/>
    <cellStyle name="Hyperlink" xfId="1720" builtinId="8" hidden="true"/>
    <cellStyle name="Hyperlink" xfId="1722" builtinId="8" hidden="true"/>
    <cellStyle name="Hyperlink" xfId="1724" builtinId="8" hidden="true"/>
    <cellStyle name="Hyperlink" xfId="1726" builtinId="8" hidden="true"/>
    <cellStyle name="Hyperlink" xfId="1728" builtinId="8" hidden="true"/>
    <cellStyle name="Hyperlink" xfId="1730" builtinId="8" hidden="true"/>
    <cellStyle name="Hyperlink" xfId="1732" builtinId="8" hidden="true"/>
    <cellStyle name="Hyperlink" xfId="1734" builtinId="8" hidden="true"/>
    <cellStyle name="Hyperlink" xfId="1736" builtinId="8" hidden="true"/>
    <cellStyle name="Hyperlink" xfId="1738" builtinId="8" hidden="true"/>
    <cellStyle name="Hyperlink" xfId="1740" builtinId="8" hidden="true"/>
    <cellStyle name="Hyperlink" xfId="1742" builtinId="8" hidden="true"/>
    <cellStyle name="Hyperlink" xfId="1744" builtinId="8" hidden="true"/>
    <cellStyle name="Hyperlink" xfId="1746" builtinId="8" hidden="true"/>
    <cellStyle name="Hyperlink" xfId="1748" builtinId="8" hidden="true"/>
    <cellStyle name="Hyperlink" xfId="1750" builtinId="8" hidden="true"/>
    <cellStyle name="Hyperlink" xfId="1752" builtinId="8" hidden="true"/>
    <cellStyle name="Hyperlink" xfId="1754" builtinId="8" hidden="true"/>
    <cellStyle name="Hyperlink" xfId="1756" builtinId="8" hidden="true"/>
    <cellStyle name="Hyperlink" xfId="1758" builtinId="8" hidden="true"/>
    <cellStyle name="Hyperlink" xfId="1760" builtinId="8" hidden="true"/>
    <cellStyle name="Hyperlink" xfId="1762" builtinId="8" hidden="true"/>
    <cellStyle name="Hyperlink" xfId="1764" builtinId="8" hidden="true"/>
    <cellStyle name="Hyperlink" xfId="1766" builtinId="8" hidden="true"/>
    <cellStyle name="Hyperlink" xfId="1768" builtinId="8" hidden="true"/>
    <cellStyle name="Hyperlink" xfId="1770" builtinId="8" hidden="true"/>
    <cellStyle name="Hyperlink" xfId="1772" builtinId="8" hidden="true"/>
    <cellStyle name="Hyperlink" xfId="1774" builtinId="8" hidden="true"/>
    <cellStyle name="Hyperlink" xfId="1776" builtinId="8" hidden="true"/>
    <cellStyle name="Hyperlink" xfId="1778" builtinId="8" hidden="true"/>
    <cellStyle name="Hyperlink" xfId="1780" builtinId="8" hidden="true"/>
    <cellStyle name="Hyperlink" xfId="1782" builtinId="8" hidden="true"/>
    <cellStyle name="Hyperlink" xfId="1784" builtinId="8" hidden="true"/>
    <cellStyle name="Hyperlink" xfId="1786" builtinId="8" hidden="true"/>
    <cellStyle name="Hyperlink" xfId="1788" builtinId="8" hidden="true"/>
    <cellStyle name="Hyperlink" xfId="1790" builtinId="8" hidden="true"/>
    <cellStyle name="Hyperlink" xfId="1792" builtinId="8" hidden="true"/>
    <cellStyle name="Hyperlink" xfId="1794" builtinId="8" hidden="true"/>
    <cellStyle name="Hyperlink" xfId="1796" builtinId="8" hidden="true"/>
    <cellStyle name="Hyperlink" xfId="1798" builtinId="8" hidden="true"/>
    <cellStyle name="Hyperlink" xfId="1800" builtinId="8" hidden="true"/>
    <cellStyle name="Hyperlink" xfId="1802" builtinId="8" hidden="true"/>
    <cellStyle name="Hyperlink" xfId="1804" builtinId="8" hidden="true"/>
    <cellStyle name="Hyperlink" xfId="1806" builtinId="8" hidden="true"/>
    <cellStyle name="Hyperlink" xfId="1808" builtinId="8" hidden="true"/>
    <cellStyle name="Hyperlink" xfId="1810" builtinId="8" hidden="true"/>
    <cellStyle name="Hyperlink" xfId="1812" builtinId="8" hidden="true"/>
    <cellStyle name="Hyperlink" xfId="1814" builtinId="8" hidden="true"/>
    <cellStyle name="Hyperlink" xfId="1816" builtinId="8" hidden="true"/>
    <cellStyle name="Hyperlink" xfId="1818" builtinId="8" hidden="true"/>
    <cellStyle name="Hyperlink" xfId="1820" builtinId="8" hidden="true"/>
    <cellStyle name="Hyperlink" xfId="1822" builtinId="8" hidden="true"/>
    <cellStyle name="Hyperlink" xfId="1824" builtinId="8" hidden="true"/>
    <cellStyle name="Hyperlink" xfId="1826" builtinId="8" hidden="true"/>
    <cellStyle name="Hyperlink" xfId="1828" builtinId="8" hidden="true"/>
    <cellStyle name="Hyperlink" xfId="1830" builtinId="8" hidden="true"/>
    <cellStyle name="Hyperlink" xfId="1832" builtinId="8" hidden="true"/>
    <cellStyle name="Hyperlink" xfId="1834" builtinId="8" hidden="true"/>
    <cellStyle name="Hyperlink" xfId="1836" builtinId="8" hidden="true"/>
    <cellStyle name="Hyperlink" xfId="1838" builtinId="8" hidden="true"/>
    <cellStyle name="Hyperlink" xfId="1840" builtinId="8" hidden="true"/>
    <cellStyle name="Hyperlink" xfId="1842" builtinId="8" hidden="true"/>
    <cellStyle name="Hyperlink" xfId="1844" builtinId="8" hidden="true"/>
    <cellStyle name="Hyperlink" xfId="1846" builtinId="8" hidden="true"/>
    <cellStyle name="Hyperlink" xfId="1848" builtinId="8" hidden="true"/>
    <cellStyle name="Hyperlink" xfId="1850" builtinId="8" hidden="true"/>
    <cellStyle name="Hyperlink" xfId="1852" builtinId="8" hidden="true"/>
    <cellStyle name="Hyperlink" xfId="1854" builtinId="8" hidden="true"/>
    <cellStyle name="Hyperlink" xfId="1856" builtinId="8" hidden="true"/>
    <cellStyle name="Hyperlink" xfId="1858" builtinId="8" hidden="true"/>
    <cellStyle name="Hyperlink" xfId="1860" builtinId="8" hidden="true"/>
    <cellStyle name="Hyperlink" xfId="1862" builtinId="8" hidden="true"/>
    <cellStyle name="Hyperlink" xfId="1864" builtinId="8" hidden="true"/>
    <cellStyle name="Hyperlink" xfId="1866" builtinId="8" hidden="true"/>
    <cellStyle name="Hyperlink" xfId="1868" builtinId="8" hidden="true"/>
    <cellStyle name="Hyperlink" xfId="1870" builtinId="8" hidden="true"/>
    <cellStyle name="Hyperlink" xfId="1872" builtinId="8" hidden="true"/>
    <cellStyle name="Hyperlink" xfId="1874" builtinId="8" hidden="true"/>
    <cellStyle name="Hyperlink" xfId="1876" builtinId="8" hidden="true"/>
    <cellStyle name="Hyperlink" xfId="1878" builtinId="8" hidden="true"/>
    <cellStyle name="Hyperlink" xfId="1880" builtinId="8" hidden="true"/>
    <cellStyle name="Hyperlink" xfId="1882" builtinId="8" hidden="true"/>
    <cellStyle name="Hyperlink" xfId="1884" builtinId="8" hidden="true"/>
    <cellStyle name="Hyperlink" xfId="1886" builtinId="8" hidden="true"/>
    <cellStyle name="Hyperlink" xfId="1888" builtinId="8" hidden="true"/>
    <cellStyle name="Hyperlink" xfId="1890" builtinId="8" hidden="true"/>
    <cellStyle name="Hyperlink" xfId="1892" builtinId="8" hidden="true"/>
    <cellStyle name="Hyperlink" xfId="1894" builtinId="8" hidden="true"/>
    <cellStyle name="Hyperlink" xfId="1896" builtinId="8" hidden="true"/>
    <cellStyle name="Hyperlink" xfId="1898" builtinId="8" hidden="true"/>
    <cellStyle name="Hyperlink" xfId="1900" builtinId="8" hidden="true"/>
    <cellStyle name="Hyperlink" xfId="1902" builtinId="8" hidden="true"/>
    <cellStyle name="Hyperlink" xfId="1904" builtinId="8" hidden="true"/>
    <cellStyle name="Hyperlink" xfId="1906" builtinId="8" hidden="true"/>
    <cellStyle name="Hyperlink" xfId="1908" builtinId="8" hidden="true"/>
    <cellStyle name="Hyperlink" xfId="1910" builtinId="8" hidden="true"/>
    <cellStyle name="Hyperlink" xfId="1912" builtinId="8" hidden="true"/>
    <cellStyle name="Hyperlink" xfId="1914" builtinId="8" hidden="true"/>
    <cellStyle name="Hyperlink" xfId="1916" builtinId="8" hidden="true"/>
    <cellStyle name="Hyperlink" xfId="1918" builtinId="8" hidden="true"/>
    <cellStyle name="Hyperlink" xfId="1920" builtinId="8" hidden="true"/>
    <cellStyle name="Hyperlink" xfId="1922" builtinId="8" hidden="true"/>
    <cellStyle name="Hyperlink" xfId="1924" builtinId="8" hidden="true"/>
    <cellStyle name="Hyperlink" xfId="1926" builtinId="8" hidden="true"/>
    <cellStyle name="Hyperlink" xfId="1928" builtinId="8" hidden="true"/>
    <cellStyle name="Hyperlink" xfId="1930" builtinId="8" hidden="true"/>
    <cellStyle name="Hyperlink" xfId="1932" builtinId="8" hidden="true"/>
    <cellStyle name="Hyperlink" xfId="1934" builtinId="8" hidden="true"/>
    <cellStyle name="Hyperlink" xfId="1936" builtinId="8" hidden="true"/>
    <cellStyle name="Hyperlink" xfId="1938" builtinId="8" hidden="true"/>
    <cellStyle name="Hyperlink" xfId="1940" builtinId="8" hidden="true"/>
    <cellStyle name="Hyperlink" xfId="1942" builtinId="8" hidden="true"/>
    <cellStyle name="Hyperlink" xfId="1944" builtinId="8" hidden="true"/>
    <cellStyle name="Hyperlink" xfId="1946" builtinId="8" hidden="true"/>
    <cellStyle name="Hyperlink" xfId="1948" builtinId="8" hidden="true"/>
    <cellStyle name="Hyperlink" xfId="1950" builtinId="8" hidden="true"/>
    <cellStyle name="Hyperlink" xfId="1952" builtinId="8" hidden="true"/>
    <cellStyle name="Hyperlink" xfId="1954" builtinId="8" hidden="true"/>
    <cellStyle name="Hyperlink" xfId="1956" builtinId="8" hidden="true"/>
    <cellStyle name="Hyperlink" xfId="1958" builtinId="8" hidden="true"/>
    <cellStyle name="Hyperlink" xfId="1960" builtinId="8" hidden="true"/>
    <cellStyle name="Hyperlink" xfId="1962" builtinId="8" hidden="true"/>
    <cellStyle name="Hyperlink" xfId="1964" builtinId="8" hidden="true"/>
    <cellStyle name="Hyperlink" xfId="1966" builtinId="8" hidden="true"/>
    <cellStyle name="Hyperlink" xfId="1968" builtinId="8" hidden="true"/>
    <cellStyle name="Hyperlink" xfId="1970" builtinId="8" hidden="true"/>
    <cellStyle name="Hyperlink" xfId="1972" builtinId="8" hidden="true"/>
    <cellStyle name="Hyperlink" xfId="1974" builtinId="8" hidden="true"/>
    <cellStyle name="Hyperlink" xfId="1976" builtinId="8" hidden="true"/>
    <cellStyle name="Hyperlink" xfId="1978" builtinId="8" hidden="true"/>
    <cellStyle name="Hyperlink" xfId="1980" builtinId="8" hidden="true"/>
    <cellStyle name="Hyperlink" xfId="1982" builtinId="8" hidden="true"/>
    <cellStyle name="Hyperlink" xfId="1984" builtinId="8" hidden="true"/>
    <cellStyle name="Hyperlink" xfId="1986" builtinId="8" hidden="true"/>
    <cellStyle name="Hyperlink" xfId="1988" builtinId="8" hidden="true"/>
    <cellStyle name="Hyperlink" xfId="1990" builtinId="8" hidden="true"/>
    <cellStyle name="Hyperlink" xfId="1992" builtinId="8" hidden="true"/>
    <cellStyle name="Hyperlink" xfId="1994" builtinId="8" hidden="true"/>
    <cellStyle name="Hyperlink" xfId="1996" builtinId="8" hidden="true"/>
    <cellStyle name="Hyperlink" xfId="1998" builtinId="8" hidden="true"/>
    <cellStyle name="Hyperlink" xfId="2000" builtinId="8" hidden="true"/>
    <cellStyle name="Hyperlink" xfId="2002" builtinId="8" hidden="true"/>
    <cellStyle name="Hyperlink" xfId="2004" builtinId="8" hidden="true"/>
    <cellStyle name="Hyperlink" xfId="2006" builtinId="8" hidden="true"/>
    <cellStyle name="Hyperlink" xfId="2008" builtinId="8" hidden="true"/>
    <cellStyle name="Hyperlink" xfId="2010" builtinId="8" hidden="true"/>
    <cellStyle name="Hyperlink" xfId="2012" builtinId="8" hidden="true"/>
    <cellStyle name="Hyperlink" xfId="2014" builtinId="8" hidden="true"/>
    <cellStyle name="Hyperlink" xfId="2016" builtinId="8" hidden="true"/>
    <cellStyle name="Hyperlink" xfId="2018" builtinId="8" hidden="true"/>
    <cellStyle name="Hyperlink" xfId="2020" builtinId="8" hidden="true"/>
    <cellStyle name="Hyperlink" xfId="2022" builtinId="8" hidden="true"/>
    <cellStyle name="Hyperlink" xfId="2024" builtinId="8" hidden="true"/>
    <cellStyle name="Hyperlink" xfId="2026" builtinId="8" hidden="true"/>
    <cellStyle name="Hyperlink" xfId="2028" builtinId="8" hidden="true"/>
    <cellStyle name="Hyperlink" xfId="2030" builtinId="8" hidden="true"/>
    <cellStyle name="Hyperlink" xfId="2032" builtinId="8" hidden="true"/>
    <cellStyle name="Hyperlink" xfId="2034" builtinId="8" hidden="true"/>
    <cellStyle name="Hyperlink" xfId="2036" builtinId="8" hidden="true"/>
    <cellStyle name="Hyperlink" xfId="2038" builtinId="8" hidden="true"/>
    <cellStyle name="Hyperlink" xfId="2040" builtinId="8" hidden="true"/>
    <cellStyle name="Hyperlink" xfId="2042" builtinId="8" hidden="true"/>
    <cellStyle name="Hyperlink" xfId="2044" builtinId="8" hidden="true"/>
    <cellStyle name="Hyperlink" xfId="2046" builtinId="8" hidden="true"/>
    <cellStyle name="Hyperlink" xfId="2048" builtinId="8" hidden="true"/>
    <cellStyle name="Hyperlink" xfId="2050" builtinId="8" hidden="true"/>
    <cellStyle name="Hyperlink" xfId="2052" builtinId="8" hidden="true"/>
    <cellStyle name="Hyperlink" xfId="2054" builtinId="8" hidden="true"/>
    <cellStyle name="Hyperlink" xfId="2056" builtinId="8" hidden="true"/>
    <cellStyle name="Hyperlink" xfId="2058" builtinId="8" hidden="true"/>
    <cellStyle name="Hyperlink" xfId="2060" builtinId="8" hidden="true"/>
    <cellStyle name="Hyperlink" xfId="2062" builtinId="8" hidden="true"/>
    <cellStyle name="Hyperlink" xfId="2064" builtinId="8" hidden="true"/>
    <cellStyle name="Hyperlink" xfId="2066" builtinId="8" hidden="true"/>
    <cellStyle name="Hyperlink" xfId="2068" builtinId="8" hidden="true"/>
    <cellStyle name="Hyperlink" xfId="2070" builtinId="8" hidden="true"/>
    <cellStyle name="Hyperlink" xfId="2072" builtinId="8" hidden="true"/>
    <cellStyle name="Hyperlink" xfId="2074" builtinId="8" hidden="true"/>
    <cellStyle name="Hyperlink" xfId="2076" builtinId="8" hidden="true"/>
    <cellStyle name="Hyperlink" xfId="2078" builtinId="8" hidden="true"/>
    <cellStyle name="Hyperlink" xfId="2080" builtinId="8" hidden="true"/>
    <cellStyle name="Hyperlink" xfId="2082" builtinId="8" hidden="true"/>
    <cellStyle name="Hyperlink" xfId="2084" builtinId="8" hidden="true"/>
    <cellStyle name="Hyperlink" xfId="2086" builtinId="8" hidden="true"/>
    <cellStyle name="Hyperlink" xfId="2088" builtinId="8" hidden="true"/>
    <cellStyle name="Hyperlink" xfId="2090" builtinId="8" hidden="true"/>
    <cellStyle name="Hyperlink" xfId="2092" builtinId="8" hidden="true"/>
    <cellStyle name="Hyperlink" xfId="2094" builtinId="8" hidden="true"/>
    <cellStyle name="Hyperlink" xfId="2096" builtinId="8" hidden="true"/>
    <cellStyle name="Hyperlink" xfId="2098" builtinId="8" hidden="true"/>
    <cellStyle name="Hyperlink" xfId="2100" builtinId="8" hidden="true"/>
    <cellStyle name="Hyperlink" xfId="2102" builtinId="8" hidden="true"/>
    <cellStyle name="Hyperlink" xfId="2104" builtinId="8" hidden="true"/>
    <cellStyle name="Hyperlink" xfId="2106" builtinId="8" hidden="true"/>
    <cellStyle name="Hyperlink" xfId="2108" builtinId="8" hidden="true"/>
    <cellStyle name="Hyperlink" xfId="2110" builtinId="8" hidden="true"/>
    <cellStyle name="Hyperlink" xfId="2112" builtinId="8" hidden="true"/>
    <cellStyle name="Hyperlink" xfId="2114" builtinId="8" hidden="true"/>
    <cellStyle name="Hyperlink" xfId="2116" builtinId="8" hidden="true"/>
    <cellStyle name="Hyperlink" xfId="2118" builtinId="8" hidden="true"/>
    <cellStyle name="Hyperlink" xfId="2120" builtinId="8" hidden="true"/>
    <cellStyle name="Hyperlink" xfId="2122" builtinId="8" hidden="true"/>
    <cellStyle name="Hyperlink" xfId="2124" builtinId="8" hidden="true"/>
    <cellStyle name="Hyperlink" xfId="2126" builtinId="8" hidden="true"/>
    <cellStyle name="Hyperlink" xfId="2128" builtinId="8" hidden="true"/>
    <cellStyle name="Hyperlink" xfId="2130" builtinId="8" hidden="true"/>
    <cellStyle name="Hyperlink" xfId="2132" builtinId="8" hidden="true"/>
    <cellStyle name="Hyperlink" xfId="2134" builtinId="8" hidden="true"/>
    <cellStyle name="Hyperlink" xfId="2136" builtinId="8" hidden="true"/>
    <cellStyle name="Hyperlink" xfId="2138" builtinId="8" hidden="true"/>
    <cellStyle name="Hyperlink" xfId="2140" builtinId="8" hidden="true"/>
    <cellStyle name="Hyperlink" xfId="2142" builtinId="8" hidden="true"/>
    <cellStyle name="Hyperlink" xfId="2144" builtinId="8" hidden="true"/>
    <cellStyle name="Hyperlink" xfId="2146" builtinId="8" hidden="true"/>
    <cellStyle name="Hyperlink" xfId="2148" builtinId="8" hidden="true"/>
    <cellStyle name="Hyperlink" xfId="2150" builtinId="8" hidden="true"/>
    <cellStyle name="Hyperlink" xfId="2152" builtinId="8" hidden="true"/>
    <cellStyle name="Hyperlink" xfId="2154" builtinId="8" hidden="true"/>
    <cellStyle name="Hyperlink" xfId="2156" builtinId="8" hidden="true"/>
    <cellStyle name="Hyperlink" xfId="2158" builtinId="8" hidden="true"/>
    <cellStyle name="Hyperlink" xfId="2160" builtinId="8" hidden="true"/>
    <cellStyle name="Hyperlink" xfId="2162" builtinId="8" hidden="true"/>
    <cellStyle name="Hyperlink" xfId="2164" builtinId="8" hidden="true"/>
    <cellStyle name="Hyperlink" xfId="2166" builtinId="8" hidden="true"/>
    <cellStyle name="Hyperlink" xfId="2168" builtinId="8" hidden="true"/>
    <cellStyle name="Hyperlink" xfId="2170" builtinId="8" hidden="true"/>
    <cellStyle name="Hyperlink" xfId="2172" builtinId="8" hidden="true"/>
    <cellStyle name="Hyperlink" xfId="2174" builtinId="8" hidden="true"/>
    <cellStyle name="Hyperlink" xfId="2176" builtinId="8" hidden="true"/>
    <cellStyle name="Hyperlink" xfId="2178" builtinId="8" hidden="true"/>
    <cellStyle name="Hyperlink" xfId="2180" builtinId="8" hidden="true"/>
    <cellStyle name="Hyperlink" xfId="2182" builtinId="8" hidden="true"/>
    <cellStyle name="Hyperlink" xfId="2184" builtinId="8" hidden="true"/>
    <cellStyle name="Hyperlink" xfId="2186" builtinId="8" hidden="true"/>
    <cellStyle name="Hyperlink" xfId="2188" builtinId="8" hidden="true"/>
    <cellStyle name="Hyperlink" xfId="2190" builtinId="8" hidden="true"/>
    <cellStyle name="Hyperlink" xfId="2192" builtinId="8" hidden="true"/>
    <cellStyle name="Hyperlink" xfId="2194" builtinId="8" hidden="true"/>
    <cellStyle name="Hyperlink" xfId="2196" builtinId="8" hidden="true"/>
    <cellStyle name="Hyperlink" xfId="2198" builtinId="8" hidden="true"/>
    <cellStyle name="Hyperlink" xfId="2200" builtinId="8" hidden="true"/>
    <cellStyle name="Hyperlink" xfId="2202" builtinId="8" hidden="true"/>
    <cellStyle name="Hyperlink" xfId="2204" builtinId="8" hidden="true"/>
    <cellStyle name="Hyperlink" xfId="2206" builtinId="8" hidden="true"/>
    <cellStyle name="Hyperlink" xfId="2208" builtinId="8" hidden="true"/>
    <cellStyle name="Hyperlink" xfId="2210" builtinId="8" hidden="true"/>
    <cellStyle name="Hyperlink" xfId="2212" builtinId="8" hidden="true"/>
    <cellStyle name="Hyperlink" xfId="2214" builtinId="8" hidden="true"/>
    <cellStyle name="Hyperlink" xfId="2216" builtinId="8" hidden="true"/>
    <cellStyle name="Hyperlink" xfId="2218" builtinId="8" hidden="true"/>
    <cellStyle name="Hyperlink" xfId="2220" builtinId="8" hidden="true"/>
    <cellStyle name="Hyperlink" xfId="2222" builtinId="8" hidden="true"/>
    <cellStyle name="Hyperlink" xfId="2224" builtinId="8" hidden="true"/>
    <cellStyle name="Hyperlink" xfId="2226" builtinId="8" hidden="true"/>
    <cellStyle name="Hyperlink" xfId="2228" builtinId="8" hidden="true"/>
    <cellStyle name="Hyperlink" xfId="2230" builtinId="8" hidden="true"/>
    <cellStyle name="Hyperlink" xfId="2232" builtinId="8" hidden="true"/>
    <cellStyle name="Hyperlink" xfId="2234" builtinId="8" hidden="true"/>
    <cellStyle name="Hyperlink" xfId="2236" builtinId="8" hidden="true"/>
    <cellStyle name="Hyperlink" xfId="2238" builtinId="8" hidden="true"/>
    <cellStyle name="Hyperlink" xfId="2240" builtinId="8" hidden="true"/>
    <cellStyle name="Hyperlink" xfId="2242" builtinId="8" hidden="true"/>
    <cellStyle name="Hyperlink" xfId="2244" builtinId="8" hidden="true"/>
    <cellStyle name="Hyperlink" xfId="2246" builtinId="8" hidden="true"/>
    <cellStyle name="Hyperlink" xfId="2248" builtinId="8" hidden="true"/>
    <cellStyle name="Hyperlink" xfId="2250" builtinId="8" hidden="true"/>
    <cellStyle name="Hyperlink" xfId="2252" builtinId="8" hidden="true"/>
    <cellStyle name="Hyperlink" xfId="2254" builtinId="8" hidden="true"/>
    <cellStyle name="Hyperlink" xfId="2256" builtinId="8" hidden="true"/>
    <cellStyle name="Hyperlink" xfId="2258" builtinId="8" hidden="true"/>
    <cellStyle name="Hyperlink" xfId="2260" builtinId="8" hidden="true"/>
    <cellStyle name="Hyperlink" xfId="2262" builtinId="8" hidden="true"/>
    <cellStyle name="Hyperlink" xfId="2264" builtinId="8" hidden="true"/>
    <cellStyle name="Hyperlink" xfId="2266" builtinId="8" hidden="true"/>
    <cellStyle name="Hyperlink" xfId="2268" builtinId="8" hidden="true"/>
    <cellStyle name="Hyperlink" xfId="2270" builtinId="8" hidden="true"/>
    <cellStyle name="Hyperlink" xfId="2272" builtinId="8" hidden="true"/>
    <cellStyle name="Hyperlink" xfId="2274" builtinId="8" hidden="true"/>
    <cellStyle name="Hyperlink" xfId="2276" builtinId="8" hidden="true"/>
    <cellStyle name="Hyperlink" xfId="2278" builtinId="8" hidden="true"/>
    <cellStyle name="Hyperlink" xfId="2280" builtinId="8" hidden="true"/>
    <cellStyle name="Hyperlink" xfId="2282" builtinId="8" hidden="true"/>
    <cellStyle name="Hyperlink" xfId="2284" builtinId="8" hidden="true"/>
    <cellStyle name="Hyperlink" xfId="2286" builtinId="8" hidden="true"/>
    <cellStyle name="Hyperlink" xfId="2288" builtinId="8" hidden="true"/>
    <cellStyle name="Hyperlink" xfId="2290" builtinId="8" hidden="true"/>
    <cellStyle name="Hyperlink" xfId="2292" builtinId="8" hidden="true"/>
    <cellStyle name="Hyperlink" xfId="2294" builtinId="8" hidden="true"/>
    <cellStyle name="Hyperlink" xfId="2296" builtinId="8" hidden="true"/>
    <cellStyle name="Hyperlink" xfId="2298" builtinId="8" hidden="true"/>
    <cellStyle name="Hyperlink" xfId="2300" builtinId="8" hidden="true"/>
    <cellStyle name="Hyperlink" xfId="2302" builtinId="8" hidden="true"/>
    <cellStyle name="Hyperlink" xfId="2304" builtinId="8" hidden="true"/>
    <cellStyle name="Hyperlink" xfId="2306" builtinId="8" hidden="true"/>
    <cellStyle name="Hyperlink" xfId="2308" builtinId="8" hidden="true"/>
    <cellStyle name="Hyperlink" xfId="2310" builtinId="8" hidden="true"/>
    <cellStyle name="Hyperlink" xfId="2312" builtinId="8" hidden="true"/>
    <cellStyle name="Hyperlink" xfId="2314" builtinId="8" hidden="true"/>
    <cellStyle name="Hyperlink" xfId="2316" builtinId="8" hidden="true"/>
    <cellStyle name="Hyperlink" xfId="2318" builtinId="8" hidden="true"/>
    <cellStyle name="Hyperlink" xfId="2320" builtinId="8" hidden="true"/>
    <cellStyle name="Hyperlink" xfId="2322" builtinId="8" hidden="true"/>
    <cellStyle name="Hyperlink" xfId="2324" builtinId="8" hidden="true"/>
    <cellStyle name="Hyperlink" xfId="2326" builtinId="8" hidden="true"/>
    <cellStyle name="Hyperlink" xfId="2328" builtinId="8" hidden="true"/>
    <cellStyle name="Hyperlink" xfId="2330" builtinId="8" hidden="true"/>
    <cellStyle name="Hyperlink" xfId="2332" builtinId="8" hidden="true"/>
    <cellStyle name="Hyperlink" xfId="2334" builtinId="8" hidden="true"/>
    <cellStyle name="Hyperlink" xfId="2336" builtinId="8" hidden="true"/>
    <cellStyle name="Hyperlink" xfId="2338" builtinId="8" hidden="true"/>
    <cellStyle name="Hyperlink" xfId="2340" builtinId="8" hidden="true"/>
    <cellStyle name="Hyperlink" xfId="2342" builtinId="8" hidden="true"/>
    <cellStyle name="Hyperlink" xfId="2344" builtinId="8" hidden="true"/>
    <cellStyle name="Hyperlink" xfId="2346" builtinId="8" hidden="true"/>
    <cellStyle name="Hyperlink" xfId="2348" builtinId="8" hidden="true"/>
    <cellStyle name="Hyperlink" xfId="2350" builtinId="8" hidden="true"/>
    <cellStyle name="Hyperlink" xfId="2352" builtinId="8" hidden="true"/>
    <cellStyle name="Hyperlink" xfId="2354" builtinId="8" hidden="true"/>
    <cellStyle name="Hyperlink" xfId="2356" builtinId="8" hidden="true"/>
    <cellStyle name="Hyperlink" xfId="2358" builtinId="8" hidden="true"/>
    <cellStyle name="Hyperlink" xfId="2360" builtinId="8" hidden="true"/>
    <cellStyle name="Hyperlink" xfId="2362" builtinId="8" hidden="true"/>
    <cellStyle name="Hyperlink" xfId="2364" builtinId="8" hidden="true"/>
    <cellStyle name="Hyperlink" xfId="2366" builtinId="8" hidden="true"/>
    <cellStyle name="Hyperlink" xfId="2368" builtinId="8" hidden="true"/>
    <cellStyle name="Hyperlink" xfId="2370" builtinId="8" hidden="true"/>
    <cellStyle name="Hyperlink" xfId="2372" builtinId="8" hidden="true"/>
    <cellStyle name="Hyperlink" xfId="2374" builtinId="8" hidden="true"/>
    <cellStyle name="Hyperlink" xfId="2376" builtinId="8" hidden="true"/>
    <cellStyle name="Hyperlink" xfId="2378" builtinId="8" hidden="true"/>
    <cellStyle name="Hyperlink" xfId="2380" builtinId="8" hidden="true"/>
    <cellStyle name="Hyperlink" xfId="2382" builtinId="8" hidden="true"/>
    <cellStyle name="Hyperlink" xfId="2384" builtinId="8" hidden="true"/>
    <cellStyle name="Hyperlink" xfId="2386" builtinId="8" hidden="true"/>
    <cellStyle name="Hyperlink" xfId="2388" builtinId="8" hidden="true"/>
    <cellStyle name="Hyperlink" xfId="2390" builtinId="8" hidden="true"/>
    <cellStyle name="Hyperlink" xfId="2392" builtinId="8" hidden="true"/>
    <cellStyle name="Hyperlink" xfId="2394" builtinId="8" hidden="true"/>
    <cellStyle name="Hyperlink" xfId="2396" builtinId="8" hidden="true"/>
    <cellStyle name="Hyperlink" xfId="2398" builtinId="8" hidden="true"/>
    <cellStyle name="Hyperlink" xfId="2400" builtinId="8" hidden="true"/>
    <cellStyle name="Hyperlink" xfId="2402" builtinId="8" hidden="true"/>
    <cellStyle name="Hyperlink" xfId="2404" builtinId="8" hidden="true"/>
    <cellStyle name="Hyperlink" xfId="2406" builtinId="8" hidden="true"/>
    <cellStyle name="Hyperlink" xfId="2408" builtinId="8" hidden="true"/>
    <cellStyle name="Hyperlink" xfId="2410" builtinId="8" hidden="true"/>
    <cellStyle name="Hyperlink" xfId="2412" builtinId="8" hidden="true"/>
    <cellStyle name="Hyperlink" xfId="2414" builtinId="8" hidden="true"/>
    <cellStyle name="Hyperlink" xfId="2416" builtinId="8" hidden="true"/>
    <cellStyle name="Hyperlink" xfId="2418" builtinId="8" hidden="true"/>
    <cellStyle name="Hyperlink" xfId="2420" builtinId="8" hidden="true"/>
    <cellStyle name="Hyperlink" xfId="2422" builtinId="8" hidden="true"/>
    <cellStyle name="Hyperlink" xfId="2424" builtinId="8" hidden="true"/>
    <cellStyle name="Hyperlink" xfId="2426" builtinId="8" hidden="true"/>
    <cellStyle name="Hyperlink" xfId="2428" builtinId="8" hidden="true"/>
    <cellStyle name="Hyperlink" xfId="2430" builtinId="8" hidden="true"/>
    <cellStyle name="Hyperlink" xfId="2432" builtinId="8" hidden="true"/>
    <cellStyle name="Hyperlink" xfId="2434" builtinId="8" hidden="true"/>
    <cellStyle name="Hyperlink" xfId="2436" builtinId="8" hidden="true"/>
    <cellStyle name="Hyperlink" xfId="2438" builtinId="8" hidden="true"/>
    <cellStyle name="Hyperlink" xfId="2440" builtinId="8" hidden="true"/>
    <cellStyle name="Hyperlink" xfId="2442" builtinId="8" hidden="true"/>
    <cellStyle name="Hyperlink" xfId="2444" builtinId="8" hidden="true"/>
    <cellStyle name="Hyperlink" xfId="2446" builtinId="8" hidden="true"/>
    <cellStyle name="Hyperlink" xfId="2448" builtinId="8" hidden="true"/>
    <cellStyle name="Hyperlink" xfId="2450" builtinId="8" hidden="true"/>
    <cellStyle name="Hyperlink" xfId="2452" builtinId="8" hidden="true"/>
    <cellStyle name="Hyperlink" xfId="2454" builtinId="8" hidden="true"/>
    <cellStyle name="Hyperlink" xfId="2456" builtinId="8" hidden="true"/>
    <cellStyle name="Hyperlink" xfId="2458" builtinId="8" hidden="true"/>
    <cellStyle name="Hyperlink" xfId="2460" builtinId="8" hidden="true"/>
    <cellStyle name="Hyperlink" xfId="2462" builtinId="8" hidden="true"/>
    <cellStyle name="Hyperlink" xfId="2464" builtinId="8" hidden="true"/>
    <cellStyle name="Hyperlink" xfId="2466" builtinId="8" hidden="true"/>
    <cellStyle name="Hyperlink" xfId="2468" builtinId="8" hidden="true"/>
    <cellStyle name="Hyperlink" xfId="2470" builtinId="8" hidden="true"/>
    <cellStyle name="Hyperlink" xfId="2472" builtinId="8" hidden="true"/>
    <cellStyle name="Hyperlink" xfId="2474" builtinId="8" hidden="true"/>
    <cellStyle name="Hyperlink" xfId="2476" builtinId="8" hidden="true"/>
    <cellStyle name="Hyperlink" xfId="2478" builtinId="8" hidden="true"/>
    <cellStyle name="Hyperlink" xfId="2480" builtinId="8" hidden="true"/>
    <cellStyle name="Hyperlink" xfId="2482" builtinId="8" hidden="true"/>
    <cellStyle name="Hyperlink" xfId="2484" builtinId="8" hidden="true"/>
    <cellStyle name="Hyperlink" xfId="2486" builtinId="8" hidden="true"/>
    <cellStyle name="Hyperlink" xfId="2488" builtinId="8" hidden="true"/>
    <cellStyle name="Hyperlink" xfId="2490" builtinId="8" hidden="true"/>
    <cellStyle name="Hyperlink" xfId="2492" builtinId="8" hidden="true"/>
    <cellStyle name="Hyperlink" xfId="2494" builtinId="8" hidden="true"/>
    <cellStyle name="Hyperlink" xfId="2496" builtinId="8" hidden="true"/>
    <cellStyle name="Hyperlink" xfId="2498" builtinId="8" hidden="true"/>
    <cellStyle name="Hyperlink" xfId="2500" builtinId="8" hidden="true"/>
    <cellStyle name="Hyperlink" xfId="2502" builtinId="8" hidden="true"/>
    <cellStyle name="Hyperlink" xfId="2504" builtinId="8" hidden="true"/>
    <cellStyle name="Hyperlink" xfId="2506" builtinId="8" hidden="true"/>
    <cellStyle name="Hyperlink" xfId="2508" builtinId="8" hidden="true"/>
    <cellStyle name="Hyperlink" xfId="2510" builtinId="8" hidden="true"/>
    <cellStyle name="Hyperlink" xfId="2512" builtinId="8" hidden="true"/>
    <cellStyle name="Hyperlink" xfId="2514" builtinId="8" hidden="true"/>
    <cellStyle name="Hyperlink" xfId="2516" builtinId="8" hidden="true"/>
    <cellStyle name="Hyperlink" xfId="2518" builtinId="8" hidden="true"/>
    <cellStyle name="Hyperlink" xfId="2520" builtinId="8" hidden="true"/>
    <cellStyle name="Hyperlink" xfId="2522" builtinId="8" hidden="true"/>
    <cellStyle name="Hyperlink" xfId="2524" builtinId="8" hidden="true"/>
    <cellStyle name="Hyperlink" xfId="2526" builtinId="8" hidden="true"/>
    <cellStyle name="Hyperlink" xfId="2528" builtinId="8" hidden="true"/>
    <cellStyle name="Hyperlink" xfId="2530" builtinId="8" hidden="true"/>
    <cellStyle name="Hyperlink" xfId="2532" builtinId="8" hidden="true"/>
    <cellStyle name="Hyperlink" xfId="2534" builtinId="8" hidden="true"/>
    <cellStyle name="Hyperlink" xfId="2536" builtinId="8" hidden="true"/>
    <cellStyle name="Hyperlink" xfId="2538" builtinId="8" hidden="true"/>
    <cellStyle name="Hyperlink" xfId="2540" builtinId="8" hidden="true"/>
    <cellStyle name="Hyperlink" xfId="2542" builtinId="8" hidden="true"/>
    <cellStyle name="Hyperlink" xfId="2544" builtinId="8" hidden="true"/>
    <cellStyle name="Hyperlink" xfId="2546" builtinId="8" hidden="true"/>
    <cellStyle name="Hyperlink" xfId="2548" builtinId="8" hidden="true"/>
    <cellStyle name="Hyperlink" xfId="2550" builtinId="8" hidden="true"/>
    <cellStyle name="Hyperlink" xfId="2552" builtinId="8" hidden="true"/>
    <cellStyle name="Hyperlink" xfId="2554" builtinId="8" hidden="true"/>
    <cellStyle name="Hyperlink" xfId="2556" builtinId="8" hidden="true"/>
    <cellStyle name="Hyperlink" xfId="2558" builtinId="8" hidden="true"/>
    <cellStyle name="Hyperlink" xfId="2560" builtinId="8" hidden="true"/>
    <cellStyle name="Hyperlink" xfId="2562" builtinId="8" hidden="true"/>
    <cellStyle name="Hyperlink" xfId="2564" builtinId="8" hidden="true"/>
    <cellStyle name="Hyperlink" xfId="2566" builtinId="8" hidden="true"/>
    <cellStyle name="Hyperlink" xfId="2568" builtinId="8" hidden="true"/>
    <cellStyle name="Hyperlink" xfId="2570" builtinId="8" hidden="true"/>
    <cellStyle name="Hyperlink" xfId="2572" builtinId="8" hidden="true"/>
    <cellStyle name="Hyperlink" xfId="2574" builtinId="8" hidden="true"/>
    <cellStyle name="Hyperlink" xfId="2576" builtinId="8" hidden="true"/>
    <cellStyle name="Hyperlink" xfId="2578" builtinId="8" hidden="true"/>
    <cellStyle name="Hyperlink" xfId="2580" builtinId="8" hidden="true"/>
    <cellStyle name="Hyperlink" xfId="2582" builtinId="8" hidden="true"/>
    <cellStyle name="Hyperlink" xfId="2584" builtinId="8" hidden="true"/>
    <cellStyle name="Hyperlink" xfId="2586" builtinId="8" hidden="true"/>
    <cellStyle name="Hyperlink" xfId="2588" builtinId="8" hidden="true"/>
    <cellStyle name="Hyperlink" xfId="2590" builtinId="8" hidden="true"/>
    <cellStyle name="Hyperlink" xfId="2592" builtinId="8" hidden="true"/>
    <cellStyle name="Hyperlink" xfId="2594" builtinId="8" hidden="true"/>
    <cellStyle name="Hyperlink" xfId="2596" builtinId="8" hidden="true"/>
    <cellStyle name="Hyperlink" xfId="2598" builtinId="8" hidden="true"/>
    <cellStyle name="Hyperlink" xfId="2600" builtinId="8" hidden="true"/>
    <cellStyle name="Hyperlink" xfId="2602" builtinId="8" hidden="true"/>
    <cellStyle name="Hyperlink" xfId="2604" builtinId="8" hidden="true"/>
    <cellStyle name="Hyperlink" xfId="2606" builtinId="8" hidden="true"/>
    <cellStyle name="Hyperlink" xfId="2608" builtinId="8" hidden="true"/>
    <cellStyle name="Hyperlink" xfId="2610" builtinId="8" hidden="true"/>
    <cellStyle name="Hyperlink" xfId="2612" builtinId="8" hidden="true"/>
    <cellStyle name="Hyperlink" xfId="2614" builtinId="8" hidden="true"/>
    <cellStyle name="Hyperlink" xfId="2616" builtinId="8" hidden="true"/>
    <cellStyle name="Hyperlink" xfId="2618" builtinId="8" hidden="true"/>
    <cellStyle name="Hyperlink" xfId="2620" builtinId="8" hidden="true"/>
    <cellStyle name="Hyperlink" xfId="2622" builtinId="8" hidden="true"/>
    <cellStyle name="Hyperlink" xfId="2624" builtinId="8" hidden="true"/>
    <cellStyle name="Hyperlink" xfId="2626" builtinId="8" hidden="true"/>
    <cellStyle name="Hyperlink" xfId="2628" builtinId="8" hidden="true"/>
    <cellStyle name="Hyperlink" xfId="2630" builtinId="8" hidden="true"/>
    <cellStyle name="Hyperlink" xfId="2632" builtinId="8" hidden="true"/>
    <cellStyle name="Hyperlink" xfId="2634" builtinId="8" hidden="true"/>
    <cellStyle name="Hyperlink" xfId="2636" builtinId="8" hidden="true"/>
    <cellStyle name="Hyperlink" xfId="2638" builtinId="8" hidden="true"/>
    <cellStyle name="Hyperlink" xfId="2640" builtinId="8" hidden="true"/>
    <cellStyle name="Hyperlink" xfId="2642" builtinId="8" hidden="true"/>
    <cellStyle name="Hyperlink" xfId="2644" builtinId="8" hidden="true"/>
    <cellStyle name="Hyperlink" xfId="2646" builtinId="8" hidden="true"/>
    <cellStyle name="Hyperlink" xfId="2648" builtinId="8" hidden="true"/>
    <cellStyle name="Hyperlink" xfId="2650" builtinId="8" hidden="true"/>
    <cellStyle name="Hyperlink" xfId="2652" builtinId="8" hidden="true"/>
    <cellStyle name="Hyperlink" xfId="2654" builtinId="8" hidden="true"/>
    <cellStyle name="Hyperlink" xfId="2656" builtinId="8" hidden="true"/>
    <cellStyle name="Hyperlink" xfId="2658" builtinId="8" hidden="true"/>
    <cellStyle name="Hyperlink" xfId="2660" builtinId="8" hidden="true"/>
    <cellStyle name="Hyperlink" xfId="2662" builtinId="8" hidden="true"/>
    <cellStyle name="Hyperlink" xfId="2664" builtinId="8" hidden="true"/>
    <cellStyle name="Hyperlink" xfId="2666" builtinId="8" hidden="true"/>
    <cellStyle name="Hyperlink" xfId="2668" builtinId="8" hidden="true"/>
    <cellStyle name="Hyperlink" xfId="2670" builtinId="8" hidden="true"/>
    <cellStyle name="Hyperlink" xfId="2672" builtinId="8" hidden="true"/>
    <cellStyle name="Hyperlink" xfId="2674" builtinId="8" hidden="true"/>
    <cellStyle name="Hyperlink" xfId="2676" builtinId="8" hidden="true"/>
    <cellStyle name="Hyperlink" xfId="2678" builtinId="8" hidden="true"/>
    <cellStyle name="Hyperlink" xfId="2680" builtinId="8" hidden="true"/>
    <cellStyle name="Hyperlink" xfId="2682" builtinId="8" hidden="true"/>
    <cellStyle name="Hyperlink" xfId="2684" builtinId="8" hidden="true"/>
    <cellStyle name="Hyperlink" xfId="2686" builtinId="8" hidden="true"/>
    <cellStyle name="Hyperlink" xfId="2688" builtinId="8" hidden="true"/>
    <cellStyle name="Hyperlink" xfId="2690" builtinId="8" hidden="true"/>
    <cellStyle name="Hyperlink" xfId="2692" builtinId="8" hidden="true"/>
    <cellStyle name="Hyperlink" xfId="2694" builtinId="8" hidden="true"/>
    <cellStyle name="Hyperlink" xfId="2696" builtinId="8" hidden="true"/>
    <cellStyle name="Hyperlink" xfId="2698" builtinId="8" hidden="true"/>
    <cellStyle name="Hyperlink" xfId="2700" builtinId="8" hidden="true"/>
    <cellStyle name="Hyperlink" xfId="2702" builtinId="8" hidden="true"/>
    <cellStyle name="Hyperlink" xfId="2704" builtinId="8" hidden="true"/>
    <cellStyle name="Hyperlink" xfId="2706" builtinId="8" hidden="true"/>
    <cellStyle name="Hyperlink" xfId="2708" builtinId="8" hidden="true"/>
    <cellStyle name="Hyperlink" xfId="2710" builtinId="8" hidden="true"/>
    <cellStyle name="Hyperlink" xfId="2712" builtinId="8" hidden="true"/>
    <cellStyle name="Hyperlink" xfId="2714" builtinId="8" hidden="true"/>
    <cellStyle name="Hyperlink" xfId="2716" builtinId="8" hidden="true"/>
    <cellStyle name="Hyperlink" xfId="2718" builtinId="8" hidden="true"/>
    <cellStyle name="Hyperlink" xfId="2720" builtinId="8" hidden="true"/>
    <cellStyle name="Hyperlink" xfId="2722" builtinId="8" hidden="true"/>
    <cellStyle name="Hyperlink" xfId="2724" builtinId="8" hidden="true"/>
    <cellStyle name="Hyperlink" xfId="2726" builtinId="8" hidden="true"/>
    <cellStyle name="Hyperlink" xfId="2728" builtinId="8" hidden="true"/>
    <cellStyle name="Hyperlink" xfId="2730" builtinId="8" hidden="true"/>
    <cellStyle name="Hyperlink" xfId="2732" builtinId="8" hidden="true"/>
    <cellStyle name="Hyperlink" xfId="2734" builtinId="8" hidden="true"/>
    <cellStyle name="Hyperlink" xfId="2736" builtinId="8" hidden="true"/>
    <cellStyle name="Hyperlink" xfId="2738" builtinId="8" hidden="true"/>
    <cellStyle name="Hyperlink" xfId="2740" builtinId="8" hidden="true"/>
    <cellStyle name="Hyperlink" xfId="2742" builtinId="8" hidden="true"/>
    <cellStyle name="Hyperlink" xfId="2744" builtinId="8" hidden="true"/>
    <cellStyle name="Hyperlink" xfId="2746" builtinId="8" hidden="true"/>
    <cellStyle name="Hyperlink" xfId="2748" builtinId="8" hidden="true"/>
    <cellStyle name="Hyperlink" xfId="2750" builtinId="8" hidden="true"/>
    <cellStyle name="Hyperlink" xfId="2752" builtinId="8" hidden="true"/>
    <cellStyle name="Hyperlink" xfId="2754" builtinId="8" hidden="true"/>
    <cellStyle name="Hyperlink" xfId="2756" builtinId="8" hidden="true"/>
    <cellStyle name="Hyperlink" xfId="2758" builtinId="8" hidden="true"/>
    <cellStyle name="Hyperlink" xfId="2760" builtinId="8" hidden="true"/>
    <cellStyle name="Hyperlink" xfId="2762" builtinId="8" hidden="true"/>
    <cellStyle name="Hyperlink" xfId="2764" builtinId="8" hidden="true"/>
    <cellStyle name="Hyperlink" xfId="2766" builtinId="8" hidden="true"/>
    <cellStyle name="Hyperlink" xfId="2768" builtinId="8" hidden="true"/>
    <cellStyle name="Hyperlink" xfId="2770" builtinId="8" hidden="true"/>
    <cellStyle name="Hyperlink" xfId="2772" builtinId="8" hidden="true"/>
    <cellStyle name="Hyperlink" xfId="2774" builtinId="8" hidden="true"/>
    <cellStyle name="Hyperlink" xfId="2776" builtinId="8" hidden="true"/>
    <cellStyle name="Hyperlink" xfId="2778" builtinId="8" hidden="true"/>
    <cellStyle name="Hyperlink" xfId="2780" builtinId="8" hidden="true"/>
    <cellStyle name="Hyperlink" xfId="2782" builtinId="8" hidden="true"/>
    <cellStyle name="Hyperlink" xfId="2784" builtinId="8" hidden="true"/>
    <cellStyle name="Hyperlink" xfId="2786" builtinId="8" hidden="true"/>
    <cellStyle name="Hyperlink" xfId="2788" builtinId="8" hidden="true"/>
    <cellStyle name="Hyperlink" xfId="2790" builtinId="8" hidden="true"/>
    <cellStyle name="Hyperlink" xfId="2792" builtinId="8" hidden="true"/>
    <cellStyle name="Hyperlink" xfId="2794" builtinId="8" hidden="true"/>
    <cellStyle name="Hyperlink" xfId="2796" builtinId="8" hidden="true"/>
    <cellStyle name="Hyperlink" xfId="2798" builtinId="8" hidden="true"/>
    <cellStyle name="Hyperlink" xfId="2800" builtinId="8" hidden="true"/>
    <cellStyle name="Hyperlink" xfId="2802" builtinId="8" hidden="true"/>
    <cellStyle name="Hyperlink" xfId="2804" builtinId="8" hidden="true"/>
    <cellStyle name="Hyperlink" xfId="2806" builtinId="8" hidden="true"/>
    <cellStyle name="Hyperlink" xfId="2808" builtinId="8" hidden="true"/>
    <cellStyle name="Hyperlink" xfId="2810" builtinId="8" hidden="true"/>
    <cellStyle name="Hyperlink" xfId="2812" builtinId="8" hidden="true"/>
    <cellStyle name="Hyperlink" xfId="2814" builtinId="8" hidden="true"/>
    <cellStyle name="Hyperlink" xfId="2816" builtinId="8" hidden="true"/>
    <cellStyle name="Hyperlink" xfId="2818" builtinId="8" hidden="true"/>
    <cellStyle name="Hyperlink" xfId="2820" builtinId="8" hidden="true"/>
    <cellStyle name="Hyperlink" xfId="2822" builtinId="8" hidden="true"/>
    <cellStyle name="Hyperlink" xfId="2824" builtinId="8" hidden="true"/>
    <cellStyle name="Hyperlink" xfId="2826" builtinId="8" hidden="true"/>
    <cellStyle name="Hyperlink" xfId="2828" builtinId="8" hidden="true"/>
    <cellStyle name="Hyperlink" xfId="2830" builtinId="8" hidden="true"/>
    <cellStyle name="Hyperlink" xfId="2832" builtinId="8" hidden="true"/>
    <cellStyle name="Hyperlink" xfId="2834" builtinId="8" hidden="true"/>
    <cellStyle name="Hyperlink" xfId="2836" builtinId="8" hidden="true"/>
    <cellStyle name="Hyperlink" xfId="2838" builtinId="8" hidden="true"/>
    <cellStyle name="Hyperlink" xfId="2840" builtinId="8" hidden="true"/>
    <cellStyle name="Hyperlink" xfId="2842" builtinId="8" hidden="true"/>
    <cellStyle name="Hyperlink" xfId="2844" builtinId="8" hidden="true"/>
    <cellStyle name="Hyperlink" xfId="2846" builtinId="8" hidden="true"/>
    <cellStyle name="Hyperlink" xfId="2848" builtinId="8" hidden="true"/>
    <cellStyle name="Hyperlink" xfId="2850" builtinId="8" hidden="true"/>
    <cellStyle name="Hyperlink" xfId="2852" builtinId="8" hidden="true"/>
    <cellStyle name="Hyperlink" xfId="2854" builtinId="8" hidden="true"/>
    <cellStyle name="Hyperlink" xfId="2856" builtinId="8" hidden="true"/>
    <cellStyle name="Hyperlink" xfId="2858" builtinId="8" hidden="true"/>
    <cellStyle name="Hyperlink" xfId="2860" builtinId="8" hidden="true"/>
    <cellStyle name="Hyperlink" xfId="2862" builtinId="8" hidden="true"/>
    <cellStyle name="Hyperlink" xfId="2864" builtinId="8" hidden="true"/>
    <cellStyle name="Hyperlink" xfId="2866" builtinId="8" hidden="true"/>
    <cellStyle name="Hyperlink" xfId="2868" builtinId="8" hidden="true"/>
    <cellStyle name="Hyperlink" xfId="2870" builtinId="8" hidden="true"/>
    <cellStyle name="Hyperlink" xfId="2872" builtinId="8" hidden="true"/>
    <cellStyle name="Hyperlink" xfId="2874" builtinId="8" hidden="true"/>
    <cellStyle name="Hyperlink" xfId="2876" builtinId="8" hidden="true"/>
    <cellStyle name="Hyperlink" xfId="2878" builtinId="8" hidden="true"/>
    <cellStyle name="Hyperlink" xfId="2880" builtinId="8" hidden="true"/>
    <cellStyle name="Hyperlink" xfId="2882" builtinId="8" hidden="true"/>
    <cellStyle name="Hyperlink" xfId="2884" builtinId="8" hidden="true"/>
    <cellStyle name="Hyperlink" xfId="2886" builtinId="8" hidden="true"/>
    <cellStyle name="Hyperlink" xfId="2888" builtinId="8" hidden="true"/>
    <cellStyle name="Hyperlink" xfId="2890" builtinId="8" hidden="true"/>
    <cellStyle name="Hyperlink" xfId="2892" builtinId="8" hidden="true"/>
    <cellStyle name="Hyperlink" xfId="2894" builtinId="8" hidden="true"/>
    <cellStyle name="Hyperlink" xfId="2896" builtinId="8" hidden="true"/>
    <cellStyle name="Hyperlink" xfId="2898" builtinId="8" hidden="true"/>
    <cellStyle name="Hyperlink" xfId="2900" builtinId="8" hidden="true"/>
    <cellStyle name="Hyperlink" xfId="2902" builtinId="8" hidden="true"/>
    <cellStyle name="Hyperlink" xfId="2904" builtinId="8" hidden="true"/>
    <cellStyle name="Hyperlink" xfId="2906" builtinId="8" hidden="true"/>
    <cellStyle name="Hyperlink" xfId="2908" builtinId="8" hidden="true"/>
    <cellStyle name="Hyperlink" xfId="2910" builtinId="8" hidden="true"/>
    <cellStyle name="Hyperlink" xfId="2912" builtinId="8" hidden="true"/>
    <cellStyle name="Hyperlink" xfId="2914" builtinId="8" hidden="true"/>
    <cellStyle name="Hyperlink" xfId="2916" builtinId="8" hidden="true"/>
    <cellStyle name="Hyperlink" xfId="2918" builtinId="8" hidden="true"/>
    <cellStyle name="Hyperlink" xfId="2920" builtinId="8" hidden="true"/>
    <cellStyle name="Hyperlink" xfId="2922" builtinId="8" hidden="true"/>
    <cellStyle name="Hyperlink" xfId="2924" builtinId="8" hidden="true"/>
    <cellStyle name="Hyperlink" xfId="2926" builtinId="8" hidden="true"/>
    <cellStyle name="Hyperlink" xfId="2928" builtinId="8" hidden="true"/>
    <cellStyle name="Hyperlink" xfId="2930" builtinId="8" hidden="true"/>
    <cellStyle name="Hyperlink" xfId="2932" builtinId="8" hidden="true"/>
    <cellStyle name="Hyperlink" xfId="2934" builtinId="8" hidden="true"/>
    <cellStyle name="Hyperlink" xfId="2936" builtinId="8" hidden="true"/>
    <cellStyle name="Hyperlink" xfId="2938" builtinId="8" hidden="true"/>
    <cellStyle name="Hyperlink" xfId="2940" builtinId="8" hidden="true"/>
    <cellStyle name="Hyperlink" xfId="2942" builtinId="8" hidden="true"/>
    <cellStyle name="Hyperlink" xfId="2944" builtinId="8" hidden="true"/>
    <cellStyle name="Hyperlink" xfId="2946" builtinId="8" hidden="true"/>
    <cellStyle name="Hyperlink" xfId="2948" builtinId="8" hidden="true"/>
    <cellStyle name="Hyperlink" xfId="2950" builtinId="8" hidden="true"/>
    <cellStyle name="Hyperlink" xfId="2952" builtinId="8" hidden="true"/>
    <cellStyle name="Hyperlink" xfId="2954" builtinId="8" hidden="true"/>
    <cellStyle name="Hyperlink" xfId="2956" builtinId="8" hidden="true"/>
    <cellStyle name="Hyperlink" xfId="2958" builtinId="8" hidden="true"/>
    <cellStyle name="Hyperlink" xfId="2960" builtinId="8" hidden="true"/>
    <cellStyle name="Hyperlink" xfId="2962" builtinId="8" hidden="true"/>
    <cellStyle name="Hyperlink" xfId="2964" builtinId="8" hidden="true"/>
    <cellStyle name="Hyperlink" xfId="2966" builtinId="8" hidden="true"/>
    <cellStyle name="Hyperlink" xfId="2968" builtinId="8" hidden="true"/>
    <cellStyle name="Hyperlink" xfId="2970" builtinId="8" hidden="true"/>
    <cellStyle name="Hyperlink" xfId="2972" builtinId="8" hidden="true"/>
    <cellStyle name="Hyperlink" xfId="2974" builtinId="8" hidden="true"/>
    <cellStyle name="Hyperlink" xfId="2976" builtinId="8" hidden="true"/>
    <cellStyle name="Hyperlink" xfId="2978" builtinId="8" hidden="true"/>
    <cellStyle name="Hyperlink" xfId="2980" builtinId="8" hidden="true"/>
    <cellStyle name="Hyperlink" xfId="2982" builtinId="8" hidden="true"/>
    <cellStyle name="Hyperlink" xfId="2984" builtinId="8" hidden="true"/>
    <cellStyle name="Hyperlink" xfId="2986" builtinId="8" hidden="true"/>
    <cellStyle name="Hyperlink" xfId="2988" builtinId="8" hidden="true"/>
    <cellStyle name="Hyperlink" xfId="2990" builtinId="8" hidden="true"/>
    <cellStyle name="Hyperlink" xfId="2992" builtinId="8" hidden="true"/>
    <cellStyle name="Hyperlink" xfId="2994" builtinId="8" hidden="true"/>
    <cellStyle name="Hyperlink" xfId="2996" builtinId="8" hidden="true"/>
    <cellStyle name="Hyperlink" xfId="2998" builtinId="8" hidden="true"/>
    <cellStyle name="Hyperlink" xfId="3000" builtinId="8" hidden="true"/>
    <cellStyle name="Hyperlink" xfId="3002" builtinId="8" hidden="true"/>
    <cellStyle name="Hyperlink" xfId="3004" builtinId="8" hidden="true"/>
    <cellStyle name="Hyperlink" xfId="3006" builtinId="8" hidden="true"/>
    <cellStyle name="Hyperlink" xfId="3008" builtinId="8" hidden="true"/>
    <cellStyle name="Hyperlink" xfId="3010" builtinId="8" hidden="true"/>
    <cellStyle name="Hyperlink" xfId="3012" builtinId="8" hidden="true"/>
    <cellStyle name="Hyperlink" xfId="3014" builtinId="8" hidden="true"/>
    <cellStyle name="Hyperlink" xfId="3016" builtinId="8" hidden="true"/>
    <cellStyle name="Hyperlink" xfId="3018" builtinId="8" hidden="true"/>
    <cellStyle name="Hyperlink" xfId="3020" builtinId="8" hidden="true"/>
    <cellStyle name="Hyperlink" xfId="3022" builtinId="8" hidden="true"/>
    <cellStyle name="Hyperlink" xfId="3024" builtinId="8" hidden="true"/>
    <cellStyle name="Hyperlink" xfId="3026" builtinId="8" hidden="true"/>
    <cellStyle name="Hyperlink" xfId="3028" builtinId="8" hidden="true"/>
    <cellStyle name="Hyperlink" xfId="3030" builtinId="8" hidden="true"/>
    <cellStyle name="Hyperlink" xfId="3032" builtinId="8" hidden="true"/>
    <cellStyle name="Hyperlink" xfId="3034" builtinId="8" hidden="true"/>
    <cellStyle name="Hyperlink" xfId="3036" builtinId="8" hidden="true"/>
    <cellStyle name="Hyperlink" xfId="3038" builtinId="8" hidden="true"/>
    <cellStyle name="Hyperlink" xfId="3040" builtinId="8" hidden="true"/>
    <cellStyle name="Hyperlink" xfId="3042" builtinId="8" hidden="true"/>
    <cellStyle name="Hyperlink" xfId="3044" builtinId="8" hidden="true"/>
    <cellStyle name="Hyperlink" xfId="3046" builtinId="8" hidden="true"/>
    <cellStyle name="Hyperlink" xfId="3048" builtinId="8" hidden="true"/>
    <cellStyle name="Hyperlink" xfId="3050" builtinId="8" hidden="true"/>
    <cellStyle name="Hyperlink" xfId="3052" builtinId="8" hidden="true"/>
    <cellStyle name="Hyperlink" xfId="3054" builtinId="8" hidden="true"/>
    <cellStyle name="Hyperlink" xfId="3056" builtinId="8" hidden="true"/>
    <cellStyle name="Hyperlink" xfId="3058" builtinId="8" hidden="true"/>
    <cellStyle name="Hyperlink" xfId="3060" builtinId="8" hidden="true"/>
    <cellStyle name="Hyperlink" xfId="3062" builtinId="8" hidden="true"/>
    <cellStyle name="Hyperlink" xfId="3064" builtinId="8" hidden="true"/>
    <cellStyle name="Hyperlink" xfId="3066" builtinId="8" hidden="true"/>
    <cellStyle name="Hyperlink" xfId="3068" builtinId="8" hidden="true"/>
    <cellStyle name="Hyperlink" xfId="3070" builtinId="8" hidden="true"/>
    <cellStyle name="Hyperlink" xfId="3072" builtinId="8" hidden="true"/>
    <cellStyle name="Hyperlink" xfId="3074" builtinId="8" hidden="true"/>
    <cellStyle name="Hyperlink" xfId="3076" builtinId="8" hidden="true"/>
    <cellStyle name="Hyperlink" xfId="3078" builtinId="8" hidden="true"/>
    <cellStyle name="Hyperlink" xfId="3080" builtinId="8" hidden="true"/>
    <cellStyle name="Hyperlink" xfId="3082" builtinId="8" hidden="true"/>
    <cellStyle name="Hyperlink" xfId="3084" builtinId="8" hidden="true"/>
    <cellStyle name="Hyperlink" xfId="3086" builtinId="8" hidden="true"/>
    <cellStyle name="Hyperlink" xfId="3088" builtinId="8" hidden="true"/>
    <cellStyle name="Hyperlink" xfId="3090" builtinId="8" hidden="true"/>
    <cellStyle name="Hyperlink" xfId="3092" builtinId="8" hidden="true"/>
    <cellStyle name="Hyperlink" xfId="3094" builtinId="8" hidden="true"/>
    <cellStyle name="Hyperlink" xfId="3096" builtinId="8" hidden="true"/>
    <cellStyle name="Hyperlink" xfId="3098" builtinId="8" hidden="true"/>
    <cellStyle name="Hyperlink" xfId="3100" builtinId="8" hidden="true"/>
    <cellStyle name="Hyperlink" xfId="3102" builtinId="8" hidden="true"/>
    <cellStyle name="Hyperlink" xfId="3104" builtinId="8" hidden="true"/>
    <cellStyle name="Hyperlink" xfId="3106" builtinId="8" hidden="true"/>
    <cellStyle name="Hyperlink" xfId="3108" builtinId="8" hidden="true"/>
    <cellStyle name="Hyperlink" xfId="3110" builtinId="8" hidden="true"/>
    <cellStyle name="Hyperlink" xfId="3112" builtinId="8" hidden="true"/>
    <cellStyle name="Hyperlink" xfId="3114" builtinId="8" hidden="true"/>
    <cellStyle name="Hyperlink" xfId="3116" builtinId="8" hidden="true"/>
    <cellStyle name="Hyperlink" xfId="3118" builtinId="8" hidden="true"/>
    <cellStyle name="Hyperlink" xfId="3120" builtinId="8" hidden="true"/>
    <cellStyle name="Hyperlink" xfId="3122" builtinId="8" hidden="true"/>
    <cellStyle name="Hyperlink" xfId="3124" builtinId="8" hidden="true"/>
    <cellStyle name="Hyperlink" xfId="3126" builtinId="8" hidden="true"/>
    <cellStyle name="Hyperlink" xfId="3128" builtinId="8" hidden="true"/>
    <cellStyle name="Hyperlink" xfId="3130" builtinId="8" hidden="true"/>
    <cellStyle name="Hyperlink" xfId="3132" builtinId="8" hidden="true"/>
    <cellStyle name="Hyperlink" xfId="3134" builtinId="8" hidden="true"/>
    <cellStyle name="Hyperlink" xfId="3136" builtinId="8" hidden="true"/>
    <cellStyle name="Hyperlink" xfId="3138" builtinId="8" hidden="true"/>
    <cellStyle name="Hyperlink" xfId="3140" builtinId="8" hidden="true"/>
    <cellStyle name="Hyperlink" xfId="3142" builtinId="8" hidden="true"/>
    <cellStyle name="Hyperlink" xfId="3144" builtinId="8" hidden="true"/>
    <cellStyle name="Hyperlink" xfId="3146" builtinId="8" hidden="true"/>
    <cellStyle name="Hyperlink" xfId="3148" builtinId="8" hidden="true"/>
    <cellStyle name="Hyperlink" xfId="3150" builtinId="8" hidden="true"/>
    <cellStyle name="Hyperlink" xfId="3152" builtinId="8" hidden="true"/>
    <cellStyle name="Hyperlink" xfId="3154" builtinId="8" hidden="true"/>
    <cellStyle name="Hyperlink" xfId="3156" builtinId="8" hidden="true"/>
    <cellStyle name="Hyperlink" xfId="3158" builtinId="8" hidden="true"/>
    <cellStyle name="Hyperlink" xfId="3160" builtinId="8" hidden="true"/>
    <cellStyle name="Hyperlink" xfId="3162" builtinId="8" hidden="true"/>
    <cellStyle name="Hyperlink" xfId="3164" builtinId="8" hidden="true"/>
    <cellStyle name="Hyperlink" xfId="3166" builtinId="8" hidden="true"/>
    <cellStyle name="Hyperlink" xfId="3168" builtinId="8" hidden="true"/>
    <cellStyle name="Hyperlink" xfId="3170" builtinId="8" hidden="true"/>
    <cellStyle name="Hyperlink" xfId="3172" builtinId="8" hidden="true"/>
    <cellStyle name="Hyperlink" xfId="3174" builtinId="8" hidden="true"/>
    <cellStyle name="Hyperlink" xfId="3176" builtinId="8" hidden="true"/>
    <cellStyle name="Hyperlink" xfId="3178" builtinId="8" hidden="true"/>
    <cellStyle name="Hyperlink" xfId="3180" builtinId="8" hidden="true"/>
    <cellStyle name="Hyperlink" xfId="3182" builtinId="8" hidden="true"/>
    <cellStyle name="Hyperlink" xfId="3184" builtinId="8" hidden="true"/>
    <cellStyle name="Hyperlink" xfId="3186" builtinId="8" hidden="true"/>
    <cellStyle name="Hyperlink" xfId="3188" builtinId="8" hidden="true"/>
    <cellStyle name="Hyperlink" xfId="3190" builtinId="8" hidden="true"/>
    <cellStyle name="Hyperlink" xfId="3192" builtinId="8" hidden="true"/>
    <cellStyle name="Hyperlink" xfId="3194" builtinId="8" hidden="true"/>
    <cellStyle name="Hyperlink" xfId="3196" builtinId="8" hidden="true"/>
    <cellStyle name="Hyperlink" xfId="3198" builtinId="8" hidden="true"/>
    <cellStyle name="Hyperlink" xfId="3200" builtinId="8" hidden="true"/>
    <cellStyle name="Hyperlink" xfId="3202" builtinId="8" hidden="true"/>
    <cellStyle name="Hyperlink" xfId="3204" builtinId="8" hidden="true"/>
    <cellStyle name="Hyperlink" xfId="3206" builtinId="8" hidden="true"/>
    <cellStyle name="Hyperlink" xfId="3208" builtinId="8" hidden="true"/>
    <cellStyle name="Hyperlink" xfId="3210" builtinId="8" hidden="true"/>
    <cellStyle name="Hyperlink" xfId="3212" builtinId="8" hidden="true"/>
    <cellStyle name="Hyperlink" xfId="3214" builtinId="8" hidden="true"/>
    <cellStyle name="Hyperlink" xfId="3216" builtinId="8" hidden="true"/>
    <cellStyle name="Hyperlink" xfId="3218" builtinId="8" hidden="true"/>
    <cellStyle name="Hyperlink" xfId="3220" builtinId="8" hidden="true"/>
    <cellStyle name="Hyperlink" xfId="3222" builtinId="8" hidden="true"/>
    <cellStyle name="Hyperlink" xfId="3224" builtinId="8" hidden="true"/>
    <cellStyle name="Hyperlink" xfId="3226" builtinId="8" hidden="true"/>
    <cellStyle name="Hyperlink" xfId="3228" builtinId="8" hidden="true"/>
    <cellStyle name="Hyperlink" xfId="3230" builtinId="8" hidden="true"/>
    <cellStyle name="Hyperlink" xfId="3232" builtinId="8" hidden="true"/>
    <cellStyle name="Hyperlink" xfId="3234" builtinId="8" hidden="true"/>
    <cellStyle name="Hyperlink" xfId="3236" builtinId="8" hidden="true"/>
    <cellStyle name="Hyperlink" xfId="3238" builtinId="8" hidden="true"/>
    <cellStyle name="Hyperlink" xfId="3240" builtinId="8" hidden="true"/>
    <cellStyle name="Hyperlink" xfId="3242" builtinId="8" hidden="true"/>
    <cellStyle name="Hyperlink" xfId="3244" builtinId="8" hidden="true"/>
    <cellStyle name="Hyperlink" xfId="3246" builtinId="8" hidden="true"/>
    <cellStyle name="Hyperlink" xfId="3248" builtinId="8" hidden="true"/>
    <cellStyle name="Hyperlink" xfId="3250" builtinId="8" hidden="true"/>
    <cellStyle name="Hyperlink" xfId="3252" builtinId="8" hidden="true"/>
    <cellStyle name="Hyperlink" xfId="3254" builtinId="8" hidden="true"/>
    <cellStyle name="Hyperlink" xfId="3256" builtinId="8" hidden="true"/>
    <cellStyle name="Hyperlink" xfId="3258" builtinId="8" hidden="true"/>
    <cellStyle name="Hyperlink" xfId="3260" builtinId="8" hidden="true"/>
    <cellStyle name="Hyperlink" xfId="3262" builtinId="8" hidden="true"/>
    <cellStyle name="Hyperlink" xfId="3264" builtinId="8" hidden="true"/>
    <cellStyle name="Hyperlink" xfId="3266" builtinId="8" hidden="true"/>
    <cellStyle name="Hyperlink" xfId="3268" builtinId="8" hidden="true"/>
    <cellStyle name="Hyperlink" xfId="3270" builtinId="8" hidden="true"/>
    <cellStyle name="Hyperlink" xfId="3272" builtinId="8" hidden="true"/>
    <cellStyle name="Hyperlink" xfId="3274" builtinId="8" hidden="true"/>
    <cellStyle name="Hyperlink" xfId="3276" builtinId="8" hidden="true"/>
    <cellStyle name="Hyperlink" xfId="3278" builtinId="8" hidden="true"/>
    <cellStyle name="Hyperlink" xfId="3280" builtinId="8" hidden="true"/>
    <cellStyle name="Hyperlink" xfId="3282" builtinId="8" hidden="true"/>
    <cellStyle name="Hyperlink" xfId="3284" builtinId="8" hidden="true"/>
    <cellStyle name="Hyperlink" xfId="3286" builtinId="8" hidden="true"/>
    <cellStyle name="Hyperlink" xfId="3288" builtinId="8" hidden="true"/>
    <cellStyle name="Hyperlink" xfId="3290" builtinId="8" hidden="true"/>
    <cellStyle name="Hyperlink" xfId="3292" builtinId="8" hidden="true"/>
    <cellStyle name="Hyperlink" xfId="3294" builtinId="8" hidden="true"/>
    <cellStyle name="Hyperlink" xfId="3296" builtinId="8" hidden="true"/>
    <cellStyle name="Hyperlink" xfId="3298" builtinId="8" hidden="true"/>
    <cellStyle name="Hyperlink" xfId="3300" builtinId="8" hidden="true"/>
    <cellStyle name="Hyperlink" xfId="3302" builtinId="8" hidden="true"/>
    <cellStyle name="Hyperlink" xfId="3304" builtinId="8" hidden="true"/>
    <cellStyle name="Hyperlink" xfId="3306" builtinId="8" hidden="true"/>
    <cellStyle name="Hyperlink" xfId="3308" builtinId="8" hidden="true"/>
    <cellStyle name="Hyperlink" xfId="3310" builtinId="8" hidden="true"/>
    <cellStyle name="Hyperlink" xfId="3312" builtinId="8" hidden="true"/>
    <cellStyle name="Hyperlink" xfId="3314" builtinId="8" hidden="true"/>
    <cellStyle name="Hyperlink" xfId="3316" builtinId="8" hidden="true"/>
    <cellStyle name="Hyperlink" xfId="3318" builtinId="8" hidden="true"/>
    <cellStyle name="Hyperlink" xfId="3320" builtinId="8" hidden="true"/>
    <cellStyle name="Hyperlink" xfId="3322" builtinId="8" hidden="true"/>
    <cellStyle name="Hyperlink" xfId="3324" builtinId="8" hidden="true"/>
    <cellStyle name="Hyperlink" xfId="3326" builtinId="8" hidden="true"/>
    <cellStyle name="Hyperlink" xfId="3328" builtinId="8" hidden="true"/>
    <cellStyle name="Hyperlink" xfId="3330" builtinId="8" hidden="true"/>
    <cellStyle name="Hyperlink" xfId="3332" builtinId="8" hidden="true"/>
    <cellStyle name="Hyperlink" xfId="3334" builtinId="8" hidden="true"/>
    <cellStyle name="Hyperlink" xfId="3336" builtinId="8" hidden="true"/>
    <cellStyle name="Hyperlink" xfId="3338" builtinId="8" hidden="true"/>
    <cellStyle name="Hyperlink" xfId="3340" builtinId="8" hidden="true"/>
    <cellStyle name="Hyperlink" xfId="3342" builtinId="8" hidden="true"/>
    <cellStyle name="Hyperlink" xfId="3344" builtinId="8" hidden="true"/>
    <cellStyle name="Hyperlink" xfId="3346" builtinId="8" hidden="true"/>
    <cellStyle name="Hyperlink" xfId="3348" builtinId="8" hidden="true"/>
    <cellStyle name="Hyperlink" xfId="3350" builtinId="8" hidden="true"/>
    <cellStyle name="Hyperlink" xfId="3352" builtinId="8" hidden="true"/>
    <cellStyle name="Hyperlink" xfId="3354" builtinId="8" hidden="true"/>
    <cellStyle name="Hyperlink" xfId="3356" builtinId="8" hidden="true"/>
    <cellStyle name="Hyperlink" xfId="3358" builtinId="8" hidden="true"/>
    <cellStyle name="Hyperlink" xfId="3360" builtinId="8" hidden="true"/>
    <cellStyle name="Hyperlink" xfId="3362" builtinId="8" hidden="true"/>
    <cellStyle name="Hyperlink" xfId="3364" builtinId="8" hidden="true"/>
    <cellStyle name="Hyperlink" xfId="3366" builtinId="8" hidden="true"/>
    <cellStyle name="Hyperlink" xfId="3368" builtinId="8" hidden="true"/>
    <cellStyle name="Hyperlink" xfId="3370" builtinId="8" hidden="true"/>
    <cellStyle name="Hyperlink" xfId="3372" builtinId="8" hidden="true"/>
    <cellStyle name="Hyperlink" xfId="3374" builtinId="8" hidden="true"/>
    <cellStyle name="Hyperlink" xfId="3376" builtinId="8" hidden="true"/>
    <cellStyle name="Hyperlink" xfId="3378" builtinId="8" hidden="true"/>
    <cellStyle name="Hyperlink" xfId="3380" builtinId="8" hidden="true"/>
    <cellStyle name="Hyperlink" xfId="3382" builtinId="8" hidden="true"/>
    <cellStyle name="Hyperlink" xfId="3384" builtinId="8" hidden="true"/>
    <cellStyle name="Hyperlink" xfId="3386" builtinId="8" hidden="true"/>
    <cellStyle name="Hyperlink" xfId="3388" builtinId="8" hidden="true"/>
    <cellStyle name="Hyperlink" xfId="3390" builtinId="8" hidden="true"/>
    <cellStyle name="Hyperlink" xfId="3392" builtinId="8" hidden="true"/>
    <cellStyle name="Hyperlink" xfId="3394" builtinId="8" hidden="true"/>
    <cellStyle name="Hyperlink" xfId="3396" builtinId="8" hidden="true"/>
    <cellStyle name="Hyperlink" xfId="3398" builtinId="8" hidden="true"/>
    <cellStyle name="Hyperlink" xfId="3400" builtinId="8" hidden="true"/>
    <cellStyle name="Hyperlink" xfId="3402" builtinId="8" hidden="true"/>
    <cellStyle name="Hyperlink" xfId="3404" builtinId="8" hidden="true"/>
    <cellStyle name="Hyperlink" xfId="3406" builtinId="8" hidden="true"/>
    <cellStyle name="Hyperlink" xfId="3408" builtinId="8" hidden="true"/>
    <cellStyle name="Hyperlink" xfId="3410" builtinId="8" hidden="true"/>
    <cellStyle name="Hyperlink" xfId="3412" builtinId="8" hidden="true"/>
    <cellStyle name="Hyperlink" xfId="3414" builtinId="8" hidden="true"/>
    <cellStyle name="Hyperlink" xfId="3416" builtinId="8" hidden="true"/>
    <cellStyle name="Hyperlink" xfId="3418" builtinId="8" hidden="true"/>
    <cellStyle name="Hyperlink" xfId="3420" builtinId="8" hidden="true"/>
    <cellStyle name="Hyperlink" xfId="3422" builtinId="8" hidden="true"/>
    <cellStyle name="Hyperlink" xfId="3424" builtinId="8" hidden="true"/>
    <cellStyle name="Hyperlink" xfId="3426" builtinId="8" hidden="true"/>
    <cellStyle name="Hyperlink" xfId="3428" builtinId="8" hidden="true"/>
    <cellStyle name="Hyperlink" xfId="3430" builtinId="8" hidden="true"/>
    <cellStyle name="Hyperlink" xfId="3432" builtinId="8" hidden="true"/>
    <cellStyle name="Hyperlink" xfId="3434" builtinId="8" hidden="true"/>
    <cellStyle name="Hyperlink" xfId="3436" builtinId="8" hidden="true"/>
    <cellStyle name="Hyperlink" xfId="3438" builtinId="8" hidden="true"/>
    <cellStyle name="Hyperlink" xfId="3440" builtinId="8" hidden="true"/>
    <cellStyle name="Hyperlink" xfId="3442" builtinId="8" hidden="true"/>
    <cellStyle name="Hyperlink" xfId="3444" builtinId="8" hidden="true"/>
    <cellStyle name="Hyperlink" xfId="3446" builtinId="8" hidden="true"/>
    <cellStyle name="Hyperlink" xfId="3448" builtinId="8" hidden="true"/>
    <cellStyle name="Hyperlink" xfId="3450" builtinId="8" hidden="true"/>
    <cellStyle name="Hyperlink" xfId="3452" builtinId="8" hidden="true"/>
    <cellStyle name="Hyperlink" xfId="3454" builtinId="8" hidden="true"/>
    <cellStyle name="Hyperlink" xfId="3456" builtinId="8" hidden="true"/>
    <cellStyle name="Hyperlink" xfId="3458" builtinId="8" hidden="true"/>
    <cellStyle name="Hyperlink" xfId="3460" builtinId="8" hidden="true"/>
    <cellStyle name="Hyperlink" xfId="3462" builtinId="8" hidden="true"/>
    <cellStyle name="Hyperlink" xfId="3464" builtinId="8" hidden="true"/>
    <cellStyle name="Hyperlink" xfId="3466" builtinId="8" hidden="true"/>
    <cellStyle name="Hyperlink" xfId="3468" builtinId="8" hidden="true"/>
    <cellStyle name="Hyperlink" xfId="3470" builtinId="8" hidden="true"/>
    <cellStyle name="Hyperlink" xfId="3472" builtinId="8" hidden="true"/>
    <cellStyle name="Hyperlink" xfId="3474" builtinId="8" hidden="true"/>
    <cellStyle name="Hyperlink" xfId="3476" builtinId="8" hidden="true"/>
    <cellStyle name="Hyperlink" xfId="3478" builtinId="8" hidden="true"/>
    <cellStyle name="Hyperlink" xfId="3480" builtinId="8" hidden="true"/>
    <cellStyle name="Hyperlink" xfId="3482" builtinId="8" hidden="true"/>
    <cellStyle name="Hyperlink" xfId="3484" builtinId="8" hidden="true"/>
    <cellStyle name="Hyperlink" xfId="3486" builtinId="8" hidden="true"/>
    <cellStyle name="Hyperlink" xfId="3488" builtinId="8" hidden="true"/>
    <cellStyle name="Hyperlink" xfId="3490" builtinId="8" hidden="true"/>
    <cellStyle name="Hyperlink" xfId="3492" builtinId="8" hidden="true"/>
    <cellStyle name="Hyperlink" xfId="3494" builtinId="8" hidden="true"/>
    <cellStyle name="Hyperlink" xfId="3496" builtinId="8" hidden="true"/>
    <cellStyle name="Hyperlink" xfId="3498" builtinId="8" hidden="true"/>
    <cellStyle name="Hyperlink" xfId="3500" builtinId="8" hidden="true"/>
    <cellStyle name="Hyperlink" xfId="3502" builtinId="8" hidden="true"/>
    <cellStyle name="Hyperlink" xfId="3504" builtinId="8" hidden="true"/>
    <cellStyle name="Hyperlink" xfId="3506" builtinId="8" hidden="true"/>
    <cellStyle name="Hyperlink" xfId="3508" builtinId="8" hidden="true"/>
    <cellStyle name="Hyperlink" xfId="3510" builtinId="8" hidden="true"/>
    <cellStyle name="Hyperlink" xfId="3512" builtinId="8" hidden="true"/>
    <cellStyle name="Hyperlink" xfId="3514" builtinId="8" hidden="true"/>
    <cellStyle name="Hyperlink" xfId="3516" builtinId="8" hidden="true"/>
    <cellStyle name="Hyperlink" xfId="3518" builtinId="8" hidden="true"/>
    <cellStyle name="Hyperlink" xfId="3520" builtinId="8" hidden="true"/>
    <cellStyle name="Hyperlink" xfId="3522" builtinId="8" hidden="true"/>
    <cellStyle name="Hyperlink" xfId="3524" builtinId="8" hidden="true"/>
    <cellStyle name="Hyperlink" xfId="3526" builtinId="8" hidden="true"/>
    <cellStyle name="Hyperlink" xfId="3528" builtinId="8" hidden="true"/>
    <cellStyle name="Hyperlink" xfId="3530" builtinId="8" hidden="true"/>
    <cellStyle name="Hyperlink" xfId="3532" builtinId="8" hidden="true"/>
    <cellStyle name="Hyperlink" xfId="3534" builtinId="8" hidden="true"/>
    <cellStyle name="Hyperlink" xfId="3536" builtinId="8" hidden="true"/>
    <cellStyle name="Hyperlink" xfId="3538" builtinId="8" hidden="true"/>
    <cellStyle name="Hyperlink" xfId="3540" builtinId="8" hidden="true"/>
    <cellStyle name="Hyperlink" xfId="3542" builtinId="8" hidden="true"/>
    <cellStyle name="Hyperlink" xfId="3544" builtinId="8" hidden="true"/>
    <cellStyle name="Hyperlink" xfId="3546" builtinId="8" hidden="true"/>
    <cellStyle name="Hyperlink" xfId="3548" builtinId="8" hidden="true"/>
    <cellStyle name="Hyperlink" xfId="3550" builtinId="8" hidden="true"/>
    <cellStyle name="Hyperlink" xfId="3552" builtinId="8" hidden="true"/>
    <cellStyle name="Hyperlink" xfId="3554" builtinId="8" hidden="true"/>
    <cellStyle name="Hyperlink" xfId="3556" builtinId="8" hidden="true"/>
    <cellStyle name="Hyperlink" xfId="3558" builtinId="8" hidden="true"/>
    <cellStyle name="Hyperlink" xfId="3560" builtinId="8" hidden="true"/>
    <cellStyle name="Hyperlink" xfId="3562" builtinId="8" hidden="true"/>
    <cellStyle name="Hyperlink" xfId="3564" builtinId="8" hidden="true"/>
    <cellStyle name="Hyperlink" xfId="3566" builtinId="8" hidden="true"/>
    <cellStyle name="Hyperlink" xfId="3568" builtinId="8" hidden="true"/>
    <cellStyle name="Hyperlink" xfId="3570" builtinId="8" hidden="true"/>
    <cellStyle name="Hyperlink" xfId="3572" builtinId="8" hidden="true"/>
    <cellStyle name="Hyperlink" xfId="3574" builtinId="8" hidden="true"/>
    <cellStyle name="Hyperlink" xfId="3576" builtinId="8" hidden="true"/>
    <cellStyle name="Hyperlink" xfId="3578" builtinId="8" hidden="true"/>
    <cellStyle name="Hyperlink" xfId="3580" builtinId="8" hidden="true"/>
    <cellStyle name="Hyperlink" xfId="3582" builtinId="8" hidden="true"/>
    <cellStyle name="Hyperlink" xfId="3584" builtinId="8" hidden="true"/>
    <cellStyle name="Hyperlink" xfId="3586" builtinId="8" hidden="true"/>
    <cellStyle name="Hyperlink" xfId="3588" builtinId="8" hidden="true"/>
    <cellStyle name="Hyperlink" xfId="3590" builtinId="8" hidden="true"/>
    <cellStyle name="Hyperlink" xfId="3592" builtinId="8" hidden="true"/>
    <cellStyle name="Hyperlink" xfId="3594" builtinId="8" hidden="true"/>
    <cellStyle name="Hyperlink" xfId="3596" builtinId="8" hidden="true"/>
    <cellStyle name="Hyperlink" xfId="3598" builtinId="8" hidden="true"/>
    <cellStyle name="Hyperlink" xfId="3600" builtinId="8" hidden="true"/>
    <cellStyle name="Hyperlink" xfId="3602" builtinId="8" hidden="true"/>
    <cellStyle name="Hyperlink" xfId="3604" builtinId="8" hidden="true"/>
    <cellStyle name="Hyperlink" xfId="3606" builtinId="8" hidden="true"/>
    <cellStyle name="Hyperlink" xfId="3608" builtinId="8" hidden="true"/>
    <cellStyle name="Hyperlink" xfId="3610" builtinId="8" hidden="true"/>
    <cellStyle name="Hyperlink" xfId="3612" builtinId="8" hidden="true"/>
    <cellStyle name="Hyperlink" xfId="3614" builtinId="8" hidden="true"/>
    <cellStyle name="Hyperlink" xfId="3616" builtinId="8" hidden="true"/>
    <cellStyle name="Hyperlink" xfId="3618" builtinId="8" hidden="true"/>
    <cellStyle name="Hyperlink" xfId="3620" builtinId="8" hidden="true"/>
    <cellStyle name="Hyperlink" xfId="3622" builtinId="8" hidden="true"/>
    <cellStyle name="Hyperlink" xfId="3624" builtinId="8" hidden="true"/>
    <cellStyle name="Hyperlink" xfId="3626" builtinId="8" hidden="true"/>
    <cellStyle name="Hyperlink" xfId="3628" builtinId="8" hidden="true"/>
    <cellStyle name="Hyperlink" xfId="3630" builtinId="8" hidden="true"/>
    <cellStyle name="Hyperlink" xfId="3632" builtinId="8" hidden="true"/>
    <cellStyle name="Hyperlink" xfId="3634" builtinId="8" hidden="true"/>
    <cellStyle name="Hyperlink" xfId="3636" builtinId="8" hidden="true"/>
    <cellStyle name="Hyperlink" xfId="3638" builtinId="8" hidden="true"/>
    <cellStyle name="Hyperlink" xfId="3640" builtinId="8" hidden="true"/>
    <cellStyle name="Hyperlink" xfId="3642" builtinId="8" hidden="true"/>
    <cellStyle name="Hyperlink" xfId="3644" builtinId="8" hidden="true"/>
    <cellStyle name="Hyperlink" xfId="3646" builtinId="8" hidden="true"/>
    <cellStyle name="Hyperlink" xfId="3648" builtinId="8" hidden="true"/>
    <cellStyle name="Hyperlink" xfId="3650" builtinId="8" hidden="true"/>
    <cellStyle name="Hyperlink" xfId="3652" builtinId="8" hidden="true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worksheets/sheet8.xml" Type="http://schemas.openxmlformats.org/officeDocument/2006/relationships/worksheet" Id="rId8"/><Relationship Target="worksheets/sheet13.xml" Type="http://schemas.openxmlformats.org/officeDocument/2006/relationships/worksheet" Id="rId13"/><Relationship Target="styles.xml" Type="http://schemas.openxmlformats.org/officeDocument/2006/relationships/styles" Id="rId18"/><Relationship Target="worksheets/sheet3.xml" Type="http://schemas.openxmlformats.org/officeDocument/2006/relationships/worksheet" Id="rId3"/><Relationship Target="vbaProject.bin" Type="http://schemas.microsoft.com/office/2006/relationships/vbaProject" Id="rId21"/><Relationship Target="worksheets/sheet7.xml" Type="http://schemas.openxmlformats.org/officeDocument/2006/relationships/worksheet" Id="rId7"/><Relationship Target="worksheets/sheet12.xml" Type="http://schemas.openxmlformats.org/officeDocument/2006/relationships/worksheet" Id="rId12"/><Relationship Target="theme/theme1.xml" Type="http://schemas.openxmlformats.org/officeDocument/2006/relationships/theme" Id="rId17"/><Relationship Target="worksheets/sheet2.xml" Type="http://schemas.openxmlformats.org/officeDocument/2006/relationships/worksheet" Id="rId2"/><Relationship Target="worksheets/sheet16.xml" Type="http://schemas.openxmlformats.org/officeDocument/2006/relationships/worksheet" Id="rId16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worksheets/sheet11.xml" Type="http://schemas.openxmlformats.org/officeDocument/2006/relationships/worksheet" Id="rId11"/><Relationship Target="worksheets/sheet5.xml" Type="http://schemas.openxmlformats.org/officeDocument/2006/relationships/worksheet" Id="rId5"/><Relationship Target="worksheets/sheet15.xml" Type="http://schemas.openxmlformats.org/officeDocument/2006/relationships/worksheet" Id="rId15"/><Relationship Target="worksheets/sheet10.xml" Type="http://schemas.openxmlformats.org/officeDocument/2006/relationships/worksheet" Id="rId10"/><Relationship Target="sharedStrings.xml" Type="http://schemas.openxmlformats.org/officeDocument/2006/relationships/sharedStrings" Id="rId19"/><Relationship Target="worksheets/sheet4.xml" Type="http://schemas.openxmlformats.org/officeDocument/2006/relationships/worksheet" Id="rId4"/><Relationship Target="worksheets/sheet9.xml" Type="http://schemas.openxmlformats.org/officeDocument/2006/relationships/worksheet" Id="rId9"/><Relationship Target="worksheets/sheet14.xml" Type="http://schemas.openxmlformats.org/officeDocument/2006/relationships/worksheet" Id="rId14"/></Relationships>
</file>

<file path=xl/drawings/_rels/drawing1.xml.rels><?xml version="1.0" encoding="UTF-8"?><Relationships xmlns="http://schemas.openxmlformats.org/package/2006/relationships"><Relationship Target="../media/image2.png" Type="http://schemas.openxmlformats.org/officeDocument/2006/relationships/image" Id="rId2"/><Relationship Target="../media/image1.png" Type="http://schemas.openxmlformats.org/officeDocument/2006/relationships/image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true">
          <a:extLst>
            <a:ext xmlns:a14="http://schemas.microsoft.com/office/drawing/2010/main" uri="{63B3BB69-23CF-44E3-9099-C40C66FF867C}">
              <a14:compatExt xmlns:a14="http://schemas.microsoft.com/office/drawing/2010/main" spid="_x0000_s5123"/>
            </a:ext>
            <a:ext xmlns:a16="http://schemas.microsoft.com/office/drawing/2014/main"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true"/>
        </xdr:cNvPicPr>
      </xdr:nvPicPr>
      <xdr:blipFill rotWithShape="true">
        <a:blip r:embed="rId1">
          <a:extLst>
            <a:ext xmlns:a14="http://schemas.microsoft.com/office/drawing/2010/main"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true"/>
        </xdr:cNvPicPr>
      </xdr:nvPicPr>
      <xdr:blipFill rotWithShape="true">
        <a:blip r:embed="rId2">
          <a:extLst>
            <a:ext xmlns:a14="http://schemas.microsoft.com/office/drawing/2010/main"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true">
          <a:extLst>
            <a:ext xmlns:a14="http://schemas.microsoft.com/office/drawing/2010/main" uri="{63B3BB69-23CF-44E3-9099-C40C66FF867C}">
              <a14:compatExt xmlns:a14="http://schemas.microsoft.com/office/drawing/2010/main" spid="_x0000_s19459"/>
            </a:ext>
            <a:ext xmlns:a16="http://schemas.microsoft.com/office/drawing/2014/main"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true">
          <a:extLst>
            <a:ext xmlns:a14="http://schemas.microsoft.com/office/drawing/2010/main" uri="{63B3BB69-23CF-44E3-9099-C40C66FF867C}">
              <a14:compatExt xmlns:a14="http://schemas.microsoft.com/office/drawing/2010/main" spid="_x0000_s19460"/>
            </a:ext>
            <a:ext xmlns:a16="http://schemas.microsoft.com/office/drawing/2014/main"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?><Relationships xmlns="http://schemas.openxmlformats.org/package/2006/relationships"><Relationship Target="../drawings/drawing1.xml" Type="http://schemas.openxmlformats.org/officeDocument/2006/relationships/drawing" Id="rId1"/></Relationships>
</file>

<file path=xl/worksheets/_rels/sheet12.xml.rels><?xml version="1.0" encoding="UTF-8"?><Relationships xmlns="http://schemas.openxmlformats.org/package/2006/relationships"><Relationship Target="../drawings/drawing2.xml" Type="http://schemas.openxmlformats.org/officeDocument/2006/relationships/drawing" Id="rId1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34.83203125" customWidth="true"/>
  </cols>
  <sheetData>
    <row r="2" x14ac:dyDescent="0.15">
      <c r="B2" t="s">
        <v>145</v>
      </c>
    </row>
    <row r="3" x14ac:dyDescent="0.15">
      <c r="B3" t="s">
        <v>146</v>
      </c>
    </row>
    <row r="4" x14ac:dyDescent="0.15">
      <c r="B4" s="57" t="s">
        <v>164</v>
      </c>
    </row>
    <row r="6" ht="14" thickBot="true" x14ac:dyDescent="0.2">
      <c r="B6" s="42" t="s">
        <v>141</v>
      </c>
    </row>
    <row r="7" x14ac:dyDescent="0.15">
      <c r="B7" s="57" t="s">
        <v>143</v>
      </c>
    </row>
    <row r="8" x14ac:dyDescent="0.15">
      <c r="B8" s="57" t="s">
        <v>142</v>
      </c>
    </row>
    <row r="9" x14ac:dyDescent="0.15">
      <c r="B9" s="57" t="s">
        <v>144</v>
      </c>
    </row>
    <row r="10" x14ac:dyDescent="0.15">
      <c r="B10" s="57" t="s">
        <v>147</v>
      </c>
    </row>
    <row r="11" x14ac:dyDescent="0.15">
      <c r="B11" s="57" t="s">
        <v>151</v>
      </c>
    </row>
    <row r="12" x14ac:dyDescent="0.15">
      <c r="B12" s="57" t="s">
        <v>153</v>
      </c>
    </row>
    <row r="13" x14ac:dyDescent="0.15">
      <c r="B13" s="57" t="s">
        <v>165</v>
      </c>
    </row>
    <row r="15" ht="14" thickBot="true" x14ac:dyDescent="0.2"/>
    <row r="16" ht="14" thickBot="true" x14ac:dyDescent="0.2">
      <c r="B16" s="43" t="s">
        <v>137</v>
      </c>
      <c r="C16" s="44"/>
      <c r="D16" s="29">
        <v>41373</v>
      </c>
    </row>
    <row r="17" x14ac:dyDescent="0.15">
      <c r="B17" s="45" t="s">
        <v>58</v>
      </c>
      <c r="C17" s="32">
        <v>0</v>
      </c>
    </row>
    <row r="18" x14ac:dyDescent="0.15">
      <c r="B18" s="45" t="s">
        <v>59</v>
      </c>
      <c r="C18" s="32">
        <v>1</v>
      </c>
    </row>
    <row r="19" x14ac:dyDescent="0.15">
      <c r="B19" s="45" t="s">
        <v>60</v>
      </c>
      <c r="C19" s="32">
        <v>2</v>
      </c>
    </row>
    <row r="20" ht="14" thickBot="true" x14ac:dyDescent="0.2">
      <c r="B20" s="46" t="s">
        <v>44</v>
      </c>
      <c r="C20" s="33">
        <v>3</v>
      </c>
    </row>
    <row r="21" x14ac:dyDescent="0.15">
      <c r="B21" s="47" t="s">
        <v>140</v>
      </c>
    </row>
    <row r="22" ht="14" thickBot="true" x14ac:dyDescent="0.2"/>
    <row r="23" ht="14" thickBot="true" x14ac:dyDescent="0.2">
      <c r="B23" s="43" t="s">
        <v>65</v>
      </c>
      <c r="C23" s="44"/>
      <c r="D23" s="29" t="s">
        <v>148</v>
      </c>
    </row>
    <row r="24" x14ac:dyDescent="0.15">
      <c r="B24" s="49" t="s">
        <v>38</v>
      </c>
      <c r="C24" s="30">
        <v>1</v>
      </c>
    </row>
    <row r="25" x14ac:dyDescent="0.15">
      <c r="B25" s="45" t="s">
        <v>40</v>
      </c>
      <c r="C25" s="32">
        <v>1.1000000000000001</v>
      </c>
    </row>
    <row r="26" x14ac:dyDescent="0.15">
      <c r="B26" s="45" t="s">
        <v>41</v>
      </c>
      <c r="C26" s="32">
        <v>1.2</v>
      </c>
    </row>
    <row r="27" x14ac:dyDescent="0.15">
      <c r="B27" s="45"/>
      <c r="C27" s="32"/>
    </row>
    <row r="28" x14ac:dyDescent="0.15">
      <c r="B28" s="45" t="s">
        <v>42</v>
      </c>
      <c r="C28" s="32">
        <v>2.1</v>
      </c>
    </row>
    <row r="29" x14ac:dyDescent="0.15">
      <c r="B29" s="45" t="s">
        <v>43</v>
      </c>
      <c r="C29" s="32">
        <v>2.2000000000000002</v>
      </c>
    </row>
    <row r="30" x14ac:dyDescent="0.15">
      <c r="B30" s="45" t="s">
        <v>67</v>
      </c>
      <c r="C30" s="32">
        <v>2.2999999999999998</v>
      </c>
    </row>
    <row r="31" x14ac:dyDescent="0.15">
      <c r="B31" s="45"/>
      <c r="C31" s="32"/>
    </row>
    <row r="32" x14ac:dyDescent="0.15">
      <c r="B32" s="45" t="s">
        <v>62</v>
      </c>
      <c r="C32" s="32">
        <v>3.11</v>
      </c>
    </row>
    <row r="33" x14ac:dyDescent="0.15">
      <c r="B33" s="45" t="s">
        <v>61</v>
      </c>
      <c r="C33" s="32">
        <v>3.12</v>
      </c>
    </row>
    <row r="34" x14ac:dyDescent="0.15">
      <c r="B34" s="45" t="s">
        <v>68</v>
      </c>
      <c r="C34" s="32">
        <v>3.13</v>
      </c>
    </row>
    <row r="35" x14ac:dyDescent="0.15">
      <c r="B35" s="45"/>
      <c r="C35" s="32"/>
    </row>
    <row r="36" x14ac:dyDescent="0.15">
      <c r="B36" s="45" t="s">
        <v>66</v>
      </c>
      <c r="C36" s="32">
        <v>3.21</v>
      </c>
    </row>
    <row r="37" x14ac:dyDescent="0.15">
      <c r="B37" s="45" t="s">
        <v>63</v>
      </c>
      <c r="C37" s="32">
        <v>3.22</v>
      </c>
    </row>
    <row r="38" x14ac:dyDescent="0.15">
      <c r="B38" s="45" t="s">
        <v>69</v>
      </c>
      <c r="C38" s="32">
        <v>3.23</v>
      </c>
    </row>
    <row r="39" x14ac:dyDescent="0.15">
      <c r="B39" s="45"/>
      <c r="C39" s="32"/>
    </row>
    <row r="40" x14ac:dyDescent="0.15">
      <c r="B40" s="45" t="s">
        <v>64</v>
      </c>
      <c r="C40" s="32">
        <v>8</v>
      </c>
    </row>
    <row r="41" x14ac:dyDescent="0.15">
      <c r="B41" s="45"/>
      <c r="C41" s="32"/>
    </row>
    <row r="42" x14ac:dyDescent="0.15">
      <c r="B42" s="45" t="s">
        <v>71</v>
      </c>
      <c r="C42" s="32">
        <v>4.0999999999999996</v>
      </c>
    </row>
    <row r="43" x14ac:dyDescent="0.15">
      <c r="B43" s="45" t="s">
        <v>70</v>
      </c>
      <c r="C43" s="32">
        <v>4.2</v>
      </c>
    </row>
    <row r="44" x14ac:dyDescent="0.15">
      <c r="B44" s="45" t="s">
        <v>72</v>
      </c>
      <c r="C44" s="32">
        <v>4.3</v>
      </c>
    </row>
    <row r="45" x14ac:dyDescent="0.15">
      <c r="B45" s="31"/>
      <c r="C45" s="32"/>
    </row>
    <row r="46" x14ac:dyDescent="0.15">
      <c r="B46" s="45" t="s">
        <v>138</v>
      </c>
      <c r="C46" s="32">
        <v>6.1</v>
      </c>
    </row>
    <row r="47" x14ac:dyDescent="0.15">
      <c r="B47" s="45" t="s">
        <v>45</v>
      </c>
      <c r="C47" s="32">
        <v>6.2</v>
      </c>
    </row>
    <row r="48" x14ac:dyDescent="0.15">
      <c r="B48" s="45"/>
      <c r="C48" s="32"/>
    </row>
    <row r="49" x14ac:dyDescent="0.15">
      <c r="B49" s="45" t="s">
        <v>44</v>
      </c>
      <c r="C49" s="32">
        <v>5</v>
      </c>
    </row>
    <row r="50" x14ac:dyDescent="0.15">
      <c r="B50" s="45"/>
      <c r="C50" s="32"/>
    </row>
    <row r="51" ht="14" thickBot="true" x14ac:dyDescent="0.2">
      <c r="B51" s="46" t="s">
        <v>73</v>
      </c>
      <c r="C51" s="33">
        <v>7</v>
      </c>
    </row>
    <row r="53" x14ac:dyDescent="0.15">
      <c r="B53" s="99"/>
      <c r="C53" s="99"/>
      <c r="D53" s="99"/>
    </row>
    <row r="54" x14ac:dyDescent="0.15">
      <c r="B54" s="99"/>
      <c r="C54" s="99"/>
      <c r="D54" s="99"/>
    </row>
    <row r="55" x14ac:dyDescent="0.15">
      <c r="B55" s="99"/>
      <c r="C55" s="99"/>
      <c r="D55" s="99"/>
    </row>
    <row r="56" x14ac:dyDescent="0.15">
      <c r="B56" s="99"/>
      <c r="C56" s="99"/>
      <c r="D56" s="99"/>
    </row>
    <row r="57" x14ac:dyDescent="0.15">
      <c r="B57" s="99"/>
      <c r="C57" s="99"/>
      <c r="D57" s="99"/>
    </row>
    <row r="58" x14ac:dyDescent="0.15">
      <c r="B58" s="99"/>
      <c r="C58" s="99"/>
      <c r="D58" s="99"/>
    </row>
    <row r="59" x14ac:dyDescent="0.15">
      <c r="B59" s="99"/>
      <c r="C59" s="99"/>
      <c r="D59" s="99"/>
    </row>
    <row r="60" x14ac:dyDescent="0.15">
      <c r="B60" s="99"/>
      <c r="C60" s="99"/>
      <c r="D60" s="99"/>
    </row>
    <row r="61" x14ac:dyDescent="0.15">
      <c r="B61" s="99"/>
      <c r="C61" s="99"/>
      <c r="D61" s="99"/>
    </row>
    <row r="62" x14ac:dyDescent="0.15">
      <c r="B62" s="99"/>
      <c r="C62" s="99"/>
      <c r="D62" s="99"/>
    </row>
    <row r="63" x14ac:dyDescent="0.15">
      <c r="B63" s="99"/>
      <c r="C63" s="99"/>
      <c r="D63" s="99"/>
    </row>
    <row r="64" x14ac:dyDescent="0.15">
      <c r="B64" s="99"/>
      <c r="C64" s="99"/>
      <c r="D64" s="99"/>
    </row>
    <row r="65" x14ac:dyDescent="0.15">
      <c r="B65" s="99"/>
      <c r="C65" s="99"/>
      <c r="D65" s="99"/>
    </row>
    <row r="66" x14ac:dyDescent="0.15">
      <c r="B66" s="99"/>
      <c r="C66" s="99"/>
      <c r="D66" s="99"/>
    </row>
    <row r="67" x14ac:dyDescent="0.15">
      <c r="B67" s="99"/>
      <c r="C67" s="99"/>
      <c r="D67" s="99"/>
    </row>
    <row r="68" x14ac:dyDescent="0.15">
      <c r="B68" s="99"/>
      <c r="C68" s="99"/>
      <c r="D68" s="99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topLeftCell="E1" workbookViewId="0">
      <pane ySplit="1" topLeftCell="A2" activePane="bottomLeft" state="frozenSplit"/>
      <selection activeCell="E1" sqref="E1"/>
      <selection pane="bottomLeft" activeCell="Q7" sqref="Q7"/>
    </sheetView>
  </sheetViews>
  <sheetFormatPr baseColWidth="10" defaultColWidth="8.83203125" defaultRowHeight="15" customHeight="true" x14ac:dyDescent="0.15"/>
  <cols>
    <col min="1" max="1" width="22.5" style="74" customWidth="true"/>
    <col min="2" max="2" width="7.6640625" style="74" customWidth="true"/>
    <col min="3" max="3" width="8.83203125" style="74"/>
    <col min="4" max="4" width="14.33203125" style="74" customWidth="true"/>
    <col min="5" max="5" width="41.83203125" style="74" bestFit="true" customWidth="true"/>
    <col min="6" max="6" width="9.5" style="74" bestFit="true" customWidth="true"/>
    <col min="7" max="7" width="8.1640625" style="74" bestFit="true" customWidth="true"/>
    <col min="8" max="14" width="8.83203125" style="74"/>
    <col min="16" max="25" width="8.83203125" style="74"/>
    <col min="26" max="26" width="16.1640625" bestFit="true" customWidth="true"/>
    <col min="27" max="27" width="23.6640625" customWidth="true"/>
    <col min="28" max="28" width="18.83203125" bestFit="true" customWidth="true"/>
    <col min="29" max="29" width="18.83203125" customWidth="true"/>
    <col min="30" max="30" width="16.33203125" customWidth="true"/>
    <col min="32" max="32" width="41.83203125" bestFit="true" customWidth="true"/>
    <col min="39" max="39" width="33.33203125" bestFit="true" customWidth="true"/>
    <col min="47" max="16384" width="8.83203125" style="74"/>
  </cols>
  <sheetData>
    <row r="1" s="86" customFormat="true" ht="15" customHeight="true" x14ac:dyDescent="0.15">
      <c r="A1" s="72" t="s">
        <v>18</v>
      </c>
      <c r="C1" s="4" t="s">
        <v>8</v>
      </c>
      <c r="D1" s="1" t="s">
        <v>23</v>
      </c>
      <c r="E1" s="1" t="s">
        <v>0</v>
      </c>
      <c r="F1" s="1" t="s">
        <v>7</v>
      </c>
      <c r="G1" s="1" t="s">
        <v>13</v>
      </c>
      <c r="H1" s="1" t="s">
        <v>1</v>
      </c>
      <c r="I1" s="1" t="s">
        <v>2</v>
      </c>
      <c r="J1" s="1" t="s">
        <v>14</v>
      </c>
      <c r="K1" s="1" t="s">
        <v>3</v>
      </c>
      <c r="L1" s="1" t="s">
        <v>4</v>
      </c>
      <c r="M1" s="1" t="s">
        <v>5</v>
      </c>
      <c r="N1" s="1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ht="15" customHeight="true" x14ac:dyDescent="0.15">
      <c r="C2">
        <v>1</v>
      </c>
      <c r="D2"/>
      <c r="E2" t="s">
        <v>167</v>
      </c>
      <c r="F2">
        <v>0</v>
      </c>
      <c r="G2">
        <v>3.7999999999999999E-2</v>
      </c>
      <c r="H2">
        <v>0.1</v>
      </c>
      <c r="I2">
        <v>40.44</v>
      </c>
      <c r="J2"/>
      <c r="K2"/>
      <c r="L2"/>
      <c r="M2">
        <v>0.2</v>
      </c>
      <c r="N2">
        <v>0</v>
      </c>
    </row>
    <row r="3" ht="15" customHeight="true" x14ac:dyDescent="0.15">
      <c r="A3" s="1" t="s">
        <v>9</v>
      </c>
      <c r="B3" s="4">
        <v>55</v>
      </c>
      <c r="C3">
        <v>2</v>
      </c>
      <c r="D3"/>
      <c r="E3" t="s">
        <v>168</v>
      </c>
      <c r="F3">
        <v>0</v>
      </c>
      <c r="G3">
        <v>1E-3</v>
      </c>
      <c r="H3">
        <v>0.1</v>
      </c>
      <c r="I3">
        <v>80</v>
      </c>
      <c r="J3"/>
      <c r="K3"/>
      <c r="L3"/>
      <c r="M3">
        <v>0.2</v>
      </c>
      <c r="N3">
        <v>0</v>
      </c>
    </row>
    <row r="4" ht="15" customHeight="true" x14ac:dyDescent="0.15">
      <c r="A4" s="1" t="s">
        <v>10</v>
      </c>
      <c r="B4" s="4">
        <v>3</v>
      </c>
      <c r="C4">
        <v>3</v>
      </c>
      <c r="D4"/>
      <c r="E4" t="s">
        <v>169</v>
      </c>
      <c r="F4">
        <v>0</v>
      </c>
      <c r="G4">
        <v>7.0000000000000001E-3</v>
      </c>
      <c r="H4">
        <v>0.19</v>
      </c>
      <c r="I4">
        <v>3.5</v>
      </c>
      <c r="J4"/>
      <c r="K4"/>
      <c r="L4"/>
      <c r="M4">
        <v>0.2</v>
      </c>
      <c r="N4">
        <v>0</v>
      </c>
      <c r="V4" s="1" t="s">
        <v>29</v>
      </c>
    </row>
    <row r="5" ht="15" customHeight="true" thickBot="true" x14ac:dyDescent="0.2">
      <c r="A5" s="1" t="s">
        <v>11</v>
      </c>
      <c r="B5" s="4">
        <v>12</v>
      </c>
      <c r="C5">
        <v>4</v>
      </c>
      <c r="D5"/>
      <c r="E5" t="s">
        <v>170</v>
      </c>
      <c r="F5">
        <v>0</v>
      </c>
      <c r="G5">
        <v>1E-3</v>
      </c>
      <c r="H5">
        <v>0.1</v>
      </c>
      <c r="I5">
        <v>36.5</v>
      </c>
      <c r="J5"/>
      <c r="K5"/>
      <c r="L5"/>
      <c r="M5">
        <v>0.4</v>
      </c>
      <c r="N5">
        <v>0</v>
      </c>
      <c r="P5" s="67"/>
      <c r="Q5" s="67"/>
      <c r="R5" s="67"/>
    </row>
    <row r="6" ht="15" customHeight="true" thickBot="true" x14ac:dyDescent="0.2">
      <c r="B6" s="1"/>
      <c r="C6">
        <v>5</v>
      </c>
      <c r="D6"/>
      <c r="E6" t="s">
        <v>171</v>
      </c>
      <c r="F6">
        <v>0</v>
      </c>
      <c r="G6">
        <v>7.0000000000000007E-2</v>
      </c>
      <c r="H6">
        <v>0.68</v>
      </c>
      <c r="I6">
        <v>7.4</v>
      </c>
      <c r="J6"/>
      <c r="K6"/>
      <c r="L6"/>
      <c r="M6">
        <v>0.2</v>
      </c>
      <c r="N6">
        <v>0</v>
      </c>
      <c r="P6" s="67"/>
      <c r="Q6" s="67"/>
      <c r="R6" s="67"/>
      <c r="W6" s="35" t="s">
        <v>31</v>
      </c>
      <c r="X6" s="48">
        <f>MAX(MainOutputs!G:G)</f>
        <v>0.9955374002456665</v>
      </c>
    </row>
    <row r="7" ht="15" customHeight="true" x14ac:dyDescent="0.15">
      <c r="A7" s="2" t="s">
        <v>27</v>
      </c>
      <c r="B7" s="74">
        <f ca="true">COUNTIF(OFFSET(cornerDiets,1,1,NumLiving+NumDead+1,NumLiving+NumDead),"&gt;0")+NumLiving+NumDead+1</f>
        <v>720</v>
      </c>
      <c r="C7">
        <v>6</v>
      </c>
      <c r="D7"/>
      <c r="E7" t="s">
        <v>172</v>
      </c>
      <c r="F7">
        <v>0</v>
      </c>
      <c r="G7"/>
      <c r="H7">
        <v>0.11</v>
      </c>
      <c r="I7">
        <v>1.8</v>
      </c>
      <c r="J7">
        <v>0.5</v>
      </c>
      <c r="K7"/>
      <c r="L7"/>
      <c r="M7">
        <v>0.3</v>
      </c>
      <c r="N7">
        <v>0</v>
      </c>
      <c r="P7" s="67"/>
      <c r="Q7" s="67"/>
      <c r="R7" s="67"/>
    </row>
    <row r="8" ht="15" customHeight="true" x14ac:dyDescent="0.15">
      <c r="A8" s="2" t="s">
        <v>28</v>
      </c>
      <c r="B8" s="74">
        <f ca="true">COUNTIF(OFFSET(cornerFishing,1,2,NumLiving+NumDead,NumGears),"&gt;0")+NumDead*COUNTIF(OFFSET(cornerDiscards,1,2,NumLiving+NumDead,NumGears),"&gt;0")+NumLiving+NumDead+1</f>
        <v>304</v>
      </c>
      <c r="C8">
        <v>7</v>
      </c>
      <c r="D8"/>
      <c r="E8" t="s">
        <v>173</v>
      </c>
      <c r="F8">
        <v>0</v>
      </c>
      <c r="G8">
        <v>0.09</v>
      </c>
      <c r="H8">
        <v>0.41</v>
      </c>
      <c r="I8">
        <v>3.29</v>
      </c>
      <c r="J8"/>
      <c r="K8"/>
      <c r="L8"/>
      <c r="M8">
        <v>0.2</v>
      </c>
      <c r="N8">
        <v>0</v>
      </c>
      <c r="P8" s="67"/>
      <c r="Q8" s="67"/>
      <c r="R8" s="67"/>
    </row>
    <row r="9" ht="15" customHeight="true" x14ac:dyDescent="0.15">
      <c r="B9" s="1"/>
      <c r="C9">
        <v>8</v>
      </c>
      <c r="D9"/>
      <c r="E9" t="s">
        <v>174</v>
      </c>
      <c r="F9">
        <v>0</v>
      </c>
      <c r="G9">
        <v>0.23799999999999999</v>
      </c>
      <c r="H9">
        <v>0.38</v>
      </c>
      <c r="I9">
        <v>7.72</v>
      </c>
      <c r="J9"/>
      <c r="K9"/>
      <c r="L9"/>
      <c r="M9">
        <v>0.2</v>
      </c>
      <c r="N9">
        <v>0</v>
      </c>
      <c r="P9" s="67"/>
      <c r="Q9" s="67"/>
      <c r="R9" s="67"/>
    </row>
    <row r="10" ht="15" customHeight="true" x14ac:dyDescent="0.15">
      <c r="B10" s="1"/>
      <c r="C10">
        <v>9</v>
      </c>
      <c r="D10"/>
      <c r="E10" t="s">
        <v>175</v>
      </c>
      <c r="F10">
        <v>0</v>
      </c>
      <c r="G10">
        <v>0.15</v>
      </c>
      <c r="H10">
        <v>1.06</v>
      </c>
      <c r="I10">
        <v>8.5</v>
      </c>
      <c r="J10"/>
      <c r="K10"/>
      <c r="L10"/>
      <c r="M10">
        <v>0.2</v>
      </c>
      <c r="N10">
        <v>0</v>
      </c>
    </row>
    <row r="11" ht="15" customHeight="true" x14ac:dyDescent="0.15">
      <c r="C11">
        <v>10</v>
      </c>
      <c r="D11"/>
      <c r="E11" t="s">
        <v>176</v>
      </c>
      <c r="F11">
        <v>0</v>
      </c>
      <c r="G11">
        <v>0.23</v>
      </c>
      <c r="H11">
        <v>0.64</v>
      </c>
      <c r="I11">
        <v>10.23</v>
      </c>
      <c r="J11"/>
      <c r="K11"/>
      <c r="L11"/>
      <c r="M11">
        <v>0.2</v>
      </c>
      <c r="N11">
        <v>0</v>
      </c>
    </row>
    <row r="12" ht="15" customHeight="true" x14ac:dyDescent="0.15">
      <c r="C12">
        <v>11</v>
      </c>
      <c r="D12"/>
      <c r="E12" t="s">
        <v>177</v>
      </c>
      <c r="F12">
        <v>0</v>
      </c>
      <c r="G12">
        <v>0.183</v>
      </c>
      <c r="H12">
        <v>0.38</v>
      </c>
      <c r="I12">
        <v>8</v>
      </c>
      <c r="J12"/>
      <c r="K12"/>
      <c r="L12"/>
      <c r="M12">
        <v>0.2</v>
      </c>
      <c r="N12">
        <v>0</v>
      </c>
    </row>
    <row r="13" ht="15" customHeight="true" x14ac:dyDescent="0.15">
      <c r="C13">
        <v>12</v>
      </c>
      <c r="D13"/>
      <c r="E13" t="s">
        <v>178</v>
      </c>
      <c r="F13">
        <v>0</v>
      </c>
      <c r="G13">
        <v>0.126</v>
      </c>
      <c r="H13">
        <v>0.77</v>
      </c>
      <c r="I13">
        <v>9</v>
      </c>
      <c r="J13"/>
      <c r="K13"/>
      <c r="L13"/>
      <c r="M13">
        <v>0.2</v>
      </c>
      <c r="N13">
        <v>0</v>
      </c>
    </row>
    <row r="14" ht="15" customHeight="true" x14ac:dyDescent="0.15">
      <c r="C14">
        <v>13</v>
      </c>
      <c r="D14"/>
      <c r="E14" t="s">
        <v>179</v>
      </c>
      <c r="F14">
        <v>0</v>
      </c>
      <c r="G14">
        <v>2.4</v>
      </c>
      <c r="H14">
        <v>1.05</v>
      </c>
      <c r="I14">
        <v>12.11</v>
      </c>
      <c r="J14"/>
      <c r="K14"/>
      <c r="L14"/>
      <c r="M14">
        <v>0.3</v>
      </c>
      <c r="N14">
        <v>0</v>
      </c>
    </row>
    <row r="15" ht="15" customHeight="true" x14ac:dyDescent="0.15">
      <c r="C15">
        <v>14</v>
      </c>
      <c r="D15"/>
      <c r="E15" t="s">
        <v>180</v>
      </c>
      <c r="F15">
        <v>0</v>
      </c>
      <c r="G15">
        <v>2.2000000000000002</v>
      </c>
      <c r="H15">
        <v>1.56</v>
      </c>
      <c r="I15">
        <v>8.07</v>
      </c>
      <c r="J15"/>
      <c r="K15"/>
      <c r="L15"/>
      <c r="M15">
        <v>0.2</v>
      </c>
      <c r="N15">
        <v>0</v>
      </c>
    </row>
    <row r="16" ht="15" customHeight="true" x14ac:dyDescent="0.15">
      <c r="C16">
        <v>15</v>
      </c>
      <c r="D16"/>
      <c r="E16" t="s">
        <v>181</v>
      </c>
      <c r="F16">
        <v>0</v>
      </c>
      <c r="G16">
        <v>1.5</v>
      </c>
      <c r="H16">
        <v>0.87</v>
      </c>
      <c r="I16">
        <v>11.71</v>
      </c>
      <c r="J16"/>
      <c r="K16"/>
      <c r="L16"/>
      <c r="M16">
        <v>0.3</v>
      </c>
      <c r="N16">
        <v>0</v>
      </c>
    </row>
    <row r="17" ht="15" customHeight="true" x14ac:dyDescent="0.15">
      <c r="C17">
        <v>16</v>
      </c>
      <c r="D17"/>
      <c r="E17" t="s">
        <v>182</v>
      </c>
      <c r="F17">
        <v>0</v>
      </c>
      <c r="G17">
        <v>4.4999999999999998E-2</v>
      </c>
      <c r="H17">
        <v>1.2</v>
      </c>
      <c r="I17">
        <v>15.76</v>
      </c>
      <c r="J17"/>
      <c r="K17"/>
      <c r="L17"/>
      <c r="M17">
        <v>0.2</v>
      </c>
      <c r="N17">
        <v>0</v>
      </c>
      <c r="V17" s="1" t="s">
        <v>30</v>
      </c>
    </row>
    <row r="18" ht="15" customHeight="true" x14ac:dyDescent="0.15">
      <c r="C18">
        <v>17</v>
      </c>
      <c r="D18"/>
      <c r="E18" t="s">
        <v>183</v>
      </c>
      <c r="F18">
        <v>0</v>
      </c>
      <c r="G18">
        <v>0.12</v>
      </c>
      <c r="H18">
        <v>0.64</v>
      </c>
      <c r="I18">
        <v>6.33</v>
      </c>
      <c r="J18"/>
      <c r="K18"/>
      <c r="L18"/>
      <c r="M18">
        <v>0.2</v>
      </c>
      <c r="N18">
        <v>0</v>
      </c>
      <c r="V18" s="1"/>
    </row>
    <row r="19" ht="15" customHeight="true" x14ac:dyDescent="0.15">
      <c r="C19">
        <v>18</v>
      </c>
      <c r="D19"/>
      <c r="E19" t="s">
        <v>184</v>
      </c>
      <c r="F19">
        <v>0</v>
      </c>
      <c r="G19">
        <v>1.4</v>
      </c>
      <c r="H19">
        <v>0.65</v>
      </c>
      <c r="I19">
        <v>7.92</v>
      </c>
      <c r="J19"/>
      <c r="K19"/>
      <c r="L19"/>
      <c r="M19">
        <v>0.2</v>
      </c>
      <c r="N19">
        <v>0</v>
      </c>
    </row>
    <row r="20" ht="15" customHeight="true" thickBot="true" x14ac:dyDescent="0.2">
      <c r="C20">
        <v>19</v>
      </c>
      <c r="D20"/>
      <c r="E20" t="s">
        <v>185</v>
      </c>
      <c r="F20">
        <v>0</v>
      </c>
      <c r="G20">
        <v>0.7</v>
      </c>
      <c r="H20">
        <v>1.34</v>
      </c>
      <c r="I20">
        <v>15.13</v>
      </c>
      <c r="J20"/>
      <c r="K20"/>
      <c r="L20"/>
      <c r="M20">
        <v>0.2</v>
      </c>
      <c r="N20">
        <v>0</v>
      </c>
    </row>
    <row r="21" ht="15" customHeight="true" thickBot="true" x14ac:dyDescent="0.2">
      <c r="A21" s="43" t="s">
        <v>137</v>
      </c>
      <c r="B21" s="87"/>
      <c r="C21">
        <v>20</v>
      </c>
      <c r="D21"/>
      <c r="E21" t="s">
        <v>186</v>
      </c>
      <c r="F21">
        <v>0</v>
      </c>
      <c r="G21">
        <v>4.4999999999999998E-2</v>
      </c>
      <c r="H21">
        <v>0.45</v>
      </c>
      <c r="I21">
        <v>7.94</v>
      </c>
      <c r="J21"/>
      <c r="K21"/>
      <c r="L21"/>
      <c r="M21">
        <v>0.2</v>
      </c>
      <c r="N21">
        <v>0</v>
      </c>
    </row>
    <row r="22" ht="15" customHeight="true" x14ac:dyDescent="0.15">
      <c r="A22" s="88" t="s">
        <v>58</v>
      </c>
      <c r="B22" s="89">
        <v>0</v>
      </c>
      <c r="C22">
        <v>21</v>
      </c>
      <c r="D22"/>
      <c r="E22" t="s">
        <v>187</v>
      </c>
      <c r="F22">
        <v>0</v>
      </c>
      <c r="G22">
        <v>0.19</v>
      </c>
      <c r="H22">
        <v>1.2</v>
      </c>
      <c r="I22">
        <v>15.78</v>
      </c>
      <c r="J22"/>
      <c r="K22"/>
      <c r="L22"/>
      <c r="M22">
        <v>0.2</v>
      </c>
      <c r="N22">
        <v>0</v>
      </c>
    </row>
    <row r="23" ht="15" customHeight="true" x14ac:dyDescent="0.15">
      <c r="A23" s="88" t="s">
        <v>59</v>
      </c>
      <c r="B23" s="89">
        <v>1</v>
      </c>
      <c r="C23">
        <v>22</v>
      </c>
      <c r="D23"/>
      <c r="E23" t="s">
        <v>188</v>
      </c>
      <c r="F23">
        <v>0</v>
      </c>
      <c r="G23">
        <v>0.245</v>
      </c>
      <c r="H23">
        <v>0.55000000000000004</v>
      </c>
      <c r="I23">
        <v>8.39</v>
      </c>
      <c r="J23"/>
      <c r="K23"/>
      <c r="L23"/>
      <c r="M23">
        <v>0.2</v>
      </c>
      <c r="N23">
        <v>0</v>
      </c>
    </row>
    <row r="24" ht="15" customHeight="true" x14ac:dyDescent="0.15">
      <c r="A24" s="88" t="s">
        <v>60</v>
      </c>
      <c r="B24" s="89">
        <v>2</v>
      </c>
      <c r="C24">
        <v>23</v>
      </c>
      <c r="D24"/>
      <c r="E24" t="s">
        <v>189</v>
      </c>
      <c r="F24">
        <v>0</v>
      </c>
      <c r="G24">
        <v>0.86</v>
      </c>
      <c r="H24">
        <v>0.86</v>
      </c>
      <c r="I24">
        <v>10.11</v>
      </c>
      <c r="J24"/>
      <c r="K24"/>
      <c r="L24"/>
      <c r="M24">
        <v>0.2</v>
      </c>
      <c r="N24">
        <v>0</v>
      </c>
    </row>
    <row r="25" ht="15" customHeight="true" thickBot="true" x14ac:dyDescent="0.2">
      <c r="A25" s="90" t="s">
        <v>44</v>
      </c>
      <c r="B25" s="91">
        <v>3</v>
      </c>
      <c r="C25">
        <v>24</v>
      </c>
      <c r="D25"/>
      <c r="E25" t="s">
        <v>190</v>
      </c>
      <c r="F25">
        <v>0</v>
      </c>
      <c r="G25"/>
      <c r="H25">
        <v>2.6</v>
      </c>
      <c r="I25">
        <v>11.7</v>
      </c>
      <c r="J25">
        <v>0.95</v>
      </c>
      <c r="K25"/>
      <c r="L25"/>
      <c r="M25">
        <v>0.2</v>
      </c>
      <c r="N25">
        <v>0</v>
      </c>
    </row>
    <row r="26" ht="15" customHeight="true" x14ac:dyDescent="0.15">
      <c r="A26" s="92" t="s">
        <v>140</v>
      </c>
      <c r="C26">
        <v>25</v>
      </c>
      <c r="D26"/>
      <c r="E26" t="s">
        <v>191</v>
      </c>
      <c r="F26">
        <v>0</v>
      </c>
      <c r="G26">
        <v>0.22</v>
      </c>
      <c r="H26">
        <v>0.63</v>
      </c>
      <c r="I26">
        <v>5.4</v>
      </c>
      <c r="J26"/>
      <c r="K26"/>
      <c r="L26"/>
      <c r="M26">
        <v>0.2</v>
      </c>
      <c r="N26">
        <v>0</v>
      </c>
    </row>
    <row r="27" ht="15" customHeight="true" x14ac:dyDescent="0.15">
      <c r="C27">
        <v>26</v>
      </c>
      <c r="D27"/>
      <c r="E27" t="s">
        <v>192</v>
      </c>
      <c r="F27">
        <v>0</v>
      </c>
      <c r="G27">
        <v>0.11899999999999999</v>
      </c>
      <c r="H27">
        <v>0.46</v>
      </c>
      <c r="I27">
        <v>4.0999999999999996</v>
      </c>
      <c r="J27"/>
      <c r="K27"/>
      <c r="L27"/>
      <c r="M27">
        <v>0.2</v>
      </c>
      <c r="N27">
        <v>0</v>
      </c>
    </row>
    <row r="28" ht="15" customHeight="true" x14ac:dyDescent="0.15">
      <c r="C28">
        <v>27</v>
      </c>
      <c r="D28"/>
      <c r="E28" t="s">
        <v>193</v>
      </c>
      <c r="F28">
        <v>0</v>
      </c>
      <c r="G28">
        <v>1.2</v>
      </c>
      <c r="H28">
        <v>0.75</v>
      </c>
      <c r="I28">
        <v>7.33</v>
      </c>
      <c r="J28"/>
      <c r="K28"/>
      <c r="L28"/>
      <c r="M28">
        <v>0.2</v>
      </c>
      <c r="N28">
        <v>0</v>
      </c>
    </row>
    <row r="29" customFormat="true" ht="15" customHeight="true" x14ac:dyDescent="0.15">
      <c r="C29">
        <v>28</v>
      </c>
      <c r="E29" t="s">
        <v>194</v>
      </c>
      <c r="F29">
        <v>0</v>
      </c>
      <c r="H29">
        <v>1.33</v>
      </c>
      <c r="I29">
        <v>24.37</v>
      </c>
      <c r="J29">
        <v>0.98</v>
      </c>
      <c r="M29">
        <v>0.2</v>
      </c>
      <c r="N29">
        <v>0</v>
      </c>
    </row>
    <row r="30" customFormat="true" ht="15" customHeight="true" x14ac:dyDescent="0.15">
      <c r="C30">
        <v>29</v>
      </c>
      <c r="E30" t="s">
        <v>195</v>
      </c>
      <c r="F30">
        <v>0</v>
      </c>
      <c r="G30">
        <v>0.05</v>
      </c>
      <c r="H30">
        <v>2</v>
      </c>
      <c r="I30">
        <v>10</v>
      </c>
      <c r="M30">
        <v>0.3</v>
      </c>
      <c r="N30">
        <v>0</v>
      </c>
    </row>
    <row r="31" customFormat="true" ht="15" customHeight="true" x14ac:dyDescent="0.15">
      <c r="C31">
        <v>30</v>
      </c>
      <c r="E31" t="s">
        <v>196</v>
      </c>
      <c r="F31">
        <v>0</v>
      </c>
      <c r="H31">
        <v>1.06</v>
      </c>
      <c r="I31">
        <v>7.67</v>
      </c>
      <c r="J31">
        <v>0.9</v>
      </c>
      <c r="M31">
        <v>0.2</v>
      </c>
      <c r="N31">
        <v>0</v>
      </c>
    </row>
    <row r="32" customFormat="true" ht="15" customHeight="true" x14ac:dyDescent="0.15">
      <c r="C32">
        <v>31</v>
      </c>
      <c r="E32" t="s">
        <v>197</v>
      </c>
      <c r="F32">
        <v>0</v>
      </c>
      <c r="G32">
        <v>0.32900000000000001</v>
      </c>
      <c r="H32">
        <v>0.7</v>
      </c>
      <c r="I32">
        <v>11.03</v>
      </c>
      <c r="M32">
        <v>0.2</v>
      </c>
      <c r="N32">
        <v>0</v>
      </c>
    </row>
    <row r="33" customFormat="true" ht="15" customHeight="true" x14ac:dyDescent="0.15">
      <c r="C33">
        <v>32</v>
      </c>
      <c r="E33" t="s">
        <v>198</v>
      </c>
      <c r="F33">
        <v>0</v>
      </c>
      <c r="H33">
        <v>2</v>
      </c>
      <c r="I33">
        <v>15.92</v>
      </c>
      <c r="J33">
        <v>0.99</v>
      </c>
      <c r="M33">
        <v>0.3</v>
      </c>
      <c r="N33">
        <v>0</v>
      </c>
    </row>
    <row r="34" customFormat="true" ht="15" customHeight="true" x14ac:dyDescent="0.15">
      <c r="C34">
        <v>33</v>
      </c>
      <c r="E34" t="s">
        <v>199</v>
      </c>
      <c r="F34">
        <v>0</v>
      </c>
      <c r="G34">
        <v>3.87</v>
      </c>
      <c r="H34">
        <v>1.3</v>
      </c>
      <c r="I34">
        <v>7.04</v>
      </c>
      <c r="M34">
        <v>0.2</v>
      </c>
      <c r="N34">
        <v>0</v>
      </c>
    </row>
    <row r="35" customFormat="true" ht="15" customHeight="true" x14ac:dyDescent="0.15">
      <c r="C35">
        <v>34</v>
      </c>
      <c r="E35" t="s">
        <v>200</v>
      </c>
      <c r="F35">
        <v>0</v>
      </c>
      <c r="G35">
        <v>1.1000000000000001</v>
      </c>
      <c r="H35">
        <v>3</v>
      </c>
      <c r="I35">
        <v>35</v>
      </c>
      <c r="M35">
        <v>0.35</v>
      </c>
      <c r="N35">
        <v>0</v>
      </c>
    </row>
    <row r="36" customFormat="true" ht="15" customHeight="true" x14ac:dyDescent="0.15">
      <c r="C36">
        <v>35</v>
      </c>
      <c r="E36" t="s">
        <v>201</v>
      </c>
      <c r="F36">
        <v>0</v>
      </c>
      <c r="G36">
        <v>0.55000000000000004</v>
      </c>
      <c r="H36">
        <v>5.38</v>
      </c>
      <c r="I36">
        <v>19.2</v>
      </c>
      <c r="M36">
        <v>0.4</v>
      </c>
      <c r="N36">
        <v>0</v>
      </c>
    </row>
    <row r="37" customFormat="true" ht="15" customHeight="true" x14ac:dyDescent="0.15">
      <c r="C37">
        <v>36</v>
      </c>
      <c r="E37" t="s">
        <v>202</v>
      </c>
      <c r="F37">
        <v>0</v>
      </c>
      <c r="G37">
        <v>2.8000000000000001E-2</v>
      </c>
      <c r="H37">
        <v>0.9</v>
      </c>
      <c r="I37">
        <v>8.1999999999999993</v>
      </c>
      <c r="M37">
        <v>0.35</v>
      </c>
      <c r="N37">
        <v>0</v>
      </c>
    </row>
    <row r="38" customFormat="true" ht="15" customHeight="true" x14ac:dyDescent="0.15">
      <c r="C38">
        <v>37</v>
      </c>
      <c r="E38" t="s">
        <v>203</v>
      </c>
      <c r="F38">
        <v>0</v>
      </c>
      <c r="H38">
        <v>2.8</v>
      </c>
      <c r="I38">
        <v>8.5</v>
      </c>
      <c r="J38">
        <v>0.99</v>
      </c>
      <c r="M38">
        <v>0.35</v>
      </c>
      <c r="N38">
        <v>0</v>
      </c>
    </row>
    <row r="39" customFormat="true" ht="15" customHeight="true" x14ac:dyDescent="0.15">
      <c r="C39">
        <v>38</v>
      </c>
      <c r="E39" t="s">
        <v>204</v>
      </c>
      <c r="F39">
        <v>0</v>
      </c>
      <c r="H39">
        <v>3.1</v>
      </c>
      <c r="I39">
        <v>11.7</v>
      </c>
      <c r="J39">
        <v>0.95</v>
      </c>
      <c r="M39">
        <v>0.13</v>
      </c>
      <c r="N39">
        <v>0</v>
      </c>
    </row>
    <row r="40" customFormat="true" ht="15" customHeight="true" x14ac:dyDescent="0.15">
      <c r="C40">
        <v>39</v>
      </c>
      <c r="E40" t="s">
        <v>205</v>
      </c>
      <c r="F40">
        <v>0</v>
      </c>
      <c r="G40">
        <v>0.99399999999999999</v>
      </c>
      <c r="H40">
        <v>1.34</v>
      </c>
      <c r="I40">
        <v>7.43</v>
      </c>
      <c r="M40">
        <v>0.3</v>
      </c>
      <c r="N40">
        <v>0</v>
      </c>
    </row>
    <row r="41" customFormat="true" ht="15" customHeight="true" x14ac:dyDescent="0.15">
      <c r="C41">
        <v>40</v>
      </c>
      <c r="E41" t="s">
        <v>206</v>
      </c>
      <c r="F41">
        <v>0</v>
      </c>
      <c r="G41">
        <v>19.245999999999999</v>
      </c>
      <c r="H41">
        <v>1.2</v>
      </c>
      <c r="I41">
        <v>3.7</v>
      </c>
      <c r="M41">
        <v>0.56000000000000005</v>
      </c>
      <c r="N41">
        <v>0</v>
      </c>
    </row>
    <row r="42" customFormat="true" ht="15" customHeight="true" x14ac:dyDescent="0.15">
      <c r="C42">
        <v>41</v>
      </c>
      <c r="E42" t="s">
        <v>207</v>
      </c>
      <c r="F42">
        <v>0</v>
      </c>
      <c r="G42">
        <v>48.595999999999997</v>
      </c>
      <c r="H42">
        <v>1.21</v>
      </c>
      <c r="I42">
        <v>23</v>
      </c>
      <c r="M42">
        <v>0.5</v>
      </c>
      <c r="N42">
        <v>0</v>
      </c>
    </row>
    <row r="43" customFormat="true" ht="15" customHeight="true" x14ac:dyDescent="0.15">
      <c r="C43">
        <v>42</v>
      </c>
      <c r="E43" t="s">
        <v>208</v>
      </c>
      <c r="F43">
        <v>0</v>
      </c>
      <c r="G43">
        <v>219</v>
      </c>
      <c r="H43">
        <v>0.8</v>
      </c>
      <c r="I43">
        <v>9</v>
      </c>
      <c r="M43">
        <v>0.6</v>
      </c>
      <c r="N43">
        <v>0</v>
      </c>
    </row>
    <row r="44" customFormat="true" ht="15" customHeight="true" x14ac:dyDescent="0.15">
      <c r="C44">
        <v>43</v>
      </c>
      <c r="E44" t="s">
        <v>209</v>
      </c>
      <c r="F44">
        <v>0</v>
      </c>
      <c r="G44">
        <v>19.032</v>
      </c>
      <c r="H44">
        <v>4.5999999999999996</v>
      </c>
      <c r="I44">
        <v>15.9</v>
      </c>
      <c r="M44">
        <v>0.5</v>
      </c>
      <c r="N44">
        <v>0</v>
      </c>
    </row>
    <row r="45" customFormat="true" ht="15" customHeight="true" x14ac:dyDescent="0.15">
      <c r="C45">
        <v>44</v>
      </c>
      <c r="E45" t="s">
        <v>210</v>
      </c>
      <c r="F45">
        <v>0</v>
      </c>
      <c r="H45">
        <v>7.01</v>
      </c>
      <c r="I45">
        <v>27.14</v>
      </c>
      <c r="J45">
        <v>0.95</v>
      </c>
      <c r="M45">
        <v>0.45</v>
      </c>
      <c r="N45">
        <v>0</v>
      </c>
    </row>
    <row r="46" customFormat="true" ht="15" customHeight="true" x14ac:dyDescent="0.15">
      <c r="C46">
        <v>45</v>
      </c>
      <c r="E46" t="s">
        <v>211</v>
      </c>
      <c r="F46">
        <v>0</v>
      </c>
      <c r="G46">
        <v>13</v>
      </c>
      <c r="H46">
        <v>12.5</v>
      </c>
      <c r="I46">
        <v>25</v>
      </c>
      <c r="M46">
        <v>0.45</v>
      </c>
      <c r="N46">
        <v>0</v>
      </c>
    </row>
    <row r="47" customFormat="true" ht="15" customHeight="true" x14ac:dyDescent="0.15">
      <c r="C47">
        <v>46</v>
      </c>
      <c r="E47" t="s">
        <v>212</v>
      </c>
      <c r="F47">
        <v>0</v>
      </c>
      <c r="G47">
        <v>8.3000000000000007</v>
      </c>
      <c r="H47">
        <v>17.3</v>
      </c>
      <c r="I47">
        <v>50</v>
      </c>
      <c r="M47">
        <v>0.5</v>
      </c>
      <c r="N47">
        <v>0</v>
      </c>
    </row>
    <row r="48" customFormat="true" ht="15" customHeight="true" x14ac:dyDescent="0.15">
      <c r="C48">
        <v>47</v>
      </c>
      <c r="E48" t="s">
        <v>213</v>
      </c>
      <c r="F48">
        <v>0</v>
      </c>
      <c r="G48">
        <v>6.7</v>
      </c>
      <c r="H48">
        <v>17.3</v>
      </c>
      <c r="I48">
        <v>50</v>
      </c>
      <c r="M48">
        <v>0.5</v>
      </c>
      <c r="N48">
        <v>0</v>
      </c>
    </row>
    <row r="49" customFormat="true" ht="15" customHeight="true" x14ac:dyDescent="0.15">
      <c r="C49">
        <v>48</v>
      </c>
      <c r="E49" t="s">
        <v>214</v>
      </c>
      <c r="F49">
        <v>0</v>
      </c>
      <c r="G49">
        <v>21.6</v>
      </c>
      <c r="H49">
        <v>8.6999999999999993</v>
      </c>
      <c r="I49">
        <v>20</v>
      </c>
      <c r="M49">
        <v>0.4</v>
      </c>
      <c r="N49">
        <v>0</v>
      </c>
    </row>
    <row r="50" customFormat="true" ht="15" customHeight="true" x14ac:dyDescent="0.15">
      <c r="C50">
        <v>49</v>
      </c>
      <c r="E50" t="s">
        <v>215</v>
      </c>
      <c r="F50">
        <v>0</v>
      </c>
      <c r="G50">
        <v>4.8000000000000001E-2</v>
      </c>
      <c r="H50">
        <v>50.45</v>
      </c>
      <c r="I50">
        <v>132.13</v>
      </c>
      <c r="M50">
        <v>0.4</v>
      </c>
      <c r="N50">
        <v>0</v>
      </c>
    </row>
    <row r="51" customFormat="true" ht="15" customHeight="true" x14ac:dyDescent="0.15">
      <c r="C51">
        <v>50</v>
      </c>
      <c r="E51" t="s">
        <v>216</v>
      </c>
      <c r="F51">
        <v>0</v>
      </c>
      <c r="G51">
        <v>0.26500000000000001</v>
      </c>
      <c r="H51">
        <v>40</v>
      </c>
      <c r="I51">
        <v>80</v>
      </c>
      <c r="M51">
        <v>0.1</v>
      </c>
      <c r="N51">
        <v>0</v>
      </c>
    </row>
    <row r="52" customFormat="true" ht="15" customHeight="true" x14ac:dyDescent="0.15">
      <c r="C52">
        <v>51</v>
      </c>
      <c r="E52" t="s">
        <v>217</v>
      </c>
      <c r="F52">
        <v>0</v>
      </c>
      <c r="G52">
        <v>60</v>
      </c>
      <c r="H52">
        <v>100</v>
      </c>
      <c r="I52">
        <v>215</v>
      </c>
      <c r="M52">
        <v>0.2</v>
      </c>
      <c r="N52">
        <v>0</v>
      </c>
    </row>
    <row r="53" customFormat="true" ht="15" customHeight="true" x14ac:dyDescent="0.15">
      <c r="C53">
        <v>52</v>
      </c>
      <c r="E53" t="s">
        <v>218</v>
      </c>
      <c r="F53">
        <v>1</v>
      </c>
      <c r="G53">
        <v>36.049999999999997</v>
      </c>
      <c r="H53">
        <v>4</v>
      </c>
      <c r="N53">
        <v>0</v>
      </c>
    </row>
    <row r="54" customFormat="true" ht="15" customHeight="true" x14ac:dyDescent="0.15">
      <c r="C54">
        <v>53</v>
      </c>
      <c r="E54" t="s">
        <v>219</v>
      </c>
      <c r="F54">
        <v>1</v>
      </c>
      <c r="G54">
        <v>29.78</v>
      </c>
      <c r="H54">
        <v>23.73</v>
      </c>
      <c r="N54">
        <v>0</v>
      </c>
    </row>
    <row r="55" customFormat="true" ht="15" customHeight="true" x14ac:dyDescent="0.15">
      <c r="C55">
        <v>54</v>
      </c>
      <c r="E55" t="s">
        <v>220</v>
      </c>
      <c r="F55">
        <v>1</v>
      </c>
      <c r="G55">
        <v>25</v>
      </c>
      <c r="H55">
        <v>182.13</v>
      </c>
      <c r="N55">
        <v>0</v>
      </c>
    </row>
    <row r="56" customFormat="true" ht="15" customHeight="true" x14ac:dyDescent="0.15">
      <c r="C56">
        <v>55</v>
      </c>
      <c r="E56" t="s">
        <v>221</v>
      </c>
      <c r="F56">
        <v>1</v>
      </c>
      <c r="G56">
        <v>175.62</v>
      </c>
      <c r="H56">
        <v>9.01</v>
      </c>
      <c r="N56">
        <v>0</v>
      </c>
    </row>
    <row r="57" customFormat="true" ht="15" customHeight="true" x14ac:dyDescent="0.15">
      <c r="C57">
        <v>56</v>
      </c>
      <c r="E57" t="s">
        <v>71</v>
      </c>
      <c r="F57">
        <v>2</v>
      </c>
      <c r="G57">
        <v>125</v>
      </c>
      <c r="N57">
        <v>0</v>
      </c>
    </row>
    <row r="58" customFormat="true" ht="15" customHeight="true" x14ac:dyDescent="0.15">
      <c r="C58">
        <v>57</v>
      </c>
      <c r="E58" t="s">
        <v>222</v>
      </c>
      <c r="F58">
        <v>2</v>
      </c>
      <c r="G58">
        <v>1</v>
      </c>
      <c r="N58">
        <v>0</v>
      </c>
    </row>
    <row r="59" customFormat="true" ht="15" customHeight="true" x14ac:dyDescent="0.15">
      <c r="C59">
        <v>58</v>
      </c>
      <c r="E59" t="s">
        <v>72</v>
      </c>
      <c r="F59">
        <v>2</v>
      </c>
      <c r="G59">
        <v>392.66000008600003</v>
      </c>
      <c r="N59">
        <v>0</v>
      </c>
    </row>
    <row r="60" customFormat="true" ht="15" customHeight="true" x14ac:dyDescent="0.15">
      <c r="C60">
        <v>59</v>
      </c>
      <c r="E60" t="s">
        <v>223</v>
      </c>
      <c r="F60">
        <v>3</v>
      </c>
    </row>
    <row r="61" customFormat="true" ht="15" customHeight="true" x14ac:dyDescent="0.15">
      <c r="C61">
        <v>60</v>
      </c>
      <c r="E61" t="s">
        <v>224</v>
      </c>
      <c r="F61">
        <v>3</v>
      </c>
    </row>
    <row r="62" customFormat="true" ht="15" customHeight="true" x14ac:dyDescent="0.15">
      <c r="C62">
        <v>61</v>
      </c>
      <c r="E62" t="s">
        <v>225</v>
      </c>
      <c r="F62">
        <v>3</v>
      </c>
    </row>
    <row r="63" customFormat="true" ht="15" customHeight="true" x14ac:dyDescent="0.15">
      <c r="C63">
        <v>62</v>
      </c>
      <c r="E63" t="s">
        <v>226</v>
      </c>
      <c r="F63">
        <v>3</v>
      </c>
    </row>
    <row r="64" customFormat="true" ht="15" customHeight="true" x14ac:dyDescent="0.15">
      <c r="C64">
        <v>63</v>
      </c>
      <c r="E64" t="s">
        <v>227</v>
      </c>
      <c r="F64">
        <v>3</v>
      </c>
    </row>
    <row r="65" customFormat="true" ht="15" customHeight="true" x14ac:dyDescent="0.15">
      <c r="C65">
        <v>64</v>
      </c>
      <c r="E65" t="s">
        <v>228</v>
      </c>
      <c r="F65">
        <v>3</v>
      </c>
    </row>
    <row r="66" customFormat="true" ht="15" customHeight="true" x14ac:dyDescent="0.15">
      <c r="C66">
        <v>65</v>
      </c>
      <c r="E66" t="s">
        <v>229</v>
      </c>
      <c r="F66">
        <v>3</v>
      </c>
    </row>
    <row r="67" customFormat="true" ht="15" customHeight="true" x14ac:dyDescent="0.15">
      <c r="C67">
        <v>66</v>
      </c>
      <c r="E67" t="s">
        <v>230</v>
      </c>
      <c r="F67">
        <v>3</v>
      </c>
    </row>
    <row r="68" customFormat="true" ht="15" customHeight="true" x14ac:dyDescent="0.15">
      <c r="C68">
        <v>67</v>
      </c>
      <c r="E68" t="s">
        <v>231</v>
      </c>
      <c r="F68">
        <v>3</v>
      </c>
    </row>
    <row r="69" customFormat="true" ht="15" customHeight="true" x14ac:dyDescent="0.15">
      <c r="C69">
        <v>68</v>
      </c>
      <c r="E69" t="s">
        <v>232</v>
      </c>
      <c r="F69">
        <v>3</v>
      </c>
    </row>
    <row r="70" customFormat="true" ht="15" customHeight="true" x14ac:dyDescent="0.15">
      <c r="C70">
        <v>69</v>
      </c>
      <c r="E70" t="s">
        <v>233</v>
      </c>
      <c r="F70">
        <v>3</v>
      </c>
    </row>
    <row r="71" customFormat="true" ht="15" customHeight="true" x14ac:dyDescent="0.15">
      <c r="C71">
        <v>70</v>
      </c>
      <c r="E71" t="s">
        <v>234</v>
      </c>
      <c r="F71">
        <v>3</v>
      </c>
    </row>
    <row r="72" customFormat="true" ht="15" customHeight="true" x14ac:dyDescent="0.15"/>
    <row r="73" customFormat="true" ht="15" customHeight="true" x14ac:dyDescent="0.15"/>
    <row r="74" customFormat="true" ht="15" customHeight="true" x14ac:dyDescent="0.15"/>
    <row r="75" customFormat="true" ht="15" customHeight="true" x14ac:dyDescent="0.15"/>
    <row r="76" customFormat="true" ht="15" customHeight="true" x14ac:dyDescent="0.15"/>
    <row r="77" customFormat="true" ht="15" customHeight="true" x14ac:dyDescent="0.15"/>
    <row r="78" customFormat="true" ht="15" customHeight="true" x14ac:dyDescent="0.15"/>
    <row r="79" customFormat="true" ht="15" customHeight="true" x14ac:dyDescent="0.15"/>
    <row r="80" customFormat="true" ht="15" customHeight="true" x14ac:dyDescent="0.15"/>
    <row r="81" customFormat="true" ht="15" customHeight="true" x14ac:dyDescent="0.15"/>
    <row r="82" customFormat="true" ht="15" customHeight="true" x14ac:dyDescent="0.15"/>
    <row r="83" customFormat="true" ht="15" customHeight="true" x14ac:dyDescent="0.15"/>
    <row r="84" customFormat="true" ht="15" customHeight="true" x14ac:dyDescent="0.15"/>
    <row r="85" customFormat="true" ht="15" customHeight="true" x14ac:dyDescent="0.15"/>
    <row r="86" customFormat="true" ht="15" customHeight="true" x14ac:dyDescent="0.15"/>
    <row r="87" customFormat="true" ht="15" customHeight="true" x14ac:dyDescent="0.15"/>
    <row r="88" customFormat="true" ht="15" customHeight="true" x14ac:dyDescent="0.15"/>
    <row r="89" customFormat="true" ht="15" customHeight="true" x14ac:dyDescent="0.15"/>
    <row r="90" customFormat="true" ht="15" customHeight="true" x14ac:dyDescent="0.15"/>
    <row r="91" customFormat="true" ht="15" customHeight="true" x14ac:dyDescent="0.15"/>
    <row r="92" customFormat="true" ht="15" customHeight="true" x14ac:dyDescent="0.15"/>
    <row r="93" customFormat="true" ht="15" customHeight="true" x14ac:dyDescent="0.15"/>
    <row r="94" customFormat="true" ht="15" customHeight="true" x14ac:dyDescent="0.15"/>
    <row r="95" customFormat="true" ht="15" customHeight="true" x14ac:dyDescent="0.15"/>
    <row r="96" customFormat="true" ht="15" customHeight="true" x14ac:dyDescent="0.15"/>
    <row r="97" customFormat="true" ht="15" customHeight="true" x14ac:dyDescent="0.15"/>
    <row r="98" customFormat="true" ht="15" customHeight="true" x14ac:dyDescent="0.15"/>
    <row r="99" customFormat="true" ht="15" customHeight="true" x14ac:dyDescent="0.15"/>
    <row r="100" customFormat="true" ht="15" customHeight="true" x14ac:dyDescent="0.15"/>
    <row r="101" customFormat="true" ht="15" customHeight="true" x14ac:dyDescent="0.15"/>
    <row r="102" customFormat="true" ht="15" customHeight="true" x14ac:dyDescent="0.15"/>
    <row r="103" customFormat="true" ht="15" customHeight="true" x14ac:dyDescent="0.15"/>
    <row r="104" customFormat="true" ht="15" customHeight="true" x14ac:dyDescent="0.15"/>
    <row r="105" customFormat="true" ht="15" customHeight="true" x14ac:dyDescent="0.15"/>
    <row r="106" customFormat="true" ht="15" customHeight="true" x14ac:dyDescent="0.15"/>
    <row r="107" customFormat="true" ht="15" customHeight="true" x14ac:dyDescent="0.15"/>
    <row r="108" customFormat="true" ht="15" customHeight="true" x14ac:dyDescent="0.15"/>
    <row r="109" customFormat="true" ht="15" customHeight="true" x14ac:dyDescent="0.15"/>
    <row r="110" customFormat="true" ht="15" customHeight="true" x14ac:dyDescent="0.15"/>
    <row r="111" customFormat="true" ht="15" customHeight="true" x14ac:dyDescent="0.15"/>
    <row r="112" customFormat="true" ht="15" customHeight="true" x14ac:dyDescent="0.15"/>
    <row r="113" customFormat="true" ht="15" customHeight="true" x14ac:dyDescent="0.15"/>
    <row r="114" customFormat="true" ht="15" customHeight="true" x14ac:dyDescent="0.15"/>
    <row r="115" customFormat="true" ht="15" customHeight="true" x14ac:dyDescent="0.15"/>
    <row r="116" customFormat="true" ht="15" customHeight="true" x14ac:dyDescent="0.15"/>
    <row r="117" customFormat="true" ht="15" customHeight="true" x14ac:dyDescent="0.15"/>
    <row r="118" customFormat="true" ht="15" customHeight="true" x14ac:dyDescent="0.15"/>
    <row r="119" customFormat="true" ht="15" customHeight="true" x14ac:dyDescent="0.15"/>
    <row r="120" customFormat="true" ht="15" customHeight="true" x14ac:dyDescent="0.15"/>
    <row r="121" customFormat="true" ht="15" customHeight="true" x14ac:dyDescent="0.15"/>
    <row r="122" customFormat="true" ht="15" customHeight="true" x14ac:dyDescent="0.15"/>
    <row r="123" customFormat="true" ht="15" customHeight="true" x14ac:dyDescent="0.15"/>
    <row r="124" customFormat="true" ht="15" customHeight="true" x14ac:dyDescent="0.15"/>
    <row r="125" customFormat="true" ht="15" customHeight="true" x14ac:dyDescent="0.15"/>
    <row r="126" customFormat="true" ht="15" customHeight="true" x14ac:dyDescent="0.15"/>
    <row r="127" customFormat="true" ht="15" customHeight="true" x14ac:dyDescent="0.15"/>
    <row r="128" customFormat="true" ht="15" customHeight="true" x14ac:dyDescent="0.15"/>
    <row r="129" customFormat="true" ht="15" customHeight="true" x14ac:dyDescent="0.15"/>
    <row r="130" customFormat="true" ht="15" customHeight="true" x14ac:dyDescent="0.15"/>
    <row r="131" customFormat="true" ht="15" customHeight="true" x14ac:dyDescent="0.15"/>
    <row r="132" customFormat="true" ht="15" customHeight="true" x14ac:dyDescent="0.15"/>
    <row r="133" customFormat="true" ht="15" customHeight="true" x14ac:dyDescent="0.15"/>
    <row r="134" customFormat="true" ht="15" customHeight="true" x14ac:dyDescent="0.15"/>
    <row r="135" customFormat="true" ht="15" customHeight="true" x14ac:dyDescent="0.15"/>
    <row r="136" customFormat="true" ht="15" customHeight="true" x14ac:dyDescent="0.15"/>
    <row r="137" customFormat="true" ht="15" customHeight="true" x14ac:dyDescent="0.15"/>
    <row r="138" customFormat="true" ht="15" customHeight="true" x14ac:dyDescent="0.15"/>
    <row r="139" customFormat="true" ht="15" customHeight="true" x14ac:dyDescent="0.15"/>
    <row r="140" customFormat="true" ht="15" customHeight="true" x14ac:dyDescent="0.15"/>
    <row r="141" customFormat="true" ht="15" customHeight="true" x14ac:dyDescent="0.15"/>
    <row r="142" customFormat="true" ht="15" customHeight="true" x14ac:dyDescent="0.15"/>
    <row r="143" customFormat="true" ht="15" customHeight="true" x14ac:dyDescent="0.15"/>
    <row r="144" customFormat="true" ht="15" customHeight="true" x14ac:dyDescent="0.15"/>
    <row r="145" customFormat="true" ht="15" customHeight="true" x14ac:dyDescent="0.15"/>
    <row r="146" customFormat="true" ht="15" customHeight="true" x14ac:dyDescent="0.15"/>
    <row r="147" customFormat="true" ht="15" customHeight="true" x14ac:dyDescent="0.15"/>
    <row r="148" customFormat="true" ht="15" customHeight="true" x14ac:dyDescent="0.15"/>
    <row r="149" customFormat="true" ht="15" customHeight="true" x14ac:dyDescent="0.15"/>
    <row r="150" customFormat="true" ht="15" customHeight="true" x14ac:dyDescent="0.15"/>
    <row r="151" customFormat="true" ht="15" customHeight="true" x14ac:dyDescent="0.15"/>
    <row r="152" customFormat="true" ht="15" customHeight="true" x14ac:dyDescent="0.15"/>
    <row r="153" customFormat="true" ht="15" customHeight="true" x14ac:dyDescent="0.15"/>
    <row r="154" customFormat="true" ht="15" customHeight="true" x14ac:dyDescent="0.15"/>
    <row r="155" customFormat="true" ht="15" customHeight="true" x14ac:dyDescent="0.15"/>
    <row r="156" customFormat="true" ht="15" customHeight="true" x14ac:dyDescent="0.15"/>
    <row r="157" customFormat="true" ht="15" customHeight="true" x14ac:dyDescent="0.15"/>
    <row r="158" customFormat="true" ht="15" customHeight="true" x14ac:dyDescent="0.15"/>
    <row r="159" customFormat="true" ht="15" customHeight="true" x14ac:dyDescent="0.15"/>
    <row r="160" customFormat="true" ht="15" customHeight="true" x14ac:dyDescent="0.15"/>
    <row r="161" customFormat="true" ht="15" customHeight="true" x14ac:dyDescent="0.15"/>
    <row r="162" customFormat="true" ht="15" customHeight="true" x14ac:dyDescent="0.15"/>
    <row r="163" customFormat="true" ht="15" customHeight="true" x14ac:dyDescent="0.15"/>
    <row r="164" customFormat="true" ht="15" customHeight="true" x14ac:dyDescent="0.15"/>
    <row r="165" customFormat="true" ht="15" customHeight="true" x14ac:dyDescent="0.15"/>
    <row r="166" customFormat="true" ht="15" customHeight="true" x14ac:dyDescent="0.15"/>
    <row r="167" customFormat="true" ht="15" customHeight="true" x14ac:dyDescent="0.15"/>
    <row r="168" customFormat="true" ht="15" customHeight="true" x14ac:dyDescent="0.15"/>
    <row r="169" customFormat="true" ht="15" customHeight="true" x14ac:dyDescent="0.15"/>
    <row r="170" customFormat="true" ht="15" customHeight="true" x14ac:dyDescent="0.15"/>
    <row r="171" customFormat="true" ht="15" customHeight="true" x14ac:dyDescent="0.15"/>
    <row r="172" customFormat="true" ht="15" customHeight="true" x14ac:dyDescent="0.15"/>
    <row r="173" customFormat="true" ht="15" customHeight="true" x14ac:dyDescent="0.15"/>
    <row r="174" customFormat="true" ht="15" customHeight="true" x14ac:dyDescent="0.15"/>
    <row r="175" customFormat="true" ht="15" customHeight="true" x14ac:dyDescent="0.15"/>
    <row r="176" customFormat="true" ht="15" customHeight="true" x14ac:dyDescent="0.15"/>
    <row r="177" customFormat="true" ht="15" customHeight="true" x14ac:dyDescent="0.15"/>
    <row r="178" customFormat="true" ht="15" customHeight="true" x14ac:dyDescent="0.15"/>
    <row r="179" customFormat="true" ht="15" customHeight="true" x14ac:dyDescent="0.15"/>
    <row r="180" customFormat="true" ht="15" customHeight="true" x14ac:dyDescent="0.15"/>
    <row r="181" customFormat="true" ht="15" customHeight="true" x14ac:dyDescent="0.15"/>
    <row r="182" customFormat="true" ht="15" customHeight="true" x14ac:dyDescent="0.15"/>
    <row r="183" customFormat="true" ht="15" customHeight="true" x14ac:dyDescent="0.15"/>
    <row r="184" customFormat="true" ht="15" customHeight="true" x14ac:dyDescent="0.15"/>
    <row r="185" customFormat="true" ht="15" customHeight="true" x14ac:dyDescent="0.15"/>
    <row r="186" customFormat="true" ht="15" customHeight="true" x14ac:dyDescent="0.15"/>
    <row r="187" customFormat="true" ht="15" customHeight="true" x14ac:dyDescent="0.15"/>
    <row r="188" customFormat="true" ht="15" customHeight="true" x14ac:dyDescent="0.15"/>
    <row r="189" customFormat="true" ht="15" customHeight="true" x14ac:dyDescent="0.15"/>
    <row r="190" customFormat="true" ht="15" customHeight="true" x14ac:dyDescent="0.15"/>
    <row r="191" customFormat="true" ht="15" customHeight="true" x14ac:dyDescent="0.15"/>
    <row r="192" customFormat="true" ht="15" customHeight="true" x14ac:dyDescent="0.15"/>
    <row r="193" customFormat="true" ht="15" customHeight="true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BG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0" sqref="E10"/>
    </sheetView>
  </sheetViews>
  <sheetFormatPr baseColWidth="10" defaultColWidth="8.83203125" defaultRowHeight="13" x14ac:dyDescent="0.15"/>
  <cols>
    <col min="1" max="1" width="40.1640625" style="126" bestFit="true" customWidth="true"/>
    <col min="2" max="8" width="9" style="126" bestFit="true" customWidth="true"/>
    <col min="9" max="9" width="11.1640625" style="126" bestFit="true" customWidth="true"/>
    <col min="10" max="29" width="9" style="126" bestFit="true" customWidth="true"/>
    <col min="30" max="16384" width="8.83203125" style="126"/>
  </cols>
  <sheetData>
    <row r="1" customFormat="true" x14ac:dyDescent="0.15">
      <c r="A1" s="4" t="s">
        <v>19</v>
      </c>
      <c r="B1" t="s">
        <v>167</v>
      </c>
      <c r="C1" t="s">
        <v>168</v>
      </c>
      <c r="D1" t="s">
        <v>169</v>
      </c>
      <c r="E1" t="s">
        <v>170</v>
      </c>
      <c r="F1" t="s">
        <v>171</v>
      </c>
      <c r="G1" t="s">
        <v>172</v>
      </c>
      <c r="H1" t="s">
        <v>173</v>
      </c>
      <c r="I1" t="s">
        <v>174</v>
      </c>
      <c r="J1" t="s">
        <v>175</v>
      </c>
      <c r="K1" t="s">
        <v>176</v>
      </c>
      <c r="L1" t="s">
        <v>177</v>
      </c>
      <c r="M1" t="s">
        <v>178</v>
      </c>
      <c r="N1" t="s">
        <v>179</v>
      </c>
      <c r="O1" t="s">
        <v>180</v>
      </c>
      <c r="P1" t="s">
        <v>181</v>
      </c>
      <c r="Q1" t="s">
        <v>182</v>
      </c>
      <c r="R1" t="s">
        <v>183</v>
      </c>
      <c r="S1" t="s">
        <v>184</v>
      </c>
      <c r="T1" t="s">
        <v>185</v>
      </c>
      <c r="U1" t="s">
        <v>186</v>
      </c>
      <c r="V1" t="s">
        <v>187</v>
      </c>
      <c r="W1" t="s">
        <v>188</v>
      </c>
      <c r="X1" t="s">
        <v>189</v>
      </c>
      <c r="Y1" t="s">
        <v>190</v>
      </c>
      <c r="Z1" t="s">
        <v>191</v>
      </c>
      <c r="AA1" t="s">
        <v>192</v>
      </c>
      <c r="AB1" t="s">
        <v>193</v>
      </c>
      <c r="AC1" t="s">
        <v>194</v>
      </c>
      <c r="AD1" t="s">
        <v>195</v>
      </c>
      <c r="AE1" t="s">
        <v>196</v>
      </c>
      <c r="AF1" t="s">
        <v>197</v>
      </c>
      <c r="AG1" t="s">
        <v>198</v>
      </c>
      <c r="AH1" t="s">
        <v>199</v>
      </c>
      <c r="AI1" t="s">
        <v>200</v>
      </c>
      <c r="AJ1" t="s">
        <v>201</v>
      </c>
      <c r="AK1" t="s">
        <v>202</v>
      </c>
      <c r="AL1" t="s">
        <v>203</v>
      </c>
      <c r="AM1" t="s">
        <v>204</v>
      </c>
      <c r="AN1" t="s">
        <v>205</v>
      </c>
      <c r="AO1" t="s">
        <v>206</v>
      </c>
      <c r="AP1" t="s">
        <v>207</v>
      </c>
      <c r="AQ1" t="s">
        <v>208</v>
      </c>
      <c r="AR1" t="s">
        <v>209</v>
      </c>
      <c r="AS1" t="s">
        <v>210</v>
      </c>
      <c r="AT1" t="s">
        <v>211</v>
      </c>
      <c r="AU1" t="s">
        <v>212</v>
      </c>
      <c r="AV1" t="s">
        <v>213</v>
      </c>
      <c r="AW1" t="s">
        <v>214</v>
      </c>
      <c r="AX1" t="s">
        <v>215</v>
      </c>
      <c r="AY1" t="s">
        <v>216</v>
      </c>
      <c r="AZ1" t="s">
        <v>217</v>
      </c>
      <c r="BA1" t="s">
        <v>218</v>
      </c>
      <c r="BB1" t="s">
        <v>219</v>
      </c>
      <c r="BC1" t="s">
        <v>220</v>
      </c>
      <c r="BD1" t="s">
        <v>221</v>
      </c>
      <c r="BE1" t="s">
        <v>71</v>
      </c>
      <c r="BF1" t="s">
        <v>222</v>
      </c>
      <c r="BG1" t="s">
        <v>72</v>
      </c>
    </row>
    <row r="2" customFormat="true" x14ac:dyDescent="0.15">
      <c r="A2" t="s">
        <v>167</v>
      </c>
      <c r="B2" s="160">
        <v>1.9971999999999999E-4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 s="161">
        <v>0</v>
      </c>
      <c r="BF2" s="161">
        <v>0</v>
      </c>
      <c r="BG2" s="161">
        <v>0</v>
      </c>
    </row>
    <row r="3" customFormat="true" x14ac:dyDescent="0.15">
      <c r="A3" t="s">
        <v>168</v>
      </c>
      <c r="B3">
        <v>0</v>
      </c>
      <c r="C3" s="160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 s="161">
        <v>0</v>
      </c>
      <c r="BF3" s="161">
        <v>0</v>
      </c>
      <c r="BG3" s="161">
        <v>0</v>
      </c>
    </row>
    <row r="4" customFormat="true" x14ac:dyDescent="0.15">
      <c r="A4" t="s">
        <v>169</v>
      </c>
      <c r="B4">
        <v>1.9971999999999999E-4</v>
      </c>
      <c r="C4">
        <v>0</v>
      </c>
      <c r="D4" s="160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 s="161">
        <v>0</v>
      </c>
      <c r="BF4" s="161">
        <v>0</v>
      </c>
      <c r="BG4" s="161">
        <v>0</v>
      </c>
    </row>
    <row r="5" customFormat="true" x14ac:dyDescent="0.15">
      <c r="A5" t="s">
        <v>170</v>
      </c>
      <c r="B5">
        <v>0</v>
      </c>
      <c r="C5">
        <v>0</v>
      </c>
      <c r="D5">
        <v>0</v>
      </c>
      <c r="E5" s="160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 s="161">
        <v>0</v>
      </c>
      <c r="BF5" s="161">
        <v>0</v>
      </c>
      <c r="BG5" s="161">
        <v>0</v>
      </c>
    </row>
    <row r="6" customFormat="true" x14ac:dyDescent="0.15">
      <c r="A6" t="s">
        <v>171</v>
      </c>
      <c r="B6">
        <v>0</v>
      </c>
      <c r="C6">
        <v>0</v>
      </c>
      <c r="D6">
        <v>0</v>
      </c>
      <c r="E6">
        <v>0</v>
      </c>
      <c r="F6" s="160">
        <v>1.003009E-2</v>
      </c>
      <c r="G6">
        <v>0</v>
      </c>
      <c r="H6">
        <v>0</v>
      </c>
      <c r="I6">
        <v>0</v>
      </c>
      <c r="J6">
        <v>0</v>
      </c>
      <c r="K6">
        <v>1.9920319999999999E-3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 s="161">
        <v>0</v>
      </c>
      <c r="BF6" s="161">
        <v>0</v>
      </c>
      <c r="BG6" s="161">
        <v>0</v>
      </c>
    </row>
    <row r="7" customFormat="true" x14ac:dyDescent="0.15">
      <c r="A7" t="s">
        <v>172</v>
      </c>
      <c r="B7">
        <v>0</v>
      </c>
      <c r="C7">
        <v>0</v>
      </c>
      <c r="D7">
        <v>0</v>
      </c>
      <c r="E7">
        <v>0</v>
      </c>
      <c r="F7">
        <v>0</v>
      </c>
      <c r="G7" s="160">
        <v>0</v>
      </c>
      <c r="H7">
        <v>0</v>
      </c>
      <c r="I7">
        <v>0</v>
      </c>
      <c r="J7">
        <v>0</v>
      </c>
      <c r="K7">
        <v>9.9601599999999996E-4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 s="161">
        <v>0</v>
      </c>
      <c r="BF7" s="161">
        <v>0</v>
      </c>
      <c r="BG7" s="161">
        <v>0</v>
      </c>
    </row>
    <row r="8" customFormat="true" x14ac:dyDescent="0.15">
      <c r="A8" t="s">
        <v>173</v>
      </c>
      <c r="B8">
        <v>0</v>
      </c>
      <c r="C8">
        <v>0</v>
      </c>
      <c r="D8">
        <v>0</v>
      </c>
      <c r="E8">
        <v>0</v>
      </c>
      <c r="F8">
        <v>1.003009E-2</v>
      </c>
      <c r="G8">
        <v>0</v>
      </c>
      <c r="H8" s="160">
        <v>0.02</v>
      </c>
      <c r="I8">
        <v>0</v>
      </c>
      <c r="J8">
        <v>0</v>
      </c>
      <c r="K8">
        <v>6.9721119999999999E-3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 s="161">
        <v>0</v>
      </c>
      <c r="BF8" s="161">
        <v>0</v>
      </c>
      <c r="BG8" s="161">
        <v>0</v>
      </c>
    </row>
    <row r="9" customFormat="true" x14ac:dyDescent="0.15">
      <c r="A9" t="s">
        <v>174</v>
      </c>
      <c r="B9">
        <v>0</v>
      </c>
      <c r="C9">
        <v>0</v>
      </c>
      <c r="D9">
        <v>0</v>
      </c>
      <c r="E9">
        <v>0</v>
      </c>
      <c r="F9">
        <v>1.2036108E-2</v>
      </c>
      <c r="G9">
        <v>0</v>
      </c>
      <c r="H9">
        <v>0.15</v>
      </c>
      <c r="I9" s="160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1.6E-2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 s="161">
        <v>0</v>
      </c>
      <c r="BF9" s="161">
        <v>0</v>
      </c>
      <c r="BG9" s="161">
        <v>0</v>
      </c>
    </row>
    <row r="10" customFormat="true" x14ac:dyDescent="0.15">
      <c r="A10" t="s">
        <v>175</v>
      </c>
      <c r="B10">
        <v>0</v>
      </c>
      <c r="C10">
        <v>0</v>
      </c>
      <c r="D10">
        <v>0</v>
      </c>
      <c r="E10">
        <v>0</v>
      </c>
      <c r="F10">
        <v>7.0210631999999995E-2</v>
      </c>
      <c r="G10">
        <v>0</v>
      </c>
      <c r="H10">
        <v>0</v>
      </c>
      <c r="I10">
        <v>0</v>
      </c>
      <c r="J10" s="160">
        <v>6.9651741000000003E-2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3.0030030000000002E-3</v>
      </c>
      <c r="AA10">
        <v>5.0000000000000001E-3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 s="161">
        <v>0</v>
      </c>
      <c r="BF10" s="161">
        <v>0</v>
      </c>
      <c r="BG10" s="161">
        <v>0</v>
      </c>
    </row>
    <row r="11" customFormat="true" x14ac:dyDescent="0.15">
      <c r="A11" t="s">
        <v>176</v>
      </c>
      <c r="B11">
        <v>1.6976233E-2</v>
      </c>
      <c r="C11">
        <v>2.0181629999999999E-3</v>
      </c>
      <c r="D11">
        <v>0</v>
      </c>
      <c r="E11">
        <v>0</v>
      </c>
      <c r="F11">
        <v>8.5255766999999996E-2</v>
      </c>
      <c r="G11">
        <v>0</v>
      </c>
      <c r="H11">
        <v>2.5000000000000001E-2</v>
      </c>
      <c r="I11">
        <v>0</v>
      </c>
      <c r="J11">
        <v>0</v>
      </c>
      <c r="K11" s="160">
        <v>9.9601589999999997E-3</v>
      </c>
      <c r="L11">
        <v>9.9800400000000008E-3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5.0050049999999999E-3</v>
      </c>
      <c r="AA11">
        <v>7.0000000000000001E-3</v>
      </c>
      <c r="AB11">
        <v>0</v>
      </c>
      <c r="AC11">
        <v>0</v>
      </c>
      <c r="AD11">
        <v>0</v>
      </c>
      <c r="AE11">
        <v>2.5050099999999999E-2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 s="161">
        <v>0</v>
      </c>
      <c r="BF11" s="161">
        <v>0</v>
      </c>
      <c r="BG11" s="161">
        <v>0</v>
      </c>
    </row>
    <row r="12" customFormat="true" x14ac:dyDescent="0.15">
      <c r="A12" t="s">
        <v>177</v>
      </c>
      <c r="B12">
        <v>0</v>
      </c>
      <c r="C12">
        <v>0</v>
      </c>
      <c r="D12">
        <v>0</v>
      </c>
      <c r="E12">
        <v>0</v>
      </c>
      <c r="F12">
        <v>5.7171514999999999E-2</v>
      </c>
      <c r="G12">
        <v>0</v>
      </c>
      <c r="H12">
        <v>3.0000000000000001E-3</v>
      </c>
      <c r="I12">
        <v>0</v>
      </c>
      <c r="J12">
        <v>9.9502489999999996E-3</v>
      </c>
      <c r="K12">
        <v>2.9880480000000001E-3</v>
      </c>
      <c r="L12" s="160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1E-3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 s="161">
        <v>0</v>
      </c>
      <c r="BF12" s="161">
        <v>0</v>
      </c>
      <c r="BG12" s="161">
        <v>0</v>
      </c>
    </row>
    <row r="13" customFormat="true" x14ac:dyDescent="0.15">
      <c r="A13" t="s">
        <v>178</v>
      </c>
      <c r="B13">
        <v>1.4979029E-2</v>
      </c>
      <c r="C13">
        <v>2.0181629999999999E-3</v>
      </c>
      <c r="D13">
        <v>0</v>
      </c>
      <c r="E13">
        <v>0</v>
      </c>
      <c r="F13">
        <v>5.7171514999999999E-2</v>
      </c>
      <c r="G13">
        <v>0</v>
      </c>
      <c r="H13">
        <v>3.0000000000000001E-3</v>
      </c>
      <c r="I13">
        <v>0</v>
      </c>
      <c r="J13">
        <v>1.9900497999999999E-2</v>
      </c>
      <c r="K13">
        <v>4.9800799999999996E-3</v>
      </c>
      <c r="L13">
        <v>0</v>
      </c>
      <c r="M13" s="160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1E-3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 s="161">
        <v>0</v>
      </c>
      <c r="BF13" s="161">
        <v>0</v>
      </c>
      <c r="BG13" s="161">
        <v>0</v>
      </c>
    </row>
    <row r="14" customFormat="true" x14ac:dyDescent="0.15">
      <c r="A14" t="s">
        <v>179</v>
      </c>
      <c r="B14">
        <v>5.2925904000000003E-2</v>
      </c>
      <c r="C14">
        <v>0.24217961700000001</v>
      </c>
      <c r="D14">
        <v>6.9033530000000001E-3</v>
      </c>
      <c r="E14">
        <v>0</v>
      </c>
      <c r="F14">
        <v>7.3219659000000006E-2</v>
      </c>
      <c r="G14">
        <v>0</v>
      </c>
      <c r="H14">
        <v>3.6999999999999998E-2</v>
      </c>
      <c r="I14">
        <v>0</v>
      </c>
      <c r="J14">
        <v>9.9502488E-2</v>
      </c>
      <c r="K14">
        <v>0.14940239</v>
      </c>
      <c r="L14">
        <v>0.449101796</v>
      </c>
      <c r="M14">
        <v>0.38836653399999999</v>
      </c>
      <c r="N14" s="160">
        <v>0</v>
      </c>
      <c r="O14">
        <v>9.9700900000000009E-4</v>
      </c>
      <c r="P14">
        <v>1.5920397999999999E-2</v>
      </c>
      <c r="Q14">
        <v>0</v>
      </c>
      <c r="R14">
        <v>1.7068272999999998E-2</v>
      </c>
      <c r="S14">
        <v>5.9880239999999998E-3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5.8058058000000003E-2</v>
      </c>
      <c r="AA14">
        <v>5.8000000000000003E-2</v>
      </c>
      <c r="AB14">
        <v>9.0270809999999993E-3</v>
      </c>
      <c r="AC14">
        <v>0</v>
      </c>
      <c r="AD14">
        <v>0</v>
      </c>
      <c r="AE14">
        <v>3.8076152000000002E-2</v>
      </c>
      <c r="AF14">
        <v>0</v>
      </c>
      <c r="AG14">
        <v>0</v>
      </c>
      <c r="AH14">
        <v>0</v>
      </c>
      <c r="AI14">
        <v>4.9900200000000004E-3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 s="161">
        <v>0</v>
      </c>
      <c r="BF14" s="161">
        <v>0</v>
      </c>
      <c r="BG14" s="161">
        <v>0</v>
      </c>
    </row>
    <row r="15" customFormat="true" x14ac:dyDescent="0.15">
      <c r="A15" t="s">
        <v>180</v>
      </c>
      <c r="B15">
        <v>0</v>
      </c>
      <c r="C15">
        <v>2.0181629999999999E-3</v>
      </c>
      <c r="D15">
        <v>0</v>
      </c>
      <c r="E15">
        <v>0</v>
      </c>
      <c r="F15">
        <v>9.2276830000000004E-2</v>
      </c>
      <c r="G15">
        <v>0</v>
      </c>
      <c r="H15">
        <v>0.03</v>
      </c>
      <c r="I15">
        <v>0</v>
      </c>
      <c r="J15">
        <v>9.9502488E-2</v>
      </c>
      <c r="K15">
        <v>7.9697211000000004E-2</v>
      </c>
      <c r="L15">
        <v>0</v>
      </c>
      <c r="M15">
        <v>0</v>
      </c>
      <c r="N15">
        <v>0</v>
      </c>
      <c r="O15" s="160">
        <v>9.9700900000000009E-4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4.9900199999999999E-2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 s="161">
        <v>0</v>
      </c>
      <c r="BF15" s="161">
        <v>0</v>
      </c>
      <c r="BG15" s="161">
        <v>0</v>
      </c>
    </row>
    <row r="16" customFormat="true" x14ac:dyDescent="0.15">
      <c r="A16" t="s">
        <v>181</v>
      </c>
      <c r="B16">
        <v>1.5977630999999999E-2</v>
      </c>
      <c r="C16">
        <v>5.0454087000000002E-2</v>
      </c>
      <c r="D16">
        <v>0</v>
      </c>
      <c r="E16">
        <v>0</v>
      </c>
      <c r="F16">
        <v>9.6288867E-2</v>
      </c>
      <c r="G16">
        <v>0.118694362</v>
      </c>
      <c r="H16">
        <v>0.03</v>
      </c>
      <c r="I16">
        <v>0</v>
      </c>
      <c r="J16">
        <v>0.10945273599999999</v>
      </c>
      <c r="K16">
        <v>6.1752988000000002E-2</v>
      </c>
      <c r="L16">
        <v>0.10978043899999999</v>
      </c>
      <c r="M16">
        <v>0.229123506</v>
      </c>
      <c r="N16">
        <v>0</v>
      </c>
      <c r="O16">
        <v>9.9700900000000009E-4</v>
      </c>
      <c r="P16" s="160">
        <v>9.9502489999999996E-3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3.8038038000000003E-2</v>
      </c>
      <c r="AA16">
        <v>1.4999999999999999E-2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4.9900200000000004E-3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 s="161">
        <v>0</v>
      </c>
      <c r="BF16" s="161">
        <v>0</v>
      </c>
      <c r="BG16" s="161">
        <v>0</v>
      </c>
    </row>
    <row r="17" customFormat="true" x14ac:dyDescent="0.15">
      <c r="A17" t="s">
        <v>182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3.9760960000000001E-3</v>
      </c>
      <c r="L17">
        <v>0</v>
      </c>
      <c r="M17">
        <v>0</v>
      </c>
      <c r="N17">
        <v>0</v>
      </c>
      <c r="O17">
        <v>0</v>
      </c>
      <c r="P17">
        <v>0</v>
      </c>
      <c r="Q17" s="160">
        <v>0</v>
      </c>
      <c r="R17">
        <v>0</v>
      </c>
      <c r="S17">
        <v>0</v>
      </c>
      <c r="T17">
        <v>0</v>
      </c>
      <c r="U17">
        <v>9.9900100000000006E-2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2.5050099999999999E-2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 s="161">
        <v>0</v>
      </c>
      <c r="BF17" s="161">
        <v>0</v>
      </c>
      <c r="BG17" s="161">
        <v>0</v>
      </c>
    </row>
    <row r="18" customFormat="true" x14ac:dyDescent="0.15">
      <c r="A18" t="s">
        <v>183</v>
      </c>
      <c r="B18">
        <v>0</v>
      </c>
      <c r="C18">
        <v>9.9899091999999995E-2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1.1976048E-2</v>
      </c>
      <c r="M18">
        <v>0</v>
      </c>
      <c r="N18">
        <v>0</v>
      </c>
      <c r="O18">
        <v>0</v>
      </c>
      <c r="P18">
        <v>0</v>
      </c>
      <c r="Q18">
        <v>0</v>
      </c>
      <c r="R18" s="160">
        <v>1.0040161000000001E-2</v>
      </c>
      <c r="S18">
        <v>0</v>
      </c>
      <c r="T18">
        <v>0</v>
      </c>
      <c r="U18">
        <v>9.9900100000000006E-2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 s="161">
        <v>0</v>
      </c>
      <c r="BF18" s="161">
        <v>0</v>
      </c>
      <c r="BG18" s="161">
        <v>0</v>
      </c>
    </row>
    <row r="19" customFormat="true" x14ac:dyDescent="0.15">
      <c r="A19" t="s">
        <v>184</v>
      </c>
      <c r="B19">
        <v>0</v>
      </c>
      <c r="C19">
        <v>0.141271443</v>
      </c>
      <c r="D19">
        <v>0</v>
      </c>
      <c r="E19">
        <v>0</v>
      </c>
      <c r="F19">
        <v>1.5045134999999999E-2</v>
      </c>
      <c r="G19">
        <v>0</v>
      </c>
      <c r="H19">
        <v>0.03</v>
      </c>
      <c r="I19">
        <v>0</v>
      </c>
      <c r="J19">
        <v>0</v>
      </c>
      <c r="K19">
        <v>7.0677291000000003E-2</v>
      </c>
      <c r="L19">
        <v>2.8942116E-2</v>
      </c>
      <c r="M19">
        <v>0.15440239</v>
      </c>
      <c r="N19">
        <v>0</v>
      </c>
      <c r="O19">
        <v>0</v>
      </c>
      <c r="P19">
        <v>0</v>
      </c>
      <c r="Q19">
        <v>0</v>
      </c>
      <c r="R19">
        <v>4.0160643000000003E-2</v>
      </c>
      <c r="S19" s="160">
        <v>3.9920160000000001E-3</v>
      </c>
      <c r="T19">
        <v>0</v>
      </c>
      <c r="U19">
        <v>0</v>
      </c>
      <c r="V19">
        <v>0</v>
      </c>
      <c r="W19">
        <v>8.8176352999999999E-2</v>
      </c>
      <c r="X19">
        <v>0</v>
      </c>
      <c r="Y19">
        <v>0</v>
      </c>
      <c r="Z19">
        <v>2.0020019999999999E-2</v>
      </c>
      <c r="AA19">
        <v>4.2000000000000003E-2</v>
      </c>
      <c r="AB19">
        <v>0</v>
      </c>
      <c r="AC19">
        <v>0</v>
      </c>
      <c r="AD19">
        <v>0</v>
      </c>
      <c r="AE19">
        <v>9.5190381000000004E-2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8.0357143000000006E-2</v>
      </c>
      <c r="AN19">
        <v>0.01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 s="161">
        <v>0</v>
      </c>
      <c r="BF19" s="161">
        <v>0</v>
      </c>
      <c r="BG19" s="161">
        <v>0</v>
      </c>
    </row>
    <row r="20" customFormat="true" x14ac:dyDescent="0.15">
      <c r="A20" t="s">
        <v>185</v>
      </c>
      <c r="B20">
        <v>0.20970641100000001</v>
      </c>
      <c r="C20">
        <v>9.9899091999999995E-2</v>
      </c>
      <c r="D20">
        <v>0</v>
      </c>
      <c r="E20">
        <v>0</v>
      </c>
      <c r="F20">
        <v>5.2156468999999997E-2</v>
      </c>
      <c r="G20">
        <v>0</v>
      </c>
      <c r="H20">
        <v>0</v>
      </c>
      <c r="I20">
        <v>0</v>
      </c>
      <c r="J20">
        <v>0</v>
      </c>
      <c r="K20">
        <v>6.0776891999999999E-2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2.0080321000000002E-2</v>
      </c>
      <c r="S20">
        <v>9.9800400000000004E-4</v>
      </c>
      <c r="T20" s="160">
        <v>0</v>
      </c>
      <c r="U20">
        <v>0</v>
      </c>
      <c r="V20">
        <v>0</v>
      </c>
      <c r="W20">
        <v>5.4108216000000001E-2</v>
      </c>
      <c r="X20">
        <v>0</v>
      </c>
      <c r="Y20">
        <v>0</v>
      </c>
      <c r="Z20">
        <v>4.0040040000000002E-3</v>
      </c>
      <c r="AA20">
        <v>6.6000000000000003E-2</v>
      </c>
      <c r="AB20">
        <v>7.0210630000000001E-3</v>
      </c>
      <c r="AC20">
        <v>0</v>
      </c>
      <c r="AD20">
        <v>0</v>
      </c>
      <c r="AE20">
        <v>1.8036072E-2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 s="161">
        <v>0</v>
      </c>
      <c r="BF20" s="161">
        <v>0</v>
      </c>
      <c r="BG20" s="161">
        <v>0</v>
      </c>
    </row>
    <row r="21" customFormat="true" x14ac:dyDescent="0.15">
      <c r="A21" t="s">
        <v>186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 s="160">
        <v>9.9900100000000001E-4</v>
      </c>
      <c r="V21">
        <v>0</v>
      </c>
      <c r="W21">
        <v>1.0020039999999999E-3</v>
      </c>
      <c r="X21">
        <v>0</v>
      </c>
      <c r="Y21">
        <v>0</v>
      </c>
      <c r="Z21">
        <v>1.0010010000000001E-3</v>
      </c>
      <c r="AA21">
        <v>1.2999999999999999E-2</v>
      </c>
      <c r="AB21">
        <v>1.003009E-3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 s="161">
        <v>0</v>
      </c>
      <c r="BF21" s="161">
        <v>0</v>
      </c>
      <c r="BG21" s="161">
        <v>0</v>
      </c>
    </row>
    <row r="22" customFormat="true" x14ac:dyDescent="0.15">
      <c r="A22" t="s">
        <v>187</v>
      </c>
      <c r="B22">
        <v>0</v>
      </c>
      <c r="C22">
        <v>0</v>
      </c>
      <c r="D22">
        <v>0</v>
      </c>
      <c r="E22">
        <v>0</v>
      </c>
      <c r="F22">
        <v>1.003009E-3</v>
      </c>
      <c r="G22">
        <v>0</v>
      </c>
      <c r="H22">
        <v>3.0000000000000001E-3</v>
      </c>
      <c r="I22">
        <v>0</v>
      </c>
      <c r="J22">
        <v>0</v>
      </c>
      <c r="K22">
        <v>2.9920319999999999E-3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0.19980020000000001</v>
      </c>
      <c r="V22" s="160">
        <v>0</v>
      </c>
      <c r="W22">
        <v>4.7094188000000002E-2</v>
      </c>
      <c r="X22">
        <v>0</v>
      </c>
      <c r="Y22">
        <v>0</v>
      </c>
      <c r="Z22">
        <v>9.0090090000000001E-3</v>
      </c>
      <c r="AA22">
        <v>3.5999999999999997E-2</v>
      </c>
      <c r="AB22">
        <v>2.006018E-3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 s="161">
        <v>0</v>
      </c>
      <c r="BF22" s="161">
        <v>0</v>
      </c>
      <c r="BG22" s="161">
        <v>0</v>
      </c>
    </row>
    <row r="23" customFormat="true" x14ac:dyDescent="0.15">
      <c r="A23" t="s">
        <v>188</v>
      </c>
      <c r="B23">
        <v>0</v>
      </c>
      <c r="C23">
        <v>0</v>
      </c>
      <c r="D23">
        <v>0</v>
      </c>
      <c r="E23">
        <v>0</v>
      </c>
      <c r="F23">
        <v>1.5045134999999999E-2</v>
      </c>
      <c r="G23">
        <v>0</v>
      </c>
      <c r="H23">
        <v>0.04</v>
      </c>
      <c r="I23">
        <v>0</v>
      </c>
      <c r="J23">
        <v>0</v>
      </c>
      <c r="K23">
        <v>0</v>
      </c>
      <c r="L23">
        <v>0</v>
      </c>
      <c r="M23">
        <v>2.0916335000000001E-2</v>
      </c>
      <c r="N23">
        <v>0</v>
      </c>
      <c r="O23">
        <v>0</v>
      </c>
      <c r="P23">
        <v>0</v>
      </c>
      <c r="Q23">
        <v>0</v>
      </c>
      <c r="R23">
        <v>0</v>
      </c>
      <c r="S23">
        <v>9.9800400000000004E-4</v>
      </c>
      <c r="T23">
        <v>0</v>
      </c>
      <c r="U23">
        <v>4.9950050000000003E-2</v>
      </c>
      <c r="V23">
        <v>0</v>
      </c>
      <c r="W23" s="160">
        <v>1.0020039999999999E-2</v>
      </c>
      <c r="X23">
        <v>0</v>
      </c>
      <c r="Y23">
        <v>0</v>
      </c>
      <c r="Z23">
        <v>8.0080080000000005E-3</v>
      </c>
      <c r="AA23">
        <v>2.5000000000000001E-2</v>
      </c>
      <c r="AB23">
        <v>1.003009E-3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 s="161">
        <v>0</v>
      </c>
      <c r="BF23" s="161">
        <v>0</v>
      </c>
      <c r="BG23" s="161">
        <v>0</v>
      </c>
    </row>
    <row r="24" customFormat="true" x14ac:dyDescent="0.15">
      <c r="A24" t="s">
        <v>189</v>
      </c>
      <c r="B24">
        <v>9.9860199999999991E-4</v>
      </c>
      <c r="C24">
        <v>0.13118062599999999</v>
      </c>
      <c r="D24">
        <v>0</v>
      </c>
      <c r="E24">
        <v>0</v>
      </c>
      <c r="F24">
        <v>1.6048144E-2</v>
      </c>
      <c r="G24">
        <v>0</v>
      </c>
      <c r="H24">
        <v>2.1999999999999999E-2</v>
      </c>
      <c r="I24">
        <v>4.4955044999999999E-2</v>
      </c>
      <c r="J24">
        <v>0</v>
      </c>
      <c r="K24">
        <v>2.9880480000000001E-3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2.5100402000000001E-2</v>
      </c>
      <c r="S24">
        <v>5.9880239999999998E-3</v>
      </c>
      <c r="T24">
        <v>0</v>
      </c>
      <c r="U24">
        <v>0.14985014999999999</v>
      </c>
      <c r="V24">
        <v>0</v>
      </c>
      <c r="W24">
        <v>2.1042083999999999E-2</v>
      </c>
      <c r="X24" s="160">
        <v>0</v>
      </c>
      <c r="Y24">
        <v>0</v>
      </c>
      <c r="Z24">
        <v>3.8038038000000003E-2</v>
      </c>
      <c r="AA24">
        <v>2.5000000000000001E-2</v>
      </c>
      <c r="AB24">
        <v>5.0150450000000001E-3</v>
      </c>
      <c r="AC24">
        <v>0</v>
      </c>
      <c r="AD24">
        <v>0</v>
      </c>
      <c r="AE24">
        <v>1.503006E-2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0.198412698</v>
      </c>
      <c r="AN24">
        <v>0.02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 s="161">
        <v>0</v>
      </c>
      <c r="BF24" s="161">
        <v>0</v>
      </c>
      <c r="BG24" s="161">
        <v>0</v>
      </c>
    </row>
    <row r="25" customFormat="true" x14ac:dyDescent="0.15">
      <c r="A25" t="s">
        <v>190</v>
      </c>
      <c r="B25">
        <v>1.4979029E-2</v>
      </c>
      <c r="C25">
        <v>2.0181629999999999E-3</v>
      </c>
      <c r="D25">
        <v>0</v>
      </c>
      <c r="E25">
        <v>0</v>
      </c>
      <c r="F25">
        <v>9.8294884999999999E-2</v>
      </c>
      <c r="G25">
        <v>0</v>
      </c>
      <c r="H25">
        <v>0</v>
      </c>
      <c r="I25">
        <v>0</v>
      </c>
      <c r="J25">
        <v>0</v>
      </c>
      <c r="K25">
        <v>1.0964143000000001E-2</v>
      </c>
      <c r="L25">
        <v>9.3812375000000003E-2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 s="160">
        <v>0</v>
      </c>
      <c r="Z25">
        <v>1.001001E-2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 s="161">
        <v>0</v>
      </c>
      <c r="BF25" s="161">
        <v>0</v>
      </c>
      <c r="BG25" s="161">
        <v>0</v>
      </c>
    </row>
    <row r="26" customFormat="true" x14ac:dyDescent="0.15">
      <c r="A26" t="s">
        <v>191</v>
      </c>
      <c r="B26">
        <v>0</v>
      </c>
      <c r="C26">
        <v>0</v>
      </c>
      <c r="D26">
        <v>0</v>
      </c>
      <c r="E26">
        <v>0</v>
      </c>
      <c r="F26">
        <v>1.4042126E-2</v>
      </c>
      <c r="G26">
        <v>0</v>
      </c>
      <c r="H26">
        <v>3.1E-2</v>
      </c>
      <c r="I26">
        <v>0</v>
      </c>
      <c r="J26">
        <v>0</v>
      </c>
      <c r="K26">
        <v>0</v>
      </c>
      <c r="L26">
        <v>2.2954091999999999E-2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9.9800400000000004E-4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 s="160">
        <v>1.001001E-2</v>
      </c>
      <c r="AA26">
        <v>2.4E-2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9.8911969999999991E-3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 s="161">
        <v>0</v>
      </c>
      <c r="BF26" s="161">
        <v>0</v>
      </c>
      <c r="BG26" s="161">
        <v>0</v>
      </c>
    </row>
    <row r="27" customFormat="true" x14ac:dyDescent="0.15">
      <c r="A27" t="s">
        <v>192</v>
      </c>
      <c r="B27">
        <v>0</v>
      </c>
      <c r="C27">
        <v>0</v>
      </c>
      <c r="D27">
        <v>0</v>
      </c>
      <c r="E27">
        <v>0</v>
      </c>
      <c r="F27">
        <v>5.0150450000000001E-3</v>
      </c>
      <c r="G27">
        <v>0</v>
      </c>
      <c r="H27">
        <v>2.4E-2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 s="160">
        <v>1E-3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 s="161">
        <v>0</v>
      </c>
      <c r="BF27" s="161">
        <v>0</v>
      </c>
      <c r="BG27" s="161">
        <v>0</v>
      </c>
    </row>
    <row r="28" customFormat="true" x14ac:dyDescent="0.15">
      <c r="A28" t="s">
        <v>193</v>
      </c>
      <c r="B28">
        <v>0</v>
      </c>
      <c r="C28">
        <v>1.1099899E-2</v>
      </c>
      <c r="D28">
        <v>0</v>
      </c>
      <c r="E28">
        <v>0</v>
      </c>
      <c r="F28">
        <v>1.1033098999999999E-2</v>
      </c>
      <c r="G28">
        <v>0</v>
      </c>
      <c r="H28">
        <v>3.6999999999999998E-2</v>
      </c>
      <c r="I28">
        <v>0</v>
      </c>
      <c r="J28">
        <v>0</v>
      </c>
      <c r="K28">
        <v>6.1752988000000002E-2</v>
      </c>
      <c r="L28">
        <v>3.3932136000000002E-2</v>
      </c>
      <c r="M28">
        <v>4.4820717000000003E-2</v>
      </c>
      <c r="N28">
        <v>0</v>
      </c>
      <c r="O28">
        <v>0</v>
      </c>
      <c r="P28">
        <v>0</v>
      </c>
      <c r="Q28">
        <v>2.3046092000000001E-2</v>
      </c>
      <c r="R28">
        <v>0</v>
      </c>
      <c r="S28">
        <v>9.9800400000000004E-4</v>
      </c>
      <c r="T28">
        <v>0</v>
      </c>
      <c r="U28">
        <v>0</v>
      </c>
      <c r="V28">
        <v>5.7826519999999999E-2</v>
      </c>
      <c r="W28">
        <v>0.10020040099999999</v>
      </c>
      <c r="X28">
        <v>0</v>
      </c>
      <c r="Y28">
        <v>0</v>
      </c>
      <c r="Z28">
        <v>0.13013013000000001</v>
      </c>
      <c r="AA28">
        <v>8.5999999999999993E-2</v>
      </c>
      <c r="AB28" s="160">
        <v>1.003009E-3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 s="161">
        <v>0</v>
      </c>
      <c r="BF28" s="161">
        <v>0</v>
      </c>
      <c r="BG28" s="161">
        <v>0</v>
      </c>
    </row>
    <row r="29" customFormat="true" x14ac:dyDescent="0.15">
      <c r="A29" t="s">
        <v>194</v>
      </c>
      <c r="B29">
        <v>1.0984621999999999E-2</v>
      </c>
      <c r="C29">
        <v>0</v>
      </c>
      <c r="D29">
        <v>0</v>
      </c>
      <c r="E29">
        <v>0</v>
      </c>
      <c r="F29">
        <v>1.3039116999999999E-2</v>
      </c>
      <c r="G29">
        <v>0</v>
      </c>
      <c r="H29">
        <v>7.0000000000000001E-3</v>
      </c>
      <c r="I29">
        <v>2.2977022999999999E-2</v>
      </c>
      <c r="J29">
        <v>0</v>
      </c>
      <c r="K29">
        <v>5.3784861000000003E-2</v>
      </c>
      <c r="L29">
        <v>0</v>
      </c>
      <c r="M29">
        <v>0</v>
      </c>
      <c r="N29">
        <v>0</v>
      </c>
      <c r="O29">
        <v>0</v>
      </c>
      <c r="P29">
        <v>0</v>
      </c>
      <c r="Q29">
        <v>2.0040079999999998E-2</v>
      </c>
      <c r="R29">
        <v>2.0080321000000002E-2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7.3073073000000002E-2</v>
      </c>
      <c r="AA29">
        <v>4.7E-2</v>
      </c>
      <c r="AB29">
        <v>7.0210630000000001E-3</v>
      </c>
      <c r="AC29" s="160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9.8911969999999991E-3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 s="161">
        <v>0</v>
      </c>
      <c r="BF29" s="161">
        <v>0</v>
      </c>
      <c r="BG29" s="161">
        <v>0</v>
      </c>
    </row>
    <row r="30" customFormat="true" x14ac:dyDescent="0.15">
      <c r="A30" t="s">
        <v>195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4.4044043999999997E-2</v>
      </c>
      <c r="AA30">
        <v>6.2E-2</v>
      </c>
      <c r="AB30">
        <v>0</v>
      </c>
      <c r="AC30">
        <v>0</v>
      </c>
      <c r="AD30" s="16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9.8911969999999991E-3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 s="161">
        <v>0</v>
      </c>
      <c r="BF30" s="161">
        <v>0</v>
      </c>
      <c r="BG30" s="161">
        <v>0</v>
      </c>
    </row>
    <row r="31" customFormat="true" x14ac:dyDescent="0.15">
      <c r="A31" t="s">
        <v>196</v>
      </c>
      <c r="B31">
        <v>1.9972039999999998E-3</v>
      </c>
      <c r="C31">
        <v>3.2290616000000001E-2</v>
      </c>
      <c r="D31">
        <v>0</v>
      </c>
      <c r="E31">
        <v>0</v>
      </c>
      <c r="F31">
        <v>4.0120360000000001E-3</v>
      </c>
      <c r="G31">
        <v>0</v>
      </c>
      <c r="H31">
        <v>1.0999999999999999E-2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 s="160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 s="161">
        <v>0</v>
      </c>
      <c r="BF31" s="161">
        <v>0</v>
      </c>
      <c r="BG31" s="161">
        <v>0</v>
      </c>
    </row>
    <row r="32" customFormat="true" x14ac:dyDescent="0.15">
      <c r="A32" t="s">
        <v>197</v>
      </c>
      <c r="B32">
        <v>2.2967845000000001E-2</v>
      </c>
      <c r="C32">
        <v>0.12108980799999999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3.9840639999999998E-3</v>
      </c>
      <c r="L32">
        <v>1.2974052E-2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3.5999999999999997E-2</v>
      </c>
      <c r="AB32">
        <v>0</v>
      </c>
      <c r="AC32">
        <v>0</v>
      </c>
      <c r="AD32">
        <v>0</v>
      </c>
      <c r="AE32">
        <v>5.5110220000000001E-2</v>
      </c>
      <c r="AF32" s="160">
        <v>0</v>
      </c>
      <c r="AG32">
        <v>0</v>
      </c>
      <c r="AH32">
        <v>0</v>
      </c>
      <c r="AI32">
        <v>0</v>
      </c>
      <c r="AJ32">
        <v>0</v>
      </c>
      <c r="AK32">
        <v>9.8911969999999991E-3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 s="161">
        <v>0</v>
      </c>
      <c r="BF32" s="161">
        <v>0</v>
      </c>
      <c r="BG32" s="161">
        <v>0</v>
      </c>
    </row>
    <row r="33" customFormat="true" x14ac:dyDescent="0.15">
      <c r="A33" t="s">
        <v>198</v>
      </c>
      <c r="B33">
        <v>0.12981825399999999</v>
      </c>
      <c r="C33">
        <v>6.2563067999999999E-2</v>
      </c>
      <c r="D33">
        <v>6.9033530000000001E-3</v>
      </c>
      <c r="E33">
        <v>0</v>
      </c>
      <c r="F33">
        <v>0</v>
      </c>
      <c r="G33">
        <v>0</v>
      </c>
      <c r="H33">
        <v>2.1000000000000001E-2</v>
      </c>
      <c r="I33">
        <v>2.2977022999999999E-2</v>
      </c>
      <c r="J33">
        <v>0</v>
      </c>
      <c r="K33">
        <v>0.18924302800000001</v>
      </c>
      <c r="L33">
        <v>0.119760479</v>
      </c>
      <c r="M33">
        <v>0.10460159400000001</v>
      </c>
      <c r="N33">
        <v>0</v>
      </c>
      <c r="O33">
        <v>0</v>
      </c>
      <c r="P33">
        <v>9.9502489999999996E-3</v>
      </c>
      <c r="Q33">
        <v>0</v>
      </c>
      <c r="R33">
        <v>0.20080321300000001</v>
      </c>
      <c r="S33">
        <v>5.1896207999999999E-2</v>
      </c>
      <c r="T33">
        <v>0</v>
      </c>
      <c r="U33">
        <v>0</v>
      </c>
      <c r="V33">
        <v>0</v>
      </c>
      <c r="W33">
        <v>0.13026052099999999</v>
      </c>
      <c r="X33">
        <v>0</v>
      </c>
      <c r="Y33">
        <v>0.119165839</v>
      </c>
      <c r="Z33">
        <v>2.6026026000000001E-2</v>
      </c>
      <c r="AA33">
        <v>2.5000000000000001E-2</v>
      </c>
      <c r="AB33">
        <v>1.3039116999999999E-2</v>
      </c>
      <c r="AC33">
        <v>0</v>
      </c>
      <c r="AD33">
        <v>0</v>
      </c>
      <c r="AE33">
        <v>9.5190381000000004E-2</v>
      </c>
      <c r="AF33">
        <v>0</v>
      </c>
      <c r="AG33" s="160">
        <v>0</v>
      </c>
      <c r="AH33">
        <v>0</v>
      </c>
      <c r="AI33">
        <v>4.9900199999999999E-2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 s="161">
        <v>0</v>
      </c>
      <c r="BF33" s="161">
        <v>0</v>
      </c>
      <c r="BG33" s="161">
        <v>0</v>
      </c>
    </row>
    <row r="34" customFormat="true" x14ac:dyDescent="0.15">
      <c r="A34" t="s">
        <v>199</v>
      </c>
      <c r="B34">
        <v>7.6892350999999998E-2</v>
      </c>
      <c r="C34">
        <v>0</v>
      </c>
      <c r="D34">
        <v>0</v>
      </c>
      <c r="E34">
        <v>0</v>
      </c>
      <c r="F34">
        <v>3.3099297999999999E-2</v>
      </c>
      <c r="G34">
        <v>0</v>
      </c>
      <c r="H34">
        <v>0.09</v>
      </c>
      <c r="I34">
        <v>1.4985015000000001E-2</v>
      </c>
      <c r="J34">
        <v>9.9502488E-2</v>
      </c>
      <c r="K34">
        <v>9.9601589999999997E-3</v>
      </c>
      <c r="L34">
        <v>3.3932136000000002E-2</v>
      </c>
      <c r="M34">
        <v>0</v>
      </c>
      <c r="N34">
        <v>5.8116231999999997E-2</v>
      </c>
      <c r="O34">
        <v>0</v>
      </c>
      <c r="P34">
        <v>3.5820895999999998E-2</v>
      </c>
      <c r="Q34">
        <v>0</v>
      </c>
      <c r="R34">
        <v>2.2088353000000002E-2</v>
      </c>
      <c r="S34">
        <v>5.1896207999999999E-2</v>
      </c>
      <c r="T34">
        <v>1.0999999999999999E-2</v>
      </c>
      <c r="U34">
        <v>9.9900100000000006E-2</v>
      </c>
      <c r="V34">
        <v>0</v>
      </c>
      <c r="W34">
        <v>7.2144289E-2</v>
      </c>
      <c r="X34">
        <v>7.1285140999999996E-2</v>
      </c>
      <c r="Y34">
        <v>9.0367428E-2</v>
      </c>
      <c r="Z34">
        <v>1.7017016999999999E-2</v>
      </c>
      <c r="AA34">
        <v>4.0000000000000001E-3</v>
      </c>
      <c r="AB34">
        <v>3.6108324999999997E-2</v>
      </c>
      <c r="AC34">
        <v>6.0240959999999996E-3</v>
      </c>
      <c r="AD34">
        <v>1.9841270000000001E-2</v>
      </c>
      <c r="AE34">
        <v>0.26052104199999998</v>
      </c>
      <c r="AF34">
        <v>0</v>
      </c>
      <c r="AG34">
        <v>0</v>
      </c>
      <c r="AH34" s="160">
        <v>9.9304899999999997E-4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 s="161">
        <v>0</v>
      </c>
      <c r="BF34" s="161">
        <v>0</v>
      </c>
      <c r="BG34" s="161">
        <v>0</v>
      </c>
    </row>
    <row r="35" customFormat="true" x14ac:dyDescent="0.15">
      <c r="A35" t="s">
        <v>200</v>
      </c>
      <c r="B35">
        <v>0.39944078300000002</v>
      </c>
      <c r="C35">
        <v>0</v>
      </c>
      <c r="D35">
        <v>0</v>
      </c>
      <c r="E35">
        <v>0</v>
      </c>
      <c r="F35">
        <v>0.12036108299999999</v>
      </c>
      <c r="G35">
        <v>6.4292778999999994E-2</v>
      </c>
      <c r="H35">
        <v>9.0999999999999998E-2</v>
      </c>
      <c r="I35">
        <v>9.9900100000000006E-2</v>
      </c>
      <c r="J35">
        <v>0.28855721400000001</v>
      </c>
      <c r="K35">
        <v>7.3705178999999996E-2</v>
      </c>
      <c r="L35">
        <v>5.5888224E-2</v>
      </c>
      <c r="M35">
        <v>5.7768923999999999E-2</v>
      </c>
      <c r="N35">
        <v>0</v>
      </c>
      <c r="O35">
        <v>0</v>
      </c>
      <c r="P35">
        <v>1.3930348E-2</v>
      </c>
      <c r="Q35">
        <v>0</v>
      </c>
      <c r="R35">
        <v>6.0240964000000001E-2</v>
      </c>
      <c r="S35">
        <v>9.9800400000000004E-4</v>
      </c>
      <c r="T35">
        <v>0</v>
      </c>
      <c r="U35">
        <v>0</v>
      </c>
      <c r="V35">
        <v>0</v>
      </c>
      <c r="W35">
        <v>7.0140280999999999E-2</v>
      </c>
      <c r="X35">
        <v>0</v>
      </c>
      <c r="Y35">
        <v>0</v>
      </c>
      <c r="Z35">
        <v>6.0060059999999998E-2</v>
      </c>
      <c r="AA35">
        <v>6.3E-2</v>
      </c>
      <c r="AB35">
        <v>3.1093280000000001E-2</v>
      </c>
      <c r="AC35">
        <v>0</v>
      </c>
      <c r="AD35">
        <v>0</v>
      </c>
      <c r="AE35">
        <v>0.10020040099999999</v>
      </c>
      <c r="AF35">
        <v>0</v>
      </c>
      <c r="AG35">
        <v>0</v>
      </c>
      <c r="AH35">
        <v>9.930487E-3</v>
      </c>
      <c r="AI35" s="160">
        <v>9.9800400000000004E-4</v>
      </c>
      <c r="AJ35">
        <v>8.0482899999999996E-3</v>
      </c>
      <c r="AK35">
        <v>0</v>
      </c>
      <c r="AL35">
        <v>0</v>
      </c>
      <c r="AM35">
        <v>0</v>
      </c>
      <c r="AN35">
        <v>0.06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 s="161">
        <v>0</v>
      </c>
      <c r="BF35" s="161">
        <v>0</v>
      </c>
      <c r="BG35" s="161">
        <v>0</v>
      </c>
    </row>
    <row r="36" customFormat="true" x14ac:dyDescent="0.15">
      <c r="A36" t="s">
        <v>201</v>
      </c>
      <c r="B36">
        <v>0</v>
      </c>
      <c r="C36">
        <v>0</v>
      </c>
      <c r="D36">
        <v>0</v>
      </c>
      <c r="E36">
        <v>0</v>
      </c>
      <c r="F36">
        <v>5.0150450000000001E-3</v>
      </c>
      <c r="G36">
        <v>0</v>
      </c>
      <c r="H36">
        <v>0.01</v>
      </c>
      <c r="I36">
        <v>9.9900100000000006E-3</v>
      </c>
      <c r="J36">
        <v>4.975124E-3</v>
      </c>
      <c r="K36">
        <v>9.9601589999999997E-3</v>
      </c>
      <c r="L36">
        <v>1.5968064000000001E-2</v>
      </c>
      <c r="M36">
        <v>0</v>
      </c>
      <c r="N36">
        <v>1.0020039999999999E-3</v>
      </c>
      <c r="O36">
        <v>0</v>
      </c>
      <c r="P36">
        <v>9.9502500000000008E-4</v>
      </c>
      <c r="Q36">
        <v>1.0020039999999999E-2</v>
      </c>
      <c r="R36">
        <v>1.0040161000000001E-2</v>
      </c>
      <c r="S36">
        <v>3.9920160000000003E-2</v>
      </c>
      <c r="T36">
        <v>0.01</v>
      </c>
      <c r="U36">
        <v>9.9900100000000006E-3</v>
      </c>
      <c r="V36">
        <v>3.9880358999999997E-2</v>
      </c>
      <c r="W36">
        <v>1.0020039999999999E-2</v>
      </c>
      <c r="X36">
        <v>8.0321285000000006E-2</v>
      </c>
      <c r="Y36">
        <v>0</v>
      </c>
      <c r="Z36">
        <v>3.0030029999999999E-2</v>
      </c>
      <c r="AA36">
        <v>0.02</v>
      </c>
      <c r="AB36">
        <v>5.0150450999999999E-2</v>
      </c>
      <c r="AC36">
        <v>0</v>
      </c>
      <c r="AD36">
        <v>0</v>
      </c>
      <c r="AE36">
        <v>1.0020039999999999E-2</v>
      </c>
      <c r="AF36">
        <v>0</v>
      </c>
      <c r="AG36">
        <v>9.9900100000000001E-4</v>
      </c>
      <c r="AH36">
        <v>0</v>
      </c>
      <c r="AI36">
        <v>0</v>
      </c>
      <c r="AJ36" s="160">
        <v>4.0241449999999998E-3</v>
      </c>
      <c r="AK36">
        <v>0</v>
      </c>
      <c r="AL36">
        <v>1.001001E-2</v>
      </c>
      <c r="AM36">
        <v>9.9206300000000006E-4</v>
      </c>
      <c r="AN36">
        <v>0.1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 s="161">
        <v>0</v>
      </c>
      <c r="BF36" s="161">
        <v>0</v>
      </c>
      <c r="BG36" s="161">
        <v>0</v>
      </c>
    </row>
    <row r="37" customFormat="true" x14ac:dyDescent="0.15">
      <c r="A37" t="s">
        <v>202</v>
      </c>
      <c r="B37">
        <v>9.9860199999999991E-4</v>
      </c>
      <c r="C37">
        <v>0</v>
      </c>
      <c r="D37">
        <v>0</v>
      </c>
      <c r="E37">
        <v>0</v>
      </c>
      <c r="F37">
        <v>0</v>
      </c>
      <c r="G37">
        <v>0</v>
      </c>
      <c r="H37">
        <v>2E-3</v>
      </c>
      <c r="I37">
        <v>1.998002E-3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1.0010010000000001E-3</v>
      </c>
      <c r="AA37">
        <v>2E-3</v>
      </c>
      <c r="AB37">
        <v>1.003009E-3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 s="160">
        <v>0</v>
      </c>
      <c r="AL37">
        <v>0</v>
      </c>
      <c r="AM37">
        <v>9.9206300000000006E-4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 s="161">
        <v>0</v>
      </c>
      <c r="BF37" s="161">
        <v>0</v>
      </c>
      <c r="BG37" s="161">
        <v>0</v>
      </c>
    </row>
    <row r="38" customFormat="true" x14ac:dyDescent="0.15">
      <c r="A38" t="s">
        <v>203</v>
      </c>
      <c r="B38">
        <v>9.9860199999999991E-4</v>
      </c>
      <c r="C38">
        <v>0</v>
      </c>
      <c r="D38">
        <v>0.22682445800000001</v>
      </c>
      <c r="E38">
        <v>0</v>
      </c>
      <c r="F38">
        <v>1.5045134999999999E-2</v>
      </c>
      <c r="G38">
        <v>0</v>
      </c>
      <c r="H38">
        <v>0.03</v>
      </c>
      <c r="I38">
        <v>9.9900100000000006E-2</v>
      </c>
      <c r="J38">
        <v>0</v>
      </c>
      <c r="K38">
        <v>9.9601589999999997E-3</v>
      </c>
      <c r="L38">
        <v>0</v>
      </c>
      <c r="M38">
        <v>0</v>
      </c>
      <c r="N38">
        <v>1.0020039999999999E-3</v>
      </c>
      <c r="O38">
        <v>0</v>
      </c>
      <c r="P38">
        <v>0</v>
      </c>
      <c r="Q38">
        <v>4.0080159999999997E-2</v>
      </c>
      <c r="R38">
        <v>0</v>
      </c>
      <c r="S38">
        <v>2.9940120000000001E-2</v>
      </c>
      <c r="T38">
        <v>0.01</v>
      </c>
      <c r="U38">
        <v>2.9970030000000002E-2</v>
      </c>
      <c r="V38">
        <v>2.9910269E-2</v>
      </c>
      <c r="W38">
        <v>3.0060119999999999E-2</v>
      </c>
      <c r="X38">
        <v>2.0080321000000002E-2</v>
      </c>
      <c r="Y38">
        <v>0</v>
      </c>
      <c r="Z38">
        <v>0.15015015000000001</v>
      </c>
      <c r="AA38">
        <v>0.15</v>
      </c>
      <c r="AB38">
        <v>3.0090270999999998E-2</v>
      </c>
      <c r="AC38">
        <v>0</v>
      </c>
      <c r="AD38">
        <v>0</v>
      </c>
      <c r="AE38">
        <v>9.0180361000000001E-2</v>
      </c>
      <c r="AF38">
        <v>0</v>
      </c>
      <c r="AG38">
        <v>0</v>
      </c>
      <c r="AH38">
        <v>9.9304899999999997E-4</v>
      </c>
      <c r="AI38">
        <v>0</v>
      </c>
      <c r="AJ38">
        <v>0</v>
      </c>
      <c r="AK38">
        <v>0.18793273999999999</v>
      </c>
      <c r="AL38" s="160">
        <v>5.0050049999999999E-3</v>
      </c>
      <c r="AM38">
        <v>4.9603169999999997E-3</v>
      </c>
      <c r="AN38">
        <v>0.03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 s="161">
        <v>0</v>
      </c>
      <c r="BF38" s="161">
        <v>0</v>
      </c>
      <c r="BG38" s="161">
        <v>0</v>
      </c>
    </row>
    <row r="39" customFormat="true" x14ac:dyDescent="0.15">
      <c r="A39" t="s">
        <v>204</v>
      </c>
      <c r="B39">
        <v>9.9860199999999991E-4</v>
      </c>
      <c r="C39">
        <v>0</v>
      </c>
      <c r="D39">
        <v>0</v>
      </c>
      <c r="E39">
        <v>0</v>
      </c>
      <c r="F39">
        <v>1.6048144E-2</v>
      </c>
      <c r="G39">
        <v>0</v>
      </c>
      <c r="H39">
        <v>4.9000000000000002E-2</v>
      </c>
      <c r="I39">
        <v>1.9980020000000001E-2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1.0040161000000001E-2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3.3033033000000003E-2</v>
      </c>
      <c r="AA39">
        <v>0.1</v>
      </c>
      <c r="AB39">
        <v>7.0210630000000001E-3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 s="160">
        <v>9.9206300000000006E-4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 s="161">
        <v>0</v>
      </c>
      <c r="BF39" s="161">
        <v>0</v>
      </c>
      <c r="BG39" s="161">
        <v>0</v>
      </c>
    </row>
    <row r="40" customFormat="true" x14ac:dyDescent="0.15">
      <c r="A40" t="s">
        <v>205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4.9950050000000003E-3</v>
      </c>
      <c r="J40">
        <v>0</v>
      </c>
      <c r="K40">
        <v>3.9840639999999998E-3</v>
      </c>
      <c r="L40">
        <v>0</v>
      </c>
      <c r="M40">
        <v>0</v>
      </c>
      <c r="N40">
        <v>0</v>
      </c>
      <c r="O40">
        <v>0</v>
      </c>
      <c r="P40">
        <v>0</v>
      </c>
      <c r="Q40">
        <v>2.0040079999999998E-2</v>
      </c>
      <c r="R40">
        <v>0</v>
      </c>
      <c r="S40">
        <v>1.2974052E-2</v>
      </c>
      <c r="T40">
        <v>4.0000000000000001E-3</v>
      </c>
      <c r="U40">
        <v>0</v>
      </c>
      <c r="V40">
        <v>3.9880358999999997E-2</v>
      </c>
      <c r="W40">
        <v>1.0020039999999999E-2</v>
      </c>
      <c r="X40">
        <v>1.0040161000000001E-2</v>
      </c>
      <c r="Y40">
        <v>0</v>
      </c>
      <c r="Z40">
        <v>1.001001E-2</v>
      </c>
      <c r="AA40">
        <v>0.02</v>
      </c>
      <c r="AB40">
        <v>9.0270809999999993E-3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 s="16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 s="161">
        <v>0</v>
      </c>
      <c r="BF40" s="161">
        <v>0</v>
      </c>
      <c r="BG40" s="161">
        <v>0</v>
      </c>
    </row>
    <row r="41" customFormat="true" x14ac:dyDescent="0.15">
      <c r="A41" t="s">
        <v>206</v>
      </c>
      <c r="B41">
        <v>9.9860199999999991E-4</v>
      </c>
      <c r="C41">
        <v>0</v>
      </c>
      <c r="D41">
        <v>0</v>
      </c>
      <c r="E41">
        <v>0</v>
      </c>
      <c r="F41">
        <v>0</v>
      </c>
      <c r="G41">
        <v>4.8466863999999998E-2</v>
      </c>
      <c r="H41">
        <v>1.7999999999999999E-2</v>
      </c>
      <c r="I41">
        <v>0.15984016000000001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5.5110220000000001E-2</v>
      </c>
      <c r="R41">
        <v>0</v>
      </c>
      <c r="S41">
        <v>8.5828343000000001E-2</v>
      </c>
      <c r="T41">
        <v>4.7E-2</v>
      </c>
      <c r="U41">
        <v>0</v>
      </c>
      <c r="V41">
        <v>9.9700896999999997E-2</v>
      </c>
      <c r="W41">
        <v>6.4128256999999994E-2</v>
      </c>
      <c r="X41">
        <v>8.0321285000000006E-2</v>
      </c>
      <c r="Y41">
        <v>0</v>
      </c>
      <c r="Z41">
        <v>2.1021021000000001E-2</v>
      </c>
      <c r="AA41">
        <v>1.4999999999999999E-2</v>
      </c>
      <c r="AB41">
        <v>0.100300903</v>
      </c>
      <c r="AC41">
        <v>1.0040159999999999E-3</v>
      </c>
      <c r="AD41">
        <v>0</v>
      </c>
      <c r="AE41">
        <v>0</v>
      </c>
      <c r="AF41">
        <v>0</v>
      </c>
      <c r="AG41">
        <v>0</v>
      </c>
      <c r="AH41">
        <v>4.9652433000000003E-2</v>
      </c>
      <c r="AI41">
        <v>0</v>
      </c>
      <c r="AJ41">
        <v>6.036217E-3</v>
      </c>
      <c r="AK41">
        <v>0.227497527</v>
      </c>
      <c r="AL41">
        <v>4.1041041E-2</v>
      </c>
      <c r="AM41">
        <v>5.5555555999999999E-2</v>
      </c>
      <c r="AN41">
        <v>0.01</v>
      </c>
      <c r="AO41" s="160">
        <v>1.0090817E-2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 s="161">
        <v>0</v>
      </c>
      <c r="BF41" s="161">
        <v>0</v>
      </c>
      <c r="BG41" s="161">
        <v>0</v>
      </c>
    </row>
    <row r="42" customFormat="true" x14ac:dyDescent="0.15">
      <c r="A42" t="s">
        <v>207</v>
      </c>
      <c r="B42">
        <v>9.9860199999999991E-4</v>
      </c>
      <c r="C42">
        <v>0</v>
      </c>
      <c r="D42">
        <v>0.21696252499999999</v>
      </c>
      <c r="E42">
        <v>0</v>
      </c>
      <c r="F42">
        <v>0</v>
      </c>
      <c r="G42">
        <v>0</v>
      </c>
      <c r="H42">
        <v>0.04</v>
      </c>
      <c r="I42">
        <v>0.11988012000000001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2.9940119999999999E-3</v>
      </c>
      <c r="T42">
        <v>0</v>
      </c>
      <c r="U42">
        <v>0</v>
      </c>
      <c r="V42">
        <v>1.9940178999999999E-2</v>
      </c>
      <c r="W42">
        <v>2.0040079999999998E-2</v>
      </c>
      <c r="X42">
        <v>8.4337349000000006E-2</v>
      </c>
      <c r="Y42">
        <v>0</v>
      </c>
      <c r="Z42">
        <v>0</v>
      </c>
      <c r="AA42">
        <v>0</v>
      </c>
      <c r="AB42">
        <v>5.0150450999999999E-2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0.158887786</v>
      </c>
      <c r="AI42">
        <v>0</v>
      </c>
      <c r="AJ42">
        <v>0</v>
      </c>
      <c r="AK42">
        <v>0.178041543</v>
      </c>
      <c r="AL42">
        <v>0.36036035999999999</v>
      </c>
      <c r="AM42">
        <v>0.23809523799999999</v>
      </c>
      <c r="AN42">
        <v>0.11</v>
      </c>
      <c r="AO42">
        <v>1.0090817E-2</v>
      </c>
      <c r="AP42" s="160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 s="161">
        <v>0</v>
      </c>
      <c r="BF42" s="161">
        <v>0</v>
      </c>
      <c r="BG42" s="161">
        <v>0</v>
      </c>
    </row>
    <row r="43" customFormat="true" x14ac:dyDescent="0.15">
      <c r="A43" t="s">
        <v>208</v>
      </c>
      <c r="B43">
        <v>0</v>
      </c>
      <c r="C43">
        <v>0</v>
      </c>
      <c r="D43">
        <v>0.22682445800000001</v>
      </c>
      <c r="E43">
        <v>0</v>
      </c>
      <c r="F43">
        <v>0</v>
      </c>
      <c r="G43">
        <v>0</v>
      </c>
      <c r="H43">
        <v>0</v>
      </c>
      <c r="I43">
        <v>4.1958042000000001E-2</v>
      </c>
      <c r="J43">
        <v>0</v>
      </c>
      <c r="K43">
        <v>0</v>
      </c>
      <c r="L43">
        <v>0</v>
      </c>
      <c r="M43">
        <v>0</v>
      </c>
      <c r="N43">
        <v>1.7034067999999999E-2</v>
      </c>
      <c r="O43">
        <v>0</v>
      </c>
      <c r="P43">
        <v>0</v>
      </c>
      <c r="Q43">
        <v>4.0080159999999997E-2</v>
      </c>
      <c r="R43">
        <v>0</v>
      </c>
      <c r="S43">
        <v>8.3832334999999994E-2</v>
      </c>
      <c r="T43">
        <v>0.3</v>
      </c>
      <c r="U43">
        <v>0</v>
      </c>
      <c r="V43">
        <v>5.9820539999999997E-3</v>
      </c>
      <c r="W43">
        <v>0</v>
      </c>
      <c r="X43">
        <v>7.0281124E-2</v>
      </c>
      <c r="Y43">
        <v>0</v>
      </c>
      <c r="Z43">
        <v>0</v>
      </c>
      <c r="AA43">
        <v>1.4999999999999999E-2</v>
      </c>
      <c r="AB43">
        <v>0.160481444</v>
      </c>
      <c r="AC43">
        <v>0.210843373</v>
      </c>
      <c r="AD43">
        <v>1.5873016E-2</v>
      </c>
      <c r="AE43">
        <v>0</v>
      </c>
      <c r="AF43">
        <v>0</v>
      </c>
      <c r="AG43">
        <v>0</v>
      </c>
      <c r="AH43">
        <v>0.139026812</v>
      </c>
      <c r="AI43">
        <v>0</v>
      </c>
      <c r="AJ43">
        <v>8.2494970000000001E-2</v>
      </c>
      <c r="AK43">
        <v>5.6379822000000003E-2</v>
      </c>
      <c r="AL43">
        <v>0.15015015000000001</v>
      </c>
      <c r="AM43">
        <v>0.11904761899999999</v>
      </c>
      <c r="AN43">
        <v>0</v>
      </c>
      <c r="AO43">
        <v>0.100908174</v>
      </c>
      <c r="AP43">
        <v>0</v>
      </c>
      <c r="AQ43" s="160">
        <v>1.0060362E-2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 s="161">
        <v>0</v>
      </c>
      <c r="BF43" s="161">
        <v>0</v>
      </c>
      <c r="BG43" s="161">
        <v>0</v>
      </c>
    </row>
    <row r="44" customFormat="true" x14ac:dyDescent="0.15">
      <c r="A44" t="s">
        <v>209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1.2E-2</v>
      </c>
      <c r="I44">
        <v>0.14985014999999999</v>
      </c>
      <c r="J44">
        <v>0</v>
      </c>
      <c r="K44">
        <v>2.9880480000000001E-3</v>
      </c>
      <c r="L44">
        <v>0</v>
      </c>
      <c r="M44">
        <v>0</v>
      </c>
      <c r="N44">
        <v>1.7034067999999999E-2</v>
      </c>
      <c r="O44">
        <v>0</v>
      </c>
      <c r="P44">
        <v>0</v>
      </c>
      <c r="Q44">
        <v>0.44088176400000001</v>
      </c>
      <c r="R44">
        <v>6.0240959999999996E-3</v>
      </c>
      <c r="S44">
        <v>0.13972055899999999</v>
      </c>
      <c r="T44">
        <v>7.8E-2</v>
      </c>
      <c r="U44">
        <v>8.9910089999999998E-2</v>
      </c>
      <c r="V44">
        <v>0.26919242300000001</v>
      </c>
      <c r="W44">
        <v>0.140280561</v>
      </c>
      <c r="X44">
        <v>0.170682731</v>
      </c>
      <c r="Y44">
        <v>5.7596821999999999E-2</v>
      </c>
      <c r="Z44">
        <v>5.0050049999999999E-2</v>
      </c>
      <c r="AA44">
        <v>0</v>
      </c>
      <c r="AB44">
        <v>0.17051153499999999</v>
      </c>
      <c r="AC44">
        <v>3.0120482000000001E-2</v>
      </c>
      <c r="AD44">
        <v>8.1349205999999993E-2</v>
      </c>
      <c r="AE44">
        <v>0</v>
      </c>
      <c r="AF44">
        <v>0</v>
      </c>
      <c r="AG44">
        <v>0</v>
      </c>
      <c r="AH44">
        <v>0</v>
      </c>
      <c r="AI44">
        <v>1.9960080000000002E-2</v>
      </c>
      <c r="AJ44">
        <v>0.20120724300000001</v>
      </c>
      <c r="AK44">
        <v>3.6597428000000001E-2</v>
      </c>
      <c r="AL44">
        <v>0.15015015000000001</v>
      </c>
      <c r="AM44">
        <v>0.15873015900000001</v>
      </c>
      <c r="AN44">
        <v>0.15</v>
      </c>
      <c r="AO44">
        <v>4.9445005E-2</v>
      </c>
      <c r="AP44">
        <v>0</v>
      </c>
      <c r="AQ44">
        <v>1.0060360000000001E-3</v>
      </c>
      <c r="AR44" s="160">
        <v>0.01</v>
      </c>
      <c r="AS44">
        <v>0.04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 s="161">
        <v>0</v>
      </c>
      <c r="BF44" s="161">
        <v>0</v>
      </c>
      <c r="BG44" s="161">
        <v>0</v>
      </c>
    </row>
    <row r="45" customFormat="true" x14ac:dyDescent="0.15">
      <c r="A45" t="s">
        <v>210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1.4999999999999999E-2</v>
      </c>
      <c r="I45">
        <v>0.16983017</v>
      </c>
      <c r="J45">
        <v>0</v>
      </c>
      <c r="K45">
        <v>4.2828684999999998E-2</v>
      </c>
      <c r="L45">
        <v>9.9800400000000004E-4</v>
      </c>
      <c r="M45">
        <v>0</v>
      </c>
      <c r="N45">
        <v>5.0100199999999998E-2</v>
      </c>
      <c r="O45">
        <v>0</v>
      </c>
      <c r="P45">
        <v>6.7661691999999996E-2</v>
      </c>
      <c r="Q45">
        <v>0.35070140300000002</v>
      </c>
      <c r="R45">
        <v>0.15060240999999999</v>
      </c>
      <c r="S45">
        <v>0.319361277</v>
      </c>
      <c r="T45">
        <v>0.15</v>
      </c>
      <c r="U45">
        <v>0.16983017</v>
      </c>
      <c r="V45">
        <v>0.299102692</v>
      </c>
      <c r="W45">
        <v>0.13026052099999999</v>
      </c>
      <c r="X45">
        <v>0.35140562199999997</v>
      </c>
      <c r="Y45">
        <v>0.258192651</v>
      </c>
      <c r="Z45">
        <v>0.11011011</v>
      </c>
      <c r="AA45">
        <v>0.02</v>
      </c>
      <c r="AB45">
        <v>0.220661986</v>
      </c>
      <c r="AC45">
        <v>5.6224900000000001E-2</v>
      </c>
      <c r="AD45">
        <v>0.16865079399999999</v>
      </c>
      <c r="AE45">
        <v>0.13026052099999999</v>
      </c>
      <c r="AF45">
        <v>5.0000000000000001E-3</v>
      </c>
      <c r="AG45">
        <v>8.9910089999999998E-2</v>
      </c>
      <c r="AH45">
        <v>0.29791459799999997</v>
      </c>
      <c r="AI45">
        <v>0.14970059899999999</v>
      </c>
      <c r="AJ45">
        <v>0.23138833</v>
      </c>
      <c r="AK45">
        <v>1.9782393999999998E-2</v>
      </c>
      <c r="AL45">
        <v>1.9019019000000002E-2</v>
      </c>
      <c r="AM45">
        <v>9.9206348999999999E-2</v>
      </c>
      <c r="AN45">
        <v>0.18</v>
      </c>
      <c r="AO45">
        <v>2.0181635E-2</v>
      </c>
      <c r="AP45">
        <v>0</v>
      </c>
      <c r="AQ45">
        <v>2.0120724E-2</v>
      </c>
      <c r="AR45">
        <v>0.01</v>
      </c>
      <c r="AS45" s="160">
        <v>0.01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 s="161">
        <v>0</v>
      </c>
      <c r="BF45" s="161">
        <v>0</v>
      </c>
      <c r="BG45" s="161">
        <v>0</v>
      </c>
    </row>
    <row r="46" customFormat="true" x14ac:dyDescent="0.15">
      <c r="A46" t="s">
        <v>211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3.2064127999999997E-2</v>
      </c>
      <c r="O46">
        <v>0</v>
      </c>
      <c r="P46">
        <v>0</v>
      </c>
      <c r="Q46">
        <v>0</v>
      </c>
      <c r="R46">
        <v>0</v>
      </c>
      <c r="S46">
        <v>2.9940119999999999E-3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1.003009E-3</v>
      </c>
      <c r="AC46">
        <v>0</v>
      </c>
      <c r="AD46">
        <v>0</v>
      </c>
      <c r="AE46">
        <v>0</v>
      </c>
      <c r="AF46">
        <v>0</v>
      </c>
      <c r="AG46">
        <v>9.9900100000000006E-3</v>
      </c>
      <c r="AH46">
        <v>0</v>
      </c>
      <c r="AI46">
        <v>1.9960080000000002E-2</v>
      </c>
      <c r="AJ46">
        <v>0.120724346</v>
      </c>
      <c r="AK46">
        <v>0</v>
      </c>
      <c r="AL46">
        <v>2.9029029000000001E-2</v>
      </c>
      <c r="AM46">
        <v>9.9206350000000006E-3</v>
      </c>
      <c r="AN46">
        <v>0</v>
      </c>
      <c r="AO46">
        <v>3.1281534E-2</v>
      </c>
      <c r="AP46">
        <v>0.01</v>
      </c>
      <c r="AQ46">
        <v>3.0181086999999999E-2</v>
      </c>
      <c r="AR46">
        <v>0.1</v>
      </c>
      <c r="AS46">
        <v>7.0000000000000007E-2</v>
      </c>
      <c r="AT46" s="160">
        <v>0.01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 s="161">
        <v>0</v>
      </c>
      <c r="BF46" s="161">
        <v>0</v>
      </c>
      <c r="BG46" s="161">
        <v>0</v>
      </c>
    </row>
    <row r="47" customFormat="true" x14ac:dyDescent="0.15">
      <c r="A47" t="s">
        <v>212</v>
      </c>
      <c r="B47">
        <v>0</v>
      </c>
      <c r="C47">
        <v>0</v>
      </c>
      <c r="D47">
        <v>0</v>
      </c>
      <c r="E47">
        <v>0</v>
      </c>
      <c r="F47">
        <v>0</v>
      </c>
      <c r="G47">
        <v>0.237388724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0.320641283</v>
      </c>
      <c r="O47">
        <v>0</v>
      </c>
      <c r="P47">
        <v>0.119402985</v>
      </c>
      <c r="Q47">
        <v>0</v>
      </c>
      <c r="R47">
        <v>0</v>
      </c>
      <c r="S47">
        <v>2.5948104E-2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1.8018018E-2</v>
      </c>
      <c r="AA47">
        <v>0</v>
      </c>
      <c r="AB47">
        <v>1.5045134999999999E-2</v>
      </c>
      <c r="AC47">
        <v>0</v>
      </c>
      <c r="AD47">
        <v>0.198412698</v>
      </c>
      <c r="AE47">
        <v>0</v>
      </c>
      <c r="AF47">
        <v>0</v>
      </c>
      <c r="AG47">
        <v>0.33966034000000001</v>
      </c>
      <c r="AH47">
        <v>3.9721946000000001E-2</v>
      </c>
      <c r="AI47">
        <v>1.9960080000000002E-2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1.0060360000000001E-3</v>
      </c>
      <c r="AR47">
        <v>0</v>
      </c>
      <c r="AS47">
        <v>0</v>
      </c>
      <c r="AT47">
        <v>0</v>
      </c>
      <c r="AU47" s="160">
        <v>0.02</v>
      </c>
      <c r="AV47">
        <v>0.12</v>
      </c>
      <c r="AW47">
        <v>0.12</v>
      </c>
      <c r="AX47">
        <v>0.35</v>
      </c>
      <c r="AY47">
        <v>0.2</v>
      </c>
      <c r="AZ47">
        <v>0</v>
      </c>
      <c r="BA47">
        <v>0</v>
      </c>
      <c r="BB47">
        <v>0</v>
      </c>
      <c r="BC47">
        <v>0</v>
      </c>
      <c r="BD47">
        <v>0</v>
      </c>
      <c r="BE47" s="161">
        <v>0</v>
      </c>
      <c r="BF47" s="161">
        <v>0</v>
      </c>
      <c r="BG47" s="161">
        <v>0</v>
      </c>
    </row>
    <row r="48" customFormat="true" x14ac:dyDescent="0.15">
      <c r="A48" t="s">
        <v>213</v>
      </c>
      <c r="B48">
        <v>0</v>
      </c>
      <c r="C48">
        <v>0</v>
      </c>
      <c r="D48">
        <v>0</v>
      </c>
      <c r="E48">
        <v>0</v>
      </c>
      <c r="F48">
        <v>0</v>
      </c>
      <c r="G48">
        <v>0.237388724</v>
      </c>
      <c r="H48">
        <v>0</v>
      </c>
      <c r="I48">
        <v>0</v>
      </c>
      <c r="J48">
        <v>4.9751244E-2</v>
      </c>
      <c r="K48">
        <v>4.9800797000000001E-2</v>
      </c>
      <c r="L48">
        <v>0</v>
      </c>
      <c r="M48">
        <v>0</v>
      </c>
      <c r="N48">
        <v>0.210420842</v>
      </c>
      <c r="O48">
        <v>0</v>
      </c>
      <c r="P48">
        <v>0.26865671600000002</v>
      </c>
      <c r="Q48">
        <v>0</v>
      </c>
      <c r="R48">
        <v>5.0200803000000002E-2</v>
      </c>
      <c r="S48">
        <v>4.5908183999999998E-2</v>
      </c>
      <c r="T48">
        <v>1.9E-2</v>
      </c>
      <c r="U48">
        <v>0</v>
      </c>
      <c r="V48">
        <v>2.7916251E-2</v>
      </c>
      <c r="W48">
        <v>0</v>
      </c>
      <c r="X48">
        <v>0</v>
      </c>
      <c r="Y48">
        <v>7.9443889999999996E-3</v>
      </c>
      <c r="Z48">
        <v>2.2022021999999999E-2</v>
      </c>
      <c r="AA48">
        <v>0</v>
      </c>
      <c r="AB48">
        <v>2.6078235000000002E-2</v>
      </c>
      <c r="AC48">
        <v>7.0281120000000004E-3</v>
      </c>
      <c r="AD48">
        <v>0.35714285699999998</v>
      </c>
      <c r="AE48">
        <v>0</v>
      </c>
      <c r="AF48">
        <v>0</v>
      </c>
      <c r="AG48">
        <v>0.35964035999999999</v>
      </c>
      <c r="AH48">
        <v>3.9721946000000001E-2</v>
      </c>
      <c r="AI48">
        <v>0.32934131700000002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1.0060360000000001E-3</v>
      </c>
      <c r="AR48">
        <v>0</v>
      </c>
      <c r="AS48">
        <v>0</v>
      </c>
      <c r="AT48">
        <v>0</v>
      </c>
      <c r="AU48">
        <v>0</v>
      </c>
      <c r="AV48" s="160">
        <v>0.01</v>
      </c>
      <c r="AW48">
        <v>0.1</v>
      </c>
      <c r="AX48">
        <v>0.25</v>
      </c>
      <c r="AY48">
        <v>0.47</v>
      </c>
      <c r="AZ48">
        <v>0</v>
      </c>
      <c r="BA48">
        <v>0</v>
      </c>
      <c r="BB48">
        <v>0</v>
      </c>
      <c r="BC48">
        <v>0</v>
      </c>
      <c r="BD48">
        <v>0</v>
      </c>
      <c r="BE48" s="161">
        <v>0</v>
      </c>
      <c r="BF48" s="161">
        <v>0</v>
      </c>
      <c r="BG48" s="161">
        <v>0</v>
      </c>
    </row>
    <row r="49" customFormat="true" x14ac:dyDescent="0.15">
      <c r="A49" t="s">
        <v>214</v>
      </c>
      <c r="B49">
        <v>1.0984621999999999E-2</v>
      </c>
      <c r="C49">
        <v>0</v>
      </c>
      <c r="D49">
        <v>0</v>
      </c>
      <c r="E49">
        <v>0</v>
      </c>
      <c r="F49">
        <v>1.003009E-3</v>
      </c>
      <c r="G49">
        <v>0.227497527</v>
      </c>
      <c r="H49">
        <v>0</v>
      </c>
      <c r="I49">
        <v>0</v>
      </c>
      <c r="J49">
        <v>4.9751244E-2</v>
      </c>
      <c r="K49">
        <v>1.6932270999999999E-2</v>
      </c>
      <c r="L49">
        <v>0</v>
      </c>
      <c r="M49">
        <v>0</v>
      </c>
      <c r="N49">
        <v>6.0120239999999998E-2</v>
      </c>
      <c r="O49">
        <v>0.58823529399999996</v>
      </c>
      <c r="P49">
        <v>0.29850746299999997</v>
      </c>
      <c r="Q49">
        <v>0</v>
      </c>
      <c r="R49">
        <v>2.0080319999999999E-3</v>
      </c>
      <c r="S49">
        <v>4.4910180000000001E-2</v>
      </c>
      <c r="T49">
        <v>1.0999999999999999E-2</v>
      </c>
      <c r="U49">
        <v>0</v>
      </c>
      <c r="V49">
        <v>8.2751745000000002E-2</v>
      </c>
      <c r="W49">
        <v>1.0020039999999999E-3</v>
      </c>
      <c r="X49">
        <v>5.7228915999999998E-2</v>
      </c>
      <c r="Y49">
        <v>0</v>
      </c>
      <c r="Z49">
        <v>0</v>
      </c>
      <c r="AA49">
        <v>0</v>
      </c>
      <c r="AB49">
        <v>4.0120361E-2</v>
      </c>
      <c r="AC49">
        <v>1.9076305000000002E-2</v>
      </c>
      <c r="AD49">
        <v>0.15873015900000001</v>
      </c>
      <c r="AE49">
        <v>3.9078156000000003E-2</v>
      </c>
      <c r="AF49">
        <v>0</v>
      </c>
      <c r="AG49">
        <v>8.3916084000000002E-2</v>
      </c>
      <c r="AH49">
        <v>0.188679245</v>
      </c>
      <c r="AI49">
        <v>0.32934131700000002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 s="160">
        <v>0.01</v>
      </c>
      <c r="AX49">
        <v>0.04</v>
      </c>
      <c r="AY49">
        <v>0.1</v>
      </c>
      <c r="AZ49">
        <v>0</v>
      </c>
      <c r="BA49">
        <v>0</v>
      </c>
      <c r="BB49">
        <v>0</v>
      </c>
      <c r="BC49">
        <v>0</v>
      </c>
      <c r="BD49">
        <v>0</v>
      </c>
      <c r="BE49" s="161">
        <v>0</v>
      </c>
      <c r="BF49" s="161">
        <v>0</v>
      </c>
      <c r="BG49" s="161">
        <v>0</v>
      </c>
    </row>
    <row r="50" customFormat="true" x14ac:dyDescent="0.15">
      <c r="A50" t="s">
        <v>215</v>
      </c>
      <c r="B50">
        <v>0</v>
      </c>
      <c r="C50">
        <v>0</v>
      </c>
      <c r="D50">
        <v>0</v>
      </c>
      <c r="E50">
        <v>0</v>
      </c>
      <c r="F50">
        <v>1.003009E-3</v>
      </c>
      <c r="G50">
        <v>0</v>
      </c>
      <c r="H50">
        <v>0</v>
      </c>
      <c r="I50">
        <v>0</v>
      </c>
      <c r="J50">
        <v>9.9502488E-2</v>
      </c>
      <c r="K50">
        <v>0</v>
      </c>
      <c r="L50">
        <v>0</v>
      </c>
      <c r="M50">
        <v>0</v>
      </c>
      <c r="N50">
        <v>0</v>
      </c>
      <c r="O50">
        <v>9.9700899999999992E-3</v>
      </c>
      <c r="P50">
        <v>0</v>
      </c>
      <c r="Q50">
        <v>0</v>
      </c>
      <c r="R50">
        <v>0</v>
      </c>
      <c r="S50">
        <v>4.9900200000000004E-3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2.006018E-3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9.930487E-3</v>
      </c>
      <c r="AI50">
        <v>9.9800400000000004E-4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2E-3</v>
      </c>
      <c r="AX50" s="160">
        <v>0.01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 s="161">
        <v>0</v>
      </c>
      <c r="BF50" s="161">
        <v>0</v>
      </c>
      <c r="BG50" s="161">
        <v>0</v>
      </c>
    </row>
    <row r="51" customFormat="true" x14ac:dyDescent="0.15">
      <c r="A51" t="s">
        <v>216</v>
      </c>
      <c r="B51">
        <v>0</v>
      </c>
      <c r="C51">
        <v>0</v>
      </c>
      <c r="D51">
        <v>9.8619329000000006E-2</v>
      </c>
      <c r="E51">
        <v>0</v>
      </c>
      <c r="F51">
        <v>0</v>
      </c>
      <c r="G51">
        <v>4.8466863999999998E-2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0.39880358900000001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1.9960080000000002E-2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1.0060360000000001E-3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 s="160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 s="161">
        <v>0</v>
      </c>
      <c r="BF51" s="161">
        <v>0</v>
      </c>
      <c r="BG51" s="161">
        <v>0</v>
      </c>
    </row>
    <row r="52" customFormat="true" x14ac:dyDescent="0.15">
      <c r="A52" t="s">
        <v>217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0.21760632999999999</v>
      </c>
      <c r="AL52">
        <v>0.11011011</v>
      </c>
      <c r="AM52">
        <v>0</v>
      </c>
      <c r="AN52">
        <v>0.2</v>
      </c>
      <c r="AO52">
        <v>0.100908174</v>
      </c>
      <c r="AP52">
        <v>0.1</v>
      </c>
      <c r="AQ52">
        <v>0.30181086499999998</v>
      </c>
      <c r="AR52">
        <v>0.15</v>
      </c>
      <c r="AS52">
        <v>0.19</v>
      </c>
      <c r="AT52">
        <v>0.35</v>
      </c>
      <c r="AU52">
        <v>0.13</v>
      </c>
      <c r="AV52">
        <v>0.4</v>
      </c>
      <c r="AW52">
        <v>0.64</v>
      </c>
      <c r="AX52">
        <v>0.05</v>
      </c>
      <c r="AY52">
        <v>0.23</v>
      </c>
      <c r="AZ52" s="160">
        <v>0</v>
      </c>
      <c r="BA52">
        <v>0</v>
      </c>
      <c r="BB52">
        <v>0</v>
      </c>
      <c r="BC52">
        <v>0</v>
      </c>
      <c r="BD52">
        <v>0</v>
      </c>
      <c r="BE52" s="161">
        <v>0</v>
      </c>
      <c r="BF52" s="161">
        <v>0</v>
      </c>
      <c r="BG52" s="161">
        <v>0</v>
      </c>
    </row>
    <row r="53" customFormat="true" x14ac:dyDescent="0.15">
      <c r="A53" t="s">
        <v>218</v>
      </c>
      <c r="B53">
        <v>0</v>
      </c>
      <c r="C53">
        <v>0</v>
      </c>
      <c r="D53">
        <v>0.10848126199999999</v>
      </c>
      <c r="E53">
        <v>1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2.9058115999999998E-2</v>
      </c>
      <c r="O53">
        <v>0</v>
      </c>
      <c r="P53">
        <v>0</v>
      </c>
      <c r="Q53">
        <v>0</v>
      </c>
      <c r="R53">
        <v>1.0040159999999999E-3</v>
      </c>
      <c r="S53">
        <v>5.9880239999999998E-3</v>
      </c>
      <c r="T53">
        <v>0.13</v>
      </c>
      <c r="U53">
        <v>0</v>
      </c>
      <c r="V53">
        <v>2.7916251E-2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0.54216867499999999</v>
      </c>
      <c r="AD53">
        <v>0</v>
      </c>
      <c r="AE53">
        <v>3.0060120000000002E-3</v>
      </c>
      <c r="AF53">
        <v>0.05</v>
      </c>
      <c r="AG53">
        <v>0</v>
      </c>
      <c r="AH53">
        <v>1.9860973000000001E-2</v>
      </c>
      <c r="AI53">
        <v>0</v>
      </c>
      <c r="AJ53">
        <v>3.0181090000000002E-3</v>
      </c>
      <c r="AK53">
        <v>3.6597428000000001E-2</v>
      </c>
      <c r="AL53">
        <v>0</v>
      </c>
      <c r="AM53">
        <v>0</v>
      </c>
      <c r="AN53">
        <v>0.01</v>
      </c>
      <c r="AO53">
        <v>0.12108980799999999</v>
      </c>
      <c r="AP53">
        <v>0</v>
      </c>
      <c r="AQ53">
        <v>0</v>
      </c>
      <c r="AR53">
        <v>0</v>
      </c>
      <c r="AS53">
        <v>0.12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 s="162">
        <v>0</v>
      </c>
      <c r="BB53">
        <v>0</v>
      </c>
      <c r="BC53">
        <v>0</v>
      </c>
      <c r="BD53">
        <v>0</v>
      </c>
      <c r="BE53" s="161">
        <v>0</v>
      </c>
      <c r="BF53" s="161">
        <v>0</v>
      </c>
      <c r="BG53" s="161">
        <v>0</v>
      </c>
    </row>
    <row r="54" customFormat="true" x14ac:dyDescent="0.15">
      <c r="A54" t="s">
        <v>219</v>
      </c>
      <c r="B54">
        <v>0</v>
      </c>
      <c r="C54">
        <v>0</v>
      </c>
      <c r="D54">
        <v>0.10848126199999999</v>
      </c>
      <c r="E54">
        <v>0</v>
      </c>
      <c r="F54">
        <v>0</v>
      </c>
      <c r="G54">
        <v>0</v>
      </c>
      <c r="H54">
        <v>1.2999999999999999E-2</v>
      </c>
      <c r="I54">
        <v>1.5984016E-2</v>
      </c>
      <c r="J54">
        <v>0</v>
      </c>
      <c r="K54">
        <v>0</v>
      </c>
      <c r="L54">
        <v>0</v>
      </c>
      <c r="M54">
        <v>0</v>
      </c>
      <c r="N54">
        <v>2.0040079999999998E-3</v>
      </c>
      <c r="O54">
        <v>0</v>
      </c>
      <c r="P54">
        <v>0</v>
      </c>
      <c r="Q54">
        <v>0</v>
      </c>
      <c r="R54">
        <v>2.0080319999999999E-3</v>
      </c>
      <c r="S54">
        <v>9.9800400000000004E-4</v>
      </c>
      <c r="T54">
        <v>0.05</v>
      </c>
      <c r="U54">
        <v>0</v>
      </c>
      <c r="V54">
        <v>0</v>
      </c>
      <c r="W54">
        <v>0</v>
      </c>
      <c r="X54">
        <v>4.0160639999999997E-3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0.01</v>
      </c>
      <c r="AG54">
        <v>0</v>
      </c>
      <c r="AH54">
        <v>0</v>
      </c>
      <c r="AI54">
        <v>0</v>
      </c>
      <c r="AJ54">
        <v>0.100603622</v>
      </c>
      <c r="AK54">
        <v>0</v>
      </c>
      <c r="AL54">
        <v>3.8038038000000003E-2</v>
      </c>
      <c r="AM54">
        <v>0</v>
      </c>
      <c r="AN54">
        <v>0.06</v>
      </c>
      <c r="AO54">
        <v>9.9899091999999995E-2</v>
      </c>
      <c r="AP54">
        <v>0.12</v>
      </c>
      <c r="AQ54">
        <v>4.0241448999999999E-2</v>
      </c>
      <c r="AR54">
        <v>0.09</v>
      </c>
      <c r="AS54">
        <v>0.08</v>
      </c>
      <c r="AT54">
        <v>0.2</v>
      </c>
      <c r="AU54">
        <v>0.04</v>
      </c>
      <c r="AV54">
        <v>0.05</v>
      </c>
      <c r="AW54">
        <v>0</v>
      </c>
      <c r="AX54">
        <v>0.05</v>
      </c>
      <c r="AY54">
        <v>0</v>
      </c>
      <c r="AZ54">
        <v>4.9900200000000004E-3</v>
      </c>
      <c r="BA54">
        <v>0</v>
      </c>
      <c r="BB54" s="162">
        <v>0</v>
      </c>
      <c r="BC54">
        <v>0</v>
      </c>
      <c r="BD54">
        <v>0</v>
      </c>
      <c r="BE54" s="161">
        <v>0</v>
      </c>
      <c r="BF54" s="161">
        <v>0</v>
      </c>
      <c r="BG54" s="161">
        <v>0</v>
      </c>
    </row>
    <row r="55" customFormat="true" x14ac:dyDescent="0.15">
      <c r="A55" t="s">
        <v>220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5.0000000000000001E-3</v>
      </c>
      <c r="AG55">
        <v>3.0969031000000001E-2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2.8254288999999998E-2</v>
      </c>
      <c r="AP55">
        <v>0.23</v>
      </c>
      <c r="AQ55">
        <v>0.23138833</v>
      </c>
      <c r="AR55">
        <v>0.22</v>
      </c>
      <c r="AS55">
        <v>0.1</v>
      </c>
      <c r="AT55">
        <v>0</v>
      </c>
      <c r="AU55">
        <v>0.8</v>
      </c>
      <c r="AV55">
        <v>0.37</v>
      </c>
      <c r="AW55">
        <v>0.1</v>
      </c>
      <c r="AX55">
        <v>0.15</v>
      </c>
      <c r="AY55">
        <v>0</v>
      </c>
      <c r="AZ55">
        <v>4.9900200000000004E-3</v>
      </c>
      <c r="BA55">
        <v>0</v>
      </c>
      <c r="BB55">
        <v>0</v>
      </c>
      <c r="BC55" s="162">
        <v>0</v>
      </c>
      <c r="BD55">
        <v>0</v>
      </c>
      <c r="BE55" s="161">
        <v>0</v>
      </c>
      <c r="BF55" s="161">
        <v>0</v>
      </c>
      <c r="BG55" s="161">
        <v>0</v>
      </c>
    </row>
    <row r="56" customFormat="true" x14ac:dyDescent="0.15">
      <c r="A56" t="s">
        <v>221</v>
      </c>
      <c r="B56">
        <v>0</v>
      </c>
      <c r="C56">
        <v>0</v>
      </c>
      <c r="D56">
        <v>0</v>
      </c>
      <c r="E56">
        <v>0</v>
      </c>
      <c r="F56">
        <v>0</v>
      </c>
      <c r="G56">
        <v>1.7804153999999999E-2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9.0180361000000001E-2</v>
      </c>
      <c r="O56">
        <v>0</v>
      </c>
      <c r="P56">
        <v>0.15920397999999999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0.46673287000000002</v>
      </c>
      <c r="Z56">
        <v>0</v>
      </c>
      <c r="AA56">
        <v>0</v>
      </c>
      <c r="AB56">
        <v>3.0090270000000001E-3</v>
      </c>
      <c r="AC56">
        <v>7.0281120000000004E-3</v>
      </c>
      <c r="AD56">
        <v>0</v>
      </c>
      <c r="AE56">
        <v>0</v>
      </c>
      <c r="AF56">
        <v>0</v>
      </c>
      <c r="AG56">
        <v>0</v>
      </c>
      <c r="AH56">
        <v>9.930487E-3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4.7426841999999997E-2</v>
      </c>
      <c r="AP56">
        <v>0</v>
      </c>
      <c r="AQ56">
        <v>0</v>
      </c>
      <c r="AR56">
        <v>0</v>
      </c>
      <c r="AS56">
        <v>0.05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 s="162">
        <v>0</v>
      </c>
      <c r="BE56" s="161">
        <v>0</v>
      </c>
      <c r="BF56" s="161">
        <v>0</v>
      </c>
      <c r="BG56" s="161">
        <v>0</v>
      </c>
    </row>
    <row r="57" customFormat="true" x14ac:dyDescent="0.15">
      <c r="A57" t="s">
        <v>71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8.5170340999999997E-2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4.9950050000000003E-2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6.7608476000000001E-2</v>
      </c>
      <c r="AP57">
        <v>0.13</v>
      </c>
      <c r="AQ57">
        <v>0.181086519</v>
      </c>
      <c r="AR57">
        <v>0.05</v>
      </c>
      <c r="AS57">
        <v>7.0000000000000007E-2</v>
      </c>
      <c r="AT57">
        <v>0</v>
      </c>
      <c r="AU57">
        <v>0.01</v>
      </c>
      <c r="AV57">
        <v>0.04</v>
      </c>
      <c r="AW57">
        <v>2.8000000000000001E-2</v>
      </c>
      <c r="AX57">
        <v>0.05</v>
      </c>
      <c r="AY57">
        <v>0</v>
      </c>
      <c r="AZ57">
        <v>0.499001996</v>
      </c>
      <c r="BA57">
        <v>0</v>
      </c>
      <c r="BB57">
        <v>0</v>
      </c>
      <c r="BC57">
        <v>0</v>
      </c>
      <c r="BD57">
        <v>0</v>
      </c>
      <c r="BE57" s="162">
        <v>0</v>
      </c>
      <c r="BF57" s="161">
        <v>0</v>
      </c>
      <c r="BG57" s="161">
        <v>0</v>
      </c>
    </row>
    <row r="58" customFormat="true" x14ac:dyDescent="0.15">
      <c r="A58" t="s">
        <v>222</v>
      </c>
      <c r="B58">
        <v>1.4979029E-2</v>
      </c>
      <c r="C58">
        <v>0</v>
      </c>
      <c r="D58">
        <v>0</v>
      </c>
      <c r="E58">
        <v>0</v>
      </c>
      <c r="F58">
        <v>0</v>
      </c>
      <c r="G58">
        <v>0</v>
      </c>
      <c r="H58">
        <v>6.6000000000000003E-2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9.9900100000000006E-3</v>
      </c>
      <c r="AH58">
        <v>1.4895729999999999E-2</v>
      </c>
      <c r="AI58">
        <v>0</v>
      </c>
      <c r="AJ58">
        <v>3.1187123000000001E-2</v>
      </c>
      <c r="AK58">
        <v>0</v>
      </c>
      <c r="AL58">
        <v>9.0090090000000001E-3</v>
      </c>
      <c r="AM58">
        <v>3.2738095000000002E-2</v>
      </c>
      <c r="AN58">
        <v>0</v>
      </c>
      <c r="AO58">
        <v>2.0181635E-2</v>
      </c>
      <c r="AP58">
        <v>0</v>
      </c>
      <c r="AQ58">
        <v>1.0060362E-2</v>
      </c>
      <c r="AR58">
        <v>0</v>
      </c>
      <c r="AS58">
        <v>0.05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6.986028E-3</v>
      </c>
      <c r="BA58">
        <v>0</v>
      </c>
      <c r="BB58">
        <v>0</v>
      </c>
      <c r="BC58">
        <v>0</v>
      </c>
      <c r="BD58">
        <v>0</v>
      </c>
      <c r="BE58" s="161">
        <v>0</v>
      </c>
      <c r="BF58" s="162">
        <v>0</v>
      </c>
      <c r="BG58" s="161">
        <v>0</v>
      </c>
    </row>
    <row r="59" customFormat="true" x14ac:dyDescent="0.15">
      <c r="A59" t="s">
        <v>72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2.6052104E-2</v>
      </c>
      <c r="O59">
        <v>0</v>
      </c>
      <c r="P59">
        <v>0</v>
      </c>
      <c r="Q59">
        <v>0</v>
      </c>
      <c r="R59">
        <v>1.0040159999999999E-3</v>
      </c>
      <c r="S59">
        <v>2.8942116E-2</v>
      </c>
      <c r="T59">
        <v>0.18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0.120481928</v>
      </c>
      <c r="AD59">
        <v>0</v>
      </c>
      <c r="AE59">
        <v>0</v>
      </c>
      <c r="AF59">
        <v>0.03</v>
      </c>
      <c r="AG59">
        <v>2.4975025000000001E-2</v>
      </c>
      <c r="AH59">
        <v>1.9860973000000001E-2</v>
      </c>
      <c r="AI59">
        <v>0</v>
      </c>
      <c r="AJ59">
        <v>0.211267606</v>
      </c>
      <c r="AK59">
        <v>0</v>
      </c>
      <c r="AL59">
        <v>7.8078077999999995E-2</v>
      </c>
      <c r="AM59">
        <v>0</v>
      </c>
      <c r="AN59">
        <v>0.06</v>
      </c>
      <c r="AO59">
        <v>0.29263370300000002</v>
      </c>
      <c r="AP59">
        <v>0.41</v>
      </c>
      <c r="AQ59">
        <v>0.17102615700000001</v>
      </c>
      <c r="AR59">
        <v>0.37</v>
      </c>
      <c r="AS59">
        <v>0.22</v>
      </c>
      <c r="AT59">
        <v>0.44</v>
      </c>
      <c r="AU59">
        <v>0</v>
      </c>
      <c r="AV59">
        <v>0.01</v>
      </c>
      <c r="AW59">
        <v>0</v>
      </c>
      <c r="AX59">
        <v>0.05</v>
      </c>
      <c r="AY59">
        <v>0</v>
      </c>
      <c r="AZ59">
        <v>0.484031936</v>
      </c>
      <c r="BA59">
        <v>0</v>
      </c>
      <c r="BB59">
        <v>0</v>
      </c>
      <c r="BC59">
        <v>0</v>
      </c>
      <c r="BD59">
        <v>0</v>
      </c>
      <c r="BE59" s="161">
        <v>0</v>
      </c>
      <c r="BF59" s="161">
        <v>0</v>
      </c>
      <c r="BG59" s="162">
        <v>0</v>
      </c>
    </row>
    <row r="60" customFormat="true" ht="16" x14ac:dyDescent="0.2">
      <c r="A60" s="163" t="s">
        <v>235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0.04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0.35140562199999997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0.9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 s="161">
        <v>0</v>
      </c>
      <c r="BF60" s="161">
        <v>0</v>
      </c>
      <c r="BG60" s="161">
        <v>0</v>
      </c>
    </row>
    <row r="61" customFormat="true" x14ac:dyDescent="0.15"/>
    <row r="62" customFormat="true" x14ac:dyDescent="0.15"/>
    <row r="63" customFormat="true" x14ac:dyDescent="0.15"/>
    <row r="64" customFormat="true" x14ac:dyDescent="0.15"/>
    <row r="65" customFormat="true" x14ac:dyDescent="0.15">
      <c r="A65" t="s">
        <v>236</v>
      </c>
      <c r="B65">
        <f>SUM(B2:B60)</f>
        <v>0.99999999900000014</v>
      </c>
      <c r="C65">
        <f t="shared" ref="C65:BG65" si="0">SUM(C2:C62)</f>
        <v>1</v>
      </c>
      <c r="D65">
        <f t="shared" si="0"/>
        <v>0.99999999999999989</v>
      </c>
      <c r="E65">
        <f t="shared" si="0"/>
        <v>1</v>
      </c>
      <c r="F65">
        <f t="shared" si="0"/>
        <v>0.99999999600000045</v>
      </c>
      <c r="G65">
        <f t="shared" si="0"/>
        <v>0.99999999800000006</v>
      </c>
      <c r="H65">
        <f t="shared" si="0"/>
        <v>1.0000000000000002</v>
      </c>
      <c r="I65">
        <f t="shared" si="0"/>
        <v>1.0000000010000001</v>
      </c>
      <c r="J65">
        <f t="shared" si="0"/>
        <v>1.0000000019999999</v>
      </c>
      <c r="K65">
        <f t="shared" si="0"/>
        <v>0.99999999999999978</v>
      </c>
      <c r="L65">
        <f t="shared" si="0"/>
        <v>1.0000000009999999</v>
      </c>
      <c r="M65">
        <f t="shared" si="0"/>
        <v>1</v>
      </c>
      <c r="N65">
        <f t="shared" si="0"/>
        <v>0.99999999900000003</v>
      </c>
      <c r="O65">
        <f t="shared" si="0"/>
        <v>1</v>
      </c>
      <c r="P65">
        <f t="shared" si="0"/>
        <v>1.0000000010000001</v>
      </c>
      <c r="Q65">
        <f t="shared" si="0"/>
        <v>0.99999999899999992</v>
      </c>
      <c r="R65">
        <f t="shared" si="0"/>
        <v>1</v>
      </c>
      <c r="S65">
        <f t="shared" si="0"/>
        <v>1.0000000019999999</v>
      </c>
      <c r="T65">
        <f t="shared" si="0"/>
        <v>1</v>
      </c>
      <c r="U65">
        <f t="shared" si="0"/>
        <v>1.0000000010000001</v>
      </c>
      <c r="V65">
        <f t="shared" si="0"/>
        <v>0.99999999900000003</v>
      </c>
      <c r="W65">
        <f t="shared" si="0"/>
        <v>1</v>
      </c>
      <c r="X65">
        <f t="shared" si="0"/>
        <v>0.99999999900000003</v>
      </c>
      <c r="Y65">
        <f t="shared" si="0"/>
        <v>0.99999999900000014</v>
      </c>
      <c r="Z65">
        <f t="shared" si="0"/>
        <v>0.99999999900000025</v>
      </c>
      <c r="AA65">
        <f t="shared" si="0"/>
        <v>1.0000000000000002</v>
      </c>
      <c r="AB65">
        <f t="shared" si="0"/>
        <v>0.99999999800000017</v>
      </c>
      <c r="AC65">
        <f t="shared" si="0"/>
        <v>0.99999999899999992</v>
      </c>
      <c r="AD65">
        <f t="shared" si="0"/>
        <v>0.99999999999999989</v>
      </c>
      <c r="AE65">
        <f t="shared" si="0"/>
        <v>0.99999999899999992</v>
      </c>
      <c r="AF65">
        <f t="shared" si="0"/>
        <v>1</v>
      </c>
      <c r="AG65">
        <f t="shared" si="0"/>
        <v>1.0000000009999999</v>
      </c>
      <c r="AH65">
        <f t="shared" si="0"/>
        <v>1.0000000009999999</v>
      </c>
      <c r="AI65">
        <f t="shared" si="0"/>
        <v>1.0000000010000001</v>
      </c>
      <c r="AJ65">
        <f t="shared" si="0"/>
        <v>1.0000000010000001</v>
      </c>
      <c r="AK65">
        <f t="shared" si="0"/>
        <v>1</v>
      </c>
      <c r="AL65">
        <f t="shared" si="0"/>
        <v>0.99999999900000014</v>
      </c>
      <c r="AM65">
        <f t="shared" si="0"/>
        <v>0.99999999799999995</v>
      </c>
      <c r="AN65">
        <f t="shared" si="0"/>
        <v>1</v>
      </c>
      <c r="AO65">
        <f t="shared" si="0"/>
        <v>1.0000000010000001</v>
      </c>
      <c r="AP65">
        <f t="shared" si="0"/>
        <v>1</v>
      </c>
      <c r="AQ65">
        <f t="shared" si="0"/>
        <v>0.99999999900000003</v>
      </c>
      <c r="AR65">
        <f t="shared" si="0"/>
        <v>1</v>
      </c>
      <c r="AS65">
        <f t="shared" si="0"/>
        <v>1</v>
      </c>
      <c r="AT65">
        <f t="shared" si="0"/>
        <v>1</v>
      </c>
      <c r="AU65">
        <f t="shared" si="0"/>
        <v>1</v>
      </c>
      <c r="AV65">
        <f t="shared" si="0"/>
        <v>1</v>
      </c>
      <c r="AW65">
        <f t="shared" si="0"/>
        <v>1</v>
      </c>
      <c r="AX65">
        <f t="shared" si="0"/>
        <v>1.0000000000000002</v>
      </c>
      <c r="AY65">
        <f t="shared" si="0"/>
        <v>0.99999999999999989</v>
      </c>
      <c r="AZ65">
        <f t="shared" si="0"/>
        <v>1</v>
      </c>
      <c r="BA65">
        <f t="shared" si="0"/>
        <v>0</v>
      </c>
      <c r="BB65">
        <f t="shared" si="0"/>
        <v>0</v>
      </c>
      <c r="BC65">
        <f t="shared" si="0"/>
        <v>0</v>
      </c>
      <c r="BD65">
        <f t="shared" si="0"/>
        <v>0</v>
      </c>
      <c r="BE65">
        <f t="shared" si="0"/>
        <v>0</v>
      </c>
      <c r="BF65">
        <f t="shared" si="0"/>
        <v>0</v>
      </c>
      <c r="BG65">
        <f t="shared" si="0"/>
        <v>0</v>
      </c>
    </row>
    <row r="66" customFormat="true" x14ac:dyDescent="0.15">
      <c r="A66" t="s">
        <v>237</v>
      </c>
      <c r="B66">
        <f>1-B65</f>
        <v>9.9999986069576607E-10</v>
      </c>
      <c r="C66">
        <f t="shared" ref="C66:BG66" si="1">1-C65</f>
        <v>0</v>
      </c>
      <c r="D66">
        <f t="shared" si="1"/>
        <v>0</v>
      </c>
      <c r="E66">
        <f t="shared" si="1"/>
        <v>0</v>
      </c>
      <c r="F66">
        <f t="shared" si="1"/>
        <v>3.9999995538053668E-9</v>
      </c>
      <c r="G66">
        <f t="shared" si="1"/>
        <v>1.9999999434361371E-9</v>
      </c>
      <c r="H66">
        <f t="shared" si="1"/>
        <v>0</v>
      </c>
      <c r="I66">
        <f t="shared" si="1"/>
        <v>-1.000000082740371E-9</v>
      </c>
      <c r="J66">
        <f t="shared" si="1"/>
        <v>-1.9999999434361371E-9</v>
      </c>
      <c r="K66">
        <f t="shared" si="1"/>
        <v>0</v>
      </c>
      <c r="L66">
        <f t="shared" si="1"/>
        <v>-9.9999986069576607E-10</v>
      </c>
      <c r="M66">
        <f t="shared" si="1"/>
        <v>0</v>
      </c>
      <c r="N66">
        <f t="shared" si="1"/>
        <v>9.9999997171806854E-10</v>
      </c>
      <c r="O66">
        <f t="shared" si="1"/>
        <v>0</v>
      </c>
      <c r="P66">
        <f t="shared" si="1"/>
        <v>-1.000000082740371E-9</v>
      </c>
      <c r="Q66">
        <f t="shared" si="1"/>
        <v>1.000000082740371E-9</v>
      </c>
      <c r="R66">
        <f t="shared" si="1"/>
        <v>0</v>
      </c>
      <c r="S66">
        <f t="shared" si="1"/>
        <v>-1.9999999434361371E-9</v>
      </c>
      <c r="T66">
        <f t="shared" si="1"/>
        <v>0</v>
      </c>
      <c r="U66">
        <f t="shared" si="1"/>
        <v>-1.000000082740371E-9</v>
      </c>
      <c r="V66">
        <f t="shared" si="1"/>
        <v>9.9999997171806854E-10</v>
      </c>
      <c r="W66">
        <f t="shared" si="1"/>
        <v>0</v>
      </c>
      <c r="X66">
        <f t="shared" si="1"/>
        <v>9.9999997171806854E-10</v>
      </c>
      <c r="Y66">
        <f t="shared" si="1"/>
        <v>9.9999986069576607E-10</v>
      </c>
      <c r="Z66">
        <f t="shared" si="1"/>
        <v>9.9999974967346361E-10</v>
      </c>
      <c r="AA66">
        <f t="shared" si="1"/>
        <v>0</v>
      </c>
      <c r="AB66">
        <f t="shared" si="1"/>
        <v>1.9999998324138346E-9</v>
      </c>
      <c r="AC66">
        <f t="shared" si="1"/>
        <v>1.000000082740371E-9</v>
      </c>
      <c r="AD66">
        <f t="shared" si="1"/>
        <v>0</v>
      </c>
      <c r="AE66">
        <f t="shared" si="1"/>
        <v>1.000000082740371E-9</v>
      </c>
      <c r="AF66">
        <f t="shared" si="1"/>
        <v>0</v>
      </c>
      <c r="AG66">
        <f t="shared" si="1"/>
        <v>-9.9999986069576607E-10</v>
      </c>
      <c r="AH66">
        <f t="shared" si="1"/>
        <v>-9.9999986069576607E-10</v>
      </c>
      <c r="AI66">
        <f t="shared" si="1"/>
        <v>-1.000000082740371E-9</v>
      </c>
      <c r="AJ66">
        <f t="shared" si="1"/>
        <v>-1.000000082740371E-9</v>
      </c>
      <c r="AK66">
        <f t="shared" si="1"/>
        <v>0</v>
      </c>
      <c r="AL66">
        <f t="shared" si="1"/>
        <v>9.9999986069576607E-10</v>
      </c>
      <c r="AM66">
        <f t="shared" si="1"/>
        <v>2.0000000544584395E-9</v>
      </c>
      <c r="AN66">
        <f t="shared" si="1"/>
        <v>0</v>
      </c>
      <c r="AO66">
        <f t="shared" si="1"/>
        <v>-1.000000082740371E-9</v>
      </c>
      <c r="AP66">
        <f t="shared" si="1"/>
        <v>0</v>
      </c>
      <c r="AQ66">
        <f t="shared" si="1"/>
        <v>9.9999997171806854E-10</v>
      </c>
      <c r="AR66">
        <f t="shared" si="1"/>
        <v>0</v>
      </c>
      <c r="AS66">
        <f t="shared" si="1"/>
        <v>0</v>
      </c>
      <c r="AT66">
        <f t="shared" si="1"/>
        <v>0</v>
      </c>
      <c r="AU66">
        <f t="shared" si="1"/>
        <v>0</v>
      </c>
      <c r="AV66">
        <f t="shared" si="1"/>
        <v>0</v>
      </c>
      <c r="AW66">
        <f t="shared" si="1"/>
        <v>0</v>
      </c>
      <c r="AX66">
        <f t="shared" si="1"/>
        <v>0</v>
      </c>
      <c r="AY66">
        <f t="shared" si="1"/>
        <v>0</v>
      </c>
      <c r="AZ66">
        <f t="shared" si="1"/>
        <v>0</v>
      </c>
      <c r="BA66">
        <f t="shared" si="1"/>
        <v>1</v>
      </c>
      <c r="BB66">
        <f t="shared" si="1"/>
        <v>1</v>
      </c>
      <c r="BC66">
        <f t="shared" si="1"/>
        <v>1</v>
      </c>
      <c r="BD66">
        <f t="shared" si="1"/>
        <v>1</v>
      </c>
      <c r="BE66">
        <f t="shared" si="1"/>
        <v>1</v>
      </c>
      <c r="BF66">
        <f t="shared" si="1"/>
        <v>1</v>
      </c>
      <c r="BG66">
        <f t="shared" si="1"/>
        <v>1</v>
      </c>
    </row>
    <row r="180" ht="15" customHeight="true" x14ac:dyDescent="0.15"/>
    <row r="181" ht="15" customHeight="true" x14ac:dyDescent="0.15"/>
    <row r="182" ht="15" customHeight="true" x14ac:dyDescent="0.15"/>
    <row r="183" ht="15" customHeight="true" x14ac:dyDescent="0.15"/>
    <row r="184" ht="15" customHeight="true" x14ac:dyDescent="0.15"/>
    <row r="185" ht="15" customHeight="true" x14ac:dyDescent="0.15"/>
    <row r="186" ht="15" customHeight="true" x14ac:dyDescent="0.15"/>
    <row r="187" ht="15" customHeight="true" x14ac:dyDescent="0.15"/>
    <row r="188" ht="15" customHeight="true" x14ac:dyDescent="0.15"/>
    <row r="189" ht="15" customHeight="true" x14ac:dyDescent="0.15"/>
    <row r="190" ht="15" customHeight="true" x14ac:dyDescent="0.15"/>
    <row r="191" ht="15" customHeight="true" x14ac:dyDescent="0.15"/>
    <row r="192" ht="15" customHeight="true" x14ac:dyDescent="0.15"/>
    <row r="193" ht="15" customHeight="true" x14ac:dyDescent="0.15"/>
    <row r="194" ht="15" customHeight="true" x14ac:dyDescent="0.15"/>
    <row r="195" ht="15" customHeight="true" x14ac:dyDescent="0.15"/>
    <row r="196" ht="15" customHeight="true" x14ac:dyDescent="0.15"/>
    <row r="197" ht="15" customHeight="true" x14ac:dyDescent="0.15"/>
    <row r="198" ht="15" customHeight="true" x14ac:dyDescent="0.15"/>
    <row r="199" ht="15" customHeight="true" x14ac:dyDescent="0.15"/>
    <row r="200" ht="15" customHeight="true" x14ac:dyDescent="0.15"/>
    <row r="201" ht="15" customHeight="true" x14ac:dyDescent="0.15"/>
    <row r="202" ht="15" customHeight="true" x14ac:dyDescent="0.15"/>
    <row r="203" ht="15" customHeight="true" x14ac:dyDescent="0.15"/>
    <row r="204" ht="15" customHeight="true" x14ac:dyDescent="0.15"/>
    <row r="205" ht="15" customHeight="true" x14ac:dyDescent="0.15"/>
    <row r="206" ht="15" customHeight="true" x14ac:dyDescent="0.15"/>
    <row r="207" ht="15" customHeight="true" x14ac:dyDescent="0.15"/>
    <row r="208" ht="15" customHeight="true" x14ac:dyDescent="0.15"/>
    <row r="209" ht="15" customHeight="true" x14ac:dyDescent="0.15"/>
    <row r="210" ht="15" customHeight="true" x14ac:dyDescent="0.15"/>
    <row r="211" ht="15" customHeight="true" x14ac:dyDescent="0.15"/>
    <row r="212" ht="15" customHeight="true" x14ac:dyDescent="0.15"/>
    <row r="213" ht="15" customHeight="true" x14ac:dyDescent="0.15"/>
    <row r="214" ht="15" customHeight="true" x14ac:dyDescent="0.15"/>
    <row r="215" ht="15" customHeight="true" x14ac:dyDescent="0.15"/>
    <row r="216" ht="15" customHeight="true" x14ac:dyDescent="0.15"/>
    <row r="217" ht="15" customHeight="true" x14ac:dyDescent="0.15"/>
    <row r="218" ht="15" customHeight="true" x14ac:dyDescent="0.15"/>
    <row r="219" ht="15" customHeight="true" x14ac:dyDescent="0.15"/>
    <row r="220" ht="15" customHeight="true" x14ac:dyDescent="0.15"/>
    <row r="221" ht="15" customHeight="true" x14ac:dyDescent="0.15"/>
    <row r="222" ht="15" customHeight="true" x14ac:dyDescent="0.15"/>
    <row r="223" ht="15" customHeight="true" x14ac:dyDescent="0.15"/>
    <row r="224" ht="15" customHeight="true" x14ac:dyDescent="0.15"/>
    <row r="225" ht="15" customHeight="true" x14ac:dyDescent="0.15"/>
    <row r="226" ht="15" customHeight="true" x14ac:dyDescent="0.15"/>
    <row r="227" ht="15" customHeight="true" x14ac:dyDescent="0.15"/>
    <row r="228" ht="15" customHeight="true" x14ac:dyDescent="0.15"/>
    <row r="229" ht="15" customHeight="true" x14ac:dyDescent="0.15"/>
    <row r="230" ht="15" customHeight="true" x14ac:dyDescent="0.15"/>
    <row r="231" ht="15" customHeight="true" x14ac:dyDescent="0.15"/>
    <row r="232" ht="15" customHeight="true" x14ac:dyDescent="0.15"/>
    <row r="233" ht="15" customHeight="true" x14ac:dyDescent="0.15"/>
    <row r="234" ht="15" customHeight="true" x14ac:dyDescent="0.15"/>
    <row r="235" ht="15" customHeight="true" x14ac:dyDescent="0.15"/>
    <row r="236" ht="15" customHeight="true" x14ac:dyDescent="0.15"/>
    <row r="237" ht="15" customHeight="true" x14ac:dyDescent="0.15"/>
    <row r="238" ht="15" customHeight="true" x14ac:dyDescent="0.15"/>
    <row r="239" ht="15" customHeight="true" x14ac:dyDescent="0.15"/>
    <row r="240" ht="15" customHeight="true" x14ac:dyDescent="0.15"/>
    <row r="241" ht="15" customHeight="true" x14ac:dyDescent="0.15"/>
    <row r="242" ht="15" customHeight="true" x14ac:dyDescent="0.15"/>
    <row r="243" ht="15" customHeight="true" x14ac:dyDescent="0.15"/>
    <row r="244" ht="15" customHeight="true" x14ac:dyDescent="0.15"/>
    <row r="245" ht="15" customHeight="true" x14ac:dyDescent="0.15"/>
    <row r="246" ht="15" customHeight="true" x14ac:dyDescent="0.15"/>
    <row r="247" ht="15" customHeight="true" x14ac:dyDescent="0.15"/>
    <row r="248" ht="15" customHeight="true" x14ac:dyDescent="0.15"/>
    <row r="249" ht="15" customHeight="true" x14ac:dyDescent="0.15"/>
    <row r="250" ht="15" customHeight="true" x14ac:dyDescent="0.15"/>
    <row r="251" ht="15" customHeight="true" x14ac:dyDescent="0.15"/>
    <row r="252" ht="15" customHeight="true" x14ac:dyDescent="0.15"/>
    <row r="253" ht="15" customHeight="true" x14ac:dyDescent="0.15"/>
    <row r="254" ht="15" customHeight="true" x14ac:dyDescent="0.15"/>
    <row r="255" ht="15" customHeight="true" x14ac:dyDescent="0.15"/>
    <row r="256" ht="15" customHeight="true" x14ac:dyDescent="0.15"/>
    <row r="257" ht="15" customHeight="true" x14ac:dyDescent="0.15"/>
    <row r="258" ht="15" customHeight="true" x14ac:dyDescent="0.15"/>
    <row r="259" ht="15" customHeight="true" x14ac:dyDescent="0.15"/>
    <row r="260" ht="15" customHeight="true" x14ac:dyDescent="0.15"/>
    <row r="261" ht="15" customHeight="true" x14ac:dyDescent="0.15"/>
    <row r="262" ht="15" customHeight="true" x14ac:dyDescent="0.15"/>
    <row r="263" ht="15" customHeight="true" x14ac:dyDescent="0.15"/>
    <row r="264" ht="15" customHeight="true" x14ac:dyDescent="0.15"/>
    <row r="265" ht="15" customHeight="true" x14ac:dyDescent="0.15"/>
    <row r="266" ht="15" customHeight="true" x14ac:dyDescent="0.15"/>
    <row r="267" ht="15" customHeight="true" x14ac:dyDescent="0.15"/>
    <row r="268" ht="15" customHeight="true" x14ac:dyDescent="0.15"/>
    <row r="269" ht="15" customHeight="true" x14ac:dyDescent="0.15"/>
    <row r="270" ht="15" customHeight="true" x14ac:dyDescent="0.15"/>
    <row r="271" ht="15" customHeight="true" x14ac:dyDescent="0.15"/>
    <row r="272" ht="15" customHeight="true" x14ac:dyDescent="0.15"/>
    <row r="273" ht="15" customHeight="true" x14ac:dyDescent="0.15"/>
    <row r="274" ht="15" customHeight="true" x14ac:dyDescent="0.15"/>
    <row r="275" ht="15" customHeight="true" x14ac:dyDescent="0.15"/>
    <row r="276" ht="15" customHeight="true" x14ac:dyDescent="0.15"/>
    <row r="277" ht="15" customHeight="true" x14ac:dyDescent="0.15"/>
    <row r="278" ht="15" customHeight="true" x14ac:dyDescent="0.15"/>
    <row r="279" ht="15" customHeight="true" x14ac:dyDescent="0.15"/>
    <row r="280" ht="15" customHeight="true" x14ac:dyDescent="0.15"/>
    <row r="281" ht="15" customHeight="true" x14ac:dyDescent="0.15"/>
    <row r="282" ht="15" customHeight="true" x14ac:dyDescent="0.15"/>
    <row r="283" ht="15" customHeight="true" x14ac:dyDescent="0.15"/>
    <row r="284" ht="15" customHeight="true" x14ac:dyDescent="0.15"/>
    <row r="285" ht="15" customHeight="true" x14ac:dyDescent="0.15"/>
    <row r="286" ht="15" customHeight="true" x14ac:dyDescent="0.15"/>
    <row r="287" ht="15" customHeight="true" x14ac:dyDescent="0.15"/>
    <row r="288" ht="15" customHeight="true" x14ac:dyDescent="0.15"/>
    <row r="289" ht="15" customHeight="true" x14ac:dyDescent="0.15"/>
    <row r="290" ht="15" customHeight="true" x14ac:dyDescent="0.15"/>
    <row r="291" ht="15" customHeight="true" x14ac:dyDescent="0.15"/>
    <row r="292" ht="15" customHeight="true" x14ac:dyDescent="0.15"/>
    <row r="293" ht="15" customHeight="true" x14ac:dyDescent="0.15"/>
    <row r="294" ht="15" customHeight="true" x14ac:dyDescent="0.15"/>
    <row r="295" ht="15" customHeight="true" x14ac:dyDescent="0.15"/>
    <row r="296" ht="15" customHeight="true" x14ac:dyDescent="0.15"/>
    <row r="297" ht="15" customHeight="true" x14ac:dyDescent="0.15"/>
    <row r="298" ht="15" customHeight="true" x14ac:dyDescent="0.15"/>
    <row r="299" ht="15" customHeight="true" x14ac:dyDescent="0.15"/>
    <row r="300" ht="15" customHeight="true" x14ac:dyDescent="0.15"/>
    <row r="301" ht="15" customHeight="true" x14ac:dyDescent="0.15"/>
    <row r="302" ht="15" customHeight="true" x14ac:dyDescent="0.15"/>
    <row r="303" ht="15" customHeight="true" x14ac:dyDescent="0.15"/>
    <row r="304" ht="15" customHeight="true" x14ac:dyDescent="0.15"/>
    <row r="305" ht="15" customHeight="true" x14ac:dyDescent="0.15"/>
    <row r="306" ht="15" customHeight="true" x14ac:dyDescent="0.15"/>
    <row r="307" ht="15" customHeight="true" x14ac:dyDescent="0.15"/>
    <row r="308" ht="15" customHeight="true" x14ac:dyDescent="0.15"/>
    <row r="309" ht="15" customHeight="true" x14ac:dyDescent="0.15"/>
    <row r="310" ht="15" customHeight="true" x14ac:dyDescent="0.15"/>
    <row r="311" ht="15" customHeight="true" x14ac:dyDescent="0.15"/>
    <row r="312" ht="15" customHeight="true" x14ac:dyDescent="0.15"/>
    <row r="313" ht="15" customHeight="true" x14ac:dyDescent="0.15"/>
    <row r="314" ht="15" customHeight="true" x14ac:dyDescent="0.15"/>
    <row r="315" ht="15" customHeight="true" x14ac:dyDescent="0.15"/>
    <row r="316" ht="15" customHeight="true" x14ac:dyDescent="0.15"/>
    <row r="317" ht="15" customHeight="true" x14ac:dyDescent="0.15"/>
    <row r="318" ht="15" customHeight="true" x14ac:dyDescent="0.15"/>
    <row r="319" ht="15" customHeight="true" x14ac:dyDescent="0.15"/>
    <row r="320" ht="15" customHeight="true" x14ac:dyDescent="0.15"/>
    <row r="321" ht="15" customHeight="true" x14ac:dyDescent="0.15"/>
    <row r="322" ht="15" customHeight="true" x14ac:dyDescent="0.15"/>
    <row r="323" ht="15" customHeight="true" x14ac:dyDescent="0.15"/>
    <row r="324" ht="15" customHeight="true" x14ac:dyDescent="0.15"/>
    <row r="325" ht="15" customHeight="true" x14ac:dyDescent="0.15"/>
    <row r="326" ht="15" customHeight="true" x14ac:dyDescent="0.15"/>
    <row r="327" ht="15" customHeight="true" x14ac:dyDescent="0.15"/>
    <row r="328" ht="15" customHeight="true" x14ac:dyDescent="0.15"/>
    <row r="329" ht="15" customHeight="true" x14ac:dyDescent="0.15"/>
    <row r="330" ht="15" customHeight="true" x14ac:dyDescent="0.15"/>
    <row r="331" ht="15" customHeight="true" x14ac:dyDescent="0.15"/>
    <row r="332" ht="15" customHeight="true" x14ac:dyDescent="0.15"/>
    <row r="333" ht="15" customHeight="true" x14ac:dyDescent="0.15"/>
    <row r="334" ht="15" customHeight="true" x14ac:dyDescent="0.15"/>
    <row r="335" ht="15" customHeight="true" x14ac:dyDescent="0.15"/>
    <row r="336" ht="15" customHeight="true" x14ac:dyDescent="0.15"/>
    <row r="337" ht="15" customHeight="true" x14ac:dyDescent="0.15"/>
    <row r="338" ht="15" customHeight="true" x14ac:dyDescent="0.15"/>
    <row r="339" ht="15" customHeight="true" x14ac:dyDescent="0.15"/>
    <row r="340" ht="15" customHeight="true" x14ac:dyDescent="0.15"/>
    <row r="341" ht="15" customHeight="true" x14ac:dyDescent="0.15"/>
    <row r="342" ht="15" customHeight="true" x14ac:dyDescent="0.15"/>
    <row r="343" ht="15" customHeight="true" x14ac:dyDescent="0.15"/>
    <row r="344" ht="15" customHeight="true" x14ac:dyDescent="0.15"/>
    <row r="345" ht="15" customHeight="true" x14ac:dyDescent="0.15"/>
    <row r="346" ht="15" customHeight="true" x14ac:dyDescent="0.15"/>
    <row r="347" ht="15" customHeight="true" x14ac:dyDescent="0.15"/>
    <row r="348" ht="15" customHeight="true" x14ac:dyDescent="0.15"/>
    <row r="349" ht="15" customHeight="true" x14ac:dyDescent="0.15"/>
    <row r="350" ht="15" customHeight="true" x14ac:dyDescent="0.15"/>
    <row r="351" ht="15" customHeight="true" x14ac:dyDescent="0.15"/>
    <row r="352" ht="15" customHeight="true" x14ac:dyDescent="0.15"/>
    <row r="353" ht="15" customHeight="true" x14ac:dyDescent="0.15"/>
    <row r="354" ht="15" customHeight="true" x14ac:dyDescent="0.15"/>
    <row r="355" ht="15" customHeight="true" x14ac:dyDescent="0.15"/>
    <row r="356" ht="15" customHeight="true" x14ac:dyDescent="0.15"/>
    <row r="357" ht="15" customHeight="true" x14ac:dyDescent="0.15"/>
    <row r="358" ht="15" customHeight="true" x14ac:dyDescent="0.15"/>
    <row r="359" ht="15" customHeight="true" x14ac:dyDescent="0.15"/>
    <row r="360" ht="15" customHeight="true" x14ac:dyDescent="0.15"/>
    <row r="361" ht="15" customHeight="true" x14ac:dyDescent="0.15"/>
    <row r="362" ht="15" customHeight="true" x14ac:dyDescent="0.15"/>
    <row r="363" ht="15" customHeight="true" x14ac:dyDescent="0.15"/>
    <row r="364" ht="15" customHeight="true" x14ac:dyDescent="0.15"/>
    <row r="365" ht="15" customHeight="true" x14ac:dyDescent="0.15"/>
    <row r="366" ht="15" customHeight="true" x14ac:dyDescent="0.15"/>
    <row r="367" ht="15" customHeight="true" x14ac:dyDescent="0.15"/>
    <row r="368" ht="15" customHeight="true" x14ac:dyDescent="0.15"/>
    <row r="369" ht="15" customHeight="true" x14ac:dyDescent="0.15"/>
    <row r="370" ht="15" customHeight="true" x14ac:dyDescent="0.15"/>
    <row r="371" ht="15" customHeight="true" x14ac:dyDescent="0.15"/>
    <row r="372" ht="15" customHeight="true" x14ac:dyDescent="0.15"/>
    <row r="373" ht="15" customHeight="true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4" sqref="I14"/>
    </sheetView>
  </sheetViews>
  <sheetFormatPr baseColWidth="10" defaultColWidth="8.83203125" defaultRowHeight="13" x14ac:dyDescent="0.15"/>
  <cols>
    <col min="1" max="1" width="12.83203125" customWidth="true"/>
    <col min="2" max="2" width="21.6640625" customWidth="true"/>
    <col min="3" max="4" width="21.6640625" style="101" customWidth="true"/>
    <col min="5" max="5" width="13.33203125" style="100" bestFit="true" customWidth="true"/>
    <col min="6" max="6" width="14.33203125" style="100" bestFit="true" customWidth="true"/>
    <col min="7" max="8" width="8.83203125" style="101"/>
  </cols>
  <sheetData>
    <row r="1" ht="14" x14ac:dyDescent="0.15">
      <c r="A1" s="5" t="s">
        <v>20</v>
      </c>
      <c r="B1" s="1" t="s">
        <v>0</v>
      </c>
      <c r="C1" t="s">
        <v>71</v>
      </c>
      <c r="D1" t="s">
        <v>222</v>
      </c>
      <c r="E1" t="s">
        <v>72</v>
      </c>
      <c r="F1" t="s">
        <v>238</v>
      </c>
      <c r="G1" s="102" t="s">
        <v>236</v>
      </c>
      <c r="H1"/>
    </row>
    <row r="2" x14ac:dyDescent="0.15">
      <c r="A2">
        <v>1</v>
      </c>
      <c r="B2" t="s">
        <v>167</v>
      </c>
      <c r="C2">
        <v>0.7</v>
      </c>
      <c r="D2">
        <v>0.01</v>
      </c>
      <c r="E2">
        <v>0.28999999999999998</v>
      </c>
      <c r="F2">
        <v>0</v>
      </c>
      <c r="G2" s="164">
        <f>SUM(C2:F2)</f>
        <v>1</v>
      </c>
      <c r="H2"/>
    </row>
    <row r="3" x14ac:dyDescent="0.15">
      <c r="A3">
        <v>2</v>
      </c>
      <c r="B3" t="s">
        <v>168</v>
      </c>
      <c r="C3">
        <v>0.5</v>
      </c>
      <c r="D3">
        <v>0.01</v>
      </c>
      <c r="E3">
        <v>0</v>
      </c>
      <c r="F3">
        <v>0.49</v>
      </c>
      <c r="G3" s="164">
        <f t="shared" ref="G3:G66" si="0">SUM(C3:F3)</f>
        <v>1</v>
      </c>
      <c r="H3"/>
    </row>
    <row r="4" x14ac:dyDescent="0.15">
      <c r="A4">
        <v>3</v>
      </c>
      <c r="B4" t="s">
        <v>169</v>
      </c>
      <c r="C4">
        <v>0.7</v>
      </c>
      <c r="D4">
        <v>0.01</v>
      </c>
      <c r="E4">
        <v>0.28999999999999998</v>
      </c>
      <c r="F4">
        <v>0</v>
      </c>
      <c r="G4" s="164">
        <f t="shared" si="0"/>
        <v>1</v>
      </c>
      <c r="H4"/>
    </row>
    <row r="5" x14ac:dyDescent="0.15">
      <c r="A5">
        <v>4</v>
      </c>
      <c r="B5" t="s">
        <v>170</v>
      </c>
      <c r="C5">
        <v>0.7</v>
      </c>
      <c r="D5">
        <v>0.01</v>
      </c>
      <c r="E5">
        <v>0.28999999999999998</v>
      </c>
      <c r="F5">
        <v>0</v>
      </c>
      <c r="G5" s="164">
        <f t="shared" si="0"/>
        <v>1</v>
      </c>
      <c r="H5"/>
    </row>
    <row r="6" x14ac:dyDescent="0.15">
      <c r="A6">
        <v>5</v>
      </c>
      <c r="B6" t="s">
        <v>171</v>
      </c>
      <c r="C6">
        <v>0.7</v>
      </c>
      <c r="D6">
        <v>0.01</v>
      </c>
      <c r="E6">
        <v>0.28999999999999998</v>
      </c>
      <c r="F6">
        <v>0</v>
      </c>
      <c r="G6" s="164">
        <f t="shared" si="0"/>
        <v>1</v>
      </c>
      <c r="H6"/>
    </row>
    <row r="7" x14ac:dyDescent="0.15">
      <c r="A7">
        <v>6</v>
      </c>
      <c r="B7" t="s">
        <v>172</v>
      </c>
      <c r="C7">
        <v>0.7</v>
      </c>
      <c r="D7">
        <v>0.01</v>
      </c>
      <c r="E7">
        <v>0.28999999999999998</v>
      </c>
      <c r="F7">
        <v>0</v>
      </c>
      <c r="G7" s="164">
        <f t="shared" si="0"/>
        <v>1</v>
      </c>
      <c r="H7"/>
    </row>
    <row r="8" x14ac:dyDescent="0.15">
      <c r="A8">
        <v>7</v>
      </c>
      <c r="B8" t="s">
        <v>173</v>
      </c>
      <c r="C8">
        <v>0.7</v>
      </c>
      <c r="D8">
        <v>0.01</v>
      </c>
      <c r="E8">
        <v>0.28999999999999998</v>
      </c>
      <c r="F8">
        <v>0</v>
      </c>
      <c r="G8" s="164">
        <f t="shared" si="0"/>
        <v>1</v>
      </c>
      <c r="H8"/>
    </row>
    <row r="9" x14ac:dyDescent="0.15">
      <c r="A9">
        <v>8</v>
      </c>
      <c r="B9" t="s">
        <v>174</v>
      </c>
      <c r="C9">
        <v>0.28999999999999998</v>
      </c>
      <c r="D9">
        <v>0.01</v>
      </c>
      <c r="E9">
        <v>0.7</v>
      </c>
      <c r="F9">
        <v>0</v>
      </c>
      <c r="G9" s="164">
        <f t="shared" si="0"/>
        <v>1</v>
      </c>
      <c r="H9"/>
    </row>
    <row r="10" x14ac:dyDescent="0.15">
      <c r="A10">
        <v>9</v>
      </c>
      <c r="B10" t="s">
        <v>175</v>
      </c>
      <c r="C10">
        <v>0.7</v>
      </c>
      <c r="D10">
        <v>0.01</v>
      </c>
      <c r="E10">
        <v>0.28999999999999998</v>
      </c>
      <c r="F10">
        <v>0</v>
      </c>
      <c r="G10" s="164">
        <f t="shared" si="0"/>
        <v>1</v>
      </c>
      <c r="H10"/>
    </row>
    <row r="11" x14ac:dyDescent="0.15">
      <c r="A11">
        <v>10</v>
      </c>
      <c r="B11" t="s">
        <v>176</v>
      </c>
      <c r="C11">
        <v>0.7</v>
      </c>
      <c r="D11">
        <v>0.01</v>
      </c>
      <c r="E11">
        <v>0.28999999999999998</v>
      </c>
      <c r="F11">
        <v>0</v>
      </c>
      <c r="G11" s="164">
        <f t="shared" si="0"/>
        <v>1</v>
      </c>
      <c r="H11"/>
    </row>
    <row r="12" x14ac:dyDescent="0.15">
      <c r="A12">
        <v>11</v>
      </c>
      <c r="B12" t="s">
        <v>177</v>
      </c>
      <c r="C12">
        <v>0.7</v>
      </c>
      <c r="D12">
        <v>0.01</v>
      </c>
      <c r="E12">
        <v>0.28999999999999998</v>
      </c>
      <c r="F12">
        <v>0</v>
      </c>
      <c r="G12" s="164">
        <f t="shared" si="0"/>
        <v>1</v>
      </c>
      <c r="H12"/>
    </row>
    <row r="13" x14ac:dyDescent="0.15">
      <c r="A13">
        <v>12</v>
      </c>
      <c r="B13" t="s">
        <v>178</v>
      </c>
      <c r="C13">
        <v>0.7</v>
      </c>
      <c r="D13">
        <v>0.01</v>
      </c>
      <c r="E13">
        <v>0.28999999999999998</v>
      </c>
      <c r="F13">
        <v>0</v>
      </c>
      <c r="G13" s="164">
        <f t="shared" si="0"/>
        <v>1</v>
      </c>
      <c r="H13"/>
    </row>
    <row r="14" x14ac:dyDescent="0.15">
      <c r="A14">
        <v>13</v>
      </c>
      <c r="B14" t="s">
        <v>179</v>
      </c>
      <c r="C14">
        <v>0.7</v>
      </c>
      <c r="D14">
        <v>0.01</v>
      </c>
      <c r="E14">
        <v>0.28999999999999998</v>
      </c>
      <c r="F14">
        <v>0</v>
      </c>
      <c r="G14" s="164">
        <f t="shared" si="0"/>
        <v>1</v>
      </c>
      <c r="H14"/>
    </row>
    <row r="15" x14ac:dyDescent="0.15">
      <c r="A15">
        <v>14</v>
      </c>
      <c r="B15" t="s">
        <v>180</v>
      </c>
      <c r="C15">
        <v>0.7</v>
      </c>
      <c r="D15">
        <v>0.01</v>
      </c>
      <c r="E15">
        <v>0.28999999999999998</v>
      </c>
      <c r="F15">
        <v>0</v>
      </c>
      <c r="G15" s="164">
        <f t="shared" si="0"/>
        <v>1</v>
      </c>
      <c r="H15"/>
    </row>
    <row r="16" x14ac:dyDescent="0.15">
      <c r="A16">
        <v>15</v>
      </c>
      <c r="B16" t="s">
        <v>181</v>
      </c>
      <c r="C16">
        <v>0.7</v>
      </c>
      <c r="D16">
        <v>0.01</v>
      </c>
      <c r="E16">
        <v>0.28999999999999998</v>
      </c>
      <c r="F16">
        <v>0</v>
      </c>
      <c r="G16" s="164">
        <f t="shared" si="0"/>
        <v>1</v>
      </c>
      <c r="H16"/>
    </row>
    <row r="17" ht="15" customHeight="true" x14ac:dyDescent="0.15">
      <c r="A17">
        <v>16</v>
      </c>
      <c r="B17" t="s">
        <v>182</v>
      </c>
      <c r="C17">
        <v>0.19</v>
      </c>
      <c r="D17">
        <v>0.01</v>
      </c>
      <c r="E17">
        <v>0.8</v>
      </c>
      <c r="F17">
        <v>0</v>
      </c>
      <c r="G17" s="164">
        <f t="shared" si="0"/>
        <v>1</v>
      </c>
      <c r="H17"/>
    </row>
    <row r="18" ht="15" customHeight="true" x14ac:dyDescent="0.15">
      <c r="A18">
        <v>17</v>
      </c>
      <c r="B18" t="s">
        <v>183</v>
      </c>
      <c r="C18">
        <v>0.19</v>
      </c>
      <c r="D18">
        <v>0.01</v>
      </c>
      <c r="E18">
        <v>0.8</v>
      </c>
      <c r="F18">
        <v>0</v>
      </c>
      <c r="G18" s="164">
        <f t="shared" si="0"/>
        <v>1</v>
      </c>
      <c r="H18"/>
    </row>
    <row r="19" ht="15" customHeight="true" x14ac:dyDescent="0.15">
      <c r="A19">
        <v>18</v>
      </c>
      <c r="B19" t="s">
        <v>184</v>
      </c>
      <c r="C19">
        <v>0.19</v>
      </c>
      <c r="D19">
        <v>0.01</v>
      </c>
      <c r="E19">
        <v>0.8</v>
      </c>
      <c r="F19">
        <v>0</v>
      </c>
      <c r="G19" s="164">
        <f t="shared" si="0"/>
        <v>1</v>
      </c>
      <c r="H19"/>
    </row>
    <row r="20" ht="15" customHeight="true" x14ac:dyDescent="0.15">
      <c r="A20">
        <v>19</v>
      </c>
      <c r="B20" t="s">
        <v>185</v>
      </c>
      <c r="C20">
        <v>0.19</v>
      </c>
      <c r="D20">
        <v>0.01</v>
      </c>
      <c r="E20">
        <v>0.8</v>
      </c>
      <c r="F20">
        <v>0</v>
      </c>
      <c r="G20" s="164">
        <f t="shared" si="0"/>
        <v>1</v>
      </c>
      <c r="H20"/>
    </row>
    <row r="21" ht="15" customHeight="true" x14ac:dyDescent="0.15">
      <c r="A21">
        <v>20</v>
      </c>
      <c r="B21" t="s">
        <v>186</v>
      </c>
      <c r="C21">
        <v>0.09</v>
      </c>
      <c r="D21">
        <v>0.01</v>
      </c>
      <c r="E21">
        <v>0.9</v>
      </c>
      <c r="F21">
        <v>0</v>
      </c>
      <c r="G21" s="164">
        <f t="shared" si="0"/>
        <v>1</v>
      </c>
      <c r="H21"/>
    </row>
    <row r="22" ht="15" customHeight="true" x14ac:dyDescent="0.15">
      <c r="A22">
        <v>21</v>
      </c>
      <c r="B22" t="s">
        <v>187</v>
      </c>
      <c r="C22">
        <v>0.09</v>
      </c>
      <c r="D22">
        <v>0.01</v>
      </c>
      <c r="E22">
        <v>0.9</v>
      </c>
      <c r="F22">
        <v>0</v>
      </c>
      <c r="G22" s="164">
        <f t="shared" si="0"/>
        <v>1</v>
      </c>
      <c r="H22"/>
    </row>
    <row r="23" ht="15" customHeight="true" x14ac:dyDescent="0.15">
      <c r="A23">
        <v>22</v>
      </c>
      <c r="B23" t="s">
        <v>188</v>
      </c>
      <c r="C23">
        <v>0.09</v>
      </c>
      <c r="D23">
        <v>0.01</v>
      </c>
      <c r="E23">
        <v>0.9</v>
      </c>
      <c r="F23">
        <v>0</v>
      </c>
      <c r="G23" s="164">
        <f t="shared" si="0"/>
        <v>1</v>
      </c>
      <c r="H23"/>
    </row>
    <row r="24" ht="15" customHeight="true" x14ac:dyDescent="0.15">
      <c r="A24">
        <v>23</v>
      </c>
      <c r="B24" t="s">
        <v>189</v>
      </c>
      <c r="C24">
        <v>0.09</v>
      </c>
      <c r="D24">
        <v>0.01</v>
      </c>
      <c r="E24">
        <v>0.9</v>
      </c>
      <c r="F24">
        <v>0</v>
      </c>
      <c r="G24" s="164">
        <f t="shared" si="0"/>
        <v>1</v>
      </c>
      <c r="H24"/>
    </row>
    <row r="25" ht="15" customHeight="true" x14ac:dyDescent="0.15">
      <c r="A25">
        <v>24</v>
      </c>
      <c r="B25" t="s">
        <v>190</v>
      </c>
      <c r="C25">
        <v>0.7</v>
      </c>
      <c r="D25">
        <v>0.01</v>
      </c>
      <c r="E25">
        <v>0.28999999999999998</v>
      </c>
      <c r="F25">
        <v>0</v>
      </c>
      <c r="G25" s="164">
        <f t="shared" si="0"/>
        <v>1</v>
      </c>
      <c r="H25"/>
    </row>
    <row r="26" ht="15" customHeight="true" x14ac:dyDescent="0.15">
      <c r="A26">
        <v>25</v>
      </c>
      <c r="B26" t="s">
        <v>191</v>
      </c>
      <c r="C26">
        <v>0.19</v>
      </c>
      <c r="D26">
        <v>0.01</v>
      </c>
      <c r="E26">
        <v>0.8</v>
      </c>
      <c r="F26">
        <v>0</v>
      </c>
      <c r="G26" s="164">
        <f t="shared" si="0"/>
        <v>1</v>
      </c>
      <c r="H26"/>
    </row>
    <row r="27" ht="15" customHeight="true" x14ac:dyDescent="0.15">
      <c r="A27">
        <v>26</v>
      </c>
      <c r="B27" t="s">
        <v>192</v>
      </c>
      <c r="C27">
        <v>0.19</v>
      </c>
      <c r="D27">
        <v>0.01</v>
      </c>
      <c r="E27">
        <v>0.8</v>
      </c>
      <c r="F27">
        <v>0</v>
      </c>
      <c r="G27" s="164">
        <f t="shared" si="0"/>
        <v>1</v>
      </c>
      <c r="H27"/>
    </row>
    <row r="28" ht="15" customHeight="true" x14ac:dyDescent="0.15">
      <c r="A28">
        <v>27</v>
      </c>
      <c r="B28" t="s">
        <v>193</v>
      </c>
      <c r="C28">
        <v>0.19</v>
      </c>
      <c r="D28">
        <v>0.01</v>
      </c>
      <c r="E28">
        <v>0.8</v>
      </c>
      <c r="F28">
        <v>0</v>
      </c>
      <c r="G28" s="164">
        <f t="shared" si="0"/>
        <v>1</v>
      </c>
      <c r="H28"/>
    </row>
    <row r="29" ht="15" customHeight="true" x14ac:dyDescent="0.15">
      <c r="A29">
        <v>28</v>
      </c>
      <c r="B29" t="s">
        <v>194</v>
      </c>
      <c r="C29">
        <v>0.19</v>
      </c>
      <c r="D29">
        <v>0.01</v>
      </c>
      <c r="E29">
        <v>0.8</v>
      </c>
      <c r="F29">
        <v>0</v>
      </c>
      <c r="G29" s="164">
        <f t="shared" si="0"/>
        <v>1</v>
      </c>
      <c r="H29"/>
    </row>
    <row r="30" ht="15" customHeight="true" x14ac:dyDescent="0.15">
      <c r="A30">
        <v>29</v>
      </c>
      <c r="B30" t="s">
        <v>195</v>
      </c>
      <c r="C30">
        <v>0.19</v>
      </c>
      <c r="D30">
        <v>0.01</v>
      </c>
      <c r="E30">
        <v>0.8</v>
      </c>
      <c r="F30">
        <v>0</v>
      </c>
      <c r="G30" s="164">
        <f t="shared" si="0"/>
        <v>1</v>
      </c>
      <c r="H30"/>
    </row>
    <row r="31" ht="15" customHeight="true" x14ac:dyDescent="0.15">
      <c r="A31">
        <v>30</v>
      </c>
      <c r="B31" t="s">
        <v>196</v>
      </c>
      <c r="C31">
        <v>0.7</v>
      </c>
      <c r="D31">
        <v>0.01</v>
      </c>
      <c r="E31">
        <v>0.28999999999999998</v>
      </c>
      <c r="F31">
        <v>0</v>
      </c>
      <c r="G31" s="164">
        <f t="shared" si="0"/>
        <v>1</v>
      </c>
      <c r="H31"/>
    </row>
    <row r="32" ht="15" customHeight="true" x14ac:dyDescent="0.15">
      <c r="A32">
        <v>31</v>
      </c>
      <c r="B32" t="s">
        <v>197</v>
      </c>
      <c r="C32">
        <v>0.7</v>
      </c>
      <c r="D32">
        <v>0.01</v>
      </c>
      <c r="E32">
        <v>0.28999999999999998</v>
      </c>
      <c r="F32">
        <v>0</v>
      </c>
      <c r="G32" s="164">
        <f t="shared" si="0"/>
        <v>1</v>
      </c>
    </row>
    <row r="33" ht="15" customHeight="true" x14ac:dyDescent="0.15">
      <c r="A33">
        <v>32</v>
      </c>
      <c r="B33" t="s">
        <v>198</v>
      </c>
      <c r="C33">
        <v>0.7</v>
      </c>
      <c r="D33">
        <v>0.01</v>
      </c>
      <c r="E33">
        <v>0.28999999999999998</v>
      </c>
      <c r="F33">
        <v>0</v>
      </c>
      <c r="G33" s="164">
        <f t="shared" si="0"/>
        <v>1</v>
      </c>
    </row>
    <row r="34" ht="15" customHeight="true" x14ac:dyDescent="0.15">
      <c r="A34">
        <v>33</v>
      </c>
      <c r="B34" t="s">
        <v>199</v>
      </c>
      <c r="C34">
        <v>0.7</v>
      </c>
      <c r="D34">
        <v>0.01</v>
      </c>
      <c r="E34">
        <v>0.28999999999999998</v>
      </c>
      <c r="F34">
        <v>0</v>
      </c>
      <c r="G34" s="164">
        <f t="shared" si="0"/>
        <v>1</v>
      </c>
    </row>
    <row r="35" ht="15" customHeight="true" x14ac:dyDescent="0.15">
      <c r="A35">
        <v>34</v>
      </c>
      <c r="B35" t="s">
        <v>200</v>
      </c>
      <c r="C35">
        <v>0.25</v>
      </c>
      <c r="D35">
        <v>0.5</v>
      </c>
      <c r="E35">
        <v>0.25</v>
      </c>
      <c r="F35">
        <v>0</v>
      </c>
      <c r="G35" s="164">
        <f t="shared" si="0"/>
        <v>1</v>
      </c>
    </row>
    <row r="36" ht="15" customHeight="true" x14ac:dyDescent="0.15">
      <c r="A36">
        <v>35</v>
      </c>
      <c r="B36" t="s">
        <v>201</v>
      </c>
      <c r="C36">
        <v>0.1</v>
      </c>
      <c r="D36">
        <v>0.01</v>
      </c>
      <c r="E36">
        <v>0.89</v>
      </c>
      <c r="F36">
        <v>0</v>
      </c>
      <c r="G36" s="164">
        <f t="shared" si="0"/>
        <v>1</v>
      </c>
      <c r="H36"/>
    </row>
    <row r="37" ht="15" customHeight="true" x14ac:dyDescent="0.15">
      <c r="A37">
        <v>36</v>
      </c>
      <c r="B37" t="s">
        <v>202</v>
      </c>
      <c r="C37">
        <v>0.1</v>
      </c>
      <c r="D37">
        <v>0.01</v>
      </c>
      <c r="E37">
        <v>0.89</v>
      </c>
      <c r="F37">
        <v>0</v>
      </c>
      <c r="G37" s="164">
        <f t="shared" si="0"/>
        <v>1</v>
      </c>
      <c r="H37"/>
    </row>
    <row r="38" ht="15" customHeight="true" x14ac:dyDescent="0.15">
      <c r="A38">
        <v>37</v>
      </c>
      <c r="B38" t="s">
        <v>203</v>
      </c>
      <c r="C38">
        <v>0.1</v>
      </c>
      <c r="D38">
        <v>0.01</v>
      </c>
      <c r="E38">
        <v>0.89</v>
      </c>
      <c r="F38">
        <v>0</v>
      </c>
      <c r="G38" s="164">
        <f t="shared" si="0"/>
        <v>1</v>
      </c>
      <c r="H38"/>
    </row>
    <row r="39" ht="15" customHeight="true" x14ac:dyDescent="0.15">
      <c r="A39">
        <v>38</v>
      </c>
      <c r="B39" t="s">
        <v>204</v>
      </c>
      <c r="C39">
        <v>0.05</v>
      </c>
      <c r="D39">
        <v>0.01</v>
      </c>
      <c r="E39">
        <v>0.94</v>
      </c>
      <c r="F39">
        <v>0</v>
      </c>
      <c r="G39" s="164">
        <f t="shared" si="0"/>
        <v>1</v>
      </c>
      <c r="H39"/>
    </row>
    <row r="40" ht="15" customHeight="true" x14ac:dyDescent="0.15">
      <c r="A40">
        <v>39</v>
      </c>
      <c r="B40" t="s">
        <v>205</v>
      </c>
      <c r="C40">
        <v>0</v>
      </c>
      <c r="D40">
        <v>0.01</v>
      </c>
      <c r="E40">
        <v>0.99</v>
      </c>
      <c r="F40">
        <v>0</v>
      </c>
      <c r="G40" s="164">
        <f t="shared" si="0"/>
        <v>1</v>
      </c>
      <c r="H40"/>
    </row>
    <row r="41" ht="15" customHeight="true" x14ac:dyDescent="0.15">
      <c r="A41">
        <v>40</v>
      </c>
      <c r="B41" t="s">
        <v>206</v>
      </c>
      <c r="C41">
        <v>0</v>
      </c>
      <c r="D41">
        <v>0.01</v>
      </c>
      <c r="E41">
        <v>0.99</v>
      </c>
      <c r="F41">
        <v>0</v>
      </c>
      <c r="G41" s="164">
        <f t="shared" si="0"/>
        <v>1</v>
      </c>
      <c r="H41"/>
    </row>
    <row r="42" ht="15" customHeight="true" x14ac:dyDescent="0.15">
      <c r="A42">
        <v>41</v>
      </c>
      <c r="B42" t="s">
        <v>207</v>
      </c>
      <c r="C42">
        <v>0.2</v>
      </c>
      <c r="D42">
        <v>0.01</v>
      </c>
      <c r="E42">
        <v>0.79</v>
      </c>
      <c r="F42">
        <v>0</v>
      </c>
      <c r="G42" s="164">
        <f t="shared" si="0"/>
        <v>1</v>
      </c>
      <c r="H42"/>
    </row>
    <row r="43" ht="15" customHeight="true" x14ac:dyDescent="0.15">
      <c r="A43">
        <v>42</v>
      </c>
      <c r="B43" t="s">
        <v>208</v>
      </c>
      <c r="C43">
        <v>0.1</v>
      </c>
      <c r="D43">
        <v>0.01</v>
      </c>
      <c r="E43">
        <v>0.89</v>
      </c>
      <c r="F43">
        <v>0</v>
      </c>
      <c r="G43" s="164">
        <f t="shared" si="0"/>
        <v>1</v>
      </c>
      <c r="H43"/>
    </row>
    <row r="44" ht="15" customHeight="true" x14ac:dyDescent="0.15">
      <c r="A44">
        <v>43</v>
      </c>
      <c r="B44" t="s">
        <v>209</v>
      </c>
      <c r="C44">
        <v>0</v>
      </c>
      <c r="D44">
        <v>0.01</v>
      </c>
      <c r="E44">
        <v>0.99</v>
      </c>
      <c r="F44">
        <v>0</v>
      </c>
      <c r="G44" s="164">
        <f t="shared" si="0"/>
        <v>1</v>
      </c>
      <c r="H44"/>
    </row>
    <row r="45" ht="15" customHeight="true" x14ac:dyDescent="0.15">
      <c r="A45">
        <v>44</v>
      </c>
      <c r="B45" t="s">
        <v>210</v>
      </c>
      <c r="C45">
        <v>0.2</v>
      </c>
      <c r="D45">
        <v>0.01</v>
      </c>
      <c r="E45">
        <v>0.79</v>
      </c>
      <c r="F45">
        <v>0</v>
      </c>
      <c r="G45" s="164">
        <f t="shared" si="0"/>
        <v>1</v>
      </c>
      <c r="H45"/>
    </row>
    <row r="46" ht="15" customHeight="true" x14ac:dyDescent="0.15">
      <c r="A46">
        <v>45</v>
      </c>
      <c r="B46" t="s">
        <v>211</v>
      </c>
      <c r="C46">
        <v>0.1</v>
      </c>
      <c r="D46">
        <v>0.01</v>
      </c>
      <c r="E46">
        <v>0.89</v>
      </c>
      <c r="F46">
        <v>0</v>
      </c>
      <c r="G46" s="164">
        <f t="shared" si="0"/>
        <v>1</v>
      </c>
      <c r="H46"/>
    </row>
    <row r="47" ht="15" customHeight="true" x14ac:dyDescent="0.15">
      <c r="A47">
        <v>46</v>
      </c>
      <c r="B47" t="s">
        <v>212</v>
      </c>
      <c r="C47">
        <v>0.9</v>
      </c>
      <c r="D47">
        <v>0.01</v>
      </c>
      <c r="E47">
        <v>0.09</v>
      </c>
      <c r="F47">
        <v>0</v>
      </c>
      <c r="G47" s="164">
        <f t="shared" si="0"/>
        <v>1</v>
      </c>
      <c r="H47"/>
    </row>
    <row r="48" ht="15" customHeight="true" x14ac:dyDescent="0.15">
      <c r="A48">
        <v>47</v>
      </c>
      <c r="B48" t="s">
        <v>213</v>
      </c>
      <c r="C48">
        <v>0.9</v>
      </c>
      <c r="D48">
        <v>0.01</v>
      </c>
      <c r="E48">
        <v>0.09</v>
      </c>
      <c r="F48">
        <v>0</v>
      </c>
      <c r="G48" s="164">
        <f t="shared" si="0"/>
        <v>1</v>
      </c>
      <c r="H48"/>
    </row>
    <row r="49" ht="15" customHeight="true" x14ac:dyDescent="0.15">
      <c r="A49">
        <v>48</v>
      </c>
      <c r="B49" t="s">
        <v>214</v>
      </c>
      <c r="C49">
        <v>0.9</v>
      </c>
      <c r="D49">
        <v>0.01</v>
      </c>
      <c r="E49">
        <v>0.09</v>
      </c>
      <c r="F49">
        <v>0</v>
      </c>
      <c r="G49" s="164">
        <f t="shared" si="0"/>
        <v>1</v>
      </c>
      <c r="H49"/>
    </row>
    <row r="50" ht="15" customHeight="true" x14ac:dyDescent="0.15">
      <c r="A50">
        <v>49</v>
      </c>
      <c r="B50" t="s">
        <v>215</v>
      </c>
      <c r="C50">
        <v>0.9</v>
      </c>
      <c r="D50">
        <v>0.01</v>
      </c>
      <c r="E50">
        <v>0.09</v>
      </c>
      <c r="F50">
        <v>0</v>
      </c>
      <c r="G50" s="164">
        <f t="shared" si="0"/>
        <v>1</v>
      </c>
      <c r="H50"/>
    </row>
    <row r="51" ht="15" customHeight="true" x14ac:dyDescent="0.15">
      <c r="A51">
        <v>50</v>
      </c>
      <c r="B51" t="s">
        <v>216</v>
      </c>
      <c r="C51">
        <v>0.9</v>
      </c>
      <c r="D51">
        <v>0.01</v>
      </c>
      <c r="E51">
        <v>0.09</v>
      </c>
      <c r="F51">
        <v>0</v>
      </c>
      <c r="G51" s="164">
        <f t="shared" si="0"/>
        <v>1</v>
      </c>
      <c r="H51"/>
    </row>
    <row r="52" ht="15" customHeight="true" x14ac:dyDescent="0.15">
      <c r="A52">
        <v>51</v>
      </c>
      <c r="B52" t="s">
        <v>217</v>
      </c>
      <c r="C52">
        <v>0.5</v>
      </c>
      <c r="D52">
        <v>0.01</v>
      </c>
      <c r="E52">
        <v>0.49</v>
      </c>
      <c r="F52">
        <v>0</v>
      </c>
      <c r="G52" s="164">
        <f t="shared" si="0"/>
        <v>1</v>
      </c>
      <c r="H52"/>
    </row>
    <row r="53" ht="15" customHeight="true" x14ac:dyDescent="0.15">
      <c r="A53">
        <v>52</v>
      </c>
      <c r="B53" t="s">
        <v>218</v>
      </c>
      <c r="C53">
        <v>0</v>
      </c>
      <c r="D53">
        <v>0</v>
      </c>
      <c r="E53">
        <v>1</v>
      </c>
      <c r="F53">
        <v>0</v>
      </c>
      <c r="G53" s="164">
        <f t="shared" si="0"/>
        <v>1</v>
      </c>
      <c r="H53"/>
    </row>
    <row r="54" ht="15" customHeight="true" x14ac:dyDescent="0.15">
      <c r="A54">
        <v>53</v>
      </c>
      <c r="B54" t="s">
        <v>219</v>
      </c>
      <c r="C54">
        <v>0.1</v>
      </c>
      <c r="D54">
        <v>0</v>
      </c>
      <c r="E54">
        <v>0.9</v>
      </c>
      <c r="F54">
        <v>0</v>
      </c>
      <c r="G54" s="164">
        <f t="shared" si="0"/>
        <v>1</v>
      </c>
      <c r="H54"/>
    </row>
    <row r="55" ht="15" customHeight="true" x14ac:dyDescent="0.15">
      <c r="A55">
        <v>54</v>
      </c>
      <c r="B55" t="s">
        <v>220</v>
      </c>
      <c r="C55">
        <v>0.95</v>
      </c>
      <c r="D55">
        <v>0.01</v>
      </c>
      <c r="E55">
        <v>0.04</v>
      </c>
      <c r="F55">
        <v>0</v>
      </c>
      <c r="G55" s="164">
        <f t="shared" si="0"/>
        <v>1</v>
      </c>
      <c r="H55"/>
    </row>
    <row r="56" ht="15" customHeight="true" x14ac:dyDescent="0.15">
      <c r="A56">
        <v>55</v>
      </c>
      <c r="B56" t="s">
        <v>221</v>
      </c>
      <c r="C56">
        <v>0</v>
      </c>
      <c r="D56">
        <v>0</v>
      </c>
      <c r="E56">
        <v>1</v>
      </c>
      <c r="F56">
        <v>0</v>
      </c>
      <c r="G56" s="164">
        <f t="shared" si="0"/>
        <v>1</v>
      </c>
      <c r="H56"/>
    </row>
    <row r="57" ht="15" customHeight="true" x14ac:dyDescent="0.15">
      <c r="A57">
        <v>56</v>
      </c>
      <c r="B57" t="s">
        <v>71</v>
      </c>
      <c r="C57">
        <v>0</v>
      </c>
      <c r="D57">
        <v>0</v>
      </c>
      <c r="E57">
        <v>1</v>
      </c>
      <c r="F57">
        <v>0</v>
      </c>
      <c r="G57" s="164">
        <f t="shared" si="0"/>
        <v>1</v>
      </c>
      <c r="H57"/>
    </row>
    <row r="58" ht="15" customHeight="true" x14ac:dyDescent="0.15">
      <c r="A58">
        <v>57</v>
      </c>
      <c r="B58" t="s">
        <v>222</v>
      </c>
      <c r="C58">
        <v>0.1</v>
      </c>
      <c r="D58">
        <v>0</v>
      </c>
      <c r="E58">
        <v>0.9</v>
      </c>
      <c r="F58">
        <v>0</v>
      </c>
      <c r="G58" s="164">
        <f t="shared" si="0"/>
        <v>1</v>
      </c>
      <c r="H58"/>
    </row>
    <row r="59" ht="15" customHeight="true" x14ac:dyDescent="0.15">
      <c r="A59">
        <v>58</v>
      </c>
      <c r="B59" t="s">
        <v>72</v>
      </c>
      <c r="C59">
        <v>0</v>
      </c>
      <c r="D59">
        <v>0</v>
      </c>
      <c r="E59">
        <v>0</v>
      </c>
      <c r="F59">
        <v>1</v>
      </c>
      <c r="G59" s="164">
        <f t="shared" si="0"/>
        <v>1</v>
      </c>
      <c r="H59"/>
    </row>
    <row r="60" ht="15" customHeight="true" x14ac:dyDescent="0.15">
      <c r="A60">
        <v>59</v>
      </c>
      <c r="B60" t="s">
        <v>223</v>
      </c>
      <c r="C60">
        <v>0</v>
      </c>
      <c r="D60">
        <v>1</v>
      </c>
      <c r="E60">
        <v>0</v>
      </c>
      <c r="F60">
        <v>0</v>
      </c>
      <c r="G60" s="164">
        <f t="shared" si="0"/>
        <v>1</v>
      </c>
      <c r="H60"/>
    </row>
    <row r="61" ht="15" customHeight="true" x14ac:dyDescent="0.15">
      <c r="A61">
        <v>60</v>
      </c>
      <c r="B61" t="s">
        <v>224</v>
      </c>
      <c r="C61">
        <v>0</v>
      </c>
      <c r="D61">
        <v>1</v>
      </c>
      <c r="E61">
        <v>0</v>
      </c>
      <c r="F61">
        <v>0</v>
      </c>
      <c r="G61" s="164">
        <f t="shared" si="0"/>
        <v>1</v>
      </c>
      <c r="H61"/>
    </row>
    <row r="62" ht="15" customHeight="true" x14ac:dyDescent="0.15">
      <c r="A62">
        <v>61</v>
      </c>
      <c r="B62" t="s">
        <v>225</v>
      </c>
      <c r="C62">
        <v>0</v>
      </c>
      <c r="D62">
        <v>1</v>
      </c>
      <c r="E62">
        <v>0</v>
      </c>
      <c r="F62">
        <v>0</v>
      </c>
      <c r="G62" s="164">
        <f t="shared" si="0"/>
        <v>1</v>
      </c>
      <c r="H62"/>
    </row>
    <row r="63" ht="15" customHeight="true" x14ac:dyDescent="0.15">
      <c r="A63">
        <v>62</v>
      </c>
      <c r="B63" t="s">
        <v>226</v>
      </c>
      <c r="C63">
        <v>0</v>
      </c>
      <c r="D63">
        <v>1</v>
      </c>
      <c r="E63">
        <v>0</v>
      </c>
      <c r="F63">
        <v>0</v>
      </c>
      <c r="G63" s="164">
        <f t="shared" si="0"/>
        <v>1</v>
      </c>
      <c r="H63"/>
    </row>
    <row r="64" ht="15" customHeight="true" x14ac:dyDescent="0.15">
      <c r="A64">
        <v>63</v>
      </c>
      <c r="B64" t="s">
        <v>227</v>
      </c>
      <c r="C64">
        <v>0</v>
      </c>
      <c r="D64">
        <v>1</v>
      </c>
      <c r="E64">
        <v>0</v>
      </c>
      <c r="F64">
        <v>0</v>
      </c>
      <c r="G64" s="164">
        <f t="shared" si="0"/>
        <v>1</v>
      </c>
      <c r="H64"/>
    </row>
    <row r="65" ht="15" customHeight="true" x14ac:dyDescent="0.15">
      <c r="A65">
        <v>64</v>
      </c>
      <c r="B65" t="s">
        <v>228</v>
      </c>
      <c r="C65">
        <v>0</v>
      </c>
      <c r="D65">
        <v>1</v>
      </c>
      <c r="E65">
        <v>0</v>
      </c>
      <c r="F65">
        <v>0</v>
      </c>
      <c r="G65" s="164">
        <f t="shared" si="0"/>
        <v>1</v>
      </c>
      <c r="H65"/>
    </row>
    <row r="66" ht="15" customHeight="true" x14ac:dyDescent="0.15">
      <c r="A66">
        <v>65</v>
      </c>
      <c r="B66" t="s">
        <v>229</v>
      </c>
      <c r="C66">
        <v>0</v>
      </c>
      <c r="D66">
        <v>1</v>
      </c>
      <c r="E66">
        <v>0</v>
      </c>
      <c r="F66">
        <v>0</v>
      </c>
      <c r="G66" s="164">
        <f t="shared" si="0"/>
        <v>1</v>
      </c>
      <c r="H66"/>
    </row>
    <row r="67" ht="15" customHeight="true" x14ac:dyDescent="0.15">
      <c r="A67">
        <v>66</v>
      </c>
      <c r="B67" t="s">
        <v>230</v>
      </c>
      <c r="C67">
        <v>0</v>
      </c>
      <c r="D67">
        <v>1</v>
      </c>
      <c r="E67">
        <v>0</v>
      </c>
      <c r="F67">
        <v>0</v>
      </c>
      <c r="G67" s="164">
        <f t="shared" ref="G67:G71" si="1">SUM(C67:F67)</f>
        <v>1</v>
      </c>
      <c r="H67"/>
    </row>
    <row r="68" ht="15" customHeight="true" x14ac:dyDescent="0.15">
      <c r="A68">
        <v>67</v>
      </c>
      <c r="B68" t="s">
        <v>231</v>
      </c>
      <c r="C68">
        <v>0</v>
      </c>
      <c r="D68">
        <v>1</v>
      </c>
      <c r="E68">
        <v>0</v>
      </c>
      <c r="F68">
        <v>0</v>
      </c>
      <c r="G68" s="164">
        <f t="shared" si="1"/>
        <v>1</v>
      </c>
      <c r="H68"/>
    </row>
    <row r="69" ht="15" customHeight="true" x14ac:dyDescent="0.15">
      <c r="A69">
        <v>68</v>
      </c>
      <c r="B69" t="s">
        <v>232</v>
      </c>
      <c r="C69">
        <v>0</v>
      </c>
      <c r="D69">
        <v>1</v>
      </c>
      <c r="E69">
        <v>0</v>
      </c>
      <c r="F69">
        <v>0</v>
      </c>
      <c r="G69" s="164">
        <f t="shared" si="1"/>
        <v>1</v>
      </c>
      <c r="H69"/>
    </row>
    <row r="70" ht="15" customHeight="true" x14ac:dyDescent="0.15">
      <c r="A70">
        <v>69</v>
      </c>
      <c r="B70" t="s">
        <v>233</v>
      </c>
      <c r="C70">
        <v>0</v>
      </c>
      <c r="D70">
        <v>1</v>
      </c>
      <c r="E70">
        <v>0</v>
      </c>
      <c r="F70">
        <v>0</v>
      </c>
      <c r="G70" s="164">
        <f t="shared" si="1"/>
        <v>1</v>
      </c>
      <c r="H70"/>
    </row>
    <row r="71" ht="15" customHeight="true" x14ac:dyDescent="0.15">
      <c r="A71">
        <v>70</v>
      </c>
      <c r="B71" t="s">
        <v>234</v>
      </c>
      <c r="C71">
        <v>0</v>
      </c>
      <c r="D71">
        <v>1</v>
      </c>
      <c r="E71">
        <v>0</v>
      </c>
      <c r="F71">
        <v>0</v>
      </c>
      <c r="G71" s="164">
        <f t="shared" si="1"/>
        <v>1</v>
      </c>
      <c r="H71"/>
    </row>
    <row r="72" ht="15" customHeight="true" x14ac:dyDescent="0.15">
      <c r="C72"/>
      <c r="D72"/>
      <c r="E72"/>
      <c r="F72"/>
      <c r="G72"/>
      <c r="H72"/>
    </row>
    <row r="73" ht="15" customHeight="true" x14ac:dyDescent="0.15">
      <c r="C73"/>
      <c r="D73"/>
      <c r="E73"/>
      <c r="F73"/>
      <c r="G73"/>
      <c r="H73"/>
    </row>
    <row r="74" ht="15" customHeight="true" x14ac:dyDescent="0.15">
      <c r="C74"/>
      <c r="D74"/>
      <c r="E74"/>
      <c r="F74"/>
      <c r="G74"/>
      <c r="H74"/>
    </row>
    <row r="75" ht="15" customHeight="true" x14ac:dyDescent="0.15">
      <c r="C75"/>
      <c r="D75"/>
      <c r="E75"/>
      <c r="F75"/>
      <c r="G75"/>
      <c r="H75"/>
    </row>
    <row r="76" ht="15" customHeight="true" x14ac:dyDescent="0.15">
      <c r="C76"/>
      <c r="D76"/>
      <c r="E76"/>
      <c r="F76"/>
      <c r="G76"/>
      <c r="H76"/>
    </row>
    <row r="77" ht="15" customHeight="true" x14ac:dyDescent="0.15">
      <c r="C77"/>
      <c r="D77"/>
      <c r="E77"/>
      <c r="F77"/>
      <c r="G77"/>
      <c r="H77"/>
    </row>
    <row r="78" ht="15" customHeight="true" x14ac:dyDescent="0.15">
      <c r="C78"/>
      <c r="D78"/>
      <c r="E78"/>
      <c r="F78"/>
      <c r="G78"/>
      <c r="H78"/>
    </row>
    <row r="79" ht="15" customHeight="true" x14ac:dyDescent="0.15">
      <c r="C79"/>
      <c r="D79"/>
      <c r="E79"/>
      <c r="F79"/>
      <c r="G79"/>
      <c r="H79"/>
    </row>
    <row r="80" ht="15" customHeight="true" x14ac:dyDescent="0.15">
      <c r="C80"/>
      <c r="D80"/>
      <c r="E80"/>
      <c r="F80"/>
      <c r="G80"/>
      <c r="H80"/>
    </row>
    <row r="81" ht="15" customHeight="true" x14ac:dyDescent="0.15">
      <c r="C81"/>
      <c r="D81"/>
      <c r="E81"/>
      <c r="F81"/>
      <c r="G81"/>
      <c r="H81"/>
    </row>
    <row r="82" ht="15" customHeight="true" x14ac:dyDescent="0.15">
      <c r="C82"/>
      <c r="D82"/>
      <c r="E82"/>
      <c r="F82"/>
      <c r="G82"/>
      <c r="H82"/>
    </row>
    <row r="83" ht="15" customHeight="true" x14ac:dyDescent="0.15">
      <c r="C83"/>
      <c r="D83"/>
      <c r="E83"/>
      <c r="F83"/>
      <c r="G83"/>
      <c r="H83"/>
    </row>
    <row r="84" ht="15" customHeight="true" x14ac:dyDescent="0.15">
      <c r="C84"/>
      <c r="D84"/>
      <c r="E84"/>
      <c r="F84"/>
      <c r="G84"/>
      <c r="H84"/>
    </row>
    <row r="85" ht="15" customHeight="true" x14ac:dyDescent="0.15">
      <c r="C85"/>
      <c r="D85"/>
      <c r="E85"/>
      <c r="F85"/>
      <c r="G85"/>
      <c r="H85"/>
    </row>
    <row r="86" ht="15" customHeight="true" x14ac:dyDescent="0.15">
      <c r="C86"/>
      <c r="D86"/>
      <c r="E86"/>
      <c r="F86"/>
      <c r="G86"/>
      <c r="H86"/>
    </row>
    <row r="87" ht="15" customHeight="true" x14ac:dyDescent="0.15">
      <c r="C87"/>
      <c r="D87"/>
      <c r="E87"/>
      <c r="F87"/>
      <c r="G87"/>
      <c r="H87"/>
    </row>
    <row r="88" ht="15" customHeight="true" x14ac:dyDescent="0.15">
      <c r="C88"/>
      <c r="D88"/>
      <c r="E88"/>
      <c r="F88"/>
      <c r="G88"/>
      <c r="H88"/>
    </row>
    <row r="89" ht="15" customHeight="true" x14ac:dyDescent="0.15">
      <c r="C89"/>
      <c r="D89"/>
      <c r="E89"/>
      <c r="F89"/>
      <c r="G89"/>
      <c r="H89"/>
    </row>
    <row r="90" ht="15" customHeight="true" x14ac:dyDescent="0.15">
      <c r="C90"/>
      <c r="D90"/>
      <c r="E90"/>
      <c r="F90"/>
      <c r="G90"/>
      <c r="H90"/>
    </row>
    <row r="91" ht="15" customHeight="true" x14ac:dyDescent="0.15">
      <c r="C91"/>
      <c r="D91"/>
      <c r="E91"/>
      <c r="F91"/>
      <c r="G91"/>
      <c r="H91"/>
    </row>
    <row r="92" ht="15" customHeight="true" x14ac:dyDescent="0.15">
      <c r="C92"/>
      <c r="D92"/>
      <c r="E92"/>
      <c r="F92"/>
      <c r="G92"/>
      <c r="H92"/>
    </row>
    <row r="93" ht="15" customHeight="true" x14ac:dyDescent="0.15">
      <c r="C93"/>
      <c r="D93"/>
      <c r="E93"/>
      <c r="F93"/>
      <c r="G93"/>
      <c r="H93"/>
    </row>
    <row r="94" ht="15" customHeight="true" x14ac:dyDescent="0.15">
      <c r="C94"/>
      <c r="D94"/>
      <c r="E94"/>
      <c r="F94"/>
      <c r="G94"/>
      <c r="H94"/>
    </row>
    <row r="95" ht="15" customHeight="true" x14ac:dyDescent="0.15">
      <c r="C95"/>
      <c r="D95"/>
      <c r="E95"/>
      <c r="F95"/>
      <c r="G95"/>
      <c r="H95"/>
    </row>
    <row r="96" ht="15" customHeight="true" x14ac:dyDescent="0.15">
      <c r="C96"/>
      <c r="D96"/>
      <c r="E96"/>
      <c r="F96"/>
      <c r="G96"/>
      <c r="H96"/>
    </row>
    <row r="97" ht="15" customHeight="true" x14ac:dyDescent="0.15">
      <c r="C97"/>
      <c r="D97"/>
      <c r="E97"/>
      <c r="F97"/>
      <c r="G97"/>
      <c r="H97"/>
    </row>
    <row r="98" ht="15" customHeight="true" x14ac:dyDescent="0.15">
      <c r="C98"/>
      <c r="D98"/>
      <c r="E98"/>
      <c r="F98"/>
      <c r="G98"/>
      <c r="H98"/>
    </row>
    <row r="99" ht="15" customHeight="true" x14ac:dyDescent="0.15">
      <c r="C99"/>
      <c r="D99"/>
      <c r="E99"/>
      <c r="F99"/>
      <c r="G99"/>
      <c r="H99"/>
    </row>
    <row r="100" ht="15" customHeight="true" x14ac:dyDescent="0.15">
      <c r="C100"/>
      <c r="D100"/>
      <c r="E100"/>
      <c r="F100"/>
      <c r="G100"/>
      <c r="H100"/>
    </row>
    <row r="101" ht="15" customHeight="true" x14ac:dyDescent="0.15">
      <c r="C101"/>
      <c r="D101"/>
      <c r="E101"/>
      <c r="F101"/>
      <c r="G101"/>
      <c r="H101"/>
    </row>
    <row r="102" ht="15" customHeight="true" x14ac:dyDescent="0.15">
      <c r="C102"/>
      <c r="D102"/>
      <c r="E102"/>
      <c r="F102"/>
      <c r="G102"/>
      <c r="H102"/>
    </row>
    <row r="103" ht="15" customHeight="true" x14ac:dyDescent="0.15">
      <c r="C103"/>
      <c r="D103"/>
      <c r="E103"/>
      <c r="F103"/>
      <c r="G103"/>
      <c r="H103"/>
    </row>
    <row r="104" ht="15" customHeight="true" x14ac:dyDescent="0.15">
      <c r="C104"/>
      <c r="D104"/>
      <c r="E104"/>
      <c r="F104"/>
      <c r="G104"/>
      <c r="H104"/>
    </row>
    <row r="105" ht="15" customHeight="true" x14ac:dyDescent="0.15"/>
    <row r="106" ht="15" customHeight="true" x14ac:dyDescent="0.15"/>
    <row r="107" ht="15" customHeight="true" x14ac:dyDescent="0.15"/>
    <row r="108" ht="15" customHeight="true" x14ac:dyDescent="0.15"/>
    <row r="109" ht="15" customHeight="true" x14ac:dyDescent="0.15"/>
    <row r="110" ht="15" customHeight="true" x14ac:dyDescent="0.15"/>
    <row r="111" ht="15" customHeight="true" x14ac:dyDescent="0.15"/>
    <row r="112" ht="15" customHeight="true" x14ac:dyDescent="0.15"/>
    <row r="113" ht="15" customHeight="true" x14ac:dyDescent="0.15"/>
    <row r="114" ht="15" customHeight="true" x14ac:dyDescent="0.15"/>
    <row r="115" ht="15" customHeight="true" x14ac:dyDescent="0.15"/>
    <row r="116" ht="15" customHeight="true" x14ac:dyDescent="0.15">
      <c r="C116"/>
      <c r="D116"/>
      <c r="E116"/>
      <c r="F116"/>
      <c r="G116"/>
      <c r="H116"/>
    </row>
    <row r="117" ht="15" customHeight="true" x14ac:dyDescent="0.15">
      <c r="C117"/>
      <c r="D117"/>
      <c r="E117"/>
      <c r="F117"/>
      <c r="G117"/>
      <c r="H117"/>
    </row>
    <row r="118" ht="15" customHeight="true" x14ac:dyDescent="0.15">
      <c r="C118"/>
      <c r="D118"/>
      <c r="E118"/>
      <c r="F118"/>
      <c r="G118"/>
      <c r="H118"/>
    </row>
    <row r="119" ht="15" customHeight="true" x14ac:dyDescent="0.15">
      <c r="C119"/>
      <c r="D119"/>
      <c r="E119"/>
      <c r="F119"/>
      <c r="G119"/>
      <c r="H119"/>
    </row>
    <row r="120" ht="15" customHeight="true" x14ac:dyDescent="0.15">
      <c r="C120"/>
      <c r="D120"/>
      <c r="E120"/>
      <c r="F120"/>
      <c r="G120"/>
      <c r="H120"/>
    </row>
    <row r="121" ht="15" customHeight="true" x14ac:dyDescent="0.15">
      <c r="C121"/>
      <c r="D121"/>
      <c r="E121"/>
      <c r="F121"/>
      <c r="G121"/>
      <c r="H121"/>
    </row>
    <row r="122" ht="15" customHeight="true" x14ac:dyDescent="0.15">
      <c r="C122"/>
      <c r="D122"/>
      <c r="E122"/>
      <c r="F122"/>
      <c r="G122"/>
      <c r="H122"/>
    </row>
    <row r="123" ht="15" customHeight="true" x14ac:dyDescent="0.15">
      <c r="C123"/>
      <c r="D123"/>
      <c r="E123"/>
      <c r="F123"/>
      <c r="G123"/>
      <c r="H123"/>
    </row>
    <row r="124" ht="15" customHeight="true" x14ac:dyDescent="0.15">
      <c r="C124"/>
      <c r="D124"/>
      <c r="E124"/>
      <c r="F124"/>
      <c r="G124"/>
      <c r="H124"/>
    </row>
    <row r="125" ht="15" customHeight="true" x14ac:dyDescent="0.15">
      <c r="C125"/>
      <c r="D125"/>
      <c r="E125"/>
      <c r="F125"/>
      <c r="G125"/>
      <c r="H125"/>
    </row>
    <row r="126" ht="15" customHeight="true" x14ac:dyDescent="0.15">
      <c r="C126"/>
      <c r="D126"/>
      <c r="E126"/>
      <c r="F126"/>
      <c r="G126"/>
      <c r="H126"/>
    </row>
    <row r="127" ht="15" customHeight="true" x14ac:dyDescent="0.15">
      <c r="C127"/>
      <c r="D127"/>
      <c r="E127"/>
      <c r="F127"/>
      <c r="G127"/>
      <c r="H127"/>
    </row>
    <row r="128" ht="15" customHeight="true" x14ac:dyDescent="0.15">
      <c r="C128"/>
      <c r="D128"/>
      <c r="E128"/>
      <c r="F128"/>
      <c r="G128"/>
      <c r="H128"/>
    </row>
    <row r="129" ht="15" customHeight="true" x14ac:dyDescent="0.15">
      <c r="C129"/>
      <c r="D129"/>
      <c r="E129"/>
      <c r="F129"/>
      <c r="G129"/>
      <c r="H129"/>
    </row>
    <row r="130" ht="15" customHeight="true" x14ac:dyDescent="0.15">
      <c r="C130"/>
      <c r="D130"/>
      <c r="E130"/>
      <c r="F130"/>
      <c r="G130"/>
      <c r="H130"/>
    </row>
    <row r="131" ht="15" customHeight="true" x14ac:dyDescent="0.15">
      <c r="C131"/>
      <c r="D131"/>
      <c r="E131"/>
      <c r="F131"/>
      <c r="G131"/>
      <c r="H131"/>
    </row>
    <row r="132" ht="15" customHeight="true" x14ac:dyDescent="0.15">
      <c r="C132"/>
      <c r="D132"/>
      <c r="E132"/>
      <c r="F132"/>
      <c r="G132"/>
      <c r="H132"/>
    </row>
    <row r="133" ht="15" customHeight="true" x14ac:dyDescent="0.15">
      <c r="C133"/>
      <c r="D133"/>
      <c r="E133"/>
      <c r="F133"/>
      <c r="G133"/>
      <c r="H133"/>
    </row>
    <row r="134" ht="15" customHeight="true" x14ac:dyDescent="0.15">
      <c r="C134"/>
      <c r="D134"/>
      <c r="E134"/>
      <c r="F134"/>
      <c r="G134"/>
      <c r="H134"/>
    </row>
    <row r="135" ht="15" customHeight="true" x14ac:dyDescent="0.15">
      <c r="C135"/>
      <c r="D135"/>
      <c r="E135"/>
      <c r="F135"/>
      <c r="G135"/>
      <c r="H135"/>
    </row>
    <row r="136" ht="15" customHeight="true" x14ac:dyDescent="0.15">
      <c r="C136"/>
      <c r="D136"/>
      <c r="E136"/>
      <c r="F136"/>
      <c r="G136"/>
      <c r="H136"/>
    </row>
    <row r="137" ht="15" customHeight="true" x14ac:dyDescent="0.15">
      <c r="C137"/>
      <c r="D137"/>
      <c r="E137"/>
      <c r="F137"/>
      <c r="G137"/>
      <c r="H137"/>
    </row>
    <row r="138" ht="15" customHeight="true" x14ac:dyDescent="0.15">
      <c r="C138"/>
      <c r="D138"/>
      <c r="E138"/>
      <c r="F138"/>
      <c r="G138"/>
      <c r="H138"/>
    </row>
    <row r="139" ht="15" customHeight="true" x14ac:dyDescent="0.15">
      <c r="C139"/>
      <c r="D139"/>
      <c r="E139"/>
      <c r="F139"/>
      <c r="G139"/>
      <c r="H139"/>
    </row>
    <row r="140" ht="15" customHeight="true" x14ac:dyDescent="0.15">
      <c r="C140"/>
      <c r="D140"/>
      <c r="E140"/>
      <c r="F140"/>
      <c r="G140"/>
      <c r="H140"/>
    </row>
    <row r="141" ht="15" customHeight="true" x14ac:dyDescent="0.15">
      <c r="C141"/>
      <c r="D141"/>
      <c r="E141"/>
      <c r="F141"/>
      <c r="G141"/>
      <c r="H141"/>
    </row>
    <row r="142" ht="15" customHeight="true" x14ac:dyDescent="0.15">
      <c r="C142"/>
      <c r="D142"/>
      <c r="E142"/>
      <c r="F142"/>
      <c r="G142"/>
      <c r="H142"/>
    </row>
    <row r="143" ht="15" customHeight="true" x14ac:dyDescent="0.15">
      <c r="C143"/>
      <c r="D143"/>
      <c r="E143"/>
      <c r="F143"/>
      <c r="G143"/>
      <c r="H143"/>
    </row>
    <row r="144" ht="15" customHeight="true" x14ac:dyDescent="0.15">
      <c r="C144"/>
      <c r="D144"/>
      <c r="E144"/>
      <c r="F144"/>
      <c r="G144"/>
      <c r="H144"/>
    </row>
    <row r="145" ht="15" customHeight="true" x14ac:dyDescent="0.15">
      <c r="C145"/>
      <c r="D145"/>
      <c r="E145"/>
      <c r="F145"/>
      <c r="G145"/>
      <c r="H145"/>
    </row>
    <row r="146" ht="15" customHeight="true" x14ac:dyDescent="0.15">
      <c r="C146"/>
      <c r="D146"/>
      <c r="E146"/>
      <c r="F146"/>
      <c r="G146"/>
      <c r="H146"/>
    </row>
    <row r="147" ht="15" customHeight="true" x14ac:dyDescent="0.15">
      <c r="C147"/>
      <c r="D147"/>
      <c r="E147"/>
      <c r="F147"/>
      <c r="G147"/>
      <c r="H147"/>
    </row>
    <row r="148" ht="15" customHeight="true" x14ac:dyDescent="0.15">
      <c r="C148"/>
      <c r="D148"/>
      <c r="E148"/>
      <c r="F148"/>
      <c r="G148"/>
      <c r="H148"/>
    </row>
    <row r="149" ht="15" customHeight="true" x14ac:dyDescent="0.15">
      <c r="C149"/>
      <c r="D149"/>
      <c r="E149"/>
      <c r="F149"/>
      <c r="G149"/>
      <c r="H149"/>
    </row>
    <row r="150" ht="15" customHeight="true" x14ac:dyDescent="0.15">
      <c r="C150"/>
      <c r="D150"/>
      <c r="E150"/>
      <c r="F150"/>
      <c r="G150"/>
      <c r="H150"/>
    </row>
    <row r="151" ht="15" customHeight="true" x14ac:dyDescent="0.15">
      <c r="C151"/>
      <c r="D151"/>
      <c r="E151"/>
      <c r="F151"/>
      <c r="G151"/>
      <c r="H151"/>
    </row>
    <row r="152" ht="15" customHeight="true" x14ac:dyDescent="0.15">
      <c r="C152"/>
      <c r="D152"/>
      <c r="E152"/>
      <c r="F152"/>
      <c r="G152"/>
      <c r="H152"/>
    </row>
    <row r="153" ht="15" customHeight="true" x14ac:dyDescent="0.15">
      <c r="C153"/>
      <c r="D153"/>
      <c r="E153"/>
      <c r="F153"/>
      <c r="G153"/>
      <c r="H153"/>
    </row>
    <row r="154" ht="15" customHeight="true" x14ac:dyDescent="0.15">
      <c r="C154"/>
      <c r="D154"/>
      <c r="E154"/>
      <c r="F154"/>
      <c r="G154"/>
      <c r="H154"/>
    </row>
    <row r="155" ht="15" customHeight="true" x14ac:dyDescent="0.15">
      <c r="C155"/>
      <c r="D155"/>
      <c r="E155"/>
      <c r="F155"/>
      <c r="G155"/>
      <c r="H155"/>
    </row>
    <row r="156" ht="15" customHeight="true" x14ac:dyDescent="0.15">
      <c r="C156"/>
      <c r="D156"/>
      <c r="E156"/>
      <c r="F156"/>
      <c r="G156"/>
      <c r="H156"/>
    </row>
    <row r="157" ht="15" customHeight="true" x14ac:dyDescent="0.15">
      <c r="C157"/>
      <c r="D157"/>
      <c r="E157"/>
      <c r="F157"/>
      <c r="G157"/>
      <c r="H157"/>
    </row>
    <row r="158" ht="15" customHeight="true" x14ac:dyDescent="0.15">
      <c r="C158"/>
      <c r="D158"/>
      <c r="E158"/>
      <c r="F158"/>
      <c r="G158"/>
      <c r="H158"/>
    </row>
    <row r="159" ht="15" customHeight="true" x14ac:dyDescent="0.15">
      <c r="C159"/>
      <c r="D159"/>
      <c r="E159"/>
      <c r="F159"/>
      <c r="G159"/>
      <c r="H159"/>
    </row>
    <row r="160" ht="15" customHeight="true" x14ac:dyDescent="0.15">
      <c r="C160"/>
      <c r="D160"/>
      <c r="E160"/>
      <c r="F160"/>
      <c r="G160"/>
      <c r="H160"/>
    </row>
    <row r="161" ht="15" customHeight="true" x14ac:dyDescent="0.15">
      <c r="C161"/>
      <c r="D161"/>
      <c r="E161"/>
      <c r="F161"/>
      <c r="G161"/>
      <c r="H161"/>
    </row>
    <row r="162" ht="15" customHeight="true" x14ac:dyDescent="0.15">
      <c r="C162"/>
      <c r="D162"/>
      <c r="E162"/>
      <c r="F162"/>
      <c r="G162"/>
      <c r="H162"/>
    </row>
    <row r="163" ht="15" customHeight="true" x14ac:dyDescent="0.15">
      <c r="C163"/>
      <c r="D163"/>
      <c r="E163"/>
      <c r="F163"/>
      <c r="G163"/>
      <c r="H163"/>
    </row>
    <row r="164" ht="15" customHeight="true" x14ac:dyDescent="0.15">
      <c r="C164"/>
      <c r="D164"/>
      <c r="E164"/>
      <c r="F164"/>
      <c r="G164"/>
      <c r="H164"/>
    </row>
    <row r="165" ht="15" customHeight="true" x14ac:dyDescent="0.15">
      <c r="C165"/>
      <c r="D165"/>
      <c r="E165"/>
      <c r="F165"/>
      <c r="G165"/>
      <c r="H165"/>
    </row>
    <row r="166" ht="15" customHeight="true" x14ac:dyDescent="0.15">
      <c r="C166"/>
      <c r="D166"/>
      <c r="E166"/>
      <c r="F166"/>
      <c r="G166"/>
      <c r="H166"/>
    </row>
    <row r="167" ht="15" customHeight="true" x14ac:dyDescent="0.15">
      <c r="C167"/>
      <c r="D167"/>
      <c r="E167"/>
      <c r="F167"/>
      <c r="G167"/>
      <c r="H167"/>
    </row>
    <row r="168" ht="15" customHeight="true" x14ac:dyDescent="0.15">
      <c r="C168"/>
      <c r="D168"/>
      <c r="E168"/>
      <c r="F168"/>
      <c r="G168"/>
      <c r="H168"/>
    </row>
    <row r="169" ht="15" customHeight="true" x14ac:dyDescent="0.15">
      <c r="C169"/>
      <c r="D169"/>
      <c r="E169"/>
      <c r="F169"/>
      <c r="G169"/>
      <c r="H169"/>
    </row>
    <row r="170" ht="15" customHeight="true" x14ac:dyDescent="0.15">
      <c r="C170"/>
      <c r="D170"/>
      <c r="E170"/>
      <c r="F170"/>
      <c r="G170"/>
      <c r="H170"/>
    </row>
    <row r="171" ht="15" customHeight="true" x14ac:dyDescent="0.15">
      <c r="C171"/>
      <c r="D171"/>
      <c r="E171"/>
      <c r="F171"/>
      <c r="G171"/>
      <c r="H171"/>
    </row>
    <row r="172" ht="15" customHeight="true" x14ac:dyDescent="0.15">
      <c r="C172"/>
      <c r="D172"/>
      <c r="E172"/>
      <c r="F172"/>
      <c r="G172"/>
      <c r="H172"/>
    </row>
    <row r="173" ht="15" customHeight="true" x14ac:dyDescent="0.15">
      <c r="C173"/>
      <c r="D173"/>
      <c r="E173"/>
      <c r="F173"/>
      <c r="G173"/>
      <c r="H173"/>
    </row>
    <row r="174" ht="15" customHeight="true" x14ac:dyDescent="0.15">
      <c r="C174"/>
      <c r="D174"/>
      <c r="E174"/>
      <c r="F174"/>
      <c r="G174"/>
      <c r="H174"/>
    </row>
    <row r="175" ht="15" customHeight="true" x14ac:dyDescent="0.15">
      <c r="C175"/>
      <c r="D175"/>
      <c r="E175"/>
      <c r="F175"/>
      <c r="G175"/>
      <c r="H175"/>
    </row>
    <row r="176" ht="15" customHeight="true" x14ac:dyDescent="0.15">
      <c r="C176"/>
      <c r="D176"/>
      <c r="E176"/>
      <c r="F176"/>
      <c r="G176"/>
      <c r="H176"/>
    </row>
    <row r="177" ht="15" customHeight="true" x14ac:dyDescent="0.15">
      <c r="C177"/>
      <c r="D177"/>
      <c r="E177"/>
      <c r="F177"/>
      <c r="G177"/>
      <c r="H177"/>
    </row>
    <row r="178" ht="15" customHeight="true" x14ac:dyDescent="0.15">
      <c r="C178"/>
      <c r="D178"/>
      <c r="E178"/>
      <c r="F178"/>
      <c r="G178"/>
      <c r="H178"/>
    </row>
    <row r="179" ht="15" customHeight="true" x14ac:dyDescent="0.15">
      <c r="C179"/>
      <c r="D179"/>
      <c r="E179"/>
      <c r="F179"/>
      <c r="G179"/>
      <c r="H179"/>
    </row>
    <row r="180" ht="15" customHeight="true" x14ac:dyDescent="0.15">
      <c r="C180"/>
      <c r="D180"/>
      <c r="E180"/>
      <c r="F180"/>
      <c r="G180"/>
      <c r="H180"/>
    </row>
    <row r="181" ht="15" customHeight="true" x14ac:dyDescent="0.15">
      <c r="C181"/>
      <c r="D181"/>
      <c r="E181"/>
      <c r="F181"/>
      <c r="G181"/>
      <c r="H181"/>
    </row>
    <row r="182" ht="15" customHeight="true" x14ac:dyDescent="0.15">
      <c r="C182"/>
      <c r="D182"/>
      <c r="E182"/>
      <c r="F182"/>
      <c r="G182"/>
      <c r="H182"/>
    </row>
    <row r="183" ht="15" customHeight="true" x14ac:dyDescent="0.15">
      <c r="C183"/>
      <c r="D183"/>
      <c r="E183"/>
      <c r="F183"/>
      <c r="G183"/>
      <c r="H183"/>
    </row>
    <row r="184" ht="15" customHeight="true" x14ac:dyDescent="0.15">
      <c r="C184"/>
      <c r="D184"/>
      <c r="E184"/>
      <c r="F184"/>
      <c r="G184"/>
      <c r="H184"/>
    </row>
    <row r="185" ht="15" customHeight="true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P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R5" sqref="R5"/>
    </sheetView>
  </sheetViews>
  <sheetFormatPr baseColWidth="10" defaultColWidth="8.83203125" defaultRowHeight="13" x14ac:dyDescent="0.15"/>
  <cols>
    <col min="1" max="1" width="12.6640625" customWidth="true"/>
    <col min="2" max="2" width="22" bestFit="true" customWidth="true"/>
    <col min="3" max="3" width="16" bestFit="true" customWidth="true"/>
    <col min="4" max="4" width="16.33203125" bestFit="true" customWidth="true"/>
    <col min="5" max="5" width="12.1640625" bestFit="true" customWidth="true"/>
  </cols>
  <sheetData>
    <row r="1" s="102" customFormat="true" ht="28" x14ac:dyDescent="0.15">
      <c r="A1" s="5" t="s">
        <v>21</v>
      </c>
      <c r="B1" s="3" t="s">
        <v>0</v>
      </c>
      <c r="C1" t="s">
        <v>223</v>
      </c>
      <c r="D1" t="s">
        <v>224</v>
      </c>
      <c r="E1" t="s">
        <v>225</v>
      </c>
      <c r="F1" t="s">
        <v>226</v>
      </c>
      <c r="G1" t="s">
        <v>227</v>
      </c>
      <c r="H1" t="s">
        <v>228</v>
      </c>
      <c r="I1" t="s">
        <v>229</v>
      </c>
      <c r="J1" t="s">
        <v>230</v>
      </c>
      <c r="K1" t="s">
        <v>231</v>
      </c>
      <c r="L1" t="s">
        <v>232</v>
      </c>
      <c r="M1" t="s">
        <v>233</v>
      </c>
      <c r="N1" t="s">
        <v>234</v>
      </c>
      <c r="O1" s="102" t="s">
        <v>239</v>
      </c>
      <c r="P1"/>
    </row>
    <row r="2" ht="15" customHeight="true" x14ac:dyDescent="0.15">
      <c r="A2">
        <v>1</v>
      </c>
      <c r="B2" t="s">
        <v>167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s="164">
        <f t="shared" ref="O2:O56" si="0">SUM(C2:N2)</f>
        <v>0</v>
      </c>
    </row>
    <row r="3" ht="15" customHeight="true" x14ac:dyDescent="0.15">
      <c r="A3">
        <v>2</v>
      </c>
      <c r="B3" t="s">
        <v>168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s="164">
        <f t="shared" si="0"/>
        <v>0</v>
      </c>
    </row>
    <row r="4" ht="15" customHeight="true" x14ac:dyDescent="0.15">
      <c r="A4">
        <v>3</v>
      </c>
      <c r="B4" t="s">
        <v>169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s="164">
        <f t="shared" si="0"/>
        <v>0</v>
      </c>
    </row>
    <row r="5" ht="15" customHeight="true" x14ac:dyDescent="0.15">
      <c r="A5">
        <v>4</v>
      </c>
      <c r="B5" t="s">
        <v>170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s="164">
        <f t="shared" si="0"/>
        <v>0</v>
      </c>
    </row>
    <row r="6" ht="15" customHeight="true" x14ac:dyDescent="0.15">
      <c r="A6">
        <v>5</v>
      </c>
      <c r="B6" t="s">
        <v>171</v>
      </c>
      <c r="C6">
        <v>2.7647058823529412E-6</v>
      </c>
      <c r="D6">
        <v>0</v>
      </c>
      <c r="E6">
        <v>2.6592235294117649E-2</v>
      </c>
      <c r="F6">
        <v>8.2941176470588231E-6</v>
      </c>
      <c r="G6">
        <v>0</v>
      </c>
      <c r="H6">
        <v>0</v>
      </c>
      <c r="I6">
        <v>0</v>
      </c>
      <c r="J6">
        <v>4.6835294117647064E-4</v>
      </c>
      <c r="K6">
        <v>0</v>
      </c>
      <c r="L6">
        <v>0</v>
      </c>
      <c r="M6">
        <v>2.9823529411764707E-3</v>
      </c>
      <c r="N6">
        <v>0</v>
      </c>
      <c r="O6" s="164">
        <f t="shared" si="0"/>
        <v>3.0054000000000001E-2</v>
      </c>
    </row>
    <row r="7" ht="15" customHeight="true" x14ac:dyDescent="0.15">
      <c r="A7">
        <v>6</v>
      </c>
      <c r="B7" t="s">
        <v>172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s="164">
        <f t="shared" si="0"/>
        <v>0</v>
      </c>
    </row>
    <row r="8" ht="15" customHeight="true" x14ac:dyDescent="0.15">
      <c r="A8">
        <v>7</v>
      </c>
      <c r="B8" t="s">
        <v>173</v>
      </c>
      <c r="C8">
        <v>2.5117647058823528E-5</v>
      </c>
      <c r="D8">
        <v>3.5294117647058823E-7</v>
      </c>
      <c r="E8">
        <v>1.0074117647058823E-3</v>
      </c>
      <c r="F8">
        <v>3.8823529411764706E-6</v>
      </c>
      <c r="G8">
        <v>1.1764705882352942E-7</v>
      </c>
      <c r="H8">
        <v>0</v>
      </c>
      <c r="I8">
        <v>0</v>
      </c>
      <c r="J8">
        <v>1.282941176470588E-4</v>
      </c>
      <c r="K8">
        <v>0</v>
      </c>
      <c r="L8">
        <v>0</v>
      </c>
      <c r="M8">
        <v>1.8827364705882354E-3</v>
      </c>
      <c r="N8">
        <v>0</v>
      </c>
      <c r="O8" s="164">
        <f t="shared" si="0"/>
        <v>3.0479129411764708E-3</v>
      </c>
    </row>
    <row r="9" ht="15" customHeight="true" x14ac:dyDescent="0.15">
      <c r="A9">
        <v>8</v>
      </c>
      <c r="B9" t="s">
        <v>174</v>
      </c>
      <c r="C9">
        <v>0</v>
      </c>
      <c r="D9">
        <v>8.23529411764706E-7</v>
      </c>
      <c r="E9">
        <v>2.6176470588235295E-4</v>
      </c>
      <c r="F9">
        <v>2.8999999999999997E-5</v>
      </c>
      <c r="G9">
        <v>0</v>
      </c>
      <c r="H9">
        <v>0</v>
      </c>
      <c r="I9">
        <v>0</v>
      </c>
      <c r="J9">
        <v>5.2941176470588229E-7</v>
      </c>
      <c r="K9">
        <v>0</v>
      </c>
      <c r="L9">
        <v>1.7647058823529411E-7</v>
      </c>
      <c r="M9">
        <v>0</v>
      </c>
      <c r="N9">
        <v>0</v>
      </c>
      <c r="O9" s="164">
        <f t="shared" si="0"/>
        <v>2.9229411764705878E-4</v>
      </c>
    </row>
    <row r="10" ht="15" customHeight="true" x14ac:dyDescent="0.15">
      <c r="A10">
        <v>9</v>
      </c>
      <c r="B10" t="s">
        <v>175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1.764705882352941E-6</v>
      </c>
      <c r="K10">
        <v>0</v>
      </c>
      <c r="L10">
        <v>0</v>
      </c>
      <c r="M10">
        <v>9.188235294117646E-5</v>
      </c>
      <c r="N10">
        <v>0</v>
      </c>
      <c r="O10" s="164">
        <f t="shared" si="0"/>
        <v>9.3647058823529401E-5</v>
      </c>
    </row>
    <row r="11" ht="15" customHeight="true" x14ac:dyDescent="0.15">
      <c r="A11">
        <v>10</v>
      </c>
      <c r="B11" t="s">
        <v>176</v>
      </c>
      <c r="C11">
        <v>4.7470588235294118E-5</v>
      </c>
      <c r="D11">
        <v>8.6823529411764698E-4</v>
      </c>
      <c r="E11">
        <v>1.2028176470588235E-2</v>
      </c>
      <c r="F11">
        <v>2.1947058823529414E-4</v>
      </c>
      <c r="G11">
        <v>6.6352941176470585E-5</v>
      </c>
      <c r="H11">
        <v>0</v>
      </c>
      <c r="I11">
        <v>1.4117647058823529E-6</v>
      </c>
      <c r="J11">
        <v>1.7280588235294117E-3</v>
      </c>
      <c r="K11">
        <v>3.5941176470588235E-4</v>
      </c>
      <c r="L11">
        <v>3.4252941176470588E-4</v>
      </c>
      <c r="M11">
        <v>2.4582352941176469E-4</v>
      </c>
      <c r="N11">
        <v>1.3647058823529411E-5</v>
      </c>
      <c r="O11" s="164">
        <f t="shared" si="0"/>
        <v>1.5920588235294117E-2</v>
      </c>
    </row>
    <row r="12" ht="15" customHeight="true" x14ac:dyDescent="0.15">
      <c r="A12">
        <v>11</v>
      </c>
      <c r="B12" t="s">
        <v>177</v>
      </c>
      <c r="C12">
        <v>1.0000000000000002E-6</v>
      </c>
      <c r="D12">
        <v>4.1764705882352941E-6</v>
      </c>
      <c r="E12">
        <v>1.3465294117647058E-2</v>
      </c>
      <c r="F12">
        <v>4.1352941176470587E-5</v>
      </c>
      <c r="G12">
        <v>3.7058823529411763E-6</v>
      </c>
      <c r="H12">
        <v>0</v>
      </c>
      <c r="I12">
        <v>0</v>
      </c>
      <c r="J12">
        <v>5.8517647058823534E-4</v>
      </c>
      <c r="K12">
        <v>6.4705882352941173E-7</v>
      </c>
      <c r="L12">
        <v>1.1764705882352942E-7</v>
      </c>
      <c r="M12">
        <v>5.9411764705882351E-6</v>
      </c>
      <c r="N12">
        <v>0</v>
      </c>
      <c r="O12" s="164">
        <f t="shared" si="0"/>
        <v>1.410741176470588E-2</v>
      </c>
    </row>
    <row r="13" ht="15" customHeight="true" x14ac:dyDescent="0.15">
      <c r="A13">
        <v>12</v>
      </c>
      <c r="B13" t="s">
        <v>178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s="164">
        <f t="shared" si="0"/>
        <v>0</v>
      </c>
    </row>
    <row r="14" ht="15" customHeight="true" x14ac:dyDescent="0.15">
      <c r="A14">
        <v>13</v>
      </c>
      <c r="B14" t="s">
        <v>179</v>
      </c>
      <c r="C14">
        <v>9.1411764705882361E-4</v>
      </c>
      <c r="D14">
        <v>1.1781764705882352E-3</v>
      </c>
      <c r="E14">
        <v>1.8618235294117647E-3</v>
      </c>
      <c r="F14">
        <v>0</v>
      </c>
      <c r="G14">
        <v>0</v>
      </c>
      <c r="H14">
        <v>0</v>
      </c>
      <c r="I14">
        <v>0</v>
      </c>
      <c r="J14">
        <v>0</v>
      </c>
      <c r="K14">
        <v>1.665035294117647E-2</v>
      </c>
      <c r="L14">
        <v>2.1084705882352941E-3</v>
      </c>
      <c r="M14">
        <v>0</v>
      </c>
      <c r="N14">
        <v>0</v>
      </c>
      <c r="O14" s="164">
        <f t="shared" si="0"/>
        <v>2.2712941176470589E-2</v>
      </c>
    </row>
    <row r="15" ht="15" customHeight="true" x14ac:dyDescent="0.15">
      <c r="A15">
        <v>14</v>
      </c>
      <c r="B15" t="s">
        <v>180</v>
      </c>
      <c r="C15">
        <v>5.8823529411764709E-8</v>
      </c>
      <c r="D15">
        <v>2.5547647058823532E-3</v>
      </c>
      <c r="E15">
        <v>0</v>
      </c>
      <c r="F15">
        <v>0</v>
      </c>
      <c r="G15">
        <v>0</v>
      </c>
      <c r="H15">
        <v>0</v>
      </c>
      <c r="I15">
        <v>0</v>
      </c>
      <c r="J15">
        <v>1.0588235294117646E-6</v>
      </c>
      <c r="K15">
        <v>1.0768235294117646E-3</v>
      </c>
      <c r="L15">
        <v>4.11764705882353E-7</v>
      </c>
      <c r="M15">
        <v>0</v>
      </c>
      <c r="N15">
        <v>0</v>
      </c>
      <c r="O15" s="164">
        <f t="shared" si="0"/>
        <v>3.6331176470588236E-3</v>
      </c>
    </row>
    <row r="16" ht="15" customHeight="true" x14ac:dyDescent="0.15">
      <c r="A16">
        <v>15</v>
      </c>
      <c r="B16" t="s">
        <v>181</v>
      </c>
      <c r="C16">
        <v>0</v>
      </c>
      <c r="D16">
        <v>8.0299999999999989E-4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1.9545882352941177E-3</v>
      </c>
      <c r="L16">
        <v>0</v>
      </c>
      <c r="M16">
        <v>0</v>
      </c>
      <c r="N16">
        <v>0</v>
      </c>
      <c r="O16" s="164">
        <f t="shared" si="0"/>
        <v>2.7575882352941176E-3</v>
      </c>
    </row>
    <row r="17" ht="15" customHeight="true" x14ac:dyDescent="0.15">
      <c r="A17">
        <v>16</v>
      </c>
      <c r="B17" t="s">
        <v>182</v>
      </c>
      <c r="C17">
        <v>0</v>
      </c>
      <c r="D17">
        <v>3.9699999999999995E-4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4.4117647058823526E-6</v>
      </c>
      <c r="L17">
        <v>0</v>
      </c>
      <c r="M17">
        <v>0</v>
      </c>
      <c r="N17">
        <v>0</v>
      </c>
      <c r="O17" s="164">
        <f t="shared" si="0"/>
        <v>4.0141176470588229E-4</v>
      </c>
    </row>
    <row r="18" ht="15" customHeight="true" x14ac:dyDescent="0.15">
      <c r="A18">
        <v>17</v>
      </c>
      <c r="B18" t="s">
        <v>183</v>
      </c>
      <c r="C18">
        <v>2.3529411764705885E-6</v>
      </c>
      <c r="D18">
        <v>1.1547058823529411E-4</v>
      </c>
      <c r="E18">
        <v>5.7325882352941178E-3</v>
      </c>
      <c r="F18">
        <v>0</v>
      </c>
      <c r="G18">
        <v>1.4117647058823529E-6</v>
      </c>
      <c r="H18">
        <v>0</v>
      </c>
      <c r="I18">
        <v>0</v>
      </c>
      <c r="J18">
        <v>2.7664705882352942E-4</v>
      </c>
      <c r="K18">
        <v>2.0000000000000003E-6</v>
      </c>
      <c r="L18">
        <v>2.5882352941176469E-6</v>
      </c>
      <c r="M18">
        <v>0</v>
      </c>
      <c r="N18">
        <v>1.0588235294117646E-6</v>
      </c>
      <c r="O18" s="164">
        <f t="shared" si="0"/>
        <v>6.1341176470588246E-3</v>
      </c>
    </row>
    <row r="19" ht="15" customHeight="true" x14ac:dyDescent="0.15">
      <c r="A19">
        <v>18</v>
      </c>
      <c r="B19" t="s">
        <v>184</v>
      </c>
      <c r="C19">
        <v>2.7235294117647059E-5</v>
      </c>
      <c r="D19">
        <v>1.2480588235294118E-3</v>
      </c>
      <c r="E19">
        <v>1.3784411764705882E-2</v>
      </c>
      <c r="F19">
        <v>4.0223529411764704E-4</v>
      </c>
      <c r="G19">
        <v>1.2604705882352941E-3</v>
      </c>
      <c r="H19">
        <v>1.0000000000000002E-6</v>
      </c>
      <c r="I19">
        <v>1.1588235294117647E-5</v>
      </c>
      <c r="J19">
        <v>4.5935294117647058E-4</v>
      </c>
      <c r="K19">
        <v>2.9823529411764707E-5</v>
      </c>
      <c r="L19">
        <v>8.5058823529411776E-5</v>
      </c>
      <c r="M19">
        <v>9.6470588235294106E-6</v>
      </c>
      <c r="N19">
        <v>3.0094117647058824E-4</v>
      </c>
      <c r="O19" s="164">
        <f t="shared" si="0"/>
        <v>1.7619823529411764E-2</v>
      </c>
    </row>
    <row r="20" ht="15" customHeight="true" x14ac:dyDescent="0.15">
      <c r="A20">
        <v>19</v>
      </c>
      <c r="B20" t="s">
        <v>185</v>
      </c>
      <c r="C20">
        <v>8.8235294117647051E-7</v>
      </c>
      <c r="D20">
        <v>5.2705882352941184E-5</v>
      </c>
      <c r="E20">
        <v>1.916058823529412E-3</v>
      </c>
      <c r="F20">
        <v>2.7647058823529412E-6</v>
      </c>
      <c r="G20">
        <v>0</v>
      </c>
      <c r="H20">
        <v>0</v>
      </c>
      <c r="I20">
        <v>0</v>
      </c>
      <c r="J20">
        <v>4.3176470588235292E-5</v>
      </c>
      <c r="K20">
        <v>0</v>
      </c>
      <c r="L20">
        <v>1.8235294117647058E-6</v>
      </c>
      <c r="M20">
        <v>0</v>
      </c>
      <c r="N20">
        <v>3.0294117647058824E-5</v>
      </c>
      <c r="O20" s="164">
        <f t="shared" si="0"/>
        <v>2.0477058823529415E-3</v>
      </c>
    </row>
    <row r="21" ht="15" customHeight="true" x14ac:dyDescent="0.15">
      <c r="A21">
        <v>20</v>
      </c>
      <c r="B21" t="s">
        <v>186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s="164">
        <f t="shared" si="0"/>
        <v>0</v>
      </c>
    </row>
    <row r="22" ht="15" customHeight="true" x14ac:dyDescent="0.15">
      <c r="A22">
        <v>21</v>
      </c>
      <c r="B22" t="s">
        <v>187</v>
      </c>
      <c r="C22">
        <v>0</v>
      </c>
      <c r="D22">
        <v>2.7470588235294116E-5</v>
      </c>
      <c r="E22">
        <v>1.6470588235294116E-5</v>
      </c>
      <c r="F22">
        <v>5.8823529411764709E-8</v>
      </c>
      <c r="G22">
        <v>0</v>
      </c>
      <c r="H22">
        <v>0</v>
      </c>
      <c r="I22">
        <v>0</v>
      </c>
      <c r="J22">
        <v>8.1000000000000004E-5</v>
      </c>
      <c r="K22">
        <v>0</v>
      </c>
      <c r="L22">
        <v>0</v>
      </c>
      <c r="M22">
        <v>1.6168235294117647E-3</v>
      </c>
      <c r="N22">
        <v>0</v>
      </c>
      <c r="O22" s="164">
        <f t="shared" si="0"/>
        <v>1.7418235294117648E-3</v>
      </c>
    </row>
    <row r="23" ht="15" customHeight="true" x14ac:dyDescent="0.15">
      <c r="A23">
        <v>22</v>
      </c>
      <c r="B23" t="s">
        <v>188</v>
      </c>
      <c r="C23">
        <v>6.0000000000000002E-6</v>
      </c>
      <c r="D23">
        <v>8.5058823529411776E-5</v>
      </c>
      <c r="E23">
        <v>4.4952941176470588E-4</v>
      </c>
      <c r="F23">
        <v>2.7647058823529412E-6</v>
      </c>
      <c r="G23">
        <v>1.7647058823529411E-7</v>
      </c>
      <c r="H23">
        <v>0</v>
      </c>
      <c r="I23">
        <v>2.9047058823529411E-4</v>
      </c>
      <c r="J23">
        <v>2.6176470588235295E-5</v>
      </c>
      <c r="K23">
        <v>0</v>
      </c>
      <c r="L23">
        <v>4.058823529411764E-6</v>
      </c>
      <c r="M23">
        <v>5.6941176470588233E-5</v>
      </c>
      <c r="N23">
        <v>6.8823529411764698E-6</v>
      </c>
      <c r="O23" s="164">
        <f t="shared" si="0"/>
        <v>9.2805882352941192E-4</v>
      </c>
    </row>
    <row r="24" ht="15" customHeight="true" x14ac:dyDescent="0.15">
      <c r="A24">
        <v>23</v>
      </c>
      <c r="B24" t="s">
        <v>189</v>
      </c>
      <c r="C24">
        <v>0</v>
      </c>
      <c r="D24">
        <v>1.6941176470588233E-5</v>
      </c>
      <c r="E24">
        <v>1.3488235294117646E-4</v>
      </c>
      <c r="F24">
        <v>1.0588235294117648E-5</v>
      </c>
      <c r="G24">
        <v>0</v>
      </c>
      <c r="H24">
        <v>0</v>
      </c>
      <c r="I24">
        <v>0</v>
      </c>
      <c r="J24">
        <v>9.2941176470588237E-6</v>
      </c>
      <c r="K24">
        <v>8.8235294117647051E-6</v>
      </c>
      <c r="L24">
        <v>0</v>
      </c>
      <c r="M24">
        <v>4.9235294117647052E-5</v>
      </c>
      <c r="N24">
        <v>0</v>
      </c>
      <c r="O24" s="164">
        <f t="shared" si="0"/>
        <v>2.297647058823529E-4</v>
      </c>
    </row>
    <row r="25" ht="15" customHeight="true" x14ac:dyDescent="0.15">
      <c r="A25">
        <v>24</v>
      </c>
      <c r="B25" t="s">
        <v>190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s="164">
        <f t="shared" si="0"/>
        <v>0</v>
      </c>
    </row>
    <row r="26" ht="15" customHeight="true" x14ac:dyDescent="0.15">
      <c r="A26">
        <v>25</v>
      </c>
      <c r="B26" t="s">
        <v>191</v>
      </c>
      <c r="C26">
        <v>7.7647058823529412E-6</v>
      </c>
      <c r="D26">
        <v>1.7058823529411763E-5</v>
      </c>
      <c r="E26">
        <v>9.0348823529411773E-3</v>
      </c>
      <c r="F26">
        <v>5.8923529411764703E-4</v>
      </c>
      <c r="G26">
        <v>2.5294117647058823E-6</v>
      </c>
      <c r="H26">
        <v>0</v>
      </c>
      <c r="I26">
        <v>3.8823529411764706E-6</v>
      </c>
      <c r="J26">
        <v>6.4488235294117644E-4</v>
      </c>
      <c r="K26">
        <v>1.1764705882352942E-7</v>
      </c>
      <c r="L26">
        <v>1.1764705882352942E-7</v>
      </c>
      <c r="M26">
        <v>7.4770588235294113E-4</v>
      </c>
      <c r="N26">
        <v>1.6647058823529413E-5</v>
      </c>
      <c r="O26" s="164">
        <f t="shared" si="0"/>
        <v>1.1064823529411764E-2</v>
      </c>
    </row>
    <row r="27" ht="15" customHeight="true" x14ac:dyDescent="0.15">
      <c r="A27">
        <v>26</v>
      </c>
      <c r="B27" t="s">
        <v>192</v>
      </c>
      <c r="C27">
        <v>2.7799999999999998E-4</v>
      </c>
      <c r="D27">
        <v>1.7770588235294118E-4</v>
      </c>
      <c r="E27">
        <v>1.0465470588235295E-2</v>
      </c>
      <c r="F27">
        <v>6.159411764705882E-4</v>
      </c>
      <c r="G27">
        <v>4.058823529411764E-6</v>
      </c>
      <c r="H27">
        <v>0</v>
      </c>
      <c r="I27">
        <v>5.2588235294117644E-5</v>
      </c>
      <c r="J27">
        <v>9.1968823529411763E-3</v>
      </c>
      <c r="K27">
        <v>0</v>
      </c>
      <c r="L27">
        <v>0</v>
      </c>
      <c r="M27">
        <v>1.2131411764705884E-2</v>
      </c>
      <c r="N27">
        <v>4.8298235294117649E-3</v>
      </c>
      <c r="O27" s="164">
        <f t="shared" si="0"/>
        <v>3.7751882352941177E-2</v>
      </c>
    </row>
    <row r="28" ht="15" customHeight="true" x14ac:dyDescent="0.15">
      <c r="A28">
        <v>27</v>
      </c>
      <c r="B28" t="s">
        <v>193</v>
      </c>
      <c r="C28">
        <v>4.6705882352941181E-5</v>
      </c>
      <c r="D28">
        <v>2.254705882352941E-4</v>
      </c>
      <c r="E28">
        <v>9.9792352941176464E-3</v>
      </c>
      <c r="F28">
        <v>1.1266470588235293E-3</v>
      </c>
      <c r="G28">
        <v>2.1764705882352942E-6</v>
      </c>
      <c r="H28">
        <v>0</v>
      </c>
      <c r="I28">
        <v>1.8176470588235294E-5</v>
      </c>
      <c r="J28">
        <v>5.7689999999999998E-3</v>
      </c>
      <c r="K28">
        <v>8.4705882352941166E-6</v>
      </c>
      <c r="L28">
        <v>2.1941176470588236E-5</v>
      </c>
      <c r="M28">
        <v>9.3411764705882361E-5</v>
      </c>
      <c r="N28">
        <v>4.9699999999999994E-4</v>
      </c>
      <c r="O28" s="164">
        <f t="shared" si="0"/>
        <v>1.778823529411765E-2</v>
      </c>
    </row>
    <row r="29" ht="15" customHeight="true" x14ac:dyDescent="0.15">
      <c r="A29">
        <v>28</v>
      </c>
      <c r="B29" t="s">
        <v>194</v>
      </c>
      <c r="C29">
        <v>0</v>
      </c>
      <c r="D29">
        <v>3.8235294117647064E-6</v>
      </c>
      <c r="E29">
        <v>1.2E-5</v>
      </c>
      <c r="F29">
        <v>5.8823529411764709E-8</v>
      </c>
      <c r="G29">
        <v>0</v>
      </c>
      <c r="H29">
        <v>0</v>
      </c>
      <c r="I29">
        <v>0</v>
      </c>
      <c r="J29">
        <v>0</v>
      </c>
      <c r="K29">
        <v>0</v>
      </c>
      <c r="L29">
        <v>2.3529411764705883E-7</v>
      </c>
      <c r="M29">
        <v>0</v>
      </c>
      <c r="N29">
        <v>0</v>
      </c>
      <c r="O29" s="164">
        <f t="shared" si="0"/>
        <v>1.6117647058823529E-5</v>
      </c>
    </row>
    <row r="30" ht="15" customHeight="true" x14ac:dyDescent="0.15">
      <c r="A30">
        <v>29</v>
      </c>
      <c r="B30" t="s">
        <v>195</v>
      </c>
      <c r="C30">
        <v>0</v>
      </c>
      <c r="D30">
        <v>1.2352941176470588E-6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 s="164">
        <f t="shared" si="0"/>
        <v>1.2352941176470588E-6</v>
      </c>
    </row>
    <row r="31" ht="15" customHeight="true" x14ac:dyDescent="0.15">
      <c r="A31">
        <v>30</v>
      </c>
      <c r="B31" t="s">
        <v>196</v>
      </c>
      <c r="C31">
        <v>2.0770588235294118E-4</v>
      </c>
      <c r="D31">
        <v>1.8929411764705882E-4</v>
      </c>
      <c r="E31">
        <v>9.0952941176470595E-4</v>
      </c>
      <c r="F31">
        <v>0</v>
      </c>
      <c r="G31">
        <v>0</v>
      </c>
      <c r="H31">
        <v>0</v>
      </c>
      <c r="I31">
        <v>0</v>
      </c>
      <c r="J31">
        <v>3.8705882352941176E-5</v>
      </c>
      <c r="K31">
        <v>6.6941176470588246E-5</v>
      </c>
      <c r="L31">
        <v>4.4882352941176469E-5</v>
      </c>
      <c r="M31">
        <v>0</v>
      </c>
      <c r="N31">
        <v>0</v>
      </c>
      <c r="O31" s="164">
        <f t="shared" si="0"/>
        <v>1.4570588235294118E-3</v>
      </c>
    </row>
    <row r="32" ht="15" customHeight="true" x14ac:dyDescent="0.15">
      <c r="A32">
        <v>31</v>
      </c>
      <c r="B32" t="s">
        <v>197</v>
      </c>
      <c r="C32">
        <v>8.7588235294117648E-5</v>
      </c>
      <c r="D32">
        <v>1.2414529411764704E-2</v>
      </c>
      <c r="E32">
        <v>3.6378235294117645E-3</v>
      </c>
      <c r="F32">
        <v>0</v>
      </c>
      <c r="G32">
        <v>1.0723529411764707E-4</v>
      </c>
      <c r="H32">
        <v>0</v>
      </c>
      <c r="I32">
        <v>5.1176470588235296E-6</v>
      </c>
      <c r="J32">
        <v>4.6941176470588241E-5</v>
      </c>
      <c r="K32">
        <v>4.2099999999999993E-4</v>
      </c>
      <c r="L32">
        <v>2.1724705882352939E-3</v>
      </c>
      <c r="M32">
        <v>0</v>
      </c>
      <c r="N32">
        <v>5.8823529411764709E-8</v>
      </c>
      <c r="O32" s="164">
        <f t="shared" si="0"/>
        <v>1.8892764705882352E-2</v>
      </c>
    </row>
    <row r="33" ht="15" customHeight="true" x14ac:dyDescent="0.15">
      <c r="A33">
        <v>32</v>
      </c>
      <c r="B33" t="s">
        <v>198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 s="164">
        <f t="shared" si="0"/>
        <v>0</v>
      </c>
    </row>
    <row r="34" ht="15" customHeight="true" x14ac:dyDescent="0.15">
      <c r="A34">
        <v>33</v>
      </c>
      <c r="B34" t="s">
        <v>199</v>
      </c>
      <c r="C34">
        <v>0</v>
      </c>
      <c r="D34">
        <v>3.4258823529411764E-4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9.4117647058823534E-7</v>
      </c>
      <c r="M34">
        <v>0</v>
      </c>
      <c r="N34">
        <v>0</v>
      </c>
      <c r="O34" s="164">
        <f t="shared" si="0"/>
        <v>3.4352941176470585E-4</v>
      </c>
    </row>
    <row r="35" ht="15" customHeight="true" x14ac:dyDescent="0.15">
      <c r="A35">
        <v>34</v>
      </c>
      <c r="B35" t="s">
        <v>200</v>
      </c>
      <c r="C35">
        <v>3.5294117647058823E-7</v>
      </c>
      <c r="D35">
        <v>2.0164705882352941E-4</v>
      </c>
      <c r="E35">
        <v>0</v>
      </c>
      <c r="F35">
        <v>0</v>
      </c>
      <c r="G35">
        <v>0</v>
      </c>
      <c r="H35">
        <v>0</v>
      </c>
      <c r="I35">
        <v>0</v>
      </c>
      <c r="J35">
        <v>2.3529411764705883E-7</v>
      </c>
      <c r="K35">
        <v>2.1294117647058826E-5</v>
      </c>
      <c r="L35">
        <v>0</v>
      </c>
      <c r="M35">
        <v>0</v>
      </c>
      <c r="N35">
        <v>0</v>
      </c>
      <c r="O35" s="164">
        <f t="shared" si="0"/>
        <v>2.2352941176470589E-4</v>
      </c>
    </row>
    <row r="36" ht="15" customHeight="true" x14ac:dyDescent="0.15">
      <c r="A36">
        <v>35</v>
      </c>
      <c r="B36" t="s">
        <v>201</v>
      </c>
      <c r="C36">
        <v>1.0658823529411765E-4</v>
      </c>
      <c r="D36">
        <v>3.1202117647058821E-2</v>
      </c>
      <c r="E36">
        <v>0</v>
      </c>
      <c r="F36">
        <v>0</v>
      </c>
      <c r="G36">
        <v>0</v>
      </c>
      <c r="H36">
        <v>0</v>
      </c>
      <c r="I36">
        <v>0</v>
      </c>
      <c r="J36">
        <v>2.8823529411764707E-5</v>
      </c>
      <c r="K36">
        <v>0</v>
      </c>
      <c r="L36">
        <v>2.4117647058823526E-6</v>
      </c>
      <c r="M36">
        <v>0</v>
      </c>
      <c r="N36">
        <v>6.7529411764705879E-5</v>
      </c>
      <c r="O36" s="164">
        <f t="shared" si="0"/>
        <v>3.1407470588235294E-2</v>
      </c>
    </row>
    <row r="37" ht="15" customHeight="true" x14ac:dyDescent="0.15">
      <c r="A37">
        <v>36</v>
      </c>
      <c r="B37" t="s">
        <v>202</v>
      </c>
      <c r="C37">
        <v>1.5882352941176472E-6</v>
      </c>
      <c r="D37">
        <v>1.3935294117647058E-4</v>
      </c>
      <c r="E37">
        <v>0</v>
      </c>
      <c r="F37">
        <v>0</v>
      </c>
      <c r="G37">
        <v>0</v>
      </c>
      <c r="H37">
        <v>0</v>
      </c>
      <c r="I37">
        <v>0</v>
      </c>
      <c r="J37">
        <v>5.0588235294117646E-6</v>
      </c>
      <c r="K37">
        <v>0</v>
      </c>
      <c r="L37">
        <v>0</v>
      </c>
      <c r="M37">
        <v>0</v>
      </c>
      <c r="N37">
        <v>1.5147058823529412E-4</v>
      </c>
      <c r="O37" s="164">
        <f t="shared" si="0"/>
        <v>2.9747058823529412E-4</v>
      </c>
    </row>
    <row r="38" ht="15" customHeight="true" x14ac:dyDescent="0.15">
      <c r="A38">
        <v>37</v>
      </c>
      <c r="B38" t="s">
        <v>203</v>
      </c>
      <c r="C38">
        <v>1.0594117647058824E-4</v>
      </c>
      <c r="D38">
        <v>1.139E-3</v>
      </c>
      <c r="E38">
        <v>0</v>
      </c>
      <c r="F38">
        <v>0</v>
      </c>
      <c r="G38">
        <v>0</v>
      </c>
      <c r="H38">
        <v>0</v>
      </c>
      <c r="I38">
        <v>1.1411764705882353E-5</v>
      </c>
      <c r="J38">
        <v>3.8647058823529412E-5</v>
      </c>
      <c r="K38">
        <v>8.5882352941176463E-5</v>
      </c>
      <c r="L38">
        <v>4.1705882352941174E-5</v>
      </c>
      <c r="M38">
        <v>0</v>
      </c>
      <c r="N38">
        <v>2.353458823529412E-2</v>
      </c>
      <c r="O38" s="164">
        <f t="shared" si="0"/>
        <v>2.4957176470588236E-2</v>
      </c>
    </row>
    <row r="39" ht="15" customHeight="true" x14ac:dyDescent="0.15">
      <c r="A39">
        <v>38</v>
      </c>
      <c r="B39" t="s">
        <v>204</v>
      </c>
      <c r="C39">
        <v>0</v>
      </c>
      <c r="D39">
        <v>4.1176470588235291E-6</v>
      </c>
      <c r="E39">
        <v>0</v>
      </c>
      <c r="F39">
        <v>0</v>
      </c>
      <c r="G39">
        <v>0</v>
      </c>
      <c r="H39">
        <v>0</v>
      </c>
      <c r="I39">
        <v>0</v>
      </c>
      <c r="J39">
        <v>2.3529411764705883E-7</v>
      </c>
      <c r="K39">
        <v>0</v>
      </c>
      <c r="L39">
        <v>0</v>
      </c>
      <c r="M39">
        <v>0</v>
      </c>
      <c r="N39">
        <v>1.2470588235294119E-5</v>
      </c>
      <c r="O39" s="164">
        <f t="shared" si="0"/>
        <v>1.6823529411764706E-5</v>
      </c>
    </row>
    <row r="40" ht="15" customHeight="true" x14ac:dyDescent="0.15">
      <c r="A40">
        <v>39</v>
      </c>
      <c r="B40" t="s">
        <v>205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64">
        <f t="shared" si="0"/>
        <v>0</v>
      </c>
    </row>
    <row r="41" ht="15" customHeight="true" x14ac:dyDescent="0.15">
      <c r="A41">
        <v>40</v>
      </c>
      <c r="B41" t="s">
        <v>206</v>
      </c>
      <c r="C41">
        <v>0</v>
      </c>
      <c r="D41">
        <v>9.6464705882352945E-3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5.8823529411764711E-7</v>
      </c>
      <c r="M41">
        <v>0</v>
      </c>
      <c r="N41">
        <v>0</v>
      </c>
      <c r="O41" s="164">
        <f t="shared" si="0"/>
        <v>9.6470588235294114E-3</v>
      </c>
    </row>
    <row r="42" ht="15" customHeight="true" x14ac:dyDescent="0.15">
      <c r="A42">
        <v>41</v>
      </c>
      <c r="B42" t="s">
        <v>207</v>
      </c>
      <c r="C42">
        <v>0</v>
      </c>
      <c r="D42">
        <v>1.129235294117647E-3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5.8823529411764709E-8</v>
      </c>
      <c r="O42" s="164">
        <f t="shared" si="0"/>
        <v>1.1292941176470588E-3</v>
      </c>
    </row>
    <row r="43" ht="15" customHeight="true" x14ac:dyDescent="0.15">
      <c r="A43">
        <v>42</v>
      </c>
      <c r="B43" t="s">
        <v>208</v>
      </c>
      <c r="C43">
        <v>3.7294117647058822E-5</v>
      </c>
      <c r="D43">
        <v>5.0789411764705882E-3</v>
      </c>
      <c r="E43">
        <v>0</v>
      </c>
      <c r="F43">
        <v>0</v>
      </c>
      <c r="G43">
        <v>0</v>
      </c>
      <c r="H43">
        <v>0</v>
      </c>
      <c r="I43">
        <v>0</v>
      </c>
      <c r="J43">
        <v>2.2352941176470588E-6</v>
      </c>
      <c r="K43">
        <v>0</v>
      </c>
      <c r="L43">
        <v>0</v>
      </c>
      <c r="M43">
        <v>0</v>
      </c>
      <c r="N43">
        <v>1.4705882352941177E-6</v>
      </c>
      <c r="O43" s="164">
        <f t="shared" si="0"/>
        <v>5.1199411764705875E-3</v>
      </c>
    </row>
    <row r="44" ht="15" customHeight="true" x14ac:dyDescent="0.15">
      <c r="A44">
        <v>43</v>
      </c>
      <c r="B44" t="s">
        <v>209</v>
      </c>
      <c r="C44">
        <v>0</v>
      </c>
      <c r="D44">
        <v>2.3529411764705883E-7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64">
        <f t="shared" si="0"/>
        <v>2.3529411764705883E-7</v>
      </c>
    </row>
    <row r="45" ht="15" customHeight="true" x14ac:dyDescent="0.15">
      <c r="A45">
        <v>44</v>
      </c>
      <c r="B45" t="s">
        <v>210</v>
      </c>
      <c r="C45">
        <v>0</v>
      </c>
      <c r="D45">
        <v>4.9688235294117642E-4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3.5882352941176471E-6</v>
      </c>
      <c r="O45" s="164">
        <f t="shared" si="0"/>
        <v>5.0047058823529406E-4</v>
      </c>
    </row>
    <row r="46" ht="15" customHeight="true" x14ac:dyDescent="0.15">
      <c r="A46">
        <v>45</v>
      </c>
      <c r="B46" t="s">
        <v>211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64">
        <f t="shared" si="0"/>
        <v>0</v>
      </c>
    </row>
    <row r="47" ht="15" customHeight="true" x14ac:dyDescent="0.15">
      <c r="A47">
        <v>46</v>
      </c>
      <c r="B47" t="s">
        <v>212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64">
        <f t="shared" si="0"/>
        <v>0</v>
      </c>
    </row>
    <row r="48" ht="15" customHeight="true" x14ac:dyDescent="0.15">
      <c r="A48">
        <v>47</v>
      </c>
      <c r="B48" t="s">
        <v>213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64">
        <f t="shared" si="0"/>
        <v>0</v>
      </c>
    </row>
    <row r="49" ht="15" customHeight="true" x14ac:dyDescent="0.15">
      <c r="A49">
        <v>48</v>
      </c>
      <c r="B49" t="s">
        <v>214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64">
        <f t="shared" si="0"/>
        <v>0</v>
      </c>
    </row>
    <row r="50" x14ac:dyDescent="0.15">
      <c r="A50">
        <v>49</v>
      </c>
      <c r="B50" t="s">
        <v>215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64">
        <f t="shared" si="0"/>
        <v>0</v>
      </c>
    </row>
    <row r="51" x14ac:dyDescent="0.15">
      <c r="A51">
        <v>50</v>
      </c>
      <c r="B51" t="s">
        <v>216</v>
      </c>
      <c r="C51">
        <v>0</v>
      </c>
      <c r="D51">
        <v>3.235294117647059E-6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64">
        <f t="shared" si="0"/>
        <v>3.235294117647059E-6</v>
      </c>
    </row>
    <row r="52" x14ac:dyDescent="0.15">
      <c r="A52">
        <v>51</v>
      </c>
      <c r="B52" t="s">
        <v>217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64">
        <f t="shared" si="0"/>
        <v>0</v>
      </c>
    </row>
    <row r="53" x14ac:dyDescent="0.15">
      <c r="A53">
        <v>52</v>
      </c>
      <c r="B53" t="s">
        <v>218</v>
      </c>
      <c r="C53">
        <v>0</v>
      </c>
      <c r="D53">
        <v>6.1176470588235294E-6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2.7058823529411766E-6</v>
      </c>
      <c r="M53">
        <v>0</v>
      </c>
      <c r="N53">
        <v>0</v>
      </c>
      <c r="O53" s="164">
        <f t="shared" si="0"/>
        <v>8.8235294117647051E-6</v>
      </c>
    </row>
    <row r="54" x14ac:dyDescent="0.15">
      <c r="A54">
        <v>53</v>
      </c>
      <c r="B54" t="s">
        <v>219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64">
        <f t="shared" si="0"/>
        <v>0</v>
      </c>
    </row>
    <row r="55" x14ac:dyDescent="0.15">
      <c r="A55">
        <v>54</v>
      </c>
      <c r="B55" t="s">
        <v>220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64">
        <f t="shared" si="0"/>
        <v>0</v>
      </c>
    </row>
    <row r="56" x14ac:dyDescent="0.15">
      <c r="A56">
        <v>55</v>
      </c>
      <c r="B56" t="s">
        <v>221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64">
        <f t="shared" si="0"/>
        <v>0</v>
      </c>
    </row>
    <row r="57" x14ac:dyDescent="0.15">
      <c r="A57">
        <v>56</v>
      </c>
      <c r="B57" t="s">
        <v>71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64">
        <f>SUM(C57:N57)</f>
        <v>0</v>
      </c>
    </row>
    <row r="58" x14ac:dyDescent="0.15">
      <c r="A58">
        <v>57</v>
      </c>
      <c r="B58" t="s">
        <v>222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64">
        <f>SUM(C58:N58)</f>
        <v>0</v>
      </c>
    </row>
    <row r="59" x14ac:dyDescent="0.15">
      <c r="A59">
        <v>58</v>
      </c>
      <c r="B59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64">
        <f>SUM(C59:N59)</f>
        <v>0</v>
      </c>
    </row>
    <row r="82" ht="15" customHeight="true" x14ac:dyDescent="0.15"/>
    <row r="83" ht="15" customHeight="true" x14ac:dyDescent="0.15"/>
    <row r="84" ht="15" customHeight="true" x14ac:dyDescent="0.15"/>
    <row r="85" ht="15" customHeight="true" x14ac:dyDescent="0.15"/>
    <row r="86" ht="15" customHeight="true" x14ac:dyDescent="0.15"/>
    <row r="87" ht="15" customHeight="true" x14ac:dyDescent="0.15"/>
    <row r="88" ht="15" customHeight="true" x14ac:dyDescent="0.15"/>
    <row r="89" ht="15" customHeight="true" x14ac:dyDescent="0.15"/>
    <row r="90" ht="15" customHeight="true" x14ac:dyDescent="0.15"/>
    <row r="91" ht="15" customHeight="true" x14ac:dyDescent="0.15"/>
    <row r="92" ht="15" customHeight="true" x14ac:dyDescent="0.15"/>
    <row r="93" ht="15" customHeight="true" x14ac:dyDescent="0.15"/>
    <row r="94" ht="15" customHeight="true" x14ac:dyDescent="0.15"/>
    <row r="95" ht="15" customHeight="true" x14ac:dyDescent="0.15"/>
    <row r="96" ht="15" customHeight="true" x14ac:dyDescent="0.15"/>
    <row r="97" ht="15" customHeight="true" x14ac:dyDescent="0.15"/>
    <row r="98" ht="15" customHeight="true" x14ac:dyDescent="0.15"/>
    <row r="99" ht="15" customHeight="true" x14ac:dyDescent="0.15"/>
    <row r="100" ht="15" customHeight="true" x14ac:dyDescent="0.15"/>
    <row r="101" ht="15" customHeight="true" x14ac:dyDescent="0.15"/>
    <row r="102" ht="15" customHeight="true" x14ac:dyDescent="0.15"/>
    <row r="103" ht="15" customHeight="true" x14ac:dyDescent="0.15"/>
    <row r="104" ht="15" customHeight="true" x14ac:dyDescent="0.15"/>
    <row r="105" ht="15" customHeight="true" x14ac:dyDescent="0.15"/>
    <row r="106" ht="15" customHeight="true" x14ac:dyDescent="0.15"/>
    <row r="107" ht="15" customHeight="true" x14ac:dyDescent="0.15"/>
    <row r="108" ht="15" customHeight="true" x14ac:dyDescent="0.15"/>
    <row r="109" ht="15" customHeight="true" x14ac:dyDescent="0.15"/>
    <row r="110" ht="15" customHeight="true" x14ac:dyDescent="0.15"/>
    <row r="111" ht="15" customHeight="true" x14ac:dyDescent="0.15"/>
    <row r="112" ht="15" customHeight="true" x14ac:dyDescent="0.15"/>
    <row r="113" ht="15" customHeight="true" x14ac:dyDescent="0.15"/>
    <row r="114" ht="15" customHeight="true" x14ac:dyDescent="0.15"/>
    <row r="115" ht="15" customHeight="true" x14ac:dyDescent="0.15"/>
    <row r="116" ht="15" customHeight="true" x14ac:dyDescent="0.15"/>
    <row r="117" ht="15" customHeight="true" x14ac:dyDescent="0.15"/>
    <row r="118" ht="15" customHeight="true" x14ac:dyDescent="0.15"/>
    <row r="119" ht="15" customHeight="true" x14ac:dyDescent="0.15"/>
    <row r="120" ht="15" customHeight="true" x14ac:dyDescent="0.15"/>
    <row r="121" ht="15" customHeight="true" x14ac:dyDescent="0.15"/>
    <row r="122" ht="15" customHeight="true" x14ac:dyDescent="0.15"/>
    <row r="123" ht="15" customHeight="true" x14ac:dyDescent="0.15"/>
    <row r="124" ht="15" customHeight="true" x14ac:dyDescent="0.15"/>
    <row r="125" ht="15" customHeight="true" x14ac:dyDescent="0.15"/>
    <row r="126" ht="15" customHeight="true" x14ac:dyDescent="0.15"/>
    <row r="127" ht="15" customHeight="true" x14ac:dyDescent="0.15"/>
    <row r="128" ht="15" customHeight="true" x14ac:dyDescent="0.15"/>
    <row r="129" ht="15" customHeight="true" x14ac:dyDescent="0.15"/>
    <row r="130" ht="15" customHeight="true" x14ac:dyDescent="0.15"/>
    <row r="131" ht="15" customHeight="true" x14ac:dyDescent="0.15"/>
    <row r="132" ht="15" customHeight="true" x14ac:dyDescent="0.15"/>
    <row r="133" ht="15" customHeight="true" x14ac:dyDescent="0.15"/>
    <row r="134" ht="15" customHeight="true" x14ac:dyDescent="0.15"/>
    <row r="135" ht="15" customHeight="true" x14ac:dyDescent="0.15"/>
    <row r="136" ht="15" customHeight="true" x14ac:dyDescent="0.15"/>
    <row r="137" ht="15" customHeight="true" x14ac:dyDescent="0.15"/>
    <row r="138" ht="15" customHeight="true" x14ac:dyDescent="0.15"/>
    <row r="139" ht="15" customHeight="true" x14ac:dyDescent="0.15"/>
    <row r="140" ht="15" customHeight="true" x14ac:dyDescent="0.15"/>
    <row r="141" ht="15" customHeight="true" x14ac:dyDescent="0.15"/>
    <row r="142" ht="15" customHeight="true" x14ac:dyDescent="0.15"/>
    <row r="143" ht="15" customHeight="true" x14ac:dyDescent="0.15"/>
    <row r="144" ht="15" customHeight="true" x14ac:dyDescent="0.15"/>
    <row r="145" ht="15" customHeight="true" x14ac:dyDescent="0.15"/>
    <row r="146" ht="15" customHeight="true" x14ac:dyDescent="0.15"/>
    <row r="147" ht="15" customHeight="true" x14ac:dyDescent="0.15"/>
    <row r="148" ht="15" customHeight="true" x14ac:dyDescent="0.15"/>
    <row r="149" ht="15" customHeight="true" x14ac:dyDescent="0.15"/>
    <row r="150" ht="15" customHeight="true" x14ac:dyDescent="0.15"/>
    <row r="151" ht="15" customHeight="true" x14ac:dyDescent="0.15"/>
    <row r="152" ht="15" customHeight="true" x14ac:dyDescent="0.15"/>
    <row r="153" ht="15" customHeight="true" x14ac:dyDescent="0.15"/>
    <row r="154" ht="15" customHeight="true" x14ac:dyDescent="0.15"/>
    <row r="155" ht="15" customHeight="true" x14ac:dyDescent="0.15"/>
    <row r="156" ht="15" customHeight="true" x14ac:dyDescent="0.15"/>
    <row r="157" ht="15" customHeight="true" x14ac:dyDescent="0.15"/>
    <row r="158" ht="15" customHeight="true" x14ac:dyDescent="0.15"/>
    <row r="159" ht="15" customHeight="true" x14ac:dyDescent="0.15"/>
    <row r="160" ht="15" customHeight="true" x14ac:dyDescent="0.15"/>
    <row r="161" ht="15" customHeight="true" x14ac:dyDescent="0.15"/>
    <row r="162" ht="15" customHeight="true" x14ac:dyDescent="0.15"/>
    <row r="163" ht="15" customHeight="true" x14ac:dyDescent="0.15"/>
    <row r="164" ht="15" customHeight="true" x14ac:dyDescent="0.15"/>
    <row r="165" ht="15" customHeight="true" x14ac:dyDescent="0.15"/>
    <row r="166" ht="15" customHeight="true" x14ac:dyDescent="0.15"/>
    <row r="167" ht="15" customHeight="true" x14ac:dyDescent="0.15"/>
    <row r="168" ht="15" customHeight="true" x14ac:dyDescent="0.15"/>
    <row r="169" ht="15" customHeight="true" x14ac:dyDescent="0.15"/>
    <row r="170" ht="15" customHeight="true" x14ac:dyDescent="0.15"/>
    <row r="173" ht="15" customHeight="true" x14ac:dyDescent="0.15"/>
    <row r="174" ht="15" customHeight="true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P59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Q9" sqref="Q9"/>
    </sheetView>
  </sheetViews>
  <sheetFormatPr baseColWidth="10" defaultColWidth="8.83203125" defaultRowHeight="13" x14ac:dyDescent="0.15"/>
  <cols>
    <col min="1" max="1" width="12.6640625" customWidth="true"/>
    <col min="2" max="2" width="22" bestFit="true" customWidth="true"/>
    <col min="3" max="3" width="16" bestFit="true" customWidth="true"/>
    <col min="4" max="4" width="16.33203125" bestFit="true" customWidth="true"/>
    <col min="5" max="5" width="12.1640625" bestFit="true" customWidth="true"/>
  </cols>
  <sheetData>
    <row r="1" s="102" customFormat="true" ht="28" x14ac:dyDescent="0.15">
      <c r="A1" s="5" t="s">
        <v>22</v>
      </c>
      <c r="B1" s="3" t="s">
        <v>0</v>
      </c>
      <c r="C1" t="s">
        <v>223</v>
      </c>
      <c r="D1" t="s">
        <v>224</v>
      </c>
      <c r="E1" t="s">
        <v>225</v>
      </c>
      <c r="F1" t="s">
        <v>226</v>
      </c>
      <c r="G1" t="s">
        <v>227</v>
      </c>
      <c r="H1" t="s">
        <v>228</v>
      </c>
      <c r="I1" t="s">
        <v>229</v>
      </c>
      <c r="J1" t="s">
        <v>230</v>
      </c>
      <c r="K1" t="s">
        <v>231</v>
      </c>
      <c r="L1" t="s">
        <v>232</v>
      </c>
      <c r="M1" t="s">
        <v>233</v>
      </c>
      <c r="N1" t="s">
        <v>234</v>
      </c>
      <c r="O1" s="102" t="s">
        <v>239</v>
      </c>
      <c r="P1"/>
    </row>
    <row r="2" x14ac:dyDescent="0.15">
      <c r="A2">
        <v>1</v>
      </c>
      <c r="B2" t="s">
        <v>167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s="164">
        <f t="shared" ref="O2:O56" si="0">SUM(C2:N2)</f>
        <v>0</v>
      </c>
    </row>
    <row r="3" x14ac:dyDescent="0.15">
      <c r="A3">
        <v>2</v>
      </c>
      <c r="B3" t="s">
        <v>168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s="164">
        <f t="shared" si="0"/>
        <v>0</v>
      </c>
    </row>
    <row r="4" x14ac:dyDescent="0.15">
      <c r="A4">
        <v>3</v>
      </c>
      <c r="B4" t="s">
        <v>169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s="164">
        <f t="shared" si="0"/>
        <v>0</v>
      </c>
    </row>
    <row r="5" x14ac:dyDescent="0.15">
      <c r="A5">
        <v>4</v>
      </c>
      <c r="B5" t="s">
        <v>170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s="164">
        <f t="shared" si="0"/>
        <v>0</v>
      </c>
    </row>
    <row r="6" x14ac:dyDescent="0.15">
      <c r="A6">
        <v>5</v>
      </c>
      <c r="B6" t="s">
        <v>171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1.0247058823529413E-4</v>
      </c>
      <c r="N6">
        <v>0</v>
      </c>
      <c r="O6" s="164">
        <f t="shared" si="0"/>
        <v>1.0247058823529413E-4</v>
      </c>
    </row>
    <row r="7" x14ac:dyDescent="0.15">
      <c r="A7">
        <v>6</v>
      </c>
      <c r="B7" t="s">
        <v>172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s="164">
        <f t="shared" si="0"/>
        <v>0</v>
      </c>
    </row>
    <row r="8" x14ac:dyDescent="0.15">
      <c r="A8">
        <v>7</v>
      </c>
      <c r="B8" t="s">
        <v>173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1.1057341176470589E-3</v>
      </c>
      <c r="N8">
        <v>0</v>
      </c>
      <c r="O8" s="164">
        <f t="shared" si="0"/>
        <v>1.1057341176470589E-3</v>
      </c>
    </row>
    <row r="9" x14ac:dyDescent="0.15">
      <c r="A9">
        <v>8</v>
      </c>
      <c r="B9" t="s">
        <v>174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s="164">
        <f t="shared" si="0"/>
        <v>0</v>
      </c>
    </row>
    <row r="10" x14ac:dyDescent="0.15">
      <c r="A10">
        <v>9</v>
      </c>
      <c r="B10" t="s">
        <v>175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s="164">
        <f t="shared" si="0"/>
        <v>0</v>
      </c>
    </row>
    <row r="11" x14ac:dyDescent="0.15">
      <c r="A11">
        <v>10</v>
      </c>
      <c r="B11" t="s">
        <v>176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s="164">
        <f t="shared" si="0"/>
        <v>0</v>
      </c>
    </row>
    <row r="12" x14ac:dyDescent="0.15">
      <c r="A12">
        <v>11</v>
      </c>
      <c r="B12" t="s">
        <v>177</v>
      </c>
      <c r="C12">
        <v>0</v>
      </c>
      <c r="D12">
        <v>1.1000000000000001E-3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 s="164">
        <f t="shared" si="0"/>
        <v>1.1000000000000001E-3</v>
      </c>
    </row>
    <row r="13" x14ac:dyDescent="0.15">
      <c r="A13">
        <v>12</v>
      </c>
      <c r="B13" t="s">
        <v>178</v>
      </c>
      <c r="C13">
        <v>0</v>
      </c>
      <c r="D13">
        <v>3.3999999999999998E-3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s="164">
        <f t="shared" si="0"/>
        <v>3.3999999999999998E-3</v>
      </c>
    </row>
    <row r="14" x14ac:dyDescent="0.15">
      <c r="A14">
        <v>13</v>
      </c>
      <c r="B14" t="s">
        <v>179</v>
      </c>
      <c r="C14">
        <v>0</v>
      </c>
      <c r="D14">
        <v>1E-4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s="164">
        <f t="shared" si="0"/>
        <v>1E-4</v>
      </c>
    </row>
    <row r="15" x14ac:dyDescent="0.15">
      <c r="A15">
        <v>14</v>
      </c>
      <c r="B15" t="s">
        <v>180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s="164">
        <f t="shared" si="0"/>
        <v>0</v>
      </c>
    </row>
    <row r="16" x14ac:dyDescent="0.15">
      <c r="A16">
        <v>15</v>
      </c>
      <c r="B16" t="s">
        <v>181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s="164">
        <f t="shared" si="0"/>
        <v>0</v>
      </c>
    </row>
    <row r="17" x14ac:dyDescent="0.15">
      <c r="A17">
        <v>16</v>
      </c>
      <c r="B17" t="s">
        <v>182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s="164">
        <f t="shared" si="0"/>
        <v>0</v>
      </c>
    </row>
    <row r="18" x14ac:dyDescent="0.15">
      <c r="A18">
        <v>17</v>
      </c>
      <c r="B18" t="s">
        <v>183</v>
      </c>
      <c r="C18">
        <v>0</v>
      </c>
      <c r="D18">
        <v>5.0000000000000001E-4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s="164">
        <f t="shared" si="0"/>
        <v>5.0000000000000001E-4</v>
      </c>
    </row>
    <row r="19" x14ac:dyDescent="0.15">
      <c r="A19">
        <v>18</v>
      </c>
      <c r="B19" t="s">
        <v>184</v>
      </c>
      <c r="C19">
        <v>0</v>
      </c>
      <c r="D19">
        <v>1.0999999999999999E-2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s="164">
        <f t="shared" si="0"/>
        <v>1.0999999999999999E-2</v>
      </c>
    </row>
    <row r="20" x14ac:dyDescent="0.15">
      <c r="A20">
        <v>19</v>
      </c>
      <c r="B20" t="s">
        <v>185</v>
      </c>
      <c r="C20">
        <v>0</v>
      </c>
      <c r="D20">
        <v>8.6E-3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s="164">
        <f t="shared" si="0"/>
        <v>8.6E-3</v>
      </c>
    </row>
    <row r="21" x14ac:dyDescent="0.15">
      <c r="A21">
        <v>20</v>
      </c>
      <c r="B21" t="s">
        <v>186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s="164">
        <f t="shared" si="0"/>
        <v>0</v>
      </c>
    </row>
    <row r="22" x14ac:dyDescent="0.15">
      <c r="A22">
        <v>21</v>
      </c>
      <c r="B22" t="s">
        <v>187</v>
      </c>
      <c r="C22">
        <v>0</v>
      </c>
      <c r="D22">
        <v>1E-3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 s="164">
        <f t="shared" si="0"/>
        <v>1E-3</v>
      </c>
    </row>
    <row r="23" x14ac:dyDescent="0.15">
      <c r="A23">
        <v>22</v>
      </c>
      <c r="B23" t="s">
        <v>188</v>
      </c>
      <c r="C23">
        <v>0</v>
      </c>
      <c r="D23">
        <v>1E-4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s="164">
        <f t="shared" si="0"/>
        <v>1E-4</v>
      </c>
    </row>
    <row r="24" x14ac:dyDescent="0.15">
      <c r="A24">
        <v>23</v>
      </c>
      <c r="B24" t="s">
        <v>189</v>
      </c>
      <c r="C24">
        <v>0</v>
      </c>
      <c r="D24">
        <v>1.37E-2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s="164">
        <f t="shared" si="0"/>
        <v>1.37E-2</v>
      </c>
    </row>
    <row r="25" x14ac:dyDescent="0.15">
      <c r="A25">
        <v>24</v>
      </c>
      <c r="B25" t="s">
        <v>190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s="164">
        <f t="shared" si="0"/>
        <v>0</v>
      </c>
    </row>
    <row r="26" x14ac:dyDescent="0.15">
      <c r="A26">
        <v>25</v>
      </c>
      <c r="B26" t="s">
        <v>191</v>
      </c>
      <c r="C26">
        <v>0</v>
      </c>
      <c r="D26">
        <v>3.9999999999999998E-6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s="164">
        <f t="shared" si="0"/>
        <v>3.9999999999999998E-6</v>
      </c>
    </row>
    <row r="27" x14ac:dyDescent="0.15">
      <c r="A27">
        <v>26</v>
      </c>
      <c r="B27" t="s">
        <v>192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 s="164">
        <f t="shared" si="0"/>
        <v>0</v>
      </c>
    </row>
    <row r="28" x14ac:dyDescent="0.15">
      <c r="A28">
        <v>27</v>
      </c>
      <c r="B28" t="s">
        <v>193</v>
      </c>
      <c r="C28">
        <v>0</v>
      </c>
      <c r="D28">
        <v>1.6999999999999999E-3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 s="164">
        <f t="shared" si="0"/>
        <v>1.6999999999999999E-3</v>
      </c>
    </row>
    <row r="29" x14ac:dyDescent="0.15">
      <c r="A29">
        <v>28</v>
      </c>
      <c r="B29" t="s">
        <v>194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 s="164">
        <f t="shared" si="0"/>
        <v>0</v>
      </c>
    </row>
    <row r="30" x14ac:dyDescent="0.15">
      <c r="A30">
        <v>29</v>
      </c>
      <c r="B30" t="s">
        <v>195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 s="164">
        <f t="shared" si="0"/>
        <v>0</v>
      </c>
    </row>
    <row r="31" x14ac:dyDescent="0.15">
      <c r="A31">
        <v>30</v>
      </c>
      <c r="B31" t="s">
        <v>196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 s="164">
        <f t="shared" si="0"/>
        <v>0</v>
      </c>
    </row>
    <row r="32" x14ac:dyDescent="0.15">
      <c r="A32">
        <v>31</v>
      </c>
      <c r="B32" t="s">
        <v>197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 s="164">
        <f t="shared" si="0"/>
        <v>0</v>
      </c>
    </row>
    <row r="33" x14ac:dyDescent="0.15">
      <c r="A33">
        <v>32</v>
      </c>
      <c r="B33" t="s">
        <v>198</v>
      </c>
      <c r="C33">
        <v>0</v>
      </c>
      <c r="D33">
        <v>1E-4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 s="164">
        <f t="shared" si="0"/>
        <v>1E-4</v>
      </c>
    </row>
    <row r="34" x14ac:dyDescent="0.15">
      <c r="A34">
        <v>33</v>
      </c>
      <c r="B34" t="s">
        <v>199</v>
      </c>
      <c r="C34">
        <v>0</v>
      </c>
      <c r="D34">
        <v>8.9999999999999998E-4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 s="164">
        <f t="shared" si="0"/>
        <v>8.9999999999999998E-4</v>
      </c>
    </row>
    <row r="35" x14ac:dyDescent="0.15">
      <c r="A35">
        <v>34</v>
      </c>
      <c r="B35" t="s">
        <v>200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 s="164">
        <f t="shared" si="0"/>
        <v>0</v>
      </c>
    </row>
    <row r="36" x14ac:dyDescent="0.15">
      <c r="A36">
        <v>35</v>
      </c>
      <c r="B36" t="s">
        <v>201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 s="164">
        <f t="shared" si="0"/>
        <v>0</v>
      </c>
    </row>
    <row r="37" x14ac:dyDescent="0.15">
      <c r="A37">
        <v>36</v>
      </c>
      <c r="B37" t="s">
        <v>202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s="164">
        <f t="shared" si="0"/>
        <v>0</v>
      </c>
    </row>
    <row r="38" x14ac:dyDescent="0.15">
      <c r="A38">
        <v>37</v>
      </c>
      <c r="B38" t="s">
        <v>203</v>
      </c>
      <c r="C38">
        <v>0</v>
      </c>
      <c r="D38">
        <v>1.46E-2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s="164">
        <f t="shared" si="0"/>
        <v>1.46E-2</v>
      </c>
    </row>
    <row r="39" x14ac:dyDescent="0.15">
      <c r="A39">
        <v>38</v>
      </c>
      <c r="B39" t="s">
        <v>204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s="164">
        <f t="shared" si="0"/>
        <v>0</v>
      </c>
    </row>
    <row r="40" x14ac:dyDescent="0.15">
      <c r="A40">
        <v>39</v>
      </c>
      <c r="B40" t="s">
        <v>205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s="164">
        <f t="shared" si="0"/>
        <v>0</v>
      </c>
    </row>
    <row r="41" x14ac:dyDescent="0.15">
      <c r="A41">
        <v>40</v>
      </c>
      <c r="B41" t="s">
        <v>206</v>
      </c>
      <c r="C41">
        <v>0</v>
      </c>
      <c r="D41">
        <v>4.7999999999999996E-3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s="164">
        <f t="shared" si="0"/>
        <v>4.7999999999999996E-3</v>
      </c>
    </row>
    <row r="42" x14ac:dyDescent="0.15">
      <c r="A42">
        <v>41</v>
      </c>
      <c r="B42" t="s">
        <v>207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s="164">
        <f t="shared" si="0"/>
        <v>0</v>
      </c>
    </row>
    <row r="43" x14ac:dyDescent="0.15">
      <c r="A43">
        <v>42</v>
      </c>
      <c r="B43" t="s">
        <v>208</v>
      </c>
      <c r="C43">
        <v>0</v>
      </c>
      <c r="D43">
        <v>4.7999999999999996E-3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s="164">
        <f t="shared" si="0"/>
        <v>4.7999999999999996E-3</v>
      </c>
    </row>
    <row r="44" x14ac:dyDescent="0.15">
      <c r="A44">
        <v>43</v>
      </c>
      <c r="B44" t="s">
        <v>209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s="164">
        <f t="shared" si="0"/>
        <v>0</v>
      </c>
    </row>
    <row r="45" x14ac:dyDescent="0.15">
      <c r="A45">
        <v>44</v>
      </c>
      <c r="B45" t="s">
        <v>210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s="164">
        <f t="shared" si="0"/>
        <v>0</v>
      </c>
    </row>
    <row r="46" x14ac:dyDescent="0.15">
      <c r="A46">
        <v>45</v>
      </c>
      <c r="B46" t="s">
        <v>211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s="164">
        <f t="shared" si="0"/>
        <v>0</v>
      </c>
    </row>
    <row r="47" x14ac:dyDescent="0.15">
      <c r="A47">
        <v>46</v>
      </c>
      <c r="B47" t="s">
        <v>212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s="164">
        <f t="shared" si="0"/>
        <v>0</v>
      </c>
    </row>
    <row r="48" x14ac:dyDescent="0.15">
      <c r="A48">
        <v>47</v>
      </c>
      <c r="B48" t="s">
        <v>213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s="164">
        <f t="shared" si="0"/>
        <v>0</v>
      </c>
    </row>
    <row r="49" x14ac:dyDescent="0.15">
      <c r="A49">
        <v>48</v>
      </c>
      <c r="B49" t="s">
        <v>214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s="164">
        <f t="shared" si="0"/>
        <v>0</v>
      </c>
    </row>
    <row r="50" x14ac:dyDescent="0.15">
      <c r="A50">
        <v>49</v>
      </c>
      <c r="B50" t="s">
        <v>215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s="164">
        <f t="shared" si="0"/>
        <v>0</v>
      </c>
    </row>
    <row r="51" x14ac:dyDescent="0.15">
      <c r="A51">
        <v>50</v>
      </c>
      <c r="B51" t="s">
        <v>216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s="164">
        <f t="shared" si="0"/>
        <v>0</v>
      </c>
    </row>
    <row r="52" x14ac:dyDescent="0.15">
      <c r="A52">
        <v>51</v>
      </c>
      <c r="B52" t="s">
        <v>217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s="164">
        <f t="shared" si="0"/>
        <v>0</v>
      </c>
    </row>
    <row r="53" x14ac:dyDescent="0.15">
      <c r="A53">
        <v>52</v>
      </c>
      <c r="B53" t="s">
        <v>218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s="164">
        <f t="shared" si="0"/>
        <v>0</v>
      </c>
    </row>
    <row r="54" x14ac:dyDescent="0.15">
      <c r="A54">
        <v>53</v>
      </c>
      <c r="B54" t="s">
        <v>219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s="164">
        <f t="shared" si="0"/>
        <v>0</v>
      </c>
    </row>
    <row r="55" x14ac:dyDescent="0.15">
      <c r="A55">
        <v>54</v>
      </c>
      <c r="B55" t="s">
        <v>220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s="164">
        <f t="shared" si="0"/>
        <v>0</v>
      </c>
    </row>
    <row r="56" x14ac:dyDescent="0.15">
      <c r="A56">
        <v>55</v>
      </c>
      <c r="B56" t="s">
        <v>221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s="164">
        <f t="shared" si="0"/>
        <v>0</v>
      </c>
    </row>
    <row r="57" x14ac:dyDescent="0.15">
      <c r="A57">
        <v>56</v>
      </c>
      <c r="B57" t="s">
        <v>71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 s="164">
        <f>SUM(C57:N57)</f>
        <v>0</v>
      </c>
    </row>
    <row r="58" x14ac:dyDescent="0.15">
      <c r="A58">
        <v>57</v>
      </c>
      <c r="B58" t="s">
        <v>222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 s="164">
        <f>SUM(C58:N58)</f>
        <v>0</v>
      </c>
    </row>
    <row r="59" x14ac:dyDescent="0.15">
      <c r="A59">
        <v>58</v>
      </c>
      <c r="B59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 s="164">
        <f>SUM(C59:N59)</f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X185"/>
  <sheetViews>
    <sheetView workbookViewId="0">
      <selection activeCell="B25" sqref="B25"/>
    </sheetView>
  </sheetViews>
  <sheetFormatPr baseColWidth="10" defaultRowHeight="13" x14ac:dyDescent="0.15"/>
  <cols>
    <col min="1" max="1" width="17.33203125" bestFit="true" customWidth="true"/>
    <col min="5" max="5" width="39.83203125" bestFit="true" customWidth="true"/>
    <col min="6" max="6" width="8.1640625" bestFit="true" customWidth="true"/>
    <col min="7" max="7" width="7.5" bestFit="true" customWidth="true"/>
    <col min="8" max="8" width="8.6640625" bestFit="true" customWidth="true"/>
    <col min="9" max="9" width="8.83203125" bestFit="true" customWidth="true"/>
    <col min="10" max="10" width="8.83203125" style="101" bestFit="true" customWidth="true"/>
    <col min="11" max="11" width="8.6640625" style="101" bestFit="true" customWidth="true"/>
    <col min="12" max="12" width="12.33203125" bestFit="true" customWidth="true"/>
    <col min="13" max="13" width="13.5" bestFit="true" customWidth="true"/>
    <col min="14" max="14" width="13.83203125" bestFit="true" customWidth="true"/>
    <col min="15" max="15" width="13.6640625" bestFit="true" customWidth="true"/>
    <col min="16" max="16" width="13.5" bestFit="true" customWidth="true"/>
    <col min="17" max="17" width="12.83203125" bestFit="true" customWidth="true"/>
    <col min="18" max="18" width="14" bestFit="true" customWidth="true"/>
    <col min="19" max="20" width="14.1640625" bestFit="true" customWidth="true"/>
    <col min="21" max="21" width="14" bestFit="true" customWidth="true"/>
    <col min="22" max="22" width="8.6640625" bestFit="true" customWidth="true"/>
    <col min="23" max="23" width="8.83203125" bestFit="true" customWidth="true"/>
    <col min="24" max="24" width="14" bestFit="true" customWidth="true"/>
    <col min="25" max="25" width="21.33203125" bestFit="true" customWidth="true"/>
    <col min="26" max="26" width="13.6640625" bestFit="true" customWidth="true"/>
    <col min="27" max="27" width="13.83203125" bestFit="true" customWidth="true"/>
    <col min="28" max="28" width="19" bestFit="true" customWidth="true"/>
    <col min="29" max="29" width="26.33203125" bestFit="true" customWidth="true"/>
    <col min="30" max="30" width="14.1640625" bestFit="true" customWidth="true"/>
    <col min="31" max="31" width="14.33203125" bestFit="true" customWidth="true"/>
    <col min="32" max="32" width="19.5" bestFit="true" customWidth="true"/>
    <col min="33" max="33" width="26.83203125" bestFit="true" customWidth="true"/>
    <col min="34" max="34" width="24" bestFit="true" customWidth="true"/>
    <col min="35" max="35" width="30" bestFit="true" customWidth="true"/>
    <col min="36" max="36" width="19.1640625" bestFit="true" customWidth="true"/>
    <col min="37" max="37" width="25.5" bestFit="true" customWidth="true"/>
    <col min="38" max="38" width="31.5" bestFit="true" customWidth="true"/>
    <col min="39" max="39" width="20.6640625" bestFit="true" customWidth="true"/>
    <col min="40" max="40" width="25" bestFit="true" customWidth="true"/>
    <col min="41" max="41" width="31" bestFit="true" customWidth="true"/>
    <col min="42" max="42" width="20.1640625" bestFit="true" customWidth="true"/>
    <col min="46" max="46" width="11.83203125" customWidth="true"/>
    <col min="47" max="47" width="7.5" customWidth="true"/>
    <col min="48" max="48" width="5" customWidth="true"/>
    <col min="49" max="49" width="5.5" customWidth="true"/>
    <col min="50" max="50" width="32.5" customWidth="true"/>
  </cols>
  <sheetData>
    <row r="1" s="103" customFormat="true" ht="14" thickBot="true" x14ac:dyDescent="0.2">
      <c r="D1" s="103" t="s">
        <v>8</v>
      </c>
      <c r="E1" s="103" t="s">
        <v>0</v>
      </c>
      <c r="F1" s="104" t="s">
        <v>99</v>
      </c>
      <c r="G1" s="105" t="s">
        <v>84</v>
      </c>
      <c r="H1" s="105" t="s">
        <v>85</v>
      </c>
      <c r="I1" s="105" t="s">
        <v>86</v>
      </c>
      <c r="J1" s="105" t="s">
        <v>87</v>
      </c>
      <c r="K1" s="105" t="s">
        <v>88</v>
      </c>
      <c r="L1" s="106" t="s">
        <v>89</v>
      </c>
      <c r="M1" s="106" t="s">
        <v>93</v>
      </c>
      <c r="N1" s="106" t="s">
        <v>92</v>
      </c>
      <c r="O1" s="106" t="s">
        <v>90</v>
      </c>
      <c r="P1" s="106" t="s">
        <v>91</v>
      </c>
      <c r="Q1" s="107" t="s">
        <v>94</v>
      </c>
      <c r="R1" s="107" t="s">
        <v>95</v>
      </c>
      <c r="S1" s="107" t="s">
        <v>96</v>
      </c>
      <c r="T1" s="107" t="s">
        <v>97</v>
      </c>
      <c r="U1" s="107" t="s">
        <v>98</v>
      </c>
      <c r="V1" s="105" t="s">
        <v>100</v>
      </c>
      <c r="W1" s="105" t="s">
        <v>101</v>
      </c>
      <c r="X1" s="105" t="s">
        <v>102</v>
      </c>
      <c r="Y1" s="105" t="s">
        <v>134</v>
      </c>
      <c r="Z1" s="106" t="s">
        <v>103</v>
      </c>
      <c r="AA1" s="106" t="s">
        <v>104</v>
      </c>
      <c r="AB1" s="106" t="s">
        <v>105</v>
      </c>
      <c r="AC1" s="108" t="s">
        <v>135</v>
      </c>
      <c r="AD1" s="107" t="s">
        <v>106</v>
      </c>
      <c r="AE1" s="107" t="s">
        <v>107</v>
      </c>
      <c r="AF1" s="107" t="s">
        <v>108</v>
      </c>
      <c r="AG1" s="107" t="s">
        <v>136</v>
      </c>
      <c r="AH1" s="105" t="s">
        <v>109</v>
      </c>
      <c r="AI1" s="105" t="s">
        <v>111</v>
      </c>
      <c r="AJ1" s="105" t="s">
        <v>110</v>
      </c>
      <c r="AK1" s="106" t="s">
        <v>115</v>
      </c>
      <c r="AL1" s="106" t="s">
        <v>116</v>
      </c>
      <c r="AM1" s="106" t="s">
        <v>117</v>
      </c>
      <c r="AN1" s="107" t="s">
        <v>112</v>
      </c>
      <c r="AO1" s="107" t="s">
        <v>113</v>
      </c>
      <c r="AP1" s="107" t="s">
        <v>114</v>
      </c>
      <c r="AS1" s="165" t="s">
        <v>240</v>
      </c>
      <c r="AT1" s="4" t="s">
        <v>241</v>
      </c>
      <c r="AU1" s="1" t="s">
        <v>242</v>
      </c>
      <c r="AV1" s="1" t="s">
        <v>243</v>
      </c>
      <c r="AW1" s="1" t="s">
        <v>244</v>
      </c>
      <c r="AX1" s="1" t="s">
        <v>245</v>
      </c>
    </row>
    <row r="2" x14ac:dyDescent="0.15">
      <c r="A2" s="165" t="s">
        <v>74</v>
      </c>
      <c r="B2" s="109">
        <v>1</v>
      </c>
      <c r="D2">
        <v>1</v>
      </c>
      <c r="E2" t="s">
        <v>167</v>
      </c>
      <c r="F2">
        <v>0.98</v>
      </c>
      <c r="G2">
        <v>0.3</v>
      </c>
      <c r="H2">
        <v>0.6</v>
      </c>
      <c r="I2">
        <v>0.6</v>
      </c>
      <c r="J2">
        <v>0.6</v>
      </c>
      <c r="K2">
        <v>0.05</v>
      </c>
      <c r="V2">
        <v>0</v>
      </c>
      <c r="W2">
        <v>0</v>
      </c>
      <c r="AT2" t="s">
        <v>13</v>
      </c>
      <c r="AU2">
        <v>1</v>
      </c>
      <c r="AV2">
        <v>9</v>
      </c>
      <c r="AW2">
        <v>0</v>
      </c>
      <c r="AX2" t="s">
        <v>246</v>
      </c>
    </row>
    <row r="3" x14ac:dyDescent="0.15">
      <c r="A3" s="165" t="s">
        <v>75</v>
      </c>
      <c r="B3" s="110">
        <v>1</v>
      </c>
      <c r="D3">
        <f>D2+1</f>
        <v>2</v>
      </c>
      <c r="E3" t="s">
        <v>168</v>
      </c>
      <c r="F3">
        <v>0.98</v>
      </c>
      <c r="G3">
        <v>0.5</v>
      </c>
      <c r="H3">
        <v>0.6</v>
      </c>
      <c r="I3">
        <v>0.6</v>
      </c>
      <c r="J3">
        <v>0.6</v>
      </c>
      <c r="K3">
        <v>0.05</v>
      </c>
      <c r="V3">
        <v>0</v>
      </c>
      <c r="W3">
        <v>0</v>
      </c>
      <c r="AT3" t="s">
        <v>13</v>
      </c>
      <c r="AU3">
        <v>1</v>
      </c>
      <c r="AV3">
        <v>8</v>
      </c>
      <c r="AW3">
        <v>0.8</v>
      </c>
      <c r="AX3" t="s">
        <v>247</v>
      </c>
    </row>
    <row r="4" x14ac:dyDescent="0.15">
      <c r="A4" s="165" t="s">
        <v>76</v>
      </c>
      <c r="B4" s="110">
        <v>1</v>
      </c>
      <c r="D4">
        <f t="shared" ref="D4:D59" si="0">D3+1</f>
        <v>3</v>
      </c>
      <c r="E4" t="s">
        <v>169</v>
      </c>
      <c r="F4">
        <v>0.98</v>
      </c>
      <c r="G4">
        <v>0.3</v>
      </c>
      <c r="H4">
        <v>0.6</v>
      </c>
      <c r="I4">
        <v>0.6</v>
      </c>
      <c r="J4">
        <v>0.6</v>
      </c>
      <c r="K4">
        <v>0.05</v>
      </c>
      <c r="V4">
        <v>0</v>
      </c>
      <c r="W4">
        <v>0</v>
      </c>
      <c r="AT4" t="s">
        <v>13</v>
      </c>
      <c r="AU4">
        <v>1</v>
      </c>
      <c r="AV4">
        <v>7</v>
      </c>
      <c r="AW4">
        <v>0.8</v>
      </c>
      <c r="AX4" t="s">
        <v>248</v>
      </c>
    </row>
    <row r="5" x14ac:dyDescent="0.15">
      <c r="A5" s="165" t="s">
        <v>77</v>
      </c>
      <c r="B5" s="110">
        <v>1</v>
      </c>
      <c r="D5">
        <f t="shared" si="0"/>
        <v>4</v>
      </c>
      <c r="E5" t="s">
        <v>170</v>
      </c>
      <c r="F5">
        <v>0.98</v>
      </c>
      <c r="G5">
        <v>0.1</v>
      </c>
      <c r="H5">
        <v>0.1</v>
      </c>
      <c r="I5">
        <v>0.1</v>
      </c>
      <c r="J5">
        <v>0.1</v>
      </c>
      <c r="K5">
        <v>0.05</v>
      </c>
      <c r="V5">
        <v>0</v>
      </c>
      <c r="W5">
        <v>0</v>
      </c>
      <c r="AT5" t="s">
        <v>13</v>
      </c>
      <c r="AU5">
        <v>1</v>
      </c>
      <c r="AV5">
        <v>6</v>
      </c>
      <c r="AW5">
        <v>0.8</v>
      </c>
      <c r="AX5" t="s">
        <v>249</v>
      </c>
    </row>
    <row r="6" x14ac:dyDescent="0.15">
      <c r="A6" s="165" t="s">
        <v>78</v>
      </c>
      <c r="B6" s="110">
        <v>0</v>
      </c>
      <c r="D6">
        <f t="shared" si="0"/>
        <v>5</v>
      </c>
      <c r="E6" t="s">
        <v>171</v>
      </c>
      <c r="F6">
        <v>0.98</v>
      </c>
      <c r="G6">
        <v>0.5</v>
      </c>
      <c r="H6">
        <v>0.4</v>
      </c>
      <c r="I6">
        <v>0.4</v>
      </c>
      <c r="J6">
        <v>0.4</v>
      </c>
      <c r="K6">
        <v>0.05</v>
      </c>
      <c r="V6">
        <v>0</v>
      </c>
      <c r="W6">
        <v>0</v>
      </c>
      <c r="AT6" t="s">
        <v>13</v>
      </c>
      <c r="AU6">
        <v>1</v>
      </c>
      <c r="AV6">
        <v>5</v>
      </c>
      <c r="AW6">
        <v>0.5</v>
      </c>
      <c r="AX6" t="s">
        <v>250</v>
      </c>
    </row>
    <row r="7" x14ac:dyDescent="0.15">
      <c r="A7" s="165" t="s">
        <v>79</v>
      </c>
      <c r="B7" s="110">
        <v>0</v>
      </c>
      <c r="D7">
        <f t="shared" si="0"/>
        <v>6</v>
      </c>
      <c r="E7" t="s">
        <v>172</v>
      </c>
      <c r="F7">
        <v>0.98</v>
      </c>
      <c r="G7">
        <v>0.8</v>
      </c>
      <c r="H7">
        <v>0.6</v>
      </c>
      <c r="I7">
        <v>0.6</v>
      </c>
      <c r="J7">
        <v>0.6</v>
      </c>
      <c r="K7">
        <v>0.05</v>
      </c>
      <c r="V7">
        <v>0</v>
      </c>
      <c r="W7">
        <v>0</v>
      </c>
      <c r="AT7" t="s">
        <v>13</v>
      </c>
      <c r="AU7">
        <v>1</v>
      </c>
      <c r="AV7">
        <v>4</v>
      </c>
      <c r="AW7">
        <v>0.5</v>
      </c>
      <c r="AX7" t="s">
        <v>251</v>
      </c>
    </row>
    <row r="8" x14ac:dyDescent="0.15">
      <c r="A8" s="165" t="s">
        <v>80</v>
      </c>
      <c r="B8" s="110">
        <v>1</v>
      </c>
      <c r="D8">
        <f t="shared" si="0"/>
        <v>7</v>
      </c>
      <c r="E8" t="s">
        <v>173</v>
      </c>
      <c r="F8">
        <v>0.98</v>
      </c>
      <c r="G8">
        <v>0.5</v>
      </c>
      <c r="H8">
        <v>0.4</v>
      </c>
      <c r="I8">
        <v>0.4</v>
      </c>
      <c r="J8">
        <v>0.4</v>
      </c>
      <c r="K8">
        <v>0.05</v>
      </c>
      <c r="V8">
        <v>0</v>
      </c>
      <c r="W8">
        <v>0</v>
      </c>
      <c r="AT8" t="s">
        <v>13</v>
      </c>
      <c r="AU8">
        <v>1</v>
      </c>
      <c r="AV8">
        <v>3</v>
      </c>
      <c r="AW8">
        <v>0.5</v>
      </c>
      <c r="AX8" t="s">
        <v>252</v>
      </c>
    </row>
    <row r="9" x14ac:dyDescent="0.15">
      <c r="A9" s="165" t="s">
        <v>81</v>
      </c>
      <c r="B9" s="110">
        <v>0.1</v>
      </c>
      <c r="C9" s="56" t="s">
        <v>150</v>
      </c>
      <c r="D9">
        <f t="shared" si="0"/>
        <v>8</v>
      </c>
      <c r="E9" t="s">
        <v>174</v>
      </c>
      <c r="F9">
        <v>0.98</v>
      </c>
      <c r="G9">
        <v>0.3</v>
      </c>
      <c r="H9">
        <v>0.4</v>
      </c>
      <c r="I9">
        <v>0.4</v>
      </c>
      <c r="J9">
        <v>0.4</v>
      </c>
      <c r="K9">
        <v>0.05</v>
      </c>
      <c r="V9">
        <v>0</v>
      </c>
      <c r="W9">
        <v>0</v>
      </c>
      <c r="AT9" t="s">
        <v>13</v>
      </c>
      <c r="AU9">
        <v>1</v>
      </c>
      <c r="AV9">
        <v>2</v>
      </c>
      <c r="AW9">
        <v>0.1</v>
      </c>
      <c r="AX9" t="s">
        <v>253</v>
      </c>
    </row>
    <row r="10" ht="14" thickBot="true" x14ac:dyDescent="0.2">
      <c r="A10" s="165" t="s">
        <v>149</v>
      </c>
      <c r="B10" s="111">
        <f>1/3</f>
        <v>0.33333333333333331</v>
      </c>
      <c r="C10" s="56" t="s">
        <v>150</v>
      </c>
      <c r="D10">
        <f t="shared" si="0"/>
        <v>9</v>
      </c>
      <c r="E10" t="s">
        <v>175</v>
      </c>
      <c r="F10">
        <v>0.98</v>
      </c>
      <c r="G10">
        <v>0.3</v>
      </c>
      <c r="H10">
        <v>0.4</v>
      </c>
      <c r="I10">
        <v>0.4</v>
      </c>
      <c r="J10">
        <v>0.4</v>
      </c>
      <c r="K10">
        <v>0.05</v>
      </c>
      <c r="V10">
        <v>0</v>
      </c>
      <c r="W10">
        <v>0</v>
      </c>
      <c r="AT10" t="s">
        <v>13</v>
      </c>
      <c r="AU10">
        <v>1</v>
      </c>
      <c r="AV10">
        <v>1</v>
      </c>
      <c r="AW10">
        <v>0.1</v>
      </c>
      <c r="AX10" t="s">
        <v>254</v>
      </c>
    </row>
    <row r="11" x14ac:dyDescent="0.15">
      <c r="D11">
        <f t="shared" si="0"/>
        <v>10</v>
      </c>
      <c r="E11" t="s">
        <v>176</v>
      </c>
      <c r="F11">
        <v>0.98</v>
      </c>
      <c r="G11">
        <v>0.5</v>
      </c>
      <c r="H11">
        <v>0.4</v>
      </c>
      <c r="I11">
        <v>0.4</v>
      </c>
      <c r="J11">
        <v>0.4</v>
      </c>
      <c r="K11">
        <v>0.05</v>
      </c>
      <c r="V11">
        <v>0</v>
      </c>
      <c r="W11">
        <v>0</v>
      </c>
      <c r="AT11" t="s">
        <v>13</v>
      </c>
      <c r="AU11">
        <v>1</v>
      </c>
      <c r="AV11">
        <v>0</v>
      </c>
      <c r="AW11">
        <v>0</v>
      </c>
      <c r="AX11" t="s">
        <v>255</v>
      </c>
    </row>
    <row r="12" x14ac:dyDescent="0.15">
      <c r="D12">
        <f t="shared" si="0"/>
        <v>11</v>
      </c>
      <c r="E12" t="s">
        <v>177</v>
      </c>
      <c r="F12">
        <v>0.98</v>
      </c>
      <c r="G12">
        <v>0.1</v>
      </c>
      <c r="H12">
        <v>0.1</v>
      </c>
      <c r="I12">
        <v>0.3</v>
      </c>
      <c r="J12">
        <v>0.3</v>
      </c>
      <c r="K12">
        <v>0.05</v>
      </c>
      <c r="V12">
        <v>0</v>
      </c>
      <c r="W12">
        <v>0</v>
      </c>
      <c r="AT12" t="s">
        <v>1</v>
      </c>
      <c r="AU12">
        <v>2</v>
      </c>
      <c r="AV12">
        <v>9</v>
      </c>
      <c r="AW12">
        <v>0</v>
      </c>
      <c r="AX12" t="s">
        <v>246</v>
      </c>
    </row>
    <row r="13" x14ac:dyDescent="0.15">
      <c r="D13">
        <f t="shared" si="0"/>
        <v>12</v>
      </c>
      <c r="E13" t="s">
        <v>178</v>
      </c>
      <c r="F13">
        <v>0.98</v>
      </c>
      <c r="G13">
        <v>0.1</v>
      </c>
      <c r="H13">
        <v>0.1</v>
      </c>
      <c r="I13">
        <v>0.3</v>
      </c>
      <c r="J13">
        <v>0.3</v>
      </c>
      <c r="K13">
        <v>0.05</v>
      </c>
      <c r="V13">
        <v>0</v>
      </c>
      <c r="W13">
        <v>0</v>
      </c>
      <c r="AT13" t="s">
        <v>1</v>
      </c>
      <c r="AU13">
        <v>2</v>
      </c>
      <c r="AV13">
        <v>8</v>
      </c>
      <c r="AW13">
        <v>0.8</v>
      </c>
      <c r="AX13" t="s">
        <v>247</v>
      </c>
    </row>
    <row r="14" x14ac:dyDescent="0.15">
      <c r="D14">
        <f t="shared" si="0"/>
        <v>13</v>
      </c>
      <c r="E14" t="s">
        <v>179</v>
      </c>
      <c r="F14">
        <v>0.98</v>
      </c>
      <c r="G14">
        <v>0.5</v>
      </c>
      <c r="H14">
        <v>0.2</v>
      </c>
      <c r="I14">
        <v>0.3</v>
      </c>
      <c r="J14">
        <v>0.3</v>
      </c>
      <c r="K14">
        <v>0.05</v>
      </c>
      <c r="V14">
        <v>0</v>
      </c>
      <c r="W14">
        <v>0</v>
      </c>
      <c r="AT14" t="s">
        <v>1</v>
      </c>
      <c r="AU14">
        <v>2</v>
      </c>
      <c r="AV14">
        <v>7</v>
      </c>
      <c r="AW14">
        <v>0.7</v>
      </c>
      <c r="AX14" t="s">
        <v>249</v>
      </c>
    </row>
    <row r="15" x14ac:dyDescent="0.15">
      <c r="D15">
        <f t="shared" si="0"/>
        <v>14</v>
      </c>
      <c r="E15" t="s">
        <v>180</v>
      </c>
      <c r="F15">
        <v>0.98</v>
      </c>
      <c r="G15">
        <v>0.5</v>
      </c>
      <c r="H15">
        <v>0.5</v>
      </c>
      <c r="I15">
        <v>0.5</v>
      </c>
      <c r="J15">
        <v>0.5</v>
      </c>
      <c r="K15">
        <v>0.05</v>
      </c>
      <c r="V15">
        <v>0</v>
      </c>
      <c r="W15">
        <v>0</v>
      </c>
      <c r="AT15" t="s">
        <v>1</v>
      </c>
      <c r="AU15">
        <v>2</v>
      </c>
      <c r="AV15">
        <v>6</v>
      </c>
      <c r="AW15">
        <v>0.6</v>
      </c>
      <c r="AX15" t="s">
        <v>256</v>
      </c>
    </row>
    <row r="16" x14ac:dyDescent="0.15">
      <c r="D16">
        <f t="shared" si="0"/>
        <v>15</v>
      </c>
      <c r="E16" t="s">
        <v>181</v>
      </c>
      <c r="F16">
        <v>0.98</v>
      </c>
      <c r="G16">
        <v>0.5</v>
      </c>
      <c r="H16">
        <v>0.3</v>
      </c>
      <c r="I16">
        <v>0.3</v>
      </c>
      <c r="J16">
        <v>0.3</v>
      </c>
      <c r="K16">
        <v>0.05</v>
      </c>
      <c r="V16">
        <v>0</v>
      </c>
      <c r="W16">
        <v>0</v>
      </c>
      <c r="AT16" t="s">
        <v>1</v>
      </c>
      <c r="AU16">
        <v>2</v>
      </c>
      <c r="AV16">
        <v>5</v>
      </c>
      <c r="AW16">
        <v>0.5</v>
      </c>
      <c r="AX16" t="s">
        <v>257</v>
      </c>
    </row>
    <row r="17" x14ac:dyDescent="0.15">
      <c r="D17">
        <f t="shared" si="0"/>
        <v>16</v>
      </c>
      <c r="E17" t="s">
        <v>182</v>
      </c>
      <c r="F17">
        <v>0.98</v>
      </c>
      <c r="G17">
        <v>0.5</v>
      </c>
      <c r="H17">
        <v>0.4</v>
      </c>
      <c r="I17">
        <v>0.4</v>
      </c>
      <c r="J17">
        <v>0.4</v>
      </c>
      <c r="K17">
        <v>0.05</v>
      </c>
      <c r="V17">
        <v>0</v>
      </c>
      <c r="W17">
        <v>0</v>
      </c>
      <c r="AT17" t="s">
        <v>1</v>
      </c>
      <c r="AU17">
        <v>2</v>
      </c>
      <c r="AV17">
        <v>4</v>
      </c>
      <c r="AW17">
        <v>0.4</v>
      </c>
      <c r="AX17" t="s">
        <v>258</v>
      </c>
    </row>
    <row r="18" x14ac:dyDescent="0.15">
      <c r="D18">
        <f t="shared" si="0"/>
        <v>17</v>
      </c>
      <c r="E18" t="s">
        <v>183</v>
      </c>
      <c r="F18">
        <v>0.98</v>
      </c>
      <c r="G18">
        <v>0.3</v>
      </c>
      <c r="H18">
        <v>0.4</v>
      </c>
      <c r="I18">
        <v>0.4</v>
      </c>
      <c r="J18">
        <v>0.4</v>
      </c>
      <c r="K18">
        <v>0.05</v>
      </c>
      <c r="V18">
        <v>0</v>
      </c>
      <c r="W18">
        <v>0</v>
      </c>
      <c r="AT18" t="s">
        <v>1</v>
      </c>
      <c r="AU18">
        <v>2</v>
      </c>
      <c r="AV18">
        <v>3</v>
      </c>
      <c r="AW18">
        <v>0.3</v>
      </c>
      <c r="AX18" t="s">
        <v>259</v>
      </c>
    </row>
    <row r="19" x14ac:dyDescent="0.15">
      <c r="D19">
        <f t="shared" si="0"/>
        <v>18</v>
      </c>
      <c r="E19" t="s">
        <v>184</v>
      </c>
      <c r="F19">
        <v>0.98</v>
      </c>
      <c r="G19">
        <v>0.3</v>
      </c>
      <c r="H19">
        <v>0.4</v>
      </c>
      <c r="I19">
        <v>0.4</v>
      </c>
      <c r="J19">
        <v>0.4</v>
      </c>
      <c r="K19">
        <v>0.05</v>
      </c>
      <c r="V19">
        <v>0</v>
      </c>
      <c r="W19">
        <v>0</v>
      </c>
      <c r="AT19" t="s">
        <v>1</v>
      </c>
      <c r="AU19">
        <v>2</v>
      </c>
      <c r="AV19">
        <v>2</v>
      </c>
      <c r="AW19">
        <v>0.2</v>
      </c>
      <c r="AX19" t="s">
        <v>260</v>
      </c>
    </row>
    <row r="20" x14ac:dyDescent="0.15">
      <c r="D20">
        <f t="shared" si="0"/>
        <v>19</v>
      </c>
      <c r="E20" t="s">
        <v>185</v>
      </c>
      <c r="F20">
        <v>0.98</v>
      </c>
      <c r="G20">
        <v>0.3</v>
      </c>
      <c r="H20">
        <v>0.4</v>
      </c>
      <c r="I20">
        <v>0.4</v>
      </c>
      <c r="J20">
        <v>0.4</v>
      </c>
      <c r="K20">
        <v>0.05</v>
      </c>
      <c r="V20">
        <v>0</v>
      </c>
      <c r="W20">
        <v>0</v>
      </c>
      <c r="AT20" t="s">
        <v>1</v>
      </c>
      <c r="AU20">
        <v>2</v>
      </c>
      <c r="AV20">
        <v>1</v>
      </c>
      <c r="AW20">
        <v>0.1</v>
      </c>
      <c r="AX20" t="s">
        <v>261</v>
      </c>
    </row>
    <row r="21" x14ac:dyDescent="0.15">
      <c r="D21">
        <f t="shared" si="0"/>
        <v>20</v>
      </c>
      <c r="E21" t="s">
        <v>186</v>
      </c>
      <c r="F21">
        <v>0.98</v>
      </c>
      <c r="G21">
        <v>0.5</v>
      </c>
      <c r="H21">
        <v>0.7</v>
      </c>
      <c r="I21">
        <v>0.7</v>
      </c>
      <c r="J21">
        <v>0.7</v>
      </c>
      <c r="K21">
        <v>0.05</v>
      </c>
      <c r="V21">
        <v>0</v>
      </c>
      <c r="W21">
        <v>0</v>
      </c>
      <c r="AT21" t="s">
        <v>1</v>
      </c>
      <c r="AU21">
        <v>2</v>
      </c>
      <c r="AV21">
        <v>0</v>
      </c>
      <c r="AW21">
        <v>0</v>
      </c>
      <c r="AX21" t="s">
        <v>255</v>
      </c>
    </row>
    <row r="22" x14ac:dyDescent="0.15">
      <c r="D22">
        <f t="shared" si="0"/>
        <v>21</v>
      </c>
      <c r="E22" t="s">
        <v>187</v>
      </c>
      <c r="F22">
        <v>0.98</v>
      </c>
      <c r="G22">
        <v>0.5</v>
      </c>
      <c r="H22">
        <v>0.7</v>
      </c>
      <c r="I22">
        <v>0.4</v>
      </c>
      <c r="J22">
        <v>0.7</v>
      </c>
      <c r="K22">
        <v>0.05</v>
      </c>
      <c r="V22">
        <v>0</v>
      </c>
      <c r="W22">
        <v>0</v>
      </c>
      <c r="AT22" t="s">
        <v>2</v>
      </c>
      <c r="AU22">
        <v>3</v>
      </c>
      <c r="AV22">
        <v>9</v>
      </c>
      <c r="AW22">
        <v>0</v>
      </c>
      <c r="AX22" t="s">
        <v>246</v>
      </c>
    </row>
    <row r="23" x14ac:dyDescent="0.15">
      <c r="D23">
        <f t="shared" si="0"/>
        <v>22</v>
      </c>
      <c r="E23" t="s">
        <v>188</v>
      </c>
      <c r="F23">
        <v>0.98</v>
      </c>
      <c r="G23">
        <v>0.3</v>
      </c>
      <c r="H23">
        <v>0.4</v>
      </c>
      <c r="I23">
        <v>0.4</v>
      </c>
      <c r="J23">
        <v>0.4</v>
      </c>
      <c r="K23">
        <v>0.05</v>
      </c>
      <c r="V23">
        <v>0</v>
      </c>
      <c r="W23">
        <v>0</v>
      </c>
      <c r="AT23" t="s">
        <v>2</v>
      </c>
      <c r="AU23">
        <v>3</v>
      </c>
      <c r="AV23">
        <v>8</v>
      </c>
      <c r="AW23">
        <v>0.8</v>
      </c>
      <c r="AX23" t="s">
        <v>247</v>
      </c>
    </row>
    <row r="24" x14ac:dyDescent="0.15">
      <c r="D24">
        <f t="shared" si="0"/>
        <v>23</v>
      </c>
      <c r="E24" t="s">
        <v>189</v>
      </c>
      <c r="F24">
        <v>0.98</v>
      </c>
      <c r="G24">
        <v>0.3</v>
      </c>
      <c r="H24">
        <v>0.4</v>
      </c>
      <c r="I24">
        <v>0.4</v>
      </c>
      <c r="J24">
        <v>0.4</v>
      </c>
      <c r="K24">
        <v>0.05</v>
      </c>
      <c r="V24">
        <v>0</v>
      </c>
      <c r="W24">
        <v>0</v>
      </c>
      <c r="AT24" t="s">
        <v>2</v>
      </c>
      <c r="AU24">
        <v>3</v>
      </c>
      <c r="AV24">
        <v>7</v>
      </c>
      <c r="AW24">
        <v>0.7</v>
      </c>
      <c r="AX24" t="s">
        <v>249</v>
      </c>
    </row>
    <row r="25" x14ac:dyDescent="0.15">
      <c r="D25">
        <f t="shared" si="0"/>
        <v>24</v>
      </c>
      <c r="E25" t="s">
        <v>190</v>
      </c>
      <c r="F25">
        <v>0.98</v>
      </c>
      <c r="G25">
        <v>0.8</v>
      </c>
      <c r="H25">
        <v>0.5</v>
      </c>
      <c r="I25">
        <v>0.5</v>
      </c>
      <c r="J25">
        <v>0.5</v>
      </c>
      <c r="K25">
        <v>0.05</v>
      </c>
      <c r="V25">
        <v>0</v>
      </c>
      <c r="W25">
        <v>0</v>
      </c>
      <c r="AT25" t="s">
        <v>2</v>
      </c>
      <c r="AU25">
        <v>3</v>
      </c>
      <c r="AV25">
        <v>6</v>
      </c>
      <c r="AW25">
        <v>0.6</v>
      </c>
      <c r="AX25" t="s">
        <v>256</v>
      </c>
    </row>
    <row r="26" x14ac:dyDescent="0.15">
      <c r="D26">
        <f t="shared" si="0"/>
        <v>25</v>
      </c>
      <c r="E26" t="s">
        <v>191</v>
      </c>
      <c r="F26">
        <v>0.98</v>
      </c>
      <c r="G26">
        <v>0.3</v>
      </c>
      <c r="H26">
        <v>0.4</v>
      </c>
      <c r="I26">
        <v>0.4</v>
      </c>
      <c r="J26">
        <v>0.4</v>
      </c>
      <c r="K26">
        <v>0.05</v>
      </c>
      <c r="V26">
        <v>0</v>
      </c>
      <c r="W26">
        <v>0</v>
      </c>
      <c r="AT26" t="s">
        <v>2</v>
      </c>
      <c r="AU26">
        <v>3</v>
      </c>
      <c r="AV26">
        <v>5</v>
      </c>
      <c r="AW26">
        <v>0.8</v>
      </c>
      <c r="AX26" t="s">
        <v>257</v>
      </c>
    </row>
    <row r="27" x14ac:dyDescent="0.15">
      <c r="D27">
        <f t="shared" si="0"/>
        <v>26</v>
      </c>
      <c r="E27" t="s">
        <v>192</v>
      </c>
      <c r="F27">
        <v>0.98</v>
      </c>
      <c r="G27">
        <v>0.3</v>
      </c>
      <c r="H27">
        <v>0.4</v>
      </c>
      <c r="I27">
        <v>0.4</v>
      </c>
      <c r="J27">
        <v>0.4</v>
      </c>
      <c r="K27">
        <v>0.05</v>
      </c>
      <c r="V27">
        <v>0</v>
      </c>
      <c r="W27">
        <v>0</v>
      </c>
      <c r="AT27" t="s">
        <v>2</v>
      </c>
      <c r="AU27">
        <v>3</v>
      </c>
      <c r="AV27">
        <v>4</v>
      </c>
      <c r="AW27">
        <v>0.4</v>
      </c>
      <c r="AX27" t="s">
        <v>258</v>
      </c>
    </row>
    <row r="28" x14ac:dyDescent="0.15">
      <c r="D28">
        <f t="shared" si="0"/>
        <v>27</v>
      </c>
      <c r="E28" t="s">
        <v>193</v>
      </c>
      <c r="F28">
        <v>0.98</v>
      </c>
      <c r="G28">
        <v>0.3</v>
      </c>
      <c r="H28">
        <v>0.4</v>
      </c>
      <c r="I28">
        <v>0.4</v>
      </c>
      <c r="J28">
        <v>0.4</v>
      </c>
      <c r="K28">
        <v>0.05</v>
      </c>
      <c r="V28">
        <v>0</v>
      </c>
      <c r="W28">
        <v>0</v>
      </c>
      <c r="AT28" t="s">
        <v>2</v>
      </c>
      <c r="AU28">
        <v>3</v>
      </c>
      <c r="AV28">
        <v>3</v>
      </c>
      <c r="AW28">
        <v>0.3</v>
      </c>
      <c r="AX28" t="s">
        <v>259</v>
      </c>
    </row>
    <row r="29" x14ac:dyDescent="0.15">
      <c r="D29">
        <f t="shared" si="0"/>
        <v>28</v>
      </c>
      <c r="E29" t="s">
        <v>194</v>
      </c>
      <c r="F29">
        <v>0.98</v>
      </c>
      <c r="G29">
        <v>0.8</v>
      </c>
      <c r="H29">
        <v>0.4</v>
      </c>
      <c r="I29">
        <v>0.4</v>
      </c>
      <c r="J29">
        <v>0.4</v>
      </c>
      <c r="K29">
        <v>0.05</v>
      </c>
      <c r="V29">
        <v>0</v>
      </c>
      <c r="W29">
        <v>0</v>
      </c>
      <c r="AT29" t="s">
        <v>2</v>
      </c>
      <c r="AU29">
        <v>3</v>
      </c>
      <c r="AV29">
        <v>2</v>
      </c>
      <c r="AW29">
        <v>0.2</v>
      </c>
      <c r="AX29" t="s">
        <v>260</v>
      </c>
    </row>
    <row r="30" x14ac:dyDescent="0.15">
      <c r="D30">
        <f t="shared" si="0"/>
        <v>29</v>
      </c>
      <c r="E30" t="s">
        <v>195</v>
      </c>
      <c r="F30">
        <v>0.98</v>
      </c>
      <c r="G30">
        <v>0.8</v>
      </c>
      <c r="H30">
        <v>0.7</v>
      </c>
      <c r="I30">
        <v>0.7</v>
      </c>
      <c r="J30">
        <v>0.7</v>
      </c>
      <c r="K30">
        <v>0.05</v>
      </c>
      <c r="V30">
        <v>0</v>
      </c>
      <c r="W30">
        <v>0</v>
      </c>
      <c r="AT30" t="s">
        <v>2</v>
      </c>
      <c r="AU30">
        <v>3</v>
      </c>
      <c r="AV30">
        <v>1</v>
      </c>
      <c r="AW30">
        <v>0.1</v>
      </c>
      <c r="AX30" t="s">
        <v>261</v>
      </c>
    </row>
    <row r="31" x14ac:dyDescent="0.15">
      <c r="D31">
        <f t="shared" si="0"/>
        <v>30</v>
      </c>
      <c r="E31" t="s">
        <v>196</v>
      </c>
      <c r="F31">
        <v>0.98</v>
      </c>
      <c r="G31">
        <v>0.8</v>
      </c>
      <c r="H31">
        <v>0.4</v>
      </c>
      <c r="I31">
        <v>0.4</v>
      </c>
      <c r="J31">
        <v>0.4</v>
      </c>
      <c r="K31">
        <v>0.05</v>
      </c>
      <c r="V31">
        <v>0</v>
      </c>
      <c r="W31">
        <v>0</v>
      </c>
      <c r="AT31" t="s">
        <v>2</v>
      </c>
      <c r="AU31">
        <v>3</v>
      </c>
      <c r="AV31">
        <v>0</v>
      </c>
      <c r="AW31">
        <v>0</v>
      </c>
      <c r="AX31" t="s">
        <v>255</v>
      </c>
    </row>
    <row r="32" x14ac:dyDescent="0.15">
      <c r="D32">
        <f t="shared" si="0"/>
        <v>31</v>
      </c>
      <c r="E32" t="s">
        <v>197</v>
      </c>
      <c r="F32">
        <v>0.98</v>
      </c>
      <c r="G32">
        <v>0.3</v>
      </c>
      <c r="H32">
        <v>0.4</v>
      </c>
      <c r="I32">
        <v>0.4</v>
      </c>
      <c r="J32">
        <v>0.4</v>
      </c>
      <c r="K32">
        <v>0.05</v>
      </c>
      <c r="V32">
        <v>0</v>
      </c>
      <c r="W32">
        <v>0</v>
      </c>
      <c r="AT32" t="s">
        <v>262</v>
      </c>
      <c r="AU32">
        <v>4</v>
      </c>
      <c r="AV32">
        <v>9</v>
      </c>
      <c r="AW32">
        <v>0</v>
      </c>
      <c r="AX32" t="s">
        <v>246</v>
      </c>
    </row>
    <row r="33" x14ac:dyDescent="0.15">
      <c r="D33">
        <f t="shared" si="0"/>
        <v>32</v>
      </c>
      <c r="E33" t="s">
        <v>198</v>
      </c>
      <c r="F33">
        <v>0.98</v>
      </c>
      <c r="G33">
        <v>0.8</v>
      </c>
      <c r="H33">
        <v>0.5</v>
      </c>
      <c r="I33">
        <v>0.5</v>
      </c>
      <c r="J33">
        <v>0.5</v>
      </c>
      <c r="K33">
        <v>0.05</v>
      </c>
      <c r="V33">
        <v>0</v>
      </c>
      <c r="W33">
        <v>0</v>
      </c>
      <c r="AT33" t="s">
        <v>262</v>
      </c>
      <c r="AU33">
        <v>4</v>
      </c>
      <c r="AV33">
        <v>8</v>
      </c>
      <c r="AW33">
        <v>0.8</v>
      </c>
      <c r="AX33" t="s">
        <v>263</v>
      </c>
    </row>
    <row r="34" x14ac:dyDescent="0.15">
      <c r="D34">
        <f t="shared" si="0"/>
        <v>33</v>
      </c>
      <c r="E34" t="s">
        <v>199</v>
      </c>
      <c r="F34">
        <v>0.98</v>
      </c>
      <c r="G34">
        <v>0.5</v>
      </c>
      <c r="H34">
        <v>0.7</v>
      </c>
      <c r="I34">
        <v>0.7</v>
      </c>
      <c r="J34">
        <v>0.7</v>
      </c>
      <c r="K34">
        <v>0.05</v>
      </c>
      <c r="V34">
        <v>0</v>
      </c>
      <c r="W34">
        <v>0</v>
      </c>
      <c r="AT34" t="s">
        <v>262</v>
      </c>
      <c r="AU34">
        <v>4</v>
      </c>
      <c r="AV34">
        <v>7</v>
      </c>
      <c r="AW34">
        <v>0.8</v>
      </c>
      <c r="AX34" t="s">
        <v>256</v>
      </c>
    </row>
    <row r="35" x14ac:dyDescent="0.15">
      <c r="D35">
        <f t="shared" si="0"/>
        <v>34</v>
      </c>
      <c r="E35" t="s">
        <v>200</v>
      </c>
      <c r="F35">
        <v>0.98</v>
      </c>
      <c r="G35">
        <v>0.5</v>
      </c>
      <c r="H35">
        <v>0.2</v>
      </c>
      <c r="I35">
        <v>0.2</v>
      </c>
      <c r="J35">
        <v>0.2</v>
      </c>
      <c r="K35">
        <v>0.05</v>
      </c>
      <c r="V35">
        <v>0</v>
      </c>
      <c r="W35">
        <v>0</v>
      </c>
      <c r="AT35" t="s">
        <v>262</v>
      </c>
      <c r="AU35">
        <v>4</v>
      </c>
      <c r="AV35">
        <v>6</v>
      </c>
      <c r="AW35">
        <v>0.8</v>
      </c>
      <c r="AX35" t="s">
        <v>264</v>
      </c>
    </row>
    <row r="36" x14ac:dyDescent="0.15">
      <c r="D36">
        <f t="shared" si="0"/>
        <v>35</v>
      </c>
      <c r="E36" t="s">
        <v>201</v>
      </c>
      <c r="F36">
        <v>0.98</v>
      </c>
      <c r="G36">
        <v>0.5</v>
      </c>
      <c r="H36">
        <v>0.4</v>
      </c>
      <c r="I36">
        <v>0.4</v>
      </c>
      <c r="J36">
        <v>0.4</v>
      </c>
      <c r="K36">
        <v>0.05</v>
      </c>
      <c r="V36">
        <v>0</v>
      </c>
      <c r="W36">
        <v>0</v>
      </c>
      <c r="AT36" t="s">
        <v>262</v>
      </c>
      <c r="AU36">
        <v>4</v>
      </c>
      <c r="AV36">
        <v>5</v>
      </c>
      <c r="AW36">
        <v>0.7</v>
      </c>
      <c r="AX36" t="s">
        <v>265</v>
      </c>
    </row>
    <row r="37" x14ac:dyDescent="0.15">
      <c r="D37">
        <f t="shared" si="0"/>
        <v>36</v>
      </c>
      <c r="E37" t="s">
        <v>202</v>
      </c>
      <c r="F37">
        <v>0.98</v>
      </c>
      <c r="G37">
        <v>0.8</v>
      </c>
      <c r="H37">
        <v>0.4</v>
      </c>
      <c r="I37">
        <v>0.6</v>
      </c>
      <c r="J37">
        <v>0.6</v>
      </c>
      <c r="K37">
        <v>0.05</v>
      </c>
      <c r="V37">
        <v>0</v>
      </c>
      <c r="W37">
        <v>0</v>
      </c>
      <c r="AT37" t="s">
        <v>262</v>
      </c>
      <c r="AU37">
        <v>4</v>
      </c>
      <c r="AV37">
        <v>4</v>
      </c>
      <c r="AW37">
        <v>0.6</v>
      </c>
      <c r="AX37" t="s">
        <v>266</v>
      </c>
    </row>
    <row r="38" x14ac:dyDescent="0.15">
      <c r="D38">
        <f t="shared" si="0"/>
        <v>37</v>
      </c>
      <c r="E38" t="s">
        <v>203</v>
      </c>
      <c r="F38">
        <v>0.98</v>
      </c>
      <c r="G38">
        <v>0.8</v>
      </c>
      <c r="H38">
        <v>0.4</v>
      </c>
      <c r="I38">
        <v>0.4</v>
      </c>
      <c r="J38">
        <v>0.4</v>
      </c>
      <c r="K38">
        <v>0.05</v>
      </c>
      <c r="V38">
        <v>0</v>
      </c>
      <c r="W38">
        <v>0</v>
      </c>
      <c r="AT38" t="s">
        <v>262</v>
      </c>
      <c r="AU38">
        <v>4</v>
      </c>
      <c r="AV38">
        <v>3</v>
      </c>
      <c r="AW38">
        <v>0.5</v>
      </c>
      <c r="AX38" t="s">
        <v>267</v>
      </c>
    </row>
    <row r="39" x14ac:dyDescent="0.15">
      <c r="D39">
        <f t="shared" si="0"/>
        <v>38</v>
      </c>
      <c r="E39" t="s">
        <v>204</v>
      </c>
      <c r="F39">
        <v>0.98</v>
      </c>
      <c r="G39">
        <v>0.8</v>
      </c>
      <c r="H39">
        <v>0.4</v>
      </c>
      <c r="I39">
        <v>0.4</v>
      </c>
      <c r="J39">
        <v>0.4</v>
      </c>
      <c r="K39">
        <v>0.05</v>
      </c>
      <c r="V39">
        <v>0</v>
      </c>
      <c r="W39">
        <v>0</v>
      </c>
      <c r="AT39" t="s">
        <v>262</v>
      </c>
      <c r="AU39">
        <v>4</v>
      </c>
      <c r="AV39">
        <v>2</v>
      </c>
      <c r="AW39">
        <v>0.3</v>
      </c>
      <c r="AX39" t="s">
        <v>268</v>
      </c>
    </row>
    <row r="40" x14ac:dyDescent="0.15">
      <c r="D40">
        <f t="shared" si="0"/>
        <v>39</v>
      </c>
      <c r="E40" t="s">
        <v>205</v>
      </c>
      <c r="F40">
        <v>0.98</v>
      </c>
      <c r="G40">
        <v>0.3</v>
      </c>
      <c r="H40">
        <v>0.2</v>
      </c>
      <c r="I40">
        <v>0.2</v>
      </c>
      <c r="J40">
        <v>0.2</v>
      </c>
      <c r="K40">
        <v>0.05</v>
      </c>
      <c r="V40">
        <v>0</v>
      </c>
      <c r="W40">
        <v>0</v>
      </c>
      <c r="AT40" t="s">
        <v>262</v>
      </c>
      <c r="AU40">
        <v>4</v>
      </c>
      <c r="AV40">
        <v>1</v>
      </c>
      <c r="AW40">
        <v>0.1</v>
      </c>
      <c r="AX40" t="s">
        <v>269</v>
      </c>
    </row>
    <row r="41" x14ac:dyDescent="0.15">
      <c r="D41">
        <f t="shared" si="0"/>
        <v>40</v>
      </c>
      <c r="E41" t="s">
        <v>206</v>
      </c>
      <c r="F41">
        <v>0.98</v>
      </c>
      <c r="G41">
        <v>0.3</v>
      </c>
      <c r="H41">
        <v>0.4</v>
      </c>
      <c r="I41">
        <v>0.4</v>
      </c>
      <c r="J41">
        <v>0.4</v>
      </c>
      <c r="K41">
        <v>0.05</v>
      </c>
      <c r="V41">
        <v>0</v>
      </c>
      <c r="W41">
        <v>0</v>
      </c>
      <c r="AT41" t="s">
        <v>262</v>
      </c>
      <c r="AU41">
        <v>4</v>
      </c>
      <c r="AV41">
        <v>0</v>
      </c>
      <c r="AW41">
        <v>0</v>
      </c>
      <c r="AX41" t="s">
        <v>255</v>
      </c>
    </row>
    <row r="42" x14ac:dyDescent="0.15">
      <c r="D42">
        <f t="shared" si="0"/>
        <v>41</v>
      </c>
      <c r="E42" t="s">
        <v>207</v>
      </c>
      <c r="F42">
        <v>0.98</v>
      </c>
      <c r="G42">
        <v>0.3</v>
      </c>
      <c r="H42">
        <v>0.5</v>
      </c>
      <c r="I42">
        <v>0.5</v>
      </c>
      <c r="J42">
        <v>0.5</v>
      </c>
      <c r="K42">
        <v>0.05</v>
      </c>
      <c r="V42">
        <v>0</v>
      </c>
      <c r="W42">
        <v>0</v>
      </c>
      <c r="AT42" t="s">
        <v>270</v>
      </c>
      <c r="AU42">
        <v>5</v>
      </c>
      <c r="AV42">
        <v>9</v>
      </c>
      <c r="AW42">
        <v>0</v>
      </c>
      <c r="AX42" t="s">
        <v>246</v>
      </c>
    </row>
    <row r="43" x14ac:dyDescent="0.15">
      <c r="D43">
        <f t="shared" si="0"/>
        <v>42</v>
      </c>
      <c r="E43" t="s">
        <v>208</v>
      </c>
      <c r="F43">
        <v>0.98</v>
      </c>
      <c r="G43">
        <v>0.3</v>
      </c>
      <c r="H43">
        <v>0.4</v>
      </c>
      <c r="I43">
        <v>0.4</v>
      </c>
      <c r="J43">
        <v>0.4</v>
      </c>
      <c r="K43">
        <v>0.05</v>
      </c>
      <c r="V43">
        <v>0</v>
      </c>
      <c r="W43">
        <v>0</v>
      </c>
      <c r="AT43" t="s">
        <v>270</v>
      </c>
      <c r="AU43">
        <v>5</v>
      </c>
      <c r="AV43">
        <v>8</v>
      </c>
      <c r="AW43">
        <v>0.7</v>
      </c>
      <c r="AX43" t="s">
        <v>249</v>
      </c>
    </row>
    <row r="44" x14ac:dyDescent="0.15">
      <c r="D44">
        <f t="shared" si="0"/>
        <v>43</v>
      </c>
      <c r="E44" t="s">
        <v>209</v>
      </c>
      <c r="F44">
        <v>0.98</v>
      </c>
      <c r="G44">
        <v>0.3</v>
      </c>
      <c r="H44">
        <v>0.4</v>
      </c>
      <c r="I44">
        <v>0.4</v>
      </c>
      <c r="J44">
        <v>0.4</v>
      </c>
      <c r="K44">
        <v>0.05</v>
      </c>
      <c r="V44">
        <v>0</v>
      </c>
      <c r="W44">
        <v>0</v>
      </c>
      <c r="AT44" t="s">
        <v>270</v>
      </c>
      <c r="AU44">
        <v>5</v>
      </c>
      <c r="AV44">
        <v>7</v>
      </c>
      <c r="AW44">
        <v>0.7</v>
      </c>
      <c r="AX44" t="s">
        <v>256</v>
      </c>
    </row>
    <row r="45" x14ac:dyDescent="0.15">
      <c r="D45">
        <f t="shared" si="0"/>
        <v>44</v>
      </c>
      <c r="E45" t="s">
        <v>210</v>
      </c>
      <c r="F45">
        <v>0.98</v>
      </c>
      <c r="G45">
        <v>0.8</v>
      </c>
      <c r="H45">
        <v>0.4</v>
      </c>
      <c r="I45">
        <v>0.2</v>
      </c>
      <c r="J45">
        <v>0.4</v>
      </c>
      <c r="K45">
        <v>0.05</v>
      </c>
      <c r="V45">
        <v>0</v>
      </c>
      <c r="W45">
        <v>0</v>
      </c>
      <c r="AT45" t="s">
        <v>270</v>
      </c>
      <c r="AU45">
        <v>5</v>
      </c>
      <c r="AV45">
        <v>6</v>
      </c>
      <c r="AW45">
        <v>0.8</v>
      </c>
      <c r="AX45" t="s">
        <v>271</v>
      </c>
    </row>
    <row r="46" x14ac:dyDescent="0.15">
      <c r="D46">
        <f t="shared" si="0"/>
        <v>45</v>
      </c>
      <c r="E46" t="s">
        <v>211</v>
      </c>
      <c r="F46">
        <v>0.98</v>
      </c>
      <c r="G46">
        <v>0.3</v>
      </c>
      <c r="H46">
        <v>0.3</v>
      </c>
      <c r="I46">
        <v>0.3</v>
      </c>
      <c r="J46">
        <v>0.3</v>
      </c>
      <c r="K46">
        <v>0.05</v>
      </c>
      <c r="V46">
        <v>0</v>
      </c>
      <c r="W46">
        <v>0</v>
      </c>
      <c r="AT46" t="s">
        <v>270</v>
      </c>
      <c r="AU46">
        <v>5</v>
      </c>
      <c r="AV46">
        <v>5</v>
      </c>
      <c r="AW46">
        <v>0.7</v>
      </c>
      <c r="AX46" t="s">
        <v>272</v>
      </c>
    </row>
    <row r="47" x14ac:dyDescent="0.15">
      <c r="D47">
        <f t="shared" si="0"/>
        <v>46</v>
      </c>
      <c r="E47" t="s">
        <v>212</v>
      </c>
      <c r="F47">
        <v>0.98</v>
      </c>
      <c r="G47">
        <v>0.1</v>
      </c>
      <c r="H47">
        <v>0.1</v>
      </c>
      <c r="I47">
        <v>0.1</v>
      </c>
      <c r="J47">
        <v>0.1</v>
      </c>
      <c r="K47">
        <v>0.05</v>
      </c>
      <c r="V47">
        <v>0</v>
      </c>
      <c r="W47">
        <v>0</v>
      </c>
      <c r="AT47" t="s">
        <v>270</v>
      </c>
      <c r="AU47">
        <v>5</v>
      </c>
      <c r="AV47">
        <v>4</v>
      </c>
      <c r="AW47">
        <v>0.5</v>
      </c>
      <c r="AX47" t="s">
        <v>273</v>
      </c>
    </row>
    <row r="48" x14ac:dyDescent="0.15">
      <c r="D48">
        <f t="shared" si="0"/>
        <v>47</v>
      </c>
      <c r="E48" t="s">
        <v>213</v>
      </c>
      <c r="F48">
        <v>0.98</v>
      </c>
      <c r="G48">
        <v>0.1</v>
      </c>
      <c r="H48">
        <v>0.1</v>
      </c>
      <c r="I48">
        <v>0.1</v>
      </c>
      <c r="J48">
        <v>0.1</v>
      </c>
      <c r="K48">
        <v>0.05</v>
      </c>
      <c r="V48">
        <v>0</v>
      </c>
      <c r="W48">
        <v>0</v>
      </c>
      <c r="AT48" t="s">
        <v>270</v>
      </c>
      <c r="AU48">
        <v>5</v>
      </c>
      <c r="AV48">
        <v>3</v>
      </c>
      <c r="AW48">
        <v>0.4</v>
      </c>
      <c r="AX48" t="s">
        <v>274</v>
      </c>
    </row>
    <row r="49" x14ac:dyDescent="0.15">
      <c r="D49">
        <f t="shared" si="0"/>
        <v>48</v>
      </c>
      <c r="E49" t="s">
        <v>214</v>
      </c>
      <c r="F49">
        <v>0.98</v>
      </c>
      <c r="G49">
        <v>0.1</v>
      </c>
      <c r="H49">
        <v>0.1</v>
      </c>
      <c r="I49">
        <v>0.1</v>
      </c>
      <c r="J49">
        <v>0.1</v>
      </c>
      <c r="K49">
        <v>0.05</v>
      </c>
      <c r="V49">
        <v>0</v>
      </c>
      <c r="W49">
        <v>0</v>
      </c>
      <c r="AT49" t="s">
        <v>270</v>
      </c>
      <c r="AU49">
        <v>5</v>
      </c>
      <c r="AV49">
        <v>2</v>
      </c>
      <c r="AW49">
        <v>0.3</v>
      </c>
      <c r="AX49" t="s">
        <v>275</v>
      </c>
    </row>
    <row r="50" x14ac:dyDescent="0.15">
      <c r="D50">
        <f t="shared" si="0"/>
        <v>49</v>
      </c>
      <c r="E50" t="s">
        <v>215</v>
      </c>
      <c r="F50">
        <v>0.98</v>
      </c>
      <c r="G50">
        <v>0.3</v>
      </c>
      <c r="H50">
        <v>0.4</v>
      </c>
      <c r="I50">
        <v>0.4</v>
      </c>
      <c r="J50">
        <v>0.4</v>
      </c>
      <c r="K50">
        <v>0.05</v>
      </c>
      <c r="V50">
        <v>0</v>
      </c>
      <c r="W50">
        <v>0</v>
      </c>
      <c r="AT50" t="s">
        <v>270</v>
      </c>
      <c r="AU50">
        <v>5</v>
      </c>
      <c r="AV50">
        <v>1</v>
      </c>
      <c r="AW50">
        <v>0.1</v>
      </c>
      <c r="AX50" t="s">
        <v>276</v>
      </c>
    </row>
    <row r="51" x14ac:dyDescent="0.15">
      <c r="D51">
        <f t="shared" si="0"/>
        <v>50</v>
      </c>
      <c r="E51" t="s">
        <v>216</v>
      </c>
      <c r="F51">
        <v>0.98</v>
      </c>
      <c r="G51">
        <v>0.3</v>
      </c>
      <c r="H51">
        <v>0.2</v>
      </c>
      <c r="I51">
        <v>0.2</v>
      </c>
      <c r="J51">
        <v>0.2</v>
      </c>
      <c r="K51">
        <v>0.05</v>
      </c>
      <c r="V51">
        <v>0</v>
      </c>
      <c r="W51">
        <v>0</v>
      </c>
      <c r="AT51" t="s">
        <v>270</v>
      </c>
      <c r="AU51">
        <v>5</v>
      </c>
      <c r="AV51">
        <v>0</v>
      </c>
      <c r="AW51">
        <v>0</v>
      </c>
      <c r="AX51" t="s">
        <v>255</v>
      </c>
    </row>
    <row r="52" x14ac:dyDescent="0.15">
      <c r="D52">
        <f t="shared" si="0"/>
        <v>51</v>
      </c>
      <c r="E52" t="s">
        <v>217</v>
      </c>
      <c r="F52">
        <v>0.98</v>
      </c>
      <c r="G52">
        <v>0.5</v>
      </c>
      <c r="H52">
        <v>0.4</v>
      </c>
      <c r="I52">
        <v>0.4</v>
      </c>
      <c r="J52">
        <v>0.4</v>
      </c>
      <c r="K52">
        <v>0.05</v>
      </c>
      <c r="V52">
        <v>0</v>
      </c>
      <c r="W52">
        <v>0</v>
      </c>
    </row>
    <row r="53" x14ac:dyDescent="0.15">
      <c r="D53">
        <f t="shared" si="0"/>
        <v>52</v>
      </c>
      <c r="E53" t="s">
        <v>218</v>
      </c>
      <c r="F53">
        <v>0.98</v>
      </c>
      <c r="G53">
        <v>0.5</v>
      </c>
      <c r="H53">
        <v>0.2</v>
      </c>
      <c r="I53">
        <v>0.8</v>
      </c>
      <c r="J53">
        <v>0.8</v>
      </c>
      <c r="K53">
        <v>0</v>
      </c>
      <c r="V53">
        <v>0</v>
      </c>
      <c r="W53">
        <v>0</v>
      </c>
    </row>
    <row r="54" x14ac:dyDescent="0.15">
      <c r="D54">
        <f t="shared" si="0"/>
        <v>53</v>
      </c>
      <c r="E54" t="s">
        <v>219</v>
      </c>
      <c r="F54">
        <v>0.98</v>
      </c>
      <c r="G54">
        <v>0.5</v>
      </c>
      <c r="H54">
        <v>0.2</v>
      </c>
      <c r="I54">
        <v>0.8</v>
      </c>
      <c r="J54">
        <v>0.8</v>
      </c>
      <c r="K54">
        <v>0</v>
      </c>
      <c r="V54">
        <v>0</v>
      </c>
      <c r="W54">
        <v>0</v>
      </c>
    </row>
    <row r="55" x14ac:dyDescent="0.15">
      <c r="D55">
        <f t="shared" si="0"/>
        <v>54</v>
      </c>
      <c r="E55" t="s">
        <v>220</v>
      </c>
      <c r="F55">
        <v>0.98</v>
      </c>
      <c r="G55">
        <v>0.1</v>
      </c>
      <c r="H55">
        <v>0.1</v>
      </c>
      <c r="I55">
        <v>0.8</v>
      </c>
      <c r="J55">
        <v>0.8</v>
      </c>
      <c r="K55">
        <v>0</v>
      </c>
      <c r="V55">
        <v>0</v>
      </c>
      <c r="W55">
        <v>0</v>
      </c>
    </row>
    <row r="56" x14ac:dyDescent="0.15">
      <c r="D56">
        <f t="shared" si="0"/>
        <v>55</v>
      </c>
      <c r="E56" t="s">
        <v>221</v>
      </c>
      <c r="F56">
        <v>0.98</v>
      </c>
      <c r="G56">
        <v>0.3</v>
      </c>
      <c r="H56">
        <v>0.1</v>
      </c>
      <c r="I56">
        <v>0.8</v>
      </c>
      <c r="J56">
        <v>0.8</v>
      </c>
      <c r="K56">
        <v>0</v>
      </c>
      <c r="V56">
        <v>0</v>
      </c>
      <c r="W56">
        <v>0</v>
      </c>
    </row>
    <row r="57" x14ac:dyDescent="0.15">
      <c r="D57">
        <f t="shared" si="0"/>
        <v>56</v>
      </c>
      <c r="E57" t="s">
        <v>71</v>
      </c>
      <c r="F57">
        <v>0.98</v>
      </c>
      <c r="G57">
        <v>0.3</v>
      </c>
      <c r="H57">
        <v>0.8</v>
      </c>
      <c r="I57">
        <v>0.8</v>
      </c>
      <c r="J57">
        <v>0.8</v>
      </c>
      <c r="K57">
        <v>0</v>
      </c>
      <c r="V57">
        <v>0</v>
      </c>
      <c r="W57">
        <v>0</v>
      </c>
    </row>
    <row r="58" x14ac:dyDescent="0.15">
      <c r="D58">
        <f t="shared" si="0"/>
        <v>57</v>
      </c>
      <c r="E58" t="s">
        <v>222</v>
      </c>
      <c r="F58">
        <v>0.98</v>
      </c>
      <c r="G58">
        <v>0.8</v>
      </c>
      <c r="H58">
        <v>0.8</v>
      </c>
      <c r="I58">
        <v>0.8</v>
      </c>
      <c r="J58">
        <v>0.8</v>
      </c>
      <c r="K58">
        <v>0</v>
      </c>
      <c r="V58">
        <v>0</v>
      </c>
      <c r="W58">
        <v>0</v>
      </c>
    </row>
    <row r="59" x14ac:dyDescent="0.15">
      <c r="D59">
        <f t="shared" si="0"/>
        <v>58</v>
      </c>
      <c r="E59" t="s">
        <v>72</v>
      </c>
      <c r="F59">
        <v>0.98</v>
      </c>
      <c r="G59">
        <v>0.3</v>
      </c>
      <c r="H59">
        <v>0.8</v>
      </c>
      <c r="I59">
        <v>0.8</v>
      </c>
      <c r="J59">
        <v>0.8</v>
      </c>
      <c r="K59">
        <v>0</v>
      </c>
      <c r="V59">
        <v>0</v>
      </c>
      <c r="W59">
        <v>0</v>
      </c>
    </row>
    <row r="60" x14ac:dyDescent="0.15">
      <c r="J60"/>
      <c r="K60"/>
    </row>
    <row r="61" x14ac:dyDescent="0.15">
      <c r="J61"/>
      <c r="K61"/>
    </row>
    <row r="62" x14ac:dyDescent="0.15">
      <c r="J62"/>
      <c r="K62"/>
    </row>
    <row r="63" x14ac:dyDescent="0.15">
      <c r="J63"/>
      <c r="K63"/>
    </row>
    <row r="64" x14ac:dyDescent="0.15">
      <c r="J64"/>
      <c r="K64"/>
    </row>
    <row r="65" x14ac:dyDescent="0.15">
      <c r="J65"/>
      <c r="K65"/>
    </row>
    <row r="66" x14ac:dyDescent="0.15">
      <c r="J66"/>
      <c r="K66"/>
    </row>
    <row r="67" x14ac:dyDescent="0.15">
      <c r="J67"/>
      <c r="K67"/>
    </row>
    <row r="68" x14ac:dyDescent="0.15">
      <c r="J68"/>
      <c r="K68"/>
    </row>
    <row r="69" x14ac:dyDescent="0.15">
      <c r="J69"/>
      <c r="K69"/>
    </row>
    <row r="70" x14ac:dyDescent="0.15">
      <c r="J70"/>
      <c r="K70"/>
    </row>
    <row r="71" x14ac:dyDescent="0.15">
      <c r="J71"/>
      <c r="K71"/>
    </row>
    <row r="72" x14ac:dyDescent="0.15">
      <c r="J72"/>
      <c r="K72"/>
    </row>
    <row r="73" x14ac:dyDescent="0.15">
      <c r="J73"/>
      <c r="K73"/>
    </row>
    <row r="74" x14ac:dyDescent="0.15">
      <c r="J74"/>
      <c r="K74"/>
    </row>
    <row r="75" x14ac:dyDescent="0.15">
      <c r="J75"/>
      <c r="K75"/>
    </row>
    <row r="76" x14ac:dyDescent="0.15">
      <c r="J76"/>
      <c r="K76"/>
    </row>
    <row r="77" x14ac:dyDescent="0.15">
      <c r="J77"/>
      <c r="K77"/>
    </row>
    <row r="78" x14ac:dyDescent="0.15">
      <c r="J78"/>
      <c r="K78"/>
    </row>
    <row r="79" x14ac:dyDescent="0.15">
      <c r="J79"/>
      <c r="K79"/>
    </row>
    <row r="80" x14ac:dyDescent="0.15">
      <c r="J80"/>
      <c r="K80"/>
    </row>
    <row r="81" x14ac:dyDescent="0.15">
      <c r="J81"/>
      <c r="K81"/>
    </row>
    <row r="82" x14ac:dyDescent="0.15">
      <c r="J82"/>
      <c r="K82"/>
    </row>
    <row r="83" x14ac:dyDescent="0.15">
      <c r="J83"/>
      <c r="K83"/>
    </row>
    <row r="84" x14ac:dyDescent="0.15">
      <c r="J84"/>
      <c r="K84"/>
    </row>
    <row r="85" ht="15" customHeight="true" x14ac:dyDescent="0.15"/>
    <row r="86" ht="15" customHeight="true" x14ac:dyDescent="0.15"/>
    <row r="87" ht="15" customHeight="true" x14ac:dyDescent="0.15"/>
    <row r="88" ht="15" customHeight="true" x14ac:dyDescent="0.15"/>
    <row r="89" ht="15" customHeight="true" x14ac:dyDescent="0.15"/>
    <row r="90" ht="15" customHeight="true" x14ac:dyDescent="0.15"/>
    <row r="91" ht="15" customHeight="true" x14ac:dyDescent="0.15"/>
    <row r="92" ht="15" customHeight="true" x14ac:dyDescent="0.15"/>
    <row r="93" ht="15" customHeight="true" x14ac:dyDescent="0.15"/>
    <row r="94" ht="15" customHeight="true" x14ac:dyDescent="0.15"/>
    <row r="95" ht="15" customHeight="true" x14ac:dyDescent="0.15"/>
    <row r="96" ht="15" customHeight="true" x14ac:dyDescent="0.15"/>
    <row r="97" ht="15" customHeight="true" x14ac:dyDescent="0.15"/>
    <row r="98" ht="15" customHeight="true" x14ac:dyDescent="0.15"/>
    <row r="99" ht="15" customHeight="true" x14ac:dyDescent="0.15"/>
    <row r="100" ht="15" customHeight="true" x14ac:dyDescent="0.15"/>
    <row r="101" ht="15" customHeight="true" x14ac:dyDescent="0.15"/>
    <row r="102" ht="15" customHeight="true" x14ac:dyDescent="0.15"/>
    <row r="103" ht="15" customHeight="true" x14ac:dyDescent="0.15"/>
    <row r="104" ht="15" customHeight="true" x14ac:dyDescent="0.15"/>
    <row r="105" ht="15" customHeight="true" x14ac:dyDescent="0.15"/>
    <row r="106" ht="15" customHeight="true" x14ac:dyDescent="0.15"/>
    <row r="107" ht="15" customHeight="true" x14ac:dyDescent="0.15"/>
    <row r="108" ht="15" customHeight="true" x14ac:dyDescent="0.15"/>
    <row r="109" ht="15" customHeight="true" x14ac:dyDescent="0.15"/>
    <row r="110" ht="15" customHeight="true" x14ac:dyDescent="0.15"/>
    <row r="111" ht="15" customHeight="true" x14ac:dyDescent="0.15"/>
    <row r="112" ht="15" customHeight="true" x14ac:dyDescent="0.15"/>
    <row r="113" ht="15" customHeight="true" x14ac:dyDescent="0.15"/>
    <row r="114" ht="15" customHeight="true" x14ac:dyDescent="0.15"/>
    <row r="115" ht="15" customHeight="true" x14ac:dyDescent="0.15"/>
    <row r="116" ht="15" customHeight="true" x14ac:dyDescent="0.15"/>
    <row r="117" ht="15" customHeight="true" x14ac:dyDescent="0.15"/>
    <row r="118" ht="15" customHeight="true" x14ac:dyDescent="0.15"/>
    <row r="119" ht="15" customHeight="true" x14ac:dyDescent="0.15"/>
    <row r="120" ht="15" customHeight="true" x14ac:dyDescent="0.15"/>
    <row r="121" ht="15" customHeight="true" x14ac:dyDescent="0.15"/>
    <row r="122" ht="15" customHeight="true" x14ac:dyDescent="0.15"/>
    <row r="123" ht="15" customHeight="true" x14ac:dyDescent="0.15"/>
    <row r="124" ht="15" customHeight="true" x14ac:dyDescent="0.15"/>
    <row r="125" ht="15" customHeight="true" x14ac:dyDescent="0.15"/>
    <row r="126" ht="15" customHeight="true" x14ac:dyDescent="0.15"/>
    <row r="127" ht="15" customHeight="true" x14ac:dyDescent="0.15"/>
    <row r="128" ht="15" customHeight="true" x14ac:dyDescent="0.15"/>
    <row r="129" ht="15" customHeight="true" x14ac:dyDescent="0.15"/>
    <row r="130" ht="15" customHeight="true" x14ac:dyDescent="0.15"/>
    <row r="131" ht="15" customHeight="true" x14ac:dyDescent="0.15"/>
    <row r="132" ht="15" customHeight="true" x14ac:dyDescent="0.15"/>
    <row r="133" ht="15" customHeight="true" x14ac:dyDescent="0.15"/>
    <row r="134" ht="15" customHeight="true" x14ac:dyDescent="0.15"/>
    <row r="135" ht="15" customHeight="true" x14ac:dyDescent="0.15"/>
    <row r="136" ht="15" customHeight="true" x14ac:dyDescent="0.15"/>
    <row r="137" ht="15" customHeight="true" x14ac:dyDescent="0.15"/>
    <row r="138" ht="15" customHeight="true" x14ac:dyDescent="0.15"/>
    <row r="139" ht="15" customHeight="true" x14ac:dyDescent="0.15"/>
    <row r="140" ht="15" customHeight="true" x14ac:dyDescent="0.15"/>
    <row r="141" ht="15" customHeight="true" x14ac:dyDescent="0.15"/>
    <row r="142" ht="15" customHeight="true" x14ac:dyDescent="0.15"/>
    <row r="143" ht="15" customHeight="true" x14ac:dyDescent="0.15"/>
    <row r="144" ht="15" customHeight="true" x14ac:dyDescent="0.15"/>
    <row r="145" ht="15" customHeight="true" x14ac:dyDescent="0.15"/>
    <row r="146" ht="15" customHeight="true" x14ac:dyDescent="0.15"/>
    <row r="147" ht="15" customHeight="true" x14ac:dyDescent="0.15"/>
    <row r="148" ht="15" customHeight="true" x14ac:dyDescent="0.15"/>
    <row r="149" ht="15" customHeight="true" x14ac:dyDescent="0.15"/>
    <row r="150" ht="15" customHeight="true" x14ac:dyDescent="0.15"/>
    <row r="151" ht="15" customHeight="true" x14ac:dyDescent="0.15"/>
    <row r="152" ht="15" customHeight="true" x14ac:dyDescent="0.15"/>
    <row r="153" ht="15" customHeight="true" x14ac:dyDescent="0.15"/>
    <row r="154" ht="15" customHeight="true" x14ac:dyDescent="0.15"/>
    <row r="155" ht="15" customHeight="true" x14ac:dyDescent="0.15"/>
    <row r="156" ht="15" customHeight="true" x14ac:dyDescent="0.15"/>
    <row r="157" ht="15" customHeight="true" x14ac:dyDescent="0.15"/>
    <row r="158" ht="15" customHeight="true" x14ac:dyDescent="0.15"/>
    <row r="159" ht="15" customHeight="true" x14ac:dyDescent="0.15"/>
    <row r="160" ht="15" customHeight="true" x14ac:dyDescent="0.15"/>
    <row r="161" ht="15" customHeight="true" x14ac:dyDescent="0.15"/>
    <row r="162" ht="15" customHeight="true" x14ac:dyDescent="0.15"/>
    <row r="163" ht="15" customHeight="true" x14ac:dyDescent="0.15"/>
    <row r="164" ht="15" customHeight="true" x14ac:dyDescent="0.15"/>
    <row r="165" ht="15" customHeight="true" x14ac:dyDescent="0.15"/>
    <row r="166" ht="15" customHeight="true" x14ac:dyDescent="0.15"/>
    <row r="167" ht="15" customHeight="true" x14ac:dyDescent="0.15"/>
    <row r="168" ht="15" customHeight="true" x14ac:dyDescent="0.15"/>
    <row r="169" ht="15" customHeight="true" x14ac:dyDescent="0.15"/>
    <row r="170" ht="15" customHeight="true" x14ac:dyDescent="0.15"/>
    <row r="171" ht="15" customHeight="true" x14ac:dyDescent="0.15"/>
    <row r="172" ht="15" customHeight="true" x14ac:dyDescent="0.15"/>
    <row r="173" ht="15" customHeight="true" x14ac:dyDescent="0.15"/>
    <row r="174" ht="15" customHeight="true" x14ac:dyDescent="0.15"/>
    <row r="175" ht="15" customHeight="true" x14ac:dyDescent="0.15"/>
    <row r="176" ht="15" customHeight="true" x14ac:dyDescent="0.15"/>
    <row r="177" ht="15" customHeight="true" x14ac:dyDescent="0.15"/>
    <row r="178" ht="15" customHeight="true" x14ac:dyDescent="0.15"/>
    <row r="179" ht="15" customHeight="true" x14ac:dyDescent="0.15"/>
    <row r="180" ht="15" customHeight="true" x14ac:dyDescent="0.15"/>
    <row r="181" ht="15" customHeight="true" x14ac:dyDescent="0.15"/>
    <row r="182" ht="15" customHeight="true" x14ac:dyDescent="0.15"/>
    <row r="183" ht="15" customHeight="true" x14ac:dyDescent="0.15"/>
    <row r="184" ht="15" customHeight="true" x14ac:dyDescent="0.15"/>
    <row r="185" ht="15" customHeight="true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G60"/>
  <sheetViews>
    <sheetView workbookViewId="0">
      <selection activeCell="A4" sqref="A4"/>
    </sheetView>
  </sheetViews>
  <sheetFormatPr baseColWidth="10" defaultRowHeight="13" x14ac:dyDescent="0.15"/>
  <cols>
    <col min="1" max="1" width="39.83203125" bestFit="true" customWidth="true"/>
  </cols>
  <sheetData>
    <row r="1" x14ac:dyDescent="0.15">
      <c r="A1" s="4" t="s">
        <v>118</v>
      </c>
      <c r="B1" t="s">
        <v>167</v>
      </c>
      <c r="C1" t="s">
        <v>168</v>
      </c>
      <c r="D1" t="s">
        <v>169</v>
      </c>
      <c r="E1" t="s">
        <v>170</v>
      </c>
      <c r="F1" t="s">
        <v>171</v>
      </c>
      <c r="G1" t="s">
        <v>172</v>
      </c>
      <c r="H1" t="s">
        <v>173</v>
      </c>
      <c r="I1" t="s">
        <v>174</v>
      </c>
      <c r="J1" t="s">
        <v>175</v>
      </c>
      <c r="K1" t="s">
        <v>176</v>
      </c>
      <c r="L1" t="s">
        <v>177</v>
      </c>
      <c r="M1" t="s">
        <v>178</v>
      </c>
      <c r="N1" t="s">
        <v>179</v>
      </c>
      <c r="O1" t="s">
        <v>180</v>
      </c>
      <c r="P1" t="s">
        <v>181</v>
      </c>
      <c r="Q1" t="s">
        <v>182</v>
      </c>
      <c r="R1" t="s">
        <v>183</v>
      </c>
      <c r="S1" t="s">
        <v>184</v>
      </c>
      <c r="T1" t="s">
        <v>185</v>
      </c>
      <c r="U1" t="s">
        <v>186</v>
      </c>
      <c r="V1" t="s">
        <v>187</v>
      </c>
      <c r="W1" t="s">
        <v>188</v>
      </c>
      <c r="X1" t="s">
        <v>189</v>
      </c>
      <c r="Y1" t="s">
        <v>190</v>
      </c>
      <c r="Z1" t="s">
        <v>191</v>
      </c>
      <c r="AA1" t="s">
        <v>192</v>
      </c>
      <c r="AB1" t="s">
        <v>193</v>
      </c>
      <c r="AC1" t="s">
        <v>194</v>
      </c>
      <c r="AD1" t="s">
        <v>195</v>
      </c>
      <c r="AE1" t="s">
        <v>196</v>
      </c>
      <c r="AF1" t="s">
        <v>197</v>
      </c>
      <c r="AG1" t="s">
        <v>198</v>
      </c>
      <c r="AH1" t="s">
        <v>199</v>
      </c>
      <c r="AI1" t="s">
        <v>200</v>
      </c>
      <c r="AJ1" t="s">
        <v>201</v>
      </c>
      <c r="AK1" t="s">
        <v>202</v>
      </c>
      <c r="AL1" t="s">
        <v>203</v>
      </c>
      <c r="AM1" t="s">
        <v>204</v>
      </c>
      <c r="AN1" t="s">
        <v>205</v>
      </c>
      <c r="AO1" t="s">
        <v>206</v>
      </c>
      <c r="AP1" t="s">
        <v>207</v>
      </c>
      <c r="AQ1" t="s">
        <v>208</v>
      </c>
      <c r="AR1" t="s">
        <v>209</v>
      </c>
      <c r="AS1" t="s">
        <v>210</v>
      </c>
      <c r="AT1" t="s">
        <v>211</v>
      </c>
      <c r="AU1" t="s">
        <v>212</v>
      </c>
      <c r="AV1" t="s">
        <v>213</v>
      </c>
      <c r="AW1" t="s">
        <v>214</v>
      </c>
      <c r="AX1" t="s">
        <v>215</v>
      </c>
      <c r="AY1" t="s">
        <v>216</v>
      </c>
      <c r="AZ1" t="s">
        <v>217</v>
      </c>
      <c r="BA1" t="s">
        <v>218</v>
      </c>
      <c r="BB1" t="s">
        <v>219</v>
      </c>
      <c r="BC1" t="s">
        <v>220</v>
      </c>
      <c r="BD1" t="s">
        <v>221</v>
      </c>
      <c r="BE1" t="s">
        <v>71</v>
      </c>
      <c r="BF1" t="s">
        <v>222</v>
      </c>
      <c r="BG1" t="s">
        <v>72</v>
      </c>
    </row>
    <row r="2" x14ac:dyDescent="0.15">
      <c r="A2" t="s">
        <v>167</v>
      </c>
      <c r="B2">
        <v>0.3</v>
      </c>
      <c r="C2">
        <v>0.3</v>
      </c>
      <c r="D2">
        <v>0.5</v>
      </c>
      <c r="E2">
        <v>0.1</v>
      </c>
      <c r="F2">
        <v>0.3</v>
      </c>
      <c r="G2">
        <v>0.6</v>
      </c>
      <c r="H2">
        <v>0.3</v>
      </c>
      <c r="I2">
        <v>0.3</v>
      </c>
      <c r="J2">
        <v>0.6</v>
      </c>
      <c r="K2">
        <v>0.3</v>
      </c>
      <c r="L2">
        <v>0.1</v>
      </c>
      <c r="M2">
        <v>0.1</v>
      </c>
      <c r="N2">
        <v>0.1</v>
      </c>
      <c r="O2">
        <v>0.6</v>
      </c>
      <c r="P2">
        <v>0.3</v>
      </c>
      <c r="Q2">
        <v>0.3</v>
      </c>
      <c r="R2">
        <v>0.1</v>
      </c>
      <c r="S2">
        <v>0.3</v>
      </c>
      <c r="T2">
        <v>0.3</v>
      </c>
      <c r="U2">
        <v>0.6</v>
      </c>
      <c r="V2">
        <v>0.3</v>
      </c>
      <c r="W2">
        <v>0.3</v>
      </c>
      <c r="X2">
        <v>0.3</v>
      </c>
      <c r="Y2">
        <v>0.3</v>
      </c>
      <c r="Z2">
        <v>0.3</v>
      </c>
      <c r="AA2">
        <v>0.3</v>
      </c>
      <c r="AB2">
        <v>0.3</v>
      </c>
      <c r="AC2">
        <v>0.3</v>
      </c>
      <c r="AD2">
        <v>0.3</v>
      </c>
      <c r="AE2">
        <v>0.3</v>
      </c>
      <c r="AF2">
        <v>0.3</v>
      </c>
      <c r="AG2">
        <v>0.3</v>
      </c>
      <c r="AH2">
        <v>0.6</v>
      </c>
      <c r="AI2">
        <v>0.3</v>
      </c>
      <c r="AJ2">
        <v>0.5</v>
      </c>
      <c r="AK2">
        <v>0.5</v>
      </c>
      <c r="AL2">
        <v>0.5</v>
      </c>
      <c r="AM2">
        <v>0.3</v>
      </c>
      <c r="AN2">
        <v>0.3</v>
      </c>
      <c r="AO2">
        <v>0.5</v>
      </c>
      <c r="AP2">
        <v>0.3</v>
      </c>
      <c r="AQ2">
        <v>0.3</v>
      </c>
      <c r="AR2">
        <v>0.3</v>
      </c>
      <c r="AS2">
        <v>0.5</v>
      </c>
      <c r="AT2">
        <v>0.3</v>
      </c>
      <c r="AU2">
        <v>0.1</v>
      </c>
      <c r="AV2">
        <v>0.1</v>
      </c>
      <c r="AW2">
        <v>0.1</v>
      </c>
      <c r="AX2">
        <v>0.3</v>
      </c>
      <c r="AY2">
        <v>0.3</v>
      </c>
      <c r="AZ2">
        <v>0.5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</row>
    <row r="3" x14ac:dyDescent="0.15">
      <c r="A3" t="s">
        <v>168</v>
      </c>
      <c r="B3">
        <v>0.3</v>
      </c>
      <c r="C3">
        <v>0.3</v>
      </c>
      <c r="D3">
        <v>0.5</v>
      </c>
      <c r="E3">
        <v>0.1</v>
      </c>
      <c r="F3">
        <v>0.3</v>
      </c>
      <c r="G3">
        <v>0.6</v>
      </c>
      <c r="H3">
        <v>0.3</v>
      </c>
      <c r="I3">
        <v>0.3</v>
      </c>
      <c r="J3">
        <v>0.6</v>
      </c>
      <c r="K3">
        <v>0.3</v>
      </c>
      <c r="L3">
        <v>0.1</v>
      </c>
      <c r="M3">
        <v>0.1</v>
      </c>
      <c r="N3">
        <v>0.1</v>
      </c>
      <c r="O3">
        <v>0.6</v>
      </c>
      <c r="P3">
        <v>0.3</v>
      </c>
      <c r="Q3">
        <v>0.3</v>
      </c>
      <c r="R3">
        <v>0.1</v>
      </c>
      <c r="S3">
        <v>0.3</v>
      </c>
      <c r="T3">
        <v>0.3</v>
      </c>
      <c r="U3">
        <v>0.6</v>
      </c>
      <c r="V3">
        <v>0.3</v>
      </c>
      <c r="W3">
        <v>0.3</v>
      </c>
      <c r="X3">
        <v>0.3</v>
      </c>
      <c r="Y3">
        <v>0.3</v>
      </c>
      <c r="Z3">
        <v>0.3</v>
      </c>
      <c r="AA3">
        <v>0.3</v>
      </c>
      <c r="AB3">
        <v>0.3</v>
      </c>
      <c r="AC3">
        <v>0.3</v>
      </c>
      <c r="AD3">
        <v>0.3</v>
      </c>
      <c r="AE3">
        <v>0.3</v>
      </c>
      <c r="AF3">
        <v>0.3</v>
      </c>
      <c r="AG3">
        <v>0.3</v>
      </c>
      <c r="AH3">
        <v>0.6</v>
      </c>
      <c r="AI3">
        <v>0.3</v>
      </c>
      <c r="AJ3">
        <v>0.5</v>
      </c>
      <c r="AK3">
        <v>0.5</v>
      </c>
      <c r="AL3">
        <v>0.5</v>
      </c>
      <c r="AM3">
        <v>0.3</v>
      </c>
      <c r="AN3">
        <v>0.3</v>
      </c>
      <c r="AO3">
        <v>0.5</v>
      </c>
      <c r="AP3">
        <v>0.3</v>
      </c>
      <c r="AQ3">
        <v>0.3</v>
      </c>
      <c r="AR3">
        <v>0.3</v>
      </c>
      <c r="AS3">
        <v>0.5</v>
      </c>
      <c r="AT3">
        <v>0.3</v>
      </c>
      <c r="AU3">
        <v>0.1</v>
      </c>
      <c r="AV3">
        <v>0.1</v>
      </c>
      <c r="AW3">
        <v>0.1</v>
      </c>
      <c r="AX3">
        <v>0.3</v>
      </c>
      <c r="AY3">
        <v>0.3</v>
      </c>
      <c r="AZ3">
        <v>0.5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</row>
    <row r="4" x14ac:dyDescent="0.15">
      <c r="A4" t="s">
        <v>169</v>
      </c>
      <c r="B4">
        <v>0.3</v>
      </c>
      <c r="C4">
        <v>0.3</v>
      </c>
      <c r="D4">
        <v>0.5</v>
      </c>
      <c r="E4">
        <v>0.1</v>
      </c>
      <c r="F4">
        <v>0.3</v>
      </c>
      <c r="G4">
        <v>0.6</v>
      </c>
      <c r="H4">
        <v>0.3</v>
      </c>
      <c r="I4">
        <v>0.3</v>
      </c>
      <c r="J4">
        <v>0.6</v>
      </c>
      <c r="K4">
        <v>0.3</v>
      </c>
      <c r="L4">
        <v>0.1</v>
      </c>
      <c r="M4">
        <v>0.1</v>
      </c>
      <c r="N4">
        <v>0.1</v>
      </c>
      <c r="O4">
        <v>0.6</v>
      </c>
      <c r="P4">
        <v>0.3</v>
      </c>
      <c r="Q4">
        <v>0.3</v>
      </c>
      <c r="R4">
        <v>0.1</v>
      </c>
      <c r="S4">
        <v>0.3</v>
      </c>
      <c r="T4">
        <v>0.3</v>
      </c>
      <c r="U4">
        <v>0.6</v>
      </c>
      <c r="V4">
        <v>0.3</v>
      </c>
      <c r="W4">
        <v>0.3</v>
      </c>
      <c r="X4">
        <v>0.3</v>
      </c>
      <c r="Y4">
        <v>0.3</v>
      </c>
      <c r="Z4">
        <v>0.3</v>
      </c>
      <c r="AA4">
        <v>0.3</v>
      </c>
      <c r="AB4">
        <v>0.3</v>
      </c>
      <c r="AC4">
        <v>0.3</v>
      </c>
      <c r="AD4">
        <v>0.3</v>
      </c>
      <c r="AE4">
        <v>0.3</v>
      </c>
      <c r="AF4">
        <v>0.3</v>
      </c>
      <c r="AG4">
        <v>0.3</v>
      </c>
      <c r="AH4">
        <v>0.6</v>
      </c>
      <c r="AI4">
        <v>0.3</v>
      </c>
      <c r="AJ4">
        <v>0.5</v>
      </c>
      <c r="AK4">
        <v>0.5</v>
      </c>
      <c r="AL4">
        <v>0.5</v>
      </c>
      <c r="AM4">
        <v>0.3</v>
      </c>
      <c r="AN4">
        <v>0.3</v>
      </c>
      <c r="AO4">
        <v>0.5</v>
      </c>
      <c r="AP4">
        <v>0.3</v>
      </c>
      <c r="AQ4">
        <v>0.3</v>
      </c>
      <c r="AR4">
        <v>0.3</v>
      </c>
      <c r="AS4">
        <v>0.5</v>
      </c>
      <c r="AT4">
        <v>0.3</v>
      </c>
      <c r="AU4">
        <v>0.1</v>
      </c>
      <c r="AV4">
        <v>0.1</v>
      </c>
      <c r="AW4">
        <v>0.1</v>
      </c>
      <c r="AX4">
        <v>0.3</v>
      </c>
      <c r="AY4">
        <v>0.3</v>
      </c>
      <c r="AZ4">
        <v>0.5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</row>
    <row r="5" x14ac:dyDescent="0.15">
      <c r="A5" t="s">
        <v>170</v>
      </c>
      <c r="B5">
        <v>0.3</v>
      </c>
      <c r="C5">
        <v>0.3</v>
      </c>
      <c r="D5">
        <v>0.5</v>
      </c>
      <c r="E5">
        <v>0.1</v>
      </c>
      <c r="F5">
        <v>0.3</v>
      </c>
      <c r="G5">
        <v>0.6</v>
      </c>
      <c r="H5">
        <v>0.3</v>
      </c>
      <c r="I5">
        <v>0.3</v>
      </c>
      <c r="J5">
        <v>0.6</v>
      </c>
      <c r="K5">
        <v>0.3</v>
      </c>
      <c r="L5">
        <v>0.1</v>
      </c>
      <c r="M5">
        <v>0.1</v>
      </c>
      <c r="N5">
        <v>0.1</v>
      </c>
      <c r="O5">
        <v>0.6</v>
      </c>
      <c r="P5">
        <v>0.3</v>
      </c>
      <c r="Q5">
        <v>0.3</v>
      </c>
      <c r="R5">
        <v>0.1</v>
      </c>
      <c r="S5">
        <v>0.3</v>
      </c>
      <c r="T5">
        <v>0.3</v>
      </c>
      <c r="U5">
        <v>0.6</v>
      </c>
      <c r="V5">
        <v>0.3</v>
      </c>
      <c r="W5">
        <v>0.3</v>
      </c>
      <c r="X5">
        <v>0.3</v>
      </c>
      <c r="Y5">
        <v>0.3</v>
      </c>
      <c r="Z5">
        <v>0.3</v>
      </c>
      <c r="AA5">
        <v>0.3</v>
      </c>
      <c r="AB5">
        <v>0.3</v>
      </c>
      <c r="AC5">
        <v>0.3</v>
      </c>
      <c r="AD5">
        <v>0.3</v>
      </c>
      <c r="AE5">
        <v>0.3</v>
      </c>
      <c r="AF5">
        <v>0.3</v>
      </c>
      <c r="AG5">
        <v>0.3</v>
      </c>
      <c r="AH5">
        <v>0.6</v>
      </c>
      <c r="AI5">
        <v>0.3</v>
      </c>
      <c r="AJ5">
        <v>0.5</v>
      </c>
      <c r="AK5">
        <v>0.5</v>
      </c>
      <c r="AL5">
        <v>0.5</v>
      </c>
      <c r="AM5">
        <v>0.3</v>
      </c>
      <c r="AN5">
        <v>0.3</v>
      </c>
      <c r="AO5">
        <v>0.5</v>
      </c>
      <c r="AP5">
        <v>0.3</v>
      </c>
      <c r="AQ5">
        <v>0.3</v>
      </c>
      <c r="AR5">
        <v>0.3</v>
      </c>
      <c r="AS5">
        <v>0.5</v>
      </c>
      <c r="AT5">
        <v>0.3</v>
      </c>
      <c r="AU5">
        <v>0.1</v>
      </c>
      <c r="AV5">
        <v>0.1</v>
      </c>
      <c r="AW5">
        <v>0.1</v>
      </c>
      <c r="AX5">
        <v>0.3</v>
      </c>
      <c r="AY5">
        <v>0.3</v>
      </c>
      <c r="AZ5">
        <v>0.5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</row>
    <row r="6" x14ac:dyDescent="0.15">
      <c r="A6" t="s">
        <v>171</v>
      </c>
      <c r="B6">
        <v>0.3</v>
      </c>
      <c r="C6">
        <v>0.3</v>
      </c>
      <c r="D6">
        <v>0.5</v>
      </c>
      <c r="E6">
        <v>0.1</v>
      </c>
      <c r="F6">
        <v>0.3</v>
      </c>
      <c r="G6">
        <v>0.6</v>
      </c>
      <c r="H6">
        <v>0.3</v>
      </c>
      <c r="I6">
        <v>0.3</v>
      </c>
      <c r="J6">
        <v>0.6</v>
      </c>
      <c r="K6">
        <v>0.3</v>
      </c>
      <c r="L6">
        <v>0.1</v>
      </c>
      <c r="M6">
        <v>0.1</v>
      </c>
      <c r="N6">
        <v>0.1</v>
      </c>
      <c r="O6">
        <v>0.6</v>
      </c>
      <c r="P6">
        <v>0.3</v>
      </c>
      <c r="Q6">
        <v>0.3</v>
      </c>
      <c r="R6">
        <v>0.1</v>
      </c>
      <c r="S6">
        <v>0.3</v>
      </c>
      <c r="T6">
        <v>0.3</v>
      </c>
      <c r="U6">
        <v>0.6</v>
      </c>
      <c r="V6">
        <v>0.3</v>
      </c>
      <c r="W6">
        <v>0.3</v>
      </c>
      <c r="X6">
        <v>0.3</v>
      </c>
      <c r="Y6">
        <v>0.3</v>
      </c>
      <c r="Z6">
        <v>0.3</v>
      </c>
      <c r="AA6">
        <v>0.3</v>
      </c>
      <c r="AB6">
        <v>0.3</v>
      </c>
      <c r="AC6">
        <v>0.3</v>
      </c>
      <c r="AD6">
        <v>0.3</v>
      </c>
      <c r="AE6">
        <v>0.3</v>
      </c>
      <c r="AF6">
        <v>0.3</v>
      </c>
      <c r="AG6">
        <v>0.3</v>
      </c>
      <c r="AH6">
        <v>0.6</v>
      </c>
      <c r="AI6">
        <v>0.3</v>
      </c>
      <c r="AJ6">
        <v>0.5</v>
      </c>
      <c r="AK6">
        <v>0.5</v>
      </c>
      <c r="AL6">
        <v>0.5</v>
      </c>
      <c r="AM6">
        <v>0.3</v>
      </c>
      <c r="AN6">
        <v>0.3</v>
      </c>
      <c r="AO6">
        <v>0.5</v>
      </c>
      <c r="AP6">
        <v>0.3</v>
      </c>
      <c r="AQ6">
        <v>0.3</v>
      </c>
      <c r="AR6">
        <v>0.3</v>
      </c>
      <c r="AS6">
        <v>0.5</v>
      </c>
      <c r="AT6">
        <v>0.3</v>
      </c>
      <c r="AU6">
        <v>0.1</v>
      </c>
      <c r="AV6">
        <v>0.1</v>
      </c>
      <c r="AW6">
        <v>0.1</v>
      </c>
      <c r="AX6">
        <v>0.3</v>
      </c>
      <c r="AY6">
        <v>0.3</v>
      </c>
      <c r="AZ6">
        <v>0.5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</row>
    <row r="7" x14ac:dyDescent="0.15">
      <c r="A7" t="s">
        <v>172</v>
      </c>
      <c r="B7">
        <v>0.3</v>
      </c>
      <c r="C7">
        <v>0.3</v>
      </c>
      <c r="D7">
        <v>0.5</v>
      </c>
      <c r="E7">
        <v>0.1</v>
      </c>
      <c r="F7">
        <v>0.3</v>
      </c>
      <c r="G7">
        <v>0.6</v>
      </c>
      <c r="H7">
        <v>0.3</v>
      </c>
      <c r="I7">
        <v>0.3</v>
      </c>
      <c r="J7">
        <v>0.6</v>
      </c>
      <c r="K7">
        <v>0.3</v>
      </c>
      <c r="L7">
        <v>0.1</v>
      </c>
      <c r="M7">
        <v>0.1</v>
      </c>
      <c r="N7">
        <v>0.1</v>
      </c>
      <c r="O7">
        <v>0.6</v>
      </c>
      <c r="P7">
        <v>0.3</v>
      </c>
      <c r="Q7">
        <v>0.3</v>
      </c>
      <c r="R7">
        <v>0.1</v>
      </c>
      <c r="S7">
        <v>0.3</v>
      </c>
      <c r="T7">
        <v>0.3</v>
      </c>
      <c r="U7">
        <v>0.6</v>
      </c>
      <c r="V7">
        <v>0.3</v>
      </c>
      <c r="W7">
        <v>0.3</v>
      </c>
      <c r="X7">
        <v>0.3</v>
      </c>
      <c r="Y7">
        <v>0.3</v>
      </c>
      <c r="Z7">
        <v>0.3</v>
      </c>
      <c r="AA7">
        <v>0.3</v>
      </c>
      <c r="AB7">
        <v>0.3</v>
      </c>
      <c r="AC7">
        <v>0.3</v>
      </c>
      <c r="AD7">
        <v>0.3</v>
      </c>
      <c r="AE7">
        <v>0.3</v>
      </c>
      <c r="AF7">
        <v>0.3</v>
      </c>
      <c r="AG7">
        <v>0.3</v>
      </c>
      <c r="AH7">
        <v>0.6</v>
      </c>
      <c r="AI7">
        <v>0.3</v>
      </c>
      <c r="AJ7">
        <v>0.5</v>
      </c>
      <c r="AK7">
        <v>0.5</v>
      </c>
      <c r="AL7">
        <v>0.5</v>
      </c>
      <c r="AM7">
        <v>0.3</v>
      </c>
      <c r="AN7">
        <v>0.3</v>
      </c>
      <c r="AO7">
        <v>0.5</v>
      </c>
      <c r="AP7">
        <v>0.3</v>
      </c>
      <c r="AQ7">
        <v>0.3</v>
      </c>
      <c r="AR7">
        <v>0.3</v>
      </c>
      <c r="AS7">
        <v>0.5</v>
      </c>
      <c r="AT7">
        <v>0.3</v>
      </c>
      <c r="AU7">
        <v>0.1</v>
      </c>
      <c r="AV7">
        <v>0.1</v>
      </c>
      <c r="AW7">
        <v>0.1</v>
      </c>
      <c r="AX7">
        <v>0.3</v>
      </c>
      <c r="AY7">
        <v>0.3</v>
      </c>
      <c r="AZ7">
        <v>0.5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</row>
    <row r="8" x14ac:dyDescent="0.15">
      <c r="A8" t="s">
        <v>173</v>
      </c>
      <c r="B8">
        <v>0.3</v>
      </c>
      <c r="C8">
        <v>0.3</v>
      </c>
      <c r="D8">
        <v>0.5</v>
      </c>
      <c r="E8">
        <v>0.1</v>
      </c>
      <c r="F8">
        <v>0.3</v>
      </c>
      <c r="G8">
        <v>0.6</v>
      </c>
      <c r="H8">
        <v>0.3</v>
      </c>
      <c r="I8">
        <v>0.3</v>
      </c>
      <c r="J8">
        <v>0.6</v>
      </c>
      <c r="K8">
        <v>0.3</v>
      </c>
      <c r="L8">
        <v>0.1</v>
      </c>
      <c r="M8">
        <v>0.1</v>
      </c>
      <c r="N8">
        <v>0.1</v>
      </c>
      <c r="O8">
        <v>0.6</v>
      </c>
      <c r="P8">
        <v>0.3</v>
      </c>
      <c r="Q8">
        <v>0.3</v>
      </c>
      <c r="R8">
        <v>0.1</v>
      </c>
      <c r="S8">
        <v>0.3</v>
      </c>
      <c r="T8">
        <v>0.3</v>
      </c>
      <c r="U8">
        <v>0.6</v>
      </c>
      <c r="V8">
        <v>0.3</v>
      </c>
      <c r="W8">
        <v>0.3</v>
      </c>
      <c r="X8">
        <v>0.3</v>
      </c>
      <c r="Y8">
        <v>0.3</v>
      </c>
      <c r="Z8">
        <v>0.3</v>
      </c>
      <c r="AA8">
        <v>0.3</v>
      </c>
      <c r="AB8">
        <v>0.3</v>
      </c>
      <c r="AC8">
        <v>0.3</v>
      </c>
      <c r="AD8">
        <v>0.3</v>
      </c>
      <c r="AE8">
        <v>0.3</v>
      </c>
      <c r="AF8">
        <v>0.3</v>
      </c>
      <c r="AG8">
        <v>0.3</v>
      </c>
      <c r="AH8">
        <v>0.6</v>
      </c>
      <c r="AI8">
        <v>0.3</v>
      </c>
      <c r="AJ8">
        <v>0.5</v>
      </c>
      <c r="AK8">
        <v>0.5</v>
      </c>
      <c r="AL8">
        <v>0.5</v>
      </c>
      <c r="AM8">
        <v>0.3</v>
      </c>
      <c r="AN8">
        <v>0.3</v>
      </c>
      <c r="AO8">
        <v>0.5</v>
      </c>
      <c r="AP8">
        <v>0.3</v>
      </c>
      <c r="AQ8">
        <v>0.3</v>
      </c>
      <c r="AR8">
        <v>0.3</v>
      </c>
      <c r="AS8">
        <v>0.5</v>
      </c>
      <c r="AT8">
        <v>0.3</v>
      </c>
      <c r="AU8">
        <v>0.1</v>
      </c>
      <c r="AV8">
        <v>0.1</v>
      </c>
      <c r="AW8">
        <v>0.1</v>
      </c>
      <c r="AX8">
        <v>0.3</v>
      </c>
      <c r="AY8">
        <v>0.3</v>
      </c>
      <c r="AZ8">
        <v>0.5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</row>
    <row r="9" x14ac:dyDescent="0.15">
      <c r="A9" t="s">
        <v>174</v>
      </c>
      <c r="B9">
        <v>0.3</v>
      </c>
      <c r="C9">
        <v>0.3</v>
      </c>
      <c r="D9">
        <v>0.5</v>
      </c>
      <c r="E9">
        <v>0.1</v>
      </c>
      <c r="F9">
        <v>0.3</v>
      </c>
      <c r="G9">
        <v>0.6</v>
      </c>
      <c r="H9">
        <v>0.3</v>
      </c>
      <c r="I9">
        <v>0.3</v>
      </c>
      <c r="J9">
        <v>0.6</v>
      </c>
      <c r="K9">
        <v>0.3</v>
      </c>
      <c r="L9">
        <v>0.1</v>
      </c>
      <c r="M9">
        <v>0.1</v>
      </c>
      <c r="N9">
        <v>0.1</v>
      </c>
      <c r="O9">
        <v>0.6</v>
      </c>
      <c r="P9">
        <v>0.3</v>
      </c>
      <c r="Q9">
        <v>0.3</v>
      </c>
      <c r="R9">
        <v>0.1</v>
      </c>
      <c r="S9">
        <v>0.3</v>
      </c>
      <c r="T9">
        <v>0.3</v>
      </c>
      <c r="U9">
        <v>0.6</v>
      </c>
      <c r="V9">
        <v>0.3</v>
      </c>
      <c r="W9">
        <v>0.3</v>
      </c>
      <c r="X9">
        <v>0.3</v>
      </c>
      <c r="Y9">
        <v>0.3</v>
      </c>
      <c r="Z9">
        <v>0.3</v>
      </c>
      <c r="AA9">
        <v>0.3</v>
      </c>
      <c r="AB9">
        <v>0.3</v>
      </c>
      <c r="AC9">
        <v>0.3</v>
      </c>
      <c r="AD9">
        <v>0.3</v>
      </c>
      <c r="AE9">
        <v>0.3</v>
      </c>
      <c r="AF9">
        <v>0.3</v>
      </c>
      <c r="AG9">
        <v>0.3</v>
      </c>
      <c r="AH9">
        <v>0.6</v>
      </c>
      <c r="AI9">
        <v>0.3</v>
      </c>
      <c r="AJ9">
        <v>0.5</v>
      </c>
      <c r="AK9">
        <v>0.5</v>
      </c>
      <c r="AL9">
        <v>0.5</v>
      </c>
      <c r="AM9">
        <v>0.3</v>
      </c>
      <c r="AN9">
        <v>0.3</v>
      </c>
      <c r="AO9">
        <v>0.5</v>
      </c>
      <c r="AP9">
        <v>0.3</v>
      </c>
      <c r="AQ9">
        <v>0.3</v>
      </c>
      <c r="AR9">
        <v>0.3</v>
      </c>
      <c r="AS9">
        <v>0.5</v>
      </c>
      <c r="AT9">
        <v>0.3</v>
      </c>
      <c r="AU9">
        <v>0.1</v>
      </c>
      <c r="AV9">
        <v>0.1</v>
      </c>
      <c r="AW9">
        <v>0.1</v>
      </c>
      <c r="AX9">
        <v>0.3</v>
      </c>
      <c r="AY9">
        <v>0.3</v>
      </c>
      <c r="AZ9">
        <v>0.5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</row>
    <row r="10" x14ac:dyDescent="0.15">
      <c r="A10" t="s">
        <v>175</v>
      </c>
      <c r="B10">
        <v>0.3</v>
      </c>
      <c r="C10">
        <v>0.3</v>
      </c>
      <c r="D10">
        <v>0.5</v>
      </c>
      <c r="E10">
        <v>0.1</v>
      </c>
      <c r="F10">
        <v>0.3</v>
      </c>
      <c r="G10">
        <v>0.6</v>
      </c>
      <c r="H10">
        <v>0.3</v>
      </c>
      <c r="I10">
        <v>0.3</v>
      </c>
      <c r="J10">
        <v>0.6</v>
      </c>
      <c r="K10">
        <v>0.3</v>
      </c>
      <c r="L10">
        <v>0.1</v>
      </c>
      <c r="M10">
        <v>0.1</v>
      </c>
      <c r="N10">
        <v>0.1</v>
      </c>
      <c r="O10">
        <v>0.6</v>
      </c>
      <c r="P10">
        <v>0.3</v>
      </c>
      <c r="Q10">
        <v>0.3</v>
      </c>
      <c r="R10">
        <v>0.1</v>
      </c>
      <c r="S10">
        <v>0.3</v>
      </c>
      <c r="T10">
        <v>0.3</v>
      </c>
      <c r="U10">
        <v>0.6</v>
      </c>
      <c r="V10">
        <v>0.3</v>
      </c>
      <c r="W10">
        <v>0.3</v>
      </c>
      <c r="X10">
        <v>0.3</v>
      </c>
      <c r="Y10">
        <v>0.3</v>
      </c>
      <c r="Z10">
        <v>0.3</v>
      </c>
      <c r="AA10">
        <v>0.3</v>
      </c>
      <c r="AB10">
        <v>0.3</v>
      </c>
      <c r="AC10">
        <v>0.3</v>
      </c>
      <c r="AD10">
        <v>0.3</v>
      </c>
      <c r="AE10">
        <v>0.3</v>
      </c>
      <c r="AF10">
        <v>0.3</v>
      </c>
      <c r="AG10">
        <v>0.3</v>
      </c>
      <c r="AH10">
        <v>0.6</v>
      </c>
      <c r="AI10">
        <v>0.3</v>
      </c>
      <c r="AJ10">
        <v>0.5</v>
      </c>
      <c r="AK10">
        <v>0.5</v>
      </c>
      <c r="AL10">
        <v>0.5</v>
      </c>
      <c r="AM10">
        <v>0.3</v>
      </c>
      <c r="AN10">
        <v>0.3</v>
      </c>
      <c r="AO10">
        <v>0.5</v>
      </c>
      <c r="AP10">
        <v>0.3</v>
      </c>
      <c r="AQ10">
        <v>0.3</v>
      </c>
      <c r="AR10">
        <v>0.3</v>
      </c>
      <c r="AS10">
        <v>0.5</v>
      </c>
      <c r="AT10">
        <v>0.3</v>
      </c>
      <c r="AU10">
        <v>0.1</v>
      </c>
      <c r="AV10">
        <v>0.1</v>
      </c>
      <c r="AW10">
        <v>0.1</v>
      </c>
      <c r="AX10">
        <v>0.3</v>
      </c>
      <c r="AY10">
        <v>0.3</v>
      </c>
      <c r="AZ10">
        <v>0.5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</row>
    <row r="11" x14ac:dyDescent="0.15">
      <c r="A11" t="s">
        <v>176</v>
      </c>
      <c r="B11">
        <v>0.3</v>
      </c>
      <c r="C11">
        <v>0.3</v>
      </c>
      <c r="D11">
        <v>0.5</v>
      </c>
      <c r="E11">
        <v>0.1</v>
      </c>
      <c r="F11">
        <v>0.3</v>
      </c>
      <c r="G11">
        <v>0.6</v>
      </c>
      <c r="H11">
        <v>0.3</v>
      </c>
      <c r="I11">
        <v>0.3</v>
      </c>
      <c r="J11">
        <v>0.6</v>
      </c>
      <c r="K11">
        <v>0.3</v>
      </c>
      <c r="L11">
        <v>0.1</v>
      </c>
      <c r="M11">
        <v>0.1</v>
      </c>
      <c r="N11">
        <v>0.1</v>
      </c>
      <c r="O11">
        <v>0.6</v>
      </c>
      <c r="P11">
        <v>0.3</v>
      </c>
      <c r="Q11">
        <v>0.3</v>
      </c>
      <c r="R11">
        <v>0.1</v>
      </c>
      <c r="S11">
        <v>0.3</v>
      </c>
      <c r="T11">
        <v>0.3</v>
      </c>
      <c r="U11">
        <v>0.6</v>
      </c>
      <c r="V11">
        <v>0.3</v>
      </c>
      <c r="W11">
        <v>0.3</v>
      </c>
      <c r="X11">
        <v>0.3</v>
      </c>
      <c r="Y11">
        <v>0.3</v>
      </c>
      <c r="Z11">
        <v>0.3</v>
      </c>
      <c r="AA11">
        <v>0.3</v>
      </c>
      <c r="AB11">
        <v>0.3</v>
      </c>
      <c r="AC11">
        <v>0.3</v>
      </c>
      <c r="AD11">
        <v>0.3</v>
      </c>
      <c r="AE11">
        <v>0.3</v>
      </c>
      <c r="AF11">
        <v>0.3</v>
      </c>
      <c r="AG11">
        <v>0.3</v>
      </c>
      <c r="AH11">
        <v>0.6</v>
      </c>
      <c r="AI11">
        <v>0.3</v>
      </c>
      <c r="AJ11">
        <v>0.5</v>
      </c>
      <c r="AK11">
        <v>0.5</v>
      </c>
      <c r="AL11">
        <v>0.5</v>
      </c>
      <c r="AM11">
        <v>0.3</v>
      </c>
      <c r="AN11">
        <v>0.3</v>
      </c>
      <c r="AO11">
        <v>0.5</v>
      </c>
      <c r="AP11">
        <v>0.3</v>
      </c>
      <c r="AQ11">
        <v>0.3</v>
      </c>
      <c r="AR11">
        <v>0.3</v>
      </c>
      <c r="AS11">
        <v>0.5</v>
      </c>
      <c r="AT11">
        <v>0.3</v>
      </c>
      <c r="AU11">
        <v>0.1</v>
      </c>
      <c r="AV11">
        <v>0.1</v>
      </c>
      <c r="AW11">
        <v>0.1</v>
      </c>
      <c r="AX11">
        <v>0.3</v>
      </c>
      <c r="AY11">
        <v>0.3</v>
      </c>
      <c r="AZ11">
        <v>0.5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</row>
    <row r="12" x14ac:dyDescent="0.15">
      <c r="A12" t="s">
        <v>177</v>
      </c>
      <c r="B12">
        <v>0.3</v>
      </c>
      <c r="C12">
        <v>0.3</v>
      </c>
      <c r="D12">
        <v>0.5</v>
      </c>
      <c r="E12">
        <v>0.1</v>
      </c>
      <c r="F12">
        <v>0.3</v>
      </c>
      <c r="G12">
        <v>0.6</v>
      </c>
      <c r="H12">
        <v>0.3</v>
      </c>
      <c r="I12">
        <v>0.3</v>
      </c>
      <c r="J12">
        <v>0.6</v>
      </c>
      <c r="K12">
        <v>0.3</v>
      </c>
      <c r="L12">
        <v>0.1</v>
      </c>
      <c r="M12">
        <v>0.1</v>
      </c>
      <c r="N12">
        <v>0.1</v>
      </c>
      <c r="O12">
        <v>0.6</v>
      </c>
      <c r="P12">
        <v>0.3</v>
      </c>
      <c r="Q12">
        <v>0.3</v>
      </c>
      <c r="R12">
        <v>0.1</v>
      </c>
      <c r="S12">
        <v>0.3</v>
      </c>
      <c r="T12">
        <v>0.3</v>
      </c>
      <c r="U12">
        <v>0.6</v>
      </c>
      <c r="V12">
        <v>0.3</v>
      </c>
      <c r="W12">
        <v>0.3</v>
      </c>
      <c r="X12">
        <v>0.3</v>
      </c>
      <c r="Y12">
        <v>0.3</v>
      </c>
      <c r="Z12">
        <v>0.3</v>
      </c>
      <c r="AA12">
        <v>0.3</v>
      </c>
      <c r="AB12">
        <v>0.3</v>
      </c>
      <c r="AC12">
        <v>0.3</v>
      </c>
      <c r="AD12">
        <v>0.3</v>
      </c>
      <c r="AE12">
        <v>0.3</v>
      </c>
      <c r="AF12">
        <v>0.3</v>
      </c>
      <c r="AG12">
        <v>0.3</v>
      </c>
      <c r="AH12">
        <v>0.6</v>
      </c>
      <c r="AI12">
        <v>0.3</v>
      </c>
      <c r="AJ12">
        <v>0.5</v>
      </c>
      <c r="AK12">
        <v>0.5</v>
      </c>
      <c r="AL12">
        <v>0.5</v>
      </c>
      <c r="AM12">
        <v>0.3</v>
      </c>
      <c r="AN12">
        <v>0.3</v>
      </c>
      <c r="AO12">
        <v>0.5</v>
      </c>
      <c r="AP12">
        <v>0.3</v>
      </c>
      <c r="AQ12">
        <v>0.3</v>
      </c>
      <c r="AR12">
        <v>0.3</v>
      </c>
      <c r="AS12">
        <v>0.5</v>
      </c>
      <c r="AT12">
        <v>0.3</v>
      </c>
      <c r="AU12">
        <v>0.1</v>
      </c>
      <c r="AV12">
        <v>0.1</v>
      </c>
      <c r="AW12">
        <v>0.1</v>
      </c>
      <c r="AX12">
        <v>0.3</v>
      </c>
      <c r="AY12">
        <v>0.3</v>
      </c>
      <c r="AZ12">
        <v>0.5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</row>
    <row r="13" x14ac:dyDescent="0.15">
      <c r="A13" t="s">
        <v>178</v>
      </c>
      <c r="B13">
        <v>0.3</v>
      </c>
      <c r="C13">
        <v>0.3</v>
      </c>
      <c r="D13">
        <v>0.5</v>
      </c>
      <c r="E13">
        <v>0.1</v>
      </c>
      <c r="F13">
        <v>0.3</v>
      </c>
      <c r="G13">
        <v>0.6</v>
      </c>
      <c r="H13">
        <v>0.3</v>
      </c>
      <c r="I13">
        <v>0.3</v>
      </c>
      <c r="J13">
        <v>0.6</v>
      </c>
      <c r="K13">
        <v>0.3</v>
      </c>
      <c r="L13">
        <v>0.1</v>
      </c>
      <c r="M13">
        <v>0.1</v>
      </c>
      <c r="N13">
        <v>0.1</v>
      </c>
      <c r="O13">
        <v>0.6</v>
      </c>
      <c r="P13">
        <v>0.3</v>
      </c>
      <c r="Q13">
        <v>0.3</v>
      </c>
      <c r="R13">
        <v>0.1</v>
      </c>
      <c r="S13">
        <v>0.3</v>
      </c>
      <c r="T13">
        <v>0.3</v>
      </c>
      <c r="U13">
        <v>0.6</v>
      </c>
      <c r="V13">
        <v>0.3</v>
      </c>
      <c r="W13">
        <v>0.3</v>
      </c>
      <c r="X13">
        <v>0.3</v>
      </c>
      <c r="Y13">
        <v>0.3</v>
      </c>
      <c r="Z13">
        <v>0.3</v>
      </c>
      <c r="AA13">
        <v>0.3</v>
      </c>
      <c r="AB13">
        <v>0.3</v>
      </c>
      <c r="AC13">
        <v>0.3</v>
      </c>
      <c r="AD13">
        <v>0.3</v>
      </c>
      <c r="AE13">
        <v>0.3</v>
      </c>
      <c r="AF13">
        <v>0.3</v>
      </c>
      <c r="AG13">
        <v>0.3</v>
      </c>
      <c r="AH13">
        <v>0.6</v>
      </c>
      <c r="AI13">
        <v>0.3</v>
      </c>
      <c r="AJ13">
        <v>0.5</v>
      </c>
      <c r="AK13">
        <v>0.5</v>
      </c>
      <c r="AL13">
        <v>0.5</v>
      </c>
      <c r="AM13">
        <v>0.3</v>
      </c>
      <c r="AN13">
        <v>0.3</v>
      </c>
      <c r="AO13">
        <v>0.5</v>
      </c>
      <c r="AP13">
        <v>0.3</v>
      </c>
      <c r="AQ13">
        <v>0.3</v>
      </c>
      <c r="AR13">
        <v>0.3</v>
      </c>
      <c r="AS13">
        <v>0.5</v>
      </c>
      <c r="AT13">
        <v>0.3</v>
      </c>
      <c r="AU13">
        <v>0.1</v>
      </c>
      <c r="AV13">
        <v>0.1</v>
      </c>
      <c r="AW13">
        <v>0.1</v>
      </c>
      <c r="AX13">
        <v>0.3</v>
      </c>
      <c r="AY13">
        <v>0.3</v>
      </c>
      <c r="AZ13">
        <v>0.5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</row>
    <row r="14" x14ac:dyDescent="0.15">
      <c r="A14" t="s">
        <v>179</v>
      </c>
      <c r="B14">
        <v>0.3</v>
      </c>
      <c r="C14">
        <v>0.3</v>
      </c>
      <c r="D14">
        <v>0.5</v>
      </c>
      <c r="E14">
        <v>0.1</v>
      </c>
      <c r="F14">
        <v>0.3</v>
      </c>
      <c r="G14">
        <v>0.6</v>
      </c>
      <c r="H14">
        <v>0.3</v>
      </c>
      <c r="I14">
        <v>0.3</v>
      </c>
      <c r="J14">
        <v>0.6</v>
      </c>
      <c r="K14">
        <v>0.3</v>
      </c>
      <c r="L14">
        <v>0.1</v>
      </c>
      <c r="M14">
        <v>0.1</v>
      </c>
      <c r="N14">
        <v>0.1</v>
      </c>
      <c r="O14">
        <v>0.6</v>
      </c>
      <c r="P14">
        <v>0.3</v>
      </c>
      <c r="Q14">
        <v>0.3</v>
      </c>
      <c r="R14">
        <v>0.1</v>
      </c>
      <c r="S14">
        <v>0.3</v>
      </c>
      <c r="T14">
        <v>0.3</v>
      </c>
      <c r="U14">
        <v>0.6</v>
      </c>
      <c r="V14">
        <v>0.3</v>
      </c>
      <c r="W14">
        <v>0.3</v>
      </c>
      <c r="X14">
        <v>0.3</v>
      </c>
      <c r="Y14">
        <v>0.3</v>
      </c>
      <c r="Z14">
        <v>0.3</v>
      </c>
      <c r="AA14">
        <v>0.3</v>
      </c>
      <c r="AB14">
        <v>0.3</v>
      </c>
      <c r="AC14">
        <v>0.3</v>
      </c>
      <c r="AD14">
        <v>0.3</v>
      </c>
      <c r="AE14">
        <v>0.3</v>
      </c>
      <c r="AF14">
        <v>0.3</v>
      </c>
      <c r="AG14">
        <v>0.3</v>
      </c>
      <c r="AH14">
        <v>0.6</v>
      </c>
      <c r="AI14">
        <v>0.3</v>
      </c>
      <c r="AJ14">
        <v>0.5</v>
      </c>
      <c r="AK14">
        <v>0.5</v>
      </c>
      <c r="AL14">
        <v>0.5</v>
      </c>
      <c r="AM14">
        <v>0.3</v>
      </c>
      <c r="AN14">
        <v>0.3</v>
      </c>
      <c r="AO14">
        <v>0.5</v>
      </c>
      <c r="AP14">
        <v>0.3</v>
      </c>
      <c r="AQ14">
        <v>0.3</v>
      </c>
      <c r="AR14">
        <v>0.3</v>
      </c>
      <c r="AS14">
        <v>0.5</v>
      </c>
      <c r="AT14">
        <v>0.3</v>
      </c>
      <c r="AU14">
        <v>0.1</v>
      </c>
      <c r="AV14">
        <v>0.1</v>
      </c>
      <c r="AW14">
        <v>0.1</v>
      </c>
      <c r="AX14">
        <v>0.3</v>
      </c>
      <c r="AY14">
        <v>0.3</v>
      </c>
      <c r="AZ14">
        <v>0.5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</row>
    <row r="15" x14ac:dyDescent="0.15">
      <c r="A15" t="s">
        <v>180</v>
      </c>
      <c r="B15">
        <v>0.3</v>
      </c>
      <c r="C15">
        <v>0.3</v>
      </c>
      <c r="D15">
        <v>0.5</v>
      </c>
      <c r="E15">
        <v>0.1</v>
      </c>
      <c r="F15">
        <v>0.3</v>
      </c>
      <c r="G15">
        <v>0.6</v>
      </c>
      <c r="H15">
        <v>0.3</v>
      </c>
      <c r="I15">
        <v>0.3</v>
      </c>
      <c r="J15">
        <v>0.6</v>
      </c>
      <c r="K15">
        <v>0.3</v>
      </c>
      <c r="L15">
        <v>0.1</v>
      </c>
      <c r="M15">
        <v>0.1</v>
      </c>
      <c r="N15">
        <v>0.1</v>
      </c>
      <c r="O15">
        <v>0.6</v>
      </c>
      <c r="P15">
        <v>0.3</v>
      </c>
      <c r="Q15">
        <v>0.3</v>
      </c>
      <c r="R15">
        <v>0.1</v>
      </c>
      <c r="S15">
        <v>0.3</v>
      </c>
      <c r="T15">
        <v>0.3</v>
      </c>
      <c r="U15">
        <v>0.6</v>
      </c>
      <c r="V15">
        <v>0.3</v>
      </c>
      <c r="W15">
        <v>0.3</v>
      </c>
      <c r="X15">
        <v>0.3</v>
      </c>
      <c r="Y15">
        <v>0.3</v>
      </c>
      <c r="Z15">
        <v>0.3</v>
      </c>
      <c r="AA15">
        <v>0.3</v>
      </c>
      <c r="AB15">
        <v>0.3</v>
      </c>
      <c r="AC15">
        <v>0.3</v>
      </c>
      <c r="AD15">
        <v>0.3</v>
      </c>
      <c r="AE15">
        <v>0.3</v>
      </c>
      <c r="AF15">
        <v>0.3</v>
      </c>
      <c r="AG15">
        <v>0.3</v>
      </c>
      <c r="AH15">
        <v>0.6</v>
      </c>
      <c r="AI15">
        <v>0.3</v>
      </c>
      <c r="AJ15">
        <v>0.5</v>
      </c>
      <c r="AK15">
        <v>0.5</v>
      </c>
      <c r="AL15">
        <v>0.5</v>
      </c>
      <c r="AM15">
        <v>0.3</v>
      </c>
      <c r="AN15">
        <v>0.3</v>
      </c>
      <c r="AO15">
        <v>0.5</v>
      </c>
      <c r="AP15">
        <v>0.3</v>
      </c>
      <c r="AQ15">
        <v>0.3</v>
      </c>
      <c r="AR15">
        <v>0.3</v>
      </c>
      <c r="AS15">
        <v>0.5</v>
      </c>
      <c r="AT15">
        <v>0.3</v>
      </c>
      <c r="AU15">
        <v>0.1</v>
      </c>
      <c r="AV15">
        <v>0.1</v>
      </c>
      <c r="AW15">
        <v>0.1</v>
      </c>
      <c r="AX15">
        <v>0.3</v>
      </c>
      <c r="AY15">
        <v>0.3</v>
      </c>
      <c r="AZ15">
        <v>0.5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</row>
    <row r="16" x14ac:dyDescent="0.15">
      <c r="A16" t="s">
        <v>181</v>
      </c>
      <c r="B16">
        <v>0.3</v>
      </c>
      <c r="C16">
        <v>0.3</v>
      </c>
      <c r="D16">
        <v>0.5</v>
      </c>
      <c r="E16">
        <v>0.1</v>
      </c>
      <c r="F16">
        <v>0.3</v>
      </c>
      <c r="G16">
        <v>0.6</v>
      </c>
      <c r="H16">
        <v>0.3</v>
      </c>
      <c r="I16">
        <v>0.3</v>
      </c>
      <c r="J16">
        <v>0.6</v>
      </c>
      <c r="K16">
        <v>0.3</v>
      </c>
      <c r="L16">
        <v>0.1</v>
      </c>
      <c r="M16">
        <v>0.1</v>
      </c>
      <c r="N16">
        <v>0.1</v>
      </c>
      <c r="O16">
        <v>0.6</v>
      </c>
      <c r="P16">
        <v>0.3</v>
      </c>
      <c r="Q16">
        <v>0.3</v>
      </c>
      <c r="R16">
        <v>0.1</v>
      </c>
      <c r="S16">
        <v>0.3</v>
      </c>
      <c r="T16">
        <v>0.3</v>
      </c>
      <c r="U16">
        <v>0.6</v>
      </c>
      <c r="V16">
        <v>0.3</v>
      </c>
      <c r="W16">
        <v>0.3</v>
      </c>
      <c r="X16">
        <v>0.3</v>
      </c>
      <c r="Y16">
        <v>0.3</v>
      </c>
      <c r="Z16">
        <v>0.3</v>
      </c>
      <c r="AA16">
        <v>0.3</v>
      </c>
      <c r="AB16">
        <v>0.3</v>
      </c>
      <c r="AC16">
        <v>0.3</v>
      </c>
      <c r="AD16">
        <v>0.3</v>
      </c>
      <c r="AE16">
        <v>0.3</v>
      </c>
      <c r="AF16">
        <v>0.3</v>
      </c>
      <c r="AG16">
        <v>0.3</v>
      </c>
      <c r="AH16">
        <v>0.6</v>
      </c>
      <c r="AI16">
        <v>0.3</v>
      </c>
      <c r="AJ16">
        <v>0.5</v>
      </c>
      <c r="AK16">
        <v>0.5</v>
      </c>
      <c r="AL16">
        <v>0.5</v>
      </c>
      <c r="AM16">
        <v>0.3</v>
      </c>
      <c r="AN16">
        <v>0.3</v>
      </c>
      <c r="AO16">
        <v>0.5</v>
      </c>
      <c r="AP16">
        <v>0.3</v>
      </c>
      <c r="AQ16">
        <v>0.3</v>
      </c>
      <c r="AR16">
        <v>0.3</v>
      </c>
      <c r="AS16">
        <v>0.5</v>
      </c>
      <c r="AT16">
        <v>0.3</v>
      </c>
      <c r="AU16">
        <v>0.1</v>
      </c>
      <c r="AV16">
        <v>0.1</v>
      </c>
      <c r="AW16">
        <v>0.1</v>
      </c>
      <c r="AX16">
        <v>0.3</v>
      </c>
      <c r="AY16">
        <v>0.3</v>
      </c>
      <c r="AZ16">
        <v>0.5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</row>
    <row r="17" x14ac:dyDescent="0.15">
      <c r="A17" t="s">
        <v>182</v>
      </c>
      <c r="B17">
        <v>0.3</v>
      </c>
      <c r="C17">
        <v>0.3</v>
      </c>
      <c r="D17">
        <v>0.5</v>
      </c>
      <c r="E17">
        <v>0.1</v>
      </c>
      <c r="F17">
        <v>0.3</v>
      </c>
      <c r="G17">
        <v>0.6</v>
      </c>
      <c r="H17">
        <v>0.3</v>
      </c>
      <c r="I17">
        <v>0.3</v>
      </c>
      <c r="J17">
        <v>0.6</v>
      </c>
      <c r="K17">
        <v>0.3</v>
      </c>
      <c r="L17">
        <v>0.1</v>
      </c>
      <c r="M17">
        <v>0.1</v>
      </c>
      <c r="N17">
        <v>0.1</v>
      </c>
      <c r="O17">
        <v>0.6</v>
      </c>
      <c r="P17">
        <v>0.3</v>
      </c>
      <c r="Q17">
        <v>0.3</v>
      </c>
      <c r="R17">
        <v>0.1</v>
      </c>
      <c r="S17">
        <v>0.3</v>
      </c>
      <c r="T17">
        <v>0.3</v>
      </c>
      <c r="U17">
        <v>0.6</v>
      </c>
      <c r="V17">
        <v>0.3</v>
      </c>
      <c r="W17">
        <v>0.3</v>
      </c>
      <c r="X17">
        <v>0.3</v>
      </c>
      <c r="Y17">
        <v>0.3</v>
      </c>
      <c r="Z17">
        <v>0.3</v>
      </c>
      <c r="AA17">
        <v>0.3</v>
      </c>
      <c r="AB17">
        <v>0.3</v>
      </c>
      <c r="AC17">
        <v>0.3</v>
      </c>
      <c r="AD17">
        <v>0.3</v>
      </c>
      <c r="AE17">
        <v>0.3</v>
      </c>
      <c r="AF17">
        <v>0.3</v>
      </c>
      <c r="AG17">
        <v>0.3</v>
      </c>
      <c r="AH17">
        <v>0.6</v>
      </c>
      <c r="AI17">
        <v>0.3</v>
      </c>
      <c r="AJ17">
        <v>0.5</v>
      </c>
      <c r="AK17">
        <v>0.5</v>
      </c>
      <c r="AL17">
        <v>0.5</v>
      </c>
      <c r="AM17">
        <v>0.3</v>
      </c>
      <c r="AN17">
        <v>0.3</v>
      </c>
      <c r="AO17">
        <v>0.5</v>
      </c>
      <c r="AP17">
        <v>0.3</v>
      </c>
      <c r="AQ17">
        <v>0.3</v>
      </c>
      <c r="AR17">
        <v>0.3</v>
      </c>
      <c r="AS17">
        <v>0.5</v>
      </c>
      <c r="AT17">
        <v>0.3</v>
      </c>
      <c r="AU17">
        <v>0.1</v>
      </c>
      <c r="AV17">
        <v>0.1</v>
      </c>
      <c r="AW17">
        <v>0.1</v>
      </c>
      <c r="AX17">
        <v>0.3</v>
      </c>
      <c r="AY17">
        <v>0.3</v>
      </c>
      <c r="AZ17">
        <v>0.5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</row>
    <row r="18" x14ac:dyDescent="0.15">
      <c r="A18" t="s">
        <v>183</v>
      </c>
      <c r="B18">
        <v>0.3</v>
      </c>
      <c r="C18">
        <v>0.3</v>
      </c>
      <c r="D18">
        <v>0.5</v>
      </c>
      <c r="E18">
        <v>0.1</v>
      </c>
      <c r="F18">
        <v>0.3</v>
      </c>
      <c r="G18">
        <v>0.6</v>
      </c>
      <c r="H18">
        <v>0.3</v>
      </c>
      <c r="I18">
        <v>0.3</v>
      </c>
      <c r="J18">
        <v>0.6</v>
      </c>
      <c r="K18">
        <v>0.3</v>
      </c>
      <c r="L18">
        <v>0.1</v>
      </c>
      <c r="M18">
        <v>0.1</v>
      </c>
      <c r="N18">
        <v>0.1</v>
      </c>
      <c r="O18">
        <v>0.6</v>
      </c>
      <c r="P18">
        <v>0.3</v>
      </c>
      <c r="Q18">
        <v>0.3</v>
      </c>
      <c r="R18">
        <v>0.1</v>
      </c>
      <c r="S18">
        <v>0.3</v>
      </c>
      <c r="T18">
        <v>0.3</v>
      </c>
      <c r="U18">
        <v>0.6</v>
      </c>
      <c r="V18">
        <v>0.3</v>
      </c>
      <c r="W18">
        <v>0.3</v>
      </c>
      <c r="X18">
        <v>0.3</v>
      </c>
      <c r="Y18">
        <v>0.3</v>
      </c>
      <c r="Z18">
        <v>0.3</v>
      </c>
      <c r="AA18">
        <v>0.3</v>
      </c>
      <c r="AB18">
        <v>0.3</v>
      </c>
      <c r="AC18">
        <v>0.3</v>
      </c>
      <c r="AD18">
        <v>0.3</v>
      </c>
      <c r="AE18">
        <v>0.3</v>
      </c>
      <c r="AF18">
        <v>0.3</v>
      </c>
      <c r="AG18">
        <v>0.3</v>
      </c>
      <c r="AH18">
        <v>0.6</v>
      </c>
      <c r="AI18">
        <v>0.3</v>
      </c>
      <c r="AJ18">
        <v>0.5</v>
      </c>
      <c r="AK18">
        <v>0.5</v>
      </c>
      <c r="AL18">
        <v>0.5</v>
      </c>
      <c r="AM18">
        <v>0.3</v>
      </c>
      <c r="AN18">
        <v>0.3</v>
      </c>
      <c r="AO18">
        <v>0.5</v>
      </c>
      <c r="AP18">
        <v>0.3</v>
      </c>
      <c r="AQ18">
        <v>0.3</v>
      </c>
      <c r="AR18">
        <v>0.3</v>
      </c>
      <c r="AS18">
        <v>0.5</v>
      </c>
      <c r="AT18">
        <v>0.3</v>
      </c>
      <c r="AU18">
        <v>0.1</v>
      </c>
      <c r="AV18">
        <v>0.1</v>
      </c>
      <c r="AW18">
        <v>0.1</v>
      </c>
      <c r="AX18">
        <v>0.3</v>
      </c>
      <c r="AY18">
        <v>0.3</v>
      </c>
      <c r="AZ18">
        <v>0.5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</row>
    <row r="19" x14ac:dyDescent="0.15">
      <c r="A19" t="s">
        <v>184</v>
      </c>
      <c r="B19">
        <v>0.3</v>
      </c>
      <c r="C19">
        <v>0.3</v>
      </c>
      <c r="D19">
        <v>0.5</v>
      </c>
      <c r="E19">
        <v>0.1</v>
      </c>
      <c r="F19">
        <v>0.3</v>
      </c>
      <c r="G19">
        <v>0.6</v>
      </c>
      <c r="H19">
        <v>0.3</v>
      </c>
      <c r="I19">
        <v>0.3</v>
      </c>
      <c r="J19">
        <v>0.6</v>
      </c>
      <c r="K19">
        <v>0.3</v>
      </c>
      <c r="L19">
        <v>0.1</v>
      </c>
      <c r="M19">
        <v>0.1</v>
      </c>
      <c r="N19">
        <v>0.1</v>
      </c>
      <c r="O19">
        <v>0.6</v>
      </c>
      <c r="P19">
        <v>0.3</v>
      </c>
      <c r="Q19">
        <v>0.3</v>
      </c>
      <c r="R19">
        <v>0.1</v>
      </c>
      <c r="S19">
        <v>0.3</v>
      </c>
      <c r="T19">
        <v>0.3</v>
      </c>
      <c r="U19">
        <v>0.6</v>
      </c>
      <c r="V19">
        <v>0.3</v>
      </c>
      <c r="W19">
        <v>0.3</v>
      </c>
      <c r="X19">
        <v>0.3</v>
      </c>
      <c r="Y19">
        <v>0.3</v>
      </c>
      <c r="Z19">
        <v>0.3</v>
      </c>
      <c r="AA19">
        <v>0.3</v>
      </c>
      <c r="AB19">
        <v>0.3</v>
      </c>
      <c r="AC19">
        <v>0.3</v>
      </c>
      <c r="AD19">
        <v>0.3</v>
      </c>
      <c r="AE19">
        <v>0.3</v>
      </c>
      <c r="AF19">
        <v>0.3</v>
      </c>
      <c r="AG19">
        <v>0.3</v>
      </c>
      <c r="AH19">
        <v>0.6</v>
      </c>
      <c r="AI19">
        <v>0.3</v>
      </c>
      <c r="AJ19">
        <v>0.5</v>
      </c>
      <c r="AK19">
        <v>0.5</v>
      </c>
      <c r="AL19">
        <v>0.5</v>
      </c>
      <c r="AM19">
        <v>0.3</v>
      </c>
      <c r="AN19">
        <v>0.3</v>
      </c>
      <c r="AO19">
        <v>0.5</v>
      </c>
      <c r="AP19">
        <v>0.3</v>
      </c>
      <c r="AQ19">
        <v>0.3</v>
      </c>
      <c r="AR19">
        <v>0.3</v>
      </c>
      <c r="AS19">
        <v>0.5</v>
      </c>
      <c r="AT19">
        <v>0.3</v>
      </c>
      <c r="AU19">
        <v>0.1</v>
      </c>
      <c r="AV19">
        <v>0.1</v>
      </c>
      <c r="AW19">
        <v>0.1</v>
      </c>
      <c r="AX19">
        <v>0.3</v>
      </c>
      <c r="AY19">
        <v>0.3</v>
      </c>
      <c r="AZ19">
        <v>0.5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</row>
    <row r="20" x14ac:dyDescent="0.15">
      <c r="A20" t="s">
        <v>185</v>
      </c>
      <c r="B20">
        <v>0.3</v>
      </c>
      <c r="C20">
        <v>0.3</v>
      </c>
      <c r="D20">
        <v>0.5</v>
      </c>
      <c r="E20">
        <v>0.1</v>
      </c>
      <c r="F20">
        <v>0.3</v>
      </c>
      <c r="G20">
        <v>0.6</v>
      </c>
      <c r="H20">
        <v>0.3</v>
      </c>
      <c r="I20">
        <v>0.3</v>
      </c>
      <c r="J20">
        <v>0.6</v>
      </c>
      <c r="K20">
        <v>0.3</v>
      </c>
      <c r="L20">
        <v>0.1</v>
      </c>
      <c r="M20">
        <v>0.1</v>
      </c>
      <c r="N20">
        <v>0.1</v>
      </c>
      <c r="O20">
        <v>0.6</v>
      </c>
      <c r="P20">
        <v>0.3</v>
      </c>
      <c r="Q20">
        <v>0.3</v>
      </c>
      <c r="R20">
        <v>0.1</v>
      </c>
      <c r="S20">
        <v>0.3</v>
      </c>
      <c r="T20">
        <v>0.3</v>
      </c>
      <c r="U20">
        <v>0.6</v>
      </c>
      <c r="V20">
        <v>0.3</v>
      </c>
      <c r="W20">
        <v>0.3</v>
      </c>
      <c r="X20">
        <v>0.3</v>
      </c>
      <c r="Y20">
        <v>0.3</v>
      </c>
      <c r="Z20">
        <v>0.3</v>
      </c>
      <c r="AA20">
        <v>0.3</v>
      </c>
      <c r="AB20">
        <v>0.3</v>
      </c>
      <c r="AC20">
        <v>0.3</v>
      </c>
      <c r="AD20">
        <v>0.3</v>
      </c>
      <c r="AE20">
        <v>0.3</v>
      </c>
      <c r="AF20">
        <v>0.3</v>
      </c>
      <c r="AG20">
        <v>0.3</v>
      </c>
      <c r="AH20">
        <v>0.6</v>
      </c>
      <c r="AI20">
        <v>0.3</v>
      </c>
      <c r="AJ20">
        <v>0.5</v>
      </c>
      <c r="AK20">
        <v>0.5</v>
      </c>
      <c r="AL20">
        <v>0.5</v>
      </c>
      <c r="AM20">
        <v>0.3</v>
      </c>
      <c r="AN20">
        <v>0.3</v>
      </c>
      <c r="AO20">
        <v>0.5</v>
      </c>
      <c r="AP20">
        <v>0.3</v>
      </c>
      <c r="AQ20">
        <v>0.3</v>
      </c>
      <c r="AR20">
        <v>0.3</v>
      </c>
      <c r="AS20">
        <v>0.5</v>
      </c>
      <c r="AT20">
        <v>0.3</v>
      </c>
      <c r="AU20">
        <v>0.1</v>
      </c>
      <c r="AV20">
        <v>0.1</v>
      </c>
      <c r="AW20">
        <v>0.1</v>
      </c>
      <c r="AX20">
        <v>0.3</v>
      </c>
      <c r="AY20">
        <v>0.3</v>
      </c>
      <c r="AZ20">
        <v>0.5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</row>
    <row r="21" x14ac:dyDescent="0.15">
      <c r="A21" t="s">
        <v>186</v>
      </c>
      <c r="B21">
        <v>0.3</v>
      </c>
      <c r="C21">
        <v>0.3</v>
      </c>
      <c r="D21">
        <v>0.5</v>
      </c>
      <c r="E21">
        <v>0.1</v>
      </c>
      <c r="F21">
        <v>0.3</v>
      </c>
      <c r="G21">
        <v>0.6</v>
      </c>
      <c r="H21">
        <v>0.3</v>
      </c>
      <c r="I21">
        <v>0.3</v>
      </c>
      <c r="J21">
        <v>0.6</v>
      </c>
      <c r="K21">
        <v>0.3</v>
      </c>
      <c r="L21">
        <v>0.1</v>
      </c>
      <c r="M21">
        <v>0.1</v>
      </c>
      <c r="N21">
        <v>0.1</v>
      </c>
      <c r="O21">
        <v>0.6</v>
      </c>
      <c r="P21">
        <v>0.3</v>
      </c>
      <c r="Q21">
        <v>0.3</v>
      </c>
      <c r="R21">
        <v>0.1</v>
      </c>
      <c r="S21">
        <v>0.3</v>
      </c>
      <c r="T21">
        <v>0.3</v>
      </c>
      <c r="U21">
        <v>0.6</v>
      </c>
      <c r="V21">
        <v>0.3</v>
      </c>
      <c r="W21">
        <v>0.3</v>
      </c>
      <c r="X21">
        <v>0.3</v>
      </c>
      <c r="Y21">
        <v>0.3</v>
      </c>
      <c r="Z21">
        <v>0.3</v>
      </c>
      <c r="AA21">
        <v>0.3</v>
      </c>
      <c r="AB21">
        <v>0.3</v>
      </c>
      <c r="AC21">
        <v>0.3</v>
      </c>
      <c r="AD21">
        <v>0.3</v>
      </c>
      <c r="AE21">
        <v>0.3</v>
      </c>
      <c r="AF21">
        <v>0.3</v>
      </c>
      <c r="AG21">
        <v>0.3</v>
      </c>
      <c r="AH21">
        <v>0.6</v>
      </c>
      <c r="AI21">
        <v>0.3</v>
      </c>
      <c r="AJ21">
        <v>0.5</v>
      </c>
      <c r="AK21">
        <v>0.5</v>
      </c>
      <c r="AL21">
        <v>0.5</v>
      </c>
      <c r="AM21">
        <v>0.3</v>
      </c>
      <c r="AN21">
        <v>0.3</v>
      </c>
      <c r="AO21">
        <v>0.5</v>
      </c>
      <c r="AP21">
        <v>0.3</v>
      </c>
      <c r="AQ21">
        <v>0.3</v>
      </c>
      <c r="AR21">
        <v>0.3</v>
      </c>
      <c r="AS21">
        <v>0.5</v>
      </c>
      <c r="AT21">
        <v>0.3</v>
      </c>
      <c r="AU21">
        <v>0.1</v>
      </c>
      <c r="AV21">
        <v>0.1</v>
      </c>
      <c r="AW21">
        <v>0.1</v>
      </c>
      <c r="AX21">
        <v>0.3</v>
      </c>
      <c r="AY21">
        <v>0.3</v>
      </c>
      <c r="AZ21">
        <v>0.5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</row>
    <row r="22" x14ac:dyDescent="0.15">
      <c r="A22" t="s">
        <v>187</v>
      </c>
      <c r="B22">
        <v>0.3</v>
      </c>
      <c r="C22">
        <v>0.3</v>
      </c>
      <c r="D22">
        <v>0.5</v>
      </c>
      <c r="E22">
        <v>0.1</v>
      </c>
      <c r="F22">
        <v>0.3</v>
      </c>
      <c r="G22">
        <v>0.6</v>
      </c>
      <c r="H22">
        <v>0.3</v>
      </c>
      <c r="I22">
        <v>0.3</v>
      </c>
      <c r="J22">
        <v>0.6</v>
      </c>
      <c r="K22">
        <v>0.3</v>
      </c>
      <c r="L22">
        <v>0.1</v>
      </c>
      <c r="M22">
        <v>0.1</v>
      </c>
      <c r="N22">
        <v>0.1</v>
      </c>
      <c r="O22">
        <v>0.6</v>
      </c>
      <c r="P22">
        <v>0.3</v>
      </c>
      <c r="Q22">
        <v>0.3</v>
      </c>
      <c r="R22">
        <v>0.1</v>
      </c>
      <c r="S22">
        <v>0.3</v>
      </c>
      <c r="T22">
        <v>0.3</v>
      </c>
      <c r="U22">
        <v>0.6</v>
      </c>
      <c r="V22">
        <v>0.3</v>
      </c>
      <c r="W22">
        <v>0.3</v>
      </c>
      <c r="X22">
        <v>0.3</v>
      </c>
      <c r="Y22">
        <v>0.3</v>
      </c>
      <c r="Z22">
        <v>0.3</v>
      </c>
      <c r="AA22">
        <v>0.3</v>
      </c>
      <c r="AB22">
        <v>0.3</v>
      </c>
      <c r="AC22">
        <v>0.3</v>
      </c>
      <c r="AD22">
        <v>0.3</v>
      </c>
      <c r="AE22">
        <v>0.3</v>
      </c>
      <c r="AF22">
        <v>0.3</v>
      </c>
      <c r="AG22">
        <v>0.3</v>
      </c>
      <c r="AH22">
        <v>0.6</v>
      </c>
      <c r="AI22">
        <v>0.3</v>
      </c>
      <c r="AJ22">
        <v>0.5</v>
      </c>
      <c r="AK22">
        <v>0.5</v>
      </c>
      <c r="AL22">
        <v>0.5</v>
      </c>
      <c r="AM22">
        <v>0.3</v>
      </c>
      <c r="AN22">
        <v>0.3</v>
      </c>
      <c r="AO22">
        <v>0.5</v>
      </c>
      <c r="AP22">
        <v>0.3</v>
      </c>
      <c r="AQ22">
        <v>0.3</v>
      </c>
      <c r="AR22">
        <v>0.3</v>
      </c>
      <c r="AS22">
        <v>0.5</v>
      </c>
      <c r="AT22">
        <v>0.3</v>
      </c>
      <c r="AU22">
        <v>0.1</v>
      </c>
      <c r="AV22">
        <v>0.1</v>
      </c>
      <c r="AW22">
        <v>0.1</v>
      </c>
      <c r="AX22">
        <v>0.3</v>
      </c>
      <c r="AY22">
        <v>0.3</v>
      </c>
      <c r="AZ22">
        <v>0.5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</row>
    <row r="23" x14ac:dyDescent="0.15">
      <c r="A23" t="s">
        <v>188</v>
      </c>
      <c r="B23">
        <v>0.3</v>
      </c>
      <c r="C23">
        <v>0.3</v>
      </c>
      <c r="D23">
        <v>0.5</v>
      </c>
      <c r="E23">
        <v>0.1</v>
      </c>
      <c r="F23">
        <v>0.3</v>
      </c>
      <c r="G23">
        <v>0.6</v>
      </c>
      <c r="H23">
        <v>0.3</v>
      </c>
      <c r="I23">
        <v>0.3</v>
      </c>
      <c r="J23">
        <v>0.6</v>
      </c>
      <c r="K23">
        <v>0.3</v>
      </c>
      <c r="L23">
        <v>0.1</v>
      </c>
      <c r="M23">
        <v>0.1</v>
      </c>
      <c r="N23">
        <v>0.1</v>
      </c>
      <c r="O23">
        <v>0.6</v>
      </c>
      <c r="P23">
        <v>0.3</v>
      </c>
      <c r="Q23">
        <v>0.3</v>
      </c>
      <c r="R23">
        <v>0.1</v>
      </c>
      <c r="S23">
        <v>0.3</v>
      </c>
      <c r="T23">
        <v>0.3</v>
      </c>
      <c r="U23">
        <v>0.6</v>
      </c>
      <c r="V23">
        <v>0.3</v>
      </c>
      <c r="W23">
        <v>0.3</v>
      </c>
      <c r="X23">
        <v>0.3</v>
      </c>
      <c r="Y23">
        <v>0.3</v>
      </c>
      <c r="Z23">
        <v>0.3</v>
      </c>
      <c r="AA23">
        <v>0.3</v>
      </c>
      <c r="AB23">
        <v>0.3</v>
      </c>
      <c r="AC23">
        <v>0.3</v>
      </c>
      <c r="AD23">
        <v>0.3</v>
      </c>
      <c r="AE23">
        <v>0.3</v>
      </c>
      <c r="AF23">
        <v>0.3</v>
      </c>
      <c r="AG23">
        <v>0.3</v>
      </c>
      <c r="AH23">
        <v>0.6</v>
      </c>
      <c r="AI23">
        <v>0.3</v>
      </c>
      <c r="AJ23">
        <v>0.5</v>
      </c>
      <c r="AK23">
        <v>0.5</v>
      </c>
      <c r="AL23">
        <v>0.5</v>
      </c>
      <c r="AM23">
        <v>0.3</v>
      </c>
      <c r="AN23">
        <v>0.3</v>
      </c>
      <c r="AO23">
        <v>0.5</v>
      </c>
      <c r="AP23">
        <v>0.3</v>
      </c>
      <c r="AQ23">
        <v>0.3</v>
      </c>
      <c r="AR23">
        <v>0.3</v>
      </c>
      <c r="AS23">
        <v>0.5</v>
      </c>
      <c r="AT23">
        <v>0.3</v>
      </c>
      <c r="AU23">
        <v>0.1</v>
      </c>
      <c r="AV23">
        <v>0.1</v>
      </c>
      <c r="AW23">
        <v>0.1</v>
      </c>
      <c r="AX23">
        <v>0.3</v>
      </c>
      <c r="AY23">
        <v>0.3</v>
      </c>
      <c r="AZ23">
        <v>0.5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</row>
    <row r="24" x14ac:dyDescent="0.15">
      <c r="A24" t="s">
        <v>189</v>
      </c>
      <c r="B24">
        <v>0.3</v>
      </c>
      <c r="C24">
        <v>0.3</v>
      </c>
      <c r="D24">
        <v>0.5</v>
      </c>
      <c r="E24">
        <v>0.1</v>
      </c>
      <c r="F24">
        <v>0.3</v>
      </c>
      <c r="G24">
        <v>0.6</v>
      </c>
      <c r="H24">
        <v>0.3</v>
      </c>
      <c r="I24">
        <v>0.3</v>
      </c>
      <c r="J24">
        <v>0.6</v>
      </c>
      <c r="K24">
        <v>0.3</v>
      </c>
      <c r="L24">
        <v>0.1</v>
      </c>
      <c r="M24">
        <v>0.1</v>
      </c>
      <c r="N24">
        <v>0.1</v>
      </c>
      <c r="O24">
        <v>0.6</v>
      </c>
      <c r="P24">
        <v>0.3</v>
      </c>
      <c r="Q24">
        <v>0.3</v>
      </c>
      <c r="R24">
        <v>0.1</v>
      </c>
      <c r="S24">
        <v>0.3</v>
      </c>
      <c r="T24">
        <v>0.3</v>
      </c>
      <c r="U24">
        <v>0.6</v>
      </c>
      <c r="V24">
        <v>0.3</v>
      </c>
      <c r="W24">
        <v>0.3</v>
      </c>
      <c r="X24">
        <v>0.3</v>
      </c>
      <c r="Y24">
        <v>0.3</v>
      </c>
      <c r="Z24">
        <v>0.3</v>
      </c>
      <c r="AA24">
        <v>0.3</v>
      </c>
      <c r="AB24">
        <v>0.3</v>
      </c>
      <c r="AC24">
        <v>0.3</v>
      </c>
      <c r="AD24">
        <v>0.3</v>
      </c>
      <c r="AE24">
        <v>0.3</v>
      </c>
      <c r="AF24">
        <v>0.3</v>
      </c>
      <c r="AG24">
        <v>0.3</v>
      </c>
      <c r="AH24">
        <v>0.6</v>
      </c>
      <c r="AI24">
        <v>0.3</v>
      </c>
      <c r="AJ24">
        <v>0.5</v>
      </c>
      <c r="AK24">
        <v>0.5</v>
      </c>
      <c r="AL24">
        <v>0.5</v>
      </c>
      <c r="AM24">
        <v>0.3</v>
      </c>
      <c r="AN24">
        <v>0.3</v>
      </c>
      <c r="AO24">
        <v>0.5</v>
      </c>
      <c r="AP24">
        <v>0.3</v>
      </c>
      <c r="AQ24">
        <v>0.3</v>
      </c>
      <c r="AR24">
        <v>0.3</v>
      </c>
      <c r="AS24">
        <v>0.5</v>
      </c>
      <c r="AT24">
        <v>0.3</v>
      </c>
      <c r="AU24">
        <v>0.1</v>
      </c>
      <c r="AV24">
        <v>0.1</v>
      </c>
      <c r="AW24">
        <v>0.1</v>
      </c>
      <c r="AX24">
        <v>0.3</v>
      </c>
      <c r="AY24">
        <v>0.3</v>
      </c>
      <c r="AZ24">
        <v>0.5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</row>
    <row r="25" x14ac:dyDescent="0.15">
      <c r="A25" t="s">
        <v>190</v>
      </c>
      <c r="B25">
        <v>0.3</v>
      </c>
      <c r="C25">
        <v>0.3</v>
      </c>
      <c r="D25">
        <v>0.5</v>
      </c>
      <c r="E25">
        <v>0.1</v>
      </c>
      <c r="F25">
        <v>0.3</v>
      </c>
      <c r="G25">
        <v>0.6</v>
      </c>
      <c r="H25">
        <v>0.3</v>
      </c>
      <c r="I25">
        <v>0.3</v>
      </c>
      <c r="J25">
        <v>0.6</v>
      </c>
      <c r="K25">
        <v>0.3</v>
      </c>
      <c r="L25">
        <v>0.1</v>
      </c>
      <c r="M25">
        <v>0.1</v>
      </c>
      <c r="N25">
        <v>0.1</v>
      </c>
      <c r="O25">
        <v>0.6</v>
      </c>
      <c r="P25">
        <v>0.3</v>
      </c>
      <c r="Q25">
        <v>0.3</v>
      </c>
      <c r="R25">
        <v>0.1</v>
      </c>
      <c r="S25">
        <v>0.3</v>
      </c>
      <c r="T25">
        <v>0.3</v>
      </c>
      <c r="U25">
        <v>0.6</v>
      </c>
      <c r="V25">
        <v>0.3</v>
      </c>
      <c r="W25">
        <v>0.3</v>
      </c>
      <c r="X25">
        <v>0.3</v>
      </c>
      <c r="Y25">
        <v>0.3</v>
      </c>
      <c r="Z25">
        <v>0.3</v>
      </c>
      <c r="AA25">
        <v>0.3</v>
      </c>
      <c r="AB25">
        <v>0.3</v>
      </c>
      <c r="AC25">
        <v>0.3</v>
      </c>
      <c r="AD25">
        <v>0.3</v>
      </c>
      <c r="AE25">
        <v>0.3</v>
      </c>
      <c r="AF25">
        <v>0.3</v>
      </c>
      <c r="AG25">
        <v>0.3</v>
      </c>
      <c r="AH25">
        <v>0.6</v>
      </c>
      <c r="AI25">
        <v>0.3</v>
      </c>
      <c r="AJ25">
        <v>0.5</v>
      </c>
      <c r="AK25">
        <v>0.5</v>
      </c>
      <c r="AL25">
        <v>0.5</v>
      </c>
      <c r="AM25">
        <v>0.3</v>
      </c>
      <c r="AN25">
        <v>0.3</v>
      </c>
      <c r="AO25">
        <v>0.5</v>
      </c>
      <c r="AP25">
        <v>0.3</v>
      </c>
      <c r="AQ25">
        <v>0.3</v>
      </c>
      <c r="AR25">
        <v>0.3</v>
      </c>
      <c r="AS25">
        <v>0.5</v>
      </c>
      <c r="AT25">
        <v>0.3</v>
      </c>
      <c r="AU25">
        <v>0.1</v>
      </c>
      <c r="AV25">
        <v>0.1</v>
      </c>
      <c r="AW25">
        <v>0.1</v>
      </c>
      <c r="AX25">
        <v>0.3</v>
      </c>
      <c r="AY25">
        <v>0.3</v>
      </c>
      <c r="AZ25">
        <v>0.5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</row>
    <row r="26" x14ac:dyDescent="0.15">
      <c r="A26" t="s">
        <v>191</v>
      </c>
      <c r="B26">
        <v>0.3</v>
      </c>
      <c r="C26">
        <v>0.3</v>
      </c>
      <c r="D26">
        <v>0.5</v>
      </c>
      <c r="E26">
        <v>0.1</v>
      </c>
      <c r="F26">
        <v>0.3</v>
      </c>
      <c r="G26">
        <v>0.6</v>
      </c>
      <c r="H26">
        <v>0.3</v>
      </c>
      <c r="I26">
        <v>0.3</v>
      </c>
      <c r="J26">
        <v>0.6</v>
      </c>
      <c r="K26">
        <v>0.3</v>
      </c>
      <c r="L26">
        <v>0.1</v>
      </c>
      <c r="M26">
        <v>0.1</v>
      </c>
      <c r="N26">
        <v>0.1</v>
      </c>
      <c r="O26">
        <v>0.6</v>
      </c>
      <c r="P26">
        <v>0.3</v>
      </c>
      <c r="Q26">
        <v>0.3</v>
      </c>
      <c r="R26">
        <v>0.1</v>
      </c>
      <c r="S26">
        <v>0.3</v>
      </c>
      <c r="T26">
        <v>0.3</v>
      </c>
      <c r="U26">
        <v>0.6</v>
      </c>
      <c r="V26">
        <v>0.3</v>
      </c>
      <c r="W26">
        <v>0.3</v>
      </c>
      <c r="X26">
        <v>0.3</v>
      </c>
      <c r="Y26">
        <v>0.3</v>
      </c>
      <c r="Z26">
        <v>0.3</v>
      </c>
      <c r="AA26">
        <v>0.3</v>
      </c>
      <c r="AB26">
        <v>0.3</v>
      </c>
      <c r="AC26">
        <v>0.3</v>
      </c>
      <c r="AD26">
        <v>0.3</v>
      </c>
      <c r="AE26">
        <v>0.3</v>
      </c>
      <c r="AF26">
        <v>0.3</v>
      </c>
      <c r="AG26">
        <v>0.3</v>
      </c>
      <c r="AH26">
        <v>0.6</v>
      </c>
      <c r="AI26">
        <v>0.3</v>
      </c>
      <c r="AJ26">
        <v>0.5</v>
      </c>
      <c r="AK26">
        <v>0.5</v>
      </c>
      <c r="AL26">
        <v>0.5</v>
      </c>
      <c r="AM26">
        <v>0.3</v>
      </c>
      <c r="AN26">
        <v>0.3</v>
      </c>
      <c r="AO26">
        <v>0.5</v>
      </c>
      <c r="AP26">
        <v>0.3</v>
      </c>
      <c r="AQ26">
        <v>0.3</v>
      </c>
      <c r="AR26">
        <v>0.3</v>
      </c>
      <c r="AS26">
        <v>0.5</v>
      </c>
      <c r="AT26">
        <v>0.3</v>
      </c>
      <c r="AU26">
        <v>0.1</v>
      </c>
      <c r="AV26">
        <v>0.1</v>
      </c>
      <c r="AW26">
        <v>0.1</v>
      </c>
      <c r="AX26">
        <v>0.3</v>
      </c>
      <c r="AY26">
        <v>0.3</v>
      </c>
      <c r="AZ26">
        <v>0.5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</row>
    <row r="27" x14ac:dyDescent="0.15">
      <c r="A27" t="s">
        <v>192</v>
      </c>
      <c r="B27">
        <v>0.3</v>
      </c>
      <c r="C27">
        <v>0.3</v>
      </c>
      <c r="D27">
        <v>0.5</v>
      </c>
      <c r="E27">
        <v>0.1</v>
      </c>
      <c r="F27">
        <v>0.3</v>
      </c>
      <c r="G27">
        <v>0.6</v>
      </c>
      <c r="H27">
        <v>0.3</v>
      </c>
      <c r="I27">
        <v>0.3</v>
      </c>
      <c r="J27">
        <v>0.6</v>
      </c>
      <c r="K27">
        <v>0.3</v>
      </c>
      <c r="L27">
        <v>0.1</v>
      </c>
      <c r="M27">
        <v>0.1</v>
      </c>
      <c r="N27">
        <v>0.1</v>
      </c>
      <c r="O27">
        <v>0.6</v>
      </c>
      <c r="P27">
        <v>0.3</v>
      </c>
      <c r="Q27">
        <v>0.3</v>
      </c>
      <c r="R27">
        <v>0.1</v>
      </c>
      <c r="S27">
        <v>0.3</v>
      </c>
      <c r="T27">
        <v>0.3</v>
      </c>
      <c r="U27">
        <v>0.6</v>
      </c>
      <c r="V27">
        <v>0.3</v>
      </c>
      <c r="W27">
        <v>0.3</v>
      </c>
      <c r="X27">
        <v>0.3</v>
      </c>
      <c r="Y27">
        <v>0.3</v>
      </c>
      <c r="Z27">
        <v>0.3</v>
      </c>
      <c r="AA27">
        <v>0.3</v>
      </c>
      <c r="AB27">
        <v>0.3</v>
      </c>
      <c r="AC27">
        <v>0.3</v>
      </c>
      <c r="AD27">
        <v>0.3</v>
      </c>
      <c r="AE27">
        <v>0.3</v>
      </c>
      <c r="AF27">
        <v>0.3</v>
      </c>
      <c r="AG27">
        <v>0.3</v>
      </c>
      <c r="AH27">
        <v>0.6</v>
      </c>
      <c r="AI27">
        <v>0.3</v>
      </c>
      <c r="AJ27">
        <v>0.5</v>
      </c>
      <c r="AK27">
        <v>0.5</v>
      </c>
      <c r="AL27">
        <v>0.5</v>
      </c>
      <c r="AM27">
        <v>0.3</v>
      </c>
      <c r="AN27">
        <v>0.3</v>
      </c>
      <c r="AO27">
        <v>0.5</v>
      </c>
      <c r="AP27">
        <v>0.3</v>
      </c>
      <c r="AQ27">
        <v>0.3</v>
      </c>
      <c r="AR27">
        <v>0.3</v>
      </c>
      <c r="AS27">
        <v>0.5</v>
      </c>
      <c r="AT27">
        <v>0.3</v>
      </c>
      <c r="AU27">
        <v>0.1</v>
      </c>
      <c r="AV27">
        <v>0.1</v>
      </c>
      <c r="AW27">
        <v>0.1</v>
      </c>
      <c r="AX27">
        <v>0.3</v>
      </c>
      <c r="AY27">
        <v>0.3</v>
      </c>
      <c r="AZ27">
        <v>0.5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</row>
    <row r="28" x14ac:dyDescent="0.15">
      <c r="A28" t="s">
        <v>193</v>
      </c>
      <c r="B28">
        <v>0.3</v>
      </c>
      <c r="C28">
        <v>0.3</v>
      </c>
      <c r="D28">
        <v>0.5</v>
      </c>
      <c r="E28">
        <v>0.1</v>
      </c>
      <c r="F28">
        <v>0.3</v>
      </c>
      <c r="G28">
        <v>0.6</v>
      </c>
      <c r="H28">
        <v>0.3</v>
      </c>
      <c r="I28">
        <v>0.3</v>
      </c>
      <c r="J28">
        <v>0.6</v>
      </c>
      <c r="K28">
        <v>0.3</v>
      </c>
      <c r="L28">
        <v>0.1</v>
      </c>
      <c r="M28">
        <v>0.1</v>
      </c>
      <c r="N28">
        <v>0.1</v>
      </c>
      <c r="O28">
        <v>0.6</v>
      </c>
      <c r="P28">
        <v>0.3</v>
      </c>
      <c r="Q28">
        <v>0.3</v>
      </c>
      <c r="R28">
        <v>0.1</v>
      </c>
      <c r="S28">
        <v>0.3</v>
      </c>
      <c r="T28">
        <v>0.3</v>
      </c>
      <c r="U28">
        <v>0.6</v>
      </c>
      <c r="V28">
        <v>0.3</v>
      </c>
      <c r="W28">
        <v>0.3</v>
      </c>
      <c r="X28">
        <v>0.3</v>
      </c>
      <c r="Y28">
        <v>0.3</v>
      </c>
      <c r="Z28">
        <v>0.3</v>
      </c>
      <c r="AA28">
        <v>0.3</v>
      </c>
      <c r="AB28">
        <v>0.3</v>
      </c>
      <c r="AC28">
        <v>0.3</v>
      </c>
      <c r="AD28">
        <v>0.3</v>
      </c>
      <c r="AE28">
        <v>0.3</v>
      </c>
      <c r="AF28">
        <v>0.3</v>
      </c>
      <c r="AG28">
        <v>0.3</v>
      </c>
      <c r="AH28">
        <v>0.6</v>
      </c>
      <c r="AI28">
        <v>0.3</v>
      </c>
      <c r="AJ28">
        <v>0.5</v>
      </c>
      <c r="AK28">
        <v>0.5</v>
      </c>
      <c r="AL28">
        <v>0.5</v>
      </c>
      <c r="AM28">
        <v>0.3</v>
      </c>
      <c r="AN28">
        <v>0.3</v>
      </c>
      <c r="AO28">
        <v>0.5</v>
      </c>
      <c r="AP28">
        <v>0.3</v>
      </c>
      <c r="AQ28">
        <v>0.3</v>
      </c>
      <c r="AR28">
        <v>0.3</v>
      </c>
      <c r="AS28">
        <v>0.5</v>
      </c>
      <c r="AT28">
        <v>0.3</v>
      </c>
      <c r="AU28">
        <v>0.1</v>
      </c>
      <c r="AV28">
        <v>0.1</v>
      </c>
      <c r="AW28">
        <v>0.1</v>
      </c>
      <c r="AX28">
        <v>0.3</v>
      </c>
      <c r="AY28">
        <v>0.3</v>
      </c>
      <c r="AZ28">
        <v>0.5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</row>
    <row r="29" x14ac:dyDescent="0.15">
      <c r="A29" t="s">
        <v>194</v>
      </c>
      <c r="B29">
        <v>0.3</v>
      </c>
      <c r="C29">
        <v>0.3</v>
      </c>
      <c r="D29">
        <v>0.5</v>
      </c>
      <c r="E29">
        <v>0.1</v>
      </c>
      <c r="F29">
        <v>0.3</v>
      </c>
      <c r="G29">
        <v>0.6</v>
      </c>
      <c r="H29">
        <v>0.3</v>
      </c>
      <c r="I29">
        <v>0.3</v>
      </c>
      <c r="J29">
        <v>0.6</v>
      </c>
      <c r="K29">
        <v>0.3</v>
      </c>
      <c r="L29">
        <v>0.1</v>
      </c>
      <c r="M29">
        <v>0.1</v>
      </c>
      <c r="N29">
        <v>0.1</v>
      </c>
      <c r="O29">
        <v>0.6</v>
      </c>
      <c r="P29">
        <v>0.3</v>
      </c>
      <c r="Q29">
        <v>0.3</v>
      </c>
      <c r="R29">
        <v>0.1</v>
      </c>
      <c r="S29">
        <v>0.3</v>
      </c>
      <c r="T29">
        <v>0.3</v>
      </c>
      <c r="U29">
        <v>0.6</v>
      </c>
      <c r="V29">
        <v>0.3</v>
      </c>
      <c r="W29">
        <v>0.3</v>
      </c>
      <c r="X29">
        <v>0.3</v>
      </c>
      <c r="Y29">
        <v>0.3</v>
      </c>
      <c r="Z29">
        <v>0.3</v>
      </c>
      <c r="AA29">
        <v>0.3</v>
      </c>
      <c r="AB29">
        <v>0.3</v>
      </c>
      <c r="AC29">
        <v>0.3</v>
      </c>
      <c r="AD29">
        <v>0.3</v>
      </c>
      <c r="AE29">
        <v>0.3</v>
      </c>
      <c r="AF29">
        <v>0.3</v>
      </c>
      <c r="AG29">
        <v>0.3</v>
      </c>
      <c r="AH29">
        <v>0.6</v>
      </c>
      <c r="AI29">
        <v>0.3</v>
      </c>
      <c r="AJ29">
        <v>0.5</v>
      </c>
      <c r="AK29">
        <v>0.5</v>
      </c>
      <c r="AL29">
        <v>0.5</v>
      </c>
      <c r="AM29">
        <v>0.3</v>
      </c>
      <c r="AN29">
        <v>0.3</v>
      </c>
      <c r="AO29">
        <v>0.5</v>
      </c>
      <c r="AP29">
        <v>0.3</v>
      </c>
      <c r="AQ29">
        <v>0.3</v>
      </c>
      <c r="AR29">
        <v>0.3</v>
      </c>
      <c r="AS29">
        <v>0.5</v>
      </c>
      <c r="AT29">
        <v>0.3</v>
      </c>
      <c r="AU29">
        <v>0.1</v>
      </c>
      <c r="AV29">
        <v>0.1</v>
      </c>
      <c r="AW29">
        <v>0.1</v>
      </c>
      <c r="AX29">
        <v>0.3</v>
      </c>
      <c r="AY29">
        <v>0.3</v>
      </c>
      <c r="AZ29">
        <v>0.5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</row>
    <row r="30" x14ac:dyDescent="0.15">
      <c r="A30" t="s">
        <v>195</v>
      </c>
      <c r="B30">
        <v>0.3</v>
      </c>
      <c r="C30">
        <v>0.3</v>
      </c>
      <c r="D30">
        <v>0.5</v>
      </c>
      <c r="E30">
        <v>0.1</v>
      </c>
      <c r="F30">
        <v>0.3</v>
      </c>
      <c r="G30">
        <v>0.6</v>
      </c>
      <c r="H30">
        <v>0.3</v>
      </c>
      <c r="I30">
        <v>0.3</v>
      </c>
      <c r="J30">
        <v>0.6</v>
      </c>
      <c r="K30">
        <v>0.3</v>
      </c>
      <c r="L30">
        <v>0.1</v>
      </c>
      <c r="M30">
        <v>0.1</v>
      </c>
      <c r="N30">
        <v>0.1</v>
      </c>
      <c r="O30">
        <v>0.6</v>
      </c>
      <c r="P30">
        <v>0.3</v>
      </c>
      <c r="Q30">
        <v>0.3</v>
      </c>
      <c r="R30">
        <v>0.1</v>
      </c>
      <c r="S30">
        <v>0.3</v>
      </c>
      <c r="T30">
        <v>0.3</v>
      </c>
      <c r="U30">
        <v>0.6</v>
      </c>
      <c r="V30">
        <v>0.3</v>
      </c>
      <c r="W30">
        <v>0.3</v>
      </c>
      <c r="X30">
        <v>0.3</v>
      </c>
      <c r="Y30">
        <v>0.3</v>
      </c>
      <c r="Z30">
        <v>0.3</v>
      </c>
      <c r="AA30">
        <v>0.3</v>
      </c>
      <c r="AB30">
        <v>0.3</v>
      </c>
      <c r="AC30">
        <v>0.3</v>
      </c>
      <c r="AD30">
        <v>0.3</v>
      </c>
      <c r="AE30">
        <v>0.3</v>
      </c>
      <c r="AF30">
        <v>0.3</v>
      </c>
      <c r="AG30">
        <v>0.3</v>
      </c>
      <c r="AH30">
        <v>0.6</v>
      </c>
      <c r="AI30">
        <v>0.3</v>
      </c>
      <c r="AJ30">
        <v>0.5</v>
      </c>
      <c r="AK30">
        <v>0.5</v>
      </c>
      <c r="AL30">
        <v>0.5</v>
      </c>
      <c r="AM30">
        <v>0.3</v>
      </c>
      <c r="AN30">
        <v>0.3</v>
      </c>
      <c r="AO30">
        <v>0.5</v>
      </c>
      <c r="AP30">
        <v>0.3</v>
      </c>
      <c r="AQ30">
        <v>0.3</v>
      </c>
      <c r="AR30">
        <v>0.3</v>
      </c>
      <c r="AS30">
        <v>0.5</v>
      </c>
      <c r="AT30">
        <v>0.3</v>
      </c>
      <c r="AU30">
        <v>0.1</v>
      </c>
      <c r="AV30">
        <v>0.1</v>
      </c>
      <c r="AW30">
        <v>0.1</v>
      </c>
      <c r="AX30">
        <v>0.3</v>
      </c>
      <c r="AY30">
        <v>0.3</v>
      </c>
      <c r="AZ30">
        <v>0.5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</row>
    <row r="31" x14ac:dyDescent="0.15">
      <c r="A31" t="s">
        <v>196</v>
      </c>
      <c r="B31">
        <v>0.3</v>
      </c>
      <c r="C31">
        <v>0.3</v>
      </c>
      <c r="D31">
        <v>0.5</v>
      </c>
      <c r="E31">
        <v>0.1</v>
      </c>
      <c r="F31">
        <v>0.3</v>
      </c>
      <c r="G31">
        <v>0.6</v>
      </c>
      <c r="H31">
        <v>0.3</v>
      </c>
      <c r="I31">
        <v>0.3</v>
      </c>
      <c r="J31">
        <v>0.6</v>
      </c>
      <c r="K31">
        <v>0.3</v>
      </c>
      <c r="L31">
        <v>0.1</v>
      </c>
      <c r="M31">
        <v>0.1</v>
      </c>
      <c r="N31">
        <v>0.1</v>
      </c>
      <c r="O31">
        <v>0.6</v>
      </c>
      <c r="P31">
        <v>0.3</v>
      </c>
      <c r="Q31">
        <v>0.3</v>
      </c>
      <c r="R31">
        <v>0.1</v>
      </c>
      <c r="S31">
        <v>0.3</v>
      </c>
      <c r="T31">
        <v>0.3</v>
      </c>
      <c r="U31">
        <v>0.6</v>
      </c>
      <c r="V31">
        <v>0.3</v>
      </c>
      <c r="W31">
        <v>0.3</v>
      </c>
      <c r="X31">
        <v>0.3</v>
      </c>
      <c r="Y31">
        <v>0.3</v>
      </c>
      <c r="Z31">
        <v>0.3</v>
      </c>
      <c r="AA31">
        <v>0.3</v>
      </c>
      <c r="AB31">
        <v>0.3</v>
      </c>
      <c r="AC31">
        <v>0.3</v>
      </c>
      <c r="AD31">
        <v>0.3</v>
      </c>
      <c r="AE31">
        <v>0.3</v>
      </c>
      <c r="AF31">
        <v>0.3</v>
      </c>
      <c r="AG31">
        <v>0.3</v>
      </c>
      <c r="AH31">
        <v>0.6</v>
      </c>
      <c r="AI31">
        <v>0.3</v>
      </c>
      <c r="AJ31">
        <v>0.5</v>
      </c>
      <c r="AK31">
        <v>0.5</v>
      </c>
      <c r="AL31">
        <v>0.5</v>
      </c>
      <c r="AM31">
        <v>0.3</v>
      </c>
      <c r="AN31">
        <v>0.3</v>
      </c>
      <c r="AO31">
        <v>0.5</v>
      </c>
      <c r="AP31">
        <v>0.3</v>
      </c>
      <c r="AQ31">
        <v>0.3</v>
      </c>
      <c r="AR31">
        <v>0.3</v>
      </c>
      <c r="AS31">
        <v>0.5</v>
      </c>
      <c r="AT31">
        <v>0.3</v>
      </c>
      <c r="AU31">
        <v>0.1</v>
      </c>
      <c r="AV31">
        <v>0.1</v>
      </c>
      <c r="AW31">
        <v>0.1</v>
      </c>
      <c r="AX31">
        <v>0.3</v>
      </c>
      <c r="AY31">
        <v>0.3</v>
      </c>
      <c r="AZ31">
        <v>0.5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</row>
    <row r="32" x14ac:dyDescent="0.15">
      <c r="A32" t="s">
        <v>197</v>
      </c>
      <c r="B32">
        <v>0.3</v>
      </c>
      <c r="C32">
        <v>0.3</v>
      </c>
      <c r="D32">
        <v>0.5</v>
      </c>
      <c r="E32">
        <v>0.1</v>
      </c>
      <c r="F32">
        <v>0.3</v>
      </c>
      <c r="G32">
        <v>0.6</v>
      </c>
      <c r="H32">
        <v>0.3</v>
      </c>
      <c r="I32">
        <v>0.3</v>
      </c>
      <c r="J32">
        <v>0.6</v>
      </c>
      <c r="K32">
        <v>0.3</v>
      </c>
      <c r="L32">
        <v>0.1</v>
      </c>
      <c r="M32">
        <v>0.1</v>
      </c>
      <c r="N32">
        <v>0.1</v>
      </c>
      <c r="O32">
        <v>0.6</v>
      </c>
      <c r="P32">
        <v>0.3</v>
      </c>
      <c r="Q32">
        <v>0.3</v>
      </c>
      <c r="R32">
        <v>0.1</v>
      </c>
      <c r="S32">
        <v>0.3</v>
      </c>
      <c r="T32">
        <v>0.3</v>
      </c>
      <c r="U32">
        <v>0.6</v>
      </c>
      <c r="V32">
        <v>0.3</v>
      </c>
      <c r="W32">
        <v>0.3</v>
      </c>
      <c r="X32">
        <v>0.3</v>
      </c>
      <c r="Y32">
        <v>0.3</v>
      </c>
      <c r="Z32">
        <v>0.3</v>
      </c>
      <c r="AA32">
        <v>0.3</v>
      </c>
      <c r="AB32">
        <v>0.3</v>
      </c>
      <c r="AC32">
        <v>0.3</v>
      </c>
      <c r="AD32">
        <v>0.3</v>
      </c>
      <c r="AE32">
        <v>0.3</v>
      </c>
      <c r="AF32">
        <v>0.3</v>
      </c>
      <c r="AG32">
        <v>0.3</v>
      </c>
      <c r="AH32">
        <v>0.6</v>
      </c>
      <c r="AI32">
        <v>0.3</v>
      </c>
      <c r="AJ32">
        <v>0.5</v>
      </c>
      <c r="AK32">
        <v>0.5</v>
      </c>
      <c r="AL32">
        <v>0.5</v>
      </c>
      <c r="AM32">
        <v>0.3</v>
      </c>
      <c r="AN32">
        <v>0.3</v>
      </c>
      <c r="AO32">
        <v>0.5</v>
      </c>
      <c r="AP32">
        <v>0.3</v>
      </c>
      <c r="AQ32">
        <v>0.3</v>
      </c>
      <c r="AR32">
        <v>0.3</v>
      </c>
      <c r="AS32">
        <v>0.5</v>
      </c>
      <c r="AT32">
        <v>0.3</v>
      </c>
      <c r="AU32">
        <v>0.1</v>
      </c>
      <c r="AV32">
        <v>0.1</v>
      </c>
      <c r="AW32">
        <v>0.1</v>
      </c>
      <c r="AX32">
        <v>0.3</v>
      </c>
      <c r="AY32">
        <v>0.3</v>
      </c>
      <c r="AZ32">
        <v>0.5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</row>
    <row r="33" x14ac:dyDescent="0.15">
      <c r="A33" t="s">
        <v>198</v>
      </c>
      <c r="B33">
        <v>0.3</v>
      </c>
      <c r="C33">
        <v>0.3</v>
      </c>
      <c r="D33">
        <v>0.5</v>
      </c>
      <c r="E33">
        <v>0.1</v>
      </c>
      <c r="F33">
        <v>0.3</v>
      </c>
      <c r="G33">
        <v>0.6</v>
      </c>
      <c r="H33">
        <v>0.3</v>
      </c>
      <c r="I33">
        <v>0.3</v>
      </c>
      <c r="J33">
        <v>0.6</v>
      </c>
      <c r="K33">
        <v>0.3</v>
      </c>
      <c r="L33">
        <v>0.1</v>
      </c>
      <c r="M33">
        <v>0.1</v>
      </c>
      <c r="N33">
        <v>0.1</v>
      </c>
      <c r="O33">
        <v>0.6</v>
      </c>
      <c r="P33">
        <v>0.3</v>
      </c>
      <c r="Q33">
        <v>0.3</v>
      </c>
      <c r="R33">
        <v>0.1</v>
      </c>
      <c r="S33">
        <v>0.3</v>
      </c>
      <c r="T33">
        <v>0.3</v>
      </c>
      <c r="U33">
        <v>0.6</v>
      </c>
      <c r="V33">
        <v>0.3</v>
      </c>
      <c r="W33">
        <v>0.3</v>
      </c>
      <c r="X33">
        <v>0.3</v>
      </c>
      <c r="Y33">
        <v>0.3</v>
      </c>
      <c r="Z33">
        <v>0.3</v>
      </c>
      <c r="AA33">
        <v>0.3</v>
      </c>
      <c r="AB33">
        <v>0.3</v>
      </c>
      <c r="AC33">
        <v>0.3</v>
      </c>
      <c r="AD33">
        <v>0.3</v>
      </c>
      <c r="AE33">
        <v>0.3</v>
      </c>
      <c r="AF33">
        <v>0.3</v>
      </c>
      <c r="AG33">
        <v>0.3</v>
      </c>
      <c r="AH33">
        <v>0.6</v>
      </c>
      <c r="AI33">
        <v>0.3</v>
      </c>
      <c r="AJ33">
        <v>0.5</v>
      </c>
      <c r="AK33">
        <v>0.5</v>
      </c>
      <c r="AL33">
        <v>0.5</v>
      </c>
      <c r="AM33">
        <v>0.3</v>
      </c>
      <c r="AN33">
        <v>0.3</v>
      </c>
      <c r="AO33">
        <v>0.5</v>
      </c>
      <c r="AP33">
        <v>0.3</v>
      </c>
      <c r="AQ33">
        <v>0.3</v>
      </c>
      <c r="AR33">
        <v>0.3</v>
      </c>
      <c r="AS33">
        <v>0.5</v>
      </c>
      <c r="AT33">
        <v>0.3</v>
      </c>
      <c r="AU33">
        <v>0.1</v>
      </c>
      <c r="AV33">
        <v>0.1</v>
      </c>
      <c r="AW33">
        <v>0.1</v>
      </c>
      <c r="AX33">
        <v>0.3</v>
      </c>
      <c r="AY33">
        <v>0.3</v>
      </c>
      <c r="AZ33">
        <v>0.5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</row>
    <row r="34" x14ac:dyDescent="0.15">
      <c r="A34" t="s">
        <v>199</v>
      </c>
      <c r="B34">
        <v>0.3</v>
      </c>
      <c r="C34">
        <v>0.3</v>
      </c>
      <c r="D34">
        <v>0.5</v>
      </c>
      <c r="E34">
        <v>0.1</v>
      </c>
      <c r="F34">
        <v>0.3</v>
      </c>
      <c r="G34">
        <v>0.6</v>
      </c>
      <c r="H34">
        <v>0.3</v>
      </c>
      <c r="I34">
        <v>0.3</v>
      </c>
      <c r="J34">
        <v>0.6</v>
      </c>
      <c r="K34">
        <v>0.3</v>
      </c>
      <c r="L34">
        <v>0.1</v>
      </c>
      <c r="M34">
        <v>0.1</v>
      </c>
      <c r="N34">
        <v>0.1</v>
      </c>
      <c r="O34">
        <v>0.6</v>
      </c>
      <c r="P34">
        <v>0.3</v>
      </c>
      <c r="Q34">
        <v>0.3</v>
      </c>
      <c r="R34">
        <v>0.1</v>
      </c>
      <c r="S34">
        <v>0.3</v>
      </c>
      <c r="T34">
        <v>0.3</v>
      </c>
      <c r="U34">
        <v>0.6</v>
      </c>
      <c r="V34">
        <v>0.3</v>
      </c>
      <c r="W34">
        <v>0.3</v>
      </c>
      <c r="X34">
        <v>0.3</v>
      </c>
      <c r="Y34">
        <v>0.3</v>
      </c>
      <c r="Z34">
        <v>0.3</v>
      </c>
      <c r="AA34">
        <v>0.3</v>
      </c>
      <c r="AB34">
        <v>0.3</v>
      </c>
      <c r="AC34">
        <v>0.3</v>
      </c>
      <c r="AD34">
        <v>0.3</v>
      </c>
      <c r="AE34">
        <v>0.3</v>
      </c>
      <c r="AF34">
        <v>0.3</v>
      </c>
      <c r="AG34">
        <v>0.3</v>
      </c>
      <c r="AH34">
        <v>0.6</v>
      </c>
      <c r="AI34">
        <v>0.3</v>
      </c>
      <c r="AJ34">
        <v>0.5</v>
      </c>
      <c r="AK34">
        <v>0.5</v>
      </c>
      <c r="AL34">
        <v>0.5</v>
      </c>
      <c r="AM34">
        <v>0.3</v>
      </c>
      <c r="AN34">
        <v>0.3</v>
      </c>
      <c r="AO34">
        <v>0.5</v>
      </c>
      <c r="AP34">
        <v>0.3</v>
      </c>
      <c r="AQ34">
        <v>0.3</v>
      </c>
      <c r="AR34">
        <v>0.3</v>
      </c>
      <c r="AS34">
        <v>0.5</v>
      </c>
      <c r="AT34">
        <v>0.3</v>
      </c>
      <c r="AU34">
        <v>0.1</v>
      </c>
      <c r="AV34">
        <v>0.1</v>
      </c>
      <c r="AW34">
        <v>0.1</v>
      </c>
      <c r="AX34">
        <v>0.3</v>
      </c>
      <c r="AY34">
        <v>0.3</v>
      </c>
      <c r="AZ34">
        <v>0.5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</row>
    <row r="35" x14ac:dyDescent="0.15">
      <c r="A35" t="s">
        <v>200</v>
      </c>
      <c r="B35">
        <v>0.3</v>
      </c>
      <c r="C35">
        <v>0.3</v>
      </c>
      <c r="D35">
        <v>0.5</v>
      </c>
      <c r="E35">
        <v>0.1</v>
      </c>
      <c r="F35">
        <v>0.3</v>
      </c>
      <c r="G35">
        <v>0.6</v>
      </c>
      <c r="H35">
        <v>0.3</v>
      </c>
      <c r="I35">
        <v>0.3</v>
      </c>
      <c r="J35">
        <v>0.6</v>
      </c>
      <c r="K35">
        <v>0.3</v>
      </c>
      <c r="L35">
        <v>0.1</v>
      </c>
      <c r="M35">
        <v>0.1</v>
      </c>
      <c r="N35">
        <v>0.1</v>
      </c>
      <c r="O35">
        <v>0.6</v>
      </c>
      <c r="P35">
        <v>0.3</v>
      </c>
      <c r="Q35">
        <v>0.3</v>
      </c>
      <c r="R35">
        <v>0.1</v>
      </c>
      <c r="S35">
        <v>0.3</v>
      </c>
      <c r="T35">
        <v>0.3</v>
      </c>
      <c r="U35">
        <v>0.6</v>
      </c>
      <c r="V35">
        <v>0.3</v>
      </c>
      <c r="W35">
        <v>0.3</v>
      </c>
      <c r="X35">
        <v>0.3</v>
      </c>
      <c r="Y35">
        <v>0.3</v>
      </c>
      <c r="Z35">
        <v>0.3</v>
      </c>
      <c r="AA35">
        <v>0.3</v>
      </c>
      <c r="AB35">
        <v>0.3</v>
      </c>
      <c r="AC35">
        <v>0.3</v>
      </c>
      <c r="AD35">
        <v>0.3</v>
      </c>
      <c r="AE35">
        <v>0.3</v>
      </c>
      <c r="AF35">
        <v>0.3</v>
      </c>
      <c r="AG35">
        <v>0.3</v>
      </c>
      <c r="AH35">
        <v>0.6</v>
      </c>
      <c r="AI35">
        <v>0.3</v>
      </c>
      <c r="AJ35">
        <v>0.5</v>
      </c>
      <c r="AK35">
        <v>0.5</v>
      </c>
      <c r="AL35">
        <v>0.5</v>
      </c>
      <c r="AM35">
        <v>0.3</v>
      </c>
      <c r="AN35">
        <v>0.3</v>
      </c>
      <c r="AO35">
        <v>0.5</v>
      </c>
      <c r="AP35">
        <v>0.3</v>
      </c>
      <c r="AQ35">
        <v>0.3</v>
      </c>
      <c r="AR35">
        <v>0.3</v>
      </c>
      <c r="AS35">
        <v>0.5</v>
      </c>
      <c r="AT35">
        <v>0.3</v>
      </c>
      <c r="AU35">
        <v>0.1</v>
      </c>
      <c r="AV35">
        <v>0.1</v>
      </c>
      <c r="AW35">
        <v>0.1</v>
      </c>
      <c r="AX35">
        <v>0.3</v>
      </c>
      <c r="AY35">
        <v>0.3</v>
      </c>
      <c r="AZ35">
        <v>0.5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</row>
    <row r="36" x14ac:dyDescent="0.15">
      <c r="A36" t="s">
        <v>201</v>
      </c>
      <c r="B36">
        <v>0.3</v>
      </c>
      <c r="C36">
        <v>0.3</v>
      </c>
      <c r="D36">
        <v>0.5</v>
      </c>
      <c r="E36">
        <v>0.1</v>
      </c>
      <c r="F36">
        <v>0.3</v>
      </c>
      <c r="G36">
        <v>0.6</v>
      </c>
      <c r="H36">
        <v>0.3</v>
      </c>
      <c r="I36">
        <v>0.3</v>
      </c>
      <c r="J36">
        <v>0.6</v>
      </c>
      <c r="K36">
        <v>0.3</v>
      </c>
      <c r="L36">
        <v>0.1</v>
      </c>
      <c r="M36">
        <v>0.1</v>
      </c>
      <c r="N36">
        <v>0.1</v>
      </c>
      <c r="O36">
        <v>0.6</v>
      </c>
      <c r="P36">
        <v>0.3</v>
      </c>
      <c r="Q36">
        <v>0.3</v>
      </c>
      <c r="R36">
        <v>0.1</v>
      </c>
      <c r="S36">
        <v>0.3</v>
      </c>
      <c r="T36">
        <v>0.3</v>
      </c>
      <c r="U36">
        <v>0.6</v>
      </c>
      <c r="V36">
        <v>0.3</v>
      </c>
      <c r="W36">
        <v>0.3</v>
      </c>
      <c r="X36">
        <v>0.3</v>
      </c>
      <c r="Y36">
        <v>0.3</v>
      </c>
      <c r="Z36">
        <v>0.3</v>
      </c>
      <c r="AA36">
        <v>0.3</v>
      </c>
      <c r="AB36">
        <v>0.3</v>
      </c>
      <c r="AC36">
        <v>0.3</v>
      </c>
      <c r="AD36">
        <v>0.3</v>
      </c>
      <c r="AE36">
        <v>0.3</v>
      </c>
      <c r="AF36">
        <v>0.3</v>
      </c>
      <c r="AG36">
        <v>0.3</v>
      </c>
      <c r="AH36">
        <v>0.6</v>
      </c>
      <c r="AI36">
        <v>0.3</v>
      </c>
      <c r="AJ36">
        <v>0.5</v>
      </c>
      <c r="AK36">
        <v>0.5</v>
      </c>
      <c r="AL36">
        <v>0.5</v>
      </c>
      <c r="AM36">
        <v>0.3</v>
      </c>
      <c r="AN36">
        <v>0.3</v>
      </c>
      <c r="AO36">
        <v>0.5</v>
      </c>
      <c r="AP36">
        <v>0.3</v>
      </c>
      <c r="AQ36">
        <v>0.3</v>
      </c>
      <c r="AR36">
        <v>0.3</v>
      </c>
      <c r="AS36">
        <v>0.5</v>
      </c>
      <c r="AT36">
        <v>0.3</v>
      </c>
      <c r="AU36">
        <v>0.1</v>
      </c>
      <c r="AV36">
        <v>0.1</v>
      </c>
      <c r="AW36">
        <v>0.1</v>
      </c>
      <c r="AX36">
        <v>0.3</v>
      </c>
      <c r="AY36">
        <v>0.3</v>
      </c>
      <c r="AZ36">
        <v>0.5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</row>
    <row r="37" x14ac:dyDescent="0.15">
      <c r="A37" t="s">
        <v>202</v>
      </c>
      <c r="B37">
        <v>0.3</v>
      </c>
      <c r="C37">
        <v>0.3</v>
      </c>
      <c r="D37">
        <v>0.5</v>
      </c>
      <c r="E37">
        <v>0.1</v>
      </c>
      <c r="F37">
        <v>0.3</v>
      </c>
      <c r="G37">
        <v>0.6</v>
      </c>
      <c r="H37">
        <v>0.3</v>
      </c>
      <c r="I37">
        <v>0.3</v>
      </c>
      <c r="J37">
        <v>0.6</v>
      </c>
      <c r="K37">
        <v>0.3</v>
      </c>
      <c r="L37">
        <v>0.1</v>
      </c>
      <c r="M37">
        <v>0.1</v>
      </c>
      <c r="N37">
        <v>0.1</v>
      </c>
      <c r="O37">
        <v>0.6</v>
      </c>
      <c r="P37">
        <v>0.3</v>
      </c>
      <c r="Q37">
        <v>0.3</v>
      </c>
      <c r="R37">
        <v>0.1</v>
      </c>
      <c r="S37">
        <v>0.3</v>
      </c>
      <c r="T37">
        <v>0.3</v>
      </c>
      <c r="U37">
        <v>0.6</v>
      </c>
      <c r="V37">
        <v>0.3</v>
      </c>
      <c r="W37">
        <v>0.3</v>
      </c>
      <c r="X37">
        <v>0.3</v>
      </c>
      <c r="Y37">
        <v>0.3</v>
      </c>
      <c r="Z37">
        <v>0.3</v>
      </c>
      <c r="AA37">
        <v>0.3</v>
      </c>
      <c r="AB37">
        <v>0.3</v>
      </c>
      <c r="AC37">
        <v>0.3</v>
      </c>
      <c r="AD37">
        <v>0.3</v>
      </c>
      <c r="AE37">
        <v>0.3</v>
      </c>
      <c r="AF37">
        <v>0.3</v>
      </c>
      <c r="AG37">
        <v>0.3</v>
      </c>
      <c r="AH37">
        <v>0.6</v>
      </c>
      <c r="AI37">
        <v>0.3</v>
      </c>
      <c r="AJ37">
        <v>0.5</v>
      </c>
      <c r="AK37">
        <v>0.5</v>
      </c>
      <c r="AL37">
        <v>0.5</v>
      </c>
      <c r="AM37">
        <v>0.3</v>
      </c>
      <c r="AN37">
        <v>0.3</v>
      </c>
      <c r="AO37">
        <v>0.5</v>
      </c>
      <c r="AP37">
        <v>0.3</v>
      </c>
      <c r="AQ37">
        <v>0.3</v>
      </c>
      <c r="AR37">
        <v>0.3</v>
      </c>
      <c r="AS37">
        <v>0.5</v>
      </c>
      <c r="AT37">
        <v>0.3</v>
      </c>
      <c r="AU37">
        <v>0.1</v>
      </c>
      <c r="AV37">
        <v>0.1</v>
      </c>
      <c r="AW37">
        <v>0.1</v>
      </c>
      <c r="AX37">
        <v>0.3</v>
      </c>
      <c r="AY37">
        <v>0.3</v>
      </c>
      <c r="AZ37">
        <v>0.5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</row>
    <row r="38" x14ac:dyDescent="0.15">
      <c r="A38" t="s">
        <v>203</v>
      </c>
      <c r="B38">
        <v>0.3</v>
      </c>
      <c r="C38">
        <v>0.3</v>
      </c>
      <c r="D38">
        <v>0.5</v>
      </c>
      <c r="E38">
        <v>0.1</v>
      </c>
      <c r="F38">
        <v>0.3</v>
      </c>
      <c r="G38">
        <v>0.6</v>
      </c>
      <c r="H38">
        <v>0.3</v>
      </c>
      <c r="I38">
        <v>0.3</v>
      </c>
      <c r="J38">
        <v>0.6</v>
      </c>
      <c r="K38">
        <v>0.3</v>
      </c>
      <c r="L38">
        <v>0.1</v>
      </c>
      <c r="M38">
        <v>0.1</v>
      </c>
      <c r="N38">
        <v>0.1</v>
      </c>
      <c r="O38">
        <v>0.6</v>
      </c>
      <c r="P38">
        <v>0.3</v>
      </c>
      <c r="Q38">
        <v>0.3</v>
      </c>
      <c r="R38">
        <v>0.1</v>
      </c>
      <c r="S38">
        <v>0.3</v>
      </c>
      <c r="T38">
        <v>0.3</v>
      </c>
      <c r="U38">
        <v>0.6</v>
      </c>
      <c r="V38">
        <v>0.3</v>
      </c>
      <c r="W38">
        <v>0.3</v>
      </c>
      <c r="X38">
        <v>0.3</v>
      </c>
      <c r="Y38">
        <v>0.3</v>
      </c>
      <c r="Z38">
        <v>0.3</v>
      </c>
      <c r="AA38">
        <v>0.3</v>
      </c>
      <c r="AB38">
        <v>0.3</v>
      </c>
      <c r="AC38">
        <v>0.3</v>
      </c>
      <c r="AD38">
        <v>0.3</v>
      </c>
      <c r="AE38">
        <v>0.3</v>
      </c>
      <c r="AF38">
        <v>0.3</v>
      </c>
      <c r="AG38">
        <v>0.3</v>
      </c>
      <c r="AH38">
        <v>0.6</v>
      </c>
      <c r="AI38">
        <v>0.3</v>
      </c>
      <c r="AJ38">
        <v>0.5</v>
      </c>
      <c r="AK38">
        <v>0.5</v>
      </c>
      <c r="AL38">
        <v>0.5</v>
      </c>
      <c r="AM38">
        <v>0.3</v>
      </c>
      <c r="AN38">
        <v>0.3</v>
      </c>
      <c r="AO38">
        <v>0.5</v>
      </c>
      <c r="AP38">
        <v>0.3</v>
      </c>
      <c r="AQ38">
        <v>0.3</v>
      </c>
      <c r="AR38">
        <v>0.3</v>
      </c>
      <c r="AS38">
        <v>0.5</v>
      </c>
      <c r="AT38">
        <v>0.3</v>
      </c>
      <c r="AU38">
        <v>0.1</v>
      </c>
      <c r="AV38">
        <v>0.1</v>
      </c>
      <c r="AW38">
        <v>0.1</v>
      </c>
      <c r="AX38">
        <v>0.3</v>
      </c>
      <c r="AY38">
        <v>0.3</v>
      </c>
      <c r="AZ38">
        <v>0.5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</row>
    <row r="39" x14ac:dyDescent="0.15">
      <c r="A39" t="s">
        <v>204</v>
      </c>
      <c r="B39">
        <v>0.3</v>
      </c>
      <c r="C39">
        <v>0.3</v>
      </c>
      <c r="D39">
        <v>0.5</v>
      </c>
      <c r="E39">
        <v>0.1</v>
      </c>
      <c r="F39">
        <v>0.3</v>
      </c>
      <c r="G39">
        <v>0.6</v>
      </c>
      <c r="H39">
        <v>0.3</v>
      </c>
      <c r="I39">
        <v>0.3</v>
      </c>
      <c r="J39">
        <v>0.6</v>
      </c>
      <c r="K39">
        <v>0.3</v>
      </c>
      <c r="L39">
        <v>0.1</v>
      </c>
      <c r="M39">
        <v>0.1</v>
      </c>
      <c r="N39">
        <v>0.1</v>
      </c>
      <c r="O39">
        <v>0.6</v>
      </c>
      <c r="P39">
        <v>0.3</v>
      </c>
      <c r="Q39">
        <v>0.3</v>
      </c>
      <c r="R39">
        <v>0.1</v>
      </c>
      <c r="S39">
        <v>0.3</v>
      </c>
      <c r="T39">
        <v>0.3</v>
      </c>
      <c r="U39">
        <v>0.6</v>
      </c>
      <c r="V39">
        <v>0.3</v>
      </c>
      <c r="W39">
        <v>0.3</v>
      </c>
      <c r="X39">
        <v>0.3</v>
      </c>
      <c r="Y39">
        <v>0.3</v>
      </c>
      <c r="Z39">
        <v>0.3</v>
      </c>
      <c r="AA39">
        <v>0.3</v>
      </c>
      <c r="AB39">
        <v>0.3</v>
      </c>
      <c r="AC39">
        <v>0.3</v>
      </c>
      <c r="AD39">
        <v>0.3</v>
      </c>
      <c r="AE39">
        <v>0.3</v>
      </c>
      <c r="AF39">
        <v>0.3</v>
      </c>
      <c r="AG39">
        <v>0.3</v>
      </c>
      <c r="AH39">
        <v>0.6</v>
      </c>
      <c r="AI39">
        <v>0.3</v>
      </c>
      <c r="AJ39">
        <v>0.5</v>
      </c>
      <c r="AK39">
        <v>0.5</v>
      </c>
      <c r="AL39">
        <v>0.5</v>
      </c>
      <c r="AM39">
        <v>0.3</v>
      </c>
      <c r="AN39">
        <v>0.3</v>
      </c>
      <c r="AO39">
        <v>0.5</v>
      </c>
      <c r="AP39">
        <v>0.3</v>
      </c>
      <c r="AQ39">
        <v>0.3</v>
      </c>
      <c r="AR39">
        <v>0.3</v>
      </c>
      <c r="AS39">
        <v>0.5</v>
      </c>
      <c r="AT39">
        <v>0.3</v>
      </c>
      <c r="AU39">
        <v>0.1</v>
      </c>
      <c r="AV39">
        <v>0.1</v>
      </c>
      <c r="AW39">
        <v>0.1</v>
      </c>
      <c r="AX39">
        <v>0.3</v>
      </c>
      <c r="AY39">
        <v>0.3</v>
      </c>
      <c r="AZ39">
        <v>0.5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</row>
    <row r="40" x14ac:dyDescent="0.15">
      <c r="A40" t="s">
        <v>205</v>
      </c>
      <c r="B40">
        <v>0.3</v>
      </c>
      <c r="C40">
        <v>0.3</v>
      </c>
      <c r="D40">
        <v>0.5</v>
      </c>
      <c r="E40">
        <v>0.1</v>
      </c>
      <c r="F40">
        <v>0.3</v>
      </c>
      <c r="G40">
        <v>0.6</v>
      </c>
      <c r="H40">
        <v>0.3</v>
      </c>
      <c r="I40">
        <v>0.3</v>
      </c>
      <c r="J40">
        <v>0.6</v>
      </c>
      <c r="K40">
        <v>0.3</v>
      </c>
      <c r="L40">
        <v>0.1</v>
      </c>
      <c r="M40">
        <v>0.1</v>
      </c>
      <c r="N40">
        <v>0.1</v>
      </c>
      <c r="O40">
        <v>0.6</v>
      </c>
      <c r="P40">
        <v>0.3</v>
      </c>
      <c r="Q40">
        <v>0.3</v>
      </c>
      <c r="R40">
        <v>0.1</v>
      </c>
      <c r="S40">
        <v>0.3</v>
      </c>
      <c r="T40">
        <v>0.3</v>
      </c>
      <c r="U40">
        <v>0.6</v>
      </c>
      <c r="V40">
        <v>0.3</v>
      </c>
      <c r="W40">
        <v>0.3</v>
      </c>
      <c r="X40">
        <v>0.3</v>
      </c>
      <c r="Y40">
        <v>0.3</v>
      </c>
      <c r="Z40">
        <v>0.3</v>
      </c>
      <c r="AA40">
        <v>0.3</v>
      </c>
      <c r="AB40">
        <v>0.3</v>
      </c>
      <c r="AC40">
        <v>0.3</v>
      </c>
      <c r="AD40">
        <v>0.3</v>
      </c>
      <c r="AE40">
        <v>0.3</v>
      </c>
      <c r="AF40">
        <v>0.3</v>
      </c>
      <c r="AG40">
        <v>0.3</v>
      </c>
      <c r="AH40">
        <v>0.6</v>
      </c>
      <c r="AI40">
        <v>0.3</v>
      </c>
      <c r="AJ40">
        <v>0.5</v>
      </c>
      <c r="AK40">
        <v>0.5</v>
      </c>
      <c r="AL40">
        <v>0.5</v>
      </c>
      <c r="AM40">
        <v>0.3</v>
      </c>
      <c r="AN40">
        <v>0.3</v>
      </c>
      <c r="AO40">
        <v>0.5</v>
      </c>
      <c r="AP40">
        <v>0.3</v>
      </c>
      <c r="AQ40">
        <v>0.3</v>
      </c>
      <c r="AR40">
        <v>0.3</v>
      </c>
      <c r="AS40">
        <v>0.5</v>
      </c>
      <c r="AT40">
        <v>0.3</v>
      </c>
      <c r="AU40">
        <v>0.1</v>
      </c>
      <c r="AV40">
        <v>0.1</v>
      </c>
      <c r="AW40">
        <v>0.1</v>
      </c>
      <c r="AX40">
        <v>0.3</v>
      </c>
      <c r="AY40">
        <v>0.3</v>
      </c>
      <c r="AZ40">
        <v>0.5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</row>
    <row r="41" x14ac:dyDescent="0.15">
      <c r="A41" t="s">
        <v>206</v>
      </c>
      <c r="B41">
        <v>0.3</v>
      </c>
      <c r="C41">
        <v>0.3</v>
      </c>
      <c r="D41">
        <v>0.5</v>
      </c>
      <c r="E41">
        <v>0.1</v>
      </c>
      <c r="F41">
        <v>0.3</v>
      </c>
      <c r="G41">
        <v>0.6</v>
      </c>
      <c r="H41">
        <v>0.3</v>
      </c>
      <c r="I41">
        <v>0.3</v>
      </c>
      <c r="J41">
        <v>0.6</v>
      </c>
      <c r="K41">
        <v>0.3</v>
      </c>
      <c r="L41">
        <v>0.1</v>
      </c>
      <c r="M41">
        <v>0.1</v>
      </c>
      <c r="N41">
        <v>0.1</v>
      </c>
      <c r="O41">
        <v>0.6</v>
      </c>
      <c r="P41">
        <v>0.3</v>
      </c>
      <c r="Q41">
        <v>0.3</v>
      </c>
      <c r="R41">
        <v>0.1</v>
      </c>
      <c r="S41">
        <v>0.3</v>
      </c>
      <c r="T41">
        <v>0.3</v>
      </c>
      <c r="U41">
        <v>0.6</v>
      </c>
      <c r="V41">
        <v>0.3</v>
      </c>
      <c r="W41">
        <v>0.3</v>
      </c>
      <c r="X41">
        <v>0.3</v>
      </c>
      <c r="Y41">
        <v>0.3</v>
      </c>
      <c r="Z41">
        <v>0.3</v>
      </c>
      <c r="AA41">
        <v>0.3</v>
      </c>
      <c r="AB41">
        <v>0.3</v>
      </c>
      <c r="AC41">
        <v>0.3</v>
      </c>
      <c r="AD41">
        <v>0.3</v>
      </c>
      <c r="AE41">
        <v>0.3</v>
      </c>
      <c r="AF41">
        <v>0.3</v>
      </c>
      <c r="AG41">
        <v>0.3</v>
      </c>
      <c r="AH41">
        <v>0.6</v>
      </c>
      <c r="AI41">
        <v>0.3</v>
      </c>
      <c r="AJ41">
        <v>0.5</v>
      </c>
      <c r="AK41">
        <v>0.5</v>
      </c>
      <c r="AL41">
        <v>0.5</v>
      </c>
      <c r="AM41">
        <v>0.3</v>
      </c>
      <c r="AN41">
        <v>0.3</v>
      </c>
      <c r="AO41">
        <v>0.5</v>
      </c>
      <c r="AP41">
        <v>0.3</v>
      </c>
      <c r="AQ41">
        <v>0.3</v>
      </c>
      <c r="AR41">
        <v>0.3</v>
      </c>
      <c r="AS41">
        <v>0.5</v>
      </c>
      <c r="AT41">
        <v>0.3</v>
      </c>
      <c r="AU41">
        <v>0.1</v>
      </c>
      <c r="AV41">
        <v>0.1</v>
      </c>
      <c r="AW41">
        <v>0.1</v>
      </c>
      <c r="AX41">
        <v>0.3</v>
      </c>
      <c r="AY41">
        <v>0.3</v>
      </c>
      <c r="AZ41">
        <v>0.5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</row>
    <row r="42" x14ac:dyDescent="0.15">
      <c r="A42" t="s">
        <v>207</v>
      </c>
      <c r="B42">
        <v>0.3</v>
      </c>
      <c r="C42">
        <v>0.3</v>
      </c>
      <c r="D42">
        <v>0.5</v>
      </c>
      <c r="E42">
        <v>0.1</v>
      </c>
      <c r="F42">
        <v>0.3</v>
      </c>
      <c r="G42">
        <v>0.6</v>
      </c>
      <c r="H42">
        <v>0.3</v>
      </c>
      <c r="I42">
        <v>0.3</v>
      </c>
      <c r="J42">
        <v>0.6</v>
      </c>
      <c r="K42">
        <v>0.3</v>
      </c>
      <c r="L42">
        <v>0.1</v>
      </c>
      <c r="M42">
        <v>0.1</v>
      </c>
      <c r="N42">
        <v>0.1</v>
      </c>
      <c r="O42">
        <v>0.6</v>
      </c>
      <c r="P42">
        <v>0.3</v>
      </c>
      <c r="Q42">
        <v>0.3</v>
      </c>
      <c r="R42">
        <v>0.1</v>
      </c>
      <c r="S42">
        <v>0.3</v>
      </c>
      <c r="T42">
        <v>0.3</v>
      </c>
      <c r="U42">
        <v>0.6</v>
      </c>
      <c r="V42">
        <v>0.3</v>
      </c>
      <c r="W42">
        <v>0.3</v>
      </c>
      <c r="X42">
        <v>0.3</v>
      </c>
      <c r="Y42">
        <v>0.3</v>
      </c>
      <c r="Z42">
        <v>0.3</v>
      </c>
      <c r="AA42">
        <v>0.3</v>
      </c>
      <c r="AB42">
        <v>0.3</v>
      </c>
      <c r="AC42">
        <v>0.3</v>
      </c>
      <c r="AD42">
        <v>0.3</v>
      </c>
      <c r="AE42">
        <v>0.3</v>
      </c>
      <c r="AF42">
        <v>0.3</v>
      </c>
      <c r="AG42">
        <v>0.3</v>
      </c>
      <c r="AH42">
        <v>0.6</v>
      </c>
      <c r="AI42">
        <v>0.3</v>
      </c>
      <c r="AJ42">
        <v>0.5</v>
      </c>
      <c r="AK42">
        <v>0.5</v>
      </c>
      <c r="AL42">
        <v>0.5</v>
      </c>
      <c r="AM42">
        <v>0.3</v>
      </c>
      <c r="AN42">
        <v>0.3</v>
      </c>
      <c r="AO42">
        <v>0.5</v>
      </c>
      <c r="AP42">
        <v>0.3</v>
      </c>
      <c r="AQ42">
        <v>0.3</v>
      </c>
      <c r="AR42">
        <v>0.3</v>
      </c>
      <c r="AS42">
        <v>0.5</v>
      </c>
      <c r="AT42">
        <v>0.3</v>
      </c>
      <c r="AU42">
        <v>0.1</v>
      </c>
      <c r="AV42">
        <v>0.1</v>
      </c>
      <c r="AW42">
        <v>0.1</v>
      </c>
      <c r="AX42">
        <v>0.3</v>
      </c>
      <c r="AY42">
        <v>0.3</v>
      </c>
      <c r="AZ42">
        <v>0.5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</row>
    <row r="43" x14ac:dyDescent="0.15">
      <c r="A43" t="s">
        <v>208</v>
      </c>
      <c r="B43">
        <v>0.3</v>
      </c>
      <c r="C43">
        <v>0.3</v>
      </c>
      <c r="D43">
        <v>0.5</v>
      </c>
      <c r="E43">
        <v>0.1</v>
      </c>
      <c r="F43">
        <v>0.3</v>
      </c>
      <c r="G43">
        <v>0.6</v>
      </c>
      <c r="H43">
        <v>0.3</v>
      </c>
      <c r="I43">
        <v>0.3</v>
      </c>
      <c r="J43">
        <v>0.6</v>
      </c>
      <c r="K43">
        <v>0.3</v>
      </c>
      <c r="L43">
        <v>0.1</v>
      </c>
      <c r="M43">
        <v>0.1</v>
      </c>
      <c r="N43">
        <v>0.1</v>
      </c>
      <c r="O43">
        <v>0.6</v>
      </c>
      <c r="P43">
        <v>0.3</v>
      </c>
      <c r="Q43">
        <v>0.3</v>
      </c>
      <c r="R43">
        <v>0.1</v>
      </c>
      <c r="S43">
        <v>0.3</v>
      </c>
      <c r="T43">
        <v>0.3</v>
      </c>
      <c r="U43">
        <v>0.6</v>
      </c>
      <c r="V43">
        <v>0.3</v>
      </c>
      <c r="W43">
        <v>0.3</v>
      </c>
      <c r="X43">
        <v>0.3</v>
      </c>
      <c r="Y43">
        <v>0.3</v>
      </c>
      <c r="Z43">
        <v>0.3</v>
      </c>
      <c r="AA43">
        <v>0.3</v>
      </c>
      <c r="AB43">
        <v>0.3</v>
      </c>
      <c r="AC43">
        <v>0.3</v>
      </c>
      <c r="AD43">
        <v>0.3</v>
      </c>
      <c r="AE43">
        <v>0.3</v>
      </c>
      <c r="AF43">
        <v>0.3</v>
      </c>
      <c r="AG43">
        <v>0.3</v>
      </c>
      <c r="AH43">
        <v>0.6</v>
      </c>
      <c r="AI43">
        <v>0.3</v>
      </c>
      <c r="AJ43">
        <v>0.5</v>
      </c>
      <c r="AK43">
        <v>0.5</v>
      </c>
      <c r="AL43">
        <v>0.5</v>
      </c>
      <c r="AM43">
        <v>0.3</v>
      </c>
      <c r="AN43">
        <v>0.3</v>
      </c>
      <c r="AO43">
        <v>0.5</v>
      </c>
      <c r="AP43">
        <v>0.3</v>
      </c>
      <c r="AQ43">
        <v>0.3</v>
      </c>
      <c r="AR43">
        <v>0.3</v>
      </c>
      <c r="AS43">
        <v>0.5</v>
      </c>
      <c r="AT43">
        <v>0.3</v>
      </c>
      <c r="AU43">
        <v>0.1</v>
      </c>
      <c r="AV43">
        <v>0.1</v>
      </c>
      <c r="AW43">
        <v>0.1</v>
      </c>
      <c r="AX43">
        <v>0.3</v>
      </c>
      <c r="AY43">
        <v>0.3</v>
      </c>
      <c r="AZ43">
        <v>0.5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</row>
    <row r="44" x14ac:dyDescent="0.15">
      <c r="A44" t="s">
        <v>209</v>
      </c>
      <c r="B44">
        <v>0.3</v>
      </c>
      <c r="C44">
        <v>0.3</v>
      </c>
      <c r="D44">
        <v>0.5</v>
      </c>
      <c r="E44">
        <v>0.1</v>
      </c>
      <c r="F44">
        <v>0.3</v>
      </c>
      <c r="G44">
        <v>0.6</v>
      </c>
      <c r="H44">
        <v>0.3</v>
      </c>
      <c r="I44">
        <v>0.3</v>
      </c>
      <c r="J44">
        <v>0.6</v>
      </c>
      <c r="K44">
        <v>0.3</v>
      </c>
      <c r="L44">
        <v>0.1</v>
      </c>
      <c r="M44">
        <v>0.1</v>
      </c>
      <c r="N44">
        <v>0.1</v>
      </c>
      <c r="O44">
        <v>0.6</v>
      </c>
      <c r="P44">
        <v>0.3</v>
      </c>
      <c r="Q44">
        <v>0.3</v>
      </c>
      <c r="R44">
        <v>0.1</v>
      </c>
      <c r="S44">
        <v>0.3</v>
      </c>
      <c r="T44">
        <v>0.3</v>
      </c>
      <c r="U44">
        <v>0.6</v>
      </c>
      <c r="V44">
        <v>0.3</v>
      </c>
      <c r="W44">
        <v>0.3</v>
      </c>
      <c r="X44">
        <v>0.3</v>
      </c>
      <c r="Y44">
        <v>0.3</v>
      </c>
      <c r="Z44">
        <v>0.3</v>
      </c>
      <c r="AA44">
        <v>0.3</v>
      </c>
      <c r="AB44">
        <v>0.3</v>
      </c>
      <c r="AC44">
        <v>0.3</v>
      </c>
      <c r="AD44">
        <v>0.3</v>
      </c>
      <c r="AE44">
        <v>0.3</v>
      </c>
      <c r="AF44">
        <v>0.3</v>
      </c>
      <c r="AG44">
        <v>0.3</v>
      </c>
      <c r="AH44">
        <v>0.6</v>
      </c>
      <c r="AI44">
        <v>0.3</v>
      </c>
      <c r="AJ44">
        <v>0.5</v>
      </c>
      <c r="AK44">
        <v>0.5</v>
      </c>
      <c r="AL44">
        <v>0.5</v>
      </c>
      <c r="AM44">
        <v>0.3</v>
      </c>
      <c r="AN44">
        <v>0.3</v>
      </c>
      <c r="AO44">
        <v>0.5</v>
      </c>
      <c r="AP44">
        <v>0.3</v>
      </c>
      <c r="AQ44">
        <v>0.3</v>
      </c>
      <c r="AR44">
        <v>0.3</v>
      </c>
      <c r="AS44">
        <v>0.5</v>
      </c>
      <c r="AT44">
        <v>0.3</v>
      </c>
      <c r="AU44">
        <v>0.1</v>
      </c>
      <c r="AV44">
        <v>0.1</v>
      </c>
      <c r="AW44">
        <v>0.1</v>
      </c>
      <c r="AX44">
        <v>0.3</v>
      </c>
      <c r="AY44">
        <v>0.3</v>
      </c>
      <c r="AZ44">
        <v>0.5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</row>
    <row r="45" x14ac:dyDescent="0.15">
      <c r="A45" t="s">
        <v>210</v>
      </c>
      <c r="B45">
        <v>0.3</v>
      </c>
      <c r="C45">
        <v>0.3</v>
      </c>
      <c r="D45">
        <v>0.5</v>
      </c>
      <c r="E45">
        <v>0.1</v>
      </c>
      <c r="F45">
        <v>0.3</v>
      </c>
      <c r="G45">
        <v>0.6</v>
      </c>
      <c r="H45">
        <v>0.3</v>
      </c>
      <c r="I45">
        <v>0.3</v>
      </c>
      <c r="J45">
        <v>0.6</v>
      </c>
      <c r="K45">
        <v>0.3</v>
      </c>
      <c r="L45">
        <v>0.1</v>
      </c>
      <c r="M45">
        <v>0.1</v>
      </c>
      <c r="N45">
        <v>0.1</v>
      </c>
      <c r="O45">
        <v>0.6</v>
      </c>
      <c r="P45">
        <v>0.3</v>
      </c>
      <c r="Q45">
        <v>0.3</v>
      </c>
      <c r="R45">
        <v>0.1</v>
      </c>
      <c r="S45">
        <v>0.3</v>
      </c>
      <c r="T45">
        <v>0.3</v>
      </c>
      <c r="U45">
        <v>0.6</v>
      </c>
      <c r="V45">
        <v>0.3</v>
      </c>
      <c r="W45">
        <v>0.3</v>
      </c>
      <c r="X45">
        <v>0.3</v>
      </c>
      <c r="Y45">
        <v>0.3</v>
      </c>
      <c r="Z45">
        <v>0.3</v>
      </c>
      <c r="AA45">
        <v>0.3</v>
      </c>
      <c r="AB45">
        <v>0.3</v>
      </c>
      <c r="AC45">
        <v>0.3</v>
      </c>
      <c r="AD45">
        <v>0.3</v>
      </c>
      <c r="AE45">
        <v>0.3</v>
      </c>
      <c r="AF45">
        <v>0.3</v>
      </c>
      <c r="AG45">
        <v>0.3</v>
      </c>
      <c r="AH45">
        <v>0.6</v>
      </c>
      <c r="AI45">
        <v>0.3</v>
      </c>
      <c r="AJ45">
        <v>0.5</v>
      </c>
      <c r="AK45">
        <v>0.5</v>
      </c>
      <c r="AL45">
        <v>0.5</v>
      </c>
      <c r="AM45">
        <v>0.3</v>
      </c>
      <c r="AN45">
        <v>0.3</v>
      </c>
      <c r="AO45">
        <v>0.5</v>
      </c>
      <c r="AP45">
        <v>0.3</v>
      </c>
      <c r="AQ45">
        <v>0.3</v>
      </c>
      <c r="AR45">
        <v>0.3</v>
      </c>
      <c r="AS45">
        <v>0.5</v>
      </c>
      <c r="AT45">
        <v>0.3</v>
      </c>
      <c r="AU45">
        <v>0.1</v>
      </c>
      <c r="AV45">
        <v>0.1</v>
      </c>
      <c r="AW45">
        <v>0.1</v>
      </c>
      <c r="AX45">
        <v>0.3</v>
      </c>
      <c r="AY45">
        <v>0.3</v>
      </c>
      <c r="AZ45">
        <v>0.5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</row>
    <row r="46" x14ac:dyDescent="0.15">
      <c r="A46" t="s">
        <v>211</v>
      </c>
      <c r="B46">
        <v>0.3</v>
      </c>
      <c r="C46">
        <v>0.3</v>
      </c>
      <c r="D46">
        <v>0.5</v>
      </c>
      <c r="E46">
        <v>0.1</v>
      </c>
      <c r="F46">
        <v>0.3</v>
      </c>
      <c r="G46">
        <v>0.6</v>
      </c>
      <c r="H46">
        <v>0.3</v>
      </c>
      <c r="I46">
        <v>0.3</v>
      </c>
      <c r="J46">
        <v>0.6</v>
      </c>
      <c r="K46">
        <v>0.3</v>
      </c>
      <c r="L46">
        <v>0.1</v>
      </c>
      <c r="M46">
        <v>0.1</v>
      </c>
      <c r="N46">
        <v>0.1</v>
      </c>
      <c r="O46">
        <v>0.6</v>
      </c>
      <c r="P46">
        <v>0.3</v>
      </c>
      <c r="Q46">
        <v>0.3</v>
      </c>
      <c r="R46">
        <v>0.1</v>
      </c>
      <c r="S46">
        <v>0.3</v>
      </c>
      <c r="T46">
        <v>0.3</v>
      </c>
      <c r="U46">
        <v>0.6</v>
      </c>
      <c r="V46">
        <v>0.3</v>
      </c>
      <c r="W46">
        <v>0.3</v>
      </c>
      <c r="X46">
        <v>0.3</v>
      </c>
      <c r="Y46">
        <v>0.3</v>
      </c>
      <c r="Z46">
        <v>0.3</v>
      </c>
      <c r="AA46">
        <v>0.3</v>
      </c>
      <c r="AB46">
        <v>0.3</v>
      </c>
      <c r="AC46">
        <v>0.3</v>
      </c>
      <c r="AD46">
        <v>0.3</v>
      </c>
      <c r="AE46">
        <v>0.3</v>
      </c>
      <c r="AF46">
        <v>0.3</v>
      </c>
      <c r="AG46">
        <v>0.3</v>
      </c>
      <c r="AH46">
        <v>0.6</v>
      </c>
      <c r="AI46">
        <v>0.3</v>
      </c>
      <c r="AJ46">
        <v>0.5</v>
      </c>
      <c r="AK46">
        <v>0.5</v>
      </c>
      <c r="AL46">
        <v>0.5</v>
      </c>
      <c r="AM46">
        <v>0.3</v>
      </c>
      <c r="AN46">
        <v>0.3</v>
      </c>
      <c r="AO46">
        <v>0.5</v>
      </c>
      <c r="AP46">
        <v>0.3</v>
      </c>
      <c r="AQ46">
        <v>0.3</v>
      </c>
      <c r="AR46">
        <v>0.3</v>
      </c>
      <c r="AS46">
        <v>0.5</v>
      </c>
      <c r="AT46">
        <v>0.3</v>
      </c>
      <c r="AU46">
        <v>0.1</v>
      </c>
      <c r="AV46">
        <v>0.1</v>
      </c>
      <c r="AW46">
        <v>0.1</v>
      </c>
      <c r="AX46">
        <v>0.3</v>
      </c>
      <c r="AY46">
        <v>0.3</v>
      </c>
      <c r="AZ46">
        <v>0.5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</row>
    <row r="47" x14ac:dyDescent="0.15">
      <c r="A47" t="s">
        <v>212</v>
      </c>
      <c r="B47">
        <v>0.3</v>
      </c>
      <c r="C47">
        <v>0.3</v>
      </c>
      <c r="D47">
        <v>0.5</v>
      </c>
      <c r="E47">
        <v>0.1</v>
      </c>
      <c r="F47">
        <v>0.3</v>
      </c>
      <c r="G47">
        <v>0.6</v>
      </c>
      <c r="H47">
        <v>0.3</v>
      </c>
      <c r="I47">
        <v>0.3</v>
      </c>
      <c r="J47">
        <v>0.6</v>
      </c>
      <c r="K47">
        <v>0.3</v>
      </c>
      <c r="L47">
        <v>0.1</v>
      </c>
      <c r="M47">
        <v>0.1</v>
      </c>
      <c r="N47">
        <v>0.1</v>
      </c>
      <c r="O47">
        <v>0.6</v>
      </c>
      <c r="P47">
        <v>0.3</v>
      </c>
      <c r="Q47">
        <v>0.3</v>
      </c>
      <c r="R47">
        <v>0.1</v>
      </c>
      <c r="S47">
        <v>0.3</v>
      </c>
      <c r="T47">
        <v>0.3</v>
      </c>
      <c r="U47">
        <v>0.6</v>
      </c>
      <c r="V47">
        <v>0.3</v>
      </c>
      <c r="W47">
        <v>0.3</v>
      </c>
      <c r="X47">
        <v>0.3</v>
      </c>
      <c r="Y47">
        <v>0.3</v>
      </c>
      <c r="Z47">
        <v>0.3</v>
      </c>
      <c r="AA47">
        <v>0.3</v>
      </c>
      <c r="AB47">
        <v>0.3</v>
      </c>
      <c r="AC47">
        <v>0.3</v>
      </c>
      <c r="AD47">
        <v>0.3</v>
      </c>
      <c r="AE47">
        <v>0.3</v>
      </c>
      <c r="AF47">
        <v>0.3</v>
      </c>
      <c r="AG47">
        <v>0.3</v>
      </c>
      <c r="AH47">
        <v>0.6</v>
      </c>
      <c r="AI47">
        <v>0.3</v>
      </c>
      <c r="AJ47">
        <v>0.5</v>
      </c>
      <c r="AK47">
        <v>0.5</v>
      </c>
      <c r="AL47">
        <v>0.5</v>
      </c>
      <c r="AM47">
        <v>0.3</v>
      </c>
      <c r="AN47">
        <v>0.3</v>
      </c>
      <c r="AO47">
        <v>0.5</v>
      </c>
      <c r="AP47">
        <v>0.3</v>
      </c>
      <c r="AQ47">
        <v>0.3</v>
      </c>
      <c r="AR47">
        <v>0.3</v>
      </c>
      <c r="AS47">
        <v>0.5</v>
      </c>
      <c r="AT47">
        <v>0.3</v>
      </c>
      <c r="AU47">
        <v>0.1</v>
      </c>
      <c r="AV47">
        <v>0.1</v>
      </c>
      <c r="AW47">
        <v>0.1</v>
      </c>
      <c r="AX47">
        <v>0.3</v>
      </c>
      <c r="AY47">
        <v>0.3</v>
      </c>
      <c r="AZ47">
        <v>0.5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</row>
    <row r="48" x14ac:dyDescent="0.15">
      <c r="A48" t="s">
        <v>213</v>
      </c>
      <c r="B48">
        <v>0.3</v>
      </c>
      <c r="C48">
        <v>0.3</v>
      </c>
      <c r="D48">
        <v>0.5</v>
      </c>
      <c r="E48">
        <v>0.1</v>
      </c>
      <c r="F48">
        <v>0.3</v>
      </c>
      <c r="G48">
        <v>0.6</v>
      </c>
      <c r="H48">
        <v>0.3</v>
      </c>
      <c r="I48">
        <v>0.3</v>
      </c>
      <c r="J48">
        <v>0.6</v>
      </c>
      <c r="K48">
        <v>0.3</v>
      </c>
      <c r="L48">
        <v>0.1</v>
      </c>
      <c r="M48">
        <v>0.1</v>
      </c>
      <c r="N48">
        <v>0.1</v>
      </c>
      <c r="O48">
        <v>0.6</v>
      </c>
      <c r="P48">
        <v>0.3</v>
      </c>
      <c r="Q48">
        <v>0.3</v>
      </c>
      <c r="R48">
        <v>0.1</v>
      </c>
      <c r="S48">
        <v>0.3</v>
      </c>
      <c r="T48">
        <v>0.3</v>
      </c>
      <c r="U48">
        <v>0.6</v>
      </c>
      <c r="V48">
        <v>0.3</v>
      </c>
      <c r="W48">
        <v>0.3</v>
      </c>
      <c r="X48">
        <v>0.3</v>
      </c>
      <c r="Y48">
        <v>0.3</v>
      </c>
      <c r="Z48">
        <v>0.3</v>
      </c>
      <c r="AA48">
        <v>0.3</v>
      </c>
      <c r="AB48">
        <v>0.3</v>
      </c>
      <c r="AC48">
        <v>0.3</v>
      </c>
      <c r="AD48">
        <v>0.3</v>
      </c>
      <c r="AE48">
        <v>0.3</v>
      </c>
      <c r="AF48">
        <v>0.3</v>
      </c>
      <c r="AG48">
        <v>0.3</v>
      </c>
      <c r="AH48">
        <v>0.6</v>
      </c>
      <c r="AI48">
        <v>0.3</v>
      </c>
      <c r="AJ48">
        <v>0.5</v>
      </c>
      <c r="AK48">
        <v>0.5</v>
      </c>
      <c r="AL48">
        <v>0.5</v>
      </c>
      <c r="AM48">
        <v>0.3</v>
      </c>
      <c r="AN48">
        <v>0.3</v>
      </c>
      <c r="AO48">
        <v>0.5</v>
      </c>
      <c r="AP48">
        <v>0.3</v>
      </c>
      <c r="AQ48">
        <v>0.3</v>
      </c>
      <c r="AR48">
        <v>0.3</v>
      </c>
      <c r="AS48">
        <v>0.5</v>
      </c>
      <c r="AT48">
        <v>0.3</v>
      </c>
      <c r="AU48">
        <v>0.1</v>
      </c>
      <c r="AV48">
        <v>0.1</v>
      </c>
      <c r="AW48">
        <v>0.1</v>
      </c>
      <c r="AX48">
        <v>0.3</v>
      </c>
      <c r="AY48">
        <v>0.3</v>
      </c>
      <c r="AZ48">
        <v>0.5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</row>
    <row r="49" x14ac:dyDescent="0.15">
      <c r="A49" t="s">
        <v>214</v>
      </c>
      <c r="B49">
        <v>0.3</v>
      </c>
      <c r="C49">
        <v>0.3</v>
      </c>
      <c r="D49">
        <v>0.5</v>
      </c>
      <c r="E49">
        <v>0.1</v>
      </c>
      <c r="F49">
        <v>0.3</v>
      </c>
      <c r="G49">
        <v>0.6</v>
      </c>
      <c r="H49">
        <v>0.3</v>
      </c>
      <c r="I49">
        <v>0.3</v>
      </c>
      <c r="J49">
        <v>0.6</v>
      </c>
      <c r="K49">
        <v>0.3</v>
      </c>
      <c r="L49">
        <v>0.1</v>
      </c>
      <c r="M49">
        <v>0.1</v>
      </c>
      <c r="N49">
        <v>0.1</v>
      </c>
      <c r="O49">
        <v>0.6</v>
      </c>
      <c r="P49">
        <v>0.3</v>
      </c>
      <c r="Q49">
        <v>0.3</v>
      </c>
      <c r="R49">
        <v>0.1</v>
      </c>
      <c r="S49">
        <v>0.3</v>
      </c>
      <c r="T49">
        <v>0.3</v>
      </c>
      <c r="U49">
        <v>0.6</v>
      </c>
      <c r="V49">
        <v>0.3</v>
      </c>
      <c r="W49">
        <v>0.3</v>
      </c>
      <c r="X49">
        <v>0.3</v>
      </c>
      <c r="Y49">
        <v>0.3</v>
      </c>
      <c r="Z49">
        <v>0.3</v>
      </c>
      <c r="AA49">
        <v>0.3</v>
      </c>
      <c r="AB49">
        <v>0.3</v>
      </c>
      <c r="AC49">
        <v>0.3</v>
      </c>
      <c r="AD49">
        <v>0.3</v>
      </c>
      <c r="AE49">
        <v>0.3</v>
      </c>
      <c r="AF49">
        <v>0.3</v>
      </c>
      <c r="AG49">
        <v>0.3</v>
      </c>
      <c r="AH49">
        <v>0.6</v>
      </c>
      <c r="AI49">
        <v>0.3</v>
      </c>
      <c r="AJ49">
        <v>0.5</v>
      </c>
      <c r="AK49">
        <v>0.5</v>
      </c>
      <c r="AL49">
        <v>0.5</v>
      </c>
      <c r="AM49">
        <v>0.3</v>
      </c>
      <c r="AN49">
        <v>0.3</v>
      </c>
      <c r="AO49">
        <v>0.5</v>
      </c>
      <c r="AP49">
        <v>0.3</v>
      </c>
      <c r="AQ49">
        <v>0.3</v>
      </c>
      <c r="AR49">
        <v>0.3</v>
      </c>
      <c r="AS49">
        <v>0.5</v>
      </c>
      <c r="AT49">
        <v>0.3</v>
      </c>
      <c r="AU49">
        <v>0.1</v>
      </c>
      <c r="AV49">
        <v>0.1</v>
      </c>
      <c r="AW49">
        <v>0.1</v>
      </c>
      <c r="AX49">
        <v>0.3</v>
      </c>
      <c r="AY49">
        <v>0.3</v>
      </c>
      <c r="AZ49">
        <v>0.5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</row>
    <row r="50" x14ac:dyDescent="0.15">
      <c r="A50" t="s">
        <v>215</v>
      </c>
      <c r="B50">
        <v>0.3</v>
      </c>
      <c r="C50">
        <v>0.3</v>
      </c>
      <c r="D50">
        <v>0.5</v>
      </c>
      <c r="E50">
        <v>0.1</v>
      </c>
      <c r="F50">
        <v>0.3</v>
      </c>
      <c r="G50">
        <v>0.6</v>
      </c>
      <c r="H50">
        <v>0.3</v>
      </c>
      <c r="I50">
        <v>0.3</v>
      </c>
      <c r="J50">
        <v>0.6</v>
      </c>
      <c r="K50">
        <v>0.3</v>
      </c>
      <c r="L50">
        <v>0.1</v>
      </c>
      <c r="M50">
        <v>0.1</v>
      </c>
      <c r="N50">
        <v>0.1</v>
      </c>
      <c r="O50">
        <v>0.6</v>
      </c>
      <c r="P50">
        <v>0.3</v>
      </c>
      <c r="Q50">
        <v>0.3</v>
      </c>
      <c r="R50">
        <v>0.1</v>
      </c>
      <c r="S50">
        <v>0.3</v>
      </c>
      <c r="T50">
        <v>0.3</v>
      </c>
      <c r="U50">
        <v>0.6</v>
      </c>
      <c r="V50">
        <v>0.3</v>
      </c>
      <c r="W50">
        <v>0.3</v>
      </c>
      <c r="X50">
        <v>0.3</v>
      </c>
      <c r="Y50">
        <v>0.3</v>
      </c>
      <c r="Z50">
        <v>0.3</v>
      </c>
      <c r="AA50">
        <v>0.3</v>
      </c>
      <c r="AB50">
        <v>0.3</v>
      </c>
      <c r="AC50">
        <v>0.3</v>
      </c>
      <c r="AD50">
        <v>0.3</v>
      </c>
      <c r="AE50">
        <v>0.3</v>
      </c>
      <c r="AF50">
        <v>0.3</v>
      </c>
      <c r="AG50">
        <v>0.3</v>
      </c>
      <c r="AH50">
        <v>0.6</v>
      </c>
      <c r="AI50">
        <v>0.3</v>
      </c>
      <c r="AJ50">
        <v>0.5</v>
      </c>
      <c r="AK50">
        <v>0.5</v>
      </c>
      <c r="AL50">
        <v>0.5</v>
      </c>
      <c r="AM50">
        <v>0.3</v>
      </c>
      <c r="AN50">
        <v>0.3</v>
      </c>
      <c r="AO50">
        <v>0.5</v>
      </c>
      <c r="AP50">
        <v>0.3</v>
      </c>
      <c r="AQ50">
        <v>0.3</v>
      </c>
      <c r="AR50">
        <v>0.3</v>
      </c>
      <c r="AS50">
        <v>0.5</v>
      </c>
      <c r="AT50">
        <v>0.3</v>
      </c>
      <c r="AU50">
        <v>0.1</v>
      </c>
      <c r="AV50">
        <v>0.1</v>
      </c>
      <c r="AW50">
        <v>0.1</v>
      </c>
      <c r="AX50">
        <v>0.3</v>
      </c>
      <c r="AY50">
        <v>0.3</v>
      </c>
      <c r="AZ50">
        <v>0.5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</row>
    <row r="51" x14ac:dyDescent="0.15">
      <c r="A51" t="s">
        <v>216</v>
      </c>
      <c r="B51">
        <v>0.3</v>
      </c>
      <c r="C51">
        <v>0.3</v>
      </c>
      <c r="D51">
        <v>0.5</v>
      </c>
      <c r="E51">
        <v>0.1</v>
      </c>
      <c r="F51">
        <v>0.3</v>
      </c>
      <c r="G51">
        <v>0.6</v>
      </c>
      <c r="H51">
        <v>0.3</v>
      </c>
      <c r="I51">
        <v>0.3</v>
      </c>
      <c r="J51">
        <v>0.6</v>
      </c>
      <c r="K51">
        <v>0.3</v>
      </c>
      <c r="L51">
        <v>0.1</v>
      </c>
      <c r="M51">
        <v>0.1</v>
      </c>
      <c r="N51">
        <v>0.1</v>
      </c>
      <c r="O51">
        <v>0.6</v>
      </c>
      <c r="P51">
        <v>0.3</v>
      </c>
      <c r="Q51">
        <v>0.3</v>
      </c>
      <c r="R51">
        <v>0.1</v>
      </c>
      <c r="S51">
        <v>0.3</v>
      </c>
      <c r="T51">
        <v>0.3</v>
      </c>
      <c r="U51">
        <v>0.6</v>
      </c>
      <c r="V51">
        <v>0.3</v>
      </c>
      <c r="W51">
        <v>0.3</v>
      </c>
      <c r="X51">
        <v>0.3</v>
      </c>
      <c r="Y51">
        <v>0.3</v>
      </c>
      <c r="Z51">
        <v>0.3</v>
      </c>
      <c r="AA51">
        <v>0.3</v>
      </c>
      <c r="AB51">
        <v>0.3</v>
      </c>
      <c r="AC51">
        <v>0.3</v>
      </c>
      <c r="AD51">
        <v>0.3</v>
      </c>
      <c r="AE51">
        <v>0.3</v>
      </c>
      <c r="AF51">
        <v>0.3</v>
      </c>
      <c r="AG51">
        <v>0.3</v>
      </c>
      <c r="AH51">
        <v>0.6</v>
      </c>
      <c r="AI51">
        <v>0.3</v>
      </c>
      <c r="AJ51">
        <v>0.5</v>
      </c>
      <c r="AK51">
        <v>0.5</v>
      </c>
      <c r="AL51">
        <v>0.5</v>
      </c>
      <c r="AM51">
        <v>0.3</v>
      </c>
      <c r="AN51">
        <v>0.3</v>
      </c>
      <c r="AO51">
        <v>0.5</v>
      </c>
      <c r="AP51">
        <v>0.3</v>
      </c>
      <c r="AQ51">
        <v>0.3</v>
      </c>
      <c r="AR51">
        <v>0.3</v>
      </c>
      <c r="AS51">
        <v>0.5</v>
      </c>
      <c r="AT51">
        <v>0.3</v>
      </c>
      <c r="AU51">
        <v>0.1</v>
      </c>
      <c r="AV51">
        <v>0.1</v>
      </c>
      <c r="AW51">
        <v>0.1</v>
      </c>
      <c r="AX51">
        <v>0.3</v>
      </c>
      <c r="AY51">
        <v>0.3</v>
      </c>
      <c r="AZ51">
        <v>0.5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</row>
    <row r="52" x14ac:dyDescent="0.15">
      <c r="A52" t="s">
        <v>217</v>
      </c>
      <c r="B52">
        <v>0.3</v>
      </c>
      <c r="C52">
        <v>0.3</v>
      </c>
      <c r="D52">
        <v>0.5</v>
      </c>
      <c r="E52">
        <v>0.1</v>
      </c>
      <c r="F52">
        <v>0.3</v>
      </c>
      <c r="G52">
        <v>0.6</v>
      </c>
      <c r="H52">
        <v>0.3</v>
      </c>
      <c r="I52">
        <v>0.3</v>
      </c>
      <c r="J52">
        <v>0.6</v>
      </c>
      <c r="K52">
        <v>0.3</v>
      </c>
      <c r="L52">
        <v>0.1</v>
      </c>
      <c r="M52">
        <v>0.1</v>
      </c>
      <c r="N52">
        <v>0.1</v>
      </c>
      <c r="O52">
        <v>0.6</v>
      </c>
      <c r="P52">
        <v>0.3</v>
      </c>
      <c r="Q52">
        <v>0.3</v>
      </c>
      <c r="R52">
        <v>0.1</v>
      </c>
      <c r="S52">
        <v>0.3</v>
      </c>
      <c r="T52">
        <v>0.3</v>
      </c>
      <c r="U52">
        <v>0.6</v>
      </c>
      <c r="V52">
        <v>0.3</v>
      </c>
      <c r="W52">
        <v>0.3</v>
      </c>
      <c r="X52">
        <v>0.3</v>
      </c>
      <c r="Y52">
        <v>0.3</v>
      </c>
      <c r="Z52">
        <v>0.3</v>
      </c>
      <c r="AA52">
        <v>0.3</v>
      </c>
      <c r="AB52">
        <v>0.3</v>
      </c>
      <c r="AC52">
        <v>0.3</v>
      </c>
      <c r="AD52">
        <v>0.3</v>
      </c>
      <c r="AE52">
        <v>0.3</v>
      </c>
      <c r="AF52">
        <v>0.3</v>
      </c>
      <c r="AG52">
        <v>0.3</v>
      </c>
      <c r="AH52">
        <v>0.6</v>
      </c>
      <c r="AI52">
        <v>0.3</v>
      </c>
      <c r="AJ52">
        <v>0.5</v>
      </c>
      <c r="AK52">
        <v>0.5</v>
      </c>
      <c r="AL52">
        <v>0.5</v>
      </c>
      <c r="AM52">
        <v>0.3</v>
      </c>
      <c r="AN52">
        <v>0.3</v>
      </c>
      <c r="AO52">
        <v>0.5</v>
      </c>
      <c r="AP52">
        <v>0.3</v>
      </c>
      <c r="AQ52">
        <v>0.3</v>
      </c>
      <c r="AR52">
        <v>0.3</v>
      </c>
      <c r="AS52">
        <v>0.5</v>
      </c>
      <c r="AT52">
        <v>0.3</v>
      </c>
      <c r="AU52">
        <v>0.1</v>
      </c>
      <c r="AV52">
        <v>0.1</v>
      </c>
      <c r="AW52">
        <v>0.1</v>
      </c>
      <c r="AX52">
        <v>0.3</v>
      </c>
      <c r="AY52">
        <v>0.3</v>
      </c>
      <c r="AZ52">
        <v>0.5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</row>
    <row r="53" x14ac:dyDescent="0.15">
      <c r="A53" t="s">
        <v>218</v>
      </c>
      <c r="B53">
        <v>0.3</v>
      </c>
      <c r="C53">
        <v>0.3</v>
      </c>
      <c r="D53">
        <v>0.5</v>
      </c>
      <c r="E53">
        <v>0.1</v>
      </c>
      <c r="F53">
        <v>0.3</v>
      </c>
      <c r="G53">
        <v>0.6</v>
      </c>
      <c r="H53">
        <v>0.3</v>
      </c>
      <c r="I53">
        <v>0.3</v>
      </c>
      <c r="J53">
        <v>0.6</v>
      </c>
      <c r="K53">
        <v>0.3</v>
      </c>
      <c r="L53">
        <v>0.1</v>
      </c>
      <c r="M53">
        <v>0.1</v>
      </c>
      <c r="N53">
        <v>0.1</v>
      </c>
      <c r="O53">
        <v>0.6</v>
      </c>
      <c r="P53">
        <v>0.3</v>
      </c>
      <c r="Q53">
        <v>0.3</v>
      </c>
      <c r="R53">
        <v>0.1</v>
      </c>
      <c r="S53">
        <v>0.3</v>
      </c>
      <c r="T53">
        <v>0.3</v>
      </c>
      <c r="U53">
        <v>0.6</v>
      </c>
      <c r="V53">
        <v>0.3</v>
      </c>
      <c r="W53">
        <v>0.3</v>
      </c>
      <c r="X53">
        <v>0.3</v>
      </c>
      <c r="Y53">
        <v>0.3</v>
      </c>
      <c r="Z53">
        <v>0.3</v>
      </c>
      <c r="AA53">
        <v>0.3</v>
      </c>
      <c r="AB53">
        <v>0.3</v>
      </c>
      <c r="AC53">
        <v>0.3</v>
      </c>
      <c r="AD53">
        <v>0.3</v>
      </c>
      <c r="AE53">
        <v>0.3</v>
      </c>
      <c r="AF53">
        <v>0.3</v>
      </c>
      <c r="AG53">
        <v>0.3</v>
      </c>
      <c r="AH53">
        <v>0.6</v>
      </c>
      <c r="AI53">
        <v>0.3</v>
      </c>
      <c r="AJ53">
        <v>0.5</v>
      </c>
      <c r="AK53">
        <v>0.5</v>
      </c>
      <c r="AL53">
        <v>0.5</v>
      </c>
      <c r="AM53">
        <v>0.3</v>
      </c>
      <c r="AN53">
        <v>0.3</v>
      </c>
      <c r="AO53">
        <v>0.5</v>
      </c>
      <c r="AP53">
        <v>0.3</v>
      </c>
      <c r="AQ53">
        <v>0.3</v>
      </c>
      <c r="AR53">
        <v>0.3</v>
      </c>
      <c r="AS53">
        <v>0.5</v>
      </c>
      <c r="AT53">
        <v>0.3</v>
      </c>
      <c r="AU53">
        <v>0.1</v>
      </c>
      <c r="AV53">
        <v>0.1</v>
      </c>
      <c r="AW53">
        <v>0.1</v>
      </c>
      <c r="AX53">
        <v>0.3</v>
      </c>
      <c r="AY53">
        <v>0.3</v>
      </c>
      <c r="AZ53">
        <v>0.5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</row>
    <row r="54" x14ac:dyDescent="0.15">
      <c r="A54" t="s">
        <v>219</v>
      </c>
      <c r="B54">
        <v>0.3</v>
      </c>
      <c r="C54">
        <v>0.3</v>
      </c>
      <c r="D54">
        <v>0.5</v>
      </c>
      <c r="E54">
        <v>0.1</v>
      </c>
      <c r="F54">
        <v>0.3</v>
      </c>
      <c r="G54">
        <v>0.6</v>
      </c>
      <c r="H54">
        <v>0.3</v>
      </c>
      <c r="I54">
        <v>0.3</v>
      </c>
      <c r="J54">
        <v>0.6</v>
      </c>
      <c r="K54">
        <v>0.3</v>
      </c>
      <c r="L54">
        <v>0.1</v>
      </c>
      <c r="M54">
        <v>0.1</v>
      </c>
      <c r="N54">
        <v>0.1</v>
      </c>
      <c r="O54">
        <v>0.6</v>
      </c>
      <c r="P54">
        <v>0.3</v>
      </c>
      <c r="Q54">
        <v>0.3</v>
      </c>
      <c r="R54">
        <v>0.1</v>
      </c>
      <c r="S54">
        <v>0.3</v>
      </c>
      <c r="T54">
        <v>0.3</v>
      </c>
      <c r="U54">
        <v>0.6</v>
      </c>
      <c r="V54">
        <v>0.3</v>
      </c>
      <c r="W54">
        <v>0.3</v>
      </c>
      <c r="X54">
        <v>0.3</v>
      </c>
      <c r="Y54">
        <v>0.3</v>
      </c>
      <c r="Z54">
        <v>0.3</v>
      </c>
      <c r="AA54">
        <v>0.3</v>
      </c>
      <c r="AB54">
        <v>0.3</v>
      </c>
      <c r="AC54">
        <v>0.3</v>
      </c>
      <c r="AD54">
        <v>0.3</v>
      </c>
      <c r="AE54">
        <v>0.3</v>
      </c>
      <c r="AF54">
        <v>0.3</v>
      </c>
      <c r="AG54">
        <v>0.3</v>
      </c>
      <c r="AH54">
        <v>0.6</v>
      </c>
      <c r="AI54">
        <v>0.3</v>
      </c>
      <c r="AJ54">
        <v>0.5</v>
      </c>
      <c r="AK54">
        <v>0.5</v>
      </c>
      <c r="AL54">
        <v>0.5</v>
      </c>
      <c r="AM54">
        <v>0.3</v>
      </c>
      <c r="AN54">
        <v>0.3</v>
      </c>
      <c r="AO54">
        <v>0.5</v>
      </c>
      <c r="AP54">
        <v>0.3</v>
      </c>
      <c r="AQ54">
        <v>0.3</v>
      </c>
      <c r="AR54">
        <v>0.3</v>
      </c>
      <c r="AS54">
        <v>0.5</v>
      </c>
      <c r="AT54">
        <v>0.3</v>
      </c>
      <c r="AU54">
        <v>0.1</v>
      </c>
      <c r="AV54">
        <v>0.1</v>
      </c>
      <c r="AW54">
        <v>0.1</v>
      </c>
      <c r="AX54">
        <v>0.3</v>
      </c>
      <c r="AY54">
        <v>0.3</v>
      </c>
      <c r="AZ54">
        <v>0.5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</row>
    <row r="55" x14ac:dyDescent="0.15">
      <c r="A55" t="s">
        <v>220</v>
      </c>
      <c r="B55">
        <v>0.3</v>
      </c>
      <c r="C55">
        <v>0.3</v>
      </c>
      <c r="D55">
        <v>0.5</v>
      </c>
      <c r="E55">
        <v>0.1</v>
      </c>
      <c r="F55">
        <v>0.3</v>
      </c>
      <c r="G55">
        <v>0.6</v>
      </c>
      <c r="H55">
        <v>0.3</v>
      </c>
      <c r="I55">
        <v>0.3</v>
      </c>
      <c r="J55">
        <v>0.6</v>
      </c>
      <c r="K55">
        <v>0.3</v>
      </c>
      <c r="L55">
        <v>0.1</v>
      </c>
      <c r="M55">
        <v>0.1</v>
      </c>
      <c r="N55">
        <v>0.1</v>
      </c>
      <c r="O55">
        <v>0.6</v>
      </c>
      <c r="P55">
        <v>0.3</v>
      </c>
      <c r="Q55">
        <v>0.3</v>
      </c>
      <c r="R55">
        <v>0.1</v>
      </c>
      <c r="S55">
        <v>0.3</v>
      </c>
      <c r="T55">
        <v>0.3</v>
      </c>
      <c r="U55">
        <v>0.6</v>
      </c>
      <c r="V55">
        <v>0.3</v>
      </c>
      <c r="W55">
        <v>0.3</v>
      </c>
      <c r="X55">
        <v>0.3</v>
      </c>
      <c r="Y55">
        <v>0.3</v>
      </c>
      <c r="Z55">
        <v>0.3</v>
      </c>
      <c r="AA55">
        <v>0.3</v>
      </c>
      <c r="AB55">
        <v>0.3</v>
      </c>
      <c r="AC55">
        <v>0.3</v>
      </c>
      <c r="AD55">
        <v>0.3</v>
      </c>
      <c r="AE55">
        <v>0.3</v>
      </c>
      <c r="AF55">
        <v>0.3</v>
      </c>
      <c r="AG55">
        <v>0.3</v>
      </c>
      <c r="AH55">
        <v>0.6</v>
      </c>
      <c r="AI55">
        <v>0.3</v>
      </c>
      <c r="AJ55">
        <v>0.5</v>
      </c>
      <c r="AK55">
        <v>0.5</v>
      </c>
      <c r="AL55">
        <v>0.5</v>
      </c>
      <c r="AM55">
        <v>0.3</v>
      </c>
      <c r="AN55">
        <v>0.3</v>
      </c>
      <c r="AO55">
        <v>0.5</v>
      </c>
      <c r="AP55">
        <v>0.3</v>
      </c>
      <c r="AQ55">
        <v>0.3</v>
      </c>
      <c r="AR55">
        <v>0.3</v>
      </c>
      <c r="AS55">
        <v>0.5</v>
      </c>
      <c r="AT55">
        <v>0.3</v>
      </c>
      <c r="AU55">
        <v>0.1</v>
      </c>
      <c r="AV55">
        <v>0.1</v>
      </c>
      <c r="AW55">
        <v>0.1</v>
      </c>
      <c r="AX55">
        <v>0.3</v>
      </c>
      <c r="AY55">
        <v>0.3</v>
      </c>
      <c r="AZ55">
        <v>0.5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</row>
    <row r="56" x14ac:dyDescent="0.15">
      <c r="A56" t="s">
        <v>221</v>
      </c>
      <c r="B56">
        <v>0.3</v>
      </c>
      <c r="C56">
        <v>0.3</v>
      </c>
      <c r="D56">
        <v>0.5</v>
      </c>
      <c r="E56">
        <v>0.1</v>
      </c>
      <c r="F56">
        <v>0.3</v>
      </c>
      <c r="G56">
        <v>0.6</v>
      </c>
      <c r="H56">
        <v>0.3</v>
      </c>
      <c r="I56">
        <v>0.3</v>
      </c>
      <c r="J56">
        <v>0.6</v>
      </c>
      <c r="K56">
        <v>0.3</v>
      </c>
      <c r="L56">
        <v>0.1</v>
      </c>
      <c r="M56">
        <v>0.1</v>
      </c>
      <c r="N56">
        <v>0.1</v>
      </c>
      <c r="O56">
        <v>0.6</v>
      </c>
      <c r="P56">
        <v>0.3</v>
      </c>
      <c r="Q56">
        <v>0.3</v>
      </c>
      <c r="R56">
        <v>0.1</v>
      </c>
      <c r="S56">
        <v>0.3</v>
      </c>
      <c r="T56">
        <v>0.3</v>
      </c>
      <c r="U56">
        <v>0.6</v>
      </c>
      <c r="V56">
        <v>0.3</v>
      </c>
      <c r="W56">
        <v>0.3</v>
      </c>
      <c r="X56">
        <v>0.3</v>
      </c>
      <c r="Y56">
        <v>0.3</v>
      </c>
      <c r="Z56">
        <v>0.3</v>
      </c>
      <c r="AA56">
        <v>0.3</v>
      </c>
      <c r="AB56">
        <v>0.3</v>
      </c>
      <c r="AC56">
        <v>0.3</v>
      </c>
      <c r="AD56">
        <v>0.3</v>
      </c>
      <c r="AE56">
        <v>0.3</v>
      </c>
      <c r="AF56">
        <v>0.3</v>
      </c>
      <c r="AG56">
        <v>0.3</v>
      </c>
      <c r="AH56">
        <v>0.6</v>
      </c>
      <c r="AI56">
        <v>0.3</v>
      </c>
      <c r="AJ56">
        <v>0.5</v>
      </c>
      <c r="AK56">
        <v>0.5</v>
      </c>
      <c r="AL56">
        <v>0.5</v>
      </c>
      <c r="AM56">
        <v>0.3</v>
      </c>
      <c r="AN56">
        <v>0.3</v>
      </c>
      <c r="AO56">
        <v>0.5</v>
      </c>
      <c r="AP56">
        <v>0.3</v>
      </c>
      <c r="AQ56">
        <v>0.3</v>
      </c>
      <c r="AR56">
        <v>0.3</v>
      </c>
      <c r="AS56">
        <v>0.5</v>
      </c>
      <c r="AT56">
        <v>0.3</v>
      </c>
      <c r="AU56">
        <v>0.1</v>
      </c>
      <c r="AV56">
        <v>0.1</v>
      </c>
      <c r="AW56">
        <v>0.1</v>
      </c>
      <c r="AX56">
        <v>0.3</v>
      </c>
      <c r="AY56">
        <v>0.3</v>
      </c>
      <c r="AZ56">
        <v>0.5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</row>
    <row r="57" x14ac:dyDescent="0.15">
      <c r="A57" t="s">
        <v>71</v>
      </c>
      <c r="B57">
        <v>0.3</v>
      </c>
      <c r="C57">
        <v>0.3</v>
      </c>
      <c r="D57">
        <v>0.5</v>
      </c>
      <c r="E57">
        <v>0.1</v>
      </c>
      <c r="F57">
        <v>0.3</v>
      </c>
      <c r="G57">
        <v>0.6</v>
      </c>
      <c r="H57">
        <v>0.3</v>
      </c>
      <c r="I57">
        <v>0.3</v>
      </c>
      <c r="J57">
        <v>0.6</v>
      </c>
      <c r="K57">
        <v>0.3</v>
      </c>
      <c r="L57">
        <v>0.1</v>
      </c>
      <c r="M57">
        <v>0.1</v>
      </c>
      <c r="N57">
        <v>0.1</v>
      </c>
      <c r="O57">
        <v>0.6</v>
      </c>
      <c r="P57">
        <v>0.3</v>
      </c>
      <c r="Q57">
        <v>0.3</v>
      </c>
      <c r="R57">
        <v>0.1</v>
      </c>
      <c r="S57">
        <v>0.3</v>
      </c>
      <c r="T57">
        <v>0.3</v>
      </c>
      <c r="U57">
        <v>0.6</v>
      </c>
      <c r="V57">
        <v>0.3</v>
      </c>
      <c r="W57">
        <v>0.3</v>
      </c>
      <c r="X57">
        <v>0.3</v>
      </c>
      <c r="Y57">
        <v>0.3</v>
      </c>
      <c r="Z57">
        <v>0.3</v>
      </c>
      <c r="AA57">
        <v>0.3</v>
      </c>
      <c r="AB57">
        <v>0.3</v>
      </c>
      <c r="AC57">
        <v>0.3</v>
      </c>
      <c r="AD57">
        <v>0.3</v>
      </c>
      <c r="AE57">
        <v>0.3</v>
      </c>
      <c r="AF57">
        <v>0.3</v>
      </c>
      <c r="AG57">
        <v>0.3</v>
      </c>
      <c r="AH57">
        <v>0.6</v>
      </c>
      <c r="AI57">
        <v>0.3</v>
      </c>
      <c r="AJ57">
        <v>0.5</v>
      </c>
      <c r="AK57">
        <v>0.5</v>
      </c>
      <c r="AL57">
        <v>0.5</v>
      </c>
      <c r="AM57">
        <v>0.3</v>
      </c>
      <c r="AN57">
        <v>0.3</v>
      </c>
      <c r="AO57">
        <v>0.5</v>
      </c>
      <c r="AP57">
        <v>0.3</v>
      </c>
      <c r="AQ57">
        <v>0.3</v>
      </c>
      <c r="AR57">
        <v>0.3</v>
      </c>
      <c r="AS57">
        <v>0.5</v>
      </c>
      <c r="AT57">
        <v>0.3</v>
      </c>
      <c r="AU57">
        <v>0.1</v>
      </c>
      <c r="AV57">
        <v>0.1</v>
      </c>
      <c r="AW57">
        <v>0.1</v>
      </c>
      <c r="AX57">
        <v>0.3</v>
      </c>
      <c r="AY57">
        <v>0.3</v>
      </c>
      <c r="AZ57">
        <v>0.5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</row>
    <row r="58" x14ac:dyDescent="0.15">
      <c r="A58" t="s">
        <v>222</v>
      </c>
      <c r="B58">
        <v>0.3</v>
      </c>
      <c r="C58">
        <v>0.3</v>
      </c>
      <c r="D58">
        <v>0.5</v>
      </c>
      <c r="E58">
        <v>0.1</v>
      </c>
      <c r="F58">
        <v>0.3</v>
      </c>
      <c r="G58">
        <v>0.6</v>
      </c>
      <c r="H58">
        <v>0.3</v>
      </c>
      <c r="I58">
        <v>0.3</v>
      </c>
      <c r="J58">
        <v>0.6</v>
      </c>
      <c r="K58">
        <v>0.3</v>
      </c>
      <c r="L58">
        <v>0.1</v>
      </c>
      <c r="M58">
        <v>0.1</v>
      </c>
      <c r="N58">
        <v>0.1</v>
      </c>
      <c r="O58">
        <v>0.6</v>
      </c>
      <c r="P58">
        <v>0.3</v>
      </c>
      <c r="Q58">
        <v>0.3</v>
      </c>
      <c r="R58">
        <v>0.1</v>
      </c>
      <c r="S58">
        <v>0.3</v>
      </c>
      <c r="T58">
        <v>0.3</v>
      </c>
      <c r="U58">
        <v>0.6</v>
      </c>
      <c r="V58">
        <v>0.3</v>
      </c>
      <c r="W58">
        <v>0.3</v>
      </c>
      <c r="X58">
        <v>0.3</v>
      </c>
      <c r="Y58">
        <v>0.3</v>
      </c>
      <c r="Z58">
        <v>0.3</v>
      </c>
      <c r="AA58">
        <v>0.3</v>
      </c>
      <c r="AB58">
        <v>0.3</v>
      </c>
      <c r="AC58">
        <v>0.3</v>
      </c>
      <c r="AD58">
        <v>0.3</v>
      </c>
      <c r="AE58">
        <v>0.3</v>
      </c>
      <c r="AF58">
        <v>0.3</v>
      </c>
      <c r="AG58">
        <v>0.3</v>
      </c>
      <c r="AH58">
        <v>0.6</v>
      </c>
      <c r="AI58">
        <v>0.3</v>
      </c>
      <c r="AJ58">
        <v>0.5</v>
      </c>
      <c r="AK58">
        <v>0.5</v>
      </c>
      <c r="AL58">
        <v>0.5</v>
      </c>
      <c r="AM58">
        <v>0.3</v>
      </c>
      <c r="AN58">
        <v>0.3</v>
      </c>
      <c r="AO58">
        <v>0.5</v>
      </c>
      <c r="AP58">
        <v>0.3</v>
      </c>
      <c r="AQ58">
        <v>0.3</v>
      </c>
      <c r="AR58">
        <v>0.3</v>
      </c>
      <c r="AS58">
        <v>0.5</v>
      </c>
      <c r="AT58">
        <v>0.3</v>
      </c>
      <c r="AU58">
        <v>0.1</v>
      </c>
      <c r="AV58">
        <v>0.1</v>
      </c>
      <c r="AW58">
        <v>0.1</v>
      </c>
      <c r="AX58">
        <v>0.3</v>
      </c>
      <c r="AY58">
        <v>0.3</v>
      </c>
      <c r="AZ58">
        <v>0.5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</row>
    <row r="59" x14ac:dyDescent="0.15">
      <c r="A59" t="s">
        <v>72</v>
      </c>
      <c r="B59">
        <v>0.3</v>
      </c>
      <c r="C59">
        <v>0.3</v>
      </c>
      <c r="D59">
        <v>0.5</v>
      </c>
      <c r="E59">
        <v>0.1</v>
      </c>
      <c r="F59">
        <v>0.3</v>
      </c>
      <c r="G59">
        <v>0.6</v>
      </c>
      <c r="H59">
        <v>0.3</v>
      </c>
      <c r="I59">
        <v>0.3</v>
      </c>
      <c r="J59">
        <v>0.6</v>
      </c>
      <c r="K59">
        <v>0.3</v>
      </c>
      <c r="L59">
        <v>0.1</v>
      </c>
      <c r="M59">
        <v>0.1</v>
      </c>
      <c r="N59">
        <v>0.1</v>
      </c>
      <c r="O59">
        <v>0.6</v>
      </c>
      <c r="P59">
        <v>0.3</v>
      </c>
      <c r="Q59">
        <v>0.3</v>
      </c>
      <c r="R59">
        <v>0.1</v>
      </c>
      <c r="S59">
        <v>0.3</v>
      </c>
      <c r="T59">
        <v>0.3</v>
      </c>
      <c r="U59">
        <v>0.6</v>
      </c>
      <c r="V59">
        <v>0.3</v>
      </c>
      <c r="W59">
        <v>0.3</v>
      </c>
      <c r="X59">
        <v>0.3</v>
      </c>
      <c r="Y59">
        <v>0.3</v>
      </c>
      <c r="Z59">
        <v>0.3</v>
      </c>
      <c r="AA59">
        <v>0.3</v>
      </c>
      <c r="AB59">
        <v>0.3</v>
      </c>
      <c r="AC59">
        <v>0.3</v>
      </c>
      <c r="AD59">
        <v>0.3</v>
      </c>
      <c r="AE59">
        <v>0.3</v>
      </c>
      <c r="AF59">
        <v>0.3</v>
      </c>
      <c r="AG59">
        <v>0.3</v>
      </c>
      <c r="AH59">
        <v>0.6</v>
      </c>
      <c r="AI59">
        <v>0.3</v>
      </c>
      <c r="AJ59">
        <v>0.5</v>
      </c>
      <c r="AK59">
        <v>0.5</v>
      </c>
      <c r="AL59">
        <v>0.5</v>
      </c>
      <c r="AM59">
        <v>0.3</v>
      </c>
      <c r="AN59">
        <v>0.3</v>
      </c>
      <c r="AO59">
        <v>0.5</v>
      </c>
      <c r="AP59">
        <v>0.3</v>
      </c>
      <c r="AQ59">
        <v>0.3</v>
      </c>
      <c r="AR59">
        <v>0.3</v>
      </c>
      <c r="AS59">
        <v>0.5</v>
      </c>
      <c r="AT59">
        <v>0.3</v>
      </c>
      <c r="AU59">
        <v>0.1</v>
      </c>
      <c r="AV59">
        <v>0.1</v>
      </c>
      <c r="AW59">
        <v>0.1</v>
      </c>
      <c r="AX59">
        <v>0.3</v>
      </c>
      <c r="AY59">
        <v>0.3</v>
      </c>
      <c r="AZ59">
        <v>0.5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</row>
    <row r="60" ht="16" x14ac:dyDescent="0.2">
      <c r="A60" s="163" t="s">
        <v>235</v>
      </c>
      <c r="B60">
        <v>0.3</v>
      </c>
      <c r="C60">
        <v>0.3</v>
      </c>
      <c r="D60">
        <v>0.5</v>
      </c>
      <c r="E60">
        <v>0.1</v>
      </c>
      <c r="F60">
        <v>0.3</v>
      </c>
      <c r="G60">
        <v>0.6</v>
      </c>
      <c r="H60">
        <v>0.3</v>
      </c>
      <c r="I60">
        <v>0.3</v>
      </c>
      <c r="J60">
        <v>0.6</v>
      </c>
      <c r="K60">
        <v>0.3</v>
      </c>
      <c r="L60">
        <v>0.1</v>
      </c>
      <c r="M60">
        <v>0.1</v>
      </c>
      <c r="N60">
        <v>0.1</v>
      </c>
      <c r="O60">
        <v>0.6</v>
      </c>
      <c r="P60">
        <v>0.3</v>
      </c>
      <c r="Q60">
        <v>0.3</v>
      </c>
      <c r="R60">
        <v>0.1</v>
      </c>
      <c r="S60">
        <v>0.3</v>
      </c>
      <c r="T60">
        <v>0.3</v>
      </c>
      <c r="U60">
        <v>0.6</v>
      </c>
      <c r="V60">
        <v>0.3</v>
      </c>
      <c r="W60">
        <v>0.3</v>
      </c>
      <c r="X60">
        <v>0.3</v>
      </c>
      <c r="Y60">
        <v>0.3</v>
      </c>
      <c r="Z60">
        <v>0.3</v>
      </c>
      <c r="AA60">
        <v>0.3</v>
      </c>
      <c r="AB60">
        <v>0.3</v>
      </c>
      <c r="AC60">
        <v>0.3</v>
      </c>
      <c r="AD60">
        <v>0.3</v>
      </c>
      <c r="AE60">
        <v>0.3</v>
      </c>
      <c r="AF60">
        <v>0.3</v>
      </c>
      <c r="AG60">
        <v>0.3</v>
      </c>
      <c r="AH60">
        <v>0.6</v>
      </c>
      <c r="AI60">
        <v>0.3</v>
      </c>
      <c r="AJ60">
        <v>0.5</v>
      </c>
      <c r="AK60">
        <v>0.5</v>
      </c>
      <c r="AL60">
        <v>0.5</v>
      </c>
      <c r="AM60">
        <v>0.3</v>
      </c>
      <c r="AN60">
        <v>0.3</v>
      </c>
      <c r="AO60">
        <v>0.5</v>
      </c>
      <c r="AP60">
        <v>0.3</v>
      </c>
      <c r="AQ60">
        <v>0.3</v>
      </c>
      <c r="AR60">
        <v>0.3</v>
      </c>
      <c r="AS60">
        <v>0.5</v>
      </c>
      <c r="AT60">
        <v>0.3</v>
      </c>
      <c r="AU60">
        <v>0.1</v>
      </c>
      <c r="AV60">
        <v>0.1</v>
      </c>
      <c r="AW60">
        <v>0.1</v>
      </c>
      <c r="AX60">
        <v>0.3</v>
      </c>
      <c r="AY60">
        <v>0.3</v>
      </c>
      <c r="AZ60">
        <v>0.5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BG60"/>
  <sheetViews>
    <sheetView workbookViewId="0">
      <selection activeCell="A5" sqref="A5"/>
    </sheetView>
  </sheetViews>
  <sheetFormatPr baseColWidth="10" defaultRowHeight="13" x14ac:dyDescent="0.15"/>
  <cols>
    <col min="1" max="1" width="39.83203125" bestFit="true" customWidth="true"/>
  </cols>
  <sheetData>
    <row r="1" x14ac:dyDescent="0.15">
      <c r="A1" s="4" t="s">
        <v>139</v>
      </c>
      <c r="B1" t="s">
        <v>167</v>
      </c>
      <c r="C1" t="s">
        <v>168</v>
      </c>
      <c r="D1" t="s">
        <v>169</v>
      </c>
      <c r="E1" t="s">
        <v>170</v>
      </c>
      <c r="F1" t="s">
        <v>171</v>
      </c>
      <c r="G1" t="s">
        <v>172</v>
      </c>
      <c r="H1" t="s">
        <v>173</v>
      </c>
      <c r="I1" t="s">
        <v>174</v>
      </c>
      <c r="J1" t="s">
        <v>175</v>
      </c>
      <c r="K1" t="s">
        <v>176</v>
      </c>
      <c r="L1" t="s">
        <v>177</v>
      </c>
      <c r="M1" t="s">
        <v>178</v>
      </c>
      <c r="N1" t="s">
        <v>179</v>
      </c>
      <c r="O1" t="s">
        <v>180</v>
      </c>
      <c r="P1" t="s">
        <v>181</v>
      </c>
      <c r="Q1" t="s">
        <v>182</v>
      </c>
      <c r="R1" t="s">
        <v>183</v>
      </c>
      <c r="S1" t="s">
        <v>184</v>
      </c>
      <c r="T1" t="s">
        <v>185</v>
      </c>
      <c r="U1" t="s">
        <v>186</v>
      </c>
      <c r="V1" t="s">
        <v>187</v>
      </c>
      <c r="W1" t="s">
        <v>188</v>
      </c>
      <c r="X1" t="s">
        <v>189</v>
      </c>
      <c r="Y1" t="s">
        <v>190</v>
      </c>
      <c r="Z1" t="s">
        <v>191</v>
      </c>
      <c r="AA1" t="s">
        <v>192</v>
      </c>
      <c r="AB1" t="s">
        <v>193</v>
      </c>
      <c r="AC1" t="s">
        <v>194</v>
      </c>
      <c r="AD1" t="s">
        <v>195</v>
      </c>
      <c r="AE1" t="s">
        <v>196</v>
      </c>
      <c r="AF1" t="s">
        <v>197</v>
      </c>
      <c r="AG1" t="s">
        <v>198</v>
      </c>
      <c r="AH1" t="s">
        <v>199</v>
      </c>
      <c r="AI1" t="s">
        <v>200</v>
      </c>
      <c r="AJ1" t="s">
        <v>201</v>
      </c>
      <c r="AK1" t="s">
        <v>202</v>
      </c>
      <c r="AL1" t="s">
        <v>203</v>
      </c>
      <c r="AM1" t="s">
        <v>204</v>
      </c>
      <c r="AN1" t="s">
        <v>205</v>
      </c>
      <c r="AO1" t="s">
        <v>206</v>
      </c>
      <c r="AP1" t="s">
        <v>207</v>
      </c>
      <c r="AQ1" t="s">
        <v>208</v>
      </c>
      <c r="AR1" t="s">
        <v>209</v>
      </c>
      <c r="AS1" t="s">
        <v>210</v>
      </c>
      <c r="AT1" t="s">
        <v>211</v>
      </c>
      <c r="AU1" t="s">
        <v>212</v>
      </c>
      <c r="AV1" t="s">
        <v>213</v>
      </c>
      <c r="AW1" t="s">
        <v>214</v>
      </c>
      <c r="AX1" t="s">
        <v>215</v>
      </c>
      <c r="AY1" t="s">
        <v>216</v>
      </c>
      <c r="AZ1" t="s">
        <v>217</v>
      </c>
      <c r="BA1" t="s">
        <v>218</v>
      </c>
      <c r="BB1" t="s">
        <v>219</v>
      </c>
      <c r="BC1" t="s">
        <v>220</v>
      </c>
      <c r="BD1" t="s">
        <v>221</v>
      </c>
      <c r="BE1" t="s">
        <v>71</v>
      </c>
      <c r="BF1" t="s">
        <v>222</v>
      </c>
      <c r="BG1" t="s">
        <v>72</v>
      </c>
    </row>
    <row r="2" x14ac:dyDescent="0.15">
      <c r="A2" t="s">
        <v>167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</row>
    <row r="3" x14ac:dyDescent="0.15">
      <c r="A3" t="s">
        <v>168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</row>
    <row r="4" x14ac:dyDescent="0.15">
      <c r="A4" t="s">
        <v>169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</row>
    <row r="5" x14ac:dyDescent="0.15">
      <c r="A5" t="s">
        <v>170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</row>
    <row r="6" x14ac:dyDescent="0.15">
      <c r="A6" t="s">
        <v>171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</row>
    <row r="7" x14ac:dyDescent="0.15">
      <c r="A7" t="s">
        <v>172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</row>
    <row r="8" x14ac:dyDescent="0.15">
      <c r="A8" t="s">
        <v>173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</row>
    <row r="9" x14ac:dyDescent="0.15">
      <c r="A9" t="s">
        <v>174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</row>
    <row r="10" x14ac:dyDescent="0.15">
      <c r="A10" t="s">
        <v>175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</row>
    <row r="11" x14ac:dyDescent="0.15">
      <c r="A11" t="s">
        <v>176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</row>
    <row r="12" x14ac:dyDescent="0.15">
      <c r="A12" t="s">
        <v>177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</row>
    <row r="13" x14ac:dyDescent="0.15">
      <c r="A13" t="s">
        <v>178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</row>
    <row r="14" x14ac:dyDescent="0.15">
      <c r="A14" t="s">
        <v>179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</row>
    <row r="15" x14ac:dyDescent="0.15">
      <c r="A15" t="s">
        <v>180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</row>
    <row r="16" x14ac:dyDescent="0.15">
      <c r="A16" t="s">
        <v>181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</row>
    <row r="17" x14ac:dyDescent="0.15">
      <c r="A17" t="s">
        <v>182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</row>
    <row r="18" x14ac:dyDescent="0.15">
      <c r="A18" t="s">
        <v>183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</row>
    <row r="19" x14ac:dyDescent="0.15">
      <c r="A19" t="s">
        <v>184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</row>
    <row r="20" x14ac:dyDescent="0.15">
      <c r="A20" t="s">
        <v>185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</row>
    <row r="21" x14ac:dyDescent="0.15">
      <c r="A21" t="s">
        <v>186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</row>
    <row r="22" x14ac:dyDescent="0.15">
      <c r="A22" t="s">
        <v>187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</row>
    <row r="23" x14ac:dyDescent="0.15">
      <c r="A23" t="s">
        <v>188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</row>
    <row r="24" x14ac:dyDescent="0.15">
      <c r="A24" t="s">
        <v>189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</row>
    <row r="25" x14ac:dyDescent="0.15">
      <c r="A25" t="s">
        <v>190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</row>
    <row r="26" x14ac:dyDescent="0.15">
      <c r="A26" t="s">
        <v>191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</row>
    <row r="27" x14ac:dyDescent="0.15">
      <c r="A27" t="s">
        <v>192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</row>
    <row r="28" x14ac:dyDescent="0.15">
      <c r="A28" t="s">
        <v>193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</row>
    <row r="29" x14ac:dyDescent="0.15">
      <c r="A29" t="s">
        <v>194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</row>
    <row r="30" x14ac:dyDescent="0.15">
      <c r="A30" t="s">
        <v>195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</row>
    <row r="31" x14ac:dyDescent="0.15">
      <c r="A31" t="s">
        <v>196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</row>
    <row r="32" x14ac:dyDescent="0.15">
      <c r="A32" t="s">
        <v>197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</row>
    <row r="33" x14ac:dyDescent="0.15">
      <c r="A33" t="s">
        <v>198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</row>
    <row r="34" x14ac:dyDescent="0.15">
      <c r="A34" t="s">
        <v>199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</row>
    <row r="35" x14ac:dyDescent="0.15">
      <c r="A35" t="s">
        <v>200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</row>
    <row r="36" x14ac:dyDescent="0.15">
      <c r="A36" t="s">
        <v>201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</row>
    <row r="37" x14ac:dyDescent="0.15">
      <c r="A37" t="s">
        <v>202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</row>
    <row r="38" x14ac:dyDescent="0.15">
      <c r="A38" t="s">
        <v>203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</row>
    <row r="39" x14ac:dyDescent="0.15">
      <c r="A39" t="s">
        <v>204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</row>
    <row r="40" x14ac:dyDescent="0.15">
      <c r="A40" t="s">
        <v>205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</row>
    <row r="41" x14ac:dyDescent="0.15">
      <c r="A41" t="s">
        <v>206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</row>
    <row r="42" x14ac:dyDescent="0.15">
      <c r="A42" t="s">
        <v>207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</row>
    <row r="43" x14ac:dyDescent="0.15">
      <c r="A43" t="s">
        <v>208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</row>
    <row r="44" x14ac:dyDescent="0.15">
      <c r="A44" t="s">
        <v>209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</row>
    <row r="45" x14ac:dyDescent="0.15">
      <c r="A45" t="s">
        <v>210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</row>
    <row r="46" x14ac:dyDescent="0.15">
      <c r="A46" t="s">
        <v>211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</row>
    <row r="47" x14ac:dyDescent="0.15">
      <c r="A47" t="s">
        <v>212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</row>
    <row r="48" x14ac:dyDescent="0.15">
      <c r="A48" t="s">
        <v>213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</row>
    <row r="49" x14ac:dyDescent="0.15">
      <c r="A49" t="s">
        <v>214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</row>
    <row r="50" x14ac:dyDescent="0.15">
      <c r="A50" t="s">
        <v>215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</row>
    <row r="51" x14ac:dyDescent="0.15">
      <c r="A51" t="s">
        <v>216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</row>
    <row r="52" x14ac:dyDescent="0.15">
      <c r="A52" t="s">
        <v>217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</row>
    <row r="53" x14ac:dyDescent="0.15">
      <c r="A53" t="s">
        <v>218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</row>
    <row r="54" x14ac:dyDescent="0.15">
      <c r="A54" t="s">
        <v>219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</row>
    <row r="55" x14ac:dyDescent="0.15">
      <c r="A55" t="s">
        <v>220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</row>
    <row r="56" x14ac:dyDescent="0.15">
      <c r="A56" t="s">
        <v>221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</row>
    <row r="57" x14ac:dyDescent="0.15">
      <c r="A57" t="s">
        <v>71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</row>
    <row r="58" x14ac:dyDescent="0.15">
      <c r="A58" t="s">
        <v>222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</row>
    <row r="59" x14ac:dyDescent="0.15">
      <c r="A59" t="s">
        <v>72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</row>
    <row r="60" ht="16" x14ac:dyDescent="0.2">
      <c r="A60" s="163" t="s">
        <v>235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N185"/>
  <sheetViews>
    <sheetView workbookViewId="0">
      <selection activeCell="A8" sqref="A8"/>
    </sheetView>
  </sheetViews>
  <sheetFormatPr baseColWidth="10" defaultRowHeight="13" x14ac:dyDescent="0.15"/>
  <cols>
    <col min="1" max="1" width="12.6640625" customWidth="true"/>
    <col min="2" max="2" width="22" bestFit="true" customWidth="true"/>
    <col min="3" max="4" width="10.83203125" customWidth="true"/>
    <col min="15" max="15" width="24" bestFit="true" customWidth="true"/>
    <col min="16" max="16" width="26.6640625" bestFit="true" customWidth="true"/>
    <col min="17" max="17" width="13" bestFit="true" customWidth="true"/>
    <col min="18" max="18" width="22" bestFit="true" customWidth="true"/>
    <col min="19" max="19" width="23" bestFit="true" customWidth="true"/>
  </cols>
  <sheetData>
    <row r="1" ht="28" x14ac:dyDescent="0.15">
      <c r="A1" s="5" t="s">
        <v>83</v>
      </c>
      <c r="B1" s="3" t="s">
        <v>0</v>
      </c>
      <c r="C1" t="s">
        <v>223</v>
      </c>
      <c r="D1" t="s">
        <v>224</v>
      </c>
      <c r="E1" t="s">
        <v>225</v>
      </c>
      <c r="F1" t="s">
        <v>226</v>
      </c>
      <c r="G1" t="s">
        <v>227</v>
      </c>
      <c r="H1" t="s">
        <v>228</v>
      </c>
      <c r="I1" t="s">
        <v>229</v>
      </c>
      <c r="J1" t="s">
        <v>230</v>
      </c>
      <c r="K1" t="s">
        <v>231</v>
      </c>
      <c r="L1" t="s">
        <v>232</v>
      </c>
      <c r="M1" t="s">
        <v>233</v>
      </c>
      <c r="N1" t="s">
        <v>234</v>
      </c>
    </row>
    <row r="2" x14ac:dyDescent="0.15">
      <c r="A2">
        <v>1</v>
      </c>
      <c r="B2" t="s">
        <v>167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x14ac:dyDescent="0.15">
      <c r="A3">
        <v>2</v>
      </c>
      <c r="B3" t="s">
        <v>168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x14ac:dyDescent="0.15">
      <c r="A4">
        <v>3</v>
      </c>
      <c r="B4" t="s">
        <v>169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x14ac:dyDescent="0.15">
      <c r="A5">
        <v>4</v>
      </c>
      <c r="B5" t="s">
        <v>170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x14ac:dyDescent="0.15">
      <c r="A6">
        <v>5</v>
      </c>
      <c r="B6" t="s">
        <v>171</v>
      </c>
      <c r="C6">
        <v>0.1</v>
      </c>
      <c r="D6">
        <v>0.1</v>
      </c>
      <c r="E6">
        <v>0.1</v>
      </c>
      <c r="F6">
        <v>0.1</v>
      </c>
      <c r="G6">
        <v>0.1</v>
      </c>
      <c r="H6">
        <v>0.1</v>
      </c>
      <c r="I6">
        <v>0.1</v>
      </c>
      <c r="J6">
        <v>0.1</v>
      </c>
      <c r="K6">
        <v>0.1</v>
      </c>
      <c r="L6">
        <v>0.1</v>
      </c>
      <c r="M6">
        <v>0.1</v>
      </c>
      <c r="N6">
        <v>0.1</v>
      </c>
    </row>
    <row r="7" x14ac:dyDescent="0.15">
      <c r="A7">
        <v>6</v>
      </c>
      <c r="B7" t="s">
        <v>172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x14ac:dyDescent="0.15">
      <c r="A8">
        <v>7</v>
      </c>
      <c r="B8" t="s">
        <v>173</v>
      </c>
      <c r="C8">
        <v>0.1</v>
      </c>
      <c r="D8">
        <v>0.1</v>
      </c>
      <c r="E8">
        <v>0.1</v>
      </c>
      <c r="F8">
        <v>0.1</v>
      </c>
      <c r="G8">
        <v>0.1</v>
      </c>
      <c r="H8">
        <v>0.1</v>
      </c>
      <c r="I8">
        <v>0.1</v>
      </c>
      <c r="J8">
        <v>0.1</v>
      </c>
      <c r="K8">
        <v>0.1</v>
      </c>
      <c r="L8">
        <v>0.1</v>
      </c>
      <c r="M8">
        <v>0.1</v>
      </c>
      <c r="N8">
        <v>0.1</v>
      </c>
    </row>
    <row r="9" x14ac:dyDescent="0.15">
      <c r="A9">
        <v>8</v>
      </c>
      <c r="B9" t="s">
        <v>174</v>
      </c>
      <c r="C9">
        <v>0.1</v>
      </c>
      <c r="D9">
        <v>0.1</v>
      </c>
      <c r="E9">
        <v>0.1</v>
      </c>
      <c r="F9">
        <v>0.1</v>
      </c>
      <c r="G9">
        <v>0.1</v>
      </c>
      <c r="H9">
        <v>0.1</v>
      </c>
      <c r="I9">
        <v>0.1</v>
      </c>
      <c r="J9">
        <v>0.1</v>
      </c>
      <c r="K9">
        <v>0.1</v>
      </c>
      <c r="L9">
        <v>0.1</v>
      </c>
      <c r="M9">
        <v>0.1</v>
      </c>
      <c r="N9">
        <v>0.1</v>
      </c>
    </row>
    <row r="10" x14ac:dyDescent="0.15">
      <c r="A10">
        <v>9</v>
      </c>
      <c r="B10" t="s">
        <v>175</v>
      </c>
      <c r="C10">
        <v>0.1</v>
      </c>
      <c r="D10">
        <v>0.1</v>
      </c>
      <c r="E10">
        <v>0.1</v>
      </c>
      <c r="F10">
        <v>0.1</v>
      </c>
      <c r="G10">
        <v>0.1</v>
      </c>
      <c r="H10">
        <v>0.1</v>
      </c>
      <c r="I10">
        <v>0.1</v>
      </c>
      <c r="J10">
        <v>0.1</v>
      </c>
      <c r="K10">
        <v>0.1</v>
      </c>
      <c r="L10">
        <v>0.1</v>
      </c>
      <c r="M10">
        <v>0.1</v>
      </c>
      <c r="N10">
        <v>0.1</v>
      </c>
    </row>
    <row r="11" x14ac:dyDescent="0.15">
      <c r="A11">
        <v>10</v>
      </c>
      <c r="B11" t="s">
        <v>176</v>
      </c>
      <c r="C11">
        <v>0.1</v>
      </c>
      <c r="D11">
        <v>0.1</v>
      </c>
      <c r="E11">
        <v>0.1</v>
      </c>
      <c r="F11">
        <v>0.1</v>
      </c>
      <c r="G11">
        <v>0.1</v>
      </c>
      <c r="H11">
        <v>0.1</v>
      </c>
      <c r="I11">
        <v>0.1</v>
      </c>
      <c r="J11">
        <v>0.1</v>
      </c>
      <c r="K11">
        <v>0.1</v>
      </c>
      <c r="L11">
        <v>0.1</v>
      </c>
      <c r="M11">
        <v>0.1</v>
      </c>
      <c r="N11">
        <v>0.1</v>
      </c>
    </row>
    <row r="12" x14ac:dyDescent="0.15">
      <c r="A12">
        <v>11</v>
      </c>
      <c r="B12" t="s">
        <v>177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x14ac:dyDescent="0.15">
      <c r="A13">
        <v>12</v>
      </c>
      <c r="B13" t="s">
        <v>178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x14ac:dyDescent="0.15">
      <c r="A14">
        <v>13</v>
      </c>
      <c r="B14" t="s">
        <v>179</v>
      </c>
      <c r="C14">
        <v>0.1</v>
      </c>
      <c r="D14">
        <v>0.1</v>
      </c>
      <c r="E14">
        <v>0.1</v>
      </c>
      <c r="F14">
        <v>0.1</v>
      </c>
      <c r="G14">
        <v>0.1</v>
      </c>
      <c r="H14">
        <v>0.1</v>
      </c>
      <c r="I14">
        <v>0.1</v>
      </c>
      <c r="J14">
        <v>0.1</v>
      </c>
      <c r="K14">
        <v>0.1</v>
      </c>
      <c r="L14">
        <v>0.1</v>
      </c>
      <c r="M14">
        <v>0.1</v>
      </c>
      <c r="N14">
        <v>0.1</v>
      </c>
    </row>
    <row r="15" x14ac:dyDescent="0.15">
      <c r="A15">
        <v>14</v>
      </c>
      <c r="B15" t="s">
        <v>180</v>
      </c>
      <c r="C15">
        <v>0.1</v>
      </c>
      <c r="D15">
        <v>0.1</v>
      </c>
      <c r="E15">
        <v>0.1</v>
      </c>
      <c r="F15">
        <v>0.1</v>
      </c>
      <c r="G15">
        <v>0.1</v>
      </c>
      <c r="H15">
        <v>0.1</v>
      </c>
      <c r="I15">
        <v>0.1</v>
      </c>
      <c r="J15">
        <v>0.1</v>
      </c>
      <c r="K15">
        <v>0.1</v>
      </c>
      <c r="L15">
        <v>0.1</v>
      </c>
      <c r="M15">
        <v>0.1</v>
      </c>
      <c r="N15">
        <v>0.1</v>
      </c>
    </row>
    <row r="16" x14ac:dyDescent="0.15">
      <c r="A16">
        <v>15</v>
      </c>
      <c r="B16" t="s">
        <v>181</v>
      </c>
      <c r="C16">
        <v>0.1</v>
      </c>
      <c r="D16">
        <v>0.1</v>
      </c>
      <c r="E16">
        <v>0.1</v>
      </c>
      <c r="F16">
        <v>0.1</v>
      </c>
      <c r="G16">
        <v>0.1</v>
      </c>
      <c r="H16">
        <v>0.1</v>
      </c>
      <c r="I16">
        <v>0.1</v>
      </c>
      <c r="J16">
        <v>0.1</v>
      </c>
      <c r="K16">
        <v>0.1</v>
      </c>
      <c r="L16">
        <v>0.1</v>
      </c>
      <c r="M16">
        <v>0.1</v>
      </c>
      <c r="N16">
        <v>0.1</v>
      </c>
    </row>
    <row r="17" x14ac:dyDescent="0.15">
      <c r="A17">
        <v>16</v>
      </c>
      <c r="B17" t="s">
        <v>182</v>
      </c>
      <c r="C17">
        <v>0.1</v>
      </c>
      <c r="D17">
        <v>0.1</v>
      </c>
      <c r="E17">
        <v>0.1</v>
      </c>
      <c r="F17">
        <v>0.1</v>
      </c>
      <c r="G17">
        <v>0.1</v>
      </c>
      <c r="H17">
        <v>0.1</v>
      </c>
      <c r="I17">
        <v>0.1</v>
      </c>
      <c r="J17">
        <v>0.1</v>
      </c>
      <c r="K17">
        <v>0.1</v>
      </c>
      <c r="L17">
        <v>0.1</v>
      </c>
      <c r="M17">
        <v>0.1</v>
      </c>
      <c r="N17">
        <v>0.1</v>
      </c>
    </row>
    <row r="18" x14ac:dyDescent="0.15">
      <c r="A18">
        <v>17</v>
      </c>
      <c r="B18" t="s">
        <v>183</v>
      </c>
      <c r="C18">
        <v>0.1</v>
      </c>
      <c r="D18">
        <v>0.1</v>
      </c>
      <c r="E18">
        <v>0.1</v>
      </c>
      <c r="F18">
        <v>0.1</v>
      </c>
      <c r="G18">
        <v>0.1</v>
      </c>
      <c r="H18">
        <v>0.1</v>
      </c>
      <c r="I18">
        <v>0.1</v>
      </c>
      <c r="J18">
        <v>0.1</v>
      </c>
      <c r="K18">
        <v>0.1</v>
      </c>
      <c r="L18">
        <v>0.1</v>
      </c>
      <c r="M18">
        <v>0.1</v>
      </c>
      <c r="N18">
        <v>0.1</v>
      </c>
    </row>
    <row r="19" x14ac:dyDescent="0.15">
      <c r="A19">
        <v>18</v>
      </c>
      <c r="B19" t="s">
        <v>184</v>
      </c>
      <c r="C19">
        <v>0.1</v>
      </c>
      <c r="D19">
        <v>0.1</v>
      </c>
      <c r="E19">
        <v>0.1</v>
      </c>
      <c r="F19">
        <v>0.1</v>
      </c>
      <c r="G19">
        <v>0.1</v>
      </c>
      <c r="H19">
        <v>0.1</v>
      </c>
      <c r="I19">
        <v>0.1</v>
      </c>
      <c r="J19">
        <v>0.1</v>
      </c>
      <c r="K19">
        <v>0.1</v>
      </c>
      <c r="L19">
        <v>0.1</v>
      </c>
      <c r="M19">
        <v>0.1</v>
      </c>
      <c r="N19">
        <v>0.1</v>
      </c>
    </row>
    <row r="20" x14ac:dyDescent="0.15">
      <c r="A20">
        <v>19</v>
      </c>
      <c r="B20" t="s">
        <v>185</v>
      </c>
      <c r="C20">
        <v>0.1</v>
      </c>
      <c r="D20">
        <v>0.1</v>
      </c>
      <c r="E20">
        <v>0.1</v>
      </c>
      <c r="F20">
        <v>0.1</v>
      </c>
      <c r="G20">
        <v>0.1</v>
      </c>
      <c r="H20">
        <v>0.1</v>
      </c>
      <c r="I20">
        <v>0.1</v>
      </c>
      <c r="J20">
        <v>0.1</v>
      </c>
      <c r="K20">
        <v>0.1</v>
      </c>
      <c r="L20">
        <v>0.1</v>
      </c>
      <c r="M20">
        <v>0.1</v>
      </c>
      <c r="N20">
        <v>0.1</v>
      </c>
    </row>
    <row r="21" x14ac:dyDescent="0.15">
      <c r="A21">
        <v>20</v>
      </c>
      <c r="B21" t="s">
        <v>186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x14ac:dyDescent="0.15">
      <c r="A22">
        <v>21</v>
      </c>
      <c r="B22" t="s">
        <v>187</v>
      </c>
      <c r="C22">
        <v>0.1</v>
      </c>
      <c r="D22">
        <v>0.1</v>
      </c>
      <c r="E22">
        <v>0.1</v>
      </c>
      <c r="F22">
        <v>0.1</v>
      </c>
      <c r="G22">
        <v>0.1</v>
      </c>
      <c r="H22">
        <v>0.1</v>
      </c>
      <c r="I22">
        <v>0.1</v>
      </c>
      <c r="J22">
        <v>0.1</v>
      </c>
      <c r="K22">
        <v>0.1</v>
      </c>
      <c r="L22">
        <v>0.1</v>
      </c>
      <c r="M22">
        <v>0.1</v>
      </c>
      <c r="N22">
        <v>0.1</v>
      </c>
    </row>
    <row r="23" x14ac:dyDescent="0.15">
      <c r="A23">
        <v>22</v>
      </c>
      <c r="B23" t="s">
        <v>188</v>
      </c>
      <c r="C23">
        <v>0.1</v>
      </c>
      <c r="D23">
        <v>0.1</v>
      </c>
      <c r="E23">
        <v>0.1</v>
      </c>
      <c r="F23">
        <v>0.1</v>
      </c>
      <c r="G23">
        <v>0.1</v>
      </c>
      <c r="H23">
        <v>0.1</v>
      </c>
      <c r="I23">
        <v>0.1</v>
      </c>
      <c r="J23">
        <v>0.1</v>
      </c>
      <c r="K23">
        <v>0.1</v>
      </c>
      <c r="L23">
        <v>0.1</v>
      </c>
      <c r="M23">
        <v>0.1</v>
      </c>
      <c r="N23">
        <v>0.1</v>
      </c>
    </row>
    <row r="24" x14ac:dyDescent="0.15">
      <c r="A24">
        <v>23</v>
      </c>
      <c r="B24" t="s">
        <v>189</v>
      </c>
      <c r="C24">
        <v>0.1</v>
      </c>
      <c r="D24">
        <v>0.1</v>
      </c>
      <c r="E24">
        <v>0.1</v>
      </c>
      <c r="F24">
        <v>0.1</v>
      </c>
      <c r="G24">
        <v>0.1</v>
      </c>
      <c r="H24">
        <v>0.1</v>
      </c>
      <c r="I24">
        <v>0.1</v>
      </c>
      <c r="J24">
        <v>0.1</v>
      </c>
      <c r="K24">
        <v>0.1</v>
      </c>
      <c r="L24">
        <v>0.1</v>
      </c>
      <c r="M24">
        <v>0.1</v>
      </c>
      <c r="N24">
        <v>0.1</v>
      </c>
    </row>
    <row r="25" x14ac:dyDescent="0.15">
      <c r="A25">
        <v>24</v>
      </c>
      <c r="B25" t="s">
        <v>190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x14ac:dyDescent="0.15">
      <c r="A26">
        <v>25</v>
      </c>
      <c r="B26" t="s">
        <v>191</v>
      </c>
      <c r="C26">
        <v>0.1</v>
      </c>
      <c r="D26">
        <v>0.1</v>
      </c>
      <c r="E26">
        <v>0.1</v>
      </c>
      <c r="F26">
        <v>0.1</v>
      </c>
      <c r="G26">
        <v>0.1</v>
      </c>
      <c r="H26">
        <v>0.1</v>
      </c>
      <c r="I26">
        <v>0.1</v>
      </c>
      <c r="J26">
        <v>0.1</v>
      </c>
      <c r="K26">
        <v>0.1</v>
      </c>
      <c r="L26">
        <v>0.1</v>
      </c>
      <c r="M26">
        <v>0.1</v>
      </c>
      <c r="N26">
        <v>0.1</v>
      </c>
    </row>
    <row r="27" x14ac:dyDescent="0.15">
      <c r="A27">
        <v>26</v>
      </c>
      <c r="B27" t="s">
        <v>192</v>
      </c>
      <c r="C27">
        <v>0.1</v>
      </c>
      <c r="D27">
        <v>0.1</v>
      </c>
      <c r="E27">
        <v>0.1</v>
      </c>
      <c r="F27">
        <v>0.1</v>
      </c>
      <c r="G27">
        <v>0.1</v>
      </c>
      <c r="H27">
        <v>0.1</v>
      </c>
      <c r="I27">
        <v>0.1</v>
      </c>
      <c r="J27">
        <v>0.1</v>
      </c>
      <c r="K27">
        <v>0.1</v>
      </c>
      <c r="L27">
        <v>0.1</v>
      </c>
      <c r="M27">
        <v>0.1</v>
      </c>
      <c r="N27">
        <v>0.1</v>
      </c>
    </row>
    <row r="28" x14ac:dyDescent="0.15">
      <c r="A28">
        <v>27</v>
      </c>
      <c r="B28" t="s">
        <v>193</v>
      </c>
      <c r="C28">
        <v>0.1</v>
      </c>
      <c r="D28">
        <v>0.1</v>
      </c>
      <c r="E28">
        <v>0.1</v>
      </c>
      <c r="F28">
        <v>0.1</v>
      </c>
      <c r="G28">
        <v>0.1</v>
      </c>
      <c r="H28">
        <v>0.1</v>
      </c>
      <c r="I28">
        <v>0.1</v>
      </c>
      <c r="J28">
        <v>0.1</v>
      </c>
      <c r="K28">
        <v>0.1</v>
      </c>
      <c r="L28">
        <v>0.1</v>
      </c>
      <c r="M28">
        <v>0.1</v>
      </c>
      <c r="N28">
        <v>0.1</v>
      </c>
    </row>
    <row r="29" x14ac:dyDescent="0.15">
      <c r="A29">
        <v>28</v>
      </c>
      <c r="B29" t="s">
        <v>194</v>
      </c>
      <c r="C29">
        <v>0.1</v>
      </c>
      <c r="D29">
        <v>0.1</v>
      </c>
      <c r="E29">
        <v>0.1</v>
      </c>
      <c r="F29">
        <v>0.1</v>
      </c>
      <c r="G29">
        <v>0.1</v>
      </c>
      <c r="H29">
        <v>0.1</v>
      </c>
      <c r="I29">
        <v>0.1</v>
      </c>
      <c r="J29">
        <v>0.1</v>
      </c>
      <c r="K29">
        <v>0.1</v>
      </c>
      <c r="L29">
        <v>0.1</v>
      </c>
      <c r="M29">
        <v>0.1</v>
      </c>
      <c r="N29">
        <v>0.1</v>
      </c>
    </row>
    <row r="30" x14ac:dyDescent="0.15">
      <c r="A30">
        <v>29</v>
      </c>
      <c r="B30" t="s">
        <v>195</v>
      </c>
      <c r="C30">
        <v>0.1</v>
      </c>
      <c r="D30">
        <v>0.1</v>
      </c>
      <c r="E30">
        <v>0.1</v>
      </c>
      <c r="F30">
        <v>0.1</v>
      </c>
      <c r="G30">
        <v>0.1</v>
      </c>
      <c r="H30">
        <v>0.1</v>
      </c>
      <c r="I30">
        <v>0.1</v>
      </c>
      <c r="J30">
        <v>0.1</v>
      </c>
      <c r="K30">
        <v>0.1</v>
      </c>
      <c r="L30">
        <v>0.1</v>
      </c>
      <c r="M30">
        <v>0.1</v>
      </c>
      <c r="N30">
        <v>0.1</v>
      </c>
    </row>
    <row r="31" x14ac:dyDescent="0.15">
      <c r="A31">
        <v>30</v>
      </c>
      <c r="B31" t="s">
        <v>196</v>
      </c>
      <c r="C31">
        <v>0.1</v>
      </c>
      <c r="D31">
        <v>0.1</v>
      </c>
      <c r="E31">
        <v>0.1</v>
      </c>
      <c r="F31">
        <v>0.1</v>
      </c>
      <c r="G31">
        <v>0.1</v>
      </c>
      <c r="H31">
        <v>0.1</v>
      </c>
      <c r="I31">
        <v>0.1</v>
      </c>
      <c r="J31">
        <v>0.1</v>
      </c>
      <c r="K31">
        <v>0.1</v>
      </c>
      <c r="L31">
        <v>0.1</v>
      </c>
      <c r="M31">
        <v>0.1</v>
      </c>
      <c r="N31">
        <v>0.1</v>
      </c>
    </row>
    <row r="32" x14ac:dyDescent="0.15">
      <c r="A32">
        <v>31</v>
      </c>
      <c r="B32" t="s">
        <v>197</v>
      </c>
      <c r="C32">
        <v>0.1</v>
      </c>
      <c r="D32">
        <v>0.1</v>
      </c>
      <c r="E32">
        <v>0.1</v>
      </c>
      <c r="F32">
        <v>0.1</v>
      </c>
      <c r="G32">
        <v>0.1</v>
      </c>
      <c r="H32">
        <v>0.1</v>
      </c>
      <c r="I32">
        <v>0.1</v>
      </c>
      <c r="J32">
        <v>0.1</v>
      </c>
      <c r="K32">
        <v>0.1</v>
      </c>
      <c r="L32">
        <v>0.1</v>
      </c>
      <c r="M32">
        <v>0.1</v>
      </c>
      <c r="N32">
        <v>0.1</v>
      </c>
    </row>
    <row r="33" x14ac:dyDescent="0.15">
      <c r="A33">
        <v>32</v>
      </c>
      <c r="B33" t="s">
        <v>198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x14ac:dyDescent="0.15">
      <c r="A34">
        <v>33</v>
      </c>
      <c r="B34" t="s">
        <v>199</v>
      </c>
      <c r="C34">
        <v>0.1</v>
      </c>
      <c r="D34">
        <v>0.1</v>
      </c>
      <c r="E34">
        <v>0.1</v>
      </c>
      <c r="F34">
        <v>0.1</v>
      </c>
      <c r="G34">
        <v>0.1</v>
      </c>
      <c r="H34">
        <v>0.1</v>
      </c>
      <c r="I34">
        <v>0.1</v>
      </c>
      <c r="J34">
        <v>0.1</v>
      </c>
      <c r="K34">
        <v>0.1</v>
      </c>
      <c r="L34">
        <v>0.1</v>
      </c>
      <c r="M34">
        <v>0.1</v>
      </c>
      <c r="N34">
        <v>0.1</v>
      </c>
    </row>
    <row r="35" x14ac:dyDescent="0.15">
      <c r="A35">
        <v>34</v>
      </c>
      <c r="B35" t="s">
        <v>200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x14ac:dyDescent="0.15">
      <c r="A36">
        <v>35</v>
      </c>
      <c r="B36" t="s">
        <v>201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x14ac:dyDescent="0.15">
      <c r="A37">
        <v>36</v>
      </c>
      <c r="B37" t="s">
        <v>202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x14ac:dyDescent="0.15">
      <c r="A38">
        <v>37</v>
      </c>
      <c r="B38" t="s">
        <v>203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x14ac:dyDescent="0.15">
      <c r="A39">
        <v>38</v>
      </c>
      <c r="B39" t="s">
        <v>204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x14ac:dyDescent="0.15">
      <c r="A40">
        <v>39</v>
      </c>
      <c r="B40" t="s">
        <v>205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x14ac:dyDescent="0.15">
      <c r="A41">
        <v>40</v>
      </c>
      <c r="B41" t="s">
        <v>206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x14ac:dyDescent="0.15">
      <c r="A42">
        <v>41</v>
      </c>
      <c r="B42" t="s">
        <v>207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x14ac:dyDescent="0.15">
      <c r="A43">
        <v>42</v>
      </c>
      <c r="B43" t="s">
        <v>208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x14ac:dyDescent="0.15">
      <c r="A44">
        <v>43</v>
      </c>
      <c r="B44" t="s">
        <v>209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x14ac:dyDescent="0.15">
      <c r="A45">
        <v>44</v>
      </c>
      <c r="B45" t="s">
        <v>210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x14ac:dyDescent="0.15">
      <c r="A46">
        <v>45</v>
      </c>
      <c r="B46" t="s">
        <v>211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x14ac:dyDescent="0.15">
      <c r="A47">
        <v>46</v>
      </c>
      <c r="B47" t="s">
        <v>212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x14ac:dyDescent="0.15">
      <c r="A48">
        <v>47</v>
      </c>
      <c r="B48" t="s">
        <v>213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x14ac:dyDescent="0.15">
      <c r="A49">
        <v>48</v>
      </c>
      <c r="B49" t="s">
        <v>214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x14ac:dyDescent="0.15">
      <c r="A50">
        <v>49</v>
      </c>
      <c r="B50" t="s">
        <v>215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x14ac:dyDescent="0.15">
      <c r="A51">
        <v>50</v>
      </c>
      <c r="B51" t="s">
        <v>216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x14ac:dyDescent="0.15">
      <c r="A52">
        <v>51</v>
      </c>
      <c r="B52" t="s">
        <v>217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x14ac:dyDescent="0.15">
      <c r="A53">
        <v>52</v>
      </c>
      <c r="B53" t="s">
        <v>218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x14ac:dyDescent="0.15">
      <c r="A54">
        <v>53</v>
      </c>
      <c r="B54" t="s">
        <v>219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x14ac:dyDescent="0.15">
      <c r="A55">
        <v>54</v>
      </c>
      <c r="B55" t="s">
        <v>220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x14ac:dyDescent="0.15">
      <c r="A56">
        <v>55</v>
      </c>
      <c r="B56" t="s">
        <v>221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x14ac:dyDescent="0.15">
      <c r="A57">
        <v>56</v>
      </c>
      <c r="B57" t="s">
        <v>71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x14ac:dyDescent="0.15">
      <c r="A58">
        <v>57</v>
      </c>
      <c r="B58" t="s">
        <v>222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x14ac:dyDescent="0.15">
      <c r="A59">
        <v>58</v>
      </c>
      <c r="B59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179" ht="15" customHeight="true" x14ac:dyDescent="0.15"/>
    <row r="180" ht="15" customHeight="true" x14ac:dyDescent="0.15"/>
    <row r="181" ht="15" customHeight="true" x14ac:dyDescent="0.15"/>
    <row r="182" ht="15" customHeight="true" x14ac:dyDescent="0.15"/>
    <row r="183" ht="15" customHeight="true" x14ac:dyDescent="0.15"/>
    <row r="184" ht="15" customHeight="true" x14ac:dyDescent="0.15"/>
    <row r="185" ht="15" customHeight="true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N59"/>
  <sheetViews>
    <sheetView workbookViewId="0">
      <selection activeCell="B5" sqref="B5"/>
    </sheetView>
  </sheetViews>
  <sheetFormatPr baseColWidth="10" defaultRowHeight="13" x14ac:dyDescent="0.15"/>
  <cols>
    <col min="1" max="1" width="12.6640625" customWidth="true"/>
    <col min="2" max="2" width="22" bestFit="true" customWidth="true"/>
    <col min="3" max="4" width="10.83203125" customWidth="true"/>
    <col min="15" max="15" width="24" bestFit="true" customWidth="true"/>
    <col min="16" max="16" width="26.6640625" bestFit="true" customWidth="true"/>
    <col min="17" max="17" width="13" bestFit="true" customWidth="true"/>
    <col min="18" max="18" width="22" bestFit="true" customWidth="true"/>
    <col min="19" max="19" width="23" bestFit="true" customWidth="true"/>
  </cols>
  <sheetData>
    <row r="1" ht="28" x14ac:dyDescent="0.15">
      <c r="A1" s="5" t="s">
        <v>82</v>
      </c>
      <c r="B1" s="3" t="s">
        <v>0</v>
      </c>
      <c r="C1" t="s">
        <v>223</v>
      </c>
      <c r="D1" t="s">
        <v>224</v>
      </c>
      <c r="E1" t="s">
        <v>225</v>
      </c>
      <c r="F1" t="s">
        <v>226</v>
      </c>
      <c r="G1" t="s">
        <v>227</v>
      </c>
      <c r="H1" t="s">
        <v>228</v>
      </c>
      <c r="I1" t="s">
        <v>229</v>
      </c>
      <c r="J1" t="s">
        <v>230</v>
      </c>
      <c r="K1" t="s">
        <v>231</v>
      </c>
      <c r="L1" t="s">
        <v>232</v>
      </c>
      <c r="M1" t="s">
        <v>233</v>
      </c>
      <c r="N1" t="s">
        <v>234</v>
      </c>
    </row>
    <row r="2" x14ac:dyDescent="0.15">
      <c r="A2">
        <v>1</v>
      </c>
      <c r="B2" t="s">
        <v>167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x14ac:dyDescent="0.15">
      <c r="A3">
        <v>2</v>
      </c>
      <c r="B3" t="s">
        <v>168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x14ac:dyDescent="0.15">
      <c r="A4">
        <v>3</v>
      </c>
      <c r="B4" t="s">
        <v>169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x14ac:dyDescent="0.15">
      <c r="A5">
        <v>4</v>
      </c>
      <c r="B5" t="s">
        <v>170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x14ac:dyDescent="0.15">
      <c r="A6">
        <v>5</v>
      </c>
      <c r="B6" t="s">
        <v>171</v>
      </c>
      <c r="C6">
        <v>0.1</v>
      </c>
      <c r="D6">
        <v>0.1</v>
      </c>
      <c r="E6">
        <v>0.1</v>
      </c>
      <c r="F6">
        <v>0.1</v>
      </c>
      <c r="G6">
        <v>0.1</v>
      </c>
      <c r="H6">
        <v>0.1</v>
      </c>
      <c r="I6">
        <v>0.1</v>
      </c>
      <c r="J6">
        <v>0.1</v>
      </c>
      <c r="K6">
        <v>0.1</v>
      </c>
      <c r="L6">
        <v>0.1</v>
      </c>
      <c r="M6">
        <v>0.1</v>
      </c>
      <c r="N6">
        <v>0.1</v>
      </c>
    </row>
    <row r="7" x14ac:dyDescent="0.15">
      <c r="A7">
        <v>6</v>
      </c>
      <c r="B7" t="s">
        <v>172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x14ac:dyDescent="0.15">
      <c r="A8">
        <v>7</v>
      </c>
      <c r="B8" t="s">
        <v>173</v>
      </c>
      <c r="C8">
        <v>0.1</v>
      </c>
      <c r="D8">
        <v>0.1</v>
      </c>
      <c r="E8">
        <v>0.1</v>
      </c>
      <c r="F8">
        <v>0.1</v>
      </c>
      <c r="G8">
        <v>0.1</v>
      </c>
      <c r="H8">
        <v>0.1</v>
      </c>
      <c r="I8">
        <v>0.1</v>
      </c>
      <c r="J8">
        <v>0.1</v>
      </c>
      <c r="K8">
        <v>0.1</v>
      </c>
      <c r="L8">
        <v>0.1</v>
      </c>
      <c r="M8">
        <v>0.1</v>
      </c>
      <c r="N8">
        <v>0.1</v>
      </c>
    </row>
    <row r="9" x14ac:dyDescent="0.15">
      <c r="A9">
        <v>8</v>
      </c>
      <c r="B9" t="s">
        <v>174</v>
      </c>
      <c r="C9">
        <v>0.1</v>
      </c>
      <c r="D9">
        <v>0.1</v>
      </c>
      <c r="E9">
        <v>0.1</v>
      </c>
      <c r="F9">
        <v>0.1</v>
      </c>
      <c r="G9">
        <v>0.1</v>
      </c>
      <c r="H9">
        <v>0.1</v>
      </c>
      <c r="I9">
        <v>0.1</v>
      </c>
      <c r="J9">
        <v>0.1</v>
      </c>
      <c r="K9">
        <v>0.1</v>
      </c>
      <c r="L9">
        <v>0.1</v>
      </c>
      <c r="M9">
        <v>0.1</v>
      </c>
      <c r="N9">
        <v>0.1</v>
      </c>
    </row>
    <row r="10" x14ac:dyDescent="0.15">
      <c r="A10">
        <v>9</v>
      </c>
      <c r="B10" t="s">
        <v>175</v>
      </c>
      <c r="C10">
        <v>0.1</v>
      </c>
      <c r="D10">
        <v>0.1</v>
      </c>
      <c r="E10">
        <v>0.1</v>
      </c>
      <c r="F10">
        <v>0.1</v>
      </c>
      <c r="G10">
        <v>0.1</v>
      </c>
      <c r="H10">
        <v>0.1</v>
      </c>
      <c r="I10">
        <v>0.1</v>
      </c>
      <c r="J10">
        <v>0.1</v>
      </c>
      <c r="K10">
        <v>0.1</v>
      </c>
      <c r="L10">
        <v>0.1</v>
      </c>
      <c r="M10">
        <v>0.1</v>
      </c>
      <c r="N10">
        <v>0.1</v>
      </c>
    </row>
    <row r="11" x14ac:dyDescent="0.15">
      <c r="A11">
        <v>10</v>
      </c>
      <c r="B11" t="s">
        <v>176</v>
      </c>
      <c r="C11">
        <v>0.1</v>
      </c>
      <c r="D11">
        <v>0.1</v>
      </c>
      <c r="E11">
        <v>0.1</v>
      </c>
      <c r="F11">
        <v>0.1</v>
      </c>
      <c r="G11">
        <v>0.1</v>
      </c>
      <c r="H11">
        <v>0.1</v>
      </c>
      <c r="I11">
        <v>0.1</v>
      </c>
      <c r="J11">
        <v>0.1</v>
      </c>
      <c r="K11">
        <v>0.1</v>
      </c>
      <c r="L11">
        <v>0.1</v>
      </c>
      <c r="M11">
        <v>0.1</v>
      </c>
      <c r="N11">
        <v>0.1</v>
      </c>
    </row>
    <row r="12" x14ac:dyDescent="0.15">
      <c r="A12">
        <v>11</v>
      </c>
      <c r="B12" t="s">
        <v>177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x14ac:dyDescent="0.15">
      <c r="A13">
        <v>12</v>
      </c>
      <c r="B13" t="s">
        <v>178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x14ac:dyDescent="0.15">
      <c r="A14">
        <v>13</v>
      </c>
      <c r="B14" t="s">
        <v>179</v>
      </c>
      <c r="C14">
        <v>0.1</v>
      </c>
      <c r="D14">
        <v>0.1</v>
      </c>
      <c r="E14">
        <v>0.1</v>
      </c>
      <c r="F14">
        <v>0.1</v>
      </c>
      <c r="G14">
        <v>0.1</v>
      </c>
      <c r="H14">
        <v>0.1</v>
      </c>
      <c r="I14">
        <v>0.1</v>
      </c>
      <c r="J14">
        <v>0.1</v>
      </c>
      <c r="K14">
        <v>0.1</v>
      </c>
      <c r="L14">
        <v>0.1</v>
      </c>
      <c r="M14">
        <v>0.1</v>
      </c>
      <c r="N14">
        <v>0.1</v>
      </c>
    </row>
    <row r="15" x14ac:dyDescent="0.15">
      <c r="A15">
        <v>14</v>
      </c>
      <c r="B15" t="s">
        <v>180</v>
      </c>
      <c r="C15">
        <v>0.1</v>
      </c>
      <c r="D15">
        <v>0.1</v>
      </c>
      <c r="E15">
        <v>0.1</v>
      </c>
      <c r="F15">
        <v>0.1</v>
      </c>
      <c r="G15">
        <v>0.1</v>
      </c>
      <c r="H15">
        <v>0.1</v>
      </c>
      <c r="I15">
        <v>0.1</v>
      </c>
      <c r="J15">
        <v>0.1</v>
      </c>
      <c r="K15">
        <v>0.1</v>
      </c>
      <c r="L15">
        <v>0.1</v>
      </c>
      <c r="M15">
        <v>0.1</v>
      </c>
      <c r="N15">
        <v>0.1</v>
      </c>
    </row>
    <row r="16" x14ac:dyDescent="0.15">
      <c r="A16">
        <v>15</v>
      </c>
      <c r="B16" t="s">
        <v>181</v>
      </c>
      <c r="C16">
        <v>0.1</v>
      </c>
      <c r="D16">
        <v>0.1</v>
      </c>
      <c r="E16">
        <v>0.1</v>
      </c>
      <c r="F16">
        <v>0.1</v>
      </c>
      <c r="G16">
        <v>0.1</v>
      </c>
      <c r="H16">
        <v>0.1</v>
      </c>
      <c r="I16">
        <v>0.1</v>
      </c>
      <c r="J16">
        <v>0.1</v>
      </c>
      <c r="K16">
        <v>0.1</v>
      </c>
      <c r="L16">
        <v>0.1</v>
      </c>
      <c r="M16">
        <v>0.1</v>
      </c>
      <c r="N16">
        <v>0.1</v>
      </c>
    </row>
    <row r="17" x14ac:dyDescent="0.15">
      <c r="A17">
        <v>16</v>
      </c>
      <c r="B17" t="s">
        <v>182</v>
      </c>
      <c r="C17">
        <v>0.1</v>
      </c>
      <c r="D17">
        <v>0.1</v>
      </c>
      <c r="E17">
        <v>0.1</v>
      </c>
      <c r="F17">
        <v>0.1</v>
      </c>
      <c r="G17">
        <v>0.1</v>
      </c>
      <c r="H17">
        <v>0.1</v>
      </c>
      <c r="I17">
        <v>0.1</v>
      </c>
      <c r="J17">
        <v>0.1</v>
      </c>
      <c r="K17">
        <v>0.1</v>
      </c>
      <c r="L17">
        <v>0.1</v>
      </c>
      <c r="M17">
        <v>0.1</v>
      </c>
      <c r="N17">
        <v>0.1</v>
      </c>
    </row>
    <row r="18" x14ac:dyDescent="0.15">
      <c r="A18">
        <v>17</v>
      </c>
      <c r="B18" t="s">
        <v>183</v>
      </c>
      <c r="C18">
        <v>0.1</v>
      </c>
      <c r="D18">
        <v>0.1</v>
      </c>
      <c r="E18">
        <v>0.1</v>
      </c>
      <c r="F18">
        <v>0.1</v>
      </c>
      <c r="G18">
        <v>0.1</v>
      </c>
      <c r="H18">
        <v>0.1</v>
      </c>
      <c r="I18">
        <v>0.1</v>
      </c>
      <c r="J18">
        <v>0.1</v>
      </c>
      <c r="K18">
        <v>0.1</v>
      </c>
      <c r="L18">
        <v>0.1</v>
      </c>
      <c r="M18">
        <v>0.1</v>
      </c>
      <c r="N18">
        <v>0.1</v>
      </c>
    </row>
    <row r="19" x14ac:dyDescent="0.15">
      <c r="A19">
        <v>18</v>
      </c>
      <c r="B19" t="s">
        <v>184</v>
      </c>
      <c r="C19">
        <v>0.1</v>
      </c>
      <c r="D19">
        <v>0.1</v>
      </c>
      <c r="E19">
        <v>0.1</v>
      </c>
      <c r="F19">
        <v>0.1</v>
      </c>
      <c r="G19">
        <v>0.1</v>
      </c>
      <c r="H19">
        <v>0.1</v>
      </c>
      <c r="I19">
        <v>0.1</v>
      </c>
      <c r="J19">
        <v>0.1</v>
      </c>
      <c r="K19">
        <v>0.1</v>
      </c>
      <c r="L19">
        <v>0.1</v>
      </c>
      <c r="M19">
        <v>0.1</v>
      </c>
      <c r="N19">
        <v>0.1</v>
      </c>
    </row>
    <row r="20" x14ac:dyDescent="0.15">
      <c r="A20">
        <v>19</v>
      </c>
      <c r="B20" t="s">
        <v>185</v>
      </c>
      <c r="C20">
        <v>0.1</v>
      </c>
      <c r="D20">
        <v>0.1</v>
      </c>
      <c r="E20">
        <v>0.1</v>
      </c>
      <c r="F20">
        <v>0.1</v>
      </c>
      <c r="G20">
        <v>0.1</v>
      </c>
      <c r="H20">
        <v>0.1</v>
      </c>
      <c r="I20">
        <v>0.1</v>
      </c>
      <c r="J20">
        <v>0.1</v>
      </c>
      <c r="K20">
        <v>0.1</v>
      </c>
      <c r="L20">
        <v>0.1</v>
      </c>
      <c r="M20">
        <v>0.1</v>
      </c>
      <c r="N20">
        <v>0.1</v>
      </c>
    </row>
    <row r="21" x14ac:dyDescent="0.15">
      <c r="A21">
        <v>20</v>
      </c>
      <c r="B21" t="s">
        <v>186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x14ac:dyDescent="0.15">
      <c r="A22">
        <v>21</v>
      </c>
      <c r="B22" t="s">
        <v>187</v>
      </c>
      <c r="C22">
        <v>0.1</v>
      </c>
      <c r="D22">
        <v>0.1</v>
      </c>
      <c r="E22">
        <v>0.1</v>
      </c>
      <c r="F22">
        <v>0.1</v>
      </c>
      <c r="G22">
        <v>0.1</v>
      </c>
      <c r="H22">
        <v>0.1</v>
      </c>
      <c r="I22">
        <v>0.1</v>
      </c>
      <c r="J22">
        <v>0.1</v>
      </c>
      <c r="K22">
        <v>0.1</v>
      </c>
      <c r="L22">
        <v>0.1</v>
      </c>
      <c r="M22">
        <v>0.1</v>
      </c>
      <c r="N22">
        <v>0.1</v>
      </c>
    </row>
    <row r="23" x14ac:dyDescent="0.15">
      <c r="A23">
        <v>22</v>
      </c>
      <c r="B23" t="s">
        <v>188</v>
      </c>
      <c r="C23">
        <v>0.1</v>
      </c>
      <c r="D23">
        <v>0.1</v>
      </c>
      <c r="E23">
        <v>0.1</v>
      </c>
      <c r="F23">
        <v>0.1</v>
      </c>
      <c r="G23">
        <v>0.1</v>
      </c>
      <c r="H23">
        <v>0.1</v>
      </c>
      <c r="I23">
        <v>0.1</v>
      </c>
      <c r="J23">
        <v>0.1</v>
      </c>
      <c r="K23">
        <v>0.1</v>
      </c>
      <c r="L23">
        <v>0.1</v>
      </c>
      <c r="M23">
        <v>0.1</v>
      </c>
      <c r="N23">
        <v>0.1</v>
      </c>
    </row>
    <row r="24" x14ac:dyDescent="0.15">
      <c r="A24">
        <v>23</v>
      </c>
      <c r="B24" t="s">
        <v>189</v>
      </c>
      <c r="C24">
        <v>0.1</v>
      </c>
      <c r="D24">
        <v>0.1</v>
      </c>
      <c r="E24">
        <v>0.1</v>
      </c>
      <c r="F24">
        <v>0.1</v>
      </c>
      <c r="G24">
        <v>0.1</v>
      </c>
      <c r="H24">
        <v>0.1</v>
      </c>
      <c r="I24">
        <v>0.1</v>
      </c>
      <c r="J24">
        <v>0.1</v>
      </c>
      <c r="K24">
        <v>0.1</v>
      </c>
      <c r="L24">
        <v>0.1</v>
      </c>
      <c r="M24">
        <v>0.1</v>
      </c>
      <c r="N24">
        <v>0.1</v>
      </c>
    </row>
    <row r="25" x14ac:dyDescent="0.15">
      <c r="A25">
        <v>24</v>
      </c>
      <c r="B25" t="s">
        <v>190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x14ac:dyDescent="0.15">
      <c r="A26">
        <v>25</v>
      </c>
      <c r="B26" t="s">
        <v>191</v>
      </c>
      <c r="C26">
        <v>0.1</v>
      </c>
      <c r="D26">
        <v>0.1</v>
      </c>
      <c r="E26">
        <v>0.1</v>
      </c>
      <c r="F26">
        <v>0.1</v>
      </c>
      <c r="G26">
        <v>0.1</v>
      </c>
      <c r="H26">
        <v>0.1</v>
      </c>
      <c r="I26">
        <v>0.1</v>
      </c>
      <c r="J26">
        <v>0.1</v>
      </c>
      <c r="K26">
        <v>0.1</v>
      </c>
      <c r="L26">
        <v>0.1</v>
      </c>
      <c r="M26">
        <v>0.1</v>
      </c>
      <c r="N26">
        <v>0.1</v>
      </c>
    </row>
    <row r="27" x14ac:dyDescent="0.15">
      <c r="A27">
        <v>26</v>
      </c>
      <c r="B27" t="s">
        <v>192</v>
      </c>
      <c r="C27">
        <v>0.1</v>
      </c>
      <c r="D27">
        <v>0.1</v>
      </c>
      <c r="E27">
        <v>0.1</v>
      </c>
      <c r="F27">
        <v>0.1</v>
      </c>
      <c r="G27">
        <v>0.1</v>
      </c>
      <c r="H27">
        <v>0.1</v>
      </c>
      <c r="I27">
        <v>0.1</v>
      </c>
      <c r="J27">
        <v>0.1</v>
      </c>
      <c r="K27">
        <v>0.1</v>
      </c>
      <c r="L27">
        <v>0.1</v>
      </c>
      <c r="M27">
        <v>0.1</v>
      </c>
      <c r="N27">
        <v>0.1</v>
      </c>
    </row>
    <row r="28" x14ac:dyDescent="0.15">
      <c r="A28">
        <v>27</v>
      </c>
      <c r="B28" t="s">
        <v>193</v>
      </c>
      <c r="C28">
        <v>0.1</v>
      </c>
      <c r="D28">
        <v>0.1</v>
      </c>
      <c r="E28">
        <v>0.1</v>
      </c>
      <c r="F28">
        <v>0.1</v>
      </c>
      <c r="G28">
        <v>0.1</v>
      </c>
      <c r="H28">
        <v>0.1</v>
      </c>
      <c r="I28">
        <v>0.1</v>
      </c>
      <c r="J28">
        <v>0.1</v>
      </c>
      <c r="K28">
        <v>0.1</v>
      </c>
      <c r="L28">
        <v>0.1</v>
      </c>
      <c r="M28">
        <v>0.1</v>
      </c>
      <c r="N28">
        <v>0.1</v>
      </c>
    </row>
    <row r="29" x14ac:dyDescent="0.15">
      <c r="A29">
        <v>28</v>
      </c>
      <c r="B29" t="s">
        <v>194</v>
      </c>
      <c r="C29">
        <v>0.1</v>
      </c>
      <c r="D29">
        <v>0.1</v>
      </c>
      <c r="E29">
        <v>0.1</v>
      </c>
      <c r="F29">
        <v>0.1</v>
      </c>
      <c r="G29">
        <v>0.1</v>
      </c>
      <c r="H29">
        <v>0.1</v>
      </c>
      <c r="I29">
        <v>0.1</v>
      </c>
      <c r="J29">
        <v>0.1</v>
      </c>
      <c r="K29">
        <v>0.1</v>
      </c>
      <c r="L29">
        <v>0.1</v>
      </c>
      <c r="M29">
        <v>0.1</v>
      </c>
      <c r="N29">
        <v>0.1</v>
      </c>
    </row>
    <row r="30" x14ac:dyDescent="0.15">
      <c r="A30">
        <v>29</v>
      </c>
      <c r="B30" t="s">
        <v>195</v>
      </c>
      <c r="C30">
        <v>0.1</v>
      </c>
      <c r="D30">
        <v>0.1</v>
      </c>
      <c r="E30">
        <v>0.1</v>
      </c>
      <c r="F30">
        <v>0.1</v>
      </c>
      <c r="G30">
        <v>0.1</v>
      </c>
      <c r="H30">
        <v>0.1</v>
      </c>
      <c r="I30">
        <v>0.1</v>
      </c>
      <c r="J30">
        <v>0.1</v>
      </c>
      <c r="K30">
        <v>0.1</v>
      </c>
      <c r="L30">
        <v>0.1</v>
      </c>
      <c r="M30">
        <v>0.1</v>
      </c>
      <c r="N30">
        <v>0.1</v>
      </c>
    </row>
    <row r="31" x14ac:dyDescent="0.15">
      <c r="A31">
        <v>30</v>
      </c>
      <c r="B31" t="s">
        <v>196</v>
      </c>
      <c r="C31">
        <v>0.1</v>
      </c>
      <c r="D31">
        <v>0.1</v>
      </c>
      <c r="E31">
        <v>0.1</v>
      </c>
      <c r="F31">
        <v>0.1</v>
      </c>
      <c r="G31">
        <v>0.1</v>
      </c>
      <c r="H31">
        <v>0.1</v>
      </c>
      <c r="I31">
        <v>0.1</v>
      </c>
      <c r="J31">
        <v>0.1</v>
      </c>
      <c r="K31">
        <v>0.1</v>
      </c>
      <c r="L31">
        <v>0.1</v>
      </c>
      <c r="M31">
        <v>0.1</v>
      </c>
      <c r="N31">
        <v>0.1</v>
      </c>
    </row>
    <row r="32" x14ac:dyDescent="0.15">
      <c r="A32">
        <v>31</v>
      </c>
      <c r="B32" t="s">
        <v>197</v>
      </c>
      <c r="C32">
        <v>0.1</v>
      </c>
      <c r="D32">
        <v>0.1</v>
      </c>
      <c r="E32">
        <v>0.1</v>
      </c>
      <c r="F32">
        <v>0.1</v>
      </c>
      <c r="G32">
        <v>0.1</v>
      </c>
      <c r="H32">
        <v>0.1</v>
      </c>
      <c r="I32">
        <v>0.1</v>
      </c>
      <c r="J32">
        <v>0.1</v>
      </c>
      <c r="K32">
        <v>0.1</v>
      </c>
      <c r="L32">
        <v>0.1</v>
      </c>
      <c r="M32">
        <v>0.1</v>
      </c>
      <c r="N32">
        <v>0.1</v>
      </c>
    </row>
    <row r="33" x14ac:dyDescent="0.15">
      <c r="A33">
        <v>32</v>
      </c>
      <c r="B33" t="s">
        <v>198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x14ac:dyDescent="0.15">
      <c r="A34">
        <v>33</v>
      </c>
      <c r="B34" t="s">
        <v>199</v>
      </c>
      <c r="C34">
        <v>0.1</v>
      </c>
      <c r="D34">
        <v>0.1</v>
      </c>
      <c r="E34">
        <v>0.1</v>
      </c>
      <c r="F34">
        <v>0.1</v>
      </c>
      <c r="G34">
        <v>0.1</v>
      </c>
      <c r="H34">
        <v>0.1</v>
      </c>
      <c r="I34">
        <v>0.1</v>
      </c>
      <c r="J34">
        <v>0.1</v>
      </c>
      <c r="K34">
        <v>0.1</v>
      </c>
      <c r="L34">
        <v>0.1</v>
      </c>
      <c r="M34">
        <v>0.1</v>
      </c>
      <c r="N34">
        <v>0.1</v>
      </c>
    </row>
    <row r="35" x14ac:dyDescent="0.15">
      <c r="A35">
        <v>34</v>
      </c>
      <c r="B35" t="s">
        <v>200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</row>
    <row r="36" x14ac:dyDescent="0.15">
      <c r="A36">
        <v>35</v>
      </c>
      <c r="B36" t="s">
        <v>201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x14ac:dyDescent="0.15">
      <c r="A37">
        <v>36</v>
      </c>
      <c r="B37" t="s">
        <v>202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x14ac:dyDescent="0.15">
      <c r="A38">
        <v>37</v>
      </c>
      <c r="B38" t="s">
        <v>203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x14ac:dyDescent="0.15">
      <c r="A39">
        <v>38</v>
      </c>
      <c r="B39" t="s">
        <v>204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x14ac:dyDescent="0.15">
      <c r="A40">
        <v>39</v>
      </c>
      <c r="B40" t="s">
        <v>205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x14ac:dyDescent="0.15">
      <c r="A41">
        <v>40</v>
      </c>
      <c r="B41" t="s">
        <v>206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x14ac:dyDescent="0.15">
      <c r="A42">
        <v>41</v>
      </c>
      <c r="B42" t="s">
        <v>207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x14ac:dyDescent="0.15">
      <c r="A43">
        <v>42</v>
      </c>
      <c r="B43" t="s">
        <v>208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x14ac:dyDescent="0.15">
      <c r="A44">
        <v>43</v>
      </c>
      <c r="B44" t="s">
        <v>209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</row>
    <row r="45" x14ac:dyDescent="0.15">
      <c r="A45">
        <v>44</v>
      </c>
      <c r="B45" t="s">
        <v>210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x14ac:dyDescent="0.15">
      <c r="A46">
        <v>45</v>
      </c>
      <c r="B46" t="s">
        <v>211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x14ac:dyDescent="0.15">
      <c r="A47">
        <v>46</v>
      </c>
      <c r="B47" t="s">
        <v>212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x14ac:dyDescent="0.15">
      <c r="A48">
        <v>47</v>
      </c>
      <c r="B48" t="s">
        <v>213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x14ac:dyDescent="0.15">
      <c r="A49">
        <v>48</v>
      </c>
      <c r="B49" t="s">
        <v>214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x14ac:dyDescent="0.15">
      <c r="A50">
        <v>49</v>
      </c>
      <c r="B50" t="s">
        <v>215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x14ac:dyDescent="0.15">
      <c r="A51">
        <v>50</v>
      </c>
      <c r="B51" t="s">
        <v>216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x14ac:dyDescent="0.15">
      <c r="A52">
        <v>51</v>
      </c>
      <c r="B52" t="s">
        <v>217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x14ac:dyDescent="0.15">
      <c r="A53">
        <v>52</v>
      </c>
      <c r="B53" t="s">
        <v>218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x14ac:dyDescent="0.15">
      <c r="A54">
        <v>53</v>
      </c>
      <c r="B54" t="s">
        <v>219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x14ac:dyDescent="0.15">
      <c r="A55">
        <v>54</v>
      </c>
      <c r="B55" t="s">
        <v>220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x14ac:dyDescent="0.15">
      <c r="A56">
        <v>55</v>
      </c>
      <c r="B56" t="s">
        <v>221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x14ac:dyDescent="0.15">
      <c r="A57">
        <v>56</v>
      </c>
      <c r="B57" t="s">
        <v>71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x14ac:dyDescent="0.15">
      <c r="A58">
        <v>57</v>
      </c>
      <c r="B58" t="s">
        <v>222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x14ac:dyDescent="0.15">
      <c r="A59">
        <v>58</v>
      </c>
      <c r="B59" t="s">
        <v>72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J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true" x14ac:dyDescent="0.15"/>
  <cols>
    <col min="1" max="1" width="8.83203125" style="74"/>
    <col min="2" max="2" width="41.83203125" style="74" bestFit="true" customWidth="true"/>
    <col min="3" max="3" width="9.33203125" style="74" bestFit="true" customWidth="true"/>
    <col min="4" max="4" width="13" style="74" bestFit="true" customWidth="true"/>
    <col min="5" max="6" width="9.33203125" style="74" bestFit="true" customWidth="true"/>
    <col min="7" max="7" width="9.33203125" style="85" bestFit="true" customWidth="true"/>
    <col min="8" max="8" width="9.33203125" style="74" bestFit="true" customWidth="true"/>
    <col min="9" max="9" width="11" style="74" customWidth="true"/>
    <col min="10" max="10" width="8.83203125" style="74"/>
    <col min="15" max="16384" width="8.83203125" style="74"/>
  </cols>
  <sheetData>
    <row r="1" ht="15" customHeight="true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ht="15" customHeight="true" x14ac:dyDescent="0.15">
      <c r="A2" s="130">
        <v>1</v>
      </c>
      <c r="B2" s="130" t="s">
        <v>167</v>
      </c>
      <c r="C2" s="7">
        <v>4.352571964263916</v>
      </c>
      <c r="D2" s="8">
        <v>3.7999998778104782E-2</v>
      </c>
      <c r="E2" s="8">
        <v>0.10000000149011612</v>
      </c>
      <c r="F2" s="8">
        <v>40.439998626708984</v>
      </c>
      <c r="G2" s="6">
        <v>8.0766759812831879E-2</v>
      </c>
      <c r="H2" s="6">
        <v>2.4727992713451385E-3</v>
      </c>
      <c r="I2">
        <v>0</v>
      </c>
      <c r="J2"/>
    </row>
    <row r="3" ht="15" customHeight="true" x14ac:dyDescent="0.15">
      <c r="A3" s="131">
        <v>2</v>
      </c>
      <c r="B3" s="131" t="s">
        <v>168</v>
      </c>
      <c r="C3" s="7">
        <v>4.2328486442565918</v>
      </c>
      <c r="D3" s="8">
        <v>1.0000000474974513E-3</v>
      </c>
      <c r="E3" s="8">
        <v>0.10000000149011612</v>
      </c>
      <c r="F3" s="8">
        <v>80</v>
      </c>
      <c r="G3" s="6">
        <v>0</v>
      </c>
      <c r="H3" s="6">
        <v>1.2499999720603228E-3</v>
      </c>
      <c r="I3">
        <v>0</v>
      </c>
      <c r="J3"/>
    </row>
    <row r="4" ht="15" customHeight="true" x14ac:dyDescent="0.15">
      <c r="A4" s="132">
        <v>3</v>
      </c>
      <c r="B4" s="132" t="s">
        <v>169</v>
      </c>
      <c r="C4" s="7">
        <v>3.2919583320617676</v>
      </c>
      <c r="D4" s="8">
        <v>7.0000002160668373E-3</v>
      </c>
      <c r="E4" s="8">
        <v>0.18999999761581421</v>
      </c>
      <c r="F4" s="8">
        <v>3.5</v>
      </c>
      <c r="G4" s="6">
        <v>0.23076216876506805</v>
      </c>
      <c r="H4" s="6">
        <v>5.4285712540149689E-2</v>
      </c>
      <c r="I4">
        <v>0</v>
      </c>
      <c r="J4"/>
    </row>
    <row r="5" ht="15" customHeight="true" x14ac:dyDescent="0.15">
      <c r="A5" s="133">
        <v>4</v>
      </c>
      <c r="B5" s="133" t="s">
        <v>170</v>
      </c>
      <c r="C5" s="7">
        <v>2</v>
      </c>
      <c r="D5" s="8">
        <v>1.0000000474974513E-3</v>
      </c>
      <c r="E5" s="8">
        <v>0.10000000149011612</v>
      </c>
      <c r="F5" s="8">
        <v>36.5</v>
      </c>
      <c r="G5" s="6">
        <v>0</v>
      </c>
      <c r="H5" s="6">
        <v>2.7397261001169682E-3</v>
      </c>
      <c r="I5">
        <v>0</v>
      </c>
      <c r="J5"/>
    </row>
    <row r="6" ht="15" customHeight="true" x14ac:dyDescent="0.15">
      <c r="A6" s="134">
        <v>5</v>
      </c>
      <c r="B6" s="134" t="s">
        <v>171</v>
      </c>
      <c r="C6" s="7">
        <v>4.7177877426147461</v>
      </c>
      <c r="D6" s="8">
        <v>7.0000000298023224E-2</v>
      </c>
      <c r="E6" s="8">
        <v>0.68000000715255737</v>
      </c>
      <c r="F6" s="8">
        <v>7.4000000953674316</v>
      </c>
      <c r="G6" s="6">
        <v>0.84115773439407349</v>
      </c>
      <c r="H6" s="6">
        <v>9.189189225435257E-2</v>
      </c>
      <c r="I6">
        <v>3.0156470835208893E-2</v>
      </c>
      <c r="J6"/>
    </row>
    <row r="7" ht="15" customHeight="true" x14ac:dyDescent="0.15">
      <c r="A7" s="135">
        <v>6</v>
      </c>
      <c r="B7" s="135" t="s">
        <v>172</v>
      </c>
      <c r="C7" s="7">
        <v>3.7393300533294678</v>
      </c>
      <c r="D7" s="6">
        <v>4.2609561234712601E-2</v>
      </c>
      <c r="E7" s="8">
        <v>0.10999999940395355</v>
      </c>
      <c r="F7" s="8">
        <v>1.7999999523162842</v>
      </c>
      <c r="G7" s="8">
        <v>0.5</v>
      </c>
      <c r="H7" s="6">
        <v>6.111111119389534E-2</v>
      </c>
      <c r="I7">
        <v>0</v>
      </c>
      <c r="J7"/>
    </row>
    <row r="8" ht="15" customHeight="true" x14ac:dyDescent="0.15">
      <c r="A8" s="136">
        <v>7</v>
      </c>
      <c r="B8" s="136" t="s">
        <v>173</v>
      </c>
      <c r="C8" s="7">
        <v>4.3025774955749512</v>
      </c>
      <c r="D8" s="8">
        <v>9.0000003576278687E-2</v>
      </c>
      <c r="E8" s="8">
        <v>0.40999999642372131</v>
      </c>
      <c r="F8" s="8">
        <v>3.2899999618530273</v>
      </c>
      <c r="G8" s="6">
        <v>0.85842591524124146</v>
      </c>
      <c r="H8" s="6">
        <v>0.12462005764245987</v>
      </c>
      <c r="I8">
        <v>4.153646994382143E-3</v>
      </c>
      <c r="J8"/>
    </row>
    <row r="9" ht="15" customHeight="true" x14ac:dyDescent="0.15">
      <c r="A9" s="137">
        <v>8</v>
      </c>
      <c r="B9" s="137" t="s">
        <v>174</v>
      </c>
      <c r="C9" s="7">
        <v>3.6465237140655518</v>
      </c>
      <c r="D9" s="8">
        <v>0.23800000548362732</v>
      </c>
      <c r="E9" s="8">
        <v>0.37999999523162842</v>
      </c>
      <c r="F9" s="8">
        <v>7.7199997901916504</v>
      </c>
      <c r="G9" s="6">
        <v>0.64958429336547852</v>
      </c>
      <c r="H9" s="6">
        <v>4.9222797155380249E-2</v>
      </c>
      <c r="I9">
        <v>2.9229407664388418E-4</v>
      </c>
      <c r="J9"/>
    </row>
    <row r="10" ht="15" customHeight="true" x14ac:dyDescent="0.15">
      <c r="A10" s="138">
        <v>9</v>
      </c>
      <c r="B10" s="138" t="s">
        <v>175</v>
      </c>
      <c r="C10" s="7">
        <v>4.5492830276489258</v>
      </c>
      <c r="D10" s="8">
        <v>0.15000000596046448</v>
      </c>
      <c r="E10" s="8">
        <v>1.059999942779541</v>
      </c>
      <c r="F10" s="8">
        <v>8.5</v>
      </c>
      <c r="G10" s="6">
        <v>0.82563388347625732</v>
      </c>
      <c r="H10" s="6">
        <v>0.12470587342977524</v>
      </c>
      <c r="I10">
        <v>9.3647053290624171E-5</v>
      </c>
      <c r="J10"/>
    </row>
    <row r="11" ht="15" customHeight="true" x14ac:dyDescent="0.15">
      <c r="A11" s="139">
        <v>10</v>
      </c>
      <c r="B11" s="139" t="s">
        <v>176</v>
      </c>
      <c r="C11" s="7">
        <v>4.2640085220336914</v>
      </c>
      <c r="D11" s="8">
        <v>0.23000000417232513</v>
      </c>
      <c r="E11" s="8">
        <v>0.63999998569488525</v>
      </c>
      <c r="F11" s="8">
        <v>10.229999542236328</v>
      </c>
      <c r="G11" s="6">
        <v>0.97587215900421143</v>
      </c>
      <c r="H11" s="6">
        <v>6.2561094760894775E-2</v>
      </c>
      <c r="I11">
        <v>1.5920588746666908E-2</v>
      </c>
      <c r="J11"/>
    </row>
    <row r="12" ht="15" customHeight="true" x14ac:dyDescent="0.15">
      <c r="A12" s="140">
        <v>11</v>
      </c>
      <c r="B12" s="140" t="s">
        <v>177</v>
      </c>
      <c r="C12" s="7">
        <v>4.246403694152832</v>
      </c>
      <c r="D12" s="8">
        <v>0.18299999833106995</v>
      </c>
      <c r="E12" s="8">
        <v>0.37999999523162842</v>
      </c>
      <c r="F12" s="8">
        <v>8</v>
      </c>
      <c r="G12" s="6">
        <v>0.94788038730621338</v>
      </c>
      <c r="H12" s="6">
        <v>4.7499999403953552E-2</v>
      </c>
      <c r="I12">
        <v>1.5207409858703613E-2</v>
      </c>
      <c r="J12"/>
    </row>
    <row r="13" ht="15" customHeight="true" x14ac:dyDescent="0.15">
      <c r="A13" s="141">
        <v>12</v>
      </c>
      <c r="B13" s="141" t="s">
        <v>178</v>
      </c>
      <c r="C13" s="7">
        <v>4.3413200378417969</v>
      </c>
      <c r="D13" s="8">
        <v>0.12600000202655792</v>
      </c>
      <c r="E13" s="8">
        <v>0.76999998092651367</v>
      </c>
      <c r="F13" s="8">
        <v>9</v>
      </c>
      <c r="G13" s="6">
        <v>0.97569411993026733</v>
      </c>
      <c r="H13" s="6">
        <v>8.5555553436279297E-2</v>
      </c>
      <c r="I13">
        <v>3.4000000450760126E-3</v>
      </c>
      <c r="J13"/>
    </row>
    <row r="14" ht="15" customHeight="true" x14ac:dyDescent="0.15">
      <c r="A14" s="142">
        <v>13</v>
      </c>
      <c r="B14" s="142" t="s">
        <v>179</v>
      </c>
      <c r="C14" s="7">
        <v>3.113588809967041</v>
      </c>
      <c r="D14" s="8">
        <v>2.4000000953674316</v>
      </c>
      <c r="E14" s="8">
        <v>1.0499999523162842</v>
      </c>
      <c r="F14" s="8">
        <v>12.109999656677246</v>
      </c>
      <c r="G14" s="6">
        <v>0.99133378267288208</v>
      </c>
      <c r="H14" s="6">
        <v>8.6705200374126434E-2</v>
      </c>
      <c r="I14">
        <v>2.2812940180301666E-2</v>
      </c>
      <c r="J14"/>
    </row>
    <row r="15" ht="15" customHeight="true" x14ac:dyDescent="0.15">
      <c r="A15" s="143">
        <v>14</v>
      </c>
      <c r="B15" s="143" t="s">
        <v>180</v>
      </c>
      <c r="C15" s="7">
        <v>4.1301088333129883</v>
      </c>
      <c r="D15" s="8">
        <v>2.2000000476837158</v>
      </c>
      <c r="E15" s="8">
        <v>1.559999942779541</v>
      </c>
      <c r="F15" s="8">
        <v>8.0699996948242188</v>
      </c>
      <c r="G15" s="6">
        <v>0.67416107654571533</v>
      </c>
      <c r="H15" s="6">
        <v>0.19330854713916779</v>
      </c>
      <c r="I15">
        <v>3.6331180017441511E-3</v>
      </c>
      <c r="J15"/>
    </row>
    <row r="16" ht="15" customHeight="true" x14ac:dyDescent="0.15">
      <c r="A16" s="144">
        <v>15</v>
      </c>
      <c r="B16" s="144" t="s">
        <v>181</v>
      </c>
      <c r="C16" s="7">
        <v>3.4366421699523926</v>
      </c>
      <c r="D16" s="8">
        <v>1.5</v>
      </c>
      <c r="E16" s="8">
        <v>0.87000000476837158</v>
      </c>
      <c r="F16" s="8">
        <v>11.710000038146973</v>
      </c>
      <c r="G16" s="6">
        <v>0.95149970054626465</v>
      </c>
      <c r="H16" s="6">
        <v>7.4295476078987122E-2</v>
      </c>
      <c r="I16">
        <v>2.7575884014368057E-3</v>
      </c>
      <c r="J16"/>
    </row>
    <row r="17" ht="15" customHeight="true" x14ac:dyDescent="0.15">
      <c r="A17" s="145">
        <v>16</v>
      </c>
      <c r="B17" s="145" t="s">
        <v>182</v>
      </c>
      <c r="C17" s="7">
        <v>3.4215779304504395</v>
      </c>
      <c r="D17" s="8">
        <v>4.5000001788139343E-2</v>
      </c>
      <c r="E17" s="8">
        <v>1.2000000476837158</v>
      </c>
      <c r="F17" s="8">
        <v>15.760000228881836</v>
      </c>
      <c r="G17" s="6">
        <v>0.88810068368911743</v>
      </c>
      <c r="H17" s="6">
        <v>7.614213228225708E-2</v>
      </c>
      <c r="I17">
        <v>4.014117585029453E-4</v>
      </c>
      <c r="J17"/>
    </row>
    <row r="18" ht="15" customHeight="true" x14ac:dyDescent="0.15">
      <c r="A18" s="146">
        <v>17</v>
      </c>
      <c r="B18" s="146" t="s">
        <v>183</v>
      </c>
      <c r="C18" s="7">
        <v>3.9952471256256104</v>
      </c>
      <c r="D18" s="8">
        <v>0.11999999731779099</v>
      </c>
      <c r="E18" s="8">
        <v>0.63999998569488525</v>
      </c>
      <c r="F18" s="8">
        <v>6.3299999237060547</v>
      </c>
      <c r="G18" s="6">
        <v>0.98280984163284302</v>
      </c>
      <c r="H18" s="6">
        <v>0.10110584646463394</v>
      </c>
      <c r="I18">
        <v>6.6341175697743893E-3</v>
      </c>
      <c r="J18"/>
    </row>
    <row r="19" ht="15" customHeight="true" x14ac:dyDescent="0.15">
      <c r="A19" s="147">
        <v>18</v>
      </c>
      <c r="B19" s="147" t="s">
        <v>184</v>
      </c>
      <c r="C19" s="7">
        <v>3.5161190032958984</v>
      </c>
      <c r="D19" s="8">
        <v>1.3999999761581421</v>
      </c>
      <c r="E19" s="8">
        <v>0.64999997615814209</v>
      </c>
      <c r="F19" s="8">
        <v>7.9200000762939453</v>
      </c>
      <c r="G19" s="6">
        <v>0.98248785734176636</v>
      </c>
      <c r="H19" s="6">
        <v>8.2070700824260712E-2</v>
      </c>
      <c r="I19">
        <v>2.8619822114706039E-2</v>
      </c>
      <c r="J19"/>
    </row>
    <row r="20" ht="15" customHeight="true" x14ac:dyDescent="0.15">
      <c r="A20" s="148">
        <v>19</v>
      </c>
      <c r="B20" s="148" t="s">
        <v>185</v>
      </c>
      <c r="C20" s="7">
        <v>2.9140379428863525</v>
      </c>
      <c r="D20" s="8">
        <v>0.69999998807907104</v>
      </c>
      <c r="E20" s="8">
        <v>1.3400000333786011</v>
      </c>
      <c r="F20" s="8">
        <v>15.130000114440918</v>
      </c>
      <c r="G20" s="6">
        <v>0.79848581552505493</v>
      </c>
      <c r="H20" s="6">
        <v>8.856576681137085E-2</v>
      </c>
      <c r="I20">
        <v>1.0647705756127834E-2</v>
      </c>
      <c r="J20"/>
    </row>
    <row r="21" ht="15" customHeight="true" x14ac:dyDescent="0.15">
      <c r="A21" s="149">
        <v>20</v>
      </c>
      <c r="B21" s="149" t="s">
        <v>186</v>
      </c>
      <c r="C21" s="7">
        <v>4.2367367744445801</v>
      </c>
      <c r="D21" s="8">
        <v>4.5000001788139343E-2</v>
      </c>
      <c r="E21" s="8">
        <v>0.44999998807907104</v>
      </c>
      <c r="F21" s="8">
        <v>7.940000057220459</v>
      </c>
      <c r="G21" s="6">
        <v>0.92696148157119751</v>
      </c>
      <c r="H21" s="6">
        <v>5.6675061583518982E-2</v>
      </c>
      <c r="I21">
        <v>0</v>
      </c>
      <c r="J21"/>
    </row>
    <row r="22" ht="15" customHeight="true" x14ac:dyDescent="0.15">
      <c r="A22" s="150">
        <v>21</v>
      </c>
      <c r="B22" s="150" t="s">
        <v>187</v>
      </c>
      <c r="C22" s="7">
        <v>3.5088634490966797</v>
      </c>
      <c r="D22" s="8">
        <v>0.18999999761581421</v>
      </c>
      <c r="E22" s="8">
        <v>1.2000000476837158</v>
      </c>
      <c r="F22" s="8">
        <v>15.779999732971191</v>
      </c>
      <c r="G22" s="6">
        <v>0.98813486099243164</v>
      </c>
      <c r="H22" s="6">
        <v>7.6045632362365723E-2</v>
      </c>
      <c r="I22">
        <v>2.7418234385550022E-3</v>
      </c>
      <c r="J22"/>
    </row>
    <row r="23" ht="15" customHeight="true" x14ac:dyDescent="0.15">
      <c r="A23" s="151">
        <v>22</v>
      </c>
      <c r="B23" s="151" t="s">
        <v>188</v>
      </c>
      <c r="C23" s="7">
        <v>4.0230393409729004</v>
      </c>
      <c r="D23" s="8">
        <v>0.24500000476837158</v>
      </c>
      <c r="E23" s="8">
        <v>0.55000001192092896</v>
      </c>
      <c r="F23" s="8">
        <v>8.3900003433227539</v>
      </c>
      <c r="G23" s="6">
        <v>0.92339706420898438</v>
      </c>
      <c r="H23" s="6">
        <v>6.5554231405258179E-2</v>
      </c>
      <c r="I23">
        <v>1.0280588176101446E-3</v>
      </c>
      <c r="J23"/>
    </row>
    <row r="24" ht="15" customHeight="true" x14ac:dyDescent="0.15">
      <c r="A24" s="152">
        <v>23</v>
      </c>
      <c r="B24" s="152" t="s">
        <v>189</v>
      </c>
      <c r="C24" s="7">
        <v>3.5007789134979248</v>
      </c>
      <c r="D24" s="8">
        <v>0.86000001430511475</v>
      </c>
      <c r="E24" s="8">
        <v>0.86000001430511475</v>
      </c>
      <c r="F24" s="8">
        <v>10.109999656677246</v>
      </c>
      <c r="G24" s="6">
        <v>0.9955374002456665</v>
      </c>
      <c r="H24" s="6">
        <v>8.5064299404621124E-2</v>
      </c>
      <c r="I24">
        <v>1.3929763808846474E-2</v>
      </c>
      <c r="J24"/>
    </row>
    <row r="25" ht="15" customHeight="true" x14ac:dyDescent="0.15">
      <c r="A25" s="153">
        <v>24</v>
      </c>
      <c r="B25" s="153" t="s">
        <v>190</v>
      </c>
      <c r="C25" s="7">
        <v>2.9194700717926025</v>
      </c>
      <c r="D25" s="6">
        <v>0.10086134821176529</v>
      </c>
      <c r="E25" s="8">
        <v>2.5999999046325684</v>
      </c>
      <c r="F25" s="8">
        <v>11.699999809265137</v>
      </c>
      <c r="G25" s="8">
        <v>0.94999992847442627</v>
      </c>
      <c r="H25" s="6">
        <v>0.2222222238779068</v>
      </c>
      <c r="I25">
        <v>0</v>
      </c>
      <c r="J25"/>
    </row>
    <row r="26" ht="15" customHeight="true" x14ac:dyDescent="0.15">
      <c r="A26" s="154">
        <v>25</v>
      </c>
      <c r="B26" s="154" t="s">
        <v>191</v>
      </c>
      <c r="C26" s="7">
        <v>4.0882625579833984</v>
      </c>
      <c r="D26" s="8">
        <v>0.2199999988079071</v>
      </c>
      <c r="E26" s="8">
        <v>0.62999999523162842</v>
      </c>
      <c r="F26" s="8">
        <v>5.4000000953674316</v>
      </c>
      <c r="G26" s="6">
        <v>0.70753908157348633</v>
      </c>
      <c r="H26" s="6">
        <v>0.11666666716337204</v>
      </c>
      <c r="I26">
        <v>1.1068823747336864E-2</v>
      </c>
      <c r="J26"/>
    </row>
    <row r="27" ht="15" customHeight="true" x14ac:dyDescent="0.15">
      <c r="A27" s="155">
        <v>26</v>
      </c>
      <c r="B27" s="155" t="s">
        <v>192</v>
      </c>
      <c r="C27" s="7">
        <v>4.2767715454101562</v>
      </c>
      <c r="D27" s="8">
        <v>0.11900000274181366</v>
      </c>
      <c r="E27" s="8">
        <v>0.46000000834465027</v>
      </c>
      <c r="F27" s="8">
        <v>4.0999999046325684</v>
      </c>
      <c r="G27" s="6">
        <v>0.87584900856018066</v>
      </c>
      <c r="H27" s="6">
        <v>0.11219512671232224</v>
      </c>
      <c r="I27">
        <v>3.7751883268356323E-2</v>
      </c>
      <c r="J27"/>
    </row>
    <row r="28" ht="15" customHeight="true" x14ac:dyDescent="0.15">
      <c r="A28" s="156">
        <v>27</v>
      </c>
      <c r="B28" s="156" t="s">
        <v>193</v>
      </c>
      <c r="C28" s="7">
        <v>3.5522336959838867</v>
      </c>
      <c r="D28" s="8">
        <v>1.2000000476837158</v>
      </c>
      <c r="E28" s="8">
        <v>0.75</v>
      </c>
      <c r="F28" s="8">
        <v>7.3299999237060547</v>
      </c>
      <c r="G28" s="6">
        <v>0.99441999197006226</v>
      </c>
      <c r="H28" s="6">
        <v>0.10231924057006836</v>
      </c>
      <c r="I28">
        <v>1.948823593556881E-2</v>
      </c>
      <c r="J28"/>
    </row>
    <row r="29" ht="15" customHeight="true" x14ac:dyDescent="0.15">
      <c r="A29" s="157">
        <v>28</v>
      </c>
      <c r="B29" s="157" t="s">
        <v>194</v>
      </c>
      <c r="C29" s="7">
        <v>2.4726788997650146</v>
      </c>
      <c r="D29" s="6">
        <v>0.30514553189277649</v>
      </c>
      <c r="E29" s="8">
        <v>1.3300000429153442</v>
      </c>
      <c r="F29" s="8">
        <v>24.370000839233398</v>
      </c>
      <c r="G29" s="8">
        <v>0.97999995946884155</v>
      </c>
      <c r="H29" s="6">
        <v>5.4575297981500626E-2</v>
      </c>
      <c r="I29">
        <v>1.6117648556246422E-5</v>
      </c>
      <c r="J29"/>
    </row>
    <row r="30" ht="15" customHeight="true" x14ac:dyDescent="0.15">
      <c r="A30" s="158">
        <v>29</v>
      </c>
      <c r="B30" s="158" t="s">
        <v>195</v>
      </c>
      <c r="C30" s="7">
        <v>3.4982666969299316</v>
      </c>
      <c r="D30" s="8">
        <v>5.000000074505806E-2</v>
      </c>
      <c r="E30" s="8">
        <v>2</v>
      </c>
      <c r="F30" s="8">
        <v>10</v>
      </c>
      <c r="G30" s="6">
        <v>0.84846383333206177</v>
      </c>
      <c r="H30" s="6">
        <v>0.20000000298023224</v>
      </c>
      <c r="I30">
        <v>1.235294121215702E-6</v>
      </c>
      <c r="J30"/>
    </row>
    <row r="31" ht="15" customHeight="true" x14ac:dyDescent="0.15">
      <c r="A31" s="159">
        <v>30</v>
      </c>
      <c r="B31" s="159" t="s">
        <v>196</v>
      </c>
      <c r="C31" s="7">
        <v>4.1618556976318359</v>
      </c>
      <c r="D31" s="6">
        <v>1.3044850900769234E-2</v>
      </c>
      <c r="E31" s="8">
        <v>1.059999942779541</v>
      </c>
      <c r="F31" s="8">
        <v>7.6700000762939453</v>
      </c>
      <c r="G31" s="8">
        <v>0.89999997615814209</v>
      </c>
      <c r="H31" s="6">
        <v>0.13820077478885651</v>
      </c>
      <c r="I31">
        <v>1.4570587081834674E-3</v>
      </c>
      <c r="J31"/>
    </row>
    <row r="32" ht="15" customHeight="true" x14ac:dyDescent="0.15">
      <c r="A32" s="177">
        <v>31</v>
      </c>
      <c r="B32" s="177" t="s">
        <v>197</v>
      </c>
      <c r="C32" s="7">
        <v>2.0675745010375977</v>
      </c>
      <c r="D32" s="8">
        <v>0.32899999618530273</v>
      </c>
      <c r="E32" s="8">
        <v>0.69999998807907104</v>
      </c>
      <c r="F32" s="8">
        <v>11.029999732971191</v>
      </c>
      <c r="G32" s="6">
        <v>0.51060628890991211</v>
      </c>
      <c r="H32" s="6">
        <v>6.3463285565376282E-2</v>
      </c>
      <c r="I32">
        <v>1.8892766907811165E-2</v>
      </c>
      <c r="J32"/>
    </row>
    <row r="33" ht="15" customHeight="true" x14ac:dyDescent="0.15">
      <c r="A33" s="178">
        <v>32</v>
      </c>
      <c r="B33" s="178" t="s">
        <v>198</v>
      </c>
      <c r="C33" s="7">
        <v>3.2517659664154053</v>
      </c>
      <c r="D33" s="6">
        <v>2.2181940078735352</v>
      </c>
      <c r="E33" s="8">
        <v>2</v>
      </c>
      <c r="F33" s="8">
        <v>15.920000076293945</v>
      </c>
      <c r="G33" s="8">
        <v>0.99000006914138794</v>
      </c>
      <c r="H33" s="6">
        <v>0.12562814354896545</v>
      </c>
      <c r="I33">
        <v>9.9999997473787516E-5</v>
      </c>
      <c r="J33"/>
    </row>
    <row r="34" ht="15" customHeight="true" x14ac:dyDescent="0.15">
      <c r="A34" s="179">
        <v>33</v>
      </c>
      <c r="B34" s="179" t="s">
        <v>199</v>
      </c>
      <c r="C34" s="7">
        <v>3.3705644607543945</v>
      </c>
      <c r="D34" s="8">
        <v>3.869999885559082</v>
      </c>
      <c r="E34" s="8">
        <v>1.2999999523162842</v>
      </c>
      <c r="F34" s="8">
        <v>7.0399999618530273</v>
      </c>
      <c r="G34" s="6">
        <v>0.94926315546035767</v>
      </c>
      <c r="H34" s="6">
        <v>0.18465907871723175</v>
      </c>
      <c r="I34">
        <v>1.2435294920578599E-3</v>
      </c>
      <c r="J34"/>
    </row>
    <row r="35" ht="15" customHeight="true" x14ac:dyDescent="0.15">
      <c r="A35" s="180">
        <v>34</v>
      </c>
      <c r="B35" s="180" t="s">
        <v>200</v>
      </c>
      <c r="C35" s="7">
        <v>3.7787249088287354</v>
      </c>
      <c r="D35" s="8">
        <v>1.1000000238418579</v>
      </c>
      <c r="E35" s="8">
        <v>3</v>
      </c>
      <c r="F35" s="8">
        <v>35</v>
      </c>
      <c r="G35" s="6">
        <v>0.98450946807861328</v>
      </c>
      <c r="H35" s="6">
        <v>8.5714288055896759E-2</v>
      </c>
      <c r="I35">
        <v>2.2352940868586302E-4</v>
      </c>
      <c r="J35"/>
    </row>
    <row r="36" ht="15" customHeight="true" x14ac:dyDescent="0.15">
      <c r="A36" s="181">
        <v>35</v>
      </c>
      <c r="B36" s="181" t="s">
        <v>201</v>
      </c>
      <c r="C36" s="7">
        <v>2.8946950435638428</v>
      </c>
      <c r="D36" s="8">
        <v>0.55000001192092896</v>
      </c>
      <c r="E36" s="8">
        <v>5.380000114440918</v>
      </c>
      <c r="F36" s="8">
        <v>19.200000762939453</v>
      </c>
      <c r="G36" s="6">
        <v>0.98856472969055176</v>
      </c>
      <c r="H36" s="6">
        <v>0.28020831942558289</v>
      </c>
      <c r="I36">
        <v>3.1407468020915985E-2</v>
      </c>
      <c r="J36"/>
    </row>
    <row r="37" ht="15" customHeight="true" x14ac:dyDescent="0.15">
      <c r="A37" s="182">
        <v>36</v>
      </c>
      <c r="B37" s="182" t="s">
        <v>202</v>
      </c>
      <c r="C37" s="7">
        <v>3.3572087287902832</v>
      </c>
      <c r="D37" s="8">
        <v>2.8000000864267349E-2</v>
      </c>
      <c r="E37" s="8">
        <v>0.89999997615814209</v>
      </c>
      <c r="F37" s="8">
        <v>8.1999998092651367</v>
      </c>
      <c r="G37" s="6">
        <v>0.71219587326049805</v>
      </c>
      <c r="H37" s="6">
        <v>0.10975609719753265</v>
      </c>
      <c r="I37">
        <v>2.9747060034424067E-4</v>
      </c>
      <c r="J37"/>
    </row>
    <row r="38" ht="15" customHeight="true" x14ac:dyDescent="0.15">
      <c r="A38" s="183">
        <v>37</v>
      </c>
      <c r="B38" s="183" t="s">
        <v>203</v>
      </c>
      <c r="C38" s="7">
        <v>3.0694973468780518</v>
      </c>
      <c r="D38" s="6">
        <v>0.70485162734985352</v>
      </c>
      <c r="E38" s="8">
        <v>2.7999999523162842</v>
      </c>
      <c r="F38" s="8">
        <v>8.5</v>
      </c>
      <c r="G38" s="8">
        <v>0.98999994993209839</v>
      </c>
      <c r="H38" s="6">
        <v>0.32941174507141113</v>
      </c>
      <c r="I38">
        <v>3.9557177573442459E-2</v>
      </c>
      <c r="J38"/>
    </row>
    <row r="39" ht="15" customHeight="true" x14ac:dyDescent="0.15">
      <c r="A39" s="184">
        <v>38</v>
      </c>
      <c r="B39" s="184" t="s">
        <v>204</v>
      </c>
      <c r="C39" s="7">
        <v>3.579993724822998</v>
      </c>
      <c r="D39" s="6">
        <v>7.4487380683422089E-2</v>
      </c>
      <c r="E39" s="8">
        <v>3.0999999046325684</v>
      </c>
      <c r="F39" s="8">
        <v>11.699999809265137</v>
      </c>
      <c r="G39" s="8">
        <v>0.94999998807907104</v>
      </c>
      <c r="H39" s="6">
        <v>0.2649572491645813</v>
      </c>
      <c r="I39">
        <v>1.6823529222165234E-5</v>
      </c>
      <c r="J39"/>
    </row>
    <row r="40" ht="15" customHeight="true" x14ac:dyDescent="0.15">
      <c r="A40" s="185">
        <v>39</v>
      </c>
      <c r="B40" s="185" t="s">
        <v>205</v>
      </c>
      <c r="C40" s="7">
        <v>3.2701888084411621</v>
      </c>
      <c r="D40" s="8">
        <v>0.99400001764297485</v>
      </c>
      <c r="E40" s="8">
        <v>1.3400000333786011</v>
      </c>
      <c r="F40" s="8">
        <v>7.429999828338623</v>
      </c>
      <c r="G40" s="6">
        <v>0.4110465943813324</v>
      </c>
      <c r="H40" s="6">
        <v>0.18034994602203369</v>
      </c>
      <c r="I40">
        <v>0</v>
      </c>
      <c r="J40"/>
    </row>
    <row r="41" ht="15" customHeight="true" x14ac:dyDescent="0.15">
      <c r="A41" s="186">
        <v>40</v>
      </c>
      <c r="B41" s="186" t="s">
        <v>206</v>
      </c>
      <c r="C41" s="7">
        <v>2.4014637470245361</v>
      </c>
      <c r="D41" s="8">
        <v>19.246000289916992</v>
      </c>
      <c r="E41" s="8">
        <v>1.2000000476837158</v>
      </c>
      <c r="F41" s="8">
        <v>3.7000000476837158</v>
      </c>
      <c r="G41" s="6">
        <v>0.27771219611167908</v>
      </c>
      <c r="H41" s="6">
        <v>0.3243243396282196</v>
      </c>
      <c r="I41">
        <v>1.4447059482336044E-2</v>
      </c>
      <c r="J41"/>
    </row>
    <row r="42" ht="15" customHeight="true" x14ac:dyDescent="0.15">
      <c r="A42" s="187">
        <v>41</v>
      </c>
      <c r="B42" s="187" t="s">
        <v>207</v>
      </c>
      <c r="C42" s="7">
        <v>2.1136362552642822</v>
      </c>
      <c r="D42" s="8">
        <v>48.596000671386719</v>
      </c>
      <c r="E42" s="8">
        <v>1.2100000381469727</v>
      </c>
      <c r="F42" s="8">
        <v>23</v>
      </c>
      <c r="G42" s="6">
        <v>0.16693341732025146</v>
      </c>
      <c r="H42" s="6">
        <v>5.2608698606491089E-2</v>
      </c>
      <c r="I42">
        <v>1.1292940471321344E-3</v>
      </c>
      <c r="J42"/>
    </row>
    <row r="43" ht="15" customHeight="true" x14ac:dyDescent="0.15">
      <c r="A43" s="188">
        <v>42</v>
      </c>
      <c r="B43" s="188" t="s">
        <v>208</v>
      </c>
      <c r="C43" s="7">
        <v>2.3905949592590332</v>
      </c>
      <c r="D43" s="8">
        <v>219</v>
      </c>
      <c r="E43" s="8">
        <v>0.80000001192092896</v>
      </c>
      <c r="F43" s="8">
        <v>9</v>
      </c>
      <c r="G43" s="6">
        <v>0.23422670364379883</v>
      </c>
      <c r="H43" s="6">
        <v>8.8888891041278839E-2</v>
      </c>
      <c r="I43">
        <v>9.9199414253234863E-3</v>
      </c>
      <c r="J43"/>
    </row>
    <row r="44" ht="15" customHeight="true" x14ac:dyDescent="0.15">
      <c r="A44" s="189">
        <v>43</v>
      </c>
      <c r="B44" s="189" t="s">
        <v>209</v>
      </c>
      <c r="C44" s="7">
        <v>2.3130087852478027</v>
      </c>
      <c r="D44" s="8">
        <v>19.031999588012695</v>
      </c>
      <c r="E44" s="8">
        <v>4.5999999046325684</v>
      </c>
      <c r="F44" s="8">
        <v>15.899999618530273</v>
      </c>
      <c r="G44" s="6">
        <v>0.40326237678527832</v>
      </c>
      <c r="H44" s="6">
        <v>0.28930819034576416</v>
      </c>
      <c r="I44">
        <v>2.3529412374045933E-7</v>
      </c>
      <c r="J44"/>
    </row>
    <row r="45" ht="15" customHeight="true" x14ac:dyDescent="0.15">
      <c r="A45" s="190">
        <v>44</v>
      </c>
      <c r="B45" s="190" t="s">
        <v>210</v>
      </c>
      <c r="C45" s="7">
        <v>2.3514900207519531</v>
      </c>
      <c r="D45" s="6">
        <v>12.665910720825195</v>
      </c>
      <c r="E45" s="8">
        <v>7.0100002288818359</v>
      </c>
      <c r="F45" s="8">
        <v>27.139999389648438</v>
      </c>
      <c r="G45" s="8">
        <v>0.95000004768371582</v>
      </c>
      <c r="H45" s="6">
        <v>0.25829035043716431</v>
      </c>
      <c r="I45">
        <v>5.0047057447955012E-4</v>
      </c>
      <c r="J45"/>
    </row>
    <row r="46" ht="15" customHeight="true" x14ac:dyDescent="0.15">
      <c r="A46" s="191">
        <v>45</v>
      </c>
      <c r="B46" s="191" t="s">
        <v>211</v>
      </c>
      <c r="C46" s="7">
        <v>2.3636364936828613</v>
      </c>
      <c r="D46" s="8">
        <v>13</v>
      </c>
      <c r="E46" s="8">
        <v>12.5</v>
      </c>
      <c r="F46" s="8">
        <v>25</v>
      </c>
      <c r="G46" s="6">
        <v>0.82472449541091919</v>
      </c>
      <c r="H46" s="6">
        <v>0.5</v>
      </c>
      <c r="I46">
        <v>0</v>
      </c>
      <c r="J46"/>
    </row>
    <row r="47" ht="15" customHeight="true" x14ac:dyDescent="0.15">
      <c r="A47" s="192">
        <v>46</v>
      </c>
      <c r="B47" s="192" t="s">
        <v>212</v>
      </c>
      <c r="C47" s="7">
        <v>2.1530611515045166</v>
      </c>
      <c r="D47" s="8">
        <v>8.3000001907348633</v>
      </c>
      <c r="E47" s="8">
        <v>17.299999237060547</v>
      </c>
      <c r="F47" s="8">
        <v>50</v>
      </c>
      <c r="G47" s="6">
        <v>0.93741428852081299</v>
      </c>
      <c r="H47" s="6">
        <v>0.34599998593330383</v>
      </c>
      <c r="I47">
        <v>0</v>
      </c>
      <c r="J47"/>
    </row>
    <row r="48" ht="15" customHeight="true" x14ac:dyDescent="0.15">
      <c r="A48" s="193">
        <v>47</v>
      </c>
      <c r="B48" s="193" t="s">
        <v>213</v>
      </c>
      <c r="C48" s="7">
        <v>2.5539062023162842</v>
      </c>
      <c r="D48" s="8">
        <v>6.6999998092651367</v>
      </c>
      <c r="E48" s="8">
        <v>17.299999237060547</v>
      </c>
      <c r="F48" s="8">
        <v>50</v>
      </c>
      <c r="G48" s="6">
        <v>0.85329848527908325</v>
      </c>
      <c r="H48" s="6">
        <v>0.34599998593330383</v>
      </c>
      <c r="I48">
        <v>0</v>
      </c>
      <c r="J48"/>
    </row>
    <row r="49" ht="15" customHeight="true" x14ac:dyDescent="0.15">
      <c r="A49" s="194">
        <v>48</v>
      </c>
      <c r="B49" s="194" t="s">
        <v>214</v>
      </c>
      <c r="C49" s="7">
        <v>2.957209587097168</v>
      </c>
      <c r="D49" s="8">
        <v>21.600000381469727</v>
      </c>
      <c r="E49" s="8">
        <v>8.6999998092651367</v>
      </c>
      <c r="F49" s="8">
        <v>20</v>
      </c>
      <c r="G49" s="6">
        <v>0.25006005167961121</v>
      </c>
      <c r="H49" s="6">
        <v>0.43500000238418579</v>
      </c>
      <c r="I49">
        <v>0</v>
      </c>
      <c r="J49"/>
    </row>
    <row r="50" ht="15" customHeight="true" x14ac:dyDescent="0.15">
      <c r="A50" s="195">
        <v>49</v>
      </c>
      <c r="B50" s="195" t="s">
        <v>215</v>
      </c>
      <c r="C50" s="7">
        <v>2.9397332668304443</v>
      </c>
      <c r="D50" s="8">
        <v>4.8000000417232513E-2</v>
      </c>
      <c r="E50" s="8">
        <v>50.450000762939453</v>
      </c>
      <c r="F50" s="8">
        <v>132.1300048828125</v>
      </c>
      <c r="G50" s="6">
        <v>0.66640573740005493</v>
      </c>
      <c r="H50" s="6">
        <v>0.3818209171295166</v>
      </c>
      <c r="I50">
        <v>0</v>
      </c>
      <c r="J50"/>
    </row>
    <row r="51" ht="15" customHeight="true" x14ac:dyDescent="0.15">
      <c r="A51" s="196">
        <v>50</v>
      </c>
      <c r="B51" s="196" t="s">
        <v>216</v>
      </c>
      <c r="C51" s="7">
        <v>3.3866691589355469</v>
      </c>
      <c r="D51" s="8">
        <v>0.26499998569488525</v>
      </c>
      <c r="E51" s="8">
        <v>40</v>
      </c>
      <c r="F51" s="8">
        <v>80</v>
      </c>
      <c r="G51" s="6">
        <v>0.92809963226318359</v>
      </c>
      <c r="H51" s="6">
        <v>0.5</v>
      </c>
      <c r="I51">
        <v>3.2352941161661875E-6</v>
      </c>
      <c r="J51"/>
    </row>
    <row r="52" ht="15" customHeight="true" x14ac:dyDescent="0.15">
      <c r="A52" s="197">
        <v>51</v>
      </c>
      <c r="B52" s="197" t="s">
        <v>217</v>
      </c>
      <c r="C52" s="7">
        <v>1.9999998807907104</v>
      </c>
      <c r="D52" s="8">
        <v>60</v>
      </c>
      <c r="E52" s="8">
        <v>100</v>
      </c>
      <c r="F52" s="8">
        <v>215</v>
      </c>
      <c r="G52" s="6">
        <v>0.23501497507095337</v>
      </c>
      <c r="H52" s="6">
        <v>0.46511629223823547</v>
      </c>
      <c r="I52">
        <v>0</v>
      </c>
      <c r="J52"/>
    </row>
    <row r="53" ht="15" customHeight="true" x14ac:dyDescent="0.15">
      <c r="A53" s="198">
        <v>52</v>
      </c>
      <c r="B53" s="198" t="s">
        <v>218</v>
      </c>
      <c r="C53" s="7">
        <v>1</v>
      </c>
      <c r="D53" s="8">
        <v>36.049999237060547</v>
      </c>
      <c r="E53" s="8">
        <v>4</v>
      </c>
      <c r="F53" s="9"/>
      <c r="G53" s="6">
        <v>0.39634761214256287</v>
      </c>
      <c r="H53" s="9"/>
      <c r="I53">
        <v>8.8235292423632927E-6</v>
      </c>
      <c r="J53"/>
    </row>
    <row r="54" ht="15" customHeight="true" x14ac:dyDescent="0.15">
      <c r="A54" s="199">
        <v>53</v>
      </c>
      <c r="B54" s="199" t="s">
        <v>219</v>
      </c>
      <c r="C54" s="7">
        <v>1</v>
      </c>
      <c r="D54" s="8">
        <v>29.780000686645508</v>
      </c>
      <c r="E54" s="8">
        <v>23.729999542236328</v>
      </c>
      <c r="F54" s="9"/>
      <c r="G54" s="6">
        <v>0.62371838092803955</v>
      </c>
      <c r="H54" s="9"/>
      <c r="I54">
        <v>0</v>
      </c>
      <c r="J54"/>
    </row>
    <row r="55" ht="15" customHeight="true" x14ac:dyDescent="0.15">
      <c r="A55" s="200">
        <v>54</v>
      </c>
      <c r="B55" s="200" t="s">
        <v>220</v>
      </c>
      <c r="C55" s="7">
        <v>1</v>
      </c>
      <c r="D55" s="8">
        <v>25</v>
      </c>
      <c r="E55" s="8">
        <v>182.1300048828125</v>
      </c>
      <c r="F55" s="9"/>
      <c r="G55" s="6">
        <v>0.30345019698143005</v>
      </c>
      <c r="H55" s="9"/>
      <c r="I55">
        <v>0</v>
      </c>
      <c r="J55"/>
    </row>
    <row r="56" ht="15" customHeight="true" x14ac:dyDescent="0.15">
      <c r="A56" s="201">
        <v>55</v>
      </c>
      <c r="B56" s="201" t="s">
        <v>221</v>
      </c>
      <c r="C56" s="7">
        <v>1</v>
      </c>
      <c r="D56" s="8">
        <v>175.6199951171875</v>
      </c>
      <c r="E56" s="8">
        <v>9.0100002288818359</v>
      </c>
      <c r="F56" s="9"/>
      <c r="G56" s="6">
        <v>1.6989922150969505E-2</v>
      </c>
      <c r="H56" s="9"/>
      <c r="I56">
        <v>0</v>
      </c>
      <c r="J56"/>
    </row>
    <row r="57" ht="15" customHeight="true" x14ac:dyDescent="0.15">
      <c r="A57" s="202">
        <v>56</v>
      </c>
      <c r="B57" s="202" t="s">
        <v>71</v>
      </c>
      <c r="C57" s="7">
        <v>1</v>
      </c>
      <c r="D57" s="8">
        <v>125</v>
      </c>
      <c r="E57" s="9"/>
      <c r="F57" s="9"/>
      <c r="G57" s="6">
        <v>0.92215752601623535</v>
      </c>
      <c r="H57" s="9"/>
      <c r="I57">
        <v>0</v>
      </c>
      <c r="J57"/>
    </row>
    <row r="58" ht="15" customHeight="true" x14ac:dyDescent="0.15">
      <c r="A58" s="203">
        <v>57</v>
      </c>
      <c r="B58" s="203" t="s">
        <v>222</v>
      </c>
      <c r="C58" s="7">
        <v>1</v>
      </c>
      <c r="D58" s="8">
        <v>1</v>
      </c>
      <c r="E58" s="9"/>
      <c r="F58" s="9"/>
      <c r="G58" s="6">
        <v>0.9061053991317749</v>
      </c>
      <c r="H58" s="9"/>
      <c r="I58">
        <v>0</v>
      </c>
      <c r="J58"/>
    </row>
    <row r="59" ht="15" customHeight="true" x14ac:dyDescent="0.15">
      <c r="A59" s="204">
        <v>58</v>
      </c>
      <c r="B59" s="204" t="s">
        <v>72</v>
      </c>
      <c r="C59" s="7">
        <v>1</v>
      </c>
      <c r="D59" s="8">
        <v>392.66000366210938</v>
      </c>
      <c r="E59" s="9"/>
      <c r="F59" s="9"/>
      <c r="G59" s="6">
        <v>0.87986642122268677</v>
      </c>
      <c r="H59" s="9"/>
      <c r="I59">
        <v>0</v>
      </c>
      <c r="J59"/>
    </row>
    <row r="60" ht="15" customHeight="true" x14ac:dyDescent="0.15">
      <c r="A60" s="205">
        <v>59</v>
      </c>
      <c r="B60" s="205" t="s">
        <v>223</v>
      </c>
      <c r="C60" s="7">
        <v>4.392425537109375</v>
      </c>
      <c r="D60" s="9"/>
      <c r="E60" s="9"/>
      <c r="F60" s="9"/>
      <c r="G60" s="9"/>
      <c r="H60" s="9"/>
      <c r="I60">
        <v>1.9065294181928039E-3</v>
      </c>
      <c r="J60"/>
    </row>
    <row r="61" ht="15" customHeight="true" x14ac:dyDescent="0.15">
      <c r="A61" s="206">
        <v>60</v>
      </c>
      <c r="B61" s="206" t="s">
        <v>224</v>
      </c>
      <c r="C61" s="7">
        <v>3.9766080379486084</v>
      </c>
      <c r="D61" s="9"/>
      <c r="E61" s="9"/>
      <c r="F61" s="9"/>
      <c r="G61" s="9"/>
      <c r="H61" s="9"/>
      <c r="I61">
        <v>0.13617531955242157</v>
      </c>
      <c r="J61"/>
    </row>
    <row r="62" ht="15" customHeight="true" x14ac:dyDescent="0.15">
      <c r="A62" s="207">
        <v>61</v>
      </c>
      <c r="B62" s="207" t="s">
        <v>225</v>
      </c>
      <c r="C62" s="7">
        <v>5.0685105323791504</v>
      </c>
      <c r="D62" s="9"/>
      <c r="E62" s="9"/>
      <c r="F62" s="9"/>
      <c r="G62" s="9"/>
      <c r="H62" s="9"/>
      <c r="I62">
        <v>0.11128959059715271</v>
      </c>
      <c r="J62"/>
    </row>
    <row r="63" ht="15" customHeight="true" x14ac:dyDescent="0.15">
      <c r="A63" s="208">
        <v>62</v>
      </c>
      <c r="B63" s="208" t="s">
        <v>226</v>
      </c>
      <c r="C63" s="7">
        <v>4.8624119758605957</v>
      </c>
      <c r="D63" s="9"/>
      <c r="E63" s="9"/>
      <c r="F63" s="9"/>
      <c r="G63" s="9"/>
      <c r="H63" s="9"/>
      <c r="I63">
        <v>3.0522940214723349E-3</v>
      </c>
      <c r="J63"/>
    </row>
    <row r="64" ht="15" customHeight="true" x14ac:dyDescent="0.15">
      <c r="A64" s="209">
        <v>63</v>
      </c>
      <c r="B64" s="209" t="s">
        <v>227</v>
      </c>
      <c r="C64" s="7">
        <v>4.4487738609313965</v>
      </c>
      <c r="D64" s="9"/>
      <c r="E64" s="9"/>
      <c r="F64" s="9"/>
      <c r="G64" s="9"/>
      <c r="H64" s="9"/>
      <c r="I64">
        <v>1.4482352416962385E-3</v>
      </c>
      <c r="J64"/>
    </row>
    <row r="65" ht="15" customHeight="true" x14ac:dyDescent="0.15">
      <c r="A65" s="210">
        <v>64</v>
      </c>
      <c r="B65" s="210" t="s">
        <v>228</v>
      </c>
      <c r="C65" s="7">
        <v>4.5161190032958984</v>
      </c>
      <c r="D65" s="9"/>
      <c r="E65" s="9"/>
      <c r="F65" s="9"/>
      <c r="G65" s="9"/>
      <c r="H65" s="9"/>
      <c r="I65">
        <v>9.9999999747524271E-7</v>
      </c>
      <c r="J65"/>
    </row>
    <row r="66" ht="15" customHeight="true" x14ac:dyDescent="0.15">
      <c r="A66" s="211">
        <v>65</v>
      </c>
      <c r="B66" s="211" t="s">
        <v>229</v>
      </c>
      <c r="C66" s="7">
        <v>4.9688534736633301</v>
      </c>
      <c r="D66" s="9"/>
      <c r="E66" s="9"/>
      <c r="F66" s="9"/>
      <c r="G66" s="9"/>
      <c r="H66" s="9"/>
      <c r="I66">
        <v>3.9464706787839532E-4</v>
      </c>
      <c r="J66"/>
    </row>
    <row r="67" ht="15" customHeight="true" x14ac:dyDescent="0.15">
      <c r="A67" s="212">
        <v>66</v>
      </c>
      <c r="B67" s="212" t="s">
        <v>230</v>
      </c>
      <c r="C67" s="7">
        <v>5.0266575813293457</v>
      </c>
      <c r="D67" s="9"/>
      <c r="E67" s="9"/>
      <c r="F67" s="9"/>
      <c r="G67" s="9"/>
      <c r="H67" s="9"/>
      <c r="I67">
        <v>1.9580526277422905E-2</v>
      </c>
      <c r="J67"/>
    </row>
    <row r="68" ht="15" customHeight="true" x14ac:dyDescent="0.15">
      <c r="A68" s="213">
        <v>67</v>
      </c>
      <c r="B68" s="213" t="s">
        <v>231</v>
      </c>
      <c r="C68" s="7">
        <v>4.2007203102111816</v>
      </c>
      <c r="D68" s="9"/>
      <c r="E68" s="9"/>
      <c r="F68" s="9"/>
      <c r="G68" s="9"/>
      <c r="H68" s="9"/>
      <c r="I68">
        <v>2.0690590143203735E-2</v>
      </c>
      <c r="J68"/>
    </row>
    <row r="69" ht="15" customHeight="true" x14ac:dyDescent="0.15">
      <c r="A69" s="214">
        <v>68</v>
      </c>
      <c r="B69" s="214" t="s">
        <v>232</v>
      </c>
      <c r="C69" s="7">
        <v>3.7433369159698486</v>
      </c>
      <c r="D69" s="9"/>
      <c r="E69" s="9"/>
      <c r="F69" s="9"/>
      <c r="G69" s="9"/>
      <c r="H69" s="9"/>
      <c r="I69">
        <v>4.8332354053854942E-3</v>
      </c>
      <c r="J69"/>
    </row>
    <row r="70" ht="15" customHeight="true" x14ac:dyDescent="0.15">
      <c r="A70" s="215">
        <v>69</v>
      </c>
      <c r="B70" s="215" t="s">
        <v>233</v>
      </c>
      <c r="C70" s="7">
        <v>5.2743620872497559</v>
      </c>
      <c r="D70" s="9"/>
      <c r="E70" s="9"/>
      <c r="F70" s="9"/>
      <c r="G70" s="9"/>
      <c r="H70" s="9"/>
      <c r="I70">
        <v>2.1122116595506668E-2</v>
      </c>
      <c r="J70"/>
    </row>
    <row r="71" ht="15" customHeight="true" x14ac:dyDescent="0.15">
      <c r="A71" s="216">
        <v>70</v>
      </c>
      <c r="B71" s="216" t="s">
        <v>234</v>
      </c>
      <c r="C71" s="7">
        <v>4.2824702262878418</v>
      </c>
      <c r="D71" s="9"/>
      <c r="E71" s="9"/>
      <c r="F71" s="9"/>
      <c r="G71" s="9"/>
      <c r="H71" s="9"/>
      <c r="I71">
        <v>2.946753054857254E-2</v>
      </c>
      <c r="J71"/>
    </row>
    <row r="72" ht="15" customHeight="true" x14ac:dyDescent="0.15">
      <c r="A72"/>
      <c r="B72"/>
      <c r="C72"/>
      <c r="D72"/>
      <c r="E72"/>
      <c r="F72"/>
      <c r="G72"/>
      <c r="H72"/>
      <c r="I72"/>
      <c r="J72"/>
    </row>
    <row r="73" ht="15" customHeight="true" x14ac:dyDescent="0.15">
      <c r="A73"/>
      <c r="B73"/>
      <c r="C73"/>
      <c r="D73"/>
      <c r="E73"/>
      <c r="F73"/>
      <c r="G73"/>
      <c r="H73"/>
      <c r="I73"/>
      <c r="J73"/>
    </row>
    <row r="74" ht="15" customHeight="true" x14ac:dyDescent="0.15">
      <c r="A74"/>
      <c r="B74"/>
      <c r="C74"/>
      <c r="D74"/>
      <c r="E74"/>
      <c r="F74"/>
      <c r="G74"/>
      <c r="H74"/>
      <c r="I74"/>
      <c r="J74"/>
    </row>
    <row r="75" ht="15" customHeight="true" x14ac:dyDescent="0.15">
      <c r="A75"/>
      <c r="B75"/>
      <c r="C75"/>
      <c r="D75"/>
      <c r="E75"/>
      <c r="F75"/>
      <c r="G75"/>
      <c r="H75"/>
      <c r="I75"/>
      <c r="J75"/>
    </row>
    <row r="76" ht="15" customHeight="true" x14ac:dyDescent="0.15">
      <c r="A76"/>
      <c r="B76"/>
      <c r="C76"/>
      <c r="D76"/>
      <c r="E76"/>
      <c r="F76"/>
      <c r="G76"/>
      <c r="H76"/>
      <c r="I76"/>
      <c r="J76"/>
    </row>
    <row r="77" ht="15" customHeight="true" x14ac:dyDescent="0.15">
      <c r="A77"/>
      <c r="B77"/>
      <c r="C77"/>
      <c r="D77"/>
      <c r="E77"/>
      <c r="F77"/>
      <c r="G77"/>
      <c r="H77"/>
      <c r="I77"/>
      <c r="J77"/>
    </row>
    <row r="78" ht="15" customHeight="true" x14ac:dyDescent="0.15">
      <c r="A78"/>
      <c r="B78"/>
      <c r="C78"/>
      <c r="D78"/>
      <c r="E78"/>
      <c r="F78"/>
      <c r="G78"/>
      <c r="H78"/>
      <c r="I78"/>
      <c r="J78"/>
    </row>
    <row r="79" ht="15" customHeight="true" x14ac:dyDescent="0.15">
      <c r="A79"/>
      <c r="B79"/>
      <c r="C79"/>
      <c r="D79"/>
      <c r="E79"/>
      <c r="F79"/>
      <c r="G79"/>
      <c r="H79"/>
      <c r="I79"/>
      <c r="J79"/>
    </row>
    <row r="80" ht="15" customHeight="true" x14ac:dyDescent="0.15">
      <c r="A80"/>
      <c r="B80"/>
      <c r="C80"/>
      <c r="D80"/>
      <c r="E80"/>
      <c r="F80"/>
      <c r="G80"/>
      <c r="H80"/>
      <c r="I80"/>
      <c r="J80"/>
    </row>
    <row r="81" ht="15" customHeight="true" x14ac:dyDescent="0.15">
      <c r="A81"/>
      <c r="B81"/>
      <c r="C81"/>
      <c r="D81"/>
      <c r="E81"/>
      <c r="F81"/>
      <c r="G81"/>
      <c r="H81"/>
      <c r="I81"/>
      <c r="J81"/>
    </row>
    <row r="82" ht="15" customHeight="true" x14ac:dyDescent="0.15">
      <c r="A82"/>
      <c r="B82"/>
      <c r="C82"/>
      <c r="D82"/>
      <c r="E82"/>
      <c r="F82"/>
      <c r="G82"/>
      <c r="H82"/>
      <c r="I82"/>
      <c r="J82"/>
    </row>
    <row r="83" ht="15" customHeight="true" x14ac:dyDescent="0.15">
      <c r="A83"/>
      <c r="B83"/>
      <c r="C83"/>
      <c r="D83"/>
      <c r="E83"/>
      <c r="F83"/>
      <c r="G83"/>
      <c r="H83"/>
      <c r="I83"/>
      <c r="J83"/>
    </row>
    <row r="84" ht="15" customHeight="true" x14ac:dyDescent="0.15">
      <c r="A84"/>
      <c r="B84"/>
      <c r="C84"/>
      <c r="D84"/>
      <c r="E84"/>
      <c r="F84"/>
      <c r="G84"/>
      <c r="H84"/>
      <c r="I84"/>
      <c r="J84"/>
    </row>
    <row r="85" ht="15" customHeight="true" x14ac:dyDescent="0.15">
      <c r="A85"/>
      <c r="B85"/>
      <c r="C85"/>
      <c r="D85"/>
      <c r="E85"/>
      <c r="F85"/>
      <c r="G85"/>
      <c r="H85"/>
      <c r="I85"/>
      <c r="J85"/>
    </row>
    <row r="86" ht="15" customHeight="true" x14ac:dyDescent="0.15">
      <c r="A86"/>
      <c r="B86"/>
      <c r="C86"/>
      <c r="D86"/>
      <c r="E86"/>
      <c r="F86"/>
      <c r="G86"/>
      <c r="H86"/>
      <c r="I86"/>
      <c r="J86"/>
    </row>
    <row r="87" ht="15" customHeight="true" x14ac:dyDescent="0.15">
      <c r="A87"/>
      <c r="B87"/>
      <c r="C87"/>
      <c r="D87"/>
      <c r="E87"/>
      <c r="F87"/>
      <c r="G87"/>
      <c r="H87"/>
      <c r="I87"/>
      <c r="J87"/>
    </row>
    <row r="88" ht="15" customHeight="true" x14ac:dyDescent="0.15">
      <c r="A88"/>
      <c r="B88"/>
      <c r="C88"/>
      <c r="D88"/>
      <c r="E88"/>
      <c r="F88"/>
      <c r="G88"/>
      <c r="H88"/>
      <c r="I88"/>
      <c r="J88"/>
    </row>
    <row r="89" ht="15" customHeight="true" x14ac:dyDescent="0.15">
      <c r="A89"/>
      <c r="B89"/>
      <c r="C89"/>
      <c r="D89"/>
      <c r="E89"/>
      <c r="F89"/>
      <c r="G89"/>
      <c r="H89"/>
      <c r="I89"/>
      <c r="J89"/>
    </row>
    <row r="90" ht="15" customHeight="true" x14ac:dyDescent="0.15">
      <c r="A90"/>
      <c r="B90"/>
      <c r="C90"/>
      <c r="D90"/>
      <c r="E90"/>
      <c r="F90"/>
      <c r="G90"/>
      <c r="H90"/>
      <c r="I90"/>
      <c r="J90"/>
    </row>
    <row r="91" ht="15" customHeight="true" x14ac:dyDescent="0.15">
      <c r="A91"/>
      <c r="B91"/>
      <c r="C91"/>
      <c r="D91"/>
      <c r="E91"/>
      <c r="F91"/>
      <c r="G91"/>
      <c r="H91"/>
      <c r="I91"/>
      <c r="J91"/>
    </row>
    <row r="92" ht="15" customHeight="true" x14ac:dyDescent="0.15">
      <c r="A92"/>
      <c r="B92"/>
      <c r="C92"/>
      <c r="D92"/>
      <c r="E92"/>
      <c r="F92"/>
      <c r="G92"/>
      <c r="H92"/>
      <c r="I92"/>
      <c r="J92"/>
    </row>
    <row r="93" ht="15" customHeight="true" x14ac:dyDescent="0.15">
      <c r="A93"/>
      <c r="B93"/>
      <c r="C93"/>
      <c r="D93"/>
      <c r="E93"/>
      <c r="F93"/>
      <c r="G93"/>
      <c r="H93"/>
      <c r="I93"/>
      <c r="J93"/>
    </row>
    <row r="94" ht="15" customHeight="true" x14ac:dyDescent="0.15">
      <c r="A94"/>
      <c r="B94"/>
      <c r="C94"/>
      <c r="D94"/>
      <c r="E94"/>
      <c r="F94"/>
      <c r="G94"/>
      <c r="H94"/>
      <c r="I94"/>
      <c r="J94"/>
    </row>
    <row r="95" ht="15" customHeight="true" x14ac:dyDescent="0.15">
      <c r="A95"/>
      <c r="B95"/>
      <c r="C95"/>
      <c r="D95"/>
      <c r="E95"/>
      <c r="F95"/>
      <c r="G95"/>
      <c r="H95"/>
      <c r="I95"/>
      <c r="J95"/>
    </row>
    <row r="96" ht="15" customHeight="true" x14ac:dyDescent="0.15">
      <c r="A96"/>
      <c r="B96"/>
      <c r="C96"/>
      <c r="D96"/>
      <c r="E96"/>
      <c r="F96"/>
      <c r="G96"/>
      <c r="H96"/>
      <c r="I96"/>
      <c r="J96"/>
    </row>
    <row r="97" ht="15" customHeight="true" x14ac:dyDescent="0.15">
      <c r="A97"/>
      <c r="B97"/>
      <c r="C97"/>
      <c r="D97"/>
      <c r="E97"/>
      <c r="F97"/>
      <c r="G97"/>
      <c r="H97"/>
      <c r="I97"/>
      <c r="J97"/>
    </row>
    <row r="98" ht="15" customHeight="true" x14ac:dyDescent="0.15">
      <c r="A98"/>
      <c r="B98"/>
      <c r="C98"/>
      <c r="D98"/>
      <c r="E98"/>
      <c r="F98"/>
      <c r="G98"/>
      <c r="H98"/>
      <c r="I98"/>
      <c r="J98"/>
    </row>
    <row r="99" ht="15" customHeight="true" x14ac:dyDescent="0.15">
      <c r="A99"/>
      <c r="B99"/>
      <c r="C99"/>
      <c r="D99"/>
      <c r="E99"/>
      <c r="F99"/>
      <c r="G99"/>
      <c r="H99"/>
      <c r="I99"/>
      <c r="J99"/>
    </row>
    <row r="100" ht="15" customHeight="true" x14ac:dyDescent="0.15">
      <c r="A100"/>
      <c r="B100"/>
      <c r="C100"/>
      <c r="D100"/>
      <c r="E100"/>
      <c r="F100"/>
      <c r="G100"/>
      <c r="H100"/>
      <c r="I100"/>
      <c r="J100"/>
    </row>
    <row r="101" ht="15" customHeight="true" x14ac:dyDescent="0.15">
      <c r="A101"/>
      <c r="B101"/>
      <c r="C101"/>
      <c r="D101"/>
      <c r="E101"/>
      <c r="F101"/>
      <c r="G101"/>
      <c r="H101"/>
      <c r="I101"/>
      <c r="J101"/>
    </row>
    <row r="102" ht="15" customHeight="true" x14ac:dyDescent="0.15">
      <c r="A102"/>
      <c r="B102"/>
      <c r="C102"/>
      <c r="D102"/>
      <c r="E102"/>
      <c r="F102"/>
      <c r="G102"/>
      <c r="H102"/>
      <c r="I102"/>
      <c r="J102"/>
    </row>
    <row r="103" ht="15" customHeight="true" x14ac:dyDescent="0.15">
      <c r="A103"/>
      <c r="B103"/>
      <c r="C103"/>
      <c r="D103"/>
      <c r="E103"/>
      <c r="F103"/>
      <c r="G103"/>
      <c r="H103"/>
      <c r="I103"/>
      <c r="J103"/>
    </row>
    <row r="104" ht="15" customHeight="true" x14ac:dyDescent="0.15">
      <c r="A104"/>
      <c r="B104"/>
      <c r="C104"/>
      <c r="D104"/>
      <c r="E104"/>
      <c r="F104"/>
      <c r="G104"/>
      <c r="H104"/>
      <c r="I104"/>
      <c r="J104"/>
    </row>
    <row r="105" ht="15" customHeight="true" x14ac:dyDescent="0.15">
      <c r="A105"/>
      <c r="B105"/>
      <c r="C105"/>
      <c r="D105"/>
      <c r="E105"/>
      <c r="F105"/>
      <c r="G105"/>
      <c r="H105"/>
      <c r="I105"/>
      <c r="J105"/>
    </row>
    <row r="106" ht="15" customHeight="true" x14ac:dyDescent="0.15">
      <c r="A106"/>
      <c r="B106"/>
      <c r="C106"/>
      <c r="D106"/>
      <c r="E106"/>
      <c r="F106"/>
      <c r="G106"/>
      <c r="H106"/>
      <c r="I106"/>
      <c r="J106"/>
    </row>
    <row r="107" ht="15" customHeight="true" x14ac:dyDescent="0.15">
      <c r="A107"/>
      <c r="B107"/>
      <c r="C107"/>
      <c r="D107"/>
      <c r="E107"/>
      <c r="F107"/>
      <c r="G107"/>
      <c r="H107"/>
      <c r="I107"/>
      <c r="J107"/>
    </row>
    <row r="108" ht="15" customHeight="true" x14ac:dyDescent="0.15">
      <c r="A108"/>
      <c r="B108"/>
      <c r="C108"/>
      <c r="D108"/>
      <c r="E108"/>
      <c r="F108"/>
      <c r="G108"/>
      <c r="H108"/>
      <c r="I108"/>
      <c r="J108"/>
    </row>
    <row r="109" ht="15" customHeight="true" x14ac:dyDescent="0.15">
      <c r="A109"/>
      <c r="B109"/>
      <c r="C109"/>
      <c r="D109"/>
      <c r="E109"/>
      <c r="F109"/>
      <c r="G109"/>
      <c r="H109"/>
      <c r="I109"/>
      <c r="J109"/>
    </row>
    <row r="110" ht="15" customHeight="true" x14ac:dyDescent="0.15">
      <c r="A110"/>
      <c r="B110"/>
      <c r="C110"/>
      <c r="D110"/>
      <c r="E110"/>
      <c r="F110"/>
      <c r="G110"/>
      <c r="H110"/>
      <c r="I110"/>
      <c r="J110"/>
    </row>
    <row r="111" ht="15" customHeight="true" x14ac:dyDescent="0.15">
      <c r="A111"/>
      <c r="B111"/>
      <c r="C111"/>
      <c r="D111"/>
      <c r="E111"/>
      <c r="F111"/>
      <c r="G111"/>
      <c r="H111"/>
      <c r="I111"/>
      <c r="J111"/>
    </row>
    <row r="112" ht="15" customHeight="true" x14ac:dyDescent="0.15">
      <c r="A112"/>
      <c r="B112"/>
      <c r="C112"/>
      <c r="D112"/>
      <c r="E112"/>
      <c r="F112"/>
      <c r="G112"/>
      <c r="H112"/>
      <c r="I112"/>
      <c r="J112"/>
    </row>
    <row r="113" ht="15" customHeight="true" x14ac:dyDescent="0.15">
      <c r="A113"/>
      <c r="B113"/>
      <c r="C113"/>
      <c r="D113"/>
      <c r="E113"/>
      <c r="F113"/>
      <c r="G113"/>
      <c r="H113"/>
      <c r="I113"/>
      <c r="J113"/>
    </row>
    <row r="114" ht="15" customHeight="true" x14ac:dyDescent="0.15">
      <c r="A114"/>
      <c r="B114"/>
      <c r="C114"/>
      <c r="D114"/>
      <c r="E114"/>
      <c r="F114"/>
      <c r="G114"/>
      <c r="H114"/>
      <c r="I114"/>
      <c r="J114"/>
    </row>
    <row r="115" ht="15" customHeight="true" x14ac:dyDescent="0.15">
      <c r="A115"/>
      <c r="B115"/>
      <c r="C115"/>
      <c r="D115"/>
      <c r="E115"/>
      <c r="F115"/>
      <c r="G115"/>
      <c r="H115"/>
      <c r="I115"/>
      <c r="J115"/>
    </row>
    <row r="116" ht="15" customHeight="true" x14ac:dyDescent="0.15">
      <c r="A116"/>
      <c r="B116"/>
      <c r="C116"/>
      <c r="D116"/>
      <c r="E116"/>
      <c r="F116"/>
      <c r="G116"/>
      <c r="H116"/>
      <c r="I116"/>
      <c r="J116"/>
    </row>
    <row r="117" ht="15" customHeight="true" x14ac:dyDescent="0.15">
      <c r="A117"/>
      <c r="B117"/>
      <c r="C117"/>
      <c r="D117"/>
      <c r="E117"/>
      <c r="F117"/>
      <c r="G117"/>
      <c r="H117"/>
      <c r="I117"/>
      <c r="J117"/>
    </row>
    <row r="118" ht="15" customHeight="true" x14ac:dyDescent="0.15">
      <c r="A118"/>
      <c r="B118"/>
      <c r="C118"/>
      <c r="D118"/>
      <c r="E118"/>
      <c r="F118"/>
      <c r="G118"/>
      <c r="H118"/>
      <c r="I118"/>
      <c r="J118"/>
    </row>
    <row r="119" ht="15" customHeight="true" x14ac:dyDescent="0.15">
      <c r="A119"/>
      <c r="B119"/>
      <c r="C119"/>
      <c r="D119"/>
      <c r="E119"/>
      <c r="F119"/>
      <c r="G119"/>
      <c r="H119"/>
      <c r="I119"/>
      <c r="J119"/>
    </row>
    <row r="120" ht="15" customHeight="true" x14ac:dyDescent="0.15">
      <c r="A120"/>
      <c r="B120"/>
      <c r="C120"/>
      <c r="D120"/>
      <c r="E120"/>
      <c r="F120"/>
      <c r="G120"/>
      <c r="H120"/>
      <c r="I120"/>
      <c r="J120"/>
    </row>
    <row r="121" ht="15" customHeight="true" x14ac:dyDescent="0.15">
      <c r="A121"/>
      <c r="B121"/>
      <c r="C121"/>
      <c r="D121"/>
      <c r="E121"/>
      <c r="F121"/>
      <c r="G121"/>
      <c r="H121"/>
      <c r="I121"/>
      <c r="J121"/>
    </row>
    <row r="122" ht="15" customHeight="true" x14ac:dyDescent="0.15">
      <c r="A122"/>
      <c r="B122"/>
      <c r="C122"/>
      <c r="D122"/>
      <c r="E122"/>
      <c r="F122"/>
      <c r="G122"/>
      <c r="H122"/>
      <c r="I122"/>
      <c r="J122"/>
    </row>
    <row r="123" ht="15" customHeight="true" x14ac:dyDescent="0.15">
      <c r="A123"/>
      <c r="B123"/>
      <c r="C123"/>
      <c r="D123"/>
      <c r="E123"/>
      <c r="F123"/>
      <c r="G123"/>
      <c r="H123"/>
      <c r="I123"/>
      <c r="J123"/>
    </row>
    <row r="124" ht="15" customHeight="true" x14ac:dyDescent="0.15">
      <c r="A124"/>
      <c r="B124"/>
      <c r="C124"/>
      <c r="D124"/>
      <c r="E124"/>
      <c r="F124"/>
      <c r="G124"/>
      <c r="H124"/>
      <c r="I124"/>
      <c r="J124"/>
    </row>
    <row r="125" ht="15" customHeight="true" x14ac:dyDescent="0.15">
      <c r="A125"/>
      <c r="B125"/>
      <c r="C125"/>
      <c r="D125"/>
      <c r="E125"/>
      <c r="F125"/>
      <c r="G125"/>
      <c r="H125"/>
      <c r="I125"/>
      <c r="J125"/>
    </row>
    <row r="126" ht="15" customHeight="true" x14ac:dyDescent="0.15">
      <c r="A126"/>
      <c r="B126"/>
      <c r="C126"/>
      <c r="D126"/>
      <c r="E126"/>
      <c r="F126"/>
      <c r="G126"/>
      <c r="H126"/>
      <c r="I126"/>
      <c r="J126"/>
    </row>
    <row r="127" ht="15" customHeight="true" x14ac:dyDescent="0.15">
      <c r="A127"/>
      <c r="B127"/>
      <c r="C127"/>
      <c r="D127"/>
      <c r="E127"/>
      <c r="F127"/>
      <c r="G127"/>
      <c r="H127"/>
      <c r="I127"/>
      <c r="J127"/>
    </row>
    <row r="128" ht="15" customHeight="true" x14ac:dyDescent="0.15">
      <c r="A128"/>
      <c r="B128"/>
      <c r="C128"/>
      <c r="D128"/>
      <c r="E128"/>
      <c r="F128"/>
      <c r="G128"/>
      <c r="H128"/>
      <c r="I128"/>
      <c r="J128"/>
    </row>
    <row r="129" ht="15" customHeight="true" x14ac:dyDescent="0.15">
      <c r="A129"/>
      <c r="B129"/>
      <c r="C129"/>
      <c r="D129"/>
      <c r="E129"/>
      <c r="F129"/>
      <c r="G129"/>
      <c r="H129"/>
      <c r="I129"/>
      <c r="J129"/>
    </row>
    <row r="130" ht="15" customHeight="true" x14ac:dyDescent="0.15">
      <c r="A130"/>
      <c r="B130"/>
      <c r="C130"/>
      <c r="D130"/>
      <c r="E130"/>
      <c r="F130"/>
      <c r="G130"/>
      <c r="H130"/>
      <c r="I130"/>
      <c r="J130"/>
    </row>
    <row r="131" ht="15" customHeight="true" x14ac:dyDescent="0.15">
      <c r="A131"/>
      <c r="B131"/>
      <c r="C131"/>
      <c r="D131"/>
      <c r="E131"/>
      <c r="F131"/>
      <c r="G131"/>
      <c r="H131"/>
      <c r="I131"/>
      <c r="J131"/>
    </row>
    <row r="132" ht="15" customHeight="true" x14ac:dyDescent="0.15">
      <c r="A132"/>
      <c r="B132"/>
      <c r="C132"/>
      <c r="D132"/>
      <c r="E132"/>
      <c r="F132"/>
      <c r="G132"/>
      <c r="H132"/>
      <c r="I132"/>
      <c r="J132"/>
    </row>
    <row r="133" ht="15" customHeight="true" x14ac:dyDescent="0.15">
      <c r="A133"/>
      <c r="B133"/>
      <c r="C133"/>
      <c r="D133"/>
      <c r="E133"/>
      <c r="F133"/>
      <c r="G133"/>
      <c r="H133"/>
      <c r="I133"/>
      <c r="J133"/>
    </row>
    <row r="134" ht="15" customHeight="true" x14ac:dyDescent="0.15">
      <c r="A134"/>
      <c r="B134"/>
      <c r="C134"/>
      <c r="D134"/>
      <c r="E134"/>
      <c r="F134"/>
      <c r="G134"/>
      <c r="H134"/>
      <c r="I134"/>
      <c r="J134"/>
    </row>
    <row r="135" ht="15" customHeight="true" x14ac:dyDescent="0.15">
      <c r="A135"/>
      <c r="B135"/>
      <c r="C135"/>
      <c r="D135"/>
      <c r="E135"/>
      <c r="F135"/>
      <c r="G135"/>
      <c r="H135"/>
      <c r="I135"/>
      <c r="J135"/>
    </row>
    <row r="136" ht="15" customHeight="true" x14ac:dyDescent="0.15">
      <c r="A136"/>
      <c r="B136"/>
      <c r="C136"/>
      <c r="D136"/>
      <c r="E136"/>
      <c r="F136"/>
      <c r="G136"/>
      <c r="H136"/>
      <c r="I136"/>
      <c r="J136"/>
    </row>
    <row r="137" ht="15" customHeight="true" x14ac:dyDescent="0.15">
      <c r="A137"/>
      <c r="B137"/>
      <c r="C137"/>
      <c r="D137"/>
      <c r="E137"/>
      <c r="F137"/>
      <c r="G137"/>
      <c r="H137"/>
      <c r="I137"/>
      <c r="J137"/>
    </row>
    <row r="138" ht="15" customHeight="true" x14ac:dyDescent="0.15">
      <c r="A138"/>
      <c r="B138"/>
      <c r="C138"/>
      <c r="D138"/>
      <c r="E138"/>
      <c r="F138"/>
      <c r="G138"/>
      <c r="H138"/>
      <c r="I138"/>
      <c r="J138"/>
    </row>
    <row r="139" ht="15" customHeight="true" x14ac:dyDescent="0.15">
      <c r="A139"/>
      <c r="B139"/>
      <c r="C139"/>
      <c r="D139"/>
      <c r="E139"/>
      <c r="F139"/>
      <c r="G139"/>
      <c r="H139"/>
      <c r="I139"/>
      <c r="J139"/>
    </row>
    <row r="140" ht="15" customHeight="true" x14ac:dyDescent="0.15">
      <c r="A140"/>
      <c r="B140"/>
      <c r="C140"/>
      <c r="D140"/>
      <c r="E140"/>
      <c r="F140"/>
      <c r="G140"/>
      <c r="H140"/>
      <c r="I140"/>
      <c r="J140"/>
    </row>
    <row r="141" ht="15" customHeight="true" x14ac:dyDescent="0.15">
      <c r="A141"/>
      <c r="B141"/>
      <c r="C141"/>
      <c r="D141"/>
      <c r="E141"/>
      <c r="F141"/>
      <c r="G141"/>
      <c r="H141"/>
      <c r="I141"/>
      <c r="J141"/>
    </row>
    <row r="142" ht="15" customHeight="true" x14ac:dyDescent="0.15">
      <c r="A142"/>
      <c r="B142"/>
      <c r="C142"/>
      <c r="D142"/>
      <c r="E142"/>
      <c r="F142"/>
      <c r="G142"/>
      <c r="H142"/>
      <c r="I142"/>
      <c r="J142"/>
    </row>
    <row r="143" ht="15" customHeight="true" x14ac:dyDescent="0.15">
      <c r="A143"/>
      <c r="B143"/>
      <c r="C143"/>
      <c r="D143"/>
      <c r="E143"/>
      <c r="F143"/>
      <c r="G143"/>
      <c r="H143"/>
      <c r="I143"/>
      <c r="J143"/>
    </row>
    <row r="144" ht="15" customHeight="true" x14ac:dyDescent="0.15">
      <c r="A144"/>
      <c r="B144"/>
      <c r="C144"/>
      <c r="D144"/>
      <c r="E144"/>
      <c r="F144"/>
      <c r="G144"/>
      <c r="H144"/>
      <c r="I144"/>
      <c r="J144"/>
    </row>
    <row r="145" ht="15" customHeight="true" x14ac:dyDescent="0.15">
      <c r="A145"/>
      <c r="B145"/>
      <c r="C145"/>
      <c r="D145"/>
      <c r="E145"/>
      <c r="F145"/>
      <c r="G145"/>
      <c r="H145"/>
      <c r="I145"/>
      <c r="J145"/>
    </row>
    <row r="146" ht="15" customHeight="true" x14ac:dyDescent="0.15">
      <c r="A146"/>
      <c r="B146"/>
      <c r="C146"/>
      <c r="D146"/>
      <c r="E146"/>
      <c r="F146"/>
      <c r="G146"/>
      <c r="H146"/>
      <c r="I146"/>
      <c r="J146"/>
    </row>
    <row r="147" ht="15" customHeight="true" x14ac:dyDescent="0.15">
      <c r="A147"/>
      <c r="B147"/>
      <c r="C147"/>
      <c r="D147"/>
      <c r="E147"/>
      <c r="F147"/>
      <c r="G147"/>
      <c r="H147"/>
      <c r="I147"/>
      <c r="J147"/>
    </row>
    <row r="148" ht="15" customHeight="true" x14ac:dyDescent="0.15">
      <c r="A148"/>
      <c r="B148"/>
      <c r="C148"/>
      <c r="D148"/>
      <c r="E148"/>
      <c r="F148"/>
      <c r="G148"/>
      <c r="H148"/>
      <c r="I148"/>
      <c r="J148"/>
    </row>
    <row r="149" ht="15" customHeight="true" x14ac:dyDescent="0.15">
      <c r="A149"/>
      <c r="B149"/>
      <c r="C149"/>
      <c r="D149"/>
      <c r="E149"/>
      <c r="F149"/>
      <c r="G149"/>
      <c r="H149"/>
      <c r="I149"/>
      <c r="J149"/>
    </row>
    <row r="150" ht="15" customHeight="true" x14ac:dyDescent="0.15">
      <c r="A150"/>
      <c r="B150"/>
      <c r="C150"/>
      <c r="D150"/>
      <c r="E150"/>
      <c r="F150"/>
      <c r="G150"/>
      <c r="H150"/>
      <c r="I150"/>
      <c r="J150"/>
    </row>
    <row r="151" ht="15" customHeight="true" x14ac:dyDescent="0.15">
      <c r="A151"/>
      <c r="B151"/>
      <c r="C151"/>
      <c r="D151"/>
      <c r="E151"/>
      <c r="F151"/>
      <c r="G151"/>
      <c r="H151"/>
      <c r="I151"/>
      <c r="J151"/>
    </row>
    <row r="152" ht="15" customHeight="true" x14ac:dyDescent="0.15">
      <c r="A152"/>
      <c r="B152"/>
      <c r="C152"/>
      <c r="D152"/>
      <c r="E152"/>
      <c r="F152"/>
      <c r="G152"/>
      <c r="H152"/>
      <c r="I152"/>
      <c r="J152"/>
    </row>
    <row r="153" ht="15" customHeight="true" x14ac:dyDescent="0.15">
      <c r="A153"/>
      <c r="B153"/>
      <c r="C153"/>
      <c r="D153"/>
      <c r="E153"/>
      <c r="F153"/>
      <c r="G153"/>
      <c r="H153"/>
      <c r="I153"/>
      <c r="J153"/>
    </row>
    <row r="154" ht="15" customHeight="true" x14ac:dyDescent="0.15">
      <c r="A154"/>
      <c r="B154"/>
      <c r="C154"/>
      <c r="D154"/>
      <c r="E154"/>
      <c r="F154"/>
      <c r="G154"/>
      <c r="H154"/>
      <c r="I154"/>
      <c r="J154"/>
    </row>
    <row r="155" ht="15" customHeight="true" x14ac:dyDescent="0.15">
      <c r="A155"/>
      <c r="B155"/>
      <c r="C155"/>
      <c r="D155"/>
      <c r="E155"/>
      <c r="F155"/>
      <c r="G155"/>
      <c r="H155"/>
      <c r="I155"/>
      <c r="J155"/>
    </row>
    <row r="156" ht="15" customHeight="true" x14ac:dyDescent="0.15">
      <c r="A156"/>
      <c r="B156"/>
      <c r="C156"/>
      <c r="D156"/>
      <c r="E156"/>
      <c r="F156"/>
      <c r="G156"/>
      <c r="H156"/>
      <c r="I156"/>
      <c r="J156"/>
    </row>
    <row r="157" ht="15" customHeight="true" x14ac:dyDescent="0.15">
      <c r="A157"/>
      <c r="B157"/>
      <c r="C157"/>
      <c r="D157"/>
      <c r="E157"/>
      <c r="F157"/>
      <c r="G157"/>
      <c r="H157"/>
      <c r="I157"/>
      <c r="J157"/>
    </row>
    <row r="158" ht="15" customHeight="true" x14ac:dyDescent="0.15">
      <c r="A158"/>
      <c r="B158"/>
      <c r="C158"/>
      <c r="D158"/>
      <c r="E158"/>
      <c r="F158"/>
      <c r="G158"/>
      <c r="H158"/>
      <c r="I158"/>
      <c r="J158"/>
    </row>
    <row r="159" ht="15" customHeight="true" x14ac:dyDescent="0.15">
      <c r="A159"/>
      <c r="B159"/>
      <c r="C159"/>
      <c r="D159"/>
      <c r="E159"/>
      <c r="F159"/>
      <c r="G159"/>
      <c r="H159"/>
      <c r="I159"/>
      <c r="J159"/>
    </row>
    <row r="160" ht="15" customHeight="true" x14ac:dyDescent="0.15">
      <c r="A160"/>
      <c r="B160"/>
      <c r="C160"/>
      <c r="D160"/>
      <c r="E160"/>
      <c r="F160"/>
      <c r="G160"/>
      <c r="H160"/>
      <c r="I160"/>
      <c r="J160"/>
    </row>
    <row r="161" ht="15" customHeight="true" x14ac:dyDescent="0.15">
      <c r="A161"/>
      <c r="B161"/>
      <c r="C161"/>
      <c r="D161"/>
      <c r="E161"/>
      <c r="F161"/>
      <c r="G161"/>
      <c r="H161"/>
      <c r="I161"/>
      <c r="J161"/>
    </row>
    <row r="162" ht="15" customHeight="true" x14ac:dyDescent="0.15">
      <c r="A162"/>
      <c r="B162"/>
      <c r="C162"/>
      <c r="D162"/>
      <c r="E162"/>
      <c r="F162"/>
      <c r="G162"/>
      <c r="H162"/>
      <c r="I162"/>
      <c r="J162"/>
    </row>
    <row r="163" ht="15" customHeight="true" x14ac:dyDescent="0.15">
      <c r="A163"/>
      <c r="B163"/>
      <c r="C163"/>
      <c r="D163"/>
      <c r="E163"/>
      <c r="F163"/>
      <c r="G163"/>
      <c r="H163"/>
      <c r="I163"/>
      <c r="J163"/>
    </row>
    <row r="164" ht="15" customHeight="true" x14ac:dyDescent="0.15">
      <c r="A164"/>
      <c r="B164"/>
      <c r="C164"/>
      <c r="D164"/>
      <c r="E164"/>
      <c r="F164"/>
      <c r="G164"/>
      <c r="H164"/>
      <c r="I164"/>
      <c r="J164"/>
    </row>
    <row r="165" ht="15" customHeight="true" x14ac:dyDescent="0.15">
      <c r="A165"/>
      <c r="B165"/>
      <c r="C165"/>
      <c r="D165"/>
      <c r="E165"/>
      <c r="F165"/>
      <c r="G165"/>
      <c r="H165"/>
      <c r="I165"/>
      <c r="J165"/>
    </row>
    <row r="166" ht="15" customHeight="true" x14ac:dyDescent="0.15">
      <c r="A166"/>
      <c r="B166"/>
      <c r="C166"/>
      <c r="D166"/>
      <c r="E166"/>
      <c r="F166"/>
      <c r="G166"/>
      <c r="H166"/>
      <c r="I166"/>
      <c r="J166"/>
    </row>
    <row r="167" ht="15" customHeight="true" x14ac:dyDescent="0.15">
      <c r="A167"/>
      <c r="B167"/>
      <c r="C167"/>
      <c r="D167"/>
      <c r="E167"/>
      <c r="F167"/>
      <c r="G167"/>
      <c r="H167"/>
      <c r="I167"/>
      <c r="J167"/>
    </row>
    <row r="168" ht="15" customHeight="true" x14ac:dyDescent="0.15">
      <c r="A168"/>
      <c r="B168"/>
      <c r="C168"/>
      <c r="D168"/>
      <c r="E168"/>
      <c r="F168"/>
      <c r="G168"/>
      <c r="H168"/>
      <c r="I168"/>
      <c r="J168"/>
    </row>
    <row r="169" ht="15" customHeight="true" x14ac:dyDescent="0.15">
      <c r="A169"/>
      <c r="B169"/>
      <c r="C169"/>
      <c r="D169"/>
      <c r="E169"/>
      <c r="F169"/>
      <c r="G169"/>
      <c r="H169"/>
      <c r="I169"/>
      <c r="J169"/>
    </row>
    <row r="170" ht="15" customHeight="true" x14ac:dyDescent="0.15">
      <c r="A170"/>
      <c r="B170"/>
      <c r="C170"/>
      <c r="D170"/>
      <c r="E170"/>
      <c r="F170"/>
      <c r="G170"/>
      <c r="H170"/>
      <c r="I170"/>
      <c r="J170"/>
    </row>
    <row r="171" ht="15" customHeight="true" x14ac:dyDescent="0.15">
      <c r="A171"/>
      <c r="B171"/>
      <c r="C171"/>
      <c r="D171"/>
      <c r="E171"/>
      <c r="F171"/>
      <c r="G171"/>
      <c r="H171"/>
      <c r="I171"/>
      <c r="J171"/>
    </row>
    <row r="172" ht="15" customHeight="true" x14ac:dyDescent="0.15">
      <c r="A172"/>
      <c r="B172"/>
      <c r="C172"/>
      <c r="D172"/>
      <c r="E172"/>
      <c r="F172"/>
      <c r="G172"/>
      <c r="H172"/>
      <c r="I172"/>
      <c r="J172"/>
    </row>
    <row r="173" ht="15" customHeight="true" x14ac:dyDescent="0.15">
      <c r="A173"/>
      <c r="B173"/>
      <c r="C173"/>
      <c r="D173"/>
      <c r="E173"/>
      <c r="F173"/>
      <c r="G173"/>
      <c r="H173"/>
      <c r="I173"/>
      <c r="J173"/>
    </row>
    <row r="174" ht="15" customHeight="true" x14ac:dyDescent="0.15">
      <c r="A174"/>
      <c r="B174"/>
      <c r="C174"/>
      <c r="D174"/>
      <c r="E174"/>
      <c r="F174"/>
      <c r="G174"/>
      <c r="H174"/>
      <c r="I174"/>
      <c r="J174"/>
    </row>
    <row r="175" ht="15" customHeight="true" x14ac:dyDescent="0.15">
      <c r="A175"/>
      <c r="B175"/>
      <c r="C175"/>
      <c r="D175"/>
      <c r="E175"/>
      <c r="F175"/>
      <c r="G175"/>
      <c r="H175"/>
      <c r="I175"/>
      <c r="J175"/>
    </row>
    <row r="176" ht="15" customHeight="true" x14ac:dyDescent="0.15">
      <c r="A176"/>
      <c r="B176"/>
      <c r="C176"/>
      <c r="D176"/>
      <c r="E176"/>
      <c r="F176"/>
      <c r="G176"/>
      <c r="H176"/>
      <c r="I176"/>
      <c r="J176"/>
    </row>
    <row r="177" ht="15" customHeight="true" x14ac:dyDescent="0.15">
      <c r="A177"/>
      <c r="B177"/>
      <c r="C177"/>
      <c r="D177"/>
      <c r="E177"/>
      <c r="F177"/>
      <c r="G177"/>
      <c r="H177"/>
      <c r="I177"/>
      <c r="J177"/>
    </row>
    <row r="178" ht="15" customHeight="true" x14ac:dyDescent="0.15">
      <c r="A178"/>
      <c r="B178"/>
      <c r="C178"/>
      <c r="D178"/>
      <c r="E178"/>
      <c r="F178"/>
      <c r="G178"/>
      <c r="H178"/>
      <c r="I178"/>
      <c r="J178"/>
    </row>
    <row r="179" ht="15" customHeight="true" x14ac:dyDescent="0.15">
      <c r="A179"/>
      <c r="B179"/>
      <c r="C179"/>
      <c r="D179"/>
      <c r="E179"/>
      <c r="F179"/>
      <c r="G179"/>
      <c r="H179"/>
      <c r="I179"/>
      <c r="J179"/>
    </row>
    <row r="180" ht="15" customHeight="true" x14ac:dyDescent="0.15">
      <c r="A180"/>
      <c r="B180"/>
      <c r="C180"/>
      <c r="D180"/>
      <c r="E180"/>
      <c r="F180"/>
      <c r="G180"/>
      <c r="H180"/>
      <c r="I180"/>
      <c r="J180"/>
    </row>
    <row r="181" ht="15" customHeight="true" x14ac:dyDescent="0.15">
      <c r="A181"/>
      <c r="B181"/>
      <c r="C181"/>
      <c r="D181"/>
      <c r="E181"/>
      <c r="F181"/>
      <c r="G181"/>
      <c r="H181"/>
      <c r="I181"/>
      <c r="J181"/>
    </row>
    <row r="182" ht="15" customHeight="true" x14ac:dyDescent="0.15">
      <c r="A182"/>
      <c r="B182"/>
      <c r="C182"/>
      <c r="D182"/>
      <c r="E182"/>
      <c r="F182"/>
      <c r="G182"/>
      <c r="H182"/>
      <c r="I182"/>
      <c r="J182"/>
    </row>
    <row r="183" ht="15" customHeight="true" x14ac:dyDescent="0.15">
      <c r="A183"/>
      <c r="B183"/>
      <c r="C183"/>
      <c r="D183"/>
      <c r="E183"/>
      <c r="F183"/>
      <c r="G183"/>
      <c r="H183"/>
      <c r="I183"/>
      <c r="J183"/>
    </row>
    <row r="184" ht="15" customHeight="true" x14ac:dyDescent="0.15">
      <c r="A184"/>
      <c r="B184"/>
      <c r="C184"/>
      <c r="D184"/>
      <c r="E184"/>
      <c r="F184"/>
      <c r="G184"/>
      <c r="H184"/>
      <c r="I184"/>
      <c r="J184"/>
    </row>
    <row r="185" ht="15" customHeight="true" x14ac:dyDescent="0.15">
      <c r="A185"/>
      <c r="B185"/>
      <c r="C185"/>
      <c r="D185"/>
      <c r="E185"/>
      <c r="F185"/>
      <c r="G185"/>
      <c r="H185"/>
      <c r="I185"/>
      <c r="J185"/>
    </row>
    <row r="186" ht="15" customHeight="true" x14ac:dyDescent="0.15">
      <c r="A186"/>
      <c r="B186"/>
      <c r="C186"/>
      <c r="D186"/>
      <c r="E186"/>
      <c r="F186"/>
      <c r="G186"/>
      <c r="H186"/>
      <c r="I186"/>
      <c r="J186"/>
    </row>
    <row r="187" ht="15" customHeight="true" x14ac:dyDescent="0.15">
      <c r="A187"/>
      <c r="B187"/>
      <c r="C187"/>
      <c r="D187"/>
      <c r="E187"/>
      <c r="F187"/>
      <c r="G187"/>
      <c r="H187"/>
      <c r="I187"/>
      <c r="J187"/>
    </row>
    <row r="188" ht="15" customHeight="true" x14ac:dyDescent="0.15">
      <c r="A188"/>
      <c r="B188"/>
      <c r="C188"/>
      <c r="D188"/>
      <c r="E188"/>
      <c r="F188"/>
      <c r="G188"/>
      <c r="H188"/>
      <c r="I188"/>
      <c r="J188"/>
    </row>
    <row r="189" ht="15" customHeight="true" x14ac:dyDescent="0.15">
      <c r="A189"/>
      <c r="B189"/>
      <c r="C189"/>
      <c r="D189"/>
      <c r="E189"/>
      <c r="F189"/>
      <c r="G189"/>
      <c r="H189"/>
      <c r="I189"/>
      <c r="J189"/>
    </row>
    <row r="190" ht="15" customHeight="true" x14ac:dyDescent="0.15">
      <c r="A190"/>
      <c r="B190"/>
      <c r="C190"/>
      <c r="D190"/>
      <c r="E190"/>
      <c r="F190"/>
      <c r="G190"/>
      <c r="H190"/>
      <c r="I190"/>
      <c r="J190"/>
    </row>
    <row r="191" ht="15" customHeight="true" x14ac:dyDescent="0.15">
      <c r="A191"/>
      <c r="B191"/>
      <c r="C191"/>
      <c r="D191"/>
      <c r="E191"/>
      <c r="F191"/>
      <c r="G191"/>
      <c r="H191"/>
      <c r="I191"/>
      <c r="J191"/>
    </row>
    <row r="192" ht="15" customHeight="true" x14ac:dyDescent="0.15">
      <c r="A192"/>
      <c r="B192"/>
      <c r="C192"/>
      <c r="D192"/>
      <c r="E192"/>
      <c r="F192"/>
      <c r="G192"/>
      <c r="H192"/>
      <c r="I192"/>
      <c r="J192"/>
    </row>
    <row r="193" ht="15" customHeight="true" x14ac:dyDescent="0.15">
      <c r="A193"/>
      <c r="B193"/>
      <c r="C193"/>
      <c r="D193"/>
      <c r="E193"/>
      <c r="F193"/>
      <c r="G193"/>
      <c r="H193"/>
      <c r="I193"/>
      <c r="J193"/>
    </row>
    <row r="194" ht="15" customHeight="true" x14ac:dyDescent="0.15">
      <c r="A194"/>
      <c r="B194"/>
      <c r="C194"/>
      <c r="D194"/>
      <c r="E194"/>
      <c r="F194"/>
      <c r="G194"/>
      <c r="H194"/>
      <c r="I194"/>
      <c r="J194"/>
    </row>
    <row r="195" ht="15" customHeight="true" x14ac:dyDescent="0.15">
      <c r="A195"/>
      <c r="B195"/>
      <c r="C195"/>
      <c r="D195"/>
      <c r="E195"/>
      <c r="F195"/>
      <c r="G195"/>
      <c r="H195"/>
      <c r="I195"/>
      <c r="J195"/>
    </row>
    <row r="196" ht="15" customHeight="true" x14ac:dyDescent="0.15">
      <c r="A196"/>
      <c r="B196"/>
      <c r="C196"/>
      <c r="D196"/>
      <c r="E196"/>
      <c r="F196"/>
      <c r="G196"/>
      <c r="H196"/>
      <c r="I196"/>
      <c r="J196"/>
    </row>
    <row r="197" ht="15" customHeight="true" x14ac:dyDescent="0.15">
      <c r="A197"/>
      <c r="B197"/>
      <c r="C197"/>
      <c r="D197"/>
      <c r="E197"/>
      <c r="F197"/>
      <c r="G197"/>
      <c r="H197"/>
      <c r="I197"/>
      <c r="J197"/>
    </row>
    <row r="198" ht="15" customHeight="true" x14ac:dyDescent="0.15">
      <c r="A198"/>
      <c r="B198"/>
      <c r="C198"/>
      <c r="D198"/>
      <c r="E198"/>
      <c r="F198"/>
      <c r="G198"/>
      <c r="H198"/>
      <c r="I198"/>
      <c r="J198"/>
    </row>
    <row r="199" ht="15" customHeight="true" x14ac:dyDescent="0.15">
      <c r="A199"/>
      <c r="B199"/>
      <c r="C199"/>
      <c r="D199"/>
      <c r="E199"/>
      <c r="F199"/>
      <c r="G199"/>
      <c r="H199"/>
      <c r="I199"/>
      <c r="J199"/>
    </row>
    <row r="200" ht="15" customHeight="true" x14ac:dyDescent="0.15">
      <c r="A200"/>
      <c r="B200"/>
      <c r="C200"/>
      <c r="D200"/>
      <c r="E200"/>
      <c r="F200"/>
      <c r="G200"/>
      <c r="H200"/>
      <c r="I200"/>
      <c r="J200"/>
    </row>
    <row r="201" ht="15" customHeight="true" x14ac:dyDescent="0.15">
      <c r="A201"/>
      <c r="B201"/>
      <c r="C201"/>
      <c r="D201"/>
      <c r="E201"/>
      <c r="F201"/>
      <c r="G201"/>
      <c r="H201"/>
      <c r="I201"/>
      <c r="J201"/>
    </row>
    <row r="202" ht="15" customHeight="true" x14ac:dyDescent="0.15">
      <c r="A202"/>
      <c r="B202"/>
      <c r="C202"/>
      <c r="D202"/>
      <c r="E202"/>
      <c r="F202"/>
      <c r="G202"/>
      <c r="H202"/>
      <c r="I202"/>
      <c r="J202"/>
    </row>
    <row r="203" ht="15" customHeight="true" x14ac:dyDescent="0.15">
      <c r="A203"/>
      <c r="B203"/>
      <c r="C203"/>
      <c r="D203"/>
      <c r="E203"/>
      <c r="F203"/>
      <c r="G203"/>
      <c r="H203"/>
      <c r="I203"/>
      <c r="J203"/>
    </row>
    <row r="204" ht="15" customHeight="true" x14ac:dyDescent="0.15">
      <c r="A204"/>
      <c r="B204"/>
      <c r="C204"/>
      <c r="D204"/>
      <c r="E204"/>
      <c r="F204"/>
      <c r="G204"/>
      <c r="H204"/>
      <c r="I204"/>
      <c r="J204"/>
    </row>
    <row r="205" ht="15" customHeight="true" x14ac:dyDescent="0.15">
      <c r="A205"/>
      <c r="B205"/>
      <c r="C205"/>
      <c r="D205"/>
      <c r="E205"/>
      <c r="F205"/>
      <c r="G205"/>
      <c r="H205"/>
      <c r="I205"/>
      <c r="J205"/>
    </row>
    <row r="206" ht="15" customHeight="true" x14ac:dyDescent="0.15">
      <c r="A206"/>
      <c r="B206"/>
      <c r="C206"/>
      <c r="D206"/>
      <c r="E206"/>
      <c r="F206"/>
      <c r="G206"/>
      <c r="H206"/>
      <c r="I206"/>
      <c r="J206"/>
    </row>
    <row r="207" ht="15" customHeight="true" x14ac:dyDescent="0.15">
      <c r="A207"/>
      <c r="B207"/>
      <c r="C207"/>
      <c r="D207"/>
      <c r="E207"/>
      <c r="F207"/>
      <c r="G207"/>
      <c r="H207"/>
      <c r="I207"/>
      <c r="J207"/>
    </row>
    <row r="208" ht="15" customHeight="true" x14ac:dyDescent="0.15">
      <c r="A208"/>
      <c r="B208"/>
      <c r="C208"/>
      <c r="D208"/>
      <c r="E208"/>
      <c r="F208"/>
      <c r="G208"/>
      <c r="H208"/>
      <c r="I208"/>
      <c r="J208"/>
    </row>
    <row r="209" ht="15" customHeight="true" x14ac:dyDescent="0.15">
      <c r="A209"/>
      <c r="B209"/>
      <c r="C209"/>
      <c r="D209"/>
      <c r="E209"/>
      <c r="F209"/>
      <c r="G209"/>
      <c r="H209"/>
      <c r="I209"/>
      <c r="J209"/>
    </row>
    <row r="210" ht="15" customHeight="true" x14ac:dyDescent="0.15">
      <c r="A210"/>
      <c r="B210"/>
      <c r="C210"/>
      <c r="D210"/>
      <c r="E210"/>
      <c r="F210"/>
      <c r="G210"/>
      <c r="H210"/>
      <c r="I210"/>
      <c r="J210"/>
    </row>
    <row r="211" ht="15" customHeight="true" x14ac:dyDescent="0.15">
      <c r="A211"/>
      <c r="B211"/>
      <c r="C211"/>
      <c r="D211"/>
      <c r="E211"/>
      <c r="F211"/>
      <c r="G211"/>
      <c r="H211"/>
      <c r="I211"/>
      <c r="J211"/>
    </row>
    <row r="212" ht="15" customHeight="true" x14ac:dyDescent="0.15">
      <c r="A212"/>
      <c r="B212"/>
      <c r="C212"/>
      <c r="D212"/>
      <c r="E212"/>
      <c r="F212"/>
      <c r="G212"/>
      <c r="H212"/>
      <c r="I212"/>
      <c r="J212"/>
    </row>
    <row r="213" ht="15" customHeight="true" x14ac:dyDescent="0.15">
      <c r="A213"/>
      <c r="B213"/>
      <c r="C213"/>
      <c r="D213"/>
      <c r="E213"/>
      <c r="F213"/>
      <c r="G213"/>
      <c r="H213"/>
      <c r="I213"/>
      <c r="J213"/>
    </row>
    <row r="214" ht="15" customHeight="true" x14ac:dyDescent="0.15">
      <c r="A214"/>
      <c r="B214"/>
      <c r="C214"/>
      <c r="D214"/>
      <c r="E214"/>
      <c r="F214"/>
      <c r="G214"/>
      <c r="H214"/>
      <c r="I214"/>
      <c r="J214"/>
    </row>
    <row r="215" ht="15" customHeight="true" x14ac:dyDescent="0.15">
      <c r="A215"/>
      <c r="B215"/>
      <c r="C215"/>
      <c r="D215"/>
      <c r="E215"/>
      <c r="F215"/>
      <c r="G215"/>
      <c r="H215"/>
      <c r="I215"/>
      <c r="J215"/>
    </row>
    <row r="216" ht="15" customHeight="true" x14ac:dyDescent="0.15">
      <c r="A216"/>
      <c r="B216"/>
      <c r="C216"/>
      <c r="D216"/>
      <c r="E216"/>
      <c r="F216"/>
      <c r="G216"/>
      <c r="H216"/>
      <c r="I216"/>
      <c r="J216"/>
    </row>
    <row r="217" ht="15" customHeight="true" x14ac:dyDescent="0.15">
      <c r="A217"/>
      <c r="B217"/>
      <c r="C217"/>
      <c r="D217"/>
      <c r="E217"/>
      <c r="F217"/>
      <c r="G217"/>
      <c r="H217"/>
      <c r="I217"/>
      <c r="J217"/>
    </row>
    <row r="218" ht="15" customHeight="true" x14ac:dyDescent="0.15">
      <c r="A218"/>
      <c r="B218"/>
      <c r="C218"/>
      <c r="D218"/>
      <c r="E218"/>
      <c r="F218"/>
      <c r="G218"/>
      <c r="H218"/>
      <c r="I218"/>
      <c r="J218"/>
    </row>
    <row r="219" ht="15" customHeight="true" x14ac:dyDescent="0.15">
      <c r="A219"/>
      <c r="B219"/>
      <c r="C219"/>
      <c r="D219"/>
      <c r="E219"/>
      <c r="F219"/>
      <c r="G219"/>
      <c r="H219"/>
      <c r="I219"/>
      <c r="J219"/>
    </row>
    <row r="220" ht="15" customHeight="true" x14ac:dyDescent="0.15">
      <c r="A220"/>
      <c r="B220"/>
      <c r="C220"/>
      <c r="D220"/>
      <c r="E220"/>
      <c r="F220"/>
      <c r="G220"/>
      <c r="H220"/>
      <c r="I220"/>
      <c r="J220"/>
    </row>
    <row r="221" ht="15" customHeight="true" x14ac:dyDescent="0.15">
      <c r="A221"/>
      <c r="B221"/>
      <c r="C221"/>
      <c r="D221"/>
      <c r="E221"/>
      <c r="F221"/>
      <c r="G221"/>
      <c r="H221"/>
      <c r="I221"/>
      <c r="J221"/>
    </row>
    <row r="222" ht="15" customHeight="true" x14ac:dyDescent="0.15">
      <c r="A222"/>
      <c r="B222"/>
      <c r="C222"/>
      <c r="D222"/>
      <c r="E222"/>
      <c r="F222"/>
      <c r="G222"/>
      <c r="H222"/>
      <c r="I222"/>
      <c r="J222"/>
    </row>
    <row r="223" ht="15" customHeight="true" x14ac:dyDescent="0.15">
      <c r="A223"/>
      <c r="B223"/>
      <c r="C223"/>
      <c r="D223"/>
      <c r="E223"/>
      <c r="F223"/>
      <c r="G223"/>
      <c r="H223"/>
      <c r="I223"/>
      <c r="J223"/>
    </row>
    <row r="224" ht="15" customHeight="true" x14ac:dyDescent="0.15">
      <c r="A224"/>
      <c r="B224"/>
      <c r="C224"/>
      <c r="D224"/>
      <c r="E224"/>
      <c r="F224"/>
      <c r="G224"/>
      <c r="H224"/>
      <c r="I224"/>
      <c r="J224"/>
    </row>
    <row r="225" ht="15" customHeight="true" x14ac:dyDescent="0.15">
      <c r="A225"/>
      <c r="B225"/>
      <c r="C225"/>
      <c r="D225"/>
      <c r="E225"/>
      <c r="F225"/>
      <c r="G225"/>
      <c r="H225"/>
      <c r="I225"/>
      <c r="J225"/>
    </row>
    <row r="226" ht="15" customHeight="true" x14ac:dyDescent="0.15">
      <c r="A226"/>
      <c r="B226"/>
      <c r="C226"/>
      <c r="D226"/>
      <c r="E226"/>
      <c r="F226"/>
      <c r="G226"/>
      <c r="H226"/>
      <c r="I226"/>
      <c r="J226"/>
    </row>
    <row r="227" ht="15" customHeight="true" x14ac:dyDescent="0.15">
      <c r="A227"/>
      <c r="B227"/>
      <c r="C227"/>
      <c r="D227"/>
      <c r="E227"/>
      <c r="F227"/>
      <c r="G227"/>
      <c r="H227"/>
      <c r="I227"/>
      <c r="J227"/>
    </row>
    <row r="228" ht="15" customHeight="true" x14ac:dyDescent="0.15">
      <c r="A228"/>
      <c r="B228"/>
      <c r="C228"/>
      <c r="D228"/>
      <c r="E228"/>
      <c r="F228"/>
      <c r="G228"/>
      <c r="H228"/>
      <c r="I228"/>
      <c r="J228"/>
    </row>
    <row r="229" ht="15" customHeight="true" x14ac:dyDescent="0.15">
      <c r="A229"/>
      <c r="B229"/>
      <c r="C229"/>
      <c r="D229"/>
      <c r="E229"/>
      <c r="F229"/>
      <c r="G229"/>
      <c r="H229"/>
      <c r="I229"/>
      <c r="J229"/>
    </row>
    <row r="230" ht="15" customHeight="true" x14ac:dyDescent="0.15">
      <c r="A230"/>
      <c r="B230"/>
      <c r="C230"/>
      <c r="D230"/>
      <c r="E230"/>
      <c r="F230"/>
      <c r="G230"/>
      <c r="H230"/>
      <c r="I230"/>
      <c r="J230"/>
    </row>
    <row r="231" ht="15" customHeight="true" x14ac:dyDescent="0.15">
      <c r="A231"/>
      <c r="B231"/>
      <c r="C231"/>
      <c r="D231"/>
      <c r="E231"/>
      <c r="F231"/>
      <c r="G231"/>
      <c r="H231"/>
      <c r="I231"/>
      <c r="J231"/>
    </row>
    <row r="232" ht="15" customHeight="true" x14ac:dyDescent="0.15">
      <c r="A232"/>
      <c r="B232"/>
      <c r="C232"/>
      <c r="D232"/>
      <c r="E232"/>
      <c r="F232"/>
      <c r="G232"/>
      <c r="H232"/>
      <c r="I232"/>
      <c r="J232"/>
    </row>
    <row r="233" ht="15" customHeight="true" x14ac:dyDescent="0.15">
      <c r="A233"/>
      <c r="B233"/>
      <c r="C233"/>
      <c r="D233"/>
      <c r="E233"/>
      <c r="F233"/>
      <c r="G233"/>
      <c r="H233"/>
      <c r="I233"/>
      <c r="J233"/>
    </row>
    <row r="234" ht="15" customHeight="true" x14ac:dyDescent="0.15">
      <c r="A234"/>
      <c r="B234"/>
      <c r="C234"/>
      <c r="D234"/>
      <c r="E234"/>
      <c r="F234"/>
      <c r="G234"/>
      <c r="H234"/>
      <c r="I234"/>
      <c r="J234"/>
    </row>
    <row r="235" ht="15" customHeight="true" x14ac:dyDescent="0.15">
      <c r="A235"/>
      <c r="B235"/>
      <c r="C235"/>
      <c r="D235"/>
      <c r="E235"/>
      <c r="F235"/>
      <c r="G235"/>
      <c r="H235"/>
      <c r="I235"/>
      <c r="J235"/>
    </row>
    <row r="236" ht="15" customHeight="true" x14ac:dyDescent="0.15">
      <c r="A236"/>
      <c r="B236"/>
      <c r="C236"/>
      <c r="D236"/>
      <c r="E236"/>
      <c r="F236"/>
      <c r="G236"/>
      <c r="H236"/>
      <c r="I236"/>
      <c r="J236"/>
    </row>
    <row r="237" ht="15" customHeight="true" x14ac:dyDescent="0.15">
      <c r="A237"/>
      <c r="B237"/>
      <c r="C237"/>
      <c r="D237"/>
      <c r="E237"/>
      <c r="F237"/>
      <c r="G237"/>
      <c r="H237"/>
      <c r="I237"/>
      <c r="J237"/>
    </row>
    <row r="238" ht="15" customHeight="true" x14ac:dyDescent="0.15">
      <c r="A238"/>
      <c r="B238"/>
      <c r="C238"/>
      <c r="D238"/>
      <c r="E238"/>
      <c r="F238"/>
      <c r="G238"/>
      <c r="H238"/>
      <c r="I238"/>
      <c r="J238"/>
    </row>
    <row r="239" ht="15" customHeight="true" x14ac:dyDescent="0.15">
      <c r="A239"/>
      <c r="B239"/>
      <c r="C239"/>
      <c r="D239"/>
      <c r="E239"/>
      <c r="F239"/>
      <c r="G239"/>
      <c r="H239"/>
      <c r="I239"/>
      <c r="J239"/>
    </row>
    <row r="240" ht="15" customHeight="true" x14ac:dyDescent="0.15">
      <c r="A240"/>
      <c r="B240"/>
      <c r="C240"/>
      <c r="D240"/>
      <c r="E240"/>
      <c r="F240"/>
      <c r="G240"/>
      <c r="H240"/>
      <c r="I240"/>
      <c r="J240"/>
    </row>
    <row r="241" ht="15" customHeight="true" x14ac:dyDescent="0.15">
      <c r="A241"/>
      <c r="B241"/>
      <c r="C241"/>
      <c r="D241"/>
      <c r="E241"/>
      <c r="F241"/>
      <c r="G241"/>
      <c r="H241"/>
      <c r="I241"/>
      <c r="J241"/>
    </row>
    <row r="242" ht="15" customHeight="true" x14ac:dyDescent="0.15">
      <c r="A242"/>
      <c r="B242"/>
      <c r="C242"/>
      <c r="D242"/>
      <c r="E242"/>
      <c r="F242"/>
      <c r="G242"/>
      <c r="H242"/>
      <c r="I242"/>
      <c r="J242"/>
    </row>
    <row r="243" ht="15" customHeight="true" x14ac:dyDescent="0.15">
      <c r="A243"/>
      <c r="B243"/>
      <c r="C243"/>
      <c r="D243"/>
      <c r="E243"/>
      <c r="F243"/>
      <c r="G243"/>
      <c r="H243"/>
      <c r="I243"/>
      <c r="J243"/>
    </row>
    <row r="244" ht="15" customHeight="true" x14ac:dyDescent="0.15">
      <c r="A244"/>
      <c r="B244"/>
      <c r="C244"/>
      <c r="D244"/>
      <c r="E244"/>
      <c r="F244"/>
      <c r="G244"/>
      <c r="H244"/>
      <c r="I244"/>
      <c r="J244"/>
    </row>
    <row r="245" ht="15" customHeight="true" x14ac:dyDescent="0.15">
      <c r="A245"/>
      <c r="B245"/>
      <c r="C245"/>
      <c r="D245"/>
      <c r="E245"/>
      <c r="F245"/>
      <c r="G245"/>
      <c r="H245"/>
      <c r="I245"/>
      <c r="J245"/>
    </row>
    <row r="246" ht="15" customHeight="true" x14ac:dyDescent="0.15">
      <c r="A246"/>
      <c r="B246"/>
      <c r="C246"/>
      <c r="D246"/>
      <c r="E246"/>
      <c r="F246"/>
      <c r="G246"/>
      <c r="H246"/>
      <c r="I246"/>
      <c r="J246"/>
    </row>
    <row r="247" ht="15" customHeight="true" x14ac:dyDescent="0.15">
      <c r="A247"/>
      <c r="B247"/>
      <c r="C247"/>
      <c r="D247"/>
      <c r="E247"/>
      <c r="F247"/>
      <c r="G247"/>
      <c r="H247"/>
      <c r="I247"/>
      <c r="J247"/>
    </row>
    <row r="248" ht="15" customHeight="true" x14ac:dyDescent="0.15">
      <c r="A248"/>
      <c r="B248"/>
      <c r="C248"/>
      <c r="D248"/>
      <c r="E248"/>
      <c r="F248"/>
      <c r="G248"/>
      <c r="H248"/>
      <c r="I248"/>
      <c r="J248"/>
    </row>
    <row r="249" ht="15" customHeight="true" x14ac:dyDescent="0.15">
      <c r="A249"/>
      <c r="B249"/>
      <c r="C249"/>
      <c r="D249"/>
      <c r="E249"/>
      <c r="F249"/>
      <c r="G249"/>
      <c r="H249"/>
      <c r="I249"/>
      <c r="J249"/>
    </row>
    <row r="250" ht="15" customHeight="true" x14ac:dyDescent="0.15">
      <c r="A250"/>
      <c r="B250"/>
      <c r="C250"/>
      <c r="D250"/>
      <c r="E250"/>
      <c r="F250"/>
      <c r="G250"/>
      <c r="H250"/>
      <c r="I250"/>
      <c r="J250"/>
    </row>
    <row r="251" ht="15" customHeight="true" x14ac:dyDescent="0.15">
      <c r="A251"/>
      <c r="B251"/>
      <c r="C251"/>
      <c r="D251"/>
      <c r="E251"/>
      <c r="F251"/>
      <c r="G251"/>
      <c r="H251"/>
      <c r="I251"/>
      <c r="J251"/>
    </row>
    <row r="252" ht="15" customHeight="true" x14ac:dyDescent="0.15">
      <c r="A252"/>
      <c r="B252"/>
      <c r="C252"/>
      <c r="D252"/>
      <c r="E252"/>
      <c r="F252"/>
      <c r="G252"/>
      <c r="H252"/>
      <c r="I252"/>
      <c r="J252"/>
    </row>
    <row r="253" ht="15" customHeight="true" x14ac:dyDescent="0.15">
      <c r="A253"/>
      <c r="B253"/>
      <c r="C253"/>
      <c r="D253"/>
      <c r="E253"/>
      <c r="F253"/>
      <c r="G253"/>
      <c r="H253"/>
      <c r="I253"/>
      <c r="J253"/>
    </row>
    <row r="254" ht="15" customHeight="true" x14ac:dyDescent="0.15">
      <c r="A254"/>
      <c r="B254"/>
      <c r="C254"/>
      <c r="D254"/>
      <c r="E254"/>
      <c r="F254"/>
      <c r="G254"/>
      <c r="H254"/>
      <c r="I254"/>
      <c r="J254"/>
    </row>
    <row r="255" ht="15" customHeight="true" x14ac:dyDescent="0.15">
      <c r="A255"/>
      <c r="B255"/>
      <c r="C255"/>
      <c r="D255"/>
      <c r="E255"/>
      <c r="F255"/>
      <c r="G255"/>
      <c r="H255"/>
      <c r="I255"/>
      <c r="J255"/>
    </row>
    <row r="256" ht="15" customHeight="true" x14ac:dyDescent="0.15">
      <c r="A256"/>
      <c r="B256"/>
      <c r="C256"/>
      <c r="D256"/>
      <c r="E256"/>
      <c r="F256"/>
      <c r="G256"/>
      <c r="H256"/>
      <c r="I256"/>
      <c r="J256"/>
    </row>
    <row r="257" ht="15" customHeight="true" x14ac:dyDescent="0.15">
      <c r="A257"/>
      <c r="B257"/>
      <c r="C257"/>
      <c r="D257"/>
      <c r="E257"/>
      <c r="F257"/>
      <c r="G257"/>
      <c r="H257"/>
      <c r="I257"/>
      <c r="J257"/>
    </row>
    <row r="258" ht="15" customHeight="true" x14ac:dyDescent="0.15">
      <c r="A258"/>
      <c r="B258"/>
      <c r="C258"/>
      <c r="D258"/>
      <c r="E258"/>
      <c r="F258"/>
      <c r="G258"/>
      <c r="H258"/>
      <c r="I258"/>
      <c r="J258"/>
    </row>
    <row r="259" ht="15" customHeight="true" x14ac:dyDescent="0.15">
      <c r="A259"/>
      <c r="B259"/>
      <c r="C259"/>
      <c r="D259"/>
      <c r="E259"/>
      <c r="F259"/>
      <c r="G259"/>
      <c r="H259"/>
      <c r="I259"/>
      <c r="J259"/>
    </row>
    <row r="260" ht="15" customHeight="true" x14ac:dyDescent="0.15">
      <c r="A260"/>
      <c r="B260"/>
      <c r="C260"/>
      <c r="D260"/>
      <c r="E260"/>
      <c r="F260"/>
      <c r="G260"/>
      <c r="H260"/>
      <c r="I260"/>
      <c r="J260"/>
    </row>
    <row r="261" ht="15" customHeight="true" x14ac:dyDescent="0.15">
      <c r="A261"/>
      <c r="B261"/>
      <c r="C261"/>
      <c r="D261"/>
      <c r="E261"/>
      <c r="F261"/>
      <c r="G261"/>
      <c r="H261"/>
      <c r="I261"/>
      <c r="J261"/>
    </row>
    <row r="262" ht="15" customHeight="true" x14ac:dyDescent="0.15">
      <c r="A262"/>
      <c r="B262"/>
      <c r="C262"/>
      <c r="D262"/>
      <c r="E262"/>
      <c r="F262"/>
      <c r="G262"/>
      <c r="H262"/>
      <c r="I262"/>
      <c r="J262"/>
    </row>
    <row r="263" ht="15" customHeight="true" x14ac:dyDescent="0.15">
      <c r="A263"/>
      <c r="B263"/>
      <c r="C263"/>
      <c r="D263"/>
      <c r="E263"/>
      <c r="F263"/>
      <c r="G263"/>
      <c r="H263"/>
      <c r="I263"/>
      <c r="J263"/>
    </row>
    <row r="264" ht="15" customHeight="true" x14ac:dyDescent="0.15">
      <c r="A264"/>
      <c r="B264"/>
      <c r="C264"/>
      <c r="D264"/>
      <c r="E264"/>
      <c r="F264"/>
      <c r="G264"/>
      <c r="H264"/>
      <c r="I264"/>
      <c r="J264"/>
    </row>
    <row r="265" ht="15" customHeight="true" x14ac:dyDescent="0.15">
      <c r="A265"/>
      <c r="B265"/>
      <c r="C265"/>
      <c r="D265"/>
      <c r="E265"/>
      <c r="F265"/>
      <c r="G265"/>
      <c r="H265"/>
      <c r="I265"/>
      <c r="J265"/>
    </row>
    <row r="266" ht="15" customHeight="true" x14ac:dyDescent="0.15">
      <c r="A266"/>
      <c r="B266"/>
      <c r="C266"/>
      <c r="D266"/>
      <c r="E266"/>
      <c r="F266"/>
      <c r="G266"/>
      <c r="H266"/>
      <c r="I266"/>
      <c r="J266"/>
    </row>
    <row r="267" ht="15" customHeight="true" x14ac:dyDescent="0.15">
      <c r="A267"/>
      <c r="B267"/>
      <c r="C267"/>
      <c r="D267"/>
      <c r="E267"/>
      <c r="F267"/>
      <c r="G267"/>
      <c r="H267"/>
      <c r="I267"/>
      <c r="J267"/>
    </row>
    <row r="268" ht="15" customHeight="true" x14ac:dyDescent="0.15">
      <c r="A268"/>
      <c r="B268"/>
      <c r="C268"/>
      <c r="D268"/>
      <c r="E268"/>
      <c r="F268"/>
      <c r="G268"/>
      <c r="H268"/>
      <c r="I268"/>
      <c r="J268"/>
    </row>
    <row r="269" ht="15" customHeight="true" x14ac:dyDescent="0.15">
      <c r="A269"/>
      <c r="B269"/>
      <c r="C269"/>
      <c r="D269"/>
      <c r="E269"/>
      <c r="F269"/>
      <c r="G269"/>
      <c r="H269"/>
      <c r="I269"/>
      <c r="J269"/>
    </row>
    <row r="270" ht="15" customHeight="true" x14ac:dyDescent="0.15">
      <c r="A270"/>
      <c r="B270"/>
      <c r="C270"/>
      <c r="D270"/>
      <c r="E270"/>
      <c r="F270"/>
      <c r="G270"/>
      <c r="H270"/>
      <c r="I270"/>
      <c r="J270"/>
    </row>
    <row r="271" ht="15" customHeight="true" x14ac:dyDescent="0.15">
      <c r="A271"/>
      <c r="B271"/>
      <c r="C271"/>
      <c r="D271"/>
      <c r="E271"/>
      <c r="F271"/>
      <c r="G271"/>
      <c r="H271"/>
      <c r="I271"/>
      <c r="J271"/>
    </row>
    <row r="272" ht="15" customHeight="true" x14ac:dyDescent="0.15">
      <c r="A272"/>
      <c r="B272"/>
      <c r="C272"/>
      <c r="D272"/>
      <c r="E272"/>
      <c r="F272"/>
      <c r="G272"/>
      <c r="H272"/>
      <c r="I272"/>
      <c r="J272"/>
    </row>
    <row r="273" ht="15" customHeight="true" x14ac:dyDescent="0.15">
      <c r="A273"/>
      <c r="B273"/>
      <c r="C273"/>
      <c r="D273"/>
      <c r="E273"/>
      <c r="F273"/>
      <c r="G273"/>
      <c r="H273"/>
      <c r="I273"/>
      <c r="J273"/>
    </row>
    <row r="274" ht="15" customHeight="true" x14ac:dyDescent="0.15">
      <c r="A274"/>
      <c r="B274"/>
      <c r="C274"/>
      <c r="D274"/>
      <c r="E274"/>
      <c r="F274"/>
      <c r="G274"/>
      <c r="H274"/>
      <c r="I274"/>
      <c r="J274"/>
    </row>
    <row r="275" ht="15" customHeight="true" x14ac:dyDescent="0.15">
      <c r="A275"/>
      <c r="B275"/>
      <c r="C275"/>
      <c r="D275"/>
      <c r="E275"/>
      <c r="F275"/>
      <c r="G275"/>
      <c r="H275"/>
      <c r="I275"/>
      <c r="J275"/>
    </row>
    <row r="276" ht="15" customHeight="true" x14ac:dyDescent="0.15">
      <c r="A276"/>
      <c r="B276"/>
      <c r="C276"/>
      <c r="D276"/>
      <c r="E276"/>
      <c r="F276"/>
      <c r="G276"/>
      <c r="H276"/>
      <c r="I276"/>
      <c r="J276"/>
    </row>
    <row r="277" ht="15" customHeight="true" x14ac:dyDescent="0.15">
      <c r="A277"/>
      <c r="B277"/>
      <c r="C277"/>
      <c r="D277"/>
      <c r="E277"/>
      <c r="F277"/>
      <c r="G277"/>
      <c r="H277"/>
      <c r="I277"/>
      <c r="J277"/>
    </row>
    <row r="278" ht="15" customHeight="true" x14ac:dyDescent="0.15">
      <c r="A278"/>
      <c r="B278"/>
      <c r="C278"/>
      <c r="D278"/>
      <c r="E278"/>
      <c r="F278"/>
      <c r="G278"/>
      <c r="H278"/>
      <c r="I278"/>
      <c r="J278"/>
    </row>
    <row r="279" ht="15" customHeight="true" x14ac:dyDescent="0.15">
      <c r="A279"/>
      <c r="B279"/>
      <c r="C279"/>
      <c r="D279"/>
      <c r="E279"/>
      <c r="F279"/>
      <c r="G279"/>
      <c r="H279"/>
      <c r="I279"/>
      <c r="J279"/>
    </row>
    <row r="280" ht="15" customHeight="true" x14ac:dyDescent="0.15">
      <c r="A280"/>
      <c r="B280"/>
      <c r="C280"/>
      <c r="D280"/>
      <c r="E280"/>
      <c r="F280"/>
      <c r="G280"/>
      <c r="H280"/>
      <c r="I280"/>
      <c r="J280"/>
    </row>
    <row r="281" ht="15" customHeight="true" x14ac:dyDescent="0.15">
      <c r="A281"/>
      <c r="B281"/>
      <c r="C281"/>
      <c r="D281"/>
      <c r="E281"/>
      <c r="F281"/>
      <c r="G281"/>
      <c r="H281"/>
      <c r="I281"/>
      <c r="J281"/>
    </row>
    <row r="282" ht="15" customHeight="true" x14ac:dyDescent="0.15">
      <c r="A282"/>
      <c r="B282"/>
      <c r="C282"/>
      <c r="D282"/>
      <c r="E282"/>
      <c r="F282"/>
      <c r="G282"/>
      <c r="H282"/>
      <c r="I282"/>
      <c r="J282"/>
    </row>
    <row r="283" ht="15" customHeight="true" x14ac:dyDescent="0.15">
      <c r="A283"/>
      <c r="B283"/>
      <c r="C283"/>
      <c r="D283"/>
      <c r="E283"/>
      <c r="F283"/>
      <c r="G283"/>
      <c r="H283"/>
      <c r="I283"/>
      <c r="J283"/>
    </row>
    <row r="284" ht="15" customHeight="true" x14ac:dyDescent="0.15">
      <c r="A284"/>
      <c r="B284"/>
      <c r="C284"/>
      <c r="D284"/>
      <c r="E284"/>
      <c r="F284"/>
      <c r="G284"/>
      <c r="H284"/>
      <c r="I284"/>
      <c r="J284"/>
    </row>
    <row r="285" ht="15" customHeight="true" x14ac:dyDescent="0.15">
      <c r="A285"/>
      <c r="B285"/>
      <c r="C285"/>
      <c r="D285"/>
      <c r="E285"/>
      <c r="F285"/>
      <c r="G285"/>
      <c r="H285"/>
      <c r="I285"/>
      <c r="J285"/>
    </row>
    <row r="286" ht="15" customHeight="true" x14ac:dyDescent="0.15">
      <c r="A286"/>
      <c r="B286"/>
      <c r="C286"/>
      <c r="D286"/>
      <c r="E286"/>
      <c r="F286"/>
      <c r="G286"/>
      <c r="H286"/>
      <c r="I286"/>
      <c r="J286"/>
    </row>
    <row r="287" ht="15" customHeight="true" x14ac:dyDescent="0.15">
      <c r="A287"/>
      <c r="B287"/>
      <c r="C287"/>
      <c r="D287"/>
      <c r="E287"/>
      <c r="F287"/>
      <c r="G287"/>
      <c r="H287"/>
      <c r="I287"/>
      <c r="J287"/>
    </row>
    <row r="288" ht="15" customHeight="true" x14ac:dyDescent="0.15">
      <c r="A288"/>
      <c r="B288"/>
      <c r="C288"/>
      <c r="D288"/>
      <c r="E288"/>
      <c r="F288"/>
      <c r="G288"/>
      <c r="H288"/>
      <c r="I288"/>
      <c r="J288"/>
    </row>
    <row r="289" ht="15" customHeight="true" x14ac:dyDescent="0.15">
      <c r="A289"/>
      <c r="B289"/>
      <c r="C289"/>
      <c r="D289"/>
      <c r="E289"/>
      <c r="F289"/>
      <c r="G289"/>
      <c r="H289"/>
      <c r="I289"/>
      <c r="J289"/>
    </row>
    <row r="290" ht="15" customHeight="true" x14ac:dyDescent="0.15">
      <c r="A290"/>
      <c r="B290"/>
      <c r="C290"/>
      <c r="D290"/>
      <c r="E290"/>
      <c r="F290"/>
      <c r="G290"/>
      <c r="H290"/>
      <c r="I290"/>
      <c r="J290"/>
    </row>
    <row r="291" ht="15" customHeight="true" x14ac:dyDescent="0.15">
      <c r="A291"/>
      <c r="B291"/>
      <c r="C291"/>
      <c r="D291"/>
      <c r="E291"/>
      <c r="F291"/>
      <c r="G291"/>
      <c r="H291"/>
      <c r="I291"/>
      <c r="J291"/>
    </row>
    <row r="292" ht="15" customHeight="true" x14ac:dyDescent="0.15">
      <c r="A292"/>
      <c r="B292"/>
      <c r="C292"/>
      <c r="D292"/>
      <c r="E292"/>
      <c r="F292"/>
      <c r="G292"/>
      <c r="H292"/>
      <c r="I292"/>
      <c r="J292"/>
    </row>
    <row r="293" ht="15" customHeight="true" x14ac:dyDescent="0.15">
      <c r="A293"/>
      <c r="B293"/>
      <c r="C293"/>
      <c r="D293"/>
      <c r="E293"/>
      <c r="F293"/>
      <c r="G293"/>
      <c r="H293"/>
      <c r="I293"/>
      <c r="J293"/>
    </row>
    <row r="294" ht="15" customHeight="true" x14ac:dyDescent="0.15">
      <c r="A294"/>
      <c r="B294"/>
      <c r="C294"/>
      <c r="D294"/>
      <c r="E294"/>
      <c r="F294"/>
      <c r="G294"/>
      <c r="H294"/>
      <c r="I294"/>
      <c r="J294"/>
    </row>
    <row r="295" ht="15" customHeight="true" x14ac:dyDescent="0.15">
      <c r="A295"/>
      <c r="B295"/>
      <c r="C295"/>
      <c r="D295"/>
      <c r="E295"/>
      <c r="F295"/>
      <c r="G295"/>
      <c r="H295"/>
      <c r="I295"/>
      <c r="J295"/>
    </row>
    <row r="296" ht="15" customHeight="true" x14ac:dyDescent="0.15">
      <c r="A296"/>
      <c r="B296"/>
      <c r="C296"/>
      <c r="D296"/>
      <c r="E296"/>
      <c r="F296"/>
      <c r="G296"/>
      <c r="H296"/>
      <c r="I296"/>
      <c r="J296"/>
    </row>
    <row r="297" ht="15" customHeight="true" x14ac:dyDescent="0.15">
      <c r="A297"/>
      <c r="B297"/>
      <c r="C297"/>
      <c r="D297"/>
      <c r="E297"/>
      <c r="F297"/>
      <c r="G297"/>
      <c r="H297"/>
      <c r="I297"/>
      <c r="J297"/>
    </row>
    <row r="298" ht="15" customHeight="true" x14ac:dyDescent="0.15">
      <c r="A298"/>
      <c r="B298"/>
      <c r="C298"/>
      <c r="D298"/>
      <c r="E298"/>
      <c r="F298"/>
      <c r="G298"/>
      <c r="H298"/>
      <c r="I298"/>
      <c r="J298"/>
    </row>
    <row r="299" ht="15" customHeight="true" x14ac:dyDescent="0.15">
      <c r="A299"/>
      <c r="B299"/>
      <c r="C299"/>
      <c r="D299"/>
      <c r="E299"/>
      <c r="F299"/>
      <c r="G299"/>
      <c r="H299"/>
      <c r="I299"/>
      <c r="J299"/>
    </row>
    <row r="300" ht="15" customHeight="true" x14ac:dyDescent="0.15">
      <c r="A300"/>
      <c r="B300"/>
      <c r="C300"/>
      <c r="D300"/>
      <c r="E300"/>
      <c r="F300"/>
      <c r="G300"/>
      <c r="H300"/>
      <c r="I300"/>
      <c r="J300"/>
    </row>
    <row r="301" ht="15" customHeight="true" x14ac:dyDescent="0.15">
      <c r="A301"/>
      <c r="B301"/>
      <c r="C301"/>
      <c r="D301"/>
      <c r="E301"/>
      <c r="F301"/>
      <c r="G301"/>
      <c r="H301"/>
      <c r="I301"/>
      <c r="J301"/>
    </row>
    <row r="302" ht="15" customHeight="true" x14ac:dyDescent="0.15">
      <c r="A302"/>
      <c r="B302"/>
      <c r="C302"/>
      <c r="D302"/>
      <c r="E302"/>
      <c r="F302"/>
      <c r="G302"/>
      <c r="H302"/>
      <c r="I302"/>
      <c r="J302"/>
    </row>
    <row r="303" ht="15" customHeight="true" x14ac:dyDescent="0.15">
      <c r="A303"/>
      <c r="B303"/>
      <c r="C303"/>
      <c r="D303"/>
      <c r="E303"/>
      <c r="F303"/>
      <c r="G303"/>
      <c r="H303"/>
      <c r="I303"/>
      <c r="J303"/>
    </row>
    <row r="304" ht="15" customHeight="true" x14ac:dyDescent="0.15">
      <c r="A304"/>
      <c r="B304"/>
      <c r="C304"/>
      <c r="D304"/>
      <c r="E304"/>
      <c r="F304"/>
      <c r="G304"/>
      <c r="H304"/>
      <c r="I304"/>
      <c r="J304"/>
    </row>
    <row r="305" ht="15" customHeight="true" x14ac:dyDescent="0.15">
      <c r="A305"/>
      <c r="B305"/>
      <c r="C305"/>
      <c r="D305"/>
      <c r="E305"/>
      <c r="F305"/>
      <c r="G305"/>
      <c r="H305"/>
      <c r="I305"/>
      <c r="J305"/>
    </row>
    <row r="306" ht="15" customHeight="true" x14ac:dyDescent="0.15">
      <c r="A306"/>
      <c r="B306"/>
      <c r="C306"/>
      <c r="D306"/>
      <c r="E306"/>
      <c r="F306"/>
      <c r="G306"/>
      <c r="H306"/>
      <c r="I306"/>
      <c r="J306"/>
    </row>
    <row r="307" ht="15" customHeight="true" x14ac:dyDescent="0.15">
      <c r="A307"/>
      <c r="B307"/>
      <c r="C307"/>
      <c r="D307"/>
      <c r="E307"/>
      <c r="F307"/>
      <c r="G307"/>
      <c r="H307"/>
      <c r="I307"/>
      <c r="J307"/>
    </row>
    <row r="308" ht="15" customHeight="true" x14ac:dyDescent="0.15">
      <c r="A308"/>
      <c r="B308"/>
      <c r="C308"/>
      <c r="D308"/>
      <c r="E308"/>
      <c r="F308"/>
      <c r="G308"/>
      <c r="H308"/>
      <c r="I308"/>
      <c r="J308"/>
    </row>
    <row r="309" ht="15" customHeight="true" x14ac:dyDescent="0.15">
      <c r="A309"/>
      <c r="B309"/>
      <c r="C309"/>
      <c r="D309"/>
      <c r="E309"/>
      <c r="F309"/>
      <c r="G309"/>
      <c r="H309"/>
      <c r="I309"/>
      <c r="J309"/>
    </row>
    <row r="310" ht="15" customHeight="true" x14ac:dyDescent="0.15">
      <c r="A310"/>
      <c r="B310"/>
      <c r="C310"/>
      <c r="D310"/>
      <c r="E310"/>
      <c r="F310"/>
      <c r="G310"/>
      <c r="H310"/>
      <c r="I310"/>
      <c r="J310"/>
    </row>
    <row r="311" ht="15" customHeight="true" x14ac:dyDescent="0.15">
      <c r="A311"/>
      <c r="B311"/>
      <c r="C311"/>
      <c r="D311"/>
      <c r="E311"/>
      <c r="F311"/>
      <c r="G311"/>
      <c r="H311"/>
      <c r="I311"/>
      <c r="J311"/>
    </row>
    <row r="312" ht="15" customHeight="true" x14ac:dyDescent="0.15">
      <c r="A312"/>
      <c r="B312"/>
      <c r="C312"/>
      <c r="D312"/>
      <c r="E312"/>
      <c r="F312"/>
      <c r="G312"/>
      <c r="H312"/>
      <c r="I312"/>
      <c r="J312"/>
    </row>
    <row r="313" ht="15" customHeight="true" x14ac:dyDescent="0.15">
      <c r="A313"/>
      <c r="B313"/>
      <c r="C313"/>
      <c r="D313"/>
      <c r="E313"/>
      <c r="F313"/>
      <c r="G313"/>
      <c r="H313"/>
      <c r="I313"/>
      <c r="J313"/>
    </row>
    <row r="314" ht="15" customHeight="true" x14ac:dyDescent="0.15">
      <c r="A314"/>
      <c r="B314"/>
      <c r="C314"/>
      <c r="D314"/>
      <c r="E314"/>
      <c r="F314"/>
      <c r="G314"/>
      <c r="H314"/>
      <c r="I314"/>
      <c r="J314"/>
    </row>
    <row r="315" ht="15" customHeight="true" x14ac:dyDescent="0.15">
      <c r="A315"/>
      <c r="B315"/>
      <c r="C315"/>
      <c r="D315"/>
      <c r="E315"/>
      <c r="F315"/>
      <c r="G315"/>
      <c r="H315"/>
      <c r="I315"/>
      <c r="J315"/>
    </row>
    <row r="316" ht="15" customHeight="true" x14ac:dyDescent="0.15">
      <c r="A316"/>
      <c r="B316"/>
      <c r="C316"/>
      <c r="D316"/>
      <c r="E316"/>
      <c r="F316"/>
      <c r="G316"/>
      <c r="H316"/>
      <c r="I316"/>
      <c r="J316"/>
    </row>
    <row r="317" ht="15" customHeight="true" x14ac:dyDescent="0.15">
      <c r="A317"/>
      <c r="B317"/>
      <c r="C317"/>
      <c r="D317"/>
      <c r="E317"/>
      <c r="F317"/>
      <c r="G317"/>
      <c r="H317"/>
      <c r="I317"/>
      <c r="J317"/>
    </row>
    <row r="318" ht="15" customHeight="true" x14ac:dyDescent="0.15">
      <c r="A318"/>
      <c r="B318"/>
      <c r="C318"/>
      <c r="D318"/>
      <c r="E318"/>
      <c r="F318"/>
      <c r="G318"/>
      <c r="H318"/>
      <c r="I318"/>
      <c r="J318"/>
    </row>
    <row r="319" ht="15" customHeight="true" x14ac:dyDescent="0.15">
      <c r="A319"/>
      <c r="B319"/>
      <c r="C319"/>
      <c r="D319"/>
      <c r="E319"/>
      <c r="F319"/>
      <c r="G319"/>
      <c r="H319"/>
      <c r="I319"/>
      <c r="J319"/>
    </row>
    <row r="320" ht="15" customHeight="true" x14ac:dyDescent="0.15">
      <c r="A320"/>
      <c r="B320"/>
      <c r="C320"/>
      <c r="D320"/>
      <c r="E320"/>
      <c r="F320"/>
      <c r="G320"/>
      <c r="H320"/>
      <c r="I320"/>
      <c r="J320"/>
    </row>
    <row r="321" ht="15" customHeight="true" x14ac:dyDescent="0.15">
      <c r="A321"/>
      <c r="B321"/>
      <c r="C321"/>
      <c r="D321"/>
      <c r="E321"/>
      <c r="F321"/>
      <c r="G321"/>
      <c r="H321"/>
      <c r="I321"/>
      <c r="J321"/>
    </row>
    <row r="322" ht="15" customHeight="true" x14ac:dyDescent="0.15">
      <c r="A322"/>
      <c r="B322"/>
      <c r="C322"/>
      <c r="D322"/>
      <c r="E322"/>
      <c r="F322"/>
      <c r="G322"/>
      <c r="H322"/>
      <c r="I322"/>
      <c r="J322"/>
    </row>
    <row r="323" ht="15" customHeight="true" x14ac:dyDescent="0.15">
      <c r="A323"/>
      <c r="B323"/>
      <c r="C323"/>
      <c r="D323"/>
      <c r="E323"/>
      <c r="F323"/>
      <c r="G323"/>
      <c r="H323"/>
      <c r="I323"/>
      <c r="J323"/>
    </row>
    <row r="324" ht="15" customHeight="true" x14ac:dyDescent="0.15">
      <c r="A324"/>
      <c r="B324"/>
      <c r="C324"/>
      <c r="D324"/>
      <c r="E324"/>
      <c r="F324"/>
      <c r="G324"/>
      <c r="H324"/>
      <c r="I324"/>
      <c r="J324"/>
    </row>
    <row r="325" ht="15" customHeight="true" x14ac:dyDescent="0.15">
      <c r="A325"/>
      <c r="B325"/>
      <c r="C325"/>
      <c r="D325"/>
      <c r="E325"/>
      <c r="F325"/>
      <c r="G325"/>
      <c r="H325"/>
      <c r="I325"/>
      <c r="J325"/>
    </row>
    <row r="326" ht="15" customHeight="true" x14ac:dyDescent="0.15">
      <c r="A326"/>
      <c r="B326"/>
      <c r="C326"/>
      <c r="D326"/>
      <c r="E326"/>
      <c r="F326"/>
      <c r="G326"/>
      <c r="H326"/>
      <c r="I326"/>
      <c r="J326"/>
    </row>
    <row r="327" ht="15" customHeight="true" x14ac:dyDescent="0.15">
      <c r="A327"/>
      <c r="B327"/>
      <c r="C327"/>
      <c r="D327"/>
      <c r="E327"/>
      <c r="F327"/>
      <c r="G327"/>
      <c r="H327"/>
      <c r="I327"/>
      <c r="J327"/>
    </row>
    <row r="328" ht="15" customHeight="true" x14ac:dyDescent="0.15">
      <c r="A328"/>
      <c r="B328"/>
      <c r="C328"/>
      <c r="D328"/>
      <c r="E328"/>
      <c r="F328"/>
      <c r="G328"/>
      <c r="H328"/>
      <c r="I328"/>
      <c r="J328"/>
    </row>
    <row r="329" ht="15" customHeight="true" x14ac:dyDescent="0.15">
      <c r="A329"/>
      <c r="B329"/>
      <c r="C329"/>
      <c r="D329"/>
      <c r="E329"/>
      <c r="F329"/>
      <c r="G329"/>
      <c r="H329"/>
      <c r="I329"/>
      <c r="J329"/>
    </row>
    <row r="330" ht="15" customHeight="true" x14ac:dyDescent="0.15">
      <c r="A330"/>
      <c r="B330"/>
      <c r="C330"/>
      <c r="D330"/>
      <c r="E330"/>
      <c r="F330"/>
      <c r="G330"/>
      <c r="H330"/>
      <c r="I330"/>
      <c r="J330"/>
    </row>
    <row r="331" ht="15" customHeight="true" x14ac:dyDescent="0.15">
      <c r="A331"/>
      <c r="B331"/>
      <c r="C331"/>
      <c r="D331"/>
      <c r="E331"/>
      <c r="F331"/>
      <c r="G331"/>
      <c r="H331"/>
      <c r="I331"/>
      <c r="J331"/>
    </row>
    <row r="332" ht="15" customHeight="true" x14ac:dyDescent="0.15">
      <c r="A332"/>
      <c r="B332"/>
      <c r="C332"/>
      <c r="D332"/>
      <c r="E332"/>
      <c r="F332"/>
      <c r="G332"/>
      <c r="H332"/>
      <c r="I332"/>
      <c r="J332"/>
    </row>
    <row r="333" ht="15" customHeight="true" x14ac:dyDescent="0.15">
      <c r="A333"/>
      <c r="B333"/>
      <c r="C333"/>
      <c r="D333"/>
      <c r="E333"/>
      <c r="F333"/>
      <c r="G333"/>
      <c r="H333"/>
      <c r="I333"/>
      <c r="J333"/>
    </row>
    <row r="334" ht="15" customHeight="true" x14ac:dyDescent="0.15">
      <c r="A334"/>
      <c r="B334"/>
      <c r="C334"/>
      <c r="D334"/>
      <c r="E334"/>
      <c r="F334"/>
      <c r="G334"/>
      <c r="H334"/>
      <c r="I334"/>
      <c r="J334"/>
    </row>
    <row r="335" ht="15" customHeight="true" x14ac:dyDescent="0.15">
      <c r="A335"/>
      <c r="B335"/>
      <c r="C335"/>
      <c r="D335"/>
      <c r="E335"/>
      <c r="F335"/>
      <c r="G335"/>
      <c r="H335"/>
      <c r="I335"/>
      <c r="J335"/>
    </row>
    <row r="336" ht="15" customHeight="true" x14ac:dyDescent="0.15">
      <c r="A336"/>
      <c r="B336"/>
      <c r="C336"/>
      <c r="D336"/>
      <c r="E336"/>
      <c r="F336"/>
      <c r="G336"/>
      <c r="H336"/>
      <c r="I336"/>
      <c r="J336"/>
    </row>
    <row r="337" ht="15" customHeight="true" x14ac:dyDescent="0.15">
      <c r="A337"/>
      <c r="B337"/>
      <c r="C337"/>
      <c r="D337"/>
      <c r="E337"/>
      <c r="F337"/>
      <c r="G337"/>
      <c r="H337"/>
      <c r="I337"/>
      <c r="J337"/>
    </row>
    <row r="338" ht="15" customHeight="true" x14ac:dyDescent="0.15">
      <c r="A338"/>
      <c r="B338"/>
      <c r="C338"/>
      <c r="D338"/>
      <c r="E338"/>
      <c r="F338"/>
      <c r="G338"/>
      <c r="H338"/>
      <c r="I338"/>
      <c r="J338"/>
    </row>
    <row r="339" ht="15" customHeight="true" x14ac:dyDescent="0.15">
      <c r="A339"/>
      <c r="B339"/>
      <c r="C339"/>
      <c r="D339"/>
      <c r="E339"/>
      <c r="F339"/>
      <c r="G339"/>
      <c r="H339"/>
      <c r="I339"/>
      <c r="J339"/>
    </row>
    <row r="340" ht="15" customHeight="true" x14ac:dyDescent="0.15">
      <c r="A340"/>
      <c r="B340"/>
      <c r="C340"/>
      <c r="D340"/>
      <c r="E340"/>
      <c r="F340"/>
      <c r="G340"/>
      <c r="H340"/>
      <c r="I340"/>
      <c r="J340"/>
    </row>
    <row r="341" ht="15" customHeight="true" x14ac:dyDescent="0.15">
      <c r="A341"/>
      <c r="B341"/>
      <c r="C341"/>
      <c r="D341"/>
      <c r="E341"/>
      <c r="F341"/>
      <c r="G341"/>
      <c r="H341"/>
      <c r="I341"/>
      <c r="J341"/>
    </row>
    <row r="342" ht="15" customHeight="true" x14ac:dyDescent="0.15">
      <c r="A342"/>
      <c r="B342"/>
      <c r="C342"/>
      <c r="D342"/>
      <c r="E342"/>
      <c r="F342"/>
      <c r="G342"/>
      <c r="H342"/>
      <c r="I342"/>
      <c r="J342"/>
    </row>
    <row r="343" ht="15" customHeight="true" x14ac:dyDescent="0.15">
      <c r="A343"/>
      <c r="B343"/>
      <c r="C343"/>
      <c r="D343"/>
      <c r="E343"/>
      <c r="F343"/>
      <c r="G343"/>
      <c r="H343"/>
      <c r="I343"/>
      <c r="J343"/>
    </row>
    <row r="344" ht="15" customHeight="true" x14ac:dyDescent="0.15">
      <c r="A344"/>
      <c r="B344"/>
      <c r="C344"/>
      <c r="D344"/>
      <c r="E344"/>
      <c r="F344"/>
      <c r="G344"/>
      <c r="H344"/>
      <c r="I344"/>
      <c r="J344"/>
    </row>
    <row r="345" ht="15" customHeight="true" x14ac:dyDescent="0.15">
      <c r="A345"/>
      <c r="B345"/>
      <c r="C345"/>
      <c r="D345"/>
      <c r="E345"/>
      <c r="F345"/>
      <c r="G345"/>
      <c r="H345"/>
      <c r="I345"/>
      <c r="J345"/>
    </row>
    <row r="346" ht="15" customHeight="true" x14ac:dyDescent="0.15">
      <c r="A346"/>
      <c r="B346"/>
      <c r="C346"/>
      <c r="D346"/>
      <c r="E346"/>
      <c r="F346"/>
      <c r="G346"/>
      <c r="H346"/>
      <c r="I346"/>
      <c r="J346"/>
    </row>
    <row r="347" ht="15" customHeight="true" x14ac:dyDescent="0.15">
      <c r="A347"/>
      <c r="B347"/>
      <c r="C347"/>
      <c r="D347"/>
      <c r="E347"/>
      <c r="F347"/>
      <c r="G347"/>
      <c r="H347"/>
      <c r="I347"/>
      <c r="J347"/>
    </row>
    <row r="348" ht="15" customHeight="true" x14ac:dyDescent="0.15">
      <c r="A348"/>
      <c r="B348"/>
      <c r="C348"/>
      <c r="D348"/>
      <c r="E348"/>
      <c r="F348"/>
      <c r="G348"/>
      <c r="H348"/>
      <c r="I348"/>
      <c r="J348"/>
    </row>
    <row r="349" ht="15" customHeight="true" x14ac:dyDescent="0.15">
      <c r="A349"/>
      <c r="B349"/>
      <c r="C349"/>
      <c r="D349"/>
      <c r="E349"/>
      <c r="F349"/>
      <c r="G349"/>
      <c r="H349"/>
      <c r="I349"/>
      <c r="J349"/>
    </row>
    <row r="350" ht="15" customHeight="true" x14ac:dyDescent="0.15">
      <c r="A350"/>
      <c r="B350"/>
      <c r="C350"/>
      <c r="D350"/>
      <c r="E350"/>
      <c r="F350"/>
      <c r="G350"/>
      <c r="H350"/>
      <c r="I350"/>
      <c r="J350"/>
    </row>
    <row r="351" ht="15" customHeight="true" x14ac:dyDescent="0.15">
      <c r="A351"/>
      <c r="B351"/>
      <c r="C351"/>
      <c r="D351"/>
      <c r="E351"/>
      <c r="F351"/>
      <c r="G351"/>
      <c r="H351"/>
      <c r="I351"/>
      <c r="J351"/>
    </row>
    <row r="352" ht="15" customHeight="true" x14ac:dyDescent="0.15">
      <c r="A352"/>
      <c r="B352"/>
      <c r="C352"/>
      <c r="D352"/>
      <c r="E352"/>
      <c r="F352"/>
      <c r="G352"/>
      <c r="H352"/>
      <c r="I352"/>
      <c r="J352"/>
    </row>
    <row r="353" ht="15" customHeight="true" x14ac:dyDescent="0.15">
      <c r="A353"/>
      <c r="B353"/>
      <c r="C353"/>
      <c r="D353"/>
      <c r="E353"/>
      <c r="F353"/>
      <c r="G353"/>
      <c r="H353"/>
      <c r="I353"/>
      <c r="J353"/>
    </row>
    <row r="354" ht="15" customHeight="true" x14ac:dyDescent="0.15">
      <c r="A354"/>
      <c r="B354"/>
      <c r="C354"/>
      <c r="D354"/>
      <c r="E354"/>
      <c r="F354"/>
      <c r="G354"/>
      <c r="H354"/>
      <c r="I354"/>
      <c r="J354"/>
    </row>
    <row r="355" ht="15" customHeight="true" x14ac:dyDescent="0.15">
      <c r="A355"/>
      <c r="B355"/>
      <c r="C355"/>
      <c r="D355"/>
      <c r="E355"/>
      <c r="F355"/>
      <c r="G355"/>
      <c r="H355"/>
      <c r="I355"/>
      <c r="J355"/>
    </row>
    <row r="356" ht="15" customHeight="true" x14ac:dyDescent="0.15">
      <c r="A356"/>
      <c r="B356"/>
      <c r="C356"/>
      <c r="D356"/>
      <c r="E356"/>
      <c r="F356"/>
      <c r="G356"/>
      <c r="H356"/>
      <c r="I356"/>
      <c r="J356"/>
    </row>
    <row r="357" ht="15" customHeight="true" x14ac:dyDescent="0.15">
      <c r="A357"/>
      <c r="B357"/>
      <c r="C357"/>
      <c r="D357"/>
      <c r="E357"/>
      <c r="F357"/>
      <c r="G357"/>
      <c r="H357"/>
      <c r="I357"/>
      <c r="J357"/>
    </row>
    <row r="358" ht="15" customHeight="true" x14ac:dyDescent="0.15">
      <c r="A358"/>
      <c r="B358"/>
      <c r="C358"/>
      <c r="D358"/>
      <c r="E358"/>
      <c r="F358"/>
      <c r="G358"/>
      <c r="H358"/>
      <c r="I358"/>
      <c r="J358"/>
    </row>
    <row r="359" ht="15" customHeight="true" x14ac:dyDescent="0.15">
      <c r="A359"/>
      <c r="B359"/>
      <c r="C359"/>
      <c r="D359"/>
      <c r="E359"/>
      <c r="F359"/>
      <c r="G359"/>
      <c r="H359"/>
      <c r="I359"/>
      <c r="J359"/>
    </row>
    <row r="360" ht="15" customHeight="true" x14ac:dyDescent="0.15">
      <c r="A360"/>
      <c r="B360"/>
      <c r="C360"/>
      <c r="D360"/>
      <c r="E360"/>
      <c r="F360"/>
      <c r="G360"/>
      <c r="H360"/>
      <c r="I360"/>
      <c r="J360"/>
    </row>
    <row r="361" ht="15" customHeight="true" x14ac:dyDescent="0.15">
      <c r="A361"/>
      <c r="B361"/>
      <c r="C361"/>
      <c r="D361"/>
      <c r="E361"/>
      <c r="F361"/>
      <c r="G361"/>
      <c r="H361"/>
      <c r="I361"/>
      <c r="J361"/>
    </row>
    <row r="362" ht="15" customHeight="true" x14ac:dyDescent="0.15">
      <c r="A362"/>
      <c r="B362"/>
      <c r="C362"/>
      <c r="D362"/>
      <c r="E362"/>
      <c r="F362"/>
      <c r="G362"/>
      <c r="H362"/>
      <c r="I362"/>
      <c r="J362"/>
    </row>
    <row r="363" ht="15" customHeight="true" x14ac:dyDescent="0.15">
      <c r="A363"/>
      <c r="B363"/>
      <c r="C363"/>
      <c r="D363"/>
      <c r="E363"/>
      <c r="F363"/>
      <c r="G363"/>
      <c r="H363"/>
      <c r="I363"/>
      <c r="J363"/>
    </row>
    <row r="364" ht="15" customHeight="true" x14ac:dyDescent="0.15">
      <c r="A364"/>
      <c r="B364"/>
      <c r="C364"/>
      <c r="D364"/>
      <c r="E364"/>
      <c r="F364"/>
      <c r="G364"/>
      <c r="H364"/>
      <c r="I364"/>
      <c r="J364"/>
    </row>
    <row r="365" ht="15" customHeight="true" x14ac:dyDescent="0.15">
      <c r="A365"/>
      <c r="B365"/>
      <c r="C365"/>
      <c r="D365"/>
      <c r="E365"/>
      <c r="F365"/>
      <c r="G365"/>
      <c r="H365"/>
      <c r="I365"/>
      <c r="J365"/>
    </row>
    <row r="366" ht="15" customHeight="true" x14ac:dyDescent="0.15">
      <c r="A366"/>
      <c r="B366"/>
      <c r="C366"/>
      <c r="D366"/>
      <c r="E366"/>
      <c r="F366"/>
      <c r="G366"/>
      <c r="H366"/>
      <c r="I366"/>
      <c r="J366"/>
    </row>
    <row r="367" ht="15" customHeight="true" x14ac:dyDescent="0.15">
      <c r="A367"/>
      <c r="B367"/>
      <c r="C367"/>
      <c r="D367"/>
      <c r="E367"/>
      <c r="F367"/>
      <c r="G367"/>
      <c r="H367"/>
      <c r="I367"/>
      <c r="J367"/>
    </row>
    <row r="368" ht="15" customHeight="true" x14ac:dyDescent="0.15">
      <c r="A368"/>
      <c r="B368"/>
      <c r="C368"/>
      <c r="D368"/>
      <c r="E368"/>
      <c r="F368"/>
      <c r="G368"/>
      <c r="H368"/>
      <c r="I368"/>
      <c r="J368"/>
    </row>
    <row r="369" ht="15" customHeight="true" x14ac:dyDescent="0.15">
      <c r="A369"/>
      <c r="B369"/>
      <c r="C369"/>
      <c r="D369"/>
      <c r="E369"/>
      <c r="F369"/>
      <c r="G369"/>
      <c r="H369"/>
      <c r="I369"/>
      <c r="J369"/>
    </row>
    <row r="370" ht="15" customHeight="true" x14ac:dyDescent="0.15">
      <c r="A370"/>
      <c r="B370"/>
      <c r="C370"/>
      <c r="D370"/>
      <c r="E370"/>
      <c r="F370"/>
      <c r="G370"/>
      <c r="H370"/>
      <c r="I370"/>
      <c r="J370"/>
    </row>
    <row r="371" ht="15" customHeight="true" x14ac:dyDescent="0.15">
      <c r="A371"/>
      <c r="B371"/>
      <c r="C371"/>
      <c r="D371"/>
      <c r="E371"/>
      <c r="F371"/>
      <c r="G371"/>
      <c r="H371"/>
      <c r="I371"/>
      <c r="J371"/>
    </row>
    <row r="372" ht="15" customHeight="true" x14ac:dyDescent="0.15">
      <c r="A372"/>
      <c r="B372"/>
      <c r="C372"/>
      <c r="D372"/>
      <c r="E372"/>
      <c r="F372"/>
      <c r="G372"/>
      <c r="H372"/>
      <c r="I372"/>
      <c r="J372"/>
    </row>
    <row r="373" ht="15" customHeight="true" x14ac:dyDescent="0.15">
      <c r="A373"/>
      <c r="B373"/>
      <c r="C373"/>
      <c r="D373"/>
      <c r="E373"/>
      <c r="F373"/>
      <c r="G373"/>
      <c r="H373"/>
      <c r="I373"/>
      <c r="J373"/>
    </row>
    <row r="374" ht="15" customHeight="true" x14ac:dyDescent="0.15">
      <c r="A374"/>
      <c r="B374"/>
      <c r="C374"/>
      <c r="D374"/>
      <c r="E374"/>
      <c r="F374"/>
      <c r="G374"/>
      <c r="H374"/>
      <c r="I374"/>
      <c r="J374"/>
    </row>
    <row r="375" ht="15" customHeight="true" x14ac:dyDescent="0.15">
      <c r="A375"/>
      <c r="B375"/>
      <c r="C375"/>
      <c r="D375"/>
      <c r="E375"/>
      <c r="F375"/>
      <c r="G375"/>
      <c r="H375"/>
      <c r="I375"/>
      <c r="J375"/>
    </row>
    <row r="376" ht="15" customHeight="true" x14ac:dyDescent="0.15">
      <c r="A376"/>
      <c r="B376"/>
      <c r="C376"/>
      <c r="D376"/>
      <c r="E376"/>
      <c r="F376"/>
      <c r="G376"/>
      <c r="H376"/>
      <c r="I376"/>
      <c r="J376"/>
    </row>
    <row r="377" ht="15" customHeight="true" x14ac:dyDescent="0.15">
      <c r="A377"/>
      <c r="B377"/>
      <c r="C377"/>
      <c r="D377"/>
      <c r="E377"/>
      <c r="F377"/>
      <c r="G377"/>
      <c r="H377"/>
      <c r="I377"/>
      <c r="J377"/>
    </row>
    <row r="378" ht="15" customHeight="true" x14ac:dyDescent="0.15">
      <c r="A378"/>
      <c r="B378"/>
      <c r="C378"/>
      <c r="D378"/>
      <c r="E378"/>
      <c r="F378"/>
      <c r="G378"/>
      <c r="H378"/>
      <c r="I378"/>
      <c r="J378"/>
    </row>
    <row r="379" ht="15" customHeight="true" x14ac:dyDescent="0.15">
      <c r="A379"/>
      <c r="B379"/>
      <c r="C379"/>
      <c r="D379"/>
      <c r="E379"/>
      <c r="F379"/>
      <c r="G379"/>
      <c r="H379"/>
      <c r="I379"/>
      <c r="J379"/>
    </row>
    <row r="380" ht="15" customHeight="true" x14ac:dyDescent="0.15">
      <c r="A380"/>
      <c r="B380"/>
      <c r="C380"/>
      <c r="D380"/>
      <c r="E380"/>
      <c r="F380"/>
      <c r="G380"/>
      <c r="H380"/>
      <c r="I380"/>
      <c r="J380"/>
    </row>
    <row r="381" ht="15" customHeight="true" x14ac:dyDescent="0.15">
      <c r="A381"/>
      <c r="B381"/>
      <c r="C381"/>
      <c r="D381"/>
      <c r="E381"/>
      <c r="F381"/>
      <c r="G381"/>
      <c r="H381"/>
      <c r="I381"/>
      <c r="J381"/>
    </row>
    <row r="382" ht="15" customHeight="true" x14ac:dyDescent="0.15">
      <c r="A382"/>
      <c r="B382"/>
      <c r="C382"/>
      <c r="D382"/>
      <c r="E382"/>
      <c r="F382"/>
      <c r="G382"/>
      <c r="H382"/>
      <c r="I382"/>
      <c r="J382"/>
    </row>
    <row r="383" ht="15" customHeight="true" x14ac:dyDescent="0.15">
      <c r="A383"/>
      <c r="B383"/>
      <c r="C383"/>
      <c r="D383"/>
      <c r="E383"/>
      <c r="F383"/>
      <c r="G383"/>
      <c r="H383"/>
      <c r="I383"/>
      <c r="J383"/>
    </row>
    <row r="384" ht="15" customHeight="true" x14ac:dyDescent="0.15">
      <c r="A384"/>
      <c r="B384"/>
      <c r="C384"/>
      <c r="D384"/>
      <c r="E384"/>
      <c r="F384"/>
      <c r="G384"/>
      <c r="H384"/>
      <c r="I384"/>
      <c r="J384"/>
    </row>
    <row r="385" ht="15" customHeight="true" x14ac:dyDescent="0.15">
      <c r="A385"/>
      <c r="B385"/>
      <c r="C385"/>
      <c r="D385"/>
      <c r="E385"/>
      <c r="F385"/>
      <c r="G385"/>
      <c r="H385"/>
      <c r="I385"/>
      <c r="J385"/>
    </row>
    <row r="386" ht="15" customHeight="true" x14ac:dyDescent="0.15">
      <c r="A386"/>
      <c r="B386"/>
      <c r="C386"/>
      <c r="D386"/>
      <c r="E386"/>
      <c r="F386"/>
      <c r="G386"/>
      <c r="H386"/>
      <c r="I386"/>
      <c r="J386"/>
    </row>
    <row r="387" ht="15" customHeight="true" x14ac:dyDescent="0.15">
      <c r="A387"/>
      <c r="B387"/>
      <c r="C387"/>
      <c r="D387"/>
      <c r="E387"/>
      <c r="F387"/>
      <c r="G387"/>
      <c r="H387"/>
      <c r="I387"/>
      <c r="J387"/>
    </row>
    <row r="388" ht="15" customHeight="true" x14ac:dyDescent="0.15">
      <c r="A388"/>
      <c r="B388"/>
      <c r="C388"/>
      <c r="D388"/>
      <c r="E388"/>
      <c r="F388"/>
      <c r="G388"/>
      <c r="H388"/>
      <c r="I388"/>
      <c r="J388"/>
    </row>
    <row r="389" ht="15" customHeight="true" x14ac:dyDescent="0.15">
      <c r="A389"/>
      <c r="B389"/>
      <c r="C389"/>
      <c r="D389"/>
      <c r="E389"/>
      <c r="F389"/>
      <c r="G389"/>
      <c r="H389"/>
      <c r="I389"/>
      <c r="J389"/>
    </row>
    <row r="390" ht="15" customHeight="true" x14ac:dyDescent="0.15">
      <c r="A390"/>
      <c r="B390"/>
      <c r="C390"/>
      <c r="D390"/>
      <c r="E390"/>
      <c r="F390"/>
      <c r="G390"/>
      <c r="H390"/>
      <c r="I390"/>
      <c r="J390"/>
    </row>
    <row r="391" ht="15" customHeight="true" x14ac:dyDescent="0.15">
      <c r="A391"/>
      <c r="B391"/>
      <c r="C391"/>
      <c r="D391"/>
      <c r="E391"/>
      <c r="F391"/>
      <c r="G391"/>
      <c r="H391"/>
      <c r="I391"/>
      <c r="J391"/>
    </row>
    <row r="392" ht="15" customHeight="true" x14ac:dyDescent="0.15">
      <c r="A392"/>
      <c r="B392"/>
      <c r="C392"/>
      <c r="D392"/>
      <c r="E392"/>
      <c r="F392"/>
      <c r="G392"/>
      <c r="H392"/>
      <c r="I392"/>
      <c r="J392"/>
    </row>
    <row r="393" ht="15" customHeight="true" x14ac:dyDescent="0.15">
      <c r="A393"/>
      <c r="B393"/>
      <c r="C393"/>
      <c r="D393"/>
      <c r="E393"/>
      <c r="F393"/>
      <c r="G393"/>
      <c r="H393"/>
      <c r="I393"/>
      <c r="J393"/>
    </row>
    <row r="394" ht="15" customHeight="true" x14ac:dyDescent="0.15">
      <c r="A394"/>
      <c r="B394"/>
      <c r="C394"/>
      <c r="D394"/>
      <c r="E394"/>
      <c r="F394"/>
      <c r="G394"/>
      <c r="H394"/>
      <c r="I394"/>
      <c r="J394"/>
    </row>
    <row r="395" ht="15" customHeight="true" x14ac:dyDescent="0.15">
      <c r="A395"/>
      <c r="B395"/>
      <c r="C395"/>
      <c r="D395"/>
      <c r="E395"/>
      <c r="F395"/>
      <c r="G395"/>
      <c r="H395"/>
      <c r="I395"/>
      <c r="J395"/>
    </row>
    <row r="396" ht="15" customHeight="true" x14ac:dyDescent="0.15">
      <c r="A396"/>
      <c r="B396"/>
      <c r="C396"/>
      <c r="D396"/>
      <c r="E396"/>
      <c r="F396"/>
      <c r="G396"/>
      <c r="H396"/>
      <c r="I396"/>
      <c r="J396"/>
    </row>
    <row r="397" ht="15" customHeight="true" x14ac:dyDescent="0.15">
      <c r="A397"/>
      <c r="B397"/>
      <c r="C397"/>
      <c r="D397"/>
      <c r="E397"/>
      <c r="F397"/>
      <c r="G397"/>
      <c r="H397"/>
      <c r="I397"/>
      <c r="J397"/>
    </row>
    <row r="398" ht="15" customHeight="true" x14ac:dyDescent="0.15">
      <c r="A398"/>
      <c r="B398"/>
      <c r="C398"/>
      <c r="D398"/>
      <c r="E398"/>
      <c r="F398"/>
      <c r="G398"/>
      <c r="H398"/>
      <c r="I398"/>
      <c r="J398"/>
    </row>
    <row r="399" ht="15" customHeight="true" x14ac:dyDescent="0.15">
      <c r="A399"/>
      <c r="B399"/>
      <c r="C399"/>
      <c r="D399"/>
      <c r="E399"/>
      <c r="F399"/>
      <c r="G399"/>
      <c r="H399"/>
      <c r="I399"/>
      <c r="J399"/>
    </row>
    <row r="400" ht="15" customHeight="true" x14ac:dyDescent="0.15">
      <c r="A400"/>
      <c r="B400"/>
      <c r="C400"/>
      <c r="D400"/>
      <c r="E400"/>
      <c r="F400"/>
      <c r="G400"/>
      <c r="H400"/>
      <c r="I400"/>
      <c r="J400"/>
    </row>
    <row r="401" ht="15" customHeight="true" x14ac:dyDescent="0.15">
      <c r="A401"/>
      <c r="B401"/>
      <c r="C401"/>
      <c r="D401"/>
      <c r="E401"/>
      <c r="F401"/>
      <c r="G401"/>
      <c r="H401"/>
      <c r="I401"/>
      <c r="J401"/>
    </row>
    <row r="402" ht="15" customHeight="true" x14ac:dyDescent="0.15">
      <c r="A402"/>
      <c r="B402"/>
      <c r="C402"/>
      <c r="D402"/>
      <c r="E402"/>
      <c r="F402"/>
      <c r="G402"/>
      <c r="H402"/>
      <c r="I402"/>
      <c r="J402"/>
    </row>
    <row r="403" ht="15" customHeight="true" x14ac:dyDescent="0.15">
      <c r="A403"/>
      <c r="B403"/>
      <c r="C403"/>
      <c r="D403"/>
      <c r="E403"/>
      <c r="F403"/>
      <c r="G403"/>
      <c r="H403"/>
      <c r="I403"/>
      <c r="J403"/>
    </row>
    <row r="404" ht="15" customHeight="true" x14ac:dyDescent="0.15">
      <c r="A404"/>
      <c r="B404"/>
      <c r="C404"/>
      <c r="D404"/>
      <c r="E404"/>
      <c r="F404"/>
      <c r="G404"/>
      <c r="H404"/>
      <c r="I404"/>
      <c r="J404"/>
    </row>
    <row r="405" ht="15" customHeight="true" x14ac:dyDescent="0.15">
      <c r="A405"/>
      <c r="B405"/>
      <c r="C405"/>
      <c r="D405"/>
      <c r="E405"/>
      <c r="F405"/>
      <c r="G405"/>
      <c r="H405"/>
      <c r="I405"/>
      <c r="J405"/>
    </row>
    <row r="406" ht="15" customHeight="true" x14ac:dyDescent="0.15">
      <c r="A406"/>
      <c r="B406"/>
      <c r="C406"/>
      <c r="D406"/>
      <c r="E406"/>
      <c r="F406"/>
      <c r="G406"/>
      <c r="H406"/>
      <c r="I406"/>
      <c r="J406"/>
    </row>
    <row r="407" ht="15" customHeight="true" x14ac:dyDescent="0.15">
      <c r="A407"/>
      <c r="B407"/>
      <c r="C407"/>
      <c r="D407"/>
      <c r="E407"/>
      <c r="F407"/>
      <c r="G407"/>
      <c r="H407"/>
      <c r="I407"/>
      <c r="J407"/>
    </row>
    <row r="408" ht="15" customHeight="true" x14ac:dyDescent="0.15">
      <c r="A408"/>
      <c r="B408"/>
      <c r="C408"/>
      <c r="D408"/>
      <c r="E408"/>
      <c r="F408"/>
      <c r="G408"/>
      <c r="H408"/>
      <c r="I408"/>
      <c r="J408"/>
    </row>
    <row r="409" ht="15" customHeight="true" x14ac:dyDescent="0.15">
      <c r="A409"/>
      <c r="B409"/>
      <c r="C409"/>
      <c r="D409"/>
      <c r="E409"/>
      <c r="F409"/>
      <c r="G409"/>
      <c r="H409"/>
      <c r="I409"/>
      <c r="J409"/>
    </row>
    <row r="410" ht="15" customHeight="true" x14ac:dyDescent="0.15">
      <c r="A410"/>
      <c r="B410"/>
      <c r="C410"/>
      <c r="D410"/>
      <c r="E410"/>
      <c r="F410"/>
      <c r="G410"/>
      <c r="H410"/>
      <c r="I410"/>
      <c r="J410"/>
    </row>
    <row r="411" ht="15" customHeight="true" x14ac:dyDescent="0.15">
      <c r="A411"/>
      <c r="B411"/>
      <c r="C411"/>
      <c r="D411"/>
      <c r="E411"/>
      <c r="F411"/>
      <c r="G411"/>
      <c r="H411"/>
      <c r="I411"/>
      <c r="J411"/>
    </row>
    <row r="412" ht="15" customHeight="true" x14ac:dyDescent="0.15">
      <c r="A412"/>
      <c r="B412"/>
      <c r="C412"/>
      <c r="D412"/>
      <c r="E412"/>
      <c r="F412"/>
      <c r="G412"/>
      <c r="H412"/>
      <c r="I412"/>
      <c r="J412"/>
    </row>
    <row r="413" ht="15" customHeight="true" x14ac:dyDescent="0.15">
      <c r="A413"/>
      <c r="B413"/>
      <c r="C413"/>
      <c r="D413"/>
      <c r="E413"/>
      <c r="F413"/>
      <c r="G413"/>
      <c r="H413"/>
      <c r="I413"/>
      <c r="J413"/>
    </row>
    <row r="414" ht="15" customHeight="true" x14ac:dyDescent="0.15">
      <c r="A414"/>
      <c r="B414"/>
      <c r="C414"/>
      <c r="D414"/>
      <c r="E414"/>
      <c r="F414"/>
      <c r="G414"/>
      <c r="H414"/>
      <c r="I414"/>
      <c r="J414"/>
    </row>
    <row r="415" ht="15" customHeight="true" x14ac:dyDescent="0.15">
      <c r="A415"/>
      <c r="B415"/>
      <c r="C415"/>
      <c r="D415"/>
      <c r="E415"/>
      <c r="F415"/>
      <c r="G415"/>
      <c r="H415"/>
      <c r="I415"/>
      <c r="J415"/>
    </row>
    <row r="416" ht="15" customHeight="true" x14ac:dyDescent="0.15">
      <c r="A416"/>
      <c r="B416"/>
      <c r="C416"/>
      <c r="D416"/>
      <c r="E416"/>
      <c r="F416"/>
      <c r="G416"/>
      <c r="H416"/>
      <c r="I416"/>
      <c r="J416"/>
    </row>
    <row r="417" ht="15" customHeight="true" x14ac:dyDescent="0.15">
      <c r="A417"/>
      <c r="B417"/>
      <c r="C417"/>
      <c r="D417"/>
      <c r="E417"/>
      <c r="F417"/>
      <c r="G417"/>
      <c r="H417"/>
      <c r="I417"/>
      <c r="J417"/>
    </row>
    <row r="418" ht="15" customHeight="true" x14ac:dyDescent="0.15">
      <c r="A418"/>
      <c r="B418"/>
      <c r="C418"/>
      <c r="D418"/>
      <c r="E418"/>
      <c r="F418"/>
      <c r="G418"/>
      <c r="H418"/>
      <c r="I418"/>
      <c r="J418"/>
    </row>
    <row r="419" ht="15" customHeight="true" x14ac:dyDescent="0.15">
      <c r="A419"/>
      <c r="B419"/>
      <c r="C419"/>
      <c r="D419"/>
      <c r="E419"/>
      <c r="F419"/>
      <c r="G419"/>
      <c r="H419"/>
      <c r="I419"/>
      <c r="J419"/>
    </row>
    <row r="420" ht="15" customHeight="true" x14ac:dyDescent="0.15">
      <c r="A420"/>
      <c r="B420"/>
      <c r="C420"/>
      <c r="D420"/>
      <c r="E420"/>
      <c r="F420"/>
      <c r="G420"/>
      <c r="H420"/>
      <c r="I420"/>
      <c r="J420"/>
    </row>
    <row r="421" ht="15" customHeight="true" x14ac:dyDescent="0.15">
      <c r="A421"/>
      <c r="B421"/>
      <c r="C421"/>
      <c r="D421"/>
      <c r="E421"/>
      <c r="F421"/>
      <c r="G421"/>
      <c r="H421"/>
      <c r="I421"/>
      <c r="J421"/>
    </row>
    <row r="422" ht="15" customHeight="true" x14ac:dyDescent="0.15">
      <c r="A422"/>
      <c r="B422"/>
      <c r="C422"/>
      <c r="D422"/>
      <c r="E422"/>
      <c r="F422"/>
      <c r="G422"/>
      <c r="H422"/>
      <c r="I422"/>
      <c r="J422"/>
    </row>
    <row r="423" ht="15" customHeight="true" x14ac:dyDescent="0.15">
      <c r="A423"/>
      <c r="B423"/>
      <c r="C423"/>
      <c r="D423"/>
      <c r="E423"/>
      <c r="F423"/>
      <c r="G423"/>
      <c r="H423"/>
      <c r="I423"/>
      <c r="J423"/>
    </row>
    <row r="424" ht="15" customHeight="true" x14ac:dyDescent="0.15">
      <c r="A424"/>
      <c r="B424"/>
      <c r="C424"/>
      <c r="D424"/>
      <c r="E424"/>
      <c r="F424"/>
      <c r="G424"/>
      <c r="H424"/>
      <c r="I424"/>
      <c r="J424"/>
    </row>
    <row r="425" ht="15" customHeight="true" x14ac:dyDescent="0.15">
      <c r="A425"/>
      <c r="B425"/>
      <c r="C425"/>
      <c r="D425"/>
      <c r="E425"/>
      <c r="F425"/>
      <c r="G425"/>
      <c r="H425"/>
      <c r="I425"/>
      <c r="J425"/>
    </row>
    <row r="426" ht="15" customHeight="true" x14ac:dyDescent="0.15">
      <c r="A426"/>
      <c r="B426"/>
      <c r="C426"/>
      <c r="D426"/>
      <c r="E426"/>
      <c r="F426"/>
      <c r="G426"/>
      <c r="H426"/>
      <c r="I426"/>
      <c r="J426"/>
    </row>
    <row r="427" ht="15" customHeight="true" x14ac:dyDescent="0.15">
      <c r="A427"/>
      <c r="B427"/>
      <c r="C427"/>
      <c r="D427"/>
      <c r="E427"/>
      <c r="F427"/>
      <c r="G427"/>
      <c r="H427"/>
      <c r="I427"/>
      <c r="J427"/>
    </row>
    <row r="428" ht="15" customHeight="true" x14ac:dyDescent="0.15">
      <c r="A428"/>
      <c r="B428"/>
      <c r="C428"/>
      <c r="D428"/>
      <c r="E428"/>
      <c r="F428"/>
      <c r="G428"/>
      <c r="H428"/>
      <c r="I428"/>
      <c r="J428"/>
    </row>
    <row r="429" ht="15" customHeight="true" x14ac:dyDescent="0.15">
      <c r="A429"/>
      <c r="B429"/>
      <c r="C429"/>
      <c r="D429"/>
      <c r="E429"/>
      <c r="F429"/>
      <c r="G429"/>
      <c r="H429"/>
      <c r="I429"/>
      <c r="J429"/>
    </row>
    <row r="430" ht="15" customHeight="true" x14ac:dyDescent="0.15">
      <c r="A430"/>
      <c r="B430"/>
      <c r="C430"/>
      <c r="D430"/>
      <c r="E430"/>
      <c r="F430"/>
      <c r="G430"/>
      <c r="H430"/>
      <c r="I430"/>
      <c r="J430"/>
    </row>
    <row r="431" ht="15" customHeight="true" x14ac:dyDescent="0.15">
      <c r="A431"/>
      <c r="B431"/>
      <c r="C431"/>
      <c r="D431"/>
      <c r="E431"/>
      <c r="F431"/>
      <c r="G431"/>
      <c r="H431"/>
      <c r="I431"/>
      <c r="J431"/>
    </row>
    <row r="432" ht="15" customHeight="true" x14ac:dyDescent="0.15">
      <c r="A432"/>
      <c r="B432"/>
      <c r="C432"/>
      <c r="D432"/>
      <c r="E432"/>
      <c r="F432"/>
      <c r="G432"/>
      <c r="H432"/>
      <c r="I432"/>
      <c r="J432"/>
    </row>
    <row r="433" ht="15" customHeight="true" x14ac:dyDescent="0.15">
      <c r="A433"/>
      <c r="B433"/>
      <c r="C433"/>
      <c r="D433"/>
      <c r="E433"/>
      <c r="F433"/>
      <c r="G433"/>
      <c r="H433"/>
      <c r="I433"/>
      <c r="J433"/>
    </row>
    <row r="434" ht="15" customHeight="true" x14ac:dyDescent="0.15">
      <c r="A434"/>
      <c r="B434"/>
      <c r="C434"/>
      <c r="D434"/>
      <c r="E434"/>
      <c r="F434"/>
      <c r="G434"/>
      <c r="H434"/>
      <c r="I434"/>
      <c r="J434"/>
    </row>
    <row r="435" ht="15" customHeight="true" x14ac:dyDescent="0.15">
      <c r="A435"/>
      <c r="B435"/>
      <c r="C435"/>
      <c r="D435"/>
      <c r="E435"/>
      <c r="F435"/>
      <c r="G435"/>
      <c r="H435"/>
      <c r="I435"/>
      <c r="J435"/>
    </row>
    <row r="436" ht="15" customHeight="true" x14ac:dyDescent="0.15">
      <c r="A436"/>
      <c r="B436"/>
      <c r="C436"/>
      <c r="D436"/>
      <c r="E436"/>
      <c r="F436"/>
      <c r="G436"/>
      <c r="H436"/>
      <c r="I436"/>
      <c r="J436"/>
    </row>
    <row r="437" ht="15" customHeight="true" x14ac:dyDescent="0.15">
      <c r="A437"/>
      <c r="B437"/>
      <c r="C437"/>
      <c r="D437"/>
      <c r="E437"/>
      <c r="F437"/>
      <c r="G437"/>
      <c r="H437"/>
      <c r="I437"/>
      <c r="J437"/>
    </row>
    <row r="438" ht="15" customHeight="true" x14ac:dyDescent="0.15">
      <c r="A438"/>
      <c r="B438"/>
      <c r="C438"/>
      <c r="D438"/>
      <c r="E438"/>
      <c r="F438"/>
      <c r="G438"/>
      <c r="H438"/>
      <c r="I438"/>
      <c r="J438"/>
    </row>
    <row r="439" ht="15" customHeight="true" x14ac:dyDescent="0.15">
      <c r="A439"/>
      <c r="B439"/>
      <c r="C439"/>
      <c r="D439"/>
      <c r="E439"/>
      <c r="F439"/>
      <c r="G439"/>
      <c r="H439"/>
      <c r="I439"/>
      <c r="J439"/>
    </row>
    <row r="440" ht="15" customHeight="true" x14ac:dyDescent="0.15">
      <c r="A440"/>
      <c r="B440"/>
      <c r="C440"/>
      <c r="D440"/>
      <c r="E440"/>
      <c r="F440"/>
      <c r="G440"/>
      <c r="H440"/>
      <c r="I440"/>
      <c r="J440"/>
    </row>
    <row r="441" ht="15" customHeight="true" x14ac:dyDescent="0.15">
      <c r="A441"/>
      <c r="B441"/>
      <c r="C441"/>
      <c r="D441"/>
      <c r="E441"/>
      <c r="F441"/>
      <c r="G441"/>
      <c r="H441"/>
      <c r="I441"/>
      <c r="J441"/>
    </row>
    <row r="442" ht="15" customHeight="true" x14ac:dyDescent="0.15">
      <c r="A442"/>
      <c r="B442"/>
      <c r="C442"/>
      <c r="D442"/>
      <c r="E442"/>
      <c r="F442"/>
      <c r="G442"/>
      <c r="H442"/>
      <c r="I442"/>
      <c r="J442"/>
    </row>
    <row r="443" ht="15" customHeight="true" x14ac:dyDescent="0.15">
      <c r="A443"/>
      <c r="B443"/>
      <c r="C443"/>
      <c r="D443"/>
      <c r="E443"/>
      <c r="F443"/>
      <c r="G443"/>
      <c r="H443"/>
      <c r="I443"/>
      <c r="J443"/>
    </row>
    <row r="444" ht="15" customHeight="true" x14ac:dyDescent="0.15">
      <c r="A444"/>
      <c r="B444"/>
      <c r="C444"/>
      <c r="D444"/>
      <c r="E444"/>
      <c r="F444"/>
      <c r="G444"/>
      <c r="H444"/>
      <c r="I444"/>
      <c r="J444"/>
    </row>
    <row r="445" ht="15" customHeight="true" x14ac:dyDescent="0.15">
      <c r="A445"/>
      <c r="B445"/>
      <c r="C445"/>
      <c r="D445"/>
      <c r="E445"/>
      <c r="F445"/>
      <c r="G445"/>
      <c r="H445"/>
      <c r="I445"/>
      <c r="J445"/>
    </row>
    <row r="446" ht="15" customHeight="true" x14ac:dyDescent="0.15">
      <c r="A446"/>
      <c r="B446"/>
      <c r="C446"/>
      <c r="D446"/>
      <c r="E446"/>
      <c r="F446"/>
      <c r="G446"/>
      <c r="H446"/>
      <c r="I446"/>
      <c r="J446"/>
    </row>
    <row r="447" ht="15" customHeight="true" x14ac:dyDescent="0.15">
      <c r="A447"/>
      <c r="B447"/>
      <c r="C447"/>
      <c r="D447"/>
      <c r="E447"/>
      <c r="F447"/>
      <c r="G447"/>
      <c r="H447"/>
      <c r="I447"/>
      <c r="J447"/>
    </row>
    <row r="448" ht="15" customHeight="true" x14ac:dyDescent="0.15">
      <c r="A448"/>
      <c r="B448"/>
      <c r="C448"/>
      <c r="D448"/>
      <c r="E448"/>
      <c r="F448"/>
      <c r="G448"/>
      <c r="H448"/>
      <c r="I448"/>
      <c r="J448"/>
    </row>
    <row r="449" ht="15" customHeight="true" x14ac:dyDescent="0.15">
      <c r="A449"/>
      <c r="B449"/>
      <c r="C449"/>
      <c r="D449"/>
      <c r="E449"/>
      <c r="F449"/>
      <c r="G449"/>
      <c r="H449"/>
      <c r="I449"/>
      <c r="J449"/>
    </row>
    <row r="450" ht="15" customHeight="true" x14ac:dyDescent="0.15">
      <c r="A450"/>
      <c r="B450"/>
      <c r="C450"/>
      <c r="D450"/>
      <c r="E450"/>
      <c r="F450"/>
      <c r="G450"/>
      <c r="H450"/>
      <c r="I450"/>
      <c r="J450"/>
    </row>
    <row r="451" ht="15" customHeight="true" x14ac:dyDescent="0.15">
      <c r="A451"/>
      <c r="B451"/>
      <c r="C451"/>
      <c r="D451"/>
      <c r="E451"/>
      <c r="F451"/>
      <c r="G451"/>
      <c r="H451"/>
      <c r="I451"/>
      <c r="J451"/>
    </row>
    <row r="452" ht="15" customHeight="true" x14ac:dyDescent="0.15">
      <c r="A452"/>
      <c r="B452"/>
      <c r="C452"/>
      <c r="D452"/>
      <c r="E452"/>
      <c r="F452"/>
      <c r="G452"/>
      <c r="H452"/>
      <c r="I452"/>
      <c r="J452"/>
    </row>
    <row r="453" ht="15" customHeight="true" x14ac:dyDescent="0.15">
      <c r="A453"/>
      <c r="B453"/>
      <c r="C453"/>
      <c r="D453"/>
      <c r="E453"/>
      <c r="F453"/>
      <c r="G453"/>
      <c r="H453"/>
      <c r="I453"/>
      <c r="J453"/>
    </row>
    <row r="454" ht="15" customHeight="true" x14ac:dyDescent="0.15">
      <c r="A454"/>
      <c r="B454"/>
      <c r="C454"/>
      <c r="D454"/>
      <c r="E454"/>
      <c r="F454"/>
      <c r="G454"/>
      <c r="H454"/>
      <c r="I454"/>
      <c r="J454"/>
    </row>
    <row r="455" ht="15" customHeight="true" x14ac:dyDescent="0.15">
      <c r="A455"/>
      <c r="B455"/>
      <c r="C455"/>
      <c r="D455"/>
      <c r="E455"/>
      <c r="F455"/>
      <c r="G455"/>
      <c r="H455"/>
      <c r="I455"/>
      <c r="J455"/>
    </row>
    <row r="456" ht="15" customHeight="true" x14ac:dyDescent="0.15">
      <c r="A456"/>
      <c r="B456"/>
      <c r="C456"/>
      <c r="D456"/>
      <c r="E456"/>
      <c r="F456"/>
      <c r="G456"/>
      <c r="H456"/>
      <c r="I456"/>
      <c r="J456"/>
    </row>
    <row r="457" ht="15" customHeight="true" x14ac:dyDescent="0.15">
      <c r="A457"/>
      <c r="B457"/>
      <c r="C457"/>
      <c r="D457"/>
      <c r="E457"/>
      <c r="F457"/>
      <c r="G457"/>
      <c r="H457"/>
      <c r="I457"/>
      <c r="J457"/>
    </row>
    <row r="458" ht="15" customHeight="true" x14ac:dyDescent="0.15">
      <c r="A458"/>
      <c r="B458"/>
      <c r="C458"/>
      <c r="D458"/>
      <c r="E458"/>
      <c r="F458"/>
      <c r="G458"/>
      <c r="H458"/>
      <c r="I458"/>
      <c r="J458"/>
    </row>
    <row r="459" ht="15" customHeight="true" x14ac:dyDescent="0.15">
      <c r="A459"/>
      <c r="B459"/>
      <c r="C459"/>
      <c r="D459"/>
      <c r="E459"/>
      <c r="F459"/>
      <c r="G459"/>
      <c r="H459"/>
      <c r="I459"/>
      <c r="J459"/>
    </row>
    <row r="460" ht="15" customHeight="true" x14ac:dyDescent="0.15">
      <c r="A460"/>
      <c r="B460"/>
      <c r="C460"/>
      <c r="D460"/>
      <c r="E460"/>
      <c r="F460"/>
      <c r="G460"/>
      <c r="H460"/>
      <c r="I460"/>
      <c r="J460"/>
    </row>
    <row r="461" ht="15" customHeight="true" x14ac:dyDescent="0.15">
      <c r="A461"/>
      <c r="B461"/>
      <c r="C461"/>
      <c r="D461"/>
      <c r="E461"/>
      <c r="F461"/>
      <c r="G461"/>
      <c r="H461"/>
      <c r="I461"/>
      <c r="J461"/>
    </row>
    <row r="462" ht="15" customHeight="true" x14ac:dyDescent="0.15">
      <c r="A462"/>
      <c r="B462"/>
      <c r="C462"/>
      <c r="D462"/>
      <c r="E462"/>
      <c r="F462"/>
      <c r="G462"/>
      <c r="H462"/>
      <c r="I462"/>
      <c r="J462"/>
    </row>
    <row r="463" ht="15" customHeight="true" x14ac:dyDescent="0.15">
      <c r="A463"/>
      <c r="B463"/>
      <c r="C463"/>
      <c r="D463"/>
      <c r="E463"/>
      <c r="F463"/>
      <c r="G463"/>
      <c r="H463"/>
      <c r="I463"/>
      <c r="J463"/>
    </row>
    <row r="464" ht="15" customHeight="true" x14ac:dyDescent="0.15">
      <c r="A464"/>
      <c r="B464"/>
      <c r="C464"/>
      <c r="D464"/>
      <c r="E464"/>
      <c r="F464"/>
      <c r="G464"/>
      <c r="H464"/>
      <c r="I464"/>
      <c r="J464"/>
    </row>
    <row r="465" ht="15" customHeight="true" x14ac:dyDescent="0.15">
      <c r="A465"/>
      <c r="B465"/>
      <c r="C465"/>
      <c r="D465"/>
      <c r="E465"/>
      <c r="F465"/>
      <c r="G465"/>
      <c r="H465"/>
      <c r="I465"/>
      <c r="J465"/>
    </row>
    <row r="466" ht="15" customHeight="true" x14ac:dyDescent="0.15">
      <c r="A466"/>
      <c r="B466"/>
      <c r="C466"/>
      <c r="D466"/>
      <c r="E466"/>
      <c r="F466"/>
      <c r="G466"/>
      <c r="H466"/>
      <c r="I466"/>
      <c r="J466"/>
    </row>
    <row r="467" ht="15" customHeight="true" x14ac:dyDescent="0.15">
      <c r="A467"/>
      <c r="B467"/>
      <c r="C467"/>
      <c r="D467"/>
      <c r="E467"/>
      <c r="F467"/>
      <c r="G467"/>
      <c r="H467"/>
      <c r="I467"/>
      <c r="J467"/>
    </row>
    <row r="468" ht="15" customHeight="true" x14ac:dyDescent="0.15">
      <c r="A468"/>
      <c r="B468"/>
      <c r="C468"/>
      <c r="D468"/>
      <c r="E468"/>
      <c r="F468"/>
      <c r="G468"/>
      <c r="H468"/>
      <c r="I468"/>
      <c r="J468"/>
    </row>
    <row r="469" ht="15" customHeight="true" x14ac:dyDescent="0.15">
      <c r="A469"/>
      <c r="B469"/>
      <c r="C469"/>
      <c r="D469"/>
      <c r="E469"/>
      <c r="F469"/>
      <c r="G469"/>
      <c r="H469"/>
      <c r="I469"/>
      <c r="J469"/>
    </row>
    <row r="470" ht="15" customHeight="true" x14ac:dyDescent="0.15">
      <c r="A470"/>
      <c r="B470"/>
      <c r="C470"/>
      <c r="D470"/>
      <c r="E470"/>
      <c r="F470"/>
      <c r="G470"/>
      <c r="H470"/>
      <c r="I470"/>
      <c r="J470"/>
    </row>
    <row r="471" ht="15" customHeight="true" x14ac:dyDescent="0.15">
      <c r="A471"/>
      <c r="B471"/>
      <c r="C471"/>
      <c r="D471"/>
      <c r="E471"/>
      <c r="F471"/>
      <c r="G471"/>
      <c r="H471"/>
      <c r="I471"/>
      <c r="J471"/>
    </row>
    <row r="472" ht="15" customHeight="true" x14ac:dyDescent="0.15">
      <c r="A472"/>
      <c r="B472"/>
      <c r="C472"/>
      <c r="D472"/>
      <c r="E472"/>
      <c r="F472"/>
      <c r="G472"/>
      <c r="H472"/>
      <c r="I472"/>
      <c r="J472"/>
    </row>
    <row r="473" ht="15" customHeight="true" x14ac:dyDescent="0.15">
      <c r="A473"/>
      <c r="B473"/>
      <c r="C473"/>
      <c r="D473"/>
      <c r="E473"/>
      <c r="F473"/>
      <c r="G473"/>
      <c r="H473"/>
      <c r="I473"/>
      <c r="J473"/>
    </row>
    <row r="474" ht="15" customHeight="true" x14ac:dyDescent="0.15">
      <c r="A474"/>
      <c r="B474"/>
      <c r="C474"/>
      <c r="D474"/>
      <c r="E474"/>
      <c r="F474"/>
      <c r="G474"/>
      <c r="H474"/>
      <c r="I474"/>
      <c r="J474"/>
    </row>
    <row r="475" ht="15" customHeight="true" x14ac:dyDescent="0.15">
      <c r="A475"/>
      <c r="B475"/>
      <c r="C475"/>
      <c r="D475"/>
      <c r="E475"/>
      <c r="F475"/>
      <c r="G475"/>
      <c r="H475"/>
      <c r="I475"/>
      <c r="J475"/>
    </row>
    <row r="476" ht="15" customHeight="true" x14ac:dyDescent="0.15">
      <c r="A476"/>
      <c r="B476"/>
      <c r="C476"/>
      <c r="D476"/>
      <c r="E476"/>
      <c r="F476"/>
      <c r="G476"/>
      <c r="H476"/>
      <c r="I476"/>
      <c r="J476"/>
    </row>
    <row r="477" ht="15" customHeight="true" x14ac:dyDescent="0.15">
      <c r="A477"/>
      <c r="B477"/>
      <c r="C477"/>
      <c r="D477"/>
      <c r="E477"/>
      <c r="F477"/>
      <c r="G477"/>
      <c r="H477"/>
      <c r="I477"/>
      <c r="J477"/>
    </row>
    <row r="478" ht="15" customHeight="true" x14ac:dyDescent="0.15">
      <c r="A478"/>
      <c r="B478"/>
      <c r="C478"/>
      <c r="D478"/>
      <c r="E478"/>
      <c r="F478"/>
      <c r="G478"/>
      <c r="H478"/>
      <c r="I478"/>
      <c r="J478"/>
    </row>
    <row r="479" ht="15" customHeight="true" x14ac:dyDescent="0.15">
      <c r="A479"/>
      <c r="B479"/>
      <c r="C479"/>
      <c r="D479"/>
      <c r="E479"/>
      <c r="F479"/>
      <c r="G479"/>
      <c r="H479"/>
      <c r="I479"/>
      <c r="J479"/>
    </row>
    <row r="480" ht="15" customHeight="true" x14ac:dyDescent="0.15">
      <c r="A480"/>
      <c r="B480"/>
      <c r="C480"/>
      <c r="D480"/>
      <c r="E480"/>
      <c r="F480"/>
      <c r="G480"/>
      <c r="H480"/>
      <c r="I480"/>
      <c r="J480"/>
    </row>
    <row r="481" ht="15" customHeight="true" x14ac:dyDescent="0.15">
      <c r="A481"/>
      <c r="B481"/>
      <c r="C481"/>
      <c r="D481"/>
      <c r="E481"/>
      <c r="F481"/>
      <c r="G481"/>
      <c r="H481"/>
      <c r="I481"/>
      <c r="J481"/>
    </row>
    <row r="482" ht="15" customHeight="true" x14ac:dyDescent="0.15">
      <c r="A482"/>
      <c r="B482"/>
      <c r="C482"/>
      <c r="D482"/>
      <c r="E482"/>
      <c r="F482"/>
      <c r="G482"/>
      <c r="H482"/>
      <c r="I482"/>
      <c r="J482"/>
    </row>
    <row r="483" ht="15" customHeight="true" x14ac:dyDescent="0.15">
      <c r="A483"/>
      <c r="B483"/>
      <c r="C483"/>
      <c r="D483"/>
      <c r="E483"/>
      <c r="F483"/>
      <c r="G483"/>
      <c r="H483"/>
      <c r="I483"/>
      <c r="J483"/>
    </row>
    <row r="484" ht="15" customHeight="true" x14ac:dyDescent="0.15">
      <c r="A484"/>
      <c r="B484"/>
      <c r="C484"/>
      <c r="D484"/>
      <c r="E484"/>
      <c r="F484"/>
      <c r="G484"/>
      <c r="H484"/>
      <c r="I484"/>
      <c r="J484"/>
    </row>
    <row r="485" ht="15" customHeight="true" x14ac:dyDescent="0.15">
      <c r="A485"/>
      <c r="B485"/>
      <c r="C485"/>
      <c r="D485"/>
      <c r="E485"/>
      <c r="F485"/>
      <c r="G485"/>
      <c r="H485"/>
      <c r="I485"/>
      <c r="J485"/>
    </row>
    <row r="486" ht="15" customHeight="true" x14ac:dyDescent="0.15">
      <c r="A486"/>
      <c r="B486"/>
      <c r="C486"/>
      <c r="D486"/>
      <c r="E486"/>
      <c r="F486"/>
      <c r="G486"/>
      <c r="H486"/>
      <c r="I486"/>
      <c r="J486"/>
    </row>
    <row r="487" ht="15" customHeight="true" x14ac:dyDescent="0.15">
      <c r="A487"/>
      <c r="B487"/>
      <c r="C487"/>
      <c r="D487"/>
      <c r="E487"/>
      <c r="F487"/>
      <c r="G487"/>
      <c r="H487"/>
      <c r="I487"/>
      <c r="J487"/>
    </row>
    <row r="488" ht="15" customHeight="true" x14ac:dyDescent="0.15">
      <c r="A488"/>
      <c r="B488"/>
      <c r="C488"/>
      <c r="D488"/>
      <c r="E488"/>
      <c r="F488"/>
      <c r="G488"/>
      <c r="H488"/>
      <c r="I488"/>
      <c r="J488"/>
    </row>
    <row r="489" ht="15" customHeight="true" x14ac:dyDescent="0.15">
      <c r="A489"/>
      <c r="B489"/>
      <c r="C489"/>
      <c r="D489"/>
      <c r="E489"/>
      <c r="F489"/>
      <c r="G489"/>
      <c r="H489"/>
      <c r="I489"/>
      <c r="J489"/>
    </row>
    <row r="490" ht="15" customHeight="true" x14ac:dyDescent="0.15">
      <c r="A490"/>
      <c r="B490"/>
      <c r="C490"/>
      <c r="D490"/>
      <c r="E490"/>
      <c r="F490"/>
      <c r="G490"/>
      <c r="H490"/>
      <c r="I490"/>
      <c r="J490"/>
    </row>
    <row r="491" ht="15" customHeight="true" x14ac:dyDescent="0.15">
      <c r="A491"/>
      <c r="B491"/>
      <c r="C491"/>
      <c r="D491"/>
      <c r="E491"/>
      <c r="F491"/>
      <c r="G491"/>
      <c r="H491"/>
      <c r="I491"/>
      <c r="J491"/>
    </row>
    <row r="492" ht="15" customHeight="true" x14ac:dyDescent="0.15">
      <c r="A492"/>
      <c r="B492"/>
      <c r="C492"/>
      <c r="D492"/>
      <c r="E492"/>
      <c r="F492"/>
      <c r="G492"/>
      <c r="H492"/>
      <c r="I492"/>
      <c r="J492"/>
    </row>
    <row r="493" ht="15" customHeight="true" x14ac:dyDescent="0.15">
      <c r="A493"/>
      <c r="B493"/>
      <c r="C493"/>
      <c r="D493"/>
      <c r="E493"/>
      <c r="F493"/>
      <c r="G493"/>
      <c r="H493"/>
      <c r="I493"/>
      <c r="J493"/>
    </row>
    <row r="494" ht="15" customHeight="true" x14ac:dyDescent="0.15">
      <c r="A494"/>
      <c r="B494"/>
      <c r="C494"/>
      <c r="D494"/>
      <c r="E494"/>
      <c r="F494"/>
      <c r="G494"/>
      <c r="H494"/>
      <c r="I494"/>
      <c r="J494"/>
    </row>
    <row r="495" ht="15" customHeight="true" x14ac:dyDescent="0.15">
      <c r="A495"/>
      <c r="B495"/>
      <c r="C495"/>
      <c r="D495"/>
      <c r="E495"/>
      <c r="F495"/>
      <c r="G495"/>
      <c r="H495"/>
      <c r="I495"/>
      <c r="J495"/>
    </row>
    <row r="496" ht="15" customHeight="true" x14ac:dyDescent="0.15">
      <c r="A496"/>
      <c r="B496"/>
      <c r="C496"/>
      <c r="D496"/>
      <c r="E496"/>
      <c r="F496"/>
      <c r="G496"/>
      <c r="H496"/>
      <c r="I496"/>
      <c r="J496"/>
    </row>
    <row r="497" ht="15" customHeight="true" x14ac:dyDescent="0.15">
      <c r="A497"/>
      <c r="B497"/>
      <c r="C497"/>
      <c r="D497"/>
      <c r="E497"/>
      <c r="F497"/>
      <c r="G497"/>
      <c r="H497"/>
      <c r="I497"/>
      <c r="J497"/>
    </row>
    <row r="498" ht="15" customHeight="true" x14ac:dyDescent="0.15">
      <c r="A498"/>
      <c r="B498"/>
      <c r="C498"/>
      <c r="D498"/>
      <c r="E498"/>
      <c r="F498"/>
      <c r="G498"/>
      <c r="H498"/>
      <c r="I498"/>
      <c r="J498"/>
    </row>
    <row r="499" ht="15" customHeight="true" x14ac:dyDescent="0.15">
      <c r="A499"/>
      <c r="B499"/>
      <c r="C499"/>
      <c r="D499"/>
      <c r="E499"/>
      <c r="F499"/>
      <c r="G499"/>
      <c r="H499"/>
      <c r="I499"/>
      <c r="J499"/>
    </row>
    <row r="500" ht="15" customHeight="true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true" x14ac:dyDescent="0.15"/>
  <cols>
    <col min="1" max="1" width="40.33203125" style="74" bestFit="true" customWidth="true"/>
    <col min="2" max="4" width="9.5" style="74" bestFit="true" customWidth="true"/>
    <col min="5" max="7" width="9" style="74" bestFit="true" customWidth="true"/>
    <col min="8" max="16" width="12.6640625" style="74" bestFit="true" customWidth="true"/>
    <col min="17" max="17" width="12.33203125" style="74" bestFit="true" customWidth="true"/>
    <col min="18" max="18" width="8.83203125" style="74"/>
    <col min="19" max="21" width="9.33203125" style="74" bestFit="true" customWidth="true"/>
    <col min="22" max="23" width="8.83203125" style="74"/>
    <col min="24" max="24" width="9.33203125" style="74" bestFit="true" customWidth="true"/>
    <col min="25" max="27" width="8.83203125" style="74"/>
    <col min="28" max="58" width="9" style="74" bestFit="true" customWidth="true"/>
    <col min="59" max="59" width="12.33203125" style="74" bestFit="true" customWidth="true"/>
    <col min="60" max="60" width="9" style="74" bestFit="true" customWidth="true"/>
    <col min="61" max="61" width="11.33203125" style="74" bestFit="true" customWidth="true"/>
    <col min="62" max="77" width="9" style="74" bestFit="true" customWidth="true"/>
    <col min="78" max="78" width="12.33203125" style="74" bestFit="true" customWidth="true"/>
    <col min="79" max="79" width="9" style="74" bestFit="true" customWidth="true"/>
    <col min="80" max="80" width="12.33203125" style="74" bestFit="true" customWidth="true"/>
    <col min="81" max="107" width="9" style="74" bestFit="true" customWidth="true"/>
    <col min="108" max="108" width="11.33203125" style="74" bestFit="true" customWidth="true"/>
    <col min="109" max="124" width="9" style="74" bestFit="true" customWidth="true"/>
    <col min="125" max="125" width="10.33203125" style="74" bestFit="true" customWidth="true"/>
    <col min="126" max="129" width="9.33203125" style="74" bestFit="true" customWidth="true"/>
    <col min="130" max="130" width="9" style="74" bestFit="true" customWidth="true"/>
    <col min="131" max="134" width="9.33203125" style="74" bestFit="true" customWidth="true"/>
    <col min="135" max="165" width="9" style="74" bestFit="true" customWidth="true"/>
    <col min="166" max="166" width="12.33203125" style="74" bestFit="true" customWidth="true"/>
    <col min="167" max="170" width="9" style="74" bestFit="true" customWidth="true"/>
    <col min="171" max="176" width="8.83203125" style="74"/>
    <col min="177" max="177" width="13.83203125" style="74" bestFit="true" customWidth="true"/>
    <col min="178" max="16384" width="8.83203125" style="74"/>
  </cols>
  <sheetData>
    <row r="1" ht="15" customHeight="true" x14ac:dyDescent="0.15">
      <c r="A1" t="s">
        <v>15</v>
      </c>
      <c r="B1" t="s">
        <v>1</v>
      </c>
      <c r="C1" t="s">
        <v>16</v>
      </c>
      <c r="D1" t="s">
        <v>288</v>
      </c>
      <c r="E1" t="s">
        <v>289</v>
      </c>
      <c r="F1" t="s">
        <v>290</v>
      </c>
      <c r="G1" t="s">
        <v>291</v>
      </c>
      <c r="H1" t="s">
        <v>292</v>
      </c>
      <c r="I1" t="s">
        <v>293</v>
      </c>
      <c r="J1" t="s">
        <v>294</v>
      </c>
      <c r="K1" t="s">
        <v>295</v>
      </c>
      <c r="L1" t="s">
        <v>296</v>
      </c>
      <c r="M1" t="s">
        <v>297</v>
      </c>
      <c r="N1" t="s">
        <v>298</v>
      </c>
      <c r="O1" t="s">
        <v>299</v>
      </c>
      <c r="P1" t="s">
        <v>167</v>
      </c>
      <c r="Q1" t="s">
        <v>168</v>
      </c>
      <c r="R1" t="s">
        <v>169</v>
      </c>
      <c r="S1" t="s">
        <v>170</v>
      </c>
      <c r="T1" t="s">
        <v>171</v>
      </c>
      <c r="U1" t="s">
        <v>172</v>
      </c>
      <c r="V1" t="s">
        <v>173</v>
      </c>
      <c r="W1" t="s">
        <v>174</v>
      </c>
      <c r="X1" t="s">
        <v>175</v>
      </c>
      <c r="Y1" t="s">
        <v>176</v>
      </c>
      <c r="Z1" t="s">
        <v>177</v>
      </c>
      <c r="AA1" t="s">
        <v>178</v>
      </c>
      <c r="AB1" t="s">
        <v>179</v>
      </c>
      <c r="AC1" t="s">
        <v>180</v>
      </c>
      <c r="AD1" t="s">
        <v>181</v>
      </c>
      <c r="AE1" t="s">
        <v>182</v>
      </c>
      <c r="AF1" t="s">
        <v>183</v>
      </c>
      <c r="AG1" t="s">
        <v>184</v>
      </c>
      <c r="AH1" t="s">
        <v>185</v>
      </c>
      <c r="AI1" t="s">
        <v>186</v>
      </c>
      <c r="AJ1" t="s">
        <v>187</v>
      </c>
      <c r="AK1" t="s">
        <v>188</v>
      </c>
      <c r="AL1" t="s">
        <v>189</v>
      </c>
      <c r="AM1" t="s">
        <v>190</v>
      </c>
      <c r="AN1" t="s">
        <v>191</v>
      </c>
      <c r="AO1" t="s">
        <v>192</v>
      </c>
      <c r="AP1" t="s">
        <v>193</v>
      </c>
      <c r="AQ1" t="s">
        <v>194</v>
      </c>
      <c r="AR1" t="s">
        <v>195</v>
      </c>
      <c r="AS1" t="s">
        <v>196</v>
      </c>
      <c r="AT1" t="s">
        <v>197</v>
      </c>
      <c r="AU1" t="s">
        <v>198</v>
      </c>
      <c r="AV1" t="s">
        <v>199</v>
      </c>
      <c r="AW1" t="s">
        <v>200</v>
      </c>
      <c r="AX1" t="s">
        <v>201</v>
      </c>
      <c r="AY1" t="s">
        <v>202</v>
      </c>
      <c r="AZ1" t="s">
        <v>203</v>
      </c>
      <c r="BA1" t="s">
        <v>204</v>
      </c>
      <c r="BB1" t="s">
        <v>205</v>
      </c>
      <c r="BC1" t="s">
        <v>206</v>
      </c>
      <c r="BD1" t="s">
        <v>207</v>
      </c>
      <c r="BE1" t="s">
        <v>208</v>
      </c>
      <c r="BF1" t="s">
        <v>209</v>
      </c>
      <c r="BG1" t="s">
        <v>210</v>
      </c>
      <c r="BH1" t="s">
        <v>211</v>
      </c>
      <c r="BI1" t="s">
        <v>212</v>
      </c>
      <c r="BJ1" t="s">
        <v>213</v>
      </c>
      <c r="BK1" t="s">
        <v>214</v>
      </c>
      <c r="BL1" t="s">
        <v>215</v>
      </c>
      <c r="BM1" t="s">
        <v>216</v>
      </c>
      <c r="BN1" t="s">
        <v>217</v>
      </c>
      <c r="BO1" t="s">
        <v>218</v>
      </c>
      <c r="BP1" t="s">
        <v>219</v>
      </c>
      <c r="BQ1" t="s">
        <v>220</v>
      </c>
      <c r="BR1" t="s">
        <v>221</v>
      </c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ht="15" customHeight="true" x14ac:dyDescent="0.15">
      <c r="A2" t="s">
        <v>167</v>
      </c>
      <c r="B2">
        <v>0.10000000149011612</v>
      </c>
      <c r="C2">
        <v>9.1923326253890991E-2</v>
      </c>
      <c r="D2"/>
      <c r="E2"/>
      <c r="F2"/>
      <c r="G2"/>
      <c r="H2"/>
      <c r="I2"/>
      <c r="J2"/>
      <c r="K2"/>
      <c r="L2"/>
      <c r="M2"/>
      <c r="N2"/>
      <c r="O2"/>
      <c r="P2" s="222">
        <v>8.0766761675477028E-3</v>
      </c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ht="15" customHeight="true" x14ac:dyDescent="0.15">
      <c r="A3" t="s">
        <v>168</v>
      </c>
      <c r="B3">
        <v>0.10000000149011612</v>
      </c>
      <c r="C3">
        <v>0.10000000149011612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ht="15" customHeight="true" x14ac:dyDescent="0.15">
      <c r="A4" t="s">
        <v>169</v>
      </c>
      <c r="B4">
        <v>0.18999999761581421</v>
      </c>
      <c r="C4">
        <v>0.14615519344806671</v>
      </c>
      <c r="D4"/>
      <c r="E4"/>
      <c r="F4"/>
      <c r="G4"/>
      <c r="H4"/>
      <c r="I4"/>
      <c r="J4"/>
      <c r="K4"/>
      <c r="L4"/>
      <c r="M4"/>
      <c r="N4"/>
      <c r="O4"/>
      <c r="P4" s="224">
        <v>4.3844811618328094E-2</v>
      </c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ht="15" customHeight="true" x14ac:dyDescent="0.15">
      <c r="A5" t="s">
        <v>170</v>
      </c>
      <c r="B5">
        <v>0.10000000149011612</v>
      </c>
      <c r="C5">
        <v>0.10000000149011612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ht="15" customHeight="true" x14ac:dyDescent="0.15">
      <c r="A6" t="s">
        <v>171</v>
      </c>
      <c r="B6">
        <v>0.68000000715255737</v>
      </c>
      <c r="C6">
        <v>0.10801274329423904</v>
      </c>
      <c r="D6" s="10">
        <v>3.9495796954724938E-5</v>
      </c>
      <c r="E6"/>
      <c r="F6" s="218">
        <v>0.37988907098770142</v>
      </c>
      <c r="G6" s="10">
        <v>1.1848739814013243E-4</v>
      </c>
      <c r="H6"/>
      <c r="I6"/>
      <c r="J6"/>
      <c r="K6" s="14">
        <v>6.6907564178109169E-3</v>
      </c>
      <c r="L6"/>
      <c r="M6"/>
      <c r="N6" s="68">
        <v>4.4068906456232071E-2</v>
      </c>
      <c r="O6"/>
      <c r="P6"/>
      <c r="Q6"/>
      <c r="R6"/>
      <c r="S6"/>
      <c r="T6" s="234">
        <v>7.4222661554813385E-2</v>
      </c>
      <c r="U6"/>
      <c r="V6"/>
      <c r="W6"/>
      <c r="X6"/>
      <c r="Y6" s="233">
        <v>6.6957883536815643E-2</v>
      </c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ht="15" customHeight="true" x14ac:dyDescent="0.15">
      <c r="A7" t="s">
        <v>172</v>
      </c>
      <c r="B7">
        <v>0.10999999940395355</v>
      </c>
      <c r="C7">
        <v>5.4999999701976776E-2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 s="162">
        <v>5.4999999701976776E-2</v>
      </c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ht="15" customHeight="true" x14ac:dyDescent="0.15">
      <c r="A8" t="s">
        <v>173</v>
      </c>
      <c r="B8">
        <v>0.40999999642372131</v>
      </c>
      <c r="C8">
        <v>5.8045376092195511E-2</v>
      </c>
      <c r="D8" s="10">
        <v>2.7908495394513011E-4</v>
      </c>
      <c r="E8" s="10">
        <v>3.9215683500515297E-6</v>
      </c>
      <c r="F8" s="23">
        <v>1.1193463578820229E-2</v>
      </c>
      <c r="G8" s="10">
        <v>4.3137250031577423E-5</v>
      </c>
      <c r="H8" s="10">
        <v>1.3071895637040143E-6</v>
      </c>
      <c r="I8"/>
      <c r="J8"/>
      <c r="K8" s="11">
        <v>1.4254902489483356E-3</v>
      </c>
      <c r="L8"/>
      <c r="M8"/>
      <c r="N8" s="222">
        <v>3.3205226063728333E-2</v>
      </c>
      <c r="O8"/>
      <c r="P8"/>
      <c r="Q8"/>
      <c r="R8"/>
      <c r="S8"/>
      <c r="T8" s="69">
        <v>5.7728737592697144E-2</v>
      </c>
      <c r="U8"/>
      <c r="V8" s="235">
        <v>6.5799996256828308E-2</v>
      </c>
      <c r="W8"/>
      <c r="X8"/>
      <c r="Y8" s="247">
        <v>0.18227425217628479</v>
      </c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ht="15" customHeight="true" x14ac:dyDescent="0.15">
      <c r="A9" t="s">
        <v>174</v>
      </c>
      <c r="B9">
        <v>0.37999999523162842</v>
      </c>
      <c r="C9">
        <v>0.13315796852111816</v>
      </c>
      <c r="D9"/>
      <c r="E9" s="10">
        <v>3.4602076084411237E-6</v>
      </c>
      <c r="F9" s="13">
        <v>1.099851680919528E-3</v>
      </c>
      <c r="G9" s="10">
        <v>1.2184873776277527E-4</v>
      </c>
      <c r="H9"/>
      <c r="I9"/>
      <c r="J9"/>
      <c r="K9" s="10">
        <v>2.2244191768550081E-6</v>
      </c>
      <c r="L9"/>
      <c r="M9" s="10">
        <v>7.4147305895166937E-7</v>
      </c>
      <c r="N9"/>
      <c r="O9"/>
      <c r="P9"/>
      <c r="Q9"/>
      <c r="R9"/>
      <c r="S9"/>
      <c r="T9" s="236">
        <v>2.6196235790848732E-2</v>
      </c>
      <c r="U9"/>
      <c r="V9" s="265">
        <v>0.1866176575422287</v>
      </c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 s="239">
        <v>3.2800000160932541E-2</v>
      </c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ht="15" customHeight="true" x14ac:dyDescent="0.15">
      <c r="A10" t="s">
        <v>175</v>
      </c>
      <c r="B10">
        <v>1.059999942779541</v>
      </c>
      <c r="C10">
        <v>0.18482807278633118</v>
      </c>
      <c r="D10"/>
      <c r="E10"/>
      <c r="F10"/>
      <c r="G10"/>
      <c r="H10"/>
      <c r="I10"/>
      <c r="J10"/>
      <c r="K10" s="10">
        <v>1.1764705050154589E-5</v>
      </c>
      <c r="L10"/>
      <c r="M10"/>
      <c r="N10" s="10">
        <v>6.1254895990714431E-4</v>
      </c>
      <c r="O10"/>
      <c r="P10"/>
      <c r="Q10"/>
      <c r="R10"/>
      <c r="S10"/>
      <c r="T10" s="261">
        <v>0.24246072769165039</v>
      </c>
      <c r="U10"/>
      <c r="V10"/>
      <c r="W10"/>
      <c r="X10" s="218">
        <v>0.59203976392745972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 s="59">
        <v>2.3783786222338676E-2</v>
      </c>
      <c r="AO10" s="15">
        <v>1.6263332217931747E-2</v>
      </c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ht="15" customHeight="true" x14ac:dyDescent="0.15">
      <c r="A11" t="s">
        <v>176</v>
      </c>
      <c r="B11">
        <v>0.63999998569488525</v>
      </c>
      <c r="C11">
        <v>1.5441818162798882E-2</v>
      </c>
      <c r="D11" s="10">
        <v>2.0639385911636055E-4</v>
      </c>
      <c r="E11" s="22">
        <v>3.7749360781162977E-3</v>
      </c>
      <c r="F11" s="219">
        <v>5.2296418696641922E-2</v>
      </c>
      <c r="G11" s="13">
        <v>9.5421995501965284E-4</v>
      </c>
      <c r="H11" s="10">
        <v>2.8849105001427233E-4</v>
      </c>
      <c r="I11"/>
      <c r="J11" s="10">
        <v>6.1381074374367017E-6</v>
      </c>
      <c r="K11" s="17">
        <v>7.5132991187274456E-3</v>
      </c>
      <c r="L11" s="13">
        <v>1.5626597451046109E-3</v>
      </c>
      <c r="M11" s="13">
        <v>1.4892582548782229E-3</v>
      </c>
      <c r="N11" s="13">
        <v>1.0687978938221931E-3</v>
      </c>
      <c r="O11" s="10">
        <v>5.9335037803975865E-5</v>
      </c>
      <c r="P11" s="253">
        <v>0.11342485249042511</v>
      </c>
      <c r="Q11" s="13">
        <v>7.0196978049352765E-4</v>
      </c>
      <c r="R11"/>
      <c r="S11"/>
      <c r="T11" s="263">
        <v>0.19201080501079559</v>
      </c>
      <c r="U11"/>
      <c r="V11" s="64">
        <v>3.218478336930275E-2</v>
      </c>
      <c r="W11"/>
      <c r="X11"/>
      <c r="Y11" s="252">
        <v>0.10189241915941238</v>
      </c>
      <c r="Z11" s="125">
        <v>6.3525117933750153E-2</v>
      </c>
      <c r="AA11"/>
      <c r="AB11"/>
      <c r="AC11"/>
      <c r="AD11"/>
      <c r="AE11"/>
      <c r="AF11"/>
      <c r="AG11"/>
      <c r="AH11"/>
      <c r="AI11"/>
      <c r="AJ11"/>
      <c r="AK11"/>
      <c r="AL11"/>
      <c r="AM11"/>
      <c r="AN11" s="60">
        <v>2.5851940736174583E-2</v>
      </c>
      <c r="AO11" s="225">
        <v>1.4849130064249039E-2</v>
      </c>
      <c r="AP11"/>
      <c r="AQ11"/>
      <c r="AR11"/>
      <c r="AS11" s="18">
        <v>1.0897230356931686E-2</v>
      </c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ht="15" customHeight="true" x14ac:dyDescent="0.15">
      <c r="A12" t="s">
        <v>177</v>
      </c>
      <c r="B12">
        <v>0.37999999523162842</v>
      </c>
      <c r="C12">
        <v>1.9805451855063438E-2</v>
      </c>
      <c r="D12" s="10">
        <v>5.4644810916215647E-6</v>
      </c>
      <c r="E12" s="15">
        <v>6.0337511822581291E-3</v>
      </c>
      <c r="F12" s="98">
        <v>7.3580838739871979E-2</v>
      </c>
      <c r="G12" s="10">
        <v>2.2597235511057079E-4</v>
      </c>
      <c r="H12" s="10">
        <v>2.0250723537174053E-5</v>
      </c>
      <c r="I12"/>
      <c r="J12"/>
      <c r="K12" s="21">
        <v>3.1976855825632811E-3</v>
      </c>
      <c r="L12" s="10">
        <v>3.5358405057195341E-6</v>
      </c>
      <c r="M12" s="10">
        <v>6.42880138457258E-7</v>
      </c>
      <c r="N12" s="10">
        <v>3.2465446565765887E-5</v>
      </c>
      <c r="O12"/>
      <c r="P12"/>
      <c r="Q12"/>
      <c r="R12"/>
      <c r="S12"/>
      <c r="T12" s="256">
        <v>0.16182975471019745</v>
      </c>
      <c r="U12"/>
      <c r="V12" s="16">
        <v>4.8540984280407429E-3</v>
      </c>
      <c r="W12"/>
      <c r="X12" s="97">
        <v>6.9325514137744904E-2</v>
      </c>
      <c r="Y12" s="228">
        <v>3.841845691204071E-2</v>
      </c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 s="21">
        <v>2.6661204174160957E-3</v>
      </c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ht="15" customHeight="true" x14ac:dyDescent="0.15">
      <c r="A13" t="s">
        <v>178</v>
      </c>
      <c r="B13">
        <v>0.76999998092651367</v>
      </c>
      <c r="C13">
        <v>1.8715526908636093E-2</v>
      </c>
      <c r="D13"/>
      <c r="E13" s="27">
        <v>2.698412723839283E-2</v>
      </c>
      <c r="F13"/>
      <c r="G13"/>
      <c r="H13"/>
      <c r="I13"/>
      <c r="J13"/>
      <c r="K13"/>
      <c r="L13"/>
      <c r="M13"/>
      <c r="N13"/>
      <c r="O13"/>
      <c r="P13" s="251">
        <v>0.18268705904483795</v>
      </c>
      <c r="Q13" s="13">
        <v>1.2813734356313944E-3</v>
      </c>
      <c r="R13"/>
      <c r="S13"/>
      <c r="T13" s="255">
        <v>0.23503844439983368</v>
      </c>
      <c r="U13"/>
      <c r="V13" s="14">
        <v>7.0500001311302185E-3</v>
      </c>
      <c r="W13"/>
      <c r="X13" s="254">
        <v>0.20137409865856171</v>
      </c>
      <c r="Y13" s="244">
        <v>9.2997059226036072E-2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 s="22">
        <v>3.8722222670912743E-3</v>
      </c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ht="15" customHeight="true" x14ac:dyDescent="0.15">
      <c r="A14" t="s">
        <v>179</v>
      </c>
      <c r="B14">
        <v>1.0499999523162842</v>
      </c>
      <c r="C14">
        <v>9.0995281934738159E-3</v>
      </c>
      <c r="D14" s="10">
        <v>3.808823530562222E-4</v>
      </c>
      <c r="E14" s="10">
        <v>5.3257349645718932E-4</v>
      </c>
      <c r="F14" s="10">
        <v>7.7575974864885211E-4</v>
      </c>
      <c r="G14"/>
      <c r="H14"/>
      <c r="I14"/>
      <c r="J14"/>
      <c r="K14"/>
      <c r="L14" s="22">
        <v>6.9376467727124691E-3</v>
      </c>
      <c r="M14" s="10">
        <v>8.7852933211252093E-4</v>
      </c>
      <c r="N14"/>
      <c r="O14"/>
      <c r="P14" s="24">
        <v>3.3888448029756546E-2</v>
      </c>
      <c r="Q14" s="21">
        <v>8.0726537853479385E-3</v>
      </c>
      <c r="R14" s="10">
        <v>7.0471724029630423E-5</v>
      </c>
      <c r="S14"/>
      <c r="T14" s="15">
        <v>1.5803242102265358E-2</v>
      </c>
      <c r="U14"/>
      <c r="V14" s="11">
        <v>4.5648752711713314E-3</v>
      </c>
      <c r="W14"/>
      <c r="X14" s="64">
        <v>5.2860699594020844E-2</v>
      </c>
      <c r="Y14" s="279">
        <v>0.14647036790847778</v>
      </c>
      <c r="Z14" s="254">
        <v>0.27395206689834595</v>
      </c>
      <c r="AA14" s="280">
        <v>0.18350318074226379</v>
      </c>
      <c r="AB14"/>
      <c r="AC14" s="21">
        <v>7.3753735050559044E-3</v>
      </c>
      <c r="AD14" s="270">
        <v>0.11651741713285446</v>
      </c>
      <c r="AE14"/>
      <c r="AF14" s="22">
        <v>5.4021072573959827E-3</v>
      </c>
      <c r="AG14" s="25">
        <v>2.7664665132761002E-2</v>
      </c>
      <c r="AH14"/>
      <c r="AI14"/>
      <c r="AJ14"/>
      <c r="AK14"/>
      <c r="AL14"/>
      <c r="AM14"/>
      <c r="AN14" s="23">
        <v>2.8738738968968391E-2</v>
      </c>
      <c r="AO14" s="17">
        <v>1.179091539233923E-2</v>
      </c>
      <c r="AP14" s="24">
        <v>3.3084247261285782E-2</v>
      </c>
      <c r="AQ14"/>
      <c r="AR14"/>
      <c r="AS14" s="13">
        <v>1.5873630763962865E-3</v>
      </c>
      <c r="AT14"/>
      <c r="AU14"/>
      <c r="AV14"/>
      <c r="AW14" s="26">
        <v>8.0048233270645142E-2</v>
      </c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ht="15" customHeight="true" x14ac:dyDescent="0.15">
      <c r="A15" t="s">
        <v>180</v>
      </c>
      <c r="B15">
        <v>1.559999942779541</v>
      </c>
      <c r="C15">
        <v>0.50830870866775513</v>
      </c>
      <c r="D15" s="10">
        <v>2.6737968283896407E-8</v>
      </c>
      <c r="E15" s="10">
        <v>1.1612566886469722E-3</v>
      </c>
      <c r="F15"/>
      <c r="G15"/>
      <c r="H15"/>
      <c r="I15"/>
      <c r="J15"/>
      <c r="K15" s="10">
        <v>4.8128339358299854E-7</v>
      </c>
      <c r="L15" s="10">
        <v>4.8946525203064084E-4</v>
      </c>
      <c r="M15" s="10">
        <v>1.8716578153998853E-7</v>
      </c>
      <c r="N15"/>
      <c r="O15"/>
      <c r="P15"/>
      <c r="Q15" s="10">
        <v>7.3387745942454785E-5</v>
      </c>
      <c r="R15"/>
      <c r="S15"/>
      <c r="T15" s="16">
        <v>2.1726997569203377E-2</v>
      </c>
      <c r="U15"/>
      <c r="V15" s="13">
        <v>4.0377271361649036E-3</v>
      </c>
      <c r="W15"/>
      <c r="X15" s="12">
        <v>5.7666219770908356E-2</v>
      </c>
      <c r="Y15" s="58">
        <v>8.5236161947250366E-2</v>
      </c>
      <c r="Z15"/>
      <c r="AA15"/>
      <c r="AB15"/>
      <c r="AC15" s="22">
        <v>8.0458624288439751E-3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 s="218">
        <v>0.8732534646987915</v>
      </c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ht="15" customHeight="true" x14ac:dyDescent="0.15">
      <c r="A16" t="s">
        <v>181</v>
      </c>
      <c r="B16">
        <v>0.87000000476837158</v>
      </c>
      <c r="C16">
        <v>4.2195260524749756E-2</v>
      </c>
      <c r="D16"/>
      <c r="E16" s="10">
        <v>5.3533335449174047E-4</v>
      </c>
      <c r="F16"/>
      <c r="G16"/>
      <c r="H16"/>
      <c r="I16"/>
      <c r="J16"/>
      <c r="K16"/>
      <c r="L16" s="13">
        <v>1.3030589325353503E-3</v>
      </c>
      <c r="M16"/>
      <c r="N16"/>
      <c r="O16"/>
      <c r="P16" s="20">
        <v>1.6368761658668518E-2</v>
      </c>
      <c r="Q16" s="11">
        <v>2.6908849831670523E-3</v>
      </c>
      <c r="R16"/>
      <c r="S16"/>
      <c r="T16" s="12">
        <v>3.3251754939556122E-2</v>
      </c>
      <c r="U16" s="21">
        <v>6.0690175741910934E-3</v>
      </c>
      <c r="V16" s="22">
        <v>5.9220003895461559E-3</v>
      </c>
      <c r="W16"/>
      <c r="X16" s="274">
        <v>9.3034833669662476E-2</v>
      </c>
      <c r="Y16" s="270">
        <v>9.6865735948085785E-2</v>
      </c>
      <c r="Z16" s="93">
        <v>0.10714569687843323</v>
      </c>
      <c r="AA16" s="275">
        <v>0.17321737110614777</v>
      </c>
      <c r="AB16"/>
      <c r="AC16" s="16">
        <v>1.1800598353147507E-2</v>
      </c>
      <c r="AD16" s="249">
        <v>0.11651742458343506</v>
      </c>
      <c r="AE16"/>
      <c r="AF16"/>
      <c r="AG16"/>
      <c r="AH16"/>
      <c r="AI16"/>
      <c r="AJ16"/>
      <c r="AK16"/>
      <c r="AL16"/>
      <c r="AM16"/>
      <c r="AN16" s="27">
        <v>3.012613020837307E-2</v>
      </c>
      <c r="AO16" s="22">
        <v>4.8790001310408115E-3</v>
      </c>
      <c r="AP16"/>
      <c r="AQ16"/>
      <c r="AR16"/>
      <c r="AS16"/>
      <c r="AT16"/>
      <c r="AU16"/>
      <c r="AV16"/>
      <c r="AW16" s="277">
        <v>0.1280771791934967</v>
      </c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ht="15" customHeight="true" x14ac:dyDescent="0.15">
      <c r="A17" t="s">
        <v>182</v>
      </c>
      <c r="B17">
        <v>1.2000000476837158</v>
      </c>
      <c r="C17">
        <v>0.13427919149398804</v>
      </c>
      <c r="D17"/>
      <c r="E17" s="21">
        <v>8.8222222402691841E-3</v>
      </c>
      <c r="F17"/>
      <c r="G17"/>
      <c r="H17"/>
      <c r="I17"/>
      <c r="J17"/>
      <c r="K17"/>
      <c r="L17" s="10">
        <v>9.8039206932298839E-5</v>
      </c>
      <c r="M17"/>
      <c r="N17"/>
      <c r="O17"/>
      <c r="P17"/>
      <c r="Q17"/>
      <c r="R17"/>
      <c r="S17"/>
      <c r="T17"/>
      <c r="U17"/>
      <c r="V17"/>
      <c r="W17"/>
      <c r="X17"/>
      <c r="Y17" s="96">
        <v>0.20789679884910583</v>
      </c>
      <c r="Z17"/>
      <c r="AA17"/>
      <c r="AB17"/>
      <c r="AC17"/>
      <c r="AD17"/>
      <c r="AE17"/>
      <c r="AF17"/>
      <c r="AG17"/>
      <c r="AH17"/>
      <c r="AI17" s="260">
        <v>0.79320675134658813</v>
      </c>
      <c r="AJ17"/>
      <c r="AK17"/>
      <c r="AL17"/>
      <c r="AM17"/>
      <c r="AN17"/>
      <c r="AO17"/>
      <c r="AP17"/>
      <c r="AQ17"/>
      <c r="AR17"/>
      <c r="AS17" s="28">
        <v>5.569695308804512E-2</v>
      </c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ht="15" customHeight="true" x14ac:dyDescent="0.15">
      <c r="A18" t="s">
        <v>183</v>
      </c>
      <c r="B18">
        <v>0.63999998569488525</v>
      </c>
      <c r="C18">
        <v>1.1001701466739178E-2</v>
      </c>
      <c r="D18" s="10">
        <v>1.9607843569247052E-5</v>
      </c>
      <c r="E18" s="21">
        <v>5.1289219409227371E-3</v>
      </c>
      <c r="F18" s="220">
        <v>4.7771569341421127E-2</v>
      </c>
      <c r="G18"/>
      <c r="H18" s="10">
        <v>1.1764706869143993E-5</v>
      </c>
      <c r="I18"/>
      <c r="J18"/>
      <c r="K18" s="11">
        <v>2.3053924087435007E-3</v>
      </c>
      <c r="L18" s="10">
        <v>1.6666666851961054E-5</v>
      </c>
      <c r="M18" s="10">
        <v>2.1568626834778115E-5</v>
      </c>
      <c r="N18"/>
      <c r="O18" s="10">
        <v>8.8235292423632927E-6</v>
      </c>
      <c r="P18"/>
      <c r="Q18" s="240">
        <v>6.6599398851394653E-2</v>
      </c>
      <c r="R18"/>
      <c r="S18"/>
      <c r="T18"/>
      <c r="U18"/>
      <c r="V18"/>
      <c r="W18"/>
      <c r="X18"/>
      <c r="Y18"/>
      <c r="Z18" s="248">
        <v>0.14610777795314789</v>
      </c>
      <c r="AA18"/>
      <c r="AB18"/>
      <c r="AC18"/>
      <c r="AD18"/>
      <c r="AE18"/>
      <c r="AF18" s="125">
        <v>6.355421245098114E-2</v>
      </c>
      <c r="AG18"/>
      <c r="AH18"/>
      <c r="AI18" s="259">
        <v>0.29745253920555115</v>
      </c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ht="15" customHeight="true" x14ac:dyDescent="0.15">
      <c r="A19" t="s">
        <v>184</v>
      </c>
      <c r="B19">
        <v>0.64999997615814209</v>
      </c>
      <c r="C19">
        <v>1.1382892727851868E-2</v>
      </c>
      <c r="D19" s="10">
        <v>1.9453780623734929E-5</v>
      </c>
      <c r="E19" s="16">
        <v>8.7486132979393005E-3</v>
      </c>
      <c r="F19" s="15">
        <v>9.8460083827376366E-3</v>
      </c>
      <c r="G19" s="10">
        <v>2.8731091879308224E-4</v>
      </c>
      <c r="H19" s="13">
        <v>9.0033613378182054E-4</v>
      </c>
      <c r="I19" s="10">
        <v>7.1428570436182781E-7</v>
      </c>
      <c r="J19" s="10">
        <v>8.2773103713407181E-6</v>
      </c>
      <c r="K19" s="10">
        <v>3.2810925040394068E-4</v>
      </c>
      <c r="L19" s="10">
        <v>2.1302521417965181E-5</v>
      </c>
      <c r="M19" s="10">
        <v>6.075630517443642E-5</v>
      </c>
      <c r="N19" s="10">
        <v>6.8907561399100814E-6</v>
      </c>
      <c r="O19" s="10">
        <v>2.1495798137038946E-4</v>
      </c>
      <c r="P19"/>
      <c r="Q19" s="17">
        <v>8.0726547166705132E-3</v>
      </c>
      <c r="R19"/>
      <c r="S19"/>
      <c r="T19" s="21">
        <v>5.5667003616690636E-3</v>
      </c>
      <c r="U19"/>
      <c r="V19" s="14">
        <v>6.345000583678484E-3</v>
      </c>
      <c r="W19"/>
      <c r="X19"/>
      <c r="Y19" s="97">
        <v>0.11878328025341034</v>
      </c>
      <c r="Z19" s="28">
        <v>3.0265182256698608E-2</v>
      </c>
      <c r="AA19" s="221">
        <v>0.12506593763828278</v>
      </c>
      <c r="AB19"/>
      <c r="AC19"/>
      <c r="AD19"/>
      <c r="AE19"/>
      <c r="AF19" s="226">
        <v>2.1790016442537308E-2</v>
      </c>
      <c r="AG19" s="264">
        <v>3.1616762280464172E-2</v>
      </c>
      <c r="AH19"/>
      <c r="AI19"/>
      <c r="AJ19"/>
      <c r="AK19" s="275">
        <v>0.12946493923664093</v>
      </c>
      <c r="AL19"/>
      <c r="AM19"/>
      <c r="AN19" s="25">
        <v>1.6988418996334076E-2</v>
      </c>
      <c r="AO19" s="59">
        <v>1.4636999927461147E-2</v>
      </c>
      <c r="AP19"/>
      <c r="AQ19"/>
      <c r="AR19"/>
      <c r="AS19" s="14">
        <v>6.8029854446649551E-3</v>
      </c>
      <c r="AT19"/>
      <c r="AU19"/>
      <c r="AV19"/>
      <c r="AW19"/>
      <c r="AX19"/>
      <c r="AY19"/>
      <c r="AZ19"/>
      <c r="BA19" s="26">
        <v>5.002245306968689E-2</v>
      </c>
      <c r="BB19" s="222">
        <v>5.275300145149231E-2</v>
      </c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ht="15" customHeight="true" x14ac:dyDescent="0.15">
      <c r="A20" t="s">
        <v>185</v>
      </c>
      <c r="B20">
        <v>1.3400000333786011</v>
      </c>
      <c r="C20">
        <v>0.27002900838851929</v>
      </c>
      <c r="D20" s="10">
        <v>1.2605041774804704E-6</v>
      </c>
      <c r="E20" s="14">
        <v>1.2361008673906326E-2</v>
      </c>
      <c r="F20" s="13">
        <v>2.7372268959879875E-3</v>
      </c>
      <c r="G20" s="10">
        <v>3.9495798773714341E-6</v>
      </c>
      <c r="H20"/>
      <c r="I20"/>
      <c r="J20"/>
      <c r="K20" s="10">
        <v>6.1680671933572739E-5</v>
      </c>
      <c r="L20"/>
      <c r="M20" s="10">
        <v>2.6050420274259523E-6</v>
      </c>
      <c r="N20"/>
      <c r="O20" s="10">
        <v>4.3277312215650454E-5</v>
      </c>
      <c r="P20" s="278">
        <v>0.46037143468856812</v>
      </c>
      <c r="Q20" s="21">
        <v>1.1417039670050144E-2</v>
      </c>
      <c r="R20"/>
      <c r="S20"/>
      <c r="T20" s="127">
        <v>3.8595791906118393E-2</v>
      </c>
      <c r="U20"/>
      <c r="V20"/>
      <c r="W20"/>
      <c r="X20"/>
      <c r="Y20" s="250">
        <v>0.20428849756717682</v>
      </c>
      <c r="Z20"/>
      <c r="AA20"/>
      <c r="AB20"/>
      <c r="AC20"/>
      <c r="AD20"/>
      <c r="AE20"/>
      <c r="AF20" s="15">
        <v>2.1790012717247009E-2</v>
      </c>
      <c r="AG20" s="17">
        <v>1.5808381140232086E-2</v>
      </c>
      <c r="AH20"/>
      <c r="AI20"/>
      <c r="AJ20"/>
      <c r="AK20" s="272">
        <v>0.1588888019323349</v>
      </c>
      <c r="AL20"/>
      <c r="AM20"/>
      <c r="AN20" s="22">
        <v>6.7953681573271751E-3</v>
      </c>
      <c r="AO20" s="27">
        <v>4.6001996845006943E-2</v>
      </c>
      <c r="AP20" s="95">
        <v>8.822467178106308E-2</v>
      </c>
      <c r="AQ20"/>
      <c r="AR20"/>
      <c r="AS20" s="13">
        <v>2.5779730640351772E-3</v>
      </c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ht="15" customHeight="true" x14ac:dyDescent="0.15">
      <c r="A21" t="s">
        <v>186</v>
      </c>
      <c r="B21">
        <v>0.44999998807907104</v>
      </c>
      <c r="C21">
        <v>3.2867331057786942E-2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 s="18">
        <v>7.9320678487420082E-3</v>
      </c>
      <c r="AJ21"/>
      <c r="AK21" s="228">
        <v>4.5770429074764252E-2</v>
      </c>
      <c r="AL21"/>
      <c r="AM21"/>
      <c r="AN21" s="61">
        <v>2.6426428928971291E-2</v>
      </c>
      <c r="AO21" s="237">
        <v>0.14094889163970947</v>
      </c>
      <c r="AP21" s="241">
        <v>0.1960548460483551</v>
      </c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ht="15" customHeight="true" x14ac:dyDescent="0.15">
      <c r="A22" t="s">
        <v>187</v>
      </c>
      <c r="B22">
        <v>1.2000000476837158</v>
      </c>
      <c r="C22">
        <v>1.4238167554140091E-2</v>
      </c>
      <c r="D22"/>
      <c r="E22" s="11">
        <v>5.4077403619885445E-3</v>
      </c>
      <c r="F22" s="10">
        <v>8.6687308794353157E-5</v>
      </c>
      <c r="G22" s="10">
        <v>3.095975387168437E-7</v>
      </c>
      <c r="H22"/>
      <c r="I22"/>
      <c r="J22"/>
      <c r="K22" s="10">
        <v>4.2631578980945051E-4</v>
      </c>
      <c r="L22"/>
      <c r="M22"/>
      <c r="N22" s="21">
        <v>8.5095977410674095E-3</v>
      </c>
      <c r="O22"/>
      <c r="P22"/>
      <c r="Q22"/>
      <c r="R22"/>
      <c r="S22"/>
      <c r="T22" s="13">
        <v>2.7345193084329367E-3</v>
      </c>
      <c r="U22"/>
      <c r="V22" s="11">
        <v>4.6752630732953548E-3</v>
      </c>
      <c r="W22"/>
      <c r="X22"/>
      <c r="Y22" s="24">
        <v>3.7052378058433533E-2</v>
      </c>
      <c r="Z22"/>
      <c r="AA22"/>
      <c r="AB22"/>
      <c r="AC22"/>
      <c r="AD22"/>
      <c r="AE22"/>
      <c r="AF22"/>
      <c r="AG22"/>
      <c r="AH22"/>
      <c r="AI22" s="237">
        <v>0.37572953104972839</v>
      </c>
      <c r="AJ22"/>
      <c r="AK22" s="256">
        <v>0.50949716567993164</v>
      </c>
      <c r="AL22"/>
      <c r="AM22"/>
      <c r="AN22" s="28">
        <v>5.6330021470785141E-2</v>
      </c>
      <c r="AO22" s="26">
        <v>9.2444203794002533E-2</v>
      </c>
      <c r="AP22" s="26">
        <v>9.286808967590332E-2</v>
      </c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ht="15" customHeight="true" x14ac:dyDescent="0.15">
      <c r="A23" t="s">
        <v>188</v>
      </c>
      <c r="B23">
        <v>0.55000001192092896</v>
      </c>
      <c r="C23">
        <v>4.2131613940000534E-2</v>
      </c>
      <c r="D23" s="10">
        <v>2.4489796487614512E-5</v>
      </c>
      <c r="E23" s="13">
        <v>7.5534213101491332E-4</v>
      </c>
      <c r="F23" s="11">
        <v>1.8348138546571136E-3</v>
      </c>
      <c r="G23" s="10">
        <v>1.1284513675491326E-5</v>
      </c>
      <c r="H23" s="10">
        <v>7.2028814201985369E-7</v>
      </c>
      <c r="I23"/>
      <c r="J23" s="13">
        <v>1.1855941265821457E-3</v>
      </c>
      <c r="K23" s="10">
        <v>1.0684273729566485E-4</v>
      </c>
      <c r="L23"/>
      <c r="M23" s="10">
        <v>1.6566626072744839E-5</v>
      </c>
      <c r="N23" s="10">
        <v>2.3241296003106982E-4</v>
      </c>
      <c r="O23" s="10">
        <v>2.8091235435567796E-5</v>
      </c>
      <c r="P23"/>
      <c r="Q23"/>
      <c r="R23"/>
      <c r="S23"/>
      <c r="T23" s="238">
        <v>3.1809713691473007E-2</v>
      </c>
      <c r="U23"/>
      <c r="V23" s="223">
        <v>4.8342853784561157E-2</v>
      </c>
      <c r="W23"/>
      <c r="X23"/>
      <c r="Y23"/>
      <c r="Z23"/>
      <c r="AA23" s="253">
        <v>9.681275486946106E-2</v>
      </c>
      <c r="AB23"/>
      <c r="AC23"/>
      <c r="AD23"/>
      <c r="AE23"/>
      <c r="AF23"/>
      <c r="AG23" s="219">
        <v>4.5166801661252975E-2</v>
      </c>
      <c r="AH23"/>
      <c r="AI23" s="249">
        <v>7.2845518589019775E-2</v>
      </c>
      <c r="AJ23"/>
      <c r="AK23" s="250">
        <v>8.4068134427070618E-2</v>
      </c>
      <c r="AL23"/>
      <c r="AM23"/>
      <c r="AN23" s="66">
        <v>3.8830671459436417E-2</v>
      </c>
      <c r="AO23" s="246">
        <v>4.9785714596509933E-2</v>
      </c>
      <c r="AP23" s="68">
        <v>3.6010071635246277E-2</v>
      </c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ht="15" customHeight="true" x14ac:dyDescent="0.15">
      <c r="A24" t="s">
        <v>189</v>
      </c>
      <c r="B24">
        <v>0.86000001430511475</v>
      </c>
      <c r="C24">
        <v>3.8378357421606779E-3</v>
      </c>
      <c r="D24"/>
      <c r="E24" s="18">
        <v>1.5949930995702744E-2</v>
      </c>
      <c r="F24" s="10">
        <v>1.5683994570281357E-4</v>
      </c>
      <c r="G24" s="10">
        <v>1.231190162798157E-5</v>
      </c>
      <c r="H24"/>
      <c r="I24"/>
      <c r="J24"/>
      <c r="K24" s="10">
        <v>1.0807112630573101E-5</v>
      </c>
      <c r="L24" s="10">
        <v>1.0259917871735524E-5</v>
      </c>
      <c r="M24"/>
      <c r="N24" s="10">
        <v>5.7250341342296451E-5</v>
      </c>
      <c r="O24"/>
      <c r="P24" s="13">
        <v>1.7843856476247311E-3</v>
      </c>
      <c r="Q24" s="16">
        <v>1.2202849611639977E-2</v>
      </c>
      <c r="R24"/>
      <c r="S24"/>
      <c r="T24" s="17">
        <v>9.6662072464823723E-3</v>
      </c>
      <c r="U24"/>
      <c r="V24" s="21">
        <v>7.5746509246528149E-3</v>
      </c>
      <c r="W24" s="270">
        <v>9.6044890582561493E-2</v>
      </c>
      <c r="X24"/>
      <c r="Y24" s="14">
        <v>8.175089955329895E-3</v>
      </c>
      <c r="Z24"/>
      <c r="AA24"/>
      <c r="AB24"/>
      <c r="AC24"/>
      <c r="AD24"/>
      <c r="AE24"/>
      <c r="AF24" s="25">
        <v>2.2170072421431541E-2</v>
      </c>
      <c r="AG24" s="246">
        <v>7.7203720808029175E-2</v>
      </c>
      <c r="AH24"/>
      <c r="AI24" s="268">
        <v>6.2257509678602219E-2</v>
      </c>
      <c r="AJ24"/>
      <c r="AK24" s="61">
        <v>5.0294253975152969E-2</v>
      </c>
      <c r="AL24"/>
      <c r="AM24"/>
      <c r="AN24" s="128">
        <v>5.2545573562383652E-2</v>
      </c>
      <c r="AO24" s="15">
        <v>1.4183139428496361E-2</v>
      </c>
      <c r="AP24" s="61">
        <v>5.1293414086103439E-2</v>
      </c>
      <c r="AQ24"/>
      <c r="AR24"/>
      <c r="AS24" s="13">
        <v>1.7486251890659332E-3</v>
      </c>
      <c r="AT24"/>
      <c r="AU24"/>
      <c r="AV24"/>
      <c r="AW24"/>
      <c r="AX24"/>
      <c r="AY24"/>
      <c r="AZ24"/>
      <c r="BA24" s="276">
        <v>0.20106641948223114</v>
      </c>
      <c r="BB24" s="275">
        <v>0.17175395786762238</v>
      </c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ht="15" customHeight="true" x14ac:dyDescent="0.15">
      <c r="A25" t="s">
        <v>190</v>
      </c>
      <c r="B25">
        <v>2.5999999046325684</v>
      </c>
      <c r="C25">
        <v>0.13000017404556274</v>
      </c>
      <c r="D25"/>
      <c r="E25"/>
      <c r="F25"/>
      <c r="G25"/>
      <c r="H25"/>
      <c r="I25"/>
      <c r="J25"/>
      <c r="K25"/>
      <c r="L25"/>
      <c r="M25"/>
      <c r="N25"/>
      <c r="O25"/>
      <c r="P25" s="223">
        <v>0.22821994125843048</v>
      </c>
      <c r="Q25" s="10">
        <v>1.6007425729185343E-3</v>
      </c>
      <c r="R25"/>
      <c r="S25"/>
      <c r="T25" s="98">
        <v>0.50481927394866943</v>
      </c>
      <c r="U25"/>
      <c r="V25"/>
      <c r="W25"/>
      <c r="X25"/>
      <c r="Y25" s="233">
        <v>0.25577223300933838</v>
      </c>
      <c r="Z25" s="267">
        <v>1.3616842031478882</v>
      </c>
      <c r="AA25"/>
      <c r="AB25"/>
      <c r="AC25"/>
      <c r="AD25"/>
      <c r="AE25"/>
      <c r="AF25"/>
      <c r="AG25"/>
      <c r="AH25"/>
      <c r="AI25"/>
      <c r="AJ25"/>
      <c r="AK25"/>
      <c r="AL25"/>
      <c r="AM25"/>
      <c r="AN25" s="245">
        <v>0.11790337413549423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ht="15" customHeight="true" x14ac:dyDescent="0.15">
      <c r="A26" t="s">
        <v>191</v>
      </c>
      <c r="B26">
        <v>0.62999999523162842</v>
      </c>
      <c r="C26">
        <v>0.18425038456916809</v>
      </c>
      <c r="D26" s="10">
        <v>3.5294116969453171E-5</v>
      </c>
      <c r="E26" s="10">
        <v>9.5721923571545631E-5</v>
      </c>
      <c r="F26" s="68">
        <v>4.1067648679018021E-2</v>
      </c>
      <c r="G26" s="11">
        <v>2.6783421635627747E-3</v>
      </c>
      <c r="H26" s="10">
        <v>1.1497326340759173E-5</v>
      </c>
      <c r="I26"/>
      <c r="J26" s="10">
        <v>1.7647058484726585E-5</v>
      </c>
      <c r="K26" s="11">
        <v>2.9312833212316036E-3</v>
      </c>
      <c r="L26" s="10">
        <v>5.3475935146707343E-7</v>
      </c>
      <c r="M26" s="10">
        <v>5.3475935146707343E-7</v>
      </c>
      <c r="N26" s="22">
        <v>3.3986631315201521E-3</v>
      </c>
      <c r="O26" s="10">
        <v>7.5668445788323879E-5</v>
      </c>
      <c r="P26"/>
      <c r="Q26"/>
      <c r="R26"/>
      <c r="S26"/>
      <c r="T26" s="217">
        <v>3.3062826842069626E-2</v>
      </c>
      <c r="U26"/>
      <c r="V26" s="95">
        <v>4.1723184287548065E-2</v>
      </c>
      <c r="W26"/>
      <c r="X26"/>
      <c r="Y26"/>
      <c r="Z26" s="258">
        <v>0.15274904668331146</v>
      </c>
      <c r="AA26"/>
      <c r="AB26"/>
      <c r="AC26"/>
      <c r="AD26"/>
      <c r="AE26"/>
      <c r="AF26"/>
      <c r="AG26" s="222">
        <v>5.0299394875764847E-2</v>
      </c>
      <c r="AH26"/>
      <c r="AI26"/>
      <c r="AJ26"/>
      <c r="AK26"/>
      <c r="AL26"/>
      <c r="AM26"/>
      <c r="AN26" s="239">
        <v>5.4054059088230133E-2</v>
      </c>
      <c r="AO26" s="243">
        <v>5.3225453943014145E-2</v>
      </c>
      <c r="AP26"/>
      <c r="AQ26"/>
      <c r="AR26"/>
      <c r="AS26"/>
      <c r="AT26"/>
      <c r="AU26"/>
      <c r="AV26"/>
      <c r="AW26"/>
      <c r="AX26"/>
      <c r="AY26" s="15">
        <v>1.0322811082005501E-2</v>
      </c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ht="15" customHeight="true" x14ac:dyDescent="0.15">
      <c r="A27" t="s">
        <v>192</v>
      </c>
      <c r="B27">
        <v>0.46000000834465027</v>
      </c>
      <c r="C27">
        <v>5.710945650935173E-2</v>
      </c>
      <c r="D27" s="22">
        <v>2.336134435608983E-3</v>
      </c>
      <c r="E27" s="11">
        <v>1.4933266211301088E-3</v>
      </c>
      <c r="F27" s="221">
        <v>8.7945125997066498E-2</v>
      </c>
      <c r="G27" s="17">
        <v>5.1759760826826096E-3</v>
      </c>
      <c r="H27" s="10">
        <v>3.4107757528545335E-5</v>
      </c>
      <c r="I27"/>
      <c r="J27" s="10">
        <v>4.4191794586367905E-4</v>
      </c>
      <c r="K27" s="71">
        <v>7.7284723520278931E-2</v>
      </c>
      <c r="L27"/>
      <c r="M27"/>
      <c r="N27" s="70">
        <v>0.10194463282823563</v>
      </c>
      <c r="O27" s="223">
        <v>4.0586750954389572E-2</v>
      </c>
      <c r="P27"/>
      <c r="Q27"/>
      <c r="R27"/>
      <c r="S27"/>
      <c r="T27" s="28">
        <v>2.1830195561051369E-2</v>
      </c>
      <c r="U27"/>
      <c r="V27" s="124">
        <v>5.9717647731304169E-2</v>
      </c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 s="14">
        <v>4.1000000201165676E-3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ht="15" customHeight="true" x14ac:dyDescent="0.15">
      <c r="A28" t="s">
        <v>193</v>
      </c>
      <c r="B28">
        <v>0.75</v>
      </c>
      <c r="C28">
        <v>4.1850060224533081E-3</v>
      </c>
      <c r="D28" s="10">
        <v>3.892156746587716E-5</v>
      </c>
      <c r="E28" s="13">
        <v>1.604558783583343E-3</v>
      </c>
      <c r="F28" s="17">
        <v>8.3160288631916046E-3</v>
      </c>
      <c r="G28" s="13">
        <v>9.3887257389724255E-4</v>
      </c>
      <c r="H28" s="10">
        <v>1.8137254755856702E-6</v>
      </c>
      <c r="I28"/>
      <c r="J28" s="10">
        <v>1.5147057638387196E-5</v>
      </c>
      <c r="K28" s="22">
        <v>4.8074997030198574E-3</v>
      </c>
      <c r="L28" s="10">
        <v>7.0588230300927535E-6</v>
      </c>
      <c r="M28" s="10">
        <v>1.828431231842842E-5</v>
      </c>
      <c r="N28" s="10">
        <v>7.7843134931754321E-5</v>
      </c>
      <c r="O28" s="10">
        <v>4.1416665771976113E-4</v>
      </c>
      <c r="P28"/>
      <c r="Q28" s="13">
        <v>7.3999329470098019E-4</v>
      </c>
      <c r="R28"/>
      <c r="S28"/>
      <c r="T28" s="22">
        <v>4.7626206651329994E-3</v>
      </c>
      <c r="U28"/>
      <c r="V28" s="17">
        <v>9.1297505423426628E-3</v>
      </c>
      <c r="W28"/>
      <c r="X28"/>
      <c r="Y28" s="235">
        <v>0.12108216434717178</v>
      </c>
      <c r="Z28" s="58">
        <v>4.1397202759981155E-2</v>
      </c>
      <c r="AA28" s="238">
        <v>4.2355578392744064E-2</v>
      </c>
      <c r="AB28"/>
      <c r="AC28"/>
      <c r="AD28"/>
      <c r="AE28" s="18">
        <v>1.3620239682495594E-2</v>
      </c>
      <c r="AF28"/>
      <c r="AG28" s="17">
        <v>9.2215556651353836E-3</v>
      </c>
      <c r="AH28"/>
      <c r="AI28"/>
      <c r="AJ28" s="221">
        <v>0.14447954297065735</v>
      </c>
      <c r="AK28" s="261">
        <v>0.17163911461830139</v>
      </c>
      <c r="AL28"/>
      <c r="AM28"/>
      <c r="AN28" s="96">
        <v>0.12882883846759796</v>
      </c>
      <c r="AO28" s="28">
        <v>3.4966167062520981E-2</v>
      </c>
      <c r="AP28" s="14">
        <v>7.352056447416544E-3</v>
      </c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ht="15" customHeight="true" x14ac:dyDescent="0.15">
      <c r="A29" t="s">
        <v>194</v>
      </c>
      <c r="B29">
        <v>1.3300000429153442</v>
      </c>
      <c r="C29">
        <v>2.6600055396556854E-2</v>
      </c>
      <c r="D29"/>
      <c r="E29" s="10">
        <v>1.2530183084891178E-5</v>
      </c>
      <c r="F29" s="10">
        <v>3.9325499528786168E-5</v>
      </c>
      <c r="G29" s="10">
        <v>1.9277204899026401E-7</v>
      </c>
      <c r="H29"/>
      <c r="I29"/>
      <c r="J29"/>
      <c r="K29"/>
      <c r="L29"/>
      <c r="M29" s="10">
        <v>7.7108819596105604E-7</v>
      </c>
      <c r="N29"/>
      <c r="O29"/>
      <c r="P29" s="60">
        <v>5.5318806320428848E-2</v>
      </c>
      <c r="Q29"/>
      <c r="R29"/>
      <c r="S29"/>
      <c r="T29" s="15">
        <v>2.2134561091661453E-2</v>
      </c>
      <c r="U29"/>
      <c r="V29" s="22">
        <v>6.7924968898296356E-3</v>
      </c>
      <c r="W29" s="240">
        <v>0.13835059106349945</v>
      </c>
      <c r="X29"/>
      <c r="Y29" s="273">
        <v>0.41472148895263672</v>
      </c>
      <c r="Z29"/>
      <c r="AA29"/>
      <c r="AB29"/>
      <c r="AC29"/>
      <c r="AD29"/>
      <c r="AE29" s="27">
        <v>4.6575892716646194E-2</v>
      </c>
      <c r="AF29" s="12">
        <v>4.9986016005277634E-2</v>
      </c>
      <c r="AG29"/>
      <c r="AH29"/>
      <c r="AI29"/>
      <c r="AJ29"/>
      <c r="AK29"/>
      <c r="AL29"/>
      <c r="AM29"/>
      <c r="AN29" s="271">
        <v>0.28448989987373352</v>
      </c>
      <c r="AO29" s="238">
        <v>7.5148731470108032E-2</v>
      </c>
      <c r="AP29" s="250">
        <v>0.2023862898349762</v>
      </c>
      <c r="AQ29"/>
      <c r="AR29"/>
      <c r="AS29"/>
      <c r="AT29"/>
      <c r="AU29"/>
      <c r="AV29"/>
      <c r="AW29"/>
      <c r="AX29"/>
      <c r="AY29" s="22">
        <v>7.4424110352993011E-3</v>
      </c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ht="15" customHeight="true" x14ac:dyDescent="0.15">
      <c r="A30" t="s">
        <v>195</v>
      </c>
      <c r="B30">
        <v>2</v>
      </c>
      <c r="C30">
        <v>0.30307233333587646</v>
      </c>
      <c r="D30"/>
      <c r="E30" s="10">
        <v>2.4705881514819339E-5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 s="267">
        <v>1.046486496925354</v>
      </c>
      <c r="AO30" s="257">
        <v>0.6049959659576416</v>
      </c>
      <c r="AP30"/>
      <c r="AQ30"/>
      <c r="AR30"/>
      <c r="AS30"/>
      <c r="AT30"/>
      <c r="AU30"/>
      <c r="AV30"/>
      <c r="AW30"/>
      <c r="AX30"/>
      <c r="AY30" s="225">
        <v>4.5420367270708084E-2</v>
      </c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ht="15" customHeight="true" x14ac:dyDescent="0.15">
      <c r="A31" t="s">
        <v>196</v>
      </c>
      <c r="B31">
        <v>1.059999942779541</v>
      </c>
      <c r="C31">
        <v>0.10600002110004425</v>
      </c>
      <c r="D31" s="15">
        <v>1.5922442078590393E-2</v>
      </c>
      <c r="E31" s="16">
        <v>1.4511022716760635E-2</v>
      </c>
      <c r="F31" s="95">
        <v>6.9723248481750488E-2</v>
      </c>
      <c r="G31"/>
      <c r="H31"/>
      <c r="I31"/>
      <c r="J31"/>
      <c r="K31" s="13">
        <v>2.9671387746930122E-3</v>
      </c>
      <c r="L31" s="11">
        <v>5.131616722792387E-3</v>
      </c>
      <c r="M31" s="11">
        <v>3.4406182821840048E-3</v>
      </c>
      <c r="N31"/>
      <c r="O31"/>
      <c r="P31" s="70">
        <v>0.23527622222900391</v>
      </c>
      <c r="Q31" s="230">
        <v>0.19802826642990112</v>
      </c>
      <c r="R31"/>
      <c r="S31"/>
      <c r="T31" s="229">
        <v>0.15931455790996552</v>
      </c>
      <c r="U31"/>
      <c r="V31" s="231">
        <v>0.24968472123146057</v>
      </c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ht="15" customHeight="true" x14ac:dyDescent="0.15">
      <c r="A32" t="s">
        <v>197</v>
      </c>
      <c r="B32">
        <v>0.69999998807907104</v>
      </c>
      <c r="C32">
        <v>0.34257557988166809</v>
      </c>
      <c r="D32" s="10">
        <v>2.6622563018463552E-4</v>
      </c>
      <c r="E32" s="217">
        <v>3.7734132260084152E-2</v>
      </c>
      <c r="F32" s="15">
        <v>1.1057214811444283E-2</v>
      </c>
      <c r="G32"/>
      <c r="H32" s="10">
        <v>3.2594316871836782E-4</v>
      </c>
      <c r="I32"/>
      <c r="J32" s="10">
        <v>1.555515882500913E-5</v>
      </c>
      <c r="K32" s="10">
        <v>1.4267834194470197E-4</v>
      </c>
      <c r="L32" s="13">
        <v>1.2796352384611964E-3</v>
      </c>
      <c r="M32" s="14">
        <v>6.6032540053129196E-3</v>
      </c>
      <c r="N32"/>
      <c r="O32" s="10">
        <v>1.7879493441341765E-7</v>
      </c>
      <c r="P32" s="250">
        <v>0.10728007555007935</v>
      </c>
      <c r="Q32" s="60">
        <v>2.9444333165884018E-2</v>
      </c>
      <c r="R32"/>
      <c r="S32"/>
      <c r="T32"/>
      <c r="U32"/>
      <c r="V32"/>
      <c r="W32"/>
      <c r="X32"/>
      <c r="Y32" s="60">
        <v>2.8492717072367668E-2</v>
      </c>
      <c r="Z32" s="219">
        <v>5.7732556015253067E-2</v>
      </c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 s="26">
        <v>5.338723212480545E-2</v>
      </c>
      <c r="AP32"/>
      <c r="AQ32"/>
      <c r="AR32"/>
      <c r="AS32" s="225">
        <v>1.6759872436523438E-2</v>
      </c>
      <c r="AT32"/>
      <c r="AU32"/>
      <c r="AV32"/>
      <c r="AW32"/>
      <c r="AX32"/>
      <c r="AY32" s="14">
        <v>6.9027915596961975E-3</v>
      </c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ht="15" customHeight="true" x14ac:dyDescent="0.15">
      <c r="A33" t="s">
        <v>198</v>
      </c>
      <c r="B33">
        <v>2</v>
      </c>
      <c r="C33">
        <v>1.9999861717224121E-2</v>
      </c>
      <c r="D33"/>
      <c r="E33" s="10">
        <v>4.508171696215868E-5</v>
      </c>
      <c r="F33"/>
      <c r="G33"/>
      <c r="H33"/>
      <c r="I33"/>
      <c r="J33"/>
      <c r="K33"/>
      <c r="L33"/>
      <c r="M33"/>
      <c r="N33"/>
      <c r="O33"/>
      <c r="P33" s="245">
        <v>8.9935459196567535E-2</v>
      </c>
      <c r="Q33" s="13">
        <v>2.2563606034964323E-3</v>
      </c>
      <c r="R33" s="10">
        <v>7.6247684773989022E-5</v>
      </c>
      <c r="S33"/>
      <c r="T33"/>
      <c r="U33"/>
      <c r="V33" s="13">
        <v>2.8032264672219753E-3</v>
      </c>
      <c r="W33" s="14">
        <v>1.9032178446650505E-2</v>
      </c>
      <c r="X33"/>
      <c r="Y33" s="125">
        <v>0.20073533058166504</v>
      </c>
      <c r="Z33" s="227">
        <v>7.9041473567485809E-2</v>
      </c>
      <c r="AA33" s="23">
        <v>5.3475126624107361E-2</v>
      </c>
      <c r="AB33"/>
      <c r="AC33"/>
      <c r="AD33" s="227">
        <v>7.8792087733745575E-2</v>
      </c>
      <c r="AE33"/>
      <c r="AF33" s="27">
        <v>6.8763196468353271E-2</v>
      </c>
      <c r="AG33" s="124">
        <v>0.25941148400306702</v>
      </c>
      <c r="AH33"/>
      <c r="AI33"/>
      <c r="AJ33"/>
      <c r="AK33" s="128">
        <v>0.12070947140455246</v>
      </c>
      <c r="AL33"/>
      <c r="AM33" s="24">
        <v>6.3396148383617401E-2</v>
      </c>
      <c r="AN33" s="21">
        <v>1.3938780874013901E-2</v>
      </c>
      <c r="AO33" s="13">
        <v>5.4988428018987179E-3</v>
      </c>
      <c r="AP33" s="25">
        <v>5.1705159246921539E-2</v>
      </c>
      <c r="AQ33"/>
      <c r="AR33"/>
      <c r="AS33" s="13">
        <v>4.2936638928949833E-3</v>
      </c>
      <c r="AT33"/>
      <c r="AU33"/>
      <c r="AV33"/>
      <c r="AW33" s="286">
        <v>0.86609095335006714</v>
      </c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ht="15" customHeight="true" x14ac:dyDescent="0.15">
      <c r="A34" t="s">
        <v>199</v>
      </c>
      <c r="B34">
        <v>1.2999999523162842</v>
      </c>
      <c r="C34">
        <v>6.5957896411418915E-2</v>
      </c>
      <c r="D34"/>
      <c r="E34" s="10">
        <v>3.2108224695548415E-4</v>
      </c>
      <c r="F34"/>
      <c r="G34"/>
      <c r="H34"/>
      <c r="I34"/>
      <c r="J34"/>
      <c r="K34"/>
      <c r="L34"/>
      <c r="M34" s="10">
        <v>2.4319805902450753E-7</v>
      </c>
      <c r="N34"/>
      <c r="O34"/>
      <c r="P34" s="225">
        <v>3.0532818287611008E-2</v>
      </c>
      <c r="Q34"/>
      <c r="R34"/>
      <c r="S34"/>
      <c r="T34" s="11">
        <v>4.4303452596068382E-3</v>
      </c>
      <c r="U34"/>
      <c r="V34" s="22">
        <v>6.8860473111271858E-3</v>
      </c>
      <c r="W34" s="22">
        <v>7.1144364774227142E-3</v>
      </c>
      <c r="X34" s="25">
        <v>3.2781831920146942E-2</v>
      </c>
      <c r="Y34" s="11">
        <v>6.055622361600399E-3</v>
      </c>
      <c r="Z34" s="14">
        <v>1.2836342677474022E-2</v>
      </c>
      <c r="AA34"/>
      <c r="AB34" s="285">
        <v>0.43645745515823364</v>
      </c>
      <c r="AC34"/>
      <c r="AD34" s="283">
        <v>0.16258245706558228</v>
      </c>
      <c r="AE34"/>
      <c r="AF34" s="11">
        <v>4.3354807421565056E-3</v>
      </c>
      <c r="AG34" s="282">
        <v>0.14868864417076111</v>
      </c>
      <c r="AH34" s="225">
        <v>3.0103618279099464E-2</v>
      </c>
      <c r="AI34" s="21">
        <v>9.2233344912528992E-3</v>
      </c>
      <c r="AJ34"/>
      <c r="AK34" s="127">
        <v>3.8319434970617294E-2</v>
      </c>
      <c r="AL34" s="93">
        <v>0.16015395522117615</v>
      </c>
      <c r="AM34" s="59">
        <v>2.7555709704756737E-2</v>
      </c>
      <c r="AN34" s="11">
        <v>5.2238288335502148E-3</v>
      </c>
      <c r="AO34" s="10">
        <v>5.0428946269676089E-4</v>
      </c>
      <c r="AP34" s="62">
        <v>8.2069471478462219E-2</v>
      </c>
      <c r="AQ34" s="14">
        <v>1.1575599201023579E-2</v>
      </c>
      <c r="AR34" s="13">
        <v>2.5634716730564833E-3</v>
      </c>
      <c r="AS34" s="22">
        <v>6.7354459315538406E-3</v>
      </c>
      <c r="AT34"/>
      <c r="AU34"/>
      <c r="AV34" s="22">
        <v>6.9910646416246891E-3</v>
      </c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ht="15" customHeight="true" x14ac:dyDescent="0.15">
      <c r="A35" t="s">
        <v>200</v>
      </c>
      <c r="B35">
        <v>3</v>
      </c>
      <c r="C35">
        <v>4.6471595764160156E-2</v>
      </c>
      <c r="D35" s="10">
        <v>3.2085560519590217E-7</v>
      </c>
      <c r="E35" s="10">
        <v>1.8331549654249102E-4</v>
      </c>
      <c r="F35"/>
      <c r="G35"/>
      <c r="H35"/>
      <c r="I35"/>
      <c r="J35"/>
      <c r="K35" s="10">
        <v>2.1390374627117126E-7</v>
      </c>
      <c r="L35" s="10">
        <v>1.9358289137016982E-5</v>
      </c>
      <c r="M35"/>
      <c r="N35"/>
      <c r="O35"/>
      <c r="P35" s="230">
        <v>0.5580260157585144</v>
      </c>
      <c r="Q35"/>
      <c r="R35"/>
      <c r="S35"/>
      <c r="T35" s="20">
        <v>5.6679129600524902E-2</v>
      </c>
      <c r="U35" s="13">
        <v>4.4827968813478947E-3</v>
      </c>
      <c r="V35" s="21">
        <v>2.4495545774698257E-2</v>
      </c>
      <c r="W35" s="58">
        <v>0.16686585545539856</v>
      </c>
      <c r="X35" s="270">
        <v>0.33446404337882996</v>
      </c>
      <c r="Y35" s="217">
        <v>0.15765537321567535</v>
      </c>
      <c r="Z35" s="25">
        <v>7.438214123249054E-2</v>
      </c>
      <c r="AA35" s="20">
        <v>5.9554506093263626E-2</v>
      </c>
      <c r="AB35"/>
      <c r="AC35"/>
      <c r="AD35" s="220">
        <v>0.22244231402873993</v>
      </c>
      <c r="AE35"/>
      <c r="AF35" s="16">
        <v>4.159911721944809E-2</v>
      </c>
      <c r="AG35" s="11">
        <v>1.005987823009491E-2</v>
      </c>
      <c r="AH35"/>
      <c r="AI35"/>
      <c r="AJ35"/>
      <c r="AK35" s="19">
        <v>0.13106986880302429</v>
      </c>
      <c r="AL35"/>
      <c r="AM35"/>
      <c r="AN35" s="59">
        <v>6.4864866435527802E-2</v>
      </c>
      <c r="AO35" s="14">
        <v>2.7943363413214684E-2</v>
      </c>
      <c r="AP35" s="219">
        <v>0.24863319098949432</v>
      </c>
      <c r="AQ35"/>
      <c r="AR35"/>
      <c r="AS35" s="11">
        <v>9.1140465810894966E-3</v>
      </c>
      <c r="AT35"/>
      <c r="AU35"/>
      <c r="AV35" s="219">
        <v>0.24595828354358673</v>
      </c>
      <c r="AW35" s="17">
        <v>3.4930139780044556E-2</v>
      </c>
      <c r="AX35" s="25">
        <v>7.7263586223125458E-2</v>
      </c>
      <c r="AY35"/>
      <c r="AZ35"/>
      <c r="BA35"/>
      <c r="BB35" s="249">
        <v>0.40284106135368347</v>
      </c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ht="15" customHeight="true" x14ac:dyDescent="0.15">
      <c r="A36" t="s">
        <v>201</v>
      </c>
      <c r="B36">
        <v>5.380000114440918</v>
      </c>
      <c r="C36">
        <v>6.1521757394075394E-2</v>
      </c>
      <c r="D36" s="10">
        <v>1.9379678997211158E-4</v>
      </c>
      <c r="E36" s="14">
        <v>5.6731119751930237E-2</v>
      </c>
      <c r="F36"/>
      <c r="G36"/>
      <c r="H36"/>
      <c r="I36"/>
      <c r="J36"/>
      <c r="K36" s="10">
        <v>5.2406416216399521E-5</v>
      </c>
      <c r="L36"/>
      <c r="M36" s="10">
        <v>4.385026386444224E-6</v>
      </c>
      <c r="N36"/>
      <c r="O36" s="10">
        <v>1.227807515533641E-4</v>
      </c>
      <c r="P36"/>
      <c r="Q36"/>
      <c r="R36"/>
      <c r="S36"/>
      <c r="T36" s="10">
        <v>4.7232601791620255E-3</v>
      </c>
      <c r="U36"/>
      <c r="V36" s="13">
        <v>5.383636336773634E-3</v>
      </c>
      <c r="W36" s="22">
        <v>3.3373173326253891E-2</v>
      </c>
      <c r="X36" s="13">
        <v>1.1533241719007492E-2</v>
      </c>
      <c r="Y36" s="21">
        <v>4.2609557509422302E-2</v>
      </c>
      <c r="Z36" s="21">
        <v>4.2504079639911652E-2</v>
      </c>
      <c r="AA36"/>
      <c r="AB36" s="14">
        <v>5.2949540317058563E-2</v>
      </c>
      <c r="AC36"/>
      <c r="AD36" s="22">
        <v>3.1777482479810715E-2</v>
      </c>
      <c r="AE36" s="13">
        <v>1.2920387089252472E-2</v>
      </c>
      <c r="AF36" s="13">
        <v>1.3866373337805271E-2</v>
      </c>
      <c r="AG36" s="281">
        <v>0.80479025840759277</v>
      </c>
      <c r="AH36" s="27">
        <v>0.19256362318992615</v>
      </c>
      <c r="AI36" s="13">
        <v>6.489874329417944E-3</v>
      </c>
      <c r="AJ36" s="60">
        <v>0.21739870309829712</v>
      </c>
      <c r="AK36" s="21">
        <v>3.744853287935257E-2</v>
      </c>
      <c r="AL36" s="231">
        <v>1.2697479724884033</v>
      </c>
      <c r="AM36"/>
      <c r="AN36" s="17">
        <v>6.4864866435527802E-2</v>
      </c>
      <c r="AO36" s="11">
        <v>1.7741816118359566E-2</v>
      </c>
      <c r="AP36" s="281">
        <v>0.80204248428344727</v>
      </c>
      <c r="AQ36"/>
      <c r="AR36"/>
      <c r="AS36" s="10">
        <v>1.8228092230856419E-3</v>
      </c>
      <c r="AT36"/>
      <c r="AU36" s="17">
        <v>6.4142487943172455E-2</v>
      </c>
      <c r="AV36"/>
      <c r="AW36"/>
      <c r="AX36" s="16">
        <v>7.7263586223125458E-2</v>
      </c>
      <c r="AY36"/>
      <c r="AZ36" s="20">
        <v>0.10904064774513245</v>
      </c>
      <c r="BA36" s="10">
        <v>1.5719730872660875E-3</v>
      </c>
      <c r="BB36" s="284">
        <v>1.3428035974502563</v>
      </c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ht="15" customHeight="true" x14ac:dyDescent="0.15">
      <c r="A37" t="s">
        <v>202</v>
      </c>
      <c r="B37">
        <v>0.89999997615814209</v>
      </c>
      <c r="C37">
        <v>0.25902369618415833</v>
      </c>
      <c r="D37" s="10">
        <v>5.6722685258137062E-5</v>
      </c>
      <c r="E37" s="22">
        <v>4.9768905155360699E-3</v>
      </c>
      <c r="F37"/>
      <c r="G37"/>
      <c r="H37"/>
      <c r="I37"/>
      <c r="J37"/>
      <c r="K37" s="10">
        <v>1.8067227210849524E-4</v>
      </c>
      <c r="L37"/>
      <c r="M37"/>
      <c r="N37"/>
      <c r="O37" s="22">
        <v>5.4096640087664127E-3</v>
      </c>
      <c r="P37" s="128">
        <v>5.4806128144264221E-2</v>
      </c>
      <c r="Q37"/>
      <c r="R37"/>
      <c r="S37"/>
      <c r="T37"/>
      <c r="U37"/>
      <c r="V37" s="225">
        <v>2.1150000393390656E-2</v>
      </c>
      <c r="W37" s="232">
        <v>0.13110889494419098</v>
      </c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 s="28">
        <v>4.247104749083519E-2</v>
      </c>
      <c r="AO37" s="227">
        <v>3.4850001335144043E-2</v>
      </c>
      <c r="AP37" s="242">
        <v>0.31508812308311462</v>
      </c>
      <c r="AQ37"/>
      <c r="AR37"/>
      <c r="AS37"/>
      <c r="AT37"/>
      <c r="AU37"/>
      <c r="AV37"/>
      <c r="AW37"/>
      <c r="AX37"/>
      <c r="AY37"/>
      <c r="AZ37"/>
      <c r="BA37" s="226">
        <v>3.0878042802214622E-2</v>
      </c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ht="15" customHeight="true" x14ac:dyDescent="0.15">
      <c r="A38" t="s">
        <v>203</v>
      </c>
      <c r="B38">
        <v>2.7999999523162842</v>
      </c>
      <c r="C38">
        <v>2.8000140562653542E-2</v>
      </c>
      <c r="D38" s="10">
        <v>1.5030280337668955E-4</v>
      </c>
      <c r="E38" s="21">
        <v>2.2329522296786308E-2</v>
      </c>
      <c r="F38"/>
      <c r="G38"/>
      <c r="H38"/>
      <c r="I38"/>
      <c r="J38" s="10">
        <v>1.6190308087971061E-5</v>
      </c>
      <c r="K38" s="10">
        <v>5.4830063163535669E-5</v>
      </c>
      <c r="L38" s="10">
        <v>1.2184458319097757E-4</v>
      </c>
      <c r="M38" s="10">
        <v>5.9169735322939232E-5</v>
      </c>
      <c r="N38"/>
      <c r="O38" s="17">
        <v>3.3389423042535782E-2</v>
      </c>
      <c r="P38" s="10">
        <v>2.177155576646328E-3</v>
      </c>
      <c r="Q38"/>
      <c r="R38" s="13">
        <v>7.8842118382453918E-3</v>
      </c>
      <c r="S38"/>
      <c r="T38" s="11">
        <v>1.1056766845285892E-2</v>
      </c>
      <c r="U38"/>
      <c r="V38" s="11">
        <v>1.2602652423083782E-2</v>
      </c>
      <c r="W38" s="63">
        <v>0.26041287183761597</v>
      </c>
      <c r="X38"/>
      <c r="Y38" s="17">
        <v>3.3248499035835266E-2</v>
      </c>
      <c r="Z38"/>
      <c r="AA38"/>
      <c r="AB38" s="15">
        <v>4.1316848248243332E-2</v>
      </c>
      <c r="AC38"/>
      <c r="AD38"/>
      <c r="AE38" s="16">
        <v>4.0327426046133041E-2</v>
      </c>
      <c r="AF38"/>
      <c r="AG38" s="71">
        <v>0.47098705172538757</v>
      </c>
      <c r="AH38" s="217">
        <v>0.15025857090950012</v>
      </c>
      <c r="AI38" s="22">
        <v>1.5192263759672642E-2</v>
      </c>
      <c r="AJ38" s="245">
        <v>0.12722814083099365</v>
      </c>
      <c r="AK38" s="24">
        <v>8.7663955986499786E-2</v>
      </c>
      <c r="AL38" s="223">
        <v>0.24769800901412964</v>
      </c>
      <c r="AM38"/>
      <c r="AN38" s="246">
        <v>0.25307226181030273</v>
      </c>
      <c r="AO38" s="12">
        <v>0.10383036732673645</v>
      </c>
      <c r="AP38" s="249">
        <v>0.37550318241119385</v>
      </c>
      <c r="AQ38"/>
      <c r="AR38"/>
      <c r="AS38" s="11">
        <v>1.280114334076643E-2</v>
      </c>
      <c r="AT38"/>
      <c r="AU38"/>
      <c r="AV38" s="16">
        <v>3.8384560495615005E-2</v>
      </c>
      <c r="AW38"/>
      <c r="AX38"/>
      <c r="AY38" s="59">
        <v>6.1217639595270157E-2</v>
      </c>
      <c r="AZ38" s="15">
        <v>4.2542539536952972E-2</v>
      </c>
      <c r="BA38" s="13">
        <v>6.1331032775342464E-3</v>
      </c>
      <c r="BB38" s="270">
        <v>0.31433933973312378</v>
      </c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ht="15" customHeight="true" x14ac:dyDescent="0.15">
      <c r="A39" t="s">
        <v>204</v>
      </c>
      <c r="B39">
        <v>3.0999999046325684</v>
      </c>
      <c r="C39">
        <v>0.15500003099441528</v>
      </c>
      <c r="D39"/>
      <c r="E39" s="10">
        <v>5.5279797379625961E-5</v>
      </c>
      <c r="F39"/>
      <c r="G39"/>
      <c r="H39"/>
      <c r="I39"/>
      <c r="J39"/>
      <c r="K39" s="10">
        <v>3.1588454021402868E-6</v>
      </c>
      <c r="L39"/>
      <c r="M39"/>
      <c r="N39"/>
      <c r="O39" s="10">
        <v>1.6741880972404033E-4</v>
      </c>
      <c r="P39" s="22">
        <v>2.0601766183972359E-2</v>
      </c>
      <c r="Q39"/>
      <c r="R39"/>
      <c r="S39"/>
      <c r="T39" s="27">
        <v>0.11160197108983994</v>
      </c>
      <c r="U39"/>
      <c r="V39" s="62">
        <v>0.19478332996368408</v>
      </c>
      <c r="W39" s="252">
        <v>0.49284178018569946</v>
      </c>
      <c r="X39"/>
      <c r="Y39"/>
      <c r="Z39"/>
      <c r="AA39"/>
      <c r="AB39"/>
      <c r="AC39"/>
      <c r="AD39"/>
      <c r="AE39"/>
      <c r="AF39" s="226">
        <v>0.10238654166460037</v>
      </c>
      <c r="AG39"/>
      <c r="AH39"/>
      <c r="AI39"/>
      <c r="AJ39"/>
      <c r="AK39"/>
      <c r="AL39"/>
      <c r="AM39"/>
      <c r="AN39" s="262">
        <v>0.52684426307678223</v>
      </c>
      <c r="AO39" s="266">
        <v>0.65501028299331665</v>
      </c>
      <c r="AP39" s="269">
        <v>0.82909709215164185</v>
      </c>
      <c r="AQ39"/>
      <c r="AR39"/>
      <c r="AS39"/>
      <c r="AT39"/>
      <c r="AU39"/>
      <c r="AV39"/>
      <c r="AW39"/>
      <c r="AX39"/>
      <c r="AY39"/>
      <c r="AZ39"/>
      <c r="BA39" s="11">
        <v>1.1607136577367783E-2</v>
      </c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ht="15" customHeight="true" x14ac:dyDescent="0.15">
      <c r="A40" t="s">
        <v>205</v>
      </c>
      <c r="B40">
        <v>1.3400000333786011</v>
      </c>
      <c r="C40">
        <v>0.78919756412506104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 s="21">
        <v>9.2330211773514748E-3</v>
      </c>
      <c r="X40"/>
      <c r="Y40" s="21">
        <v>9.4306878745555878E-3</v>
      </c>
      <c r="Z40"/>
      <c r="AA40"/>
      <c r="AB40"/>
      <c r="AC40"/>
      <c r="AD40"/>
      <c r="AE40" s="14">
        <v>1.4298214577138424E-2</v>
      </c>
      <c r="AF40"/>
      <c r="AG40" s="274">
        <v>0.14472460746765137</v>
      </c>
      <c r="AH40" s="24">
        <v>4.2619720101356506E-2</v>
      </c>
      <c r="AI40"/>
      <c r="AJ40" s="246">
        <v>0.12029103189706802</v>
      </c>
      <c r="AK40" s="15">
        <v>2.0721020177006721E-2</v>
      </c>
      <c r="AL40" s="68">
        <v>8.7822109460830688E-2</v>
      </c>
      <c r="AM40"/>
      <c r="AN40" s="14">
        <v>1.1963674798607826E-2</v>
      </c>
      <c r="AO40" s="21">
        <v>9.8169008269906044E-3</v>
      </c>
      <c r="AP40" s="61">
        <v>7.9881489276885986E-2</v>
      </c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ht="15" customHeight="true" x14ac:dyDescent="0.15">
      <c r="A41" t="s">
        <v>206</v>
      </c>
      <c r="B41">
        <v>1.2000000476837158</v>
      </c>
      <c r="C41">
        <v>0.86674541234970093</v>
      </c>
      <c r="D41"/>
      <c r="E41" s="10">
        <v>7.5062195537611842E-4</v>
      </c>
      <c r="F41"/>
      <c r="G41"/>
      <c r="H41"/>
      <c r="I41"/>
      <c r="J41"/>
      <c r="K41"/>
      <c r="L41"/>
      <c r="M41" s="10">
        <v>3.0564027753143819E-8</v>
      </c>
      <c r="N41"/>
      <c r="O41"/>
      <c r="P41" s="10">
        <v>7.9734571045264602E-5</v>
      </c>
      <c r="Q41"/>
      <c r="R41"/>
      <c r="S41"/>
      <c r="T41"/>
      <c r="U41" s="10">
        <v>1.9314522796776146E-4</v>
      </c>
      <c r="V41" s="10">
        <v>2.7693025185726583E-4</v>
      </c>
      <c r="W41" s="17">
        <v>1.525947917252779E-2</v>
      </c>
      <c r="X41"/>
      <c r="Y41"/>
      <c r="Z41"/>
      <c r="AA41"/>
      <c r="AB41"/>
      <c r="AC41"/>
      <c r="AD41"/>
      <c r="AE41" s="13">
        <v>2.0307684317231178E-3</v>
      </c>
      <c r="AF41"/>
      <c r="AG41" s="60">
        <v>4.9447391182184219E-2</v>
      </c>
      <c r="AH41" s="59">
        <v>2.5863919407129288E-2</v>
      </c>
      <c r="AI41"/>
      <c r="AJ41" s="16">
        <v>1.5531706623733044E-2</v>
      </c>
      <c r="AK41" s="22">
        <v>6.8491552956402302E-3</v>
      </c>
      <c r="AL41" s="127">
        <v>3.6286052316427231E-2</v>
      </c>
      <c r="AM41"/>
      <c r="AN41" s="13">
        <v>1.2975670397281647E-3</v>
      </c>
      <c r="AO41" s="10">
        <v>3.802608116529882E-4</v>
      </c>
      <c r="AP41" s="12">
        <v>4.5840524137020111E-2</v>
      </c>
      <c r="AQ41" s="10">
        <v>3.8793834391981363E-4</v>
      </c>
      <c r="AR41"/>
      <c r="AS41"/>
      <c r="AT41"/>
      <c r="AU41"/>
      <c r="AV41" s="61">
        <v>7.0288397371768951E-2</v>
      </c>
      <c r="AW41"/>
      <c r="AX41" s="13">
        <v>3.3119842410087585E-3</v>
      </c>
      <c r="AY41" s="13">
        <v>2.7139885351061821E-3</v>
      </c>
      <c r="AZ41" s="14">
        <v>1.2775988318026066E-2</v>
      </c>
      <c r="BA41" s="13">
        <v>2.5156810879707336E-3</v>
      </c>
      <c r="BB41" s="11">
        <v>3.8373791612684727E-3</v>
      </c>
      <c r="BC41" s="24">
        <v>3.7336021661758423E-2</v>
      </c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ht="15" customHeight="true" x14ac:dyDescent="0.15">
      <c r="A42" t="s">
        <v>207</v>
      </c>
      <c r="B42">
        <v>1.2100000381469727</v>
      </c>
      <c r="C42">
        <v>1.0080106258392334</v>
      </c>
      <c r="D42"/>
      <c r="E42" s="10">
        <v>2.3237205823534168E-5</v>
      </c>
      <c r="F42"/>
      <c r="G42"/>
      <c r="H42"/>
      <c r="I42"/>
      <c r="J42"/>
      <c r="K42"/>
      <c r="L42"/>
      <c r="M42"/>
      <c r="N42"/>
      <c r="O42" s="10">
        <v>1.210460287559556E-9</v>
      </c>
      <c r="P42" s="10">
        <v>3.1578147172695026E-5</v>
      </c>
      <c r="Q42"/>
      <c r="R42" s="10">
        <v>1.0938312334474176E-4</v>
      </c>
      <c r="S42"/>
      <c r="T42"/>
      <c r="U42"/>
      <c r="V42" s="10">
        <v>2.4372375628445297E-4</v>
      </c>
      <c r="W42" s="11">
        <v>4.5325323008000851E-3</v>
      </c>
      <c r="X42"/>
      <c r="Y42"/>
      <c r="Z42"/>
      <c r="AA42"/>
      <c r="AB42"/>
      <c r="AC42"/>
      <c r="AD42"/>
      <c r="AE42"/>
      <c r="AF42"/>
      <c r="AG42" s="10">
        <v>6.8313442170619965E-4</v>
      </c>
      <c r="AH42"/>
      <c r="AI42"/>
      <c r="AJ42" s="13">
        <v>1.2302378891035914E-3</v>
      </c>
      <c r="AK42" s="10">
        <v>8.4767036605626345E-4</v>
      </c>
      <c r="AL42" s="17">
        <v>1.5089296735823154E-2</v>
      </c>
      <c r="AM42"/>
      <c r="AN42"/>
      <c r="AO42"/>
      <c r="AP42" s="21">
        <v>9.0773599222302437E-3</v>
      </c>
      <c r="AQ42"/>
      <c r="AR42"/>
      <c r="AS42"/>
      <c r="AT42"/>
      <c r="AU42"/>
      <c r="AV42" s="220">
        <v>8.9078649878501892E-2</v>
      </c>
      <c r="AW42"/>
      <c r="AX42"/>
      <c r="AY42" s="10">
        <v>8.4118719678372145E-4</v>
      </c>
      <c r="AZ42" s="12">
        <v>4.4427625834941864E-2</v>
      </c>
      <c r="BA42" s="11">
        <v>4.2699100449681282E-3</v>
      </c>
      <c r="BB42" s="16">
        <v>1.6717346385121346E-2</v>
      </c>
      <c r="BC42" s="17">
        <v>1.4786588959395885E-2</v>
      </c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ht="15" customHeight="true" x14ac:dyDescent="0.15">
      <c r="A43" t="s">
        <v>208</v>
      </c>
      <c r="B43">
        <v>0.80000001192092896</v>
      </c>
      <c r="C43">
        <v>0.61261862516403198</v>
      </c>
      <c r="D43" s="10">
        <v>1.702927789892783E-7</v>
      </c>
      <c r="E43" s="10">
        <v>4.5109321945346892E-5</v>
      </c>
      <c r="F43"/>
      <c r="G43"/>
      <c r="H43"/>
      <c r="I43"/>
      <c r="J43"/>
      <c r="K43" s="10">
        <v>1.0206822054215081E-8</v>
      </c>
      <c r="L43"/>
      <c r="M43"/>
      <c r="N43"/>
      <c r="O43" s="10">
        <v>6.7150147664563065E-9</v>
      </c>
      <c r="P43"/>
      <c r="Q43"/>
      <c r="R43" s="10">
        <v>2.5375340555910952E-5</v>
      </c>
      <c r="S43"/>
      <c r="T43"/>
      <c r="U43"/>
      <c r="V43"/>
      <c r="W43" s="10">
        <v>3.5201842547394335E-4</v>
      </c>
      <c r="X43"/>
      <c r="Y43"/>
      <c r="Z43"/>
      <c r="AA43"/>
      <c r="AB43" s="13">
        <v>2.2606311831623316E-3</v>
      </c>
      <c r="AC43"/>
      <c r="AD43"/>
      <c r="AE43" s="10">
        <v>1.2979384337086231E-4</v>
      </c>
      <c r="AF43"/>
      <c r="AG43" s="22">
        <v>4.2444420978426933E-3</v>
      </c>
      <c r="AH43" s="18">
        <v>1.4508220367133617E-2</v>
      </c>
      <c r="AI43"/>
      <c r="AJ43" s="10">
        <v>8.1896774645429105E-5</v>
      </c>
      <c r="AK43"/>
      <c r="AL43" s="11">
        <v>2.7902571018785238E-3</v>
      </c>
      <c r="AM43"/>
      <c r="AN43"/>
      <c r="AO43" s="10">
        <v>3.3417807571822777E-5</v>
      </c>
      <c r="AP43" s="21">
        <v>6.4456379041075706E-3</v>
      </c>
      <c r="AQ43" s="14">
        <v>7.159428671002388E-3</v>
      </c>
      <c r="AR43" s="10">
        <v>3.6239765904610977E-5</v>
      </c>
      <c r="AS43"/>
      <c r="AT43"/>
      <c r="AU43"/>
      <c r="AV43" s="59">
        <v>1.7295695841312408E-2</v>
      </c>
      <c r="AW43"/>
      <c r="AX43" s="22">
        <v>3.9778398349881172E-3</v>
      </c>
      <c r="AY43" s="10">
        <v>5.9108697314513847E-5</v>
      </c>
      <c r="AZ43" s="22">
        <v>4.1076960042119026E-3</v>
      </c>
      <c r="BA43" s="10">
        <v>4.7374557470902801E-4</v>
      </c>
      <c r="BB43"/>
      <c r="BC43" s="60">
        <v>3.2811377197504044E-2</v>
      </c>
      <c r="BD43"/>
      <c r="BE43" s="282">
        <v>9.0543247759342194E-2</v>
      </c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ht="15" customHeight="true" x14ac:dyDescent="0.15">
      <c r="A44" t="s">
        <v>209</v>
      </c>
      <c r="B44">
        <v>4.5999999046325684</v>
      </c>
      <c r="C44">
        <v>2.7449929714202881</v>
      </c>
      <c r="D44"/>
      <c r="E44" s="10">
        <v>1.2363079449073666E-8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 s="10">
        <v>1.8669609562493861E-4</v>
      </c>
      <c r="W44" s="11">
        <v>1.4466619119048119E-2</v>
      </c>
      <c r="X44"/>
      <c r="Y44" s="10">
        <v>3.6940825521014631E-4</v>
      </c>
      <c r="Z44"/>
      <c r="AA44"/>
      <c r="AB44" s="22">
        <v>2.6012938469648361E-2</v>
      </c>
      <c r="AC44"/>
      <c r="AD44"/>
      <c r="AE44" s="11">
        <v>1.642882265150547E-2</v>
      </c>
      <c r="AF44" s="10">
        <v>2.4043204030022025E-4</v>
      </c>
      <c r="AG44" s="18">
        <v>8.1400871276855469E-2</v>
      </c>
      <c r="AH44" s="14">
        <v>4.3405741453170776E-2</v>
      </c>
      <c r="AI44" s="10">
        <v>1.6879402101039886E-3</v>
      </c>
      <c r="AJ44" s="14">
        <v>4.2407143861055374E-2</v>
      </c>
      <c r="AK44" s="11">
        <v>1.5150994062423706E-2</v>
      </c>
      <c r="AL44" s="18">
        <v>7.7974885702133179E-2</v>
      </c>
      <c r="AM44" s="10">
        <v>3.5712865646928549E-3</v>
      </c>
      <c r="AN44" s="10">
        <v>3.1241837423294783E-3</v>
      </c>
      <c r="AO44"/>
      <c r="AP44" s="18">
        <v>7.8805141150951385E-2</v>
      </c>
      <c r="AQ44" s="13">
        <v>1.1769012548029423E-2</v>
      </c>
      <c r="AR44" s="10">
        <v>2.1371692419052124E-3</v>
      </c>
      <c r="AS44"/>
      <c r="AT44"/>
      <c r="AU44"/>
      <c r="AV44"/>
      <c r="AW44" s="21">
        <v>4.0377423167228699E-2</v>
      </c>
      <c r="AX44" s="225">
        <v>0.11164084076881409</v>
      </c>
      <c r="AY44" s="10">
        <v>4.4150740723125637E-4</v>
      </c>
      <c r="AZ44" s="14">
        <v>4.7266993671655655E-2</v>
      </c>
      <c r="BA44" s="13">
        <v>7.2684800252318382E-3</v>
      </c>
      <c r="BB44" s="17">
        <v>5.8207914233207703E-2</v>
      </c>
      <c r="BC44" s="60">
        <v>0.1850036084651947</v>
      </c>
      <c r="BD44"/>
      <c r="BE44" s="225">
        <v>0.10418751835823059</v>
      </c>
      <c r="BF44" s="27">
        <v>0.15899999439716339</v>
      </c>
      <c r="BG44" s="94">
        <v>0.72247332334518433</v>
      </c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ht="15" customHeight="true" x14ac:dyDescent="0.15">
      <c r="A45" t="s">
        <v>210</v>
      </c>
      <c r="B45">
        <v>7.0100002288818359</v>
      </c>
      <c r="C45">
        <v>0.35049968957901001</v>
      </c>
      <c r="D45"/>
      <c r="E45" s="10">
        <v>3.9229897083714604E-5</v>
      </c>
      <c r="F45"/>
      <c r="G45"/>
      <c r="H45"/>
      <c r="I45"/>
      <c r="J45"/>
      <c r="K45"/>
      <c r="L45"/>
      <c r="M45"/>
      <c r="N45"/>
      <c r="O45" s="10">
        <v>2.8329864676379657E-7</v>
      </c>
      <c r="P45"/>
      <c r="Q45"/>
      <c r="R45"/>
      <c r="S45"/>
      <c r="T45"/>
      <c r="U45"/>
      <c r="V45" s="10">
        <v>3.5066567943431437E-4</v>
      </c>
      <c r="W45" s="11">
        <v>2.4636143818497658E-2</v>
      </c>
      <c r="X45"/>
      <c r="Y45" s="13">
        <v>7.9561285674571991E-3</v>
      </c>
      <c r="Z45" s="10">
        <v>1.1535513476701453E-4</v>
      </c>
      <c r="AA45"/>
      <c r="AB45" s="15">
        <v>0.114963099360466</v>
      </c>
      <c r="AC45"/>
      <c r="AD45" s="16">
        <v>9.3832783401012421E-2</v>
      </c>
      <c r="AE45" s="13">
        <v>1.9636759534478188E-2</v>
      </c>
      <c r="AF45" s="13">
        <v>9.0319272130727768E-3</v>
      </c>
      <c r="AG45" s="227">
        <v>0.2795754075050354</v>
      </c>
      <c r="AH45" s="18">
        <v>0.12542723119258881</v>
      </c>
      <c r="AI45" s="10">
        <v>4.7908378764986992E-3</v>
      </c>
      <c r="AJ45" s="14">
        <v>7.0801831781864166E-2</v>
      </c>
      <c r="AK45" s="11">
        <v>2.1139973774552345E-2</v>
      </c>
      <c r="AL45" s="27">
        <v>0.2412247508764267</v>
      </c>
      <c r="AM45" s="11">
        <v>2.4055704474449158E-2</v>
      </c>
      <c r="AN45" s="13">
        <v>1.0327787138521671E-2</v>
      </c>
      <c r="AO45" s="10">
        <v>7.7041436452418566E-4</v>
      </c>
      <c r="AP45" s="59">
        <v>0.15324148535728455</v>
      </c>
      <c r="AQ45" s="11">
        <v>3.3010706305503845E-2</v>
      </c>
      <c r="AR45" s="10">
        <v>6.6576655954122543E-3</v>
      </c>
      <c r="AS45" s="10">
        <v>1.0289893252775073E-3</v>
      </c>
      <c r="AT45" s="10">
        <v>1.432534190826118E-3</v>
      </c>
      <c r="AU45" s="27">
        <v>0.25067707896232605</v>
      </c>
      <c r="AV45" s="63">
        <v>0.64082425832748413</v>
      </c>
      <c r="AW45" s="68">
        <v>0.45503818988800049</v>
      </c>
      <c r="AX45" s="23">
        <v>0.19291630387306213</v>
      </c>
      <c r="AY45" s="10">
        <v>3.5860325442627072E-4</v>
      </c>
      <c r="AZ45" s="13">
        <v>8.996390737593174E-3</v>
      </c>
      <c r="BA45" s="10">
        <v>6.8260836414992809E-3</v>
      </c>
      <c r="BB45" s="15">
        <v>0.1049569696187973</v>
      </c>
      <c r="BC45" s="15">
        <v>0.11346506327390671</v>
      </c>
      <c r="BD45"/>
      <c r="BE45" s="288">
        <v>3.1310770511627197</v>
      </c>
      <c r="BF45" s="226">
        <v>0.23891592025756836</v>
      </c>
      <c r="BG45" s="227">
        <v>0.27140000462532043</v>
      </c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ht="15" customHeight="true" x14ac:dyDescent="0.15">
      <c r="A46" t="s">
        <v>211</v>
      </c>
      <c r="B46">
        <v>12.5</v>
      </c>
      <c r="C46">
        <v>2.190943717956543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 s="22">
        <v>7.1685537695884705E-2</v>
      </c>
      <c r="AC46"/>
      <c r="AD46"/>
      <c r="AE46"/>
      <c r="AF46"/>
      <c r="AG46" s="10">
        <v>2.5536615867167711E-3</v>
      </c>
      <c r="AH46"/>
      <c r="AI46"/>
      <c r="AJ46"/>
      <c r="AK46"/>
      <c r="AL46"/>
      <c r="AM46"/>
      <c r="AN46"/>
      <c r="AO46"/>
      <c r="AP46" s="10">
        <v>6.7865138407796621E-4</v>
      </c>
      <c r="AQ46"/>
      <c r="AR46"/>
      <c r="AS46"/>
      <c r="AT46"/>
      <c r="AU46" s="13">
        <v>2.7137208729982376E-2</v>
      </c>
      <c r="AV46"/>
      <c r="AW46" s="11">
        <v>5.9112545102834702E-2</v>
      </c>
      <c r="AX46" s="21">
        <v>9.8065309226512909E-2</v>
      </c>
      <c r="AY46"/>
      <c r="AZ46" s="13">
        <v>1.3378449715673923E-2</v>
      </c>
      <c r="BA46" s="10">
        <v>6.6506589064374566E-4</v>
      </c>
      <c r="BB46"/>
      <c r="BC46" s="16">
        <v>0.1713511049747467</v>
      </c>
      <c r="BD46" s="236">
        <v>0.85977542400360107</v>
      </c>
      <c r="BE46" s="293">
        <v>4.5759172439575195</v>
      </c>
      <c r="BF46" s="230">
        <v>2.3277599811553955</v>
      </c>
      <c r="BG46" s="281">
        <v>1.8509767055511475</v>
      </c>
      <c r="BH46" s="20">
        <v>0.25</v>
      </c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ht="15" customHeight="true" x14ac:dyDescent="0.15">
      <c r="A47" t="s">
        <v>212</v>
      </c>
      <c r="B47">
        <v>17.299999237060547</v>
      </c>
      <c r="C47">
        <v>1.0827327966690063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 s="10">
        <v>2.1936206612735987E-3</v>
      </c>
      <c r="V47"/>
      <c r="W47"/>
      <c r="X47"/>
      <c r="Y47"/>
      <c r="Z47"/>
      <c r="AA47"/>
      <c r="AB47" s="68">
        <v>1.1227854490280151</v>
      </c>
      <c r="AC47"/>
      <c r="AD47" s="16">
        <v>0.25268834829330444</v>
      </c>
      <c r="AE47"/>
      <c r="AF47"/>
      <c r="AG47" s="13">
        <v>3.4664157778024673E-2</v>
      </c>
      <c r="AH47"/>
      <c r="AI47"/>
      <c r="AJ47"/>
      <c r="AK47"/>
      <c r="AL47"/>
      <c r="AM47"/>
      <c r="AN47" s="10">
        <v>2.5789646897464991E-3</v>
      </c>
      <c r="AO47"/>
      <c r="AP47" s="10">
        <v>1.5944218263030052E-2</v>
      </c>
      <c r="AQ47"/>
      <c r="AR47" s="10">
        <v>1.1952572502195835E-2</v>
      </c>
      <c r="AS47"/>
      <c r="AT47"/>
      <c r="AU47" s="243">
        <v>1.4451380968093872</v>
      </c>
      <c r="AV47" s="21">
        <v>0.13038752973079681</v>
      </c>
      <c r="AW47" s="22">
        <v>9.2585913836956024E-2</v>
      </c>
      <c r="AX47"/>
      <c r="AY47"/>
      <c r="AZ47"/>
      <c r="BA47"/>
      <c r="BB47"/>
      <c r="BC47"/>
      <c r="BD47"/>
      <c r="BE47" s="16">
        <v>0.2389032244682312</v>
      </c>
      <c r="BF47"/>
      <c r="BG47"/>
      <c r="BH47"/>
      <c r="BI47" s="238">
        <v>1</v>
      </c>
      <c r="BJ47" s="289">
        <v>4.8433728218078613</v>
      </c>
      <c r="BK47" s="292">
        <v>6.2457828521728516</v>
      </c>
      <c r="BL47" s="15">
        <v>0.26744386553764343</v>
      </c>
      <c r="BM47" s="127">
        <v>0.51084333658218384</v>
      </c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ht="15" customHeight="true" x14ac:dyDescent="0.15">
      <c r="A48" t="s">
        <v>213</v>
      </c>
      <c r="B48">
        <v>17.299999237060547</v>
      </c>
      <c r="C48">
        <v>2.5379362106323242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 s="10">
        <v>2.7174705173820257E-3</v>
      </c>
      <c r="V48"/>
      <c r="W48"/>
      <c r="X48" s="10">
        <v>9.4675887376070023E-3</v>
      </c>
      <c r="Y48" s="13">
        <v>1.7488999292254448E-2</v>
      </c>
      <c r="Z48"/>
      <c r="AA48"/>
      <c r="AB48" s="217">
        <v>0.91278690099716187</v>
      </c>
      <c r="AC48"/>
      <c r="AD48" s="60">
        <v>0.70432174205780029</v>
      </c>
      <c r="AE48"/>
      <c r="AF48" s="10">
        <v>5.6914212182164192E-3</v>
      </c>
      <c r="AG48" s="11">
        <v>7.5974605977535248E-2</v>
      </c>
      <c r="AH48" s="13">
        <v>3.0034178867936134E-2</v>
      </c>
      <c r="AI48"/>
      <c r="AJ48" s="10">
        <v>1.2492313981056213E-2</v>
      </c>
      <c r="AK48"/>
      <c r="AL48"/>
      <c r="AM48" s="10">
        <v>1.399253262206912E-3</v>
      </c>
      <c r="AN48" s="10">
        <v>3.9048008620738983E-3</v>
      </c>
      <c r="AO48"/>
      <c r="AP48" s="13">
        <v>3.4236442297697067E-2</v>
      </c>
      <c r="AQ48" s="10">
        <v>7.800571620464325E-3</v>
      </c>
      <c r="AR48" s="13">
        <v>2.665245346724987E-2</v>
      </c>
      <c r="AS48"/>
      <c r="AT48"/>
      <c r="AU48" s="234">
        <v>1.8955543041229248</v>
      </c>
      <c r="AV48" s="14">
        <v>0.16152486205101013</v>
      </c>
      <c r="AW48" s="234">
        <v>1.8924837112426758</v>
      </c>
      <c r="AX48"/>
      <c r="AY48"/>
      <c r="AZ48"/>
      <c r="BA48"/>
      <c r="BB48"/>
      <c r="BC48"/>
      <c r="BD48"/>
      <c r="BE48" s="18">
        <v>0.29595476388931274</v>
      </c>
      <c r="BF48"/>
      <c r="BG48"/>
      <c r="BH48"/>
      <c r="BI48"/>
      <c r="BJ48" s="127">
        <v>0.5</v>
      </c>
      <c r="BK48" s="291">
        <v>6.4477615356445312</v>
      </c>
      <c r="BL48" s="16">
        <v>0.236650750041008</v>
      </c>
      <c r="BM48" s="239">
        <v>1.4871641397476196</v>
      </c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ht="15" customHeight="true" x14ac:dyDescent="0.15">
      <c r="A49" t="s">
        <v>214</v>
      </c>
      <c r="B49">
        <v>8.6999998092651367</v>
      </c>
      <c r="C49">
        <v>6.524477481842041</v>
      </c>
      <c r="D49"/>
      <c r="E49"/>
      <c r="F49"/>
      <c r="G49"/>
      <c r="H49"/>
      <c r="I49"/>
      <c r="J49"/>
      <c r="K49"/>
      <c r="L49"/>
      <c r="M49"/>
      <c r="N49"/>
      <c r="O49"/>
      <c r="P49" s="10">
        <v>7.8149477485567331E-4</v>
      </c>
      <c r="Q49"/>
      <c r="R49"/>
      <c r="S49"/>
      <c r="T49" s="10">
        <v>2.4053641027421691E-5</v>
      </c>
      <c r="U49" s="10">
        <v>8.0779747804626822E-4</v>
      </c>
      <c r="V49"/>
      <c r="W49"/>
      <c r="X49" s="10">
        <v>2.9367057140916586E-3</v>
      </c>
      <c r="Y49" s="10">
        <v>1.8444417510181665E-3</v>
      </c>
      <c r="Z49"/>
      <c r="AA49"/>
      <c r="AB49" s="14">
        <v>8.0895133316516876E-2</v>
      </c>
      <c r="AC49" s="58">
        <v>0.48349675536155701</v>
      </c>
      <c r="AD49" s="23">
        <v>0.24274459481239319</v>
      </c>
      <c r="AE49"/>
      <c r="AF49" s="10">
        <v>7.061578071443364E-5</v>
      </c>
      <c r="AG49" s="13">
        <v>2.3053888231515884E-2</v>
      </c>
      <c r="AH49" s="10">
        <v>5.3935647010803223E-3</v>
      </c>
      <c r="AI49"/>
      <c r="AJ49" s="13">
        <v>1.1486400850117207E-2</v>
      </c>
      <c r="AK49" s="10">
        <v>9.5355069788638502E-5</v>
      </c>
      <c r="AL49" s="13">
        <v>2.3036228492856026E-2</v>
      </c>
      <c r="AM49"/>
      <c r="AN49"/>
      <c r="AO49"/>
      <c r="AP49" s="13">
        <v>1.633790135383606E-2</v>
      </c>
      <c r="AQ49" s="10">
        <v>6.5675447694957256E-3</v>
      </c>
      <c r="AR49" s="10">
        <v>3.6743092350661755E-3</v>
      </c>
      <c r="AS49" s="10">
        <v>1.8101510067936033E-4</v>
      </c>
      <c r="AT49"/>
      <c r="AU49" s="15">
        <v>0.13719366490840912</v>
      </c>
      <c r="AV49" s="23">
        <v>0.23798741400241852</v>
      </c>
      <c r="AW49" s="95">
        <v>0.5870203971862793</v>
      </c>
      <c r="AX49"/>
      <c r="AY49"/>
      <c r="AZ49"/>
      <c r="BA49"/>
      <c r="BB49"/>
      <c r="BC49"/>
      <c r="BD49"/>
      <c r="BE49"/>
      <c r="BF49"/>
      <c r="BG49"/>
      <c r="BH49"/>
      <c r="BI49"/>
      <c r="BJ49"/>
      <c r="BK49" s="225">
        <v>0.20000000298023224</v>
      </c>
      <c r="BL49" s="13">
        <v>1.1744889430701733E-2</v>
      </c>
      <c r="BM49" s="17">
        <v>9.8148144781589508E-2</v>
      </c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ht="15" customHeight="true" x14ac:dyDescent="0.15">
      <c r="A50" t="s">
        <v>215</v>
      </c>
      <c r="B50">
        <v>50.450000762939453</v>
      </c>
      <c r="C50">
        <v>16.829830169677734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 s="10">
        <v>1.0824139229953289E-2</v>
      </c>
      <c r="U50"/>
      <c r="V50"/>
      <c r="W50"/>
      <c r="X50" s="217">
        <v>2.6430351734161377</v>
      </c>
      <c r="Y50"/>
      <c r="Z50"/>
      <c r="AA50"/>
      <c r="AB50"/>
      <c r="AC50" s="268">
        <v>3.6876871585845947</v>
      </c>
      <c r="AD50"/>
      <c r="AE50"/>
      <c r="AF50"/>
      <c r="AG50" s="225">
        <v>1.1526943445205688</v>
      </c>
      <c r="AH50"/>
      <c r="AI50"/>
      <c r="AJ50"/>
      <c r="AK50"/>
      <c r="AL50"/>
      <c r="AM50"/>
      <c r="AN50"/>
      <c r="AO50"/>
      <c r="AP50" s="21">
        <v>0.36760282516479492</v>
      </c>
      <c r="AQ50"/>
      <c r="AR50"/>
      <c r="AS50"/>
      <c r="AT50"/>
      <c r="AU50"/>
      <c r="AV50" s="270">
        <v>5.6365442276000977</v>
      </c>
      <c r="AW50" s="15">
        <v>0.80048239231109619</v>
      </c>
      <c r="AX50"/>
      <c r="AY50"/>
      <c r="AZ50"/>
      <c r="BA50"/>
      <c r="BB50"/>
      <c r="BC50"/>
      <c r="BD50"/>
      <c r="BE50"/>
      <c r="BF50"/>
      <c r="BG50"/>
      <c r="BH50"/>
      <c r="BI50"/>
      <c r="BJ50"/>
      <c r="BK50" s="129">
        <v>18.000001907348633</v>
      </c>
      <c r="BL50" s="25">
        <v>1.3213000297546387</v>
      </c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ht="15" customHeight="true" x14ac:dyDescent="0.15">
      <c r="A51" t="s">
        <v>216</v>
      </c>
      <c r="B51">
        <v>40</v>
      </c>
      <c r="C51">
        <v>2.8760147094726562</v>
      </c>
      <c r="D51"/>
      <c r="E51" s="10">
        <v>1.220865760842571E-5</v>
      </c>
      <c r="F51"/>
      <c r="G51"/>
      <c r="H51"/>
      <c r="I51"/>
      <c r="J51"/>
      <c r="K51"/>
      <c r="L51"/>
      <c r="M51"/>
      <c r="N51"/>
      <c r="O51"/>
      <c r="P51"/>
      <c r="Q51"/>
      <c r="R51" s="10">
        <v>9.1176368296146393E-3</v>
      </c>
      <c r="S51"/>
      <c r="T51"/>
      <c r="U51" s="10">
        <v>1.4027446508407593E-2</v>
      </c>
      <c r="V51"/>
      <c r="W51"/>
      <c r="X51"/>
      <c r="Y51"/>
      <c r="Z51"/>
      <c r="AA51"/>
      <c r="AB51"/>
      <c r="AC51" s="287">
        <v>26.718338012695312</v>
      </c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 s="268">
        <v>2.8998608589172363</v>
      </c>
      <c r="AX51"/>
      <c r="AY51"/>
      <c r="AZ51"/>
      <c r="BA51"/>
      <c r="BB51"/>
      <c r="BC51"/>
      <c r="BD51"/>
      <c r="BE51" s="230">
        <v>7.4826297760009766</v>
      </c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ht="15" customHeight="true" x14ac:dyDescent="0.15">
      <c r="A52" t="s">
        <v>217</v>
      </c>
      <c r="B52">
        <v>100</v>
      </c>
      <c r="C52">
        <v>76.498504638671875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 s="10">
        <v>8.3270680624991655E-4</v>
      </c>
      <c r="AZ52" s="10">
        <v>1.0994932614266872E-2</v>
      </c>
      <c r="BA52"/>
      <c r="BB52" s="10">
        <v>2.4618066847324371E-2</v>
      </c>
      <c r="BC52" s="13">
        <v>0.11976151913404465</v>
      </c>
      <c r="BD52" s="20">
        <v>1.8628467321395874</v>
      </c>
      <c r="BE52" s="125">
        <v>9.9144868850708008</v>
      </c>
      <c r="BF52" s="21">
        <v>0.75652199983596802</v>
      </c>
      <c r="BG52" s="17">
        <v>1.0885505676269531</v>
      </c>
      <c r="BH52" s="20">
        <v>1.8958333730697632</v>
      </c>
      <c r="BI52" s="14">
        <v>0.89916670322418213</v>
      </c>
      <c r="BJ52" s="59">
        <v>2.2333333492279053</v>
      </c>
      <c r="BK52" s="28">
        <v>4.6080002784729004</v>
      </c>
      <c r="BL52" s="10">
        <v>5.285200197249651E-3</v>
      </c>
      <c r="BM52" s="10">
        <v>8.126666396856308E-2</v>
      </c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ht="15" customHeight="true" x14ac:dyDescent="0.15">
      <c r="A53" t="s">
        <v>218</v>
      </c>
      <c r="B53">
        <v>4</v>
      </c>
      <c r="C53">
        <v>2.414609432220459</v>
      </c>
      <c r="D53"/>
      <c r="E53" s="10">
        <v>1.6969895000329416E-7</v>
      </c>
      <c r="F53"/>
      <c r="G53"/>
      <c r="H53"/>
      <c r="I53"/>
      <c r="J53"/>
      <c r="K53"/>
      <c r="L53"/>
      <c r="M53" s="10">
        <v>7.5059148230138817E-8</v>
      </c>
      <c r="N53"/>
      <c r="O53"/>
      <c r="P53"/>
      <c r="Q53"/>
      <c r="R53" s="10">
        <v>7.3725139372982085E-5</v>
      </c>
      <c r="S53" s="10">
        <v>1.0124827967956662E-3</v>
      </c>
      <c r="T53"/>
      <c r="U53"/>
      <c r="V53"/>
      <c r="W53"/>
      <c r="X53"/>
      <c r="Y53"/>
      <c r="Z53"/>
      <c r="AA53"/>
      <c r="AB53" s="22">
        <v>2.3427050560712814E-2</v>
      </c>
      <c r="AC53"/>
      <c r="AD53"/>
      <c r="AE53"/>
      <c r="AF53" s="10">
        <v>2.1155352442292497E-5</v>
      </c>
      <c r="AG53" s="10">
        <v>1.8417531391605735E-3</v>
      </c>
      <c r="AH53" s="14">
        <v>3.8192234933376312E-2</v>
      </c>
      <c r="AI53"/>
      <c r="AJ53" s="10">
        <v>2.3217338602989912E-3</v>
      </c>
      <c r="AK53"/>
      <c r="AL53"/>
      <c r="AM53"/>
      <c r="AN53"/>
      <c r="AO53"/>
      <c r="AP53"/>
      <c r="AQ53" s="23">
        <v>0.11183860898017883</v>
      </c>
      <c r="AR53"/>
      <c r="AS53" s="10">
        <v>8.3429558799252845E-6</v>
      </c>
      <c r="AT53" s="13">
        <v>5.0331074744462967E-3</v>
      </c>
      <c r="AU53"/>
      <c r="AV53" s="11">
        <v>1.5009937807917595E-2</v>
      </c>
      <c r="AW53"/>
      <c r="AX53" s="10">
        <v>8.8408403098583221E-4</v>
      </c>
      <c r="AY53" s="10">
        <v>2.3308650997933E-4</v>
      </c>
      <c r="AZ53"/>
      <c r="BA53"/>
      <c r="BB53" s="10">
        <v>2.0486603025346994E-3</v>
      </c>
      <c r="BC53" s="61">
        <v>0.23919083178043365</v>
      </c>
      <c r="BD53"/>
      <c r="BE53"/>
      <c r="BF53"/>
      <c r="BG53" s="290">
        <v>1.1442534923553467</v>
      </c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ht="15" customHeight="true" x14ac:dyDescent="0.15">
      <c r="A54" t="s">
        <v>219</v>
      </c>
      <c r="B54">
        <v>23.729999542236328</v>
      </c>
      <c r="C54">
        <v>8.9291629791259766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 s="10">
        <v>8.9247514551971108E-5</v>
      </c>
      <c r="S54"/>
      <c r="T54"/>
      <c r="U54"/>
      <c r="V54" s="10">
        <v>1.2925789633300155E-4</v>
      </c>
      <c r="W54" s="10">
        <v>9.8617840558290482E-4</v>
      </c>
      <c r="X54"/>
      <c r="Y54"/>
      <c r="Z54"/>
      <c r="AA54"/>
      <c r="AB54" s="10">
        <v>1.9558258354663849E-3</v>
      </c>
      <c r="AC54"/>
      <c r="AD54"/>
      <c r="AE54"/>
      <c r="AF54" s="10">
        <v>5.1218969019828364E-5</v>
      </c>
      <c r="AG54" s="10">
        <v>3.7158720078878105E-4</v>
      </c>
      <c r="AH54" s="10">
        <v>1.7782067880034447E-2</v>
      </c>
      <c r="AI54"/>
      <c r="AJ54"/>
      <c r="AK54"/>
      <c r="AL54" s="10">
        <v>1.1725341901183128E-3</v>
      </c>
      <c r="AM54"/>
      <c r="AN54"/>
      <c r="AO54"/>
      <c r="AP54"/>
      <c r="AQ54"/>
      <c r="AR54"/>
      <c r="AS54"/>
      <c r="AT54" s="10">
        <v>1.2185594532638788E-3</v>
      </c>
      <c r="AU54"/>
      <c r="AV54"/>
      <c r="AW54"/>
      <c r="AX54" s="13">
        <v>3.5674083977937698E-2</v>
      </c>
      <c r="AY54"/>
      <c r="AZ54" s="10">
        <v>7.6526175253093243E-3</v>
      </c>
      <c r="BA54"/>
      <c r="BB54" s="10">
        <v>1.487995870411396E-2</v>
      </c>
      <c r="BC54" s="14">
        <v>0.23887959122657776</v>
      </c>
      <c r="BD54" s="294">
        <v>4.5038599967956543</v>
      </c>
      <c r="BE54" s="270">
        <v>2.6633946895599365</v>
      </c>
      <c r="BF54" s="227">
        <v>0.91453295946121216</v>
      </c>
      <c r="BG54" s="227">
        <v>0.92344605922698975</v>
      </c>
      <c r="BH54" s="63">
        <v>2.1826729774475098</v>
      </c>
      <c r="BI54" s="225">
        <v>0.55742108821868896</v>
      </c>
      <c r="BJ54" s="225">
        <v>0.56245803833007812</v>
      </c>
      <c r="BK54"/>
      <c r="BL54" s="10">
        <v>1.0648488998413086E-2</v>
      </c>
      <c r="BM54"/>
      <c r="BN54" s="246">
        <v>2.1615598201751709</v>
      </c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ht="15" customHeight="true" x14ac:dyDescent="0.15">
      <c r="A55" t="s">
        <v>220</v>
      </c>
      <c r="B55">
        <v>182.1300048828125</v>
      </c>
      <c r="C55">
        <v>126.86261749267578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 s="10">
        <v>7.257740362547338E-4</v>
      </c>
      <c r="AU55" s="10">
        <v>4.3745178729295731E-2</v>
      </c>
      <c r="AV55"/>
      <c r="AW55"/>
      <c r="AX55"/>
      <c r="AY55"/>
      <c r="AZ55"/>
      <c r="BA55"/>
      <c r="BB55"/>
      <c r="BC55" s="10">
        <v>8.0479748547077179E-2</v>
      </c>
      <c r="BD55" s="238">
        <v>10.282914161682129</v>
      </c>
      <c r="BE55" s="125">
        <v>18.242656707763672</v>
      </c>
      <c r="BF55" s="16">
        <v>2.6629571914672852</v>
      </c>
      <c r="BG55" s="21">
        <v>1.3750113248825073</v>
      </c>
      <c r="BH55"/>
      <c r="BI55" s="268">
        <v>13.279999732971191</v>
      </c>
      <c r="BJ55" s="23">
        <v>4.9579997062683105</v>
      </c>
      <c r="BK55" s="14">
        <v>1.7280000448226929</v>
      </c>
      <c r="BL55" s="10">
        <v>3.8053441792726517E-2</v>
      </c>
      <c r="BM55"/>
      <c r="BN55" s="16">
        <v>2.5748500823974609</v>
      </c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ht="15" customHeight="true" x14ac:dyDescent="0.15">
      <c r="A56" t="s">
        <v>221</v>
      </c>
      <c r="B56">
        <v>9.0100002288818359</v>
      </c>
      <c r="C56">
        <v>8.8569211959838867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10">
        <v>7.7754748417646624E-6</v>
      </c>
      <c r="V56"/>
      <c r="W56"/>
      <c r="X56"/>
      <c r="Y56"/>
      <c r="Z56"/>
      <c r="AA56"/>
      <c r="AB56" s="13">
        <v>1.4924281276762486E-2</v>
      </c>
      <c r="AC56"/>
      <c r="AD56" s="13">
        <v>1.5923118218779564E-2</v>
      </c>
      <c r="AE56"/>
      <c r="AF56"/>
      <c r="AG56"/>
      <c r="AH56"/>
      <c r="AI56"/>
      <c r="AJ56"/>
      <c r="AK56"/>
      <c r="AL56"/>
      <c r="AM56" s="10">
        <v>3.1362094450742006E-3</v>
      </c>
      <c r="AN56"/>
      <c r="AO56"/>
      <c r="AP56" s="10">
        <v>1.5070836525410414E-4</v>
      </c>
      <c r="AQ56" s="10">
        <v>2.9759612516500056E-4</v>
      </c>
      <c r="AR56"/>
      <c r="AS56"/>
      <c r="AT56"/>
      <c r="AU56"/>
      <c r="AV56" s="10">
        <v>1.5405656304210424E-3</v>
      </c>
      <c r="AW56"/>
      <c r="AX56"/>
      <c r="AY56"/>
      <c r="AZ56"/>
      <c r="BA56"/>
      <c r="BB56"/>
      <c r="BC56" s="13">
        <v>1.9230583682656288E-2</v>
      </c>
      <c r="BD56"/>
      <c r="BE56"/>
      <c r="BF56"/>
      <c r="BG56" s="17">
        <v>9.7868360579013824E-2</v>
      </c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ht="15" customHeight="true" x14ac:dyDescent="0.15">
      <c r="A57" t="s">
        <v>71</v>
      </c>
      <c r="B57"/>
      <c r="C57">
        <v>0.92215752601623535</v>
      </c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 s="8">
        <v>2.475391149520874</v>
      </c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 s="8">
        <v>1.7639185190200806</v>
      </c>
      <c r="AV57"/>
      <c r="AW57"/>
      <c r="AX57"/>
      <c r="AY57"/>
      <c r="AZ57"/>
      <c r="BA57"/>
      <c r="BB57"/>
      <c r="BC57" s="8">
        <v>4.8144130706787109</v>
      </c>
      <c r="BD57" s="8">
        <v>145.30203247070312</v>
      </c>
      <c r="BE57" s="8">
        <v>356.92153930664062</v>
      </c>
      <c r="BF57" s="8">
        <v>15.130439758300781</v>
      </c>
      <c r="BG57" s="8">
        <v>24.06269645690918</v>
      </c>
      <c r="BH57"/>
      <c r="BI57" s="8">
        <v>4.1500000953674316</v>
      </c>
      <c r="BJ57" s="8">
        <v>13.399999618530273</v>
      </c>
      <c r="BK57" s="8">
        <v>12.096000671386719</v>
      </c>
      <c r="BL57" s="8">
        <v>0.31711199879646301</v>
      </c>
      <c r="BM57"/>
      <c r="BN57" s="8">
        <v>6437.1259765625</v>
      </c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ht="15" customHeight="true" x14ac:dyDescent="0.15">
      <c r="A58" t="s">
        <v>222</v>
      </c>
      <c r="B58"/>
      <c r="C58">
        <v>0.9061053991317749</v>
      </c>
      <c r="D58"/>
      <c r="E58"/>
      <c r="F58"/>
      <c r="G58"/>
      <c r="H58"/>
      <c r="I58"/>
      <c r="J58"/>
      <c r="K58"/>
      <c r="L58"/>
      <c r="M58"/>
      <c r="N58"/>
      <c r="O58"/>
      <c r="P58" s="8">
        <v>2.3018570616841316E-2</v>
      </c>
      <c r="Q58"/>
      <c r="R58"/>
      <c r="S58"/>
      <c r="T58"/>
      <c r="U58"/>
      <c r="V58" s="8">
        <v>1.9542600959539413E-2</v>
      </c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 s="8">
        <v>0.35278370976448059</v>
      </c>
      <c r="AV58" s="8">
        <v>0.40583115816116333</v>
      </c>
      <c r="AW58"/>
      <c r="AX58" s="8">
        <v>0.329336017370224</v>
      </c>
      <c r="AY58"/>
      <c r="AZ58" s="8">
        <v>5.3975127637386322E-2</v>
      </c>
      <c r="BA58" s="8">
        <v>2.8531324118375778E-2</v>
      </c>
      <c r="BB58"/>
      <c r="BC58" s="8">
        <v>1.4371383190155029</v>
      </c>
      <c r="BD58"/>
      <c r="BE58" s="8">
        <v>19.828971862792969</v>
      </c>
      <c r="BF58"/>
      <c r="BG58" s="8">
        <v>17.187641143798828</v>
      </c>
      <c r="BH58"/>
      <c r="BI58"/>
      <c r="BJ58"/>
      <c r="BK58"/>
      <c r="BL58"/>
      <c r="BM58"/>
      <c r="BN58" s="8">
        <v>90.119758605957031</v>
      </c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ht="15" customHeight="true" x14ac:dyDescent="0.15">
      <c r="A59" t="s">
        <v>72</v>
      </c>
      <c r="B59"/>
      <c r="C59">
        <v>0.87986642122268677</v>
      </c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 s="8">
        <v>0.75717842578887939</v>
      </c>
      <c r="AC59"/>
      <c r="AD59"/>
      <c r="AE59"/>
      <c r="AF59" s="8">
        <v>7.6265045208856463E-4</v>
      </c>
      <c r="AG59" s="8">
        <v>0.32091012597084045</v>
      </c>
      <c r="AH59" s="8">
        <v>1.9063800573348999</v>
      </c>
      <c r="AI59"/>
      <c r="AJ59"/>
      <c r="AK59"/>
      <c r="AL59"/>
      <c r="AM59"/>
      <c r="AN59"/>
      <c r="AO59"/>
      <c r="AP59"/>
      <c r="AQ59" s="8">
        <v>0.89595139026641846</v>
      </c>
      <c r="AR59"/>
      <c r="AS59"/>
      <c r="AT59" s="8">
        <v>0.10886610299348831</v>
      </c>
      <c r="AU59" s="8">
        <v>0.88195925951004028</v>
      </c>
      <c r="AV59" s="8">
        <v>0.54110825061798096</v>
      </c>
      <c r="AW59"/>
      <c r="AX59" s="8">
        <v>2.2309858798980713</v>
      </c>
      <c r="AY59"/>
      <c r="AZ59" s="8">
        <v>0.46778440475463867</v>
      </c>
      <c r="BA59"/>
      <c r="BB59" s="8">
        <v>0.44312518835067749</v>
      </c>
      <c r="BC59" s="8">
        <v>20.838506698608398</v>
      </c>
      <c r="BD59" s="8">
        <v>458.26028442382812</v>
      </c>
      <c r="BE59" s="8">
        <v>337.09255981445312</v>
      </c>
      <c r="BF59" s="8">
        <v>111.96525573730469</v>
      </c>
      <c r="BG59" s="8">
        <v>75.625617980957031</v>
      </c>
      <c r="BH59" s="8">
        <v>143</v>
      </c>
      <c r="BI59"/>
      <c r="BJ59" s="8">
        <v>3.3499999046325684</v>
      </c>
      <c r="BK59"/>
      <c r="BL59" s="8">
        <v>0.31711199879646301</v>
      </c>
      <c r="BM59"/>
      <c r="BN59" s="8">
        <v>6244.01220703125</v>
      </c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ht="15" customHeight="true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ht="15" customHeight="true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ht="15" customHeight="true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ht="15" customHeight="true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ht="15" customHeight="true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ht="15" customHeight="true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ht="15" customHeight="true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ht="15" customHeight="true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ht="15" customHeight="true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ht="15" customHeight="true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ht="15" customHeight="true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ht="15" customHeight="true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ht="15" customHeight="true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ht="15" customHeight="true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ht="15" customHeight="true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ht="15" customHeight="true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ht="15" customHeight="true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ht="15" customHeight="true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ht="15" customHeight="true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ht="15" customHeight="true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ht="15" customHeight="true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ht="15" customHeight="true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ht="15" customHeight="true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ht="15" customHeight="true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ht="15" customHeight="true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ht="15" customHeight="true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ht="15" customHeight="true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ht="15" customHeight="true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ht="15" customHeight="true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ht="15" customHeight="true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ht="15" customHeight="true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ht="15" customHeight="true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ht="15" customHeight="true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ht="15" customHeight="true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ht="15" customHeight="true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ht="15" customHeight="true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ht="15" customHeight="true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ht="15" customHeight="true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ht="15" customHeight="true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ht="15" customHeight="true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ht="15" customHeight="true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ht="15" customHeight="true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ht="15" customHeight="true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ht="15" customHeight="true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ht="15" customHeight="true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ht="15" customHeight="true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ht="15" customHeight="true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ht="15" customHeight="true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ht="15" customHeight="true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ht="15" customHeight="true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ht="15" customHeight="true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ht="15" customHeight="true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ht="15" customHeight="true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ht="15" customHeight="true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ht="15" customHeight="true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ht="15" customHeight="true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ht="15" customHeight="true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ht="15" customHeight="true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ht="15" customHeight="true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ht="15" customHeight="true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ht="15" customHeight="true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ht="15" customHeight="true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ht="15" customHeight="true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ht="15" customHeight="true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ht="15" customHeight="true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ht="15" customHeight="true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ht="15" customHeight="true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ht="15" customHeight="true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ht="15" customHeight="true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ht="15" customHeight="true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ht="15" customHeight="true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ht="15" customHeight="true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ht="15" customHeight="true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ht="15" customHeight="true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ht="15" customHeight="true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ht="15" customHeight="true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ht="15" customHeight="true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ht="15" customHeight="true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ht="15" customHeight="true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ht="15" customHeight="true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ht="15" customHeight="true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ht="15" customHeight="true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ht="15" customHeight="true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ht="15" customHeight="true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ht="15" customHeight="true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ht="15" customHeight="true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ht="15" customHeight="true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ht="15" customHeight="true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ht="15" customHeight="true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ht="15" customHeight="true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ht="15" customHeight="true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ht="15" customHeight="true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ht="15" customHeight="true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ht="15" customHeight="true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ht="15" customHeight="true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ht="15" customHeight="true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ht="15" customHeight="true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ht="15" customHeight="true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ht="15" customHeight="true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ht="15" customHeight="true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ht="15" customHeight="true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ht="15" customHeight="true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ht="15" customHeight="true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ht="15" customHeight="true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ht="15" customHeight="true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ht="15" customHeight="true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ht="15" customHeight="true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ht="15" customHeight="true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ht="15" customHeight="true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ht="15" customHeight="true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ht="15" customHeight="true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ht="15" customHeight="true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ht="15" customHeight="true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ht="15" customHeight="true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ht="15" customHeight="true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ht="15" customHeight="true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ht="15" customHeight="true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ht="15" customHeight="true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ht="15" customHeight="true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ht="15" customHeight="true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ht="15" customHeight="true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ht="15" customHeight="true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ht="15" customHeight="true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ht="15" customHeight="true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ht="15" customHeight="true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ht="15" customHeight="true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ht="15" customHeight="true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ht="15" customHeight="true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ht="15" customHeight="true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ht="15" customHeight="true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ht="15" customHeight="true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ht="15" customHeight="true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ht="15" customHeight="true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ht="15" customHeight="true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ht="15" customHeight="true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ht="15" customHeight="true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ht="15" customHeight="true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ht="15" customHeight="true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ht="15" customHeight="true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ht="15" customHeight="true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ht="15" customHeight="true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ht="15" customHeight="true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ht="15" customHeight="true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ht="15" customHeight="true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ht="15" customHeight="true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ht="15" customHeight="true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ht="15" customHeight="true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ht="15" customHeight="true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ht="15" customHeight="true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ht="15" customHeight="true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ht="15" customHeight="true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ht="15" customHeight="true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ht="15" customHeight="true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ht="15" customHeight="true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ht="15" customHeight="true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ht="15" customHeight="true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ht="15" customHeight="true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ht="15" customHeight="true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ht="15" customHeight="true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ht="15" customHeight="true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ht="15" customHeight="true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ht="15" customHeight="true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ht="15" customHeight="true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ht="15" customHeight="true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ht="15" customHeight="true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ht="15" customHeight="true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ht="15" customHeight="true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ht="15" customHeight="true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ht="15" customHeight="true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ht="15" customHeight="true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ht="15" customHeight="true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ht="15" customHeight="true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ht="15" customHeight="true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ht="15" customHeight="true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ht="15" customHeight="true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ht="15" customHeight="true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ht="15" customHeight="true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ht="15" customHeight="true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ht="15" customHeight="true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ht="15" customHeight="true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ht="15" customHeight="true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ht="15" customHeight="true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ht="15" customHeight="true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ht="15" customHeight="true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ht="15" customHeight="true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ht="15" customHeight="true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ht="15" customHeight="true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ht="15" customHeight="true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ht="15" customHeight="true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ht="15" customHeight="true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ht="15" customHeight="true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ht="15" customHeight="true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ht="15" customHeight="true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ht="15" customHeight="true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ht="15" customHeight="true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ht="15" customHeight="true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ht="15" customHeight="true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ht="15" customHeight="true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ht="15" customHeight="true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ht="15" customHeight="true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ht="15" customHeight="true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ht="15" customHeight="true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ht="15" customHeight="true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ht="15" customHeight="true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ht="15" customHeight="true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ht="15" customHeight="true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ht="15" customHeight="true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ht="15" customHeight="true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ht="15" customHeight="true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ht="15" customHeight="true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ht="15" customHeight="true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ht="15" customHeight="true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ht="15" customHeight="true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ht="15" customHeight="true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ht="15" customHeight="true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ht="15" customHeight="true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ht="15" customHeight="true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ht="15" customHeight="true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ht="15" customHeight="true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ht="15" customHeight="true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ht="15" customHeight="true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ht="15" customHeight="true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ht="15" customHeight="true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ht="15" customHeight="true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ht="15" customHeight="true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ht="15" customHeight="true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ht="15" customHeight="true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ht="15" customHeight="true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ht="15" customHeight="true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ht="15" customHeight="true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ht="15" customHeight="true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ht="15" customHeight="true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ht="15" customHeight="true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ht="15" customHeight="true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ht="15" customHeight="true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ht="15" customHeight="true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ht="15" customHeight="true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ht="15" customHeight="true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ht="15" customHeight="true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ht="15" customHeight="true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ht="15" customHeight="true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ht="15" customHeight="true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ht="15" customHeight="true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ht="15" customHeight="true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ht="15" customHeight="true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ht="15" customHeight="true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ht="15" customHeight="true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ht="15" customHeight="true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ht="15" customHeight="true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ht="15" customHeight="true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ht="15" customHeight="true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ht="15" customHeight="true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ht="15" customHeight="true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ht="15" customHeight="true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ht="15" customHeight="true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ht="15" customHeight="true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ht="15" customHeight="true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ht="15" customHeight="true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ht="15" customHeight="true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ht="15" customHeight="true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ht="15" customHeight="true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ht="15" customHeight="true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ht="15" customHeight="true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ht="15" customHeight="true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ht="15" customHeight="true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ht="15" customHeight="true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ht="15" customHeight="true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ht="15" customHeight="true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ht="15" customHeight="true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ht="15" customHeight="true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ht="15" customHeight="true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ht="15" customHeight="true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ht="15" customHeight="true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ht="15" customHeight="true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ht="15" customHeight="true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ht="15" customHeight="true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ht="15" customHeight="true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ht="15" customHeight="true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ht="15" customHeight="true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ht="15" customHeight="true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ht="15" customHeight="true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ht="15" customHeight="true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ht="15" customHeight="true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ht="15" customHeight="true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ht="15" customHeight="true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ht="15" customHeight="true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ht="15" customHeight="true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ht="15" customHeight="true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ht="15" customHeight="true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ht="15" customHeight="true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ht="15" customHeight="true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ht="15" customHeight="true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ht="15" customHeight="true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ht="15" customHeight="true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ht="15" customHeight="true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ht="15" customHeight="true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ht="15" customHeight="true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ht="15" customHeight="true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ht="15" customHeight="true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ht="15" customHeight="true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ht="15" customHeight="true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ht="15" customHeight="true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ht="15" customHeight="true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ht="15" customHeight="true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ht="15" customHeight="true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ht="15" customHeight="true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ht="15" customHeight="true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ht="15" customHeight="true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ht="15" customHeight="true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ht="15" customHeight="true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ht="15" customHeight="true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ht="15" customHeight="true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ht="15" customHeight="true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ht="15" customHeight="true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ht="15" customHeight="true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ht="15" customHeight="true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ht="15" customHeight="true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ht="15" customHeight="true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ht="15" customHeight="true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ht="15" customHeight="true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ht="15" customHeight="true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ht="15" customHeight="true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ht="15" customHeight="true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ht="15" customHeight="true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ht="15" customHeight="true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ht="15" customHeight="true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ht="15" customHeight="true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ht="15" customHeight="true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ht="15" customHeight="true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ht="15" customHeight="true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ht="15" customHeight="true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ht="15" customHeight="true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ht="15" customHeight="true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ht="15" customHeight="true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ht="15" customHeight="true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ht="15" customHeight="true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ht="15" customHeight="true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ht="15" customHeight="true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ht="15" customHeight="true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ht="15" customHeight="true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ht="15" customHeight="true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ht="15" customHeight="true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ht="15" customHeight="true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ht="15" customHeight="true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ht="15" customHeight="true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ht="15" customHeight="true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ht="15" customHeight="true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ht="15" customHeight="true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ht="15" customHeight="true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ht="15" customHeight="true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ht="15" customHeight="true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ht="15" customHeight="true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ht="15" customHeight="true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ht="15" customHeight="true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ht="15" customHeight="true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ht="15" customHeight="true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ht="15" customHeight="true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ht="15" customHeight="true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ht="15" customHeight="true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ht="15" customHeight="true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ht="15" customHeight="true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ht="15" customHeight="true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ht="15" customHeight="true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ht="15" customHeight="true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ht="15" customHeight="true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ht="15" customHeight="true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ht="15" customHeight="true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ht="15" customHeight="true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ht="15" customHeight="true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ht="15" customHeight="true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ht="15" customHeight="true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ht="15" customHeight="true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ht="15" customHeight="true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ht="15" customHeight="true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ht="15" customHeight="true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ht="15" customHeight="true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ht="15" customHeight="true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ht="15" customHeight="true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ht="15" customHeight="true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ht="15" customHeight="true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ht="15" customHeight="true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ht="15" customHeight="true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ht="15" customHeight="true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ht="15" customHeight="true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ht="15" customHeight="true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ht="15" customHeight="true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ht="15" customHeight="true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ht="15" customHeight="true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ht="15" customHeight="true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ht="15" customHeight="true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ht="15" customHeight="true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ht="15" customHeight="true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ht="15" customHeight="true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ht="15" customHeight="true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ht="15" customHeight="true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ht="15" customHeight="true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ht="15" customHeight="true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ht="15" customHeight="true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ht="15" customHeight="true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ht="15" customHeight="true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ht="15" customHeight="true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ht="15" customHeight="true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ht="15" customHeight="true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ht="15" customHeight="true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ht="15" customHeight="true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ht="15" customHeight="true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ht="15" customHeight="true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ht="15" customHeight="true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ht="15" customHeight="true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ht="15" customHeight="true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ht="15" customHeight="true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ht="15" customHeight="true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ht="15" customHeight="true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ht="15" customHeight="true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ht="15" customHeight="true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ht="15" customHeight="true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ht="15" customHeight="true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ht="15" customHeight="true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ht="15" customHeight="true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ht="15" customHeight="true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ht="15" customHeight="true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ht="15" customHeight="true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ht="15" customHeight="true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ht="15" customHeight="true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ht="15" customHeight="true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ht="15" customHeight="true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ht="15" customHeight="true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ht="15" customHeight="true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ht="15" customHeight="true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ht="15" customHeight="true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ht="15" customHeight="true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ht="15" customHeight="true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ht="15" customHeight="true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ht="15" customHeight="true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ht="15" customHeight="true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ht="15" customHeight="true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ht="15" customHeight="true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ht="15" customHeight="true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ht="15" customHeight="true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ht="15" customHeight="true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ht="15" customHeight="true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76"/>
  <sheetViews>
    <sheetView workbookViewId="0">
      <selection activeCell="J29" sqref="J29"/>
    </sheetView>
  </sheetViews>
  <sheetFormatPr baseColWidth="10" defaultRowHeight="13" x14ac:dyDescent="0.15"/>
  <cols>
    <col min="1" max="1" width="33.6640625" bestFit="true" customWidth="true"/>
    <col min="2" max="2" width="5.85546875" customWidth="true"/>
    <col min="3" max="3" width="9" customWidth="true"/>
    <col min="4" max="4" width="31" bestFit="true" customWidth="true"/>
    <col min="5" max="5" width="13.83203125" bestFit="true" customWidth="true"/>
    <col min="6" max="6" width="5.85546875" bestFit="true" customWidth="true"/>
    <col min="7" max="7" width="15.33203125" bestFit="true" customWidth="true"/>
    <col min="8" max="8" width="31" bestFit="true" customWidth="true"/>
    <col min="10" max="10" width="18" bestFit="true" customWidth="true"/>
    <col min="11" max="11" width="14" bestFit="true" customWidth="true"/>
    <col min="15" max="15" width="14.33203125" bestFit="true" customWidth="true"/>
    <col min="16" max="16" width="39.83203125" bestFit="true" customWidth="true"/>
  </cols>
  <sheetData>
    <row r="1" s="1" customFormat="true" ht="14" thickBot="true" x14ac:dyDescent="0.2"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</row>
    <row r="2" x14ac:dyDescent="0.15">
      <c r="A2" s="1" t="s">
        <v>37</v>
      </c>
      <c r="B2" s="36">
        <v>3</v>
      </c>
      <c r="C2" s="65"/>
      <c r="D2" t="s">
        <v>38</v>
      </c>
      <c r="E2">
        <v>1</v>
      </c>
      <c r="F2">
        <v>1</v>
      </c>
      <c r="G2">
        <v>1</v>
      </c>
      <c r="H2" t="s">
        <v>38</v>
      </c>
      <c r="J2" s="50"/>
      <c r="K2" s="51"/>
      <c r="L2" s="56" t="s">
        <v>277</v>
      </c>
    </row>
    <row r="3" ht="14" thickBot="true" x14ac:dyDescent="0.2">
      <c r="A3" s="1" t="s">
        <v>39</v>
      </c>
      <c r="B3" s="37">
        <v>0</v>
      </c>
      <c r="C3" s="6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2"/>
      <c r="K3" s="53"/>
    </row>
    <row r="4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2"/>
      <c r="K4" s="53"/>
    </row>
    <row r="5" x14ac:dyDescent="0.15">
      <c r="D5" t="s">
        <v>167</v>
      </c>
      <c r="E5">
        <v>4</v>
      </c>
      <c r="F5">
        <v>3.1600000000000001</v>
      </c>
      <c r="G5">
        <v>4</v>
      </c>
      <c r="H5" t="s">
        <v>167</v>
      </c>
      <c r="J5" s="52"/>
      <c r="K5" s="53"/>
    </row>
    <row r="6" ht="14" thickBot="true" x14ac:dyDescent="0.2">
      <c r="A6" s="38" t="s">
        <v>121</v>
      </c>
      <c r="D6" t="s">
        <v>168</v>
      </c>
      <c r="E6">
        <v>5</v>
      </c>
      <c r="F6">
        <v>3.1600000000000001</v>
      </c>
      <c r="G6">
        <v>5</v>
      </c>
      <c r="H6" t="s">
        <v>168</v>
      </c>
      <c r="J6" s="52"/>
      <c r="K6" s="53"/>
    </row>
    <row r="7" x14ac:dyDescent="0.15">
      <c r="A7" s="35" t="s">
        <v>126</v>
      </c>
      <c r="B7" s="39">
        <v>1</v>
      </c>
      <c r="C7" s="101"/>
      <c r="D7" t="s">
        <v>169</v>
      </c>
      <c r="E7">
        <v>6</v>
      </c>
      <c r="F7">
        <v>3.1499999999999999</v>
      </c>
      <c r="G7">
        <v>6</v>
      </c>
      <c r="H7" t="s">
        <v>169</v>
      </c>
      <c r="J7" s="52"/>
      <c r="K7" s="53"/>
    </row>
    <row r="8" x14ac:dyDescent="0.15">
      <c r="A8" s="35" t="s">
        <v>38</v>
      </c>
      <c r="B8" s="40">
        <v>1</v>
      </c>
      <c r="C8" s="101"/>
      <c r="D8" t="s">
        <v>170</v>
      </c>
      <c r="E8">
        <v>7</v>
      </c>
      <c r="F8">
        <v>3.1600000000000001</v>
      </c>
      <c r="G8">
        <v>7</v>
      </c>
      <c r="H8" t="s">
        <v>170</v>
      </c>
      <c r="J8" s="52"/>
      <c r="K8" s="53"/>
    </row>
    <row r="9" x14ac:dyDescent="0.15">
      <c r="A9" s="35" t="s">
        <v>40</v>
      </c>
      <c r="B9" s="40">
        <v>1.1000000000000001</v>
      </c>
      <c r="C9" s="101"/>
      <c r="D9" t="s">
        <v>171</v>
      </c>
      <c r="E9">
        <v>8</v>
      </c>
      <c r="F9">
        <v>3.1400000000000001</v>
      </c>
      <c r="G9">
        <v>8</v>
      </c>
      <c r="H9" t="s">
        <v>171</v>
      </c>
      <c r="J9" s="52"/>
      <c r="K9" s="53"/>
    </row>
    <row r="10" x14ac:dyDescent="0.15">
      <c r="A10" s="35" t="s">
        <v>41</v>
      </c>
      <c r="B10" s="40">
        <v>1.2</v>
      </c>
      <c r="C10" s="101"/>
      <c r="D10" t="s">
        <v>172</v>
      </c>
      <c r="E10">
        <v>9</v>
      </c>
      <c r="F10">
        <v>3.1000000000000001</v>
      </c>
      <c r="G10">
        <v>9</v>
      </c>
      <c r="H10" t="s">
        <v>172</v>
      </c>
      <c r="J10" s="52"/>
      <c r="K10" s="53"/>
    </row>
    <row r="11" ht="12" customHeight="true" x14ac:dyDescent="0.15">
      <c r="A11" s="35" t="s">
        <v>127</v>
      </c>
      <c r="B11" s="40">
        <v>2</v>
      </c>
      <c r="C11" s="101"/>
      <c r="D11" t="s">
        <v>173</v>
      </c>
      <c r="E11">
        <v>10</v>
      </c>
      <c r="F11">
        <v>3.1400000000000001</v>
      </c>
      <c r="G11">
        <v>10</v>
      </c>
      <c r="H11" t="s">
        <v>173</v>
      </c>
      <c r="J11" s="52"/>
      <c r="K11" s="53"/>
    </row>
    <row r="12" x14ac:dyDescent="0.15">
      <c r="A12" s="35" t="s">
        <v>42</v>
      </c>
      <c r="B12" s="40">
        <v>2.1200000000000001</v>
      </c>
      <c r="C12" s="101"/>
      <c r="D12" t="s">
        <v>174</v>
      </c>
      <c r="E12">
        <v>11</v>
      </c>
      <c r="F12">
        <v>3.2400000000000002</v>
      </c>
      <c r="G12">
        <v>11</v>
      </c>
      <c r="H12" t="s">
        <v>174</v>
      </c>
      <c r="J12" s="52"/>
      <c r="K12" s="53"/>
    </row>
    <row r="13" x14ac:dyDescent="0.15">
      <c r="A13" s="35" t="s">
        <v>43</v>
      </c>
      <c r="B13" s="40">
        <v>2.1099999999999999</v>
      </c>
      <c r="C13" s="101"/>
      <c r="D13" t="s">
        <v>175</v>
      </c>
      <c r="E13">
        <v>12</v>
      </c>
      <c r="F13">
        <v>3.1400000000000001</v>
      </c>
      <c r="G13">
        <v>12</v>
      </c>
      <c r="H13" t="s">
        <v>175</v>
      </c>
      <c r="J13" s="52"/>
      <c r="K13" s="53"/>
    </row>
    <row r="14" x14ac:dyDescent="0.15">
      <c r="A14" s="35" t="s">
        <v>67</v>
      </c>
      <c r="B14" s="40">
        <v>2.2200000000000002</v>
      </c>
      <c r="C14" s="101"/>
      <c r="D14" t="s">
        <v>176</v>
      </c>
      <c r="E14">
        <v>13</v>
      </c>
      <c r="F14">
        <v>3.1400000000000001</v>
      </c>
      <c r="G14">
        <v>13</v>
      </c>
      <c r="H14" t="s">
        <v>176</v>
      </c>
      <c r="J14" s="52"/>
      <c r="K14" s="53"/>
    </row>
    <row r="15" x14ac:dyDescent="0.15">
      <c r="A15" s="35" t="s">
        <v>128</v>
      </c>
      <c r="B15" s="40">
        <v>3</v>
      </c>
      <c r="C15" s="101"/>
      <c r="D15" t="s">
        <v>177</v>
      </c>
      <c r="E15">
        <v>14</v>
      </c>
      <c r="F15">
        <v>3.1400000000000001</v>
      </c>
      <c r="G15">
        <v>14</v>
      </c>
      <c r="H15" t="s">
        <v>177</v>
      </c>
      <c r="J15" s="52"/>
      <c r="K15" s="53"/>
    </row>
    <row r="16" x14ac:dyDescent="0.15">
      <c r="A16" s="35" t="s">
        <v>62</v>
      </c>
      <c r="B16" s="40">
        <v>3.1099999999999999</v>
      </c>
      <c r="C16" s="101"/>
      <c r="D16" t="s">
        <v>178</v>
      </c>
      <c r="E16">
        <v>15</v>
      </c>
      <c r="F16">
        <v>3.1400000000000001</v>
      </c>
      <c r="G16">
        <v>15</v>
      </c>
      <c r="H16" t="s">
        <v>178</v>
      </c>
      <c r="J16" s="52"/>
      <c r="K16" s="53"/>
    </row>
    <row r="17" x14ac:dyDescent="0.15">
      <c r="A17" s="35" t="s">
        <v>61</v>
      </c>
      <c r="B17" s="40">
        <v>3.1400000000000001</v>
      </c>
      <c r="C17" s="101"/>
      <c r="D17" t="s">
        <v>179</v>
      </c>
      <c r="E17">
        <v>16</v>
      </c>
      <c r="F17">
        <v>3.1400000000000001</v>
      </c>
      <c r="G17">
        <v>16</v>
      </c>
      <c r="H17" t="s">
        <v>179</v>
      </c>
      <c r="J17" s="52"/>
      <c r="K17" s="53"/>
    </row>
    <row r="18" x14ac:dyDescent="0.15">
      <c r="A18" s="35" t="s">
        <v>68</v>
      </c>
      <c r="B18" s="40">
        <v>3.1600000000000001</v>
      </c>
      <c r="C18" s="101"/>
      <c r="D18" t="s">
        <v>180</v>
      </c>
      <c r="E18">
        <v>17</v>
      </c>
      <c r="F18">
        <v>3.1400000000000001</v>
      </c>
      <c r="G18">
        <v>17</v>
      </c>
      <c r="H18" t="s">
        <v>180</v>
      </c>
      <c r="J18" s="52"/>
      <c r="K18" s="53"/>
    </row>
    <row r="19" x14ac:dyDescent="0.15">
      <c r="A19" s="35" t="s">
        <v>66</v>
      </c>
      <c r="B19" s="40">
        <v>3.21</v>
      </c>
      <c r="C19" s="101"/>
      <c r="D19" t="s">
        <v>181</v>
      </c>
      <c r="E19">
        <v>18</v>
      </c>
      <c r="F19">
        <v>3.1400000000000001</v>
      </c>
      <c r="G19">
        <v>18</v>
      </c>
      <c r="H19" t="s">
        <v>181</v>
      </c>
      <c r="J19" s="52"/>
      <c r="K19" s="53"/>
    </row>
    <row r="20" x14ac:dyDescent="0.15">
      <c r="A20" s="35" t="s">
        <v>63</v>
      </c>
      <c r="B20" s="40">
        <v>3.2400000000000002</v>
      </c>
      <c r="C20" s="101"/>
      <c r="D20" t="s">
        <v>182</v>
      </c>
      <c r="E20">
        <v>19</v>
      </c>
      <c r="F20">
        <v>3.2400000000000002</v>
      </c>
      <c r="G20">
        <v>19</v>
      </c>
      <c r="H20" t="s">
        <v>182</v>
      </c>
      <c r="J20" s="52"/>
      <c r="K20" s="53"/>
    </row>
    <row r="21" ht="14" thickBot="true" x14ac:dyDescent="0.2">
      <c r="A21" s="35" t="s">
        <v>69</v>
      </c>
      <c r="B21" s="40">
        <v>3.2599999999999998</v>
      </c>
      <c r="C21" s="101"/>
      <c r="D21" t="s">
        <v>183</v>
      </c>
      <c r="E21">
        <v>20</v>
      </c>
      <c r="F21">
        <v>3.2400000000000002</v>
      </c>
      <c r="G21">
        <v>20</v>
      </c>
      <c r="H21" t="s">
        <v>183</v>
      </c>
      <c r="J21" s="54"/>
      <c r="K21" s="55"/>
      <c r="L21" s="56" t="s">
        <v>152</v>
      </c>
    </row>
    <row r="22" x14ac:dyDescent="0.15">
      <c r="A22" s="35" t="s">
        <v>64</v>
      </c>
      <c r="B22" s="40">
        <v>8</v>
      </c>
      <c r="C22" s="101"/>
      <c r="D22" t="s">
        <v>184</v>
      </c>
      <c r="E22">
        <v>21</v>
      </c>
      <c r="F22">
        <v>3.2400000000000002</v>
      </c>
      <c r="G22">
        <v>21</v>
      </c>
      <c r="H22" t="s">
        <v>184</v>
      </c>
    </row>
    <row r="23" x14ac:dyDescent="0.15">
      <c r="A23" s="35" t="s">
        <v>129</v>
      </c>
      <c r="B23" s="40">
        <v>4</v>
      </c>
      <c r="C23" s="101"/>
      <c r="D23" t="s">
        <v>185</v>
      </c>
      <c r="E23">
        <v>22</v>
      </c>
      <c r="F23">
        <v>3.2400000000000002</v>
      </c>
      <c r="G23">
        <v>22</v>
      </c>
      <c r="H23" t="s">
        <v>185</v>
      </c>
      <c r="L23" s="56" t="s">
        <v>278</v>
      </c>
    </row>
    <row r="24" x14ac:dyDescent="0.15">
      <c r="A24" s="35" t="s">
        <v>122</v>
      </c>
      <c r="B24" s="40">
        <v>4.0999999999999996</v>
      </c>
      <c r="C24" s="101"/>
      <c r="D24" t="s">
        <v>186</v>
      </c>
      <c r="E24">
        <v>23</v>
      </c>
      <c r="F24">
        <v>3.2000000000000002</v>
      </c>
      <c r="G24">
        <v>23</v>
      </c>
      <c r="H24" t="s">
        <v>186</v>
      </c>
    </row>
    <row r="25" x14ac:dyDescent="0.15">
      <c r="A25" s="35" t="s">
        <v>70</v>
      </c>
      <c r="B25" s="40">
        <v>4.2000000000000002</v>
      </c>
      <c r="C25" s="101"/>
      <c r="D25" t="s">
        <v>187</v>
      </c>
      <c r="E25">
        <v>24</v>
      </c>
      <c r="F25">
        <v>3.2400000000000002</v>
      </c>
      <c r="G25">
        <v>24</v>
      </c>
      <c r="H25" t="s">
        <v>187</v>
      </c>
    </row>
    <row r="26" x14ac:dyDescent="0.15">
      <c r="A26" s="35" t="s">
        <v>123</v>
      </c>
      <c r="B26" s="40">
        <v>4.2999999999999998</v>
      </c>
      <c r="C26" s="101"/>
      <c r="D26" t="s">
        <v>188</v>
      </c>
      <c r="E26">
        <v>25</v>
      </c>
      <c r="F26">
        <v>3.2400000000000002</v>
      </c>
      <c r="G26">
        <v>25</v>
      </c>
      <c r="H26" t="s">
        <v>188</v>
      </c>
    </row>
    <row r="27" x14ac:dyDescent="0.15">
      <c r="A27" s="35" t="s">
        <v>125</v>
      </c>
      <c r="B27" s="40">
        <v>6.0999999999999996</v>
      </c>
      <c r="D27" t="s">
        <v>189</v>
      </c>
      <c r="E27">
        <v>26</v>
      </c>
      <c r="F27">
        <v>3.2400000000000002</v>
      </c>
      <c r="G27">
        <v>26</v>
      </c>
      <c r="H27" t="s">
        <v>189</v>
      </c>
    </row>
    <row r="28" x14ac:dyDescent="0.15">
      <c r="A28" s="35" t="s">
        <v>124</v>
      </c>
      <c r="B28" s="40">
        <v>6.2000000000000002</v>
      </c>
      <c r="D28" t="s">
        <v>190</v>
      </c>
      <c r="E28">
        <v>27</v>
      </c>
      <c r="F28">
        <v>3.1400000000000001</v>
      </c>
      <c r="G28">
        <v>27</v>
      </c>
      <c r="H28" t="s">
        <v>190</v>
      </c>
    </row>
    <row r="29" x14ac:dyDescent="0.15">
      <c r="A29" s="35" t="s">
        <v>44</v>
      </c>
      <c r="B29" s="40">
        <v>5</v>
      </c>
      <c r="D29" t="s">
        <v>191</v>
      </c>
      <c r="E29">
        <v>28</v>
      </c>
      <c r="F29">
        <v>3.1400000000000001</v>
      </c>
      <c r="G29">
        <v>28</v>
      </c>
      <c r="H29" t="s">
        <v>191</v>
      </c>
    </row>
    <row r="30" x14ac:dyDescent="0.15">
      <c r="A30" s="35" t="s">
        <v>73</v>
      </c>
      <c r="B30" s="40">
        <v>7</v>
      </c>
      <c r="D30" t="s">
        <v>192</v>
      </c>
      <c r="E30">
        <v>29</v>
      </c>
      <c r="F30">
        <v>3.2400000000000002</v>
      </c>
      <c r="G30">
        <v>29</v>
      </c>
      <c r="H30" t="s">
        <v>192</v>
      </c>
    </row>
    <row r="31" x14ac:dyDescent="0.15">
      <c r="A31" s="35" t="s">
        <v>279</v>
      </c>
      <c r="B31" s="40">
        <v>3.1110000000000002</v>
      </c>
      <c r="D31" t="s">
        <v>193</v>
      </c>
      <c r="E31">
        <v>30</v>
      </c>
      <c r="F31">
        <v>3.1400000000000001</v>
      </c>
      <c r="G31">
        <v>30</v>
      </c>
      <c r="H31" t="s">
        <v>193</v>
      </c>
    </row>
    <row r="32" ht="12" customHeight="true" thickBot="true" x14ac:dyDescent="0.2">
      <c r="A32" s="35" t="s">
        <v>280</v>
      </c>
      <c r="B32" s="41">
        <v>9</v>
      </c>
      <c r="D32" t="s">
        <v>194</v>
      </c>
      <c r="E32">
        <v>31</v>
      </c>
      <c r="F32">
        <v>3.1400000000000001</v>
      </c>
      <c r="G32">
        <v>31</v>
      </c>
      <c r="H32" t="s">
        <v>194</v>
      </c>
    </row>
    <row r="33" ht="12" customHeight="true" x14ac:dyDescent="0.15">
      <c r="D33" t="s">
        <v>195</v>
      </c>
      <c r="E33">
        <v>32</v>
      </c>
      <c r="F33">
        <v>3.1400000000000001</v>
      </c>
      <c r="G33">
        <v>32</v>
      </c>
      <c r="H33" t="s">
        <v>195</v>
      </c>
    </row>
    <row r="34" ht="12" customHeight="true" x14ac:dyDescent="0.15">
      <c r="D34" t="s">
        <v>196</v>
      </c>
      <c r="E34">
        <v>33</v>
      </c>
      <c r="F34">
        <v>3.04</v>
      </c>
      <c r="G34">
        <v>33</v>
      </c>
      <c r="H34" t="s">
        <v>196</v>
      </c>
    </row>
    <row r="35" x14ac:dyDescent="0.15">
      <c r="D35" t="s">
        <v>197</v>
      </c>
      <c r="E35">
        <v>34</v>
      </c>
      <c r="F35">
        <v>3.1400000000000001</v>
      </c>
      <c r="G35">
        <v>34</v>
      </c>
      <c r="H35" t="s">
        <v>197</v>
      </c>
    </row>
    <row r="36" x14ac:dyDescent="0.15">
      <c r="D36" t="s">
        <v>198</v>
      </c>
      <c r="E36">
        <v>35</v>
      </c>
      <c r="F36">
        <v>3.1400000000000001</v>
      </c>
      <c r="G36">
        <v>35</v>
      </c>
      <c r="H36" t="s">
        <v>198</v>
      </c>
    </row>
    <row r="37" ht="12" customHeight="true" x14ac:dyDescent="0.15">
      <c r="D37" t="s">
        <v>199</v>
      </c>
      <c r="E37">
        <v>36</v>
      </c>
      <c r="F37">
        <v>3.04</v>
      </c>
      <c r="G37">
        <v>36</v>
      </c>
      <c r="H37" t="s">
        <v>199</v>
      </c>
    </row>
    <row r="38" x14ac:dyDescent="0.15">
      <c r="D38" t="s">
        <v>200</v>
      </c>
      <c r="E38">
        <v>37</v>
      </c>
      <c r="F38">
        <v>3.1299999999999999</v>
      </c>
      <c r="G38">
        <v>37</v>
      </c>
      <c r="H38" t="s">
        <v>200</v>
      </c>
    </row>
    <row r="39" x14ac:dyDescent="0.15">
      <c r="D39" t="s">
        <v>201</v>
      </c>
      <c r="E39">
        <v>38</v>
      </c>
      <c r="F39">
        <v>3.02</v>
      </c>
      <c r="G39">
        <v>38</v>
      </c>
      <c r="H39" t="s">
        <v>201</v>
      </c>
    </row>
    <row r="40" x14ac:dyDescent="0.15">
      <c r="D40" t="s">
        <v>202</v>
      </c>
      <c r="E40">
        <v>39</v>
      </c>
      <c r="F40">
        <v>3.21</v>
      </c>
      <c r="G40">
        <v>39</v>
      </c>
      <c r="H40" t="s">
        <v>202</v>
      </c>
    </row>
    <row r="41" x14ac:dyDescent="0.15">
      <c r="D41" t="s">
        <v>203</v>
      </c>
      <c r="E41">
        <v>40</v>
      </c>
      <c r="F41">
        <v>3.21</v>
      </c>
      <c r="G41">
        <v>40</v>
      </c>
      <c r="H41" t="s">
        <v>203</v>
      </c>
    </row>
    <row r="42" x14ac:dyDescent="0.15">
      <c r="D42" t="s">
        <v>204</v>
      </c>
      <c r="E42">
        <v>41</v>
      </c>
      <c r="F42">
        <v>3.23</v>
      </c>
      <c r="G42">
        <v>41</v>
      </c>
      <c r="H42" t="s">
        <v>204</v>
      </c>
    </row>
    <row r="43" x14ac:dyDescent="0.15">
      <c r="D43" t="s">
        <v>205</v>
      </c>
      <c r="E43">
        <v>42</v>
      </c>
      <c r="F43">
        <v>3.21</v>
      </c>
      <c r="G43">
        <v>42</v>
      </c>
      <c r="H43" t="s">
        <v>205</v>
      </c>
    </row>
    <row r="44" x14ac:dyDescent="0.15">
      <c r="D44" t="s">
        <v>206</v>
      </c>
      <c r="E44">
        <v>43</v>
      </c>
      <c r="F44">
        <v>3.21</v>
      </c>
      <c r="G44">
        <v>43</v>
      </c>
      <c r="H44" t="s">
        <v>206</v>
      </c>
    </row>
    <row r="45" x14ac:dyDescent="0.15">
      <c r="D45" t="s">
        <v>207</v>
      </c>
      <c r="E45">
        <v>44</v>
      </c>
      <c r="F45">
        <v>3.21</v>
      </c>
      <c r="G45">
        <v>44</v>
      </c>
      <c r="H45" t="s">
        <v>207</v>
      </c>
    </row>
    <row r="46" x14ac:dyDescent="0.15">
      <c r="D46" t="s">
        <v>208</v>
      </c>
      <c r="E46">
        <v>45</v>
      </c>
      <c r="F46">
        <v>3.21</v>
      </c>
      <c r="G46">
        <v>45</v>
      </c>
      <c r="H46" t="s">
        <v>208</v>
      </c>
    </row>
    <row r="47" x14ac:dyDescent="0.15">
      <c r="D47" t="s">
        <v>209</v>
      </c>
      <c r="E47">
        <v>46</v>
      </c>
      <c r="F47">
        <v>3.21</v>
      </c>
      <c r="G47">
        <v>46</v>
      </c>
      <c r="H47" t="s">
        <v>209</v>
      </c>
    </row>
    <row r="48" x14ac:dyDescent="0.15">
      <c r="D48" t="s">
        <v>210</v>
      </c>
      <c r="E48">
        <v>47</v>
      </c>
      <c r="F48">
        <v>3.21</v>
      </c>
      <c r="G48">
        <v>47</v>
      </c>
      <c r="H48" t="s">
        <v>210</v>
      </c>
    </row>
    <row r="49" x14ac:dyDescent="0.15">
      <c r="D49" t="s">
        <v>211</v>
      </c>
      <c r="E49">
        <v>48</v>
      </c>
      <c r="F49">
        <v>3.21</v>
      </c>
      <c r="G49">
        <v>48</v>
      </c>
      <c r="H49" t="s">
        <v>211</v>
      </c>
    </row>
    <row r="50" ht="12" customHeight="true" x14ac:dyDescent="0.15">
      <c r="D50" t="s">
        <v>212</v>
      </c>
      <c r="E50">
        <v>49</v>
      </c>
      <c r="F50">
        <v>3.1099999999999999</v>
      </c>
      <c r="G50">
        <v>49</v>
      </c>
      <c r="H50" t="s">
        <v>212</v>
      </c>
    </row>
    <row r="51" x14ac:dyDescent="0.15">
      <c r="D51" t="s">
        <v>213</v>
      </c>
      <c r="E51">
        <v>50</v>
      </c>
      <c r="F51">
        <v>3.1099999999999999</v>
      </c>
      <c r="G51">
        <v>50</v>
      </c>
      <c r="H51" t="s">
        <v>213</v>
      </c>
    </row>
    <row r="52" ht="12" customHeight="true" x14ac:dyDescent="0.15">
      <c r="D52" t="s">
        <v>214</v>
      </c>
      <c r="E52">
        <v>51</v>
      </c>
      <c r="F52">
        <v>3.1099999999999999</v>
      </c>
      <c r="G52">
        <v>51</v>
      </c>
      <c r="H52" t="s">
        <v>214</v>
      </c>
    </row>
    <row r="53" x14ac:dyDescent="0.15">
      <c r="D53" t="s">
        <v>215</v>
      </c>
      <c r="E53">
        <v>52</v>
      </c>
      <c r="F53">
        <v>3.1099999999999999</v>
      </c>
      <c r="G53">
        <v>52</v>
      </c>
      <c r="H53" t="s">
        <v>215</v>
      </c>
    </row>
    <row r="54" ht="12" customHeight="true" x14ac:dyDescent="0.15">
      <c r="D54" t="s">
        <v>216</v>
      </c>
      <c r="E54">
        <v>53</v>
      </c>
      <c r="F54">
        <v>3.1099999999999999</v>
      </c>
      <c r="G54">
        <v>53</v>
      </c>
      <c r="H54" t="s">
        <v>216</v>
      </c>
    </row>
    <row r="55" ht="12" customHeight="true" x14ac:dyDescent="0.15">
      <c r="D55" t="s">
        <v>217</v>
      </c>
      <c r="E55">
        <v>54</v>
      </c>
      <c r="F55">
        <v>3.0110000000000001</v>
      </c>
      <c r="G55">
        <v>54</v>
      </c>
      <c r="H55" t="s">
        <v>217</v>
      </c>
    </row>
    <row r="56" x14ac:dyDescent="0.15">
      <c r="D56" t="s">
        <v>218</v>
      </c>
      <c r="E56">
        <v>55</v>
      </c>
      <c r="F56">
        <v>2.2200000000000002</v>
      </c>
      <c r="G56">
        <v>55</v>
      </c>
      <c r="H56" t="s">
        <v>218</v>
      </c>
    </row>
    <row r="57" x14ac:dyDescent="0.15">
      <c r="D57" t="s">
        <v>219</v>
      </c>
      <c r="E57">
        <v>56</v>
      </c>
      <c r="F57">
        <v>2.21</v>
      </c>
      <c r="G57">
        <v>56</v>
      </c>
      <c r="H57" t="s">
        <v>219</v>
      </c>
    </row>
    <row r="58" x14ac:dyDescent="0.15">
      <c r="D58" t="s">
        <v>220</v>
      </c>
      <c r="E58">
        <v>57</v>
      </c>
      <c r="F58">
        <v>2.1000000000000001</v>
      </c>
      <c r="G58">
        <v>57</v>
      </c>
      <c r="H58" t="s">
        <v>220</v>
      </c>
    </row>
    <row r="59" x14ac:dyDescent="0.15">
      <c r="D59" t="s">
        <v>221</v>
      </c>
      <c r="E59">
        <v>58</v>
      </c>
      <c r="F59">
        <v>2.2200000000000002</v>
      </c>
      <c r="G59">
        <v>58</v>
      </c>
      <c r="H59" t="s">
        <v>221</v>
      </c>
    </row>
    <row r="60" x14ac:dyDescent="0.15">
      <c r="D60" t="s">
        <v>71</v>
      </c>
      <c r="E60">
        <v>59</v>
      </c>
      <c r="F60">
        <v>4.0999999999999996</v>
      </c>
      <c r="G60">
        <v>59</v>
      </c>
      <c r="H60" t="s">
        <v>71</v>
      </c>
      <c r="I60" s="57" t="s">
        <v>281</v>
      </c>
    </row>
    <row r="61" x14ac:dyDescent="0.15">
      <c r="D61" t="s">
        <v>222</v>
      </c>
      <c r="E61">
        <v>60</v>
      </c>
      <c r="F61">
        <v>4.2000000000000002</v>
      </c>
      <c r="G61">
        <v>60</v>
      </c>
      <c r="H61" t="s">
        <v>222</v>
      </c>
    </row>
    <row r="62" x14ac:dyDescent="0.15">
      <c r="D62" t="s">
        <v>72</v>
      </c>
      <c r="E62">
        <v>61</v>
      </c>
      <c r="F62">
        <v>4.2999999999999998</v>
      </c>
      <c r="G62">
        <v>61</v>
      </c>
      <c r="H62" t="s">
        <v>72</v>
      </c>
      <c r="I62" s="57" t="s">
        <v>281</v>
      </c>
    </row>
    <row r="63" x14ac:dyDescent="0.15">
      <c r="D63" t="s">
        <v>223</v>
      </c>
      <c r="E63">
        <v>62</v>
      </c>
      <c r="F63">
        <v>5</v>
      </c>
      <c r="G63">
        <v>62</v>
      </c>
      <c r="H63" t="s">
        <v>223</v>
      </c>
      <c r="I63" s="57" t="s">
        <v>282</v>
      </c>
    </row>
    <row r="64" x14ac:dyDescent="0.15">
      <c r="D64" t="s">
        <v>224</v>
      </c>
      <c r="E64">
        <v>63</v>
      </c>
      <c r="F64">
        <v>5</v>
      </c>
      <c r="G64">
        <v>63</v>
      </c>
      <c r="H64" t="s">
        <v>224</v>
      </c>
      <c r="I64" s="57" t="s">
        <v>282</v>
      </c>
    </row>
    <row r="65" x14ac:dyDescent="0.15">
      <c r="D65" t="s">
        <v>225</v>
      </c>
      <c r="E65">
        <v>64</v>
      </c>
      <c r="F65">
        <v>5</v>
      </c>
      <c r="G65">
        <v>64</v>
      </c>
      <c r="H65" t="s">
        <v>225</v>
      </c>
      <c r="I65" s="57" t="s">
        <v>282</v>
      </c>
    </row>
    <row r="66" x14ac:dyDescent="0.15">
      <c r="D66" t="s">
        <v>226</v>
      </c>
      <c r="E66">
        <v>65</v>
      </c>
      <c r="F66">
        <v>5</v>
      </c>
      <c r="G66">
        <v>65</v>
      </c>
      <c r="H66" t="s">
        <v>226</v>
      </c>
      <c r="I66" s="57" t="s">
        <v>282</v>
      </c>
    </row>
    <row r="67" x14ac:dyDescent="0.15">
      <c r="D67" t="s">
        <v>227</v>
      </c>
      <c r="E67">
        <v>66</v>
      </c>
      <c r="F67">
        <v>5</v>
      </c>
      <c r="G67">
        <v>66</v>
      </c>
      <c r="H67" t="s">
        <v>227</v>
      </c>
      <c r="I67" s="57" t="s">
        <v>282</v>
      </c>
    </row>
    <row r="68" x14ac:dyDescent="0.15">
      <c r="D68" t="s">
        <v>228</v>
      </c>
      <c r="E68">
        <v>67</v>
      </c>
      <c r="F68">
        <v>5</v>
      </c>
      <c r="G68">
        <v>67</v>
      </c>
      <c r="H68" t="s">
        <v>228</v>
      </c>
      <c r="I68" s="57" t="s">
        <v>282</v>
      </c>
    </row>
    <row r="69" x14ac:dyDescent="0.15">
      <c r="D69" t="s">
        <v>229</v>
      </c>
      <c r="E69">
        <v>68</v>
      </c>
      <c r="F69">
        <v>5</v>
      </c>
      <c r="G69">
        <v>68</v>
      </c>
      <c r="H69" t="s">
        <v>229</v>
      </c>
      <c r="I69" s="57" t="s">
        <v>282</v>
      </c>
    </row>
    <row r="70" x14ac:dyDescent="0.15">
      <c r="D70" t="s">
        <v>230</v>
      </c>
      <c r="E70">
        <v>69</v>
      </c>
      <c r="F70">
        <v>5</v>
      </c>
      <c r="G70">
        <v>69</v>
      </c>
      <c r="H70" t="s">
        <v>230</v>
      </c>
      <c r="I70" s="57" t="s">
        <v>282</v>
      </c>
    </row>
    <row r="71" x14ac:dyDescent="0.15">
      <c r="D71" t="s">
        <v>231</v>
      </c>
      <c r="E71">
        <v>70</v>
      </c>
      <c r="F71">
        <v>5</v>
      </c>
      <c r="G71">
        <v>70</v>
      </c>
      <c r="H71" t="s">
        <v>231</v>
      </c>
      <c r="I71" s="57" t="s">
        <v>282</v>
      </c>
    </row>
    <row r="72" x14ac:dyDescent="0.15">
      <c r="D72" t="s">
        <v>232</v>
      </c>
      <c r="E72">
        <v>71</v>
      </c>
      <c r="F72">
        <v>5</v>
      </c>
      <c r="G72">
        <v>71</v>
      </c>
      <c r="H72" t="s">
        <v>232</v>
      </c>
      <c r="I72" s="57" t="s">
        <v>282</v>
      </c>
    </row>
    <row r="73" x14ac:dyDescent="0.15">
      <c r="D73" t="s">
        <v>233</v>
      </c>
      <c r="E73">
        <v>72</v>
      </c>
      <c r="F73">
        <v>5</v>
      </c>
      <c r="G73">
        <v>72</v>
      </c>
      <c r="H73" t="s">
        <v>233</v>
      </c>
      <c r="I73" s="57" t="s">
        <v>282</v>
      </c>
    </row>
    <row r="74" x14ac:dyDescent="0.15">
      <c r="D74" t="s">
        <v>234</v>
      </c>
      <c r="E74">
        <v>73</v>
      </c>
      <c r="F74">
        <v>5</v>
      </c>
      <c r="G74">
        <v>73</v>
      </c>
      <c r="H74" t="s">
        <v>234</v>
      </c>
      <c r="I74" s="57" t="s">
        <v>282</v>
      </c>
    </row>
    <row r="75" x14ac:dyDescent="0.15">
      <c r="D75" t="s">
        <v>45</v>
      </c>
      <c r="E75">
        <v>74</v>
      </c>
      <c r="F75">
        <v>6.1</v>
      </c>
      <c r="G75">
        <v>74</v>
      </c>
      <c r="H75" t="s">
        <v>45</v>
      </c>
      <c r="I75" s="57" t="s">
        <v>283</v>
      </c>
    </row>
    <row r="76" x14ac:dyDescent="0.15">
      <c r="D76" t="s">
        <v>284</v>
      </c>
      <c r="E76">
        <v>75</v>
      </c>
      <c r="F76">
        <v>6.2</v>
      </c>
      <c r="G76">
        <v>75</v>
      </c>
      <c r="H76" t="s">
        <v>284</v>
      </c>
      <c r="I76" s="57" t="s">
        <v>283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workbookViewId="0">
      <pane ySplit="2" topLeftCell="A59" activePane="bottomLeft" state="frozen"/>
      <selection pane="bottomLeft" activeCell="D2" sqref="D2"/>
    </sheetView>
  </sheetViews>
  <sheetFormatPr baseColWidth="10" defaultColWidth="11.5" defaultRowHeight="15" customHeight="true" x14ac:dyDescent="0.15"/>
  <cols>
    <col min="1" max="1" width="26.1640625" style="75" bestFit="true" customWidth="true"/>
    <col min="2" max="5" width="16.1640625" style="74" customWidth="true"/>
    <col min="6" max="6" width="40" style="166" bestFit="true" customWidth="true"/>
    <col min="10" max="10" width="12.1640625" bestFit="true" customWidth="true"/>
    <col min="17" max="17" width="14.83203125" customWidth="true"/>
    <col min="18" max="18" width="28.6640625" style="101" customWidth="true"/>
    <col min="19" max="16384" width="11.5" style="74"/>
  </cols>
  <sheetData>
    <row r="1" ht="15" customHeight="true" thickBot="true" x14ac:dyDescent="0.2">
      <c r="G1" s="103" t="s">
        <v>46</v>
      </c>
      <c r="H1" s="103" t="s">
        <v>47</v>
      </c>
      <c r="I1" s="103" t="s">
        <v>120</v>
      </c>
      <c r="J1" s="103" t="s">
        <v>132</v>
      </c>
      <c r="K1" s="167" t="s">
        <v>48</v>
      </c>
      <c r="L1" s="101"/>
      <c r="M1" s="167" t="s">
        <v>119</v>
      </c>
      <c r="N1" s="101"/>
      <c r="O1" s="167" t="s">
        <v>49</v>
      </c>
      <c r="P1" s="101"/>
      <c r="Q1" s="167" t="s">
        <v>50</v>
      </c>
      <c r="R1" s="65" t="s">
        <v>154</v>
      </c>
    </row>
    <row r="2" ht="15" customHeight="true" x14ac:dyDescent="0.15">
      <c r="A2" s="76" t="s">
        <v>51</v>
      </c>
      <c r="B2" s="77">
        <v>0.5</v>
      </c>
      <c r="C2" s="75" t="s">
        <v>52</v>
      </c>
      <c r="D2" s="78"/>
      <c r="G2" s="168"/>
      <c r="H2" s="168"/>
      <c r="I2" s="168" t="s">
        <v>133</v>
      </c>
      <c r="J2" s="168" t="s">
        <v>133</v>
      </c>
      <c r="K2" s="168" t="s">
        <v>52</v>
      </c>
      <c r="L2" s="168" t="s">
        <v>53</v>
      </c>
      <c r="M2" s="168" t="s">
        <v>52</v>
      </c>
      <c r="N2" s="168" t="s">
        <v>53</v>
      </c>
      <c r="O2" s="168" t="s">
        <v>52</v>
      </c>
      <c r="P2" s="168" t="s">
        <v>53</v>
      </c>
      <c r="Q2" s="168"/>
      <c r="R2" s="101" t="s">
        <v>155</v>
      </c>
    </row>
    <row r="3" ht="15" customHeight="true" thickBot="true" x14ac:dyDescent="0.2">
      <c r="A3" s="76" t="s">
        <v>54</v>
      </c>
      <c r="B3" s="79">
        <v>0.5</v>
      </c>
      <c r="C3" s="75" t="s">
        <v>53</v>
      </c>
      <c r="D3" s="7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 s="101">
        <v>0</v>
      </c>
    </row>
    <row r="4" ht="15" customHeight="true" thickBot="true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 s="101">
        <v>0</v>
      </c>
    </row>
    <row r="5" ht="15" customHeight="true" x14ac:dyDescent="0.15">
      <c r="A5" s="76" t="s">
        <v>55</v>
      </c>
      <c r="B5" s="80">
        <v>0.5</v>
      </c>
      <c r="C5" s="75" t="s">
        <v>52</v>
      </c>
      <c r="D5" s="7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 s="101">
        <v>0</v>
      </c>
    </row>
    <row r="6" ht="15" customHeight="true" thickBot="true" x14ac:dyDescent="0.2">
      <c r="A6" s="76"/>
      <c r="B6" s="81">
        <v>0.5</v>
      </c>
      <c r="C6" s="75" t="s">
        <v>53</v>
      </c>
      <c r="D6" s="78"/>
      <c r="F6" t="s">
        <v>167</v>
      </c>
      <c r="G6">
        <v>0</v>
      </c>
      <c r="H6">
        <v>0</v>
      </c>
      <c r="I6">
        <v>0</v>
      </c>
      <c r="J6">
        <v>0</v>
      </c>
      <c r="K6">
        <v>0</v>
      </c>
      <c r="L6">
        <v>1</v>
      </c>
      <c r="M6">
        <v>0</v>
      </c>
      <c r="N6">
        <v>1</v>
      </c>
      <c r="O6">
        <v>1</v>
      </c>
      <c r="P6">
        <f>1-O6</f>
        <v>0</v>
      </c>
      <c r="Q6">
        <v>0</v>
      </c>
      <c r="R6" s="101">
        <v>0</v>
      </c>
      <c r="S6"/>
      <c r="T6"/>
    </row>
    <row r="7" ht="15" customHeight="true" thickBot="true" x14ac:dyDescent="0.2">
      <c r="F7" t="s">
        <v>168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1</v>
      </c>
      <c r="O7">
        <v>1</v>
      </c>
      <c r="P7">
        <f t="shared" ref="P7:P70" si="0">1-O7</f>
        <v>0</v>
      </c>
      <c r="Q7">
        <v>0</v>
      </c>
      <c r="R7" s="101">
        <v>0</v>
      </c>
      <c r="S7"/>
      <c r="T7"/>
    </row>
    <row r="8" ht="15" customHeight="true" x14ac:dyDescent="0.15">
      <c r="A8" s="76" t="s">
        <v>56</v>
      </c>
      <c r="B8" s="80">
        <f>E32</f>
        <v>2.0639906180194702E-2</v>
      </c>
      <c r="C8" s="73" t="str">
        <f>A32</f>
        <v>Macroalgae</v>
      </c>
      <c r="D8" s="78" t="s">
        <v>160</v>
      </c>
      <c r="F8" t="s">
        <v>169</v>
      </c>
      <c r="G8">
        <v>0</v>
      </c>
      <c r="H8">
        <v>0</v>
      </c>
      <c r="I8">
        <v>0</v>
      </c>
      <c r="J8">
        <v>0</v>
      </c>
      <c r="K8">
        <v>0</v>
      </c>
      <c r="L8">
        <v>1</v>
      </c>
      <c r="M8">
        <v>0</v>
      </c>
      <c r="N8">
        <v>1</v>
      </c>
      <c r="O8">
        <v>1</v>
      </c>
      <c r="P8">
        <f t="shared" si="0"/>
        <v>0</v>
      </c>
      <c r="Q8">
        <v>0</v>
      </c>
      <c r="R8" s="101">
        <v>0</v>
      </c>
      <c r="S8"/>
      <c r="T8"/>
      <c r="W8"/>
    </row>
    <row r="9" ht="15" customHeight="true" x14ac:dyDescent="0.15">
      <c r="A9" s="112" t="s">
        <v>166</v>
      </c>
      <c r="B9" s="82">
        <f t="shared" ref="B9:B11" si="1">E33</f>
        <v>0.10114977031277503</v>
      </c>
      <c r="C9" s="73" t="str">
        <f t="shared" ref="C9:C11" si="2">A33</f>
        <v>Microphytobenthos</v>
      </c>
      <c r="D9" s="78" t="s">
        <v>160</v>
      </c>
      <c r="F9" t="s">
        <v>170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1</v>
      </c>
      <c r="O9">
        <v>1</v>
      </c>
      <c r="P9">
        <f t="shared" si="0"/>
        <v>0</v>
      </c>
      <c r="Q9">
        <v>0</v>
      </c>
      <c r="R9" s="101">
        <v>0</v>
      </c>
      <c r="S9"/>
      <c r="T9"/>
      <c r="W9"/>
    </row>
    <row r="10" ht="15" customHeight="true" x14ac:dyDescent="0.15">
      <c r="B10" s="82">
        <f t="shared" si="1"/>
        <v>0.65172439197917009</v>
      </c>
      <c r="C10" s="73" t="str">
        <f t="shared" si="2"/>
        <v>Phytoplankton</v>
      </c>
      <c r="D10" s="78" t="s">
        <v>160</v>
      </c>
      <c r="F10" t="s">
        <v>171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1</v>
      </c>
      <c r="O10">
        <v>1</v>
      </c>
      <c r="P10">
        <f t="shared" si="0"/>
        <v>0</v>
      </c>
      <c r="Q10">
        <v>0</v>
      </c>
      <c r="R10" s="101">
        <v>0</v>
      </c>
      <c r="S10"/>
      <c r="T10"/>
      <c r="W10"/>
    </row>
    <row r="11" ht="15" customHeight="true" x14ac:dyDescent="0.15">
      <c r="A11" s="76"/>
      <c r="B11" s="82">
        <f t="shared" si="1"/>
        <v>0.22648593152786012</v>
      </c>
      <c r="C11" s="73" t="str">
        <f t="shared" si="2"/>
        <v>Sea grasses</v>
      </c>
      <c r="D11" s="78" t="s">
        <v>160</v>
      </c>
      <c r="F11" t="s">
        <v>172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0</v>
      </c>
      <c r="N11">
        <v>1</v>
      </c>
      <c r="O11">
        <v>1</v>
      </c>
      <c r="P11">
        <f t="shared" si="0"/>
        <v>0</v>
      </c>
      <c r="Q11">
        <v>0</v>
      </c>
      <c r="R11" s="101">
        <v>0</v>
      </c>
      <c r="S11"/>
      <c r="T11"/>
      <c r="W11"/>
    </row>
    <row r="12" ht="15" customHeight="true" x14ac:dyDescent="0.15">
      <c r="B12" s="82"/>
      <c r="C12" s="295"/>
      <c r="D12" s="78" t="s">
        <v>160</v>
      </c>
      <c r="F12" t="s">
        <v>173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1</v>
      </c>
      <c r="O12">
        <v>1</v>
      </c>
      <c r="P12">
        <f t="shared" si="0"/>
        <v>0</v>
      </c>
      <c r="Q12">
        <v>0</v>
      </c>
      <c r="R12" s="101">
        <v>0</v>
      </c>
      <c r="S12"/>
      <c r="T12"/>
      <c r="W12"/>
    </row>
    <row r="13" ht="15" customHeight="true" x14ac:dyDescent="0.15">
      <c r="B13" s="82"/>
      <c r="C13" s="295"/>
      <c r="D13" s="78" t="s">
        <v>160</v>
      </c>
      <c r="F13" t="s">
        <v>174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1</v>
      </c>
      <c r="O13">
        <v>0.25</v>
      </c>
      <c r="P13">
        <f t="shared" si="0"/>
        <v>0.75</v>
      </c>
      <c r="Q13">
        <v>0</v>
      </c>
      <c r="R13" s="101">
        <v>0</v>
      </c>
      <c r="S13"/>
      <c r="T13"/>
      <c r="W13"/>
    </row>
    <row r="14" ht="15" customHeight="true" x14ac:dyDescent="0.15">
      <c r="B14" s="82"/>
      <c r="C14" s="73"/>
      <c r="D14" s="78" t="s">
        <v>160</v>
      </c>
      <c r="F14" t="s">
        <v>175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0</v>
      </c>
      <c r="N14">
        <v>1</v>
      </c>
      <c r="O14">
        <v>1</v>
      </c>
      <c r="P14">
        <f t="shared" si="0"/>
        <v>0</v>
      </c>
      <c r="Q14">
        <v>0</v>
      </c>
      <c r="R14" s="101">
        <v>0</v>
      </c>
      <c r="S14"/>
      <c r="T14"/>
      <c r="W14"/>
    </row>
    <row r="15" ht="15" customHeight="true" x14ac:dyDescent="0.15">
      <c r="B15" s="82"/>
      <c r="C15" s="73"/>
      <c r="D15" s="78" t="s">
        <v>160</v>
      </c>
      <c r="F15" t="s">
        <v>176</v>
      </c>
      <c r="G15">
        <v>0</v>
      </c>
      <c r="H15">
        <v>0</v>
      </c>
      <c r="I15">
        <v>0</v>
      </c>
      <c r="J15">
        <v>0</v>
      </c>
      <c r="K15">
        <v>0</v>
      </c>
      <c r="L15">
        <v>1</v>
      </c>
      <c r="M15">
        <v>0</v>
      </c>
      <c r="N15">
        <v>1</v>
      </c>
      <c r="O15">
        <v>1</v>
      </c>
      <c r="P15">
        <f t="shared" si="0"/>
        <v>0</v>
      </c>
      <c r="Q15">
        <v>0</v>
      </c>
      <c r="R15" s="101">
        <v>0</v>
      </c>
      <c r="S15"/>
      <c r="T15"/>
      <c r="W15"/>
    </row>
    <row r="16" ht="15" customHeight="true" x14ac:dyDescent="0.15">
      <c r="B16" s="82"/>
      <c r="C16" s="73"/>
      <c r="D16" s="78" t="s">
        <v>160</v>
      </c>
      <c r="F16" t="s">
        <v>177</v>
      </c>
      <c r="G16">
        <v>0</v>
      </c>
      <c r="H16">
        <v>0</v>
      </c>
      <c r="I16">
        <v>0</v>
      </c>
      <c r="J16">
        <v>0</v>
      </c>
      <c r="K16">
        <v>0</v>
      </c>
      <c r="L16">
        <v>1</v>
      </c>
      <c r="M16">
        <v>0</v>
      </c>
      <c r="N16">
        <v>1</v>
      </c>
      <c r="O16">
        <v>1</v>
      </c>
      <c r="P16">
        <f t="shared" si="0"/>
        <v>0</v>
      </c>
      <c r="Q16">
        <v>0</v>
      </c>
      <c r="R16" s="101">
        <v>0</v>
      </c>
      <c r="S16"/>
      <c r="T16"/>
    </row>
    <row r="17" ht="15" customHeight="true" thickBot="true" x14ac:dyDescent="0.2">
      <c r="B17" s="81"/>
      <c r="C17" s="73"/>
      <c r="D17" s="78" t="s">
        <v>160</v>
      </c>
      <c r="F17" t="s">
        <v>178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1</v>
      </c>
      <c r="O17">
        <v>1</v>
      </c>
      <c r="P17">
        <f t="shared" si="0"/>
        <v>0</v>
      </c>
      <c r="Q17">
        <v>0</v>
      </c>
      <c r="R17" s="101">
        <v>0</v>
      </c>
      <c r="S17"/>
      <c r="T17"/>
    </row>
    <row r="18" ht="15" customHeight="true" thickBot="true" x14ac:dyDescent="0.2">
      <c r="B18" s="83"/>
      <c r="F18" t="s">
        <v>179</v>
      </c>
      <c r="G18">
        <v>0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1</v>
      </c>
      <c r="O18">
        <v>1</v>
      </c>
      <c r="P18">
        <f t="shared" si="0"/>
        <v>0</v>
      </c>
      <c r="Q18">
        <v>0</v>
      </c>
      <c r="R18" s="101">
        <v>0</v>
      </c>
      <c r="S18"/>
      <c r="T18"/>
    </row>
    <row r="19" ht="15" customHeight="true" x14ac:dyDescent="0.15">
      <c r="A19" s="76" t="s">
        <v>57</v>
      </c>
      <c r="B19" s="80">
        <f>E32</f>
        <v>2.0639906180194702E-2</v>
      </c>
      <c r="C19" s="73" t="str">
        <f>A32</f>
        <v>Macroalgae</v>
      </c>
      <c r="D19" s="78" t="s">
        <v>160</v>
      </c>
      <c r="F19" t="s">
        <v>180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1</v>
      </c>
      <c r="O19">
        <v>1</v>
      </c>
      <c r="P19">
        <f t="shared" si="0"/>
        <v>0</v>
      </c>
      <c r="Q19">
        <v>0</v>
      </c>
      <c r="R19" s="101">
        <v>0</v>
      </c>
      <c r="S19"/>
      <c r="T19"/>
    </row>
    <row r="20" ht="15" customHeight="true" x14ac:dyDescent="0.15">
      <c r="A20" s="112" t="s">
        <v>166</v>
      </c>
      <c r="B20" s="82">
        <f t="shared" ref="B20:B22" si="3">E33</f>
        <v>0.10114977031277503</v>
      </c>
      <c r="C20" s="73" t="str">
        <f t="shared" ref="C20:C22" si="4">A33</f>
        <v>Microphytobenthos</v>
      </c>
      <c r="D20" s="78" t="s">
        <v>160</v>
      </c>
      <c r="F20" t="s">
        <v>181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1</v>
      </c>
      <c r="O20">
        <v>1</v>
      </c>
      <c r="P20">
        <f t="shared" si="0"/>
        <v>0</v>
      </c>
      <c r="Q20">
        <v>0</v>
      </c>
      <c r="R20" s="101">
        <v>0</v>
      </c>
      <c r="S20"/>
      <c r="T20"/>
    </row>
    <row r="21" ht="15" customHeight="true" x14ac:dyDescent="0.15">
      <c r="B21" s="82">
        <f t="shared" si="3"/>
        <v>0.65172439197917009</v>
      </c>
      <c r="C21" s="73" t="str">
        <f t="shared" si="4"/>
        <v>Phytoplankton</v>
      </c>
      <c r="D21" s="78" t="s">
        <v>160</v>
      </c>
      <c r="F21" t="s">
        <v>182</v>
      </c>
      <c r="G21">
        <v>0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1</v>
      </c>
      <c r="O21">
        <v>0.25</v>
      </c>
      <c r="P21">
        <f t="shared" si="0"/>
        <v>0.75</v>
      </c>
      <c r="Q21">
        <v>0</v>
      </c>
      <c r="R21" s="101">
        <v>0</v>
      </c>
      <c r="S21"/>
      <c r="T21"/>
    </row>
    <row r="22" ht="15" customHeight="true" x14ac:dyDescent="0.15">
      <c r="A22" s="74"/>
      <c r="B22" s="82">
        <f t="shared" si="3"/>
        <v>0.22648593152786012</v>
      </c>
      <c r="C22" s="73" t="str">
        <f t="shared" si="4"/>
        <v>Sea grasses</v>
      </c>
      <c r="D22" s="78" t="s">
        <v>160</v>
      </c>
      <c r="F22" t="s">
        <v>183</v>
      </c>
      <c r="G22">
        <v>0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1</v>
      </c>
      <c r="O22">
        <v>0.25</v>
      </c>
      <c r="P22">
        <f t="shared" si="0"/>
        <v>0.75</v>
      </c>
      <c r="Q22">
        <v>0</v>
      </c>
      <c r="R22" s="101">
        <v>0</v>
      </c>
      <c r="S22"/>
      <c r="T22"/>
    </row>
    <row r="23" ht="15" customHeight="true" x14ac:dyDescent="0.15">
      <c r="A23" s="74"/>
      <c r="B23" s="82"/>
      <c r="C23" s="295"/>
      <c r="D23" s="78" t="s">
        <v>160</v>
      </c>
      <c r="F23" t="s">
        <v>184</v>
      </c>
      <c r="G23">
        <v>0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1</v>
      </c>
      <c r="O23">
        <v>0.25</v>
      </c>
      <c r="P23">
        <f t="shared" si="0"/>
        <v>0.75</v>
      </c>
      <c r="Q23">
        <v>0</v>
      </c>
      <c r="R23" s="101">
        <v>0</v>
      </c>
      <c r="S23"/>
      <c r="T23"/>
    </row>
    <row r="24" ht="15" customHeight="true" x14ac:dyDescent="0.15">
      <c r="A24" s="74"/>
      <c r="B24" s="82"/>
      <c r="C24" s="295"/>
      <c r="D24" s="78" t="s">
        <v>160</v>
      </c>
      <c r="F24" t="s">
        <v>185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1</v>
      </c>
      <c r="O24">
        <v>0.25</v>
      </c>
      <c r="P24">
        <f t="shared" si="0"/>
        <v>0.75</v>
      </c>
      <c r="Q24">
        <v>0</v>
      </c>
      <c r="R24" s="101">
        <v>0</v>
      </c>
      <c r="S24"/>
      <c r="T24"/>
    </row>
    <row r="25" ht="15" customHeight="true" x14ac:dyDescent="0.15">
      <c r="A25" s="74"/>
      <c r="B25" s="82"/>
      <c r="C25" s="73"/>
      <c r="D25" s="78" t="s">
        <v>160</v>
      </c>
      <c r="F25" t="s">
        <v>186</v>
      </c>
      <c r="G25">
        <v>0</v>
      </c>
      <c r="H25">
        <v>0</v>
      </c>
      <c r="I25">
        <v>0</v>
      </c>
      <c r="J25">
        <v>0</v>
      </c>
      <c r="K25">
        <v>0</v>
      </c>
      <c r="L25">
        <v>1</v>
      </c>
      <c r="M25">
        <v>0</v>
      </c>
      <c r="N25">
        <v>1</v>
      </c>
      <c r="O25">
        <v>0</v>
      </c>
      <c r="P25">
        <f t="shared" si="0"/>
        <v>1</v>
      </c>
      <c r="Q25">
        <v>0</v>
      </c>
      <c r="R25" s="101">
        <v>0</v>
      </c>
      <c r="S25"/>
      <c r="T25"/>
    </row>
    <row r="26" ht="15" customHeight="true" x14ac:dyDescent="0.15">
      <c r="B26" s="82"/>
      <c r="C26" s="73"/>
      <c r="D26" s="78" t="s">
        <v>160</v>
      </c>
      <c r="F26" t="s">
        <v>187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1</v>
      </c>
      <c r="O26">
        <v>0</v>
      </c>
      <c r="P26">
        <f t="shared" si="0"/>
        <v>1</v>
      </c>
      <c r="Q26">
        <v>0</v>
      </c>
      <c r="R26" s="101">
        <v>0</v>
      </c>
      <c r="S26"/>
      <c r="T26"/>
    </row>
    <row r="27" ht="15" customHeight="true" x14ac:dyDescent="0.15">
      <c r="B27" s="82"/>
      <c r="C27" s="73"/>
      <c r="D27" s="78" t="s">
        <v>160</v>
      </c>
      <c r="F27" t="s">
        <v>188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1</v>
      </c>
      <c r="O27">
        <v>0</v>
      </c>
      <c r="P27">
        <f t="shared" si="0"/>
        <v>1</v>
      </c>
      <c r="Q27">
        <v>0</v>
      </c>
      <c r="R27" s="101">
        <v>0</v>
      </c>
      <c r="S27"/>
      <c r="T27"/>
    </row>
    <row r="28" ht="15" customHeight="true" thickBot="true" x14ac:dyDescent="0.2">
      <c r="B28" s="81"/>
      <c r="C28" s="73"/>
      <c r="D28" s="78" t="s">
        <v>160</v>
      </c>
      <c r="F28" t="s">
        <v>189</v>
      </c>
      <c r="G28">
        <v>0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1</v>
      </c>
      <c r="O28">
        <v>0</v>
      </c>
      <c r="P28">
        <f t="shared" si="0"/>
        <v>1</v>
      </c>
      <c r="Q28">
        <v>0</v>
      </c>
      <c r="R28" s="101">
        <v>0</v>
      </c>
      <c r="S28"/>
      <c r="T28"/>
    </row>
    <row r="29" ht="15" customHeight="true" x14ac:dyDescent="0.15">
      <c r="F29" t="s">
        <v>190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1</v>
      </c>
      <c r="O29">
        <v>1</v>
      </c>
      <c r="P29">
        <f t="shared" si="0"/>
        <v>0</v>
      </c>
      <c r="Q29">
        <v>0</v>
      </c>
      <c r="R29" s="101">
        <v>0</v>
      </c>
      <c r="S29"/>
      <c r="T29"/>
    </row>
    <row r="30" ht="15" customHeight="true" x14ac:dyDescent="0.15">
      <c r="F30" t="s">
        <v>191</v>
      </c>
      <c r="G30">
        <v>0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1</v>
      </c>
      <c r="O30">
        <v>0.25</v>
      </c>
      <c r="P30">
        <f t="shared" si="0"/>
        <v>0.75</v>
      </c>
      <c r="Q30">
        <v>0</v>
      </c>
      <c r="R30" s="101">
        <v>0</v>
      </c>
      <c r="S30"/>
      <c r="T30"/>
    </row>
    <row r="31" ht="15" customHeight="true" x14ac:dyDescent="0.15">
      <c r="A31" s="113"/>
      <c r="B31" s="122" t="s">
        <v>17</v>
      </c>
      <c r="C31" s="122" t="s">
        <v>1</v>
      </c>
      <c r="D31" s="122" t="s">
        <v>161</v>
      </c>
      <c r="E31" s="123" t="s">
        <v>163</v>
      </c>
      <c r="F31" t="s">
        <v>192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0</v>
      </c>
      <c r="N31">
        <v>1</v>
      </c>
      <c r="O31">
        <v>0.25</v>
      </c>
      <c r="P31">
        <f t="shared" si="0"/>
        <v>0.75</v>
      </c>
      <c r="Q31">
        <v>0</v>
      </c>
      <c r="R31" s="101">
        <v>0</v>
      </c>
      <c r="S31"/>
      <c r="T31"/>
    </row>
    <row r="32" ht="15" customHeight="true" x14ac:dyDescent="0.15">
      <c r="A32" s="114" t="str">
        <f>MainOutputs!B53</f>
        <v>Macroalgae</v>
      </c>
      <c r="B32" s="83">
        <f>MainOutputs!D53</f>
        <v>36.049999237060547</v>
      </c>
      <c r="C32" s="83">
        <f>MainOutputs!E53</f>
        <v>4</v>
      </c>
      <c r="D32" s="83">
        <f>B32*C32</f>
        <v>144.19999694824219</v>
      </c>
      <c r="E32" s="115">
        <f>D32/$D$42</f>
        <v>2.0639906180194702E-2</v>
      </c>
      <c r="F32" t="s">
        <v>193</v>
      </c>
      <c r="G32">
        <v>0</v>
      </c>
      <c r="H32">
        <v>0</v>
      </c>
      <c r="I32">
        <v>0</v>
      </c>
      <c r="J32">
        <v>0</v>
      </c>
      <c r="K32">
        <v>0</v>
      </c>
      <c r="L32">
        <v>1</v>
      </c>
      <c r="M32">
        <v>0</v>
      </c>
      <c r="N32">
        <v>1</v>
      </c>
      <c r="O32">
        <v>0.25</v>
      </c>
      <c r="P32">
        <f t="shared" si="0"/>
        <v>0.75</v>
      </c>
      <c r="Q32">
        <v>0</v>
      </c>
      <c r="R32" s="101">
        <v>0</v>
      </c>
      <c r="S32"/>
      <c r="T32"/>
    </row>
    <row r="33" ht="15" customHeight="true" x14ac:dyDescent="0.15">
      <c r="A33" s="114" t="str">
        <f>MainOutputs!B54</f>
        <v>Microphytobenthos</v>
      </c>
      <c r="B33" s="83">
        <f>MainOutputs!D54</f>
        <v>29.780000686645508</v>
      </c>
      <c r="C33" s="83">
        <f>MainOutputs!E54</f>
        <v>23.729999542236328</v>
      </c>
      <c r="D33" s="83">
        <f t="shared" ref="D33:D35" si="5">B33*C33</f>
        <v>706.67940266189544</v>
      </c>
      <c r="E33" s="115">
        <f t="shared" ref="E33:E35" si="6">D33/$D$42</f>
        <v>0.10114977031277503</v>
      </c>
      <c r="F33" t="s">
        <v>194</v>
      </c>
      <c r="G33">
        <v>0</v>
      </c>
      <c r="H33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1</v>
      </c>
      <c r="O33">
        <v>0.25</v>
      </c>
      <c r="P33">
        <f t="shared" si="0"/>
        <v>0.75</v>
      </c>
      <c r="Q33">
        <v>0</v>
      </c>
      <c r="R33" s="101">
        <v>0</v>
      </c>
      <c r="S33"/>
      <c r="T33"/>
    </row>
    <row r="34" ht="15" customHeight="true" x14ac:dyDescent="0.15">
      <c r="A34" s="114" t="str">
        <f>MainOutputs!B55</f>
        <v>Phytoplankton</v>
      </c>
      <c r="B34" s="83">
        <f>MainOutputs!D55</f>
        <v>25</v>
      </c>
      <c r="C34" s="83">
        <f>MainOutputs!E55</f>
        <v>182.1300048828125</v>
      </c>
      <c r="D34" s="83">
        <f t="shared" si="5"/>
        <v>4553.2501220703125</v>
      </c>
      <c r="E34" s="115">
        <f t="shared" si="6"/>
        <v>0.65172439197917009</v>
      </c>
      <c r="F34" t="s">
        <v>195</v>
      </c>
      <c r="G34">
        <v>0</v>
      </c>
      <c r="H34">
        <v>0</v>
      </c>
      <c r="I34">
        <v>0</v>
      </c>
      <c r="J34">
        <v>0</v>
      </c>
      <c r="K34">
        <v>0</v>
      </c>
      <c r="L34">
        <v>1</v>
      </c>
      <c r="M34">
        <v>0</v>
      </c>
      <c r="N34">
        <v>1</v>
      </c>
      <c r="O34">
        <v>0.25</v>
      </c>
      <c r="P34">
        <f t="shared" si="0"/>
        <v>0.75</v>
      </c>
      <c r="Q34">
        <v>0</v>
      </c>
      <c r="R34" s="101">
        <v>0</v>
      </c>
      <c r="S34"/>
      <c r="T34"/>
    </row>
    <row r="35" ht="15" customHeight="true" x14ac:dyDescent="0.15">
      <c r="A35" s="114" t="str">
        <f>MainOutputs!B56</f>
        <v>Sea grasses</v>
      </c>
      <c r="B35" s="83">
        <f>MainOutputs!D56</f>
        <v>175.6199951171875</v>
      </c>
      <c r="C35" s="83">
        <f>MainOutputs!E56</f>
        <v>9.0100002288818359</v>
      </c>
      <c r="D35" s="83">
        <f t="shared" si="5"/>
        <v>1582.3361962020863</v>
      </c>
      <c r="E35" s="115">
        <f t="shared" si="6"/>
        <v>0.22648593152786012</v>
      </c>
      <c r="F35" t="s">
        <v>196</v>
      </c>
      <c r="G35">
        <v>0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1</v>
      </c>
      <c r="O35">
        <v>1</v>
      </c>
      <c r="P35">
        <f t="shared" si="0"/>
        <v>0</v>
      </c>
      <c r="Q35">
        <v>0</v>
      </c>
      <c r="R35" s="101">
        <v>0</v>
      </c>
      <c r="S35"/>
      <c r="T35"/>
    </row>
    <row r="36" ht="15" customHeight="true" x14ac:dyDescent="0.15">
      <c r="A36" s="116"/>
      <c r="B36" s="83"/>
      <c r="C36" s="83"/>
      <c r="D36" s="83"/>
      <c r="E36" s="115"/>
      <c r="F36" t="s">
        <v>197</v>
      </c>
      <c r="G36">
        <v>0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1</v>
      </c>
      <c r="O36">
        <v>1</v>
      </c>
      <c r="P36">
        <f t="shared" si="0"/>
        <v>0</v>
      </c>
      <c r="Q36">
        <v>0</v>
      </c>
      <c r="R36" s="101">
        <v>0</v>
      </c>
      <c r="S36"/>
      <c r="T36"/>
    </row>
    <row r="37" ht="15" customHeight="true" x14ac:dyDescent="0.15">
      <c r="A37" s="116"/>
      <c r="B37" s="83"/>
      <c r="C37" s="83"/>
      <c r="D37" s="83"/>
      <c r="E37" s="115"/>
      <c r="F37" t="s">
        <v>198</v>
      </c>
      <c r="G37">
        <v>0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1</v>
      </c>
      <c r="O37">
        <v>1</v>
      </c>
      <c r="P37">
        <f t="shared" si="0"/>
        <v>0</v>
      </c>
      <c r="Q37">
        <v>0</v>
      </c>
      <c r="R37" s="101">
        <v>0</v>
      </c>
      <c r="S37"/>
      <c r="T37"/>
    </row>
    <row r="38" ht="15" customHeight="true" x14ac:dyDescent="0.15">
      <c r="A38" s="117"/>
      <c r="B38" s="83"/>
      <c r="C38" s="83"/>
      <c r="D38" s="83"/>
      <c r="E38" s="115"/>
      <c r="F38" t="s">
        <v>199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1</v>
      </c>
      <c r="O38">
        <v>1</v>
      </c>
      <c r="P38">
        <f t="shared" si="0"/>
        <v>0</v>
      </c>
      <c r="Q38">
        <v>0</v>
      </c>
      <c r="R38" s="101">
        <v>0</v>
      </c>
      <c r="S38"/>
      <c r="T38"/>
    </row>
    <row r="39" ht="15" customHeight="true" x14ac:dyDescent="0.15">
      <c r="A39" s="117"/>
      <c r="B39" s="83"/>
      <c r="C39" s="83"/>
      <c r="D39" s="83"/>
      <c r="E39" s="115"/>
      <c r="F39" t="s">
        <v>200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1</v>
      </c>
      <c r="O39">
        <v>1</v>
      </c>
      <c r="P39">
        <f t="shared" si="0"/>
        <v>0</v>
      </c>
      <c r="Q39">
        <v>0</v>
      </c>
      <c r="R39" s="101">
        <v>0</v>
      </c>
      <c r="S39"/>
      <c r="T39"/>
    </row>
    <row r="40" ht="15" customHeight="true" x14ac:dyDescent="0.15">
      <c r="A40" s="117"/>
      <c r="B40" s="83"/>
      <c r="C40" s="83"/>
      <c r="D40" s="83"/>
      <c r="E40" s="115"/>
      <c r="F40" t="s">
        <v>201</v>
      </c>
      <c r="G40">
        <v>0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1</v>
      </c>
      <c r="O40">
        <v>0.25</v>
      </c>
      <c r="P40">
        <f t="shared" si="0"/>
        <v>0.75</v>
      </c>
      <c r="Q40">
        <v>0</v>
      </c>
      <c r="R40" s="101">
        <v>0</v>
      </c>
      <c r="S40"/>
      <c r="T40"/>
    </row>
    <row r="41" ht="15" customHeight="true" thickBot="true" x14ac:dyDescent="0.2">
      <c r="A41" s="117"/>
      <c r="B41" s="83"/>
      <c r="C41" s="83"/>
      <c r="D41" s="84"/>
      <c r="E41" s="118"/>
      <c r="F41" t="s">
        <v>202</v>
      </c>
      <c r="G41">
        <v>0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1</v>
      </c>
      <c r="O41">
        <v>0</v>
      </c>
      <c r="P41">
        <f t="shared" si="0"/>
        <v>1</v>
      </c>
      <c r="Q41">
        <v>0</v>
      </c>
      <c r="R41" s="101">
        <v>0</v>
      </c>
      <c r="S41"/>
      <c r="T41"/>
    </row>
    <row r="42" ht="15" customHeight="true" x14ac:dyDescent="0.15">
      <c r="A42" s="119"/>
      <c r="B42" s="120"/>
      <c r="C42" s="120" t="s">
        <v>162</v>
      </c>
      <c r="D42" s="120">
        <f>SUM(D32:D41)</f>
        <v>6986.4657178825364</v>
      </c>
      <c r="E42" s="121">
        <f>SUM(E32:E41)</f>
        <v>0.99999999999999989</v>
      </c>
      <c r="F42" t="s">
        <v>203</v>
      </c>
      <c r="G42">
        <v>0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1</v>
      </c>
      <c r="O42">
        <v>0</v>
      </c>
      <c r="P42">
        <f t="shared" si="0"/>
        <v>1</v>
      </c>
      <c r="Q42">
        <v>0</v>
      </c>
      <c r="R42" s="101">
        <v>0</v>
      </c>
      <c r="S42"/>
      <c r="T42"/>
    </row>
    <row r="43" ht="15" customHeight="true" x14ac:dyDescent="0.15">
      <c r="A43" s="74"/>
      <c r="F43" t="s">
        <v>204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1</v>
      </c>
      <c r="O43">
        <v>0</v>
      </c>
      <c r="P43">
        <f t="shared" si="0"/>
        <v>1</v>
      </c>
      <c r="Q43">
        <v>0</v>
      </c>
      <c r="R43" s="101">
        <v>0</v>
      </c>
      <c r="S43"/>
      <c r="T43"/>
    </row>
    <row r="44" ht="15" customHeight="true" x14ac:dyDescent="0.15">
      <c r="A44" s="74"/>
      <c r="F44" t="s">
        <v>205</v>
      </c>
      <c r="G44">
        <v>0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1</v>
      </c>
      <c r="O44">
        <v>0</v>
      </c>
      <c r="P44">
        <f t="shared" si="0"/>
        <v>1</v>
      </c>
      <c r="Q44">
        <v>0</v>
      </c>
      <c r="R44" s="101">
        <v>0</v>
      </c>
    </row>
    <row r="45" ht="15" customHeight="true" x14ac:dyDescent="0.15">
      <c r="A45" s="74"/>
      <c r="F45" t="s">
        <v>206</v>
      </c>
      <c r="G45">
        <v>0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1</v>
      </c>
      <c r="O45">
        <v>0</v>
      </c>
      <c r="P45">
        <f t="shared" si="0"/>
        <v>1</v>
      </c>
      <c r="Q45">
        <v>0</v>
      </c>
      <c r="R45" s="101">
        <v>0</v>
      </c>
    </row>
    <row r="46" ht="15" customHeight="true" x14ac:dyDescent="0.15">
      <c r="A46" s="74"/>
      <c r="F46" t="s">
        <v>207</v>
      </c>
      <c r="G46">
        <v>0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1</v>
      </c>
      <c r="O46">
        <v>0</v>
      </c>
      <c r="P46">
        <f t="shared" si="0"/>
        <v>1</v>
      </c>
      <c r="Q46">
        <v>0</v>
      </c>
      <c r="R46" s="101">
        <v>0</v>
      </c>
    </row>
    <row r="47" ht="15" customHeight="true" x14ac:dyDescent="0.15">
      <c r="A47" s="74"/>
      <c r="F47" t="s">
        <v>208</v>
      </c>
      <c r="G47">
        <v>0</v>
      </c>
      <c r="H47">
        <v>0</v>
      </c>
      <c r="I47">
        <v>0</v>
      </c>
      <c r="J47">
        <v>0</v>
      </c>
      <c r="K47">
        <v>0</v>
      </c>
      <c r="L47">
        <v>1</v>
      </c>
      <c r="M47">
        <v>0</v>
      </c>
      <c r="N47">
        <v>1</v>
      </c>
      <c r="O47">
        <v>0</v>
      </c>
      <c r="P47">
        <f t="shared" si="0"/>
        <v>1</v>
      </c>
      <c r="Q47">
        <v>0</v>
      </c>
      <c r="R47" s="101">
        <v>0</v>
      </c>
    </row>
    <row r="48" ht="15" customHeight="true" x14ac:dyDescent="0.15">
      <c r="A48" s="74"/>
      <c r="F48" t="s">
        <v>209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1</v>
      </c>
      <c r="O48">
        <v>0</v>
      </c>
      <c r="P48">
        <f t="shared" si="0"/>
        <v>1</v>
      </c>
      <c r="Q48">
        <v>0</v>
      </c>
      <c r="R48" s="101">
        <v>0</v>
      </c>
    </row>
    <row r="49" s="74" customFormat="true" ht="15" customHeight="true" x14ac:dyDescent="0.15">
      <c r="F49" t="s">
        <v>210</v>
      </c>
      <c r="G49">
        <v>0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1</v>
      </c>
      <c r="O49">
        <v>0</v>
      </c>
      <c r="P49">
        <f t="shared" si="0"/>
        <v>1</v>
      </c>
      <c r="Q49">
        <v>0</v>
      </c>
      <c r="R49" s="101">
        <v>0</v>
      </c>
    </row>
    <row r="50" s="74" customFormat="true" ht="15" customHeight="true" x14ac:dyDescent="0.15">
      <c r="F50" t="s">
        <v>211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1</v>
      </c>
      <c r="O50">
        <v>0</v>
      </c>
      <c r="P50">
        <f t="shared" si="0"/>
        <v>1</v>
      </c>
      <c r="Q50">
        <v>0</v>
      </c>
      <c r="R50" s="101">
        <v>0</v>
      </c>
    </row>
    <row r="51" s="74" customFormat="true" ht="15" customHeight="true" x14ac:dyDescent="0.15">
      <c r="F51" t="s">
        <v>212</v>
      </c>
      <c r="G51">
        <v>0</v>
      </c>
      <c r="H51">
        <v>0</v>
      </c>
      <c r="I51">
        <v>0</v>
      </c>
      <c r="J51">
        <v>0</v>
      </c>
      <c r="K51">
        <v>0</v>
      </c>
      <c r="L51">
        <v>1</v>
      </c>
      <c r="M51">
        <v>0</v>
      </c>
      <c r="N51">
        <v>1</v>
      </c>
      <c r="O51">
        <v>1</v>
      </c>
      <c r="P51">
        <f t="shared" si="0"/>
        <v>0</v>
      </c>
      <c r="Q51">
        <v>0</v>
      </c>
      <c r="R51" s="101">
        <v>0</v>
      </c>
    </row>
    <row r="52" s="74" customFormat="true" ht="15" customHeight="true" x14ac:dyDescent="0.15">
      <c r="F52" t="s">
        <v>213</v>
      </c>
      <c r="G52">
        <v>0</v>
      </c>
      <c r="H52">
        <v>0</v>
      </c>
      <c r="I52">
        <v>0</v>
      </c>
      <c r="J52">
        <v>0</v>
      </c>
      <c r="K52">
        <v>0</v>
      </c>
      <c r="L52">
        <v>1</v>
      </c>
      <c r="M52">
        <v>0</v>
      </c>
      <c r="N52">
        <v>1</v>
      </c>
      <c r="O52">
        <v>1</v>
      </c>
      <c r="P52">
        <f t="shared" si="0"/>
        <v>0</v>
      </c>
      <c r="Q52">
        <v>0</v>
      </c>
      <c r="R52" s="101">
        <v>0</v>
      </c>
    </row>
    <row r="53" s="74" customFormat="true" ht="15" customHeight="true" x14ac:dyDescent="0.15">
      <c r="F53" t="s">
        <v>214</v>
      </c>
      <c r="G53">
        <v>0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1</v>
      </c>
      <c r="O53">
        <v>1</v>
      </c>
      <c r="P53">
        <f t="shared" si="0"/>
        <v>0</v>
      </c>
      <c r="Q53">
        <v>0</v>
      </c>
      <c r="R53" s="101">
        <v>0</v>
      </c>
    </row>
    <row r="54" s="74" customFormat="true" ht="15" customHeight="true" x14ac:dyDescent="0.15">
      <c r="F54" t="s">
        <v>215</v>
      </c>
      <c r="G54">
        <v>0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1</v>
      </c>
      <c r="O54">
        <v>1</v>
      </c>
      <c r="P54">
        <f t="shared" si="0"/>
        <v>0</v>
      </c>
      <c r="Q54">
        <v>0</v>
      </c>
      <c r="R54" s="101">
        <v>0</v>
      </c>
    </row>
    <row r="55" s="74" customFormat="true" ht="15" customHeight="true" x14ac:dyDescent="0.15">
      <c r="F55" t="s">
        <v>216</v>
      </c>
      <c r="G55">
        <v>0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1</v>
      </c>
      <c r="O55">
        <v>1</v>
      </c>
      <c r="P55">
        <f t="shared" si="0"/>
        <v>0</v>
      </c>
      <c r="Q55">
        <v>0</v>
      </c>
      <c r="R55" s="101">
        <v>0</v>
      </c>
    </row>
    <row r="56" s="74" customFormat="true" ht="15" customHeight="true" x14ac:dyDescent="0.15">
      <c r="F56" t="s">
        <v>217</v>
      </c>
      <c r="G56">
        <v>0</v>
      </c>
      <c r="H56">
        <v>0</v>
      </c>
      <c r="I56">
        <v>0</v>
      </c>
      <c r="J56">
        <v>0</v>
      </c>
      <c r="K56">
        <v>1</v>
      </c>
      <c r="L56">
        <v>0</v>
      </c>
      <c r="M56">
        <v>0.5</v>
      </c>
      <c r="N56">
        <v>0.5</v>
      </c>
      <c r="O56">
        <v>1</v>
      </c>
      <c r="P56">
        <f t="shared" si="0"/>
        <v>0</v>
      </c>
      <c r="Q56">
        <v>0</v>
      </c>
      <c r="R56" s="101">
        <v>0</v>
      </c>
    </row>
    <row r="57" s="74" customFormat="true" ht="15" customHeight="true" x14ac:dyDescent="0.15">
      <c r="F57" t="s">
        <v>218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1</v>
      </c>
      <c r="O57">
        <v>0.5</v>
      </c>
      <c r="P57">
        <f t="shared" si="0"/>
        <v>0.5</v>
      </c>
      <c r="Q57">
        <v>0</v>
      </c>
      <c r="R57" s="101">
        <v>0</v>
      </c>
    </row>
    <row r="58" s="74" customFormat="true" ht="15" customHeight="true" x14ac:dyDescent="0.15">
      <c r="F58" t="s">
        <v>219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1</v>
      </c>
      <c r="O58">
        <v>0</v>
      </c>
      <c r="P58">
        <f t="shared" si="0"/>
        <v>1</v>
      </c>
      <c r="Q58">
        <v>0</v>
      </c>
      <c r="R58" s="101">
        <v>0</v>
      </c>
    </row>
    <row r="59" s="74" customFormat="true" ht="15" customHeight="true" x14ac:dyDescent="0.15">
      <c r="F59" t="s">
        <v>220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1</v>
      </c>
      <c r="O59">
        <v>1</v>
      </c>
      <c r="P59">
        <f t="shared" si="0"/>
        <v>0</v>
      </c>
      <c r="Q59">
        <v>0</v>
      </c>
      <c r="R59" s="101">
        <v>0</v>
      </c>
    </row>
    <row r="60" s="74" customFormat="true" ht="15" customHeight="true" thickBot="true" x14ac:dyDescent="0.2">
      <c r="F60" t="s">
        <v>221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1</v>
      </c>
      <c r="O60">
        <v>0.5</v>
      </c>
      <c r="P60">
        <f t="shared" si="0"/>
        <v>0.5</v>
      </c>
      <c r="Q60">
        <v>0</v>
      </c>
      <c r="R60" s="101">
        <v>0</v>
      </c>
    </row>
    <row r="61" s="74" customFormat="true" ht="15" customHeight="true" thickBot="true" x14ac:dyDescent="0.2">
      <c r="F61" t="s">
        <v>71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1</v>
      </c>
      <c r="O61" s="169">
        <v>1</v>
      </c>
      <c r="P61" s="170">
        <v>0</v>
      </c>
      <c r="Q61">
        <v>0</v>
      </c>
      <c r="R61" s="101">
        <v>0</v>
      </c>
    </row>
    <row r="62" s="74" customFormat="true" ht="15" customHeight="true" thickBot="true" x14ac:dyDescent="0.2">
      <c r="F62" t="s">
        <v>222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1</v>
      </c>
      <c r="O62">
        <v>0</v>
      </c>
      <c r="P62">
        <f t="shared" si="0"/>
        <v>1</v>
      </c>
      <c r="Q62">
        <v>0</v>
      </c>
      <c r="R62" s="101">
        <v>0</v>
      </c>
    </row>
    <row r="63" s="74" customFormat="true" ht="15" customHeight="true" thickBot="true" x14ac:dyDescent="0.2">
      <c r="F63" t="s">
        <v>72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1</v>
      </c>
      <c r="O63" s="169">
        <v>0</v>
      </c>
      <c r="P63" s="170">
        <v>1</v>
      </c>
      <c r="Q63">
        <v>0</v>
      </c>
      <c r="R63" s="101">
        <v>0</v>
      </c>
    </row>
    <row r="64" s="74" customFormat="true" ht="15" customHeight="true" x14ac:dyDescent="0.15">
      <c r="F64" t="s">
        <v>223</v>
      </c>
      <c r="G64">
        <v>0</v>
      </c>
      <c r="H64">
        <v>0</v>
      </c>
      <c r="I64">
        <v>0</v>
      </c>
      <c r="J64">
        <v>0</v>
      </c>
      <c r="K64" s="171">
        <v>0</v>
      </c>
      <c r="L64" s="172">
        <v>1</v>
      </c>
      <c r="M64">
        <v>0</v>
      </c>
      <c r="N64">
        <v>0</v>
      </c>
      <c r="O64">
        <v>0</v>
      </c>
      <c r="P64">
        <f t="shared" si="0"/>
        <v>1</v>
      </c>
      <c r="Q64">
        <v>0</v>
      </c>
      <c r="R64" s="101">
        <v>0</v>
      </c>
    </row>
    <row r="65" ht="15" customHeight="true" x14ac:dyDescent="0.15">
      <c r="F65" t="s">
        <v>224</v>
      </c>
      <c r="G65">
        <v>0</v>
      </c>
      <c r="H65">
        <v>0</v>
      </c>
      <c r="I65">
        <v>0</v>
      </c>
      <c r="J65">
        <v>0</v>
      </c>
      <c r="K65" s="173">
        <v>0</v>
      </c>
      <c r="L65" s="174">
        <v>1</v>
      </c>
      <c r="M65">
        <v>0</v>
      </c>
      <c r="N65">
        <v>0</v>
      </c>
      <c r="O65">
        <v>0</v>
      </c>
      <c r="P65">
        <f t="shared" si="0"/>
        <v>1</v>
      </c>
      <c r="Q65">
        <v>0</v>
      </c>
      <c r="R65" s="101">
        <v>0</v>
      </c>
    </row>
    <row r="66" ht="15" customHeight="true" x14ac:dyDescent="0.15">
      <c r="F66" t="s">
        <v>225</v>
      </c>
      <c r="G66">
        <v>0</v>
      </c>
      <c r="H66">
        <v>0</v>
      </c>
      <c r="I66">
        <v>0</v>
      </c>
      <c r="J66">
        <v>0</v>
      </c>
      <c r="K66" s="173">
        <v>0</v>
      </c>
      <c r="L66" s="174">
        <v>1</v>
      </c>
      <c r="M66">
        <v>0</v>
      </c>
      <c r="N66">
        <v>0</v>
      </c>
      <c r="O66">
        <v>0</v>
      </c>
      <c r="P66">
        <f t="shared" si="0"/>
        <v>1</v>
      </c>
      <c r="Q66">
        <v>0</v>
      </c>
      <c r="R66" s="101">
        <v>0</v>
      </c>
    </row>
    <row r="67" ht="15" customHeight="true" x14ac:dyDescent="0.15">
      <c r="F67" t="s">
        <v>226</v>
      </c>
      <c r="G67">
        <v>0</v>
      </c>
      <c r="H67">
        <v>0</v>
      </c>
      <c r="I67">
        <v>0</v>
      </c>
      <c r="J67">
        <v>0</v>
      </c>
      <c r="K67" s="173">
        <v>0</v>
      </c>
      <c r="L67" s="174">
        <v>1</v>
      </c>
      <c r="M67">
        <v>0</v>
      </c>
      <c r="N67">
        <v>0</v>
      </c>
      <c r="O67">
        <v>0</v>
      </c>
      <c r="P67">
        <f t="shared" si="0"/>
        <v>1</v>
      </c>
      <c r="Q67">
        <v>0</v>
      </c>
      <c r="R67" s="101">
        <v>0</v>
      </c>
    </row>
    <row r="68" ht="15" customHeight="true" x14ac:dyDescent="0.15">
      <c r="F68" t="s">
        <v>227</v>
      </c>
      <c r="G68">
        <v>0</v>
      </c>
      <c r="H68">
        <v>0</v>
      </c>
      <c r="I68">
        <v>0</v>
      </c>
      <c r="J68">
        <v>0</v>
      </c>
      <c r="K68" s="173">
        <v>0</v>
      </c>
      <c r="L68" s="174">
        <v>1</v>
      </c>
      <c r="M68">
        <v>0</v>
      </c>
      <c r="N68">
        <v>0</v>
      </c>
      <c r="O68">
        <v>0</v>
      </c>
      <c r="P68">
        <f t="shared" si="0"/>
        <v>1</v>
      </c>
      <c r="Q68">
        <v>0</v>
      </c>
      <c r="R68" s="101">
        <v>0</v>
      </c>
    </row>
    <row r="69" ht="15" customHeight="true" x14ac:dyDescent="0.15">
      <c r="F69" t="s">
        <v>228</v>
      </c>
      <c r="G69">
        <v>0</v>
      </c>
      <c r="H69">
        <v>0</v>
      </c>
      <c r="I69">
        <v>0</v>
      </c>
      <c r="J69">
        <v>0</v>
      </c>
      <c r="K69" s="173">
        <v>0</v>
      </c>
      <c r="L69" s="174">
        <v>1</v>
      </c>
      <c r="M69">
        <v>0</v>
      </c>
      <c r="N69">
        <v>0</v>
      </c>
      <c r="O69">
        <v>0</v>
      </c>
      <c r="P69">
        <f t="shared" si="0"/>
        <v>1</v>
      </c>
      <c r="Q69">
        <v>0</v>
      </c>
      <c r="R69" s="101">
        <v>0</v>
      </c>
    </row>
    <row r="70" ht="15" customHeight="true" x14ac:dyDescent="0.15">
      <c r="F70" t="s">
        <v>229</v>
      </c>
      <c r="G70">
        <v>0</v>
      </c>
      <c r="H70">
        <v>0</v>
      </c>
      <c r="I70">
        <v>0</v>
      </c>
      <c r="J70">
        <v>0</v>
      </c>
      <c r="K70" s="173">
        <v>0</v>
      </c>
      <c r="L70" s="174">
        <v>1</v>
      </c>
      <c r="M70">
        <v>0</v>
      </c>
      <c r="N70">
        <v>0</v>
      </c>
      <c r="O70">
        <v>0</v>
      </c>
      <c r="P70">
        <f t="shared" si="0"/>
        <v>1</v>
      </c>
      <c r="Q70">
        <v>0</v>
      </c>
      <c r="R70" s="101">
        <v>0</v>
      </c>
    </row>
    <row r="71" ht="15" customHeight="true" x14ac:dyDescent="0.15">
      <c r="F71" t="s">
        <v>230</v>
      </c>
      <c r="G71">
        <v>0</v>
      </c>
      <c r="H71">
        <v>0</v>
      </c>
      <c r="I71">
        <v>0</v>
      </c>
      <c r="J71">
        <v>0</v>
      </c>
      <c r="K71" s="173">
        <v>0</v>
      </c>
      <c r="L71" s="174">
        <v>1</v>
      </c>
      <c r="M71">
        <v>0</v>
      </c>
      <c r="N71">
        <v>0</v>
      </c>
      <c r="O71">
        <v>0</v>
      </c>
      <c r="P71">
        <f t="shared" ref="P71:P75" si="7">1-O71</f>
        <v>1</v>
      </c>
      <c r="Q71">
        <v>0</v>
      </c>
      <c r="R71" s="101">
        <v>0</v>
      </c>
    </row>
    <row r="72" ht="15" customHeight="true" x14ac:dyDescent="0.15">
      <c r="F72" t="s">
        <v>231</v>
      </c>
      <c r="G72">
        <v>0</v>
      </c>
      <c r="H72">
        <v>0</v>
      </c>
      <c r="I72">
        <v>0</v>
      </c>
      <c r="J72">
        <v>0</v>
      </c>
      <c r="K72" s="173">
        <v>0</v>
      </c>
      <c r="L72" s="174">
        <v>1</v>
      </c>
      <c r="M72">
        <v>0</v>
      </c>
      <c r="N72">
        <v>0</v>
      </c>
      <c r="O72">
        <v>0</v>
      </c>
      <c r="P72">
        <f t="shared" si="7"/>
        <v>1</v>
      </c>
      <c r="Q72">
        <v>0</v>
      </c>
      <c r="R72" s="101">
        <v>0</v>
      </c>
    </row>
    <row r="73" ht="15" customHeight="true" x14ac:dyDescent="0.15">
      <c r="F73" t="s">
        <v>232</v>
      </c>
      <c r="G73">
        <v>0</v>
      </c>
      <c r="H73">
        <v>0</v>
      </c>
      <c r="I73">
        <v>0</v>
      </c>
      <c r="J73">
        <v>0</v>
      </c>
      <c r="K73" s="173">
        <v>0</v>
      </c>
      <c r="L73" s="174">
        <v>1</v>
      </c>
      <c r="M73">
        <v>0</v>
      </c>
      <c r="N73">
        <v>0</v>
      </c>
      <c r="O73">
        <v>0</v>
      </c>
      <c r="P73">
        <f t="shared" si="7"/>
        <v>1</v>
      </c>
      <c r="Q73">
        <v>0</v>
      </c>
      <c r="R73" s="101">
        <v>0</v>
      </c>
    </row>
    <row r="74" ht="15" customHeight="true" x14ac:dyDescent="0.15">
      <c r="F74" t="s">
        <v>233</v>
      </c>
      <c r="G74">
        <v>0</v>
      </c>
      <c r="H74">
        <v>0</v>
      </c>
      <c r="I74">
        <v>0</v>
      </c>
      <c r="J74">
        <v>0</v>
      </c>
      <c r="K74" s="173">
        <v>0</v>
      </c>
      <c r="L74" s="174">
        <v>1</v>
      </c>
      <c r="M74">
        <v>0</v>
      </c>
      <c r="N74">
        <v>0</v>
      </c>
      <c r="O74">
        <v>0</v>
      </c>
      <c r="P74">
        <f t="shared" si="7"/>
        <v>1</v>
      </c>
      <c r="Q74">
        <v>0</v>
      </c>
      <c r="R74" s="101">
        <v>0</v>
      </c>
    </row>
    <row r="75" ht="15" customHeight="true" thickBot="true" x14ac:dyDescent="0.2">
      <c r="F75" t="s">
        <v>234</v>
      </c>
      <c r="G75">
        <v>0</v>
      </c>
      <c r="H75">
        <v>0</v>
      </c>
      <c r="I75">
        <v>0</v>
      </c>
      <c r="J75">
        <v>0</v>
      </c>
      <c r="K75" s="175">
        <v>0</v>
      </c>
      <c r="L75" s="176">
        <v>1</v>
      </c>
      <c r="M75">
        <v>0</v>
      </c>
      <c r="N75">
        <v>0</v>
      </c>
      <c r="O75">
        <v>0</v>
      </c>
      <c r="P75">
        <f t="shared" si="7"/>
        <v>1</v>
      </c>
      <c r="Q75">
        <v>0</v>
      </c>
      <c r="R75" s="101">
        <v>0</v>
      </c>
    </row>
    <row r="76" ht="15" customHeight="true" x14ac:dyDescent="0.15">
      <c r="A76" s="74"/>
    </row>
    <row r="77" ht="15" customHeight="true" x14ac:dyDescent="0.15">
      <c r="A77" s="74"/>
      <c r="K77" s="57" t="s">
        <v>285</v>
      </c>
      <c r="O77" s="57" t="s">
        <v>286</v>
      </c>
    </row>
    <row r="78" ht="15" customHeight="true" x14ac:dyDescent="0.15">
      <c r="A78" s="74"/>
      <c r="F78"/>
      <c r="R78"/>
    </row>
    <row r="79" ht="15" customHeight="true" x14ac:dyDescent="0.15">
      <c r="A79" s="74"/>
      <c r="F79"/>
      <c r="R79"/>
    </row>
    <row r="80" ht="15" customHeight="true" x14ac:dyDescent="0.15">
      <c r="A80" s="74"/>
      <c r="F80"/>
      <c r="R80"/>
    </row>
    <row r="81" ht="15" customHeight="true" x14ac:dyDescent="0.15">
      <c r="A81" s="74"/>
      <c r="F81"/>
      <c r="R81"/>
    </row>
    <row r="82" ht="15" customHeight="true" x14ac:dyDescent="0.15">
      <c r="A82" s="74"/>
      <c r="F82"/>
      <c r="R82"/>
    </row>
    <row r="83" ht="15" customHeight="true" x14ac:dyDescent="0.15">
      <c r="A83" s="74"/>
      <c r="F83"/>
      <c r="R83"/>
    </row>
    <row r="84" ht="15" customHeight="true" x14ac:dyDescent="0.15">
      <c r="A84" s="74"/>
      <c r="F84"/>
      <c r="R84"/>
    </row>
    <row r="85" ht="15" customHeight="true" x14ac:dyDescent="0.15">
      <c r="A85" s="74"/>
      <c r="F85"/>
      <c r="R85"/>
    </row>
    <row r="86" ht="15" customHeight="true" x14ac:dyDescent="0.15">
      <c r="A86" s="74"/>
      <c r="F86"/>
      <c r="R86"/>
    </row>
    <row r="87" ht="15" customHeight="true" x14ac:dyDescent="0.15">
      <c r="A87" s="74"/>
      <c r="F87"/>
      <c r="R87"/>
    </row>
    <row r="88" ht="15" customHeight="true" x14ac:dyDescent="0.15">
      <c r="A88" s="74"/>
      <c r="F88"/>
      <c r="R88"/>
    </row>
    <row r="89" ht="15" customHeight="true" x14ac:dyDescent="0.15">
      <c r="A89" s="74"/>
      <c r="F89"/>
      <c r="R89"/>
    </row>
    <row r="90" ht="15" customHeight="true" x14ac:dyDescent="0.15">
      <c r="A90" s="74"/>
      <c r="F90"/>
      <c r="R90"/>
    </row>
    <row r="91" ht="15" customHeight="true" x14ac:dyDescent="0.15">
      <c r="A91" s="74"/>
      <c r="F91"/>
      <c r="R91"/>
    </row>
    <row r="92" ht="15" customHeight="true" x14ac:dyDescent="0.15">
      <c r="A92" s="74"/>
      <c r="F92"/>
      <c r="R92"/>
    </row>
    <row r="93" ht="15" customHeight="true" x14ac:dyDescent="0.15">
      <c r="A93" s="74"/>
      <c r="F93"/>
      <c r="R93"/>
    </row>
    <row r="94" ht="15" customHeight="true" x14ac:dyDescent="0.15">
      <c r="A94" s="74"/>
      <c r="F94"/>
      <c r="R94"/>
    </row>
    <row r="95" ht="15" customHeight="true" x14ac:dyDescent="0.15">
      <c r="A95" s="74"/>
      <c r="F95"/>
      <c r="R95"/>
    </row>
    <row r="96" ht="15" customHeight="true" x14ac:dyDescent="0.15">
      <c r="A96" s="74"/>
      <c r="F96"/>
      <c r="R96"/>
    </row>
    <row r="97" ht="15" customHeight="true" x14ac:dyDescent="0.15">
      <c r="A97" s="74"/>
      <c r="F97"/>
      <c r="R97"/>
    </row>
    <row r="98" ht="15" customHeight="true" x14ac:dyDescent="0.15">
      <c r="A98" s="74"/>
      <c r="F98"/>
      <c r="R98"/>
    </row>
    <row r="99" ht="15" customHeight="true" x14ac:dyDescent="0.15">
      <c r="A99" s="74"/>
      <c r="F99"/>
      <c r="R99"/>
    </row>
    <row r="100" ht="15" customHeight="true" x14ac:dyDescent="0.15">
      <c r="A100" s="74"/>
      <c r="F100"/>
      <c r="R100"/>
    </row>
    <row r="101" ht="15" customHeight="true" x14ac:dyDescent="0.15">
      <c r="A101" s="74"/>
      <c r="F101"/>
      <c r="R101"/>
    </row>
    <row r="102" ht="15" customHeight="true" x14ac:dyDescent="0.15">
      <c r="A102" s="74"/>
      <c r="F102"/>
      <c r="R102"/>
    </row>
    <row r="103" ht="15" customHeight="true" x14ac:dyDescent="0.15">
      <c r="A103" s="74"/>
      <c r="F103"/>
      <c r="R103"/>
    </row>
    <row r="104" ht="15" customHeight="true" x14ac:dyDescent="0.15">
      <c r="A104" s="74"/>
      <c r="F104"/>
      <c r="R104"/>
    </row>
    <row r="105" ht="15" customHeight="true" x14ac:dyDescent="0.15">
      <c r="A105" s="74"/>
      <c r="F105"/>
      <c r="R105"/>
    </row>
    <row r="106" ht="15" customHeight="true" x14ac:dyDescent="0.15">
      <c r="F106"/>
      <c r="R106"/>
    </row>
    <row r="107" ht="15" customHeight="true" x14ac:dyDescent="0.15">
      <c r="F107"/>
      <c r="R107"/>
    </row>
    <row r="108" ht="15" customHeight="true" x14ac:dyDescent="0.15">
      <c r="F108"/>
      <c r="R108"/>
    </row>
    <row r="109" ht="15" customHeight="true" x14ac:dyDescent="0.15">
      <c r="F109"/>
      <c r="R109"/>
    </row>
    <row r="113" s="74" customFormat="true" ht="15" customHeight="true" x14ac:dyDescent="0.15">
      <c r="F113" s="166"/>
      <c r="G113"/>
      <c r="H113"/>
      <c r="I113"/>
      <c r="J113"/>
      <c r="K113"/>
      <c r="L113"/>
      <c r="M113"/>
      <c r="N113"/>
      <c r="O113"/>
      <c r="P113"/>
      <c r="Q113"/>
      <c r="R113" s="101"/>
    </row>
    <row r="114" s="74" customFormat="true" ht="15" customHeight="true" x14ac:dyDescent="0.15">
      <c r="F114" s="166"/>
      <c r="G114"/>
      <c r="H114"/>
      <c r="I114"/>
      <c r="J114"/>
      <c r="K114"/>
      <c r="L114"/>
      <c r="M114"/>
      <c r="N114"/>
      <c r="O114"/>
      <c r="P114"/>
      <c r="Q114"/>
      <c r="R114" s="101"/>
    </row>
    <row r="115" s="74" customFormat="true" ht="15" customHeight="true" x14ac:dyDescent="0.15">
      <c r="F115" s="166"/>
      <c r="G115"/>
      <c r="H115"/>
      <c r="I115"/>
      <c r="J115"/>
      <c r="K115"/>
      <c r="L115"/>
      <c r="M115"/>
      <c r="N115"/>
      <c r="O115"/>
      <c r="P115"/>
      <c r="Q115"/>
      <c r="R115" s="101"/>
    </row>
    <row r="116" s="74" customFormat="true" ht="15" customHeight="true" x14ac:dyDescent="0.15">
      <c r="F116" s="166"/>
      <c r="G116"/>
      <c r="H116"/>
      <c r="I116"/>
      <c r="J116"/>
      <c r="K116"/>
      <c r="L116"/>
      <c r="M116"/>
      <c r="N116"/>
      <c r="O116"/>
      <c r="P116"/>
      <c r="Q116"/>
      <c r="R116" s="101"/>
    </row>
    <row r="117" s="74" customFormat="true" ht="15" customHeight="true" x14ac:dyDescent="0.15">
      <c r="F117" s="166"/>
      <c r="G117"/>
      <c r="H117"/>
      <c r="I117"/>
      <c r="J117"/>
      <c r="K117"/>
      <c r="L117"/>
      <c r="M117"/>
      <c r="N117"/>
      <c r="O117"/>
      <c r="P117"/>
      <c r="Q117"/>
      <c r="R117" s="101"/>
    </row>
    <row r="118" s="74" customFormat="true" ht="15" customHeight="true" x14ac:dyDescent="0.15">
      <c r="F118" s="166"/>
      <c r="G118"/>
      <c r="H118"/>
      <c r="I118"/>
      <c r="J118"/>
      <c r="K118"/>
      <c r="L118"/>
      <c r="M118"/>
      <c r="N118"/>
      <c r="O118"/>
      <c r="P118"/>
      <c r="Q118"/>
      <c r="R118" s="101"/>
    </row>
    <row r="119" s="74" customFormat="true" ht="15" customHeight="true" x14ac:dyDescent="0.15">
      <c r="F119" s="166"/>
      <c r="G119"/>
      <c r="H119"/>
      <c r="I119"/>
      <c r="J119"/>
      <c r="K119"/>
      <c r="L119"/>
      <c r="M119"/>
      <c r="N119"/>
      <c r="O119"/>
      <c r="P119"/>
      <c r="Q119"/>
      <c r="R119" s="101"/>
    </row>
    <row r="120" s="74" customFormat="true" ht="15" customHeight="true" x14ac:dyDescent="0.15">
      <c r="F120" s="166"/>
      <c r="G120"/>
      <c r="H120"/>
      <c r="I120"/>
      <c r="J120"/>
      <c r="K120"/>
      <c r="L120"/>
      <c r="M120"/>
      <c r="N120"/>
      <c r="O120"/>
      <c r="P120"/>
      <c r="Q120"/>
      <c r="R120" s="101"/>
    </row>
    <row r="121" s="74" customFormat="true" ht="15" customHeight="true" x14ac:dyDescent="0.15">
      <c r="F121" s="166"/>
      <c r="G121"/>
      <c r="H121"/>
      <c r="I121"/>
      <c r="J121"/>
      <c r="K121"/>
      <c r="L121"/>
      <c r="M121"/>
      <c r="N121"/>
      <c r="O121"/>
      <c r="P121"/>
      <c r="Q121"/>
      <c r="R121" s="101"/>
    </row>
    <row r="122" s="74" customFormat="true" ht="15" customHeight="true" x14ac:dyDescent="0.15">
      <c r="F122" s="166"/>
      <c r="G122"/>
      <c r="H122"/>
      <c r="I122"/>
      <c r="J122"/>
      <c r="K122"/>
      <c r="L122"/>
      <c r="M122"/>
      <c r="N122"/>
      <c r="O122"/>
      <c r="P122"/>
      <c r="Q122"/>
      <c r="R122" s="101"/>
    </row>
    <row r="123" s="74" customFormat="true" ht="15" customHeight="true" x14ac:dyDescent="0.15">
      <c r="F123" s="166"/>
      <c r="G123"/>
      <c r="H123"/>
      <c r="I123"/>
      <c r="J123"/>
      <c r="K123"/>
      <c r="L123"/>
      <c r="M123"/>
      <c r="N123"/>
      <c r="O123"/>
      <c r="P123"/>
      <c r="Q123"/>
      <c r="R123" s="101"/>
    </row>
    <row r="124" s="74" customFormat="true" ht="15" customHeight="true" x14ac:dyDescent="0.15">
      <c r="F124" s="166"/>
      <c r="G124"/>
      <c r="H124"/>
      <c r="I124"/>
      <c r="J124"/>
      <c r="K124"/>
      <c r="L124"/>
      <c r="M124"/>
      <c r="N124"/>
      <c r="O124"/>
      <c r="P124"/>
      <c r="Q124"/>
      <c r="R124" s="101"/>
    </row>
    <row r="125" s="74" customFormat="true" ht="15" customHeight="true" x14ac:dyDescent="0.15">
      <c r="F125" s="166"/>
      <c r="G125"/>
      <c r="H125"/>
      <c r="I125"/>
      <c r="J125"/>
      <c r="K125"/>
      <c r="L125"/>
      <c r="M125"/>
      <c r="N125"/>
      <c r="O125"/>
      <c r="P125"/>
      <c r="Q125"/>
      <c r="R125" s="101"/>
    </row>
    <row r="126" s="74" customFormat="true" ht="15" customHeight="true" x14ac:dyDescent="0.15">
      <c r="F126" s="166"/>
      <c r="G126"/>
      <c r="H126"/>
      <c r="I126"/>
      <c r="J126"/>
      <c r="K126"/>
      <c r="L126"/>
      <c r="M126"/>
      <c r="N126"/>
      <c r="O126"/>
      <c r="P126"/>
      <c r="Q126"/>
      <c r="R126" s="101"/>
    </row>
    <row r="127" s="74" customFormat="true" ht="15" customHeight="true" x14ac:dyDescent="0.15">
      <c r="F127" s="166"/>
      <c r="G127"/>
      <c r="H127"/>
      <c r="I127"/>
      <c r="J127"/>
      <c r="K127"/>
      <c r="L127"/>
      <c r="M127"/>
      <c r="N127"/>
      <c r="O127"/>
      <c r="P127"/>
      <c r="Q127"/>
      <c r="R127" s="101"/>
    </row>
    <row r="128" s="74" customFormat="true" ht="15" customHeight="true" x14ac:dyDescent="0.15">
      <c r="F128" s="166"/>
      <c r="G128"/>
      <c r="H128"/>
      <c r="I128"/>
      <c r="J128"/>
      <c r="K128"/>
      <c r="L128"/>
      <c r="M128"/>
      <c r="N128"/>
      <c r="O128"/>
      <c r="P128"/>
      <c r="Q128"/>
      <c r="R128" s="101"/>
    </row>
    <row r="129" s="74" customFormat="true" ht="15" customHeight="true" x14ac:dyDescent="0.15">
      <c r="F129" s="166"/>
      <c r="G129"/>
      <c r="H129"/>
      <c r="I129"/>
      <c r="J129"/>
      <c r="K129"/>
      <c r="L129"/>
      <c r="M129"/>
      <c r="N129"/>
      <c r="O129"/>
      <c r="P129"/>
      <c r="Q129"/>
      <c r="R129" s="101"/>
    </row>
    <row r="130" s="74" customFormat="true" ht="15" customHeight="true" x14ac:dyDescent="0.15">
      <c r="F130" s="166"/>
      <c r="G130"/>
      <c r="H130"/>
      <c r="I130"/>
      <c r="J130"/>
      <c r="K130"/>
      <c r="L130"/>
      <c r="M130"/>
      <c r="N130"/>
      <c r="O130"/>
      <c r="P130"/>
      <c r="Q130"/>
      <c r="R130" s="101"/>
    </row>
    <row r="131" s="74" customFormat="true" ht="15" customHeight="true" x14ac:dyDescent="0.15">
      <c r="F131" s="166"/>
      <c r="G131"/>
      <c r="H131"/>
      <c r="I131"/>
      <c r="J131"/>
      <c r="K131"/>
      <c r="L131"/>
      <c r="M131"/>
      <c r="N131"/>
      <c r="O131"/>
      <c r="P131"/>
      <c r="Q131"/>
      <c r="R131" s="101"/>
    </row>
    <row r="132" s="74" customFormat="true" ht="15" customHeight="true" x14ac:dyDescent="0.15">
      <c r="F132" s="166"/>
      <c r="G132"/>
      <c r="H132"/>
      <c r="I132"/>
      <c r="J132"/>
      <c r="K132"/>
      <c r="L132"/>
      <c r="M132"/>
      <c r="N132"/>
      <c r="O132"/>
      <c r="P132"/>
      <c r="Q132"/>
      <c r="R132" s="101"/>
    </row>
    <row r="133" s="74" customFormat="true" ht="15" customHeight="true" x14ac:dyDescent="0.15">
      <c r="F133" s="166"/>
      <c r="G133"/>
      <c r="H133"/>
      <c r="I133"/>
      <c r="J133"/>
      <c r="K133"/>
      <c r="L133"/>
      <c r="M133"/>
      <c r="N133"/>
      <c r="O133"/>
      <c r="P133"/>
      <c r="Q133"/>
      <c r="R133" s="101"/>
    </row>
    <row r="134" s="74" customFormat="true" ht="15" customHeight="true" x14ac:dyDescent="0.15">
      <c r="F134" s="166"/>
      <c r="G134"/>
      <c r="H134"/>
      <c r="I134"/>
      <c r="J134"/>
      <c r="K134"/>
      <c r="L134"/>
      <c r="M134"/>
      <c r="N134"/>
      <c r="O134"/>
      <c r="P134"/>
      <c r="Q134"/>
      <c r="R134" s="101"/>
    </row>
    <row r="135" s="74" customFormat="true" ht="15" customHeight="true" x14ac:dyDescent="0.15">
      <c r="F135" s="166"/>
      <c r="G135"/>
      <c r="H135"/>
      <c r="I135"/>
      <c r="J135"/>
      <c r="K135"/>
      <c r="L135"/>
      <c r="M135"/>
      <c r="N135"/>
      <c r="O135"/>
      <c r="P135"/>
      <c r="Q135"/>
      <c r="R135" s="101"/>
    </row>
    <row r="136" s="74" customFormat="true" ht="15" customHeight="true" x14ac:dyDescent="0.15">
      <c r="F136" s="166"/>
      <c r="G136"/>
      <c r="H136"/>
      <c r="I136"/>
      <c r="J136"/>
      <c r="K136"/>
      <c r="L136"/>
      <c r="M136"/>
      <c r="N136"/>
      <c r="O136"/>
      <c r="P136"/>
      <c r="Q136"/>
      <c r="R136" s="101"/>
    </row>
    <row r="137" s="74" customFormat="true" ht="15" customHeight="true" x14ac:dyDescent="0.15">
      <c r="F137" s="166"/>
      <c r="G137"/>
      <c r="H137"/>
      <c r="I137"/>
      <c r="J137"/>
      <c r="K137"/>
      <c r="L137"/>
      <c r="M137"/>
      <c r="N137"/>
      <c r="O137"/>
      <c r="P137"/>
      <c r="Q137"/>
      <c r="R137" s="101"/>
    </row>
    <row r="138" s="74" customFormat="true" ht="15" customHeight="true" x14ac:dyDescent="0.15">
      <c r="F138" s="166"/>
      <c r="G138"/>
      <c r="H138"/>
      <c r="I138"/>
      <c r="J138"/>
      <c r="K138"/>
      <c r="L138"/>
      <c r="M138"/>
      <c r="N138"/>
      <c r="O138"/>
      <c r="P138"/>
      <c r="Q138"/>
      <c r="R138" s="101"/>
    </row>
    <row r="139" s="74" customFormat="true" ht="15" customHeight="true" x14ac:dyDescent="0.15">
      <c r="F139" s="166"/>
      <c r="G139"/>
      <c r="H139"/>
      <c r="I139"/>
      <c r="J139"/>
      <c r="K139"/>
      <c r="L139"/>
      <c r="M139"/>
      <c r="N139"/>
      <c r="O139"/>
      <c r="P139"/>
      <c r="Q139"/>
      <c r="R139" s="101"/>
    </row>
    <row r="140" s="74" customFormat="true" ht="15" customHeight="true" x14ac:dyDescent="0.15">
      <c r="F140" s="166"/>
      <c r="G140"/>
      <c r="H140"/>
      <c r="I140"/>
      <c r="J140"/>
      <c r="K140"/>
      <c r="L140"/>
      <c r="M140"/>
      <c r="N140"/>
      <c r="O140"/>
      <c r="P140"/>
      <c r="Q140"/>
      <c r="R140" s="101"/>
    </row>
    <row r="141" s="74" customFormat="true" ht="15" customHeight="true" x14ac:dyDescent="0.15">
      <c r="F141" s="166"/>
      <c r="G141"/>
      <c r="H141"/>
      <c r="I141"/>
      <c r="J141"/>
      <c r="K141"/>
      <c r="L141"/>
      <c r="M141"/>
      <c r="N141"/>
      <c r="O141"/>
      <c r="P141"/>
      <c r="Q141"/>
      <c r="R141" s="101"/>
    </row>
    <row r="142" s="74" customFormat="true" ht="15" customHeight="true" x14ac:dyDescent="0.15">
      <c r="F142" s="166"/>
      <c r="G142"/>
      <c r="H142"/>
      <c r="I142"/>
      <c r="J142"/>
      <c r="K142"/>
      <c r="L142"/>
      <c r="M142"/>
      <c r="N142"/>
      <c r="O142"/>
      <c r="P142"/>
      <c r="Q142"/>
      <c r="R142" s="101"/>
    </row>
    <row r="143" s="74" customFormat="true" ht="15" customHeight="true" x14ac:dyDescent="0.15">
      <c r="F143" s="166"/>
      <c r="G143"/>
      <c r="H143"/>
      <c r="I143"/>
      <c r="J143"/>
      <c r="K143"/>
      <c r="L143"/>
      <c r="M143"/>
      <c r="N143"/>
      <c r="O143"/>
      <c r="P143"/>
      <c r="Q143"/>
      <c r="R143" s="101"/>
    </row>
    <row r="144" s="74" customFormat="true" ht="15" customHeight="true" x14ac:dyDescent="0.15">
      <c r="F144" s="166"/>
      <c r="G144"/>
      <c r="H144"/>
      <c r="I144"/>
      <c r="J144"/>
      <c r="K144"/>
      <c r="L144"/>
      <c r="M144"/>
      <c r="N144"/>
      <c r="O144"/>
      <c r="P144"/>
      <c r="Q144"/>
      <c r="R144" s="101"/>
    </row>
    <row r="145" s="74" customFormat="true" ht="15" customHeight="true" x14ac:dyDescent="0.15">
      <c r="F145" s="166"/>
      <c r="G145"/>
      <c r="H145"/>
      <c r="I145"/>
      <c r="J145"/>
      <c r="K145"/>
      <c r="L145"/>
      <c r="M145"/>
      <c r="N145"/>
      <c r="O145"/>
      <c r="P145"/>
      <c r="Q145"/>
      <c r="R145" s="101"/>
    </row>
    <row r="146" s="74" customFormat="true" ht="15" customHeight="true" x14ac:dyDescent="0.15">
      <c r="F146" s="166"/>
      <c r="G146"/>
      <c r="H146"/>
      <c r="I146"/>
      <c r="J146"/>
      <c r="K146"/>
      <c r="L146"/>
      <c r="M146"/>
      <c r="N146"/>
      <c r="O146"/>
      <c r="P146"/>
      <c r="Q146"/>
      <c r="R146" s="101"/>
    </row>
    <row r="147" s="74" customFormat="true" ht="15" customHeight="true" x14ac:dyDescent="0.15">
      <c r="F147" s="166"/>
      <c r="G147"/>
      <c r="H147"/>
      <c r="I147"/>
      <c r="J147"/>
      <c r="K147"/>
      <c r="L147"/>
      <c r="M147"/>
      <c r="N147"/>
      <c r="O147"/>
      <c r="P147"/>
      <c r="Q147"/>
      <c r="R147" s="101"/>
    </row>
    <row r="148" s="74" customFormat="true" ht="15" customHeight="true" x14ac:dyDescent="0.15">
      <c r="F148" s="166"/>
      <c r="G148"/>
      <c r="H148"/>
      <c r="I148"/>
      <c r="J148"/>
      <c r="K148"/>
      <c r="L148"/>
      <c r="M148"/>
      <c r="N148"/>
      <c r="O148"/>
      <c r="P148"/>
      <c r="Q148"/>
      <c r="R148" s="101"/>
    </row>
    <row r="149" s="74" customFormat="true" ht="15" customHeight="true" x14ac:dyDescent="0.15">
      <c r="F149" s="166"/>
      <c r="G149"/>
      <c r="H149"/>
      <c r="I149"/>
      <c r="J149"/>
      <c r="K149"/>
      <c r="L149"/>
      <c r="M149"/>
      <c r="N149"/>
      <c r="O149"/>
      <c r="P149"/>
      <c r="Q149"/>
      <c r="R149" s="101"/>
    </row>
    <row r="150" s="74" customFormat="true" ht="15" customHeight="true" x14ac:dyDescent="0.15">
      <c r="F150" s="166"/>
      <c r="G150"/>
      <c r="H150"/>
      <c r="I150"/>
      <c r="J150"/>
      <c r="K150"/>
      <c r="L150"/>
      <c r="M150"/>
      <c r="N150"/>
      <c r="O150"/>
      <c r="P150"/>
      <c r="Q150"/>
      <c r="R150" s="101"/>
    </row>
    <row r="151" s="74" customFormat="true" ht="15" customHeight="true" x14ac:dyDescent="0.15">
      <c r="F151" s="166"/>
      <c r="G151"/>
      <c r="H151"/>
      <c r="I151"/>
      <c r="J151"/>
      <c r="K151"/>
      <c r="L151"/>
      <c r="M151"/>
      <c r="N151"/>
      <c r="O151"/>
      <c r="P151"/>
      <c r="Q151"/>
      <c r="R151" s="101"/>
    </row>
    <row r="152" s="74" customFormat="true" ht="15" customHeight="true" x14ac:dyDescent="0.15">
      <c r="F152" s="166"/>
      <c r="G152"/>
      <c r="H152"/>
      <c r="I152"/>
      <c r="J152"/>
      <c r="K152"/>
      <c r="L152"/>
      <c r="M152"/>
      <c r="N152"/>
      <c r="O152"/>
      <c r="P152"/>
      <c r="Q152"/>
      <c r="R152" s="101"/>
    </row>
    <row r="153" s="74" customFormat="true" ht="15" customHeight="true" x14ac:dyDescent="0.15">
      <c r="F153" s="166"/>
      <c r="G153"/>
      <c r="H153"/>
      <c r="I153"/>
      <c r="J153"/>
      <c r="K153"/>
      <c r="L153"/>
      <c r="M153"/>
      <c r="N153"/>
      <c r="O153"/>
      <c r="P153"/>
      <c r="Q153"/>
      <c r="R153" s="101"/>
    </row>
    <row r="154" s="74" customFormat="true" ht="15" customHeight="true" x14ac:dyDescent="0.15">
      <c r="F154" s="166"/>
      <c r="G154"/>
      <c r="H154"/>
      <c r="I154"/>
      <c r="J154"/>
      <c r="K154"/>
      <c r="L154"/>
      <c r="M154"/>
      <c r="N154"/>
      <c r="O154"/>
      <c r="P154"/>
      <c r="Q154"/>
      <c r="R154" s="101"/>
    </row>
    <row r="155" s="74" customFormat="true" ht="15" customHeight="true" x14ac:dyDescent="0.15">
      <c r="F155" s="166"/>
      <c r="G155"/>
      <c r="H155"/>
      <c r="I155"/>
      <c r="J155"/>
      <c r="K155"/>
      <c r="L155"/>
      <c r="M155"/>
      <c r="N155"/>
      <c r="O155"/>
      <c r="P155"/>
      <c r="Q155"/>
      <c r="R155" s="101"/>
    </row>
    <row r="156" s="74" customFormat="true" ht="15" customHeight="true" x14ac:dyDescent="0.15">
      <c r="F156" s="166"/>
      <c r="G156"/>
      <c r="H156"/>
      <c r="I156"/>
      <c r="J156"/>
      <c r="K156"/>
      <c r="L156"/>
      <c r="M156"/>
      <c r="N156"/>
      <c r="O156"/>
      <c r="P156"/>
      <c r="Q156"/>
      <c r="R156" s="101"/>
    </row>
    <row r="157" s="74" customFormat="true" ht="15" customHeight="true" x14ac:dyDescent="0.15">
      <c r="F157" s="166"/>
      <c r="G157"/>
      <c r="H157"/>
      <c r="I157"/>
      <c r="J157"/>
      <c r="K157"/>
      <c r="L157"/>
      <c r="M157"/>
      <c r="N157"/>
      <c r="O157"/>
      <c r="P157"/>
      <c r="Q157"/>
      <c r="R157" s="101"/>
    </row>
    <row r="158" s="74" customFormat="true" ht="15" customHeight="true" x14ac:dyDescent="0.15">
      <c r="F158" s="166"/>
      <c r="G158"/>
      <c r="H158"/>
      <c r="I158"/>
      <c r="J158"/>
      <c r="K158"/>
      <c r="L158"/>
      <c r="M158"/>
      <c r="N158"/>
      <c r="O158"/>
      <c r="P158"/>
      <c r="Q158"/>
      <c r="R158" s="101"/>
    </row>
    <row r="159" s="74" customFormat="true" ht="15" customHeight="true" x14ac:dyDescent="0.15">
      <c r="F159" s="166"/>
      <c r="G159"/>
      <c r="H159"/>
      <c r="I159"/>
      <c r="J159"/>
      <c r="K159"/>
      <c r="L159"/>
      <c r="M159"/>
      <c r="N159"/>
      <c r="O159"/>
      <c r="P159"/>
      <c r="Q159"/>
      <c r="R159" s="101"/>
    </row>
    <row r="160" s="74" customFormat="true" ht="15" customHeight="true" x14ac:dyDescent="0.15">
      <c r="F160" s="166"/>
      <c r="G160"/>
      <c r="H160"/>
      <c r="I160"/>
      <c r="J160"/>
      <c r="K160"/>
      <c r="L160"/>
      <c r="M160"/>
      <c r="N160"/>
      <c r="O160"/>
      <c r="P160"/>
      <c r="Q160"/>
      <c r="R160" s="101"/>
    </row>
    <row r="161" s="74" customFormat="true" ht="15" customHeight="true" x14ac:dyDescent="0.15">
      <c r="F161" s="166"/>
      <c r="G161"/>
      <c r="H161"/>
      <c r="I161"/>
      <c r="J161"/>
      <c r="K161"/>
      <c r="L161"/>
      <c r="M161"/>
      <c r="N161"/>
      <c r="O161"/>
      <c r="P161"/>
      <c r="Q161"/>
      <c r="R161" s="101"/>
    </row>
    <row r="162" s="74" customFormat="true" ht="15" customHeight="true" x14ac:dyDescent="0.15">
      <c r="F162" s="166"/>
      <c r="G162"/>
      <c r="H162"/>
      <c r="I162"/>
      <c r="J162"/>
      <c r="K162"/>
      <c r="L162"/>
      <c r="M162"/>
      <c r="N162"/>
      <c r="O162"/>
      <c r="P162"/>
      <c r="Q162"/>
      <c r="R162" s="101"/>
    </row>
    <row r="163" s="74" customFormat="true" ht="15" customHeight="true" x14ac:dyDescent="0.15">
      <c r="F163" s="166"/>
      <c r="G163"/>
      <c r="H163"/>
      <c r="I163"/>
      <c r="J163"/>
      <c r="K163"/>
      <c r="L163"/>
      <c r="M163"/>
      <c r="N163"/>
      <c r="O163"/>
      <c r="P163"/>
      <c r="Q163"/>
      <c r="R163" s="101"/>
    </row>
    <row r="164" s="74" customFormat="true" ht="15" customHeight="true" x14ac:dyDescent="0.15">
      <c r="F164" s="166"/>
      <c r="G164"/>
      <c r="H164"/>
      <c r="I164"/>
      <c r="J164"/>
      <c r="K164"/>
      <c r="L164"/>
      <c r="M164"/>
      <c r="N164"/>
      <c r="O164"/>
      <c r="P164"/>
      <c r="Q164"/>
      <c r="R164" s="101"/>
    </row>
    <row r="165" s="74" customFormat="true" ht="15" customHeight="true" x14ac:dyDescent="0.15">
      <c r="F165" s="166"/>
      <c r="G165"/>
      <c r="H165"/>
      <c r="I165"/>
      <c r="J165"/>
      <c r="K165"/>
      <c r="L165"/>
      <c r="M165"/>
      <c r="N165"/>
      <c r="O165"/>
      <c r="P165"/>
      <c r="Q165"/>
      <c r="R165" s="101"/>
    </row>
    <row r="166" s="74" customFormat="true" ht="15" customHeight="true" x14ac:dyDescent="0.15">
      <c r="F166" s="166"/>
      <c r="G166"/>
      <c r="H166"/>
      <c r="I166"/>
      <c r="J166"/>
      <c r="K166"/>
      <c r="L166"/>
      <c r="M166"/>
      <c r="N166"/>
      <c r="O166"/>
      <c r="P166"/>
      <c r="Q166"/>
      <c r="R166" s="101"/>
    </row>
    <row r="167" s="74" customFormat="true" ht="15" customHeight="true" x14ac:dyDescent="0.15">
      <c r="F167" s="166"/>
      <c r="G167"/>
      <c r="H167"/>
      <c r="I167"/>
      <c r="J167"/>
      <c r="K167"/>
      <c r="L167"/>
      <c r="M167"/>
      <c r="N167"/>
      <c r="O167"/>
      <c r="P167"/>
      <c r="Q167"/>
      <c r="R167" s="101"/>
    </row>
    <row r="168" s="74" customFormat="true" ht="15" customHeight="true" x14ac:dyDescent="0.15">
      <c r="F168" s="166"/>
      <c r="G168"/>
      <c r="H168"/>
      <c r="I168"/>
      <c r="J168"/>
      <c r="K168"/>
      <c r="L168"/>
      <c r="M168"/>
      <c r="N168"/>
      <c r="O168"/>
      <c r="P168"/>
      <c r="Q168"/>
      <c r="R168" s="101"/>
    </row>
    <row r="169" s="74" customFormat="true" ht="15" customHeight="true" x14ac:dyDescent="0.15">
      <c r="F169" s="166"/>
      <c r="G169"/>
      <c r="H169"/>
      <c r="I169"/>
      <c r="J169"/>
      <c r="K169"/>
      <c r="L169"/>
      <c r="M169"/>
      <c r="N169"/>
      <c r="O169"/>
      <c r="P169"/>
      <c r="Q169"/>
      <c r="R169" s="101"/>
    </row>
    <row r="170" s="74" customFormat="true" ht="15" customHeight="true" x14ac:dyDescent="0.15">
      <c r="F170" s="166"/>
      <c r="G170"/>
      <c r="H170"/>
      <c r="I170"/>
      <c r="J170"/>
      <c r="K170"/>
      <c r="L170"/>
      <c r="M170"/>
      <c r="N170"/>
      <c r="O170"/>
      <c r="P170"/>
      <c r="Q170"/>
      <c r="R170" s="101"/>
    </row>
    <row r="171" s="74" customFormat="true" ht="15" customHeight="true" x14ac:dyDescent="0.15">
      <c r="F171" s="166"/>
      <c r="G171"/>
      <c r="H171"/>
      <c r="I171"/>
      <c r="J171"/>
      <c r="K171"/>
      <c r="L171"/>
      <c r="M171"/>
      <c r="N171"/>
      <c r="O171"/>
      <c r="P171"/>
      <c r="Q171"/>
      <c r="R171" s="101"/>
    </row>
    <row r="172" s="74" customFormat="true" ht="15" customHeight="true" x14ac:dyDescent="0.15">
      <c r="F172" s="166"/>
      <c r="G172"/>
      <c r="H172"/>
      <c r="I172"/>
      <c r="J172"/>
      <c r="K172"/>
      <c r="L172"/>
      <c r="M172"/>
      <c r="N172"/>
      <c r="O172"/>
      <c r="P172"/>
      <c r="Q172"/>
      <c r="R172" s="101"/>
    </row>
    <row r="173" s="74" customFormat="true" ht="15" customHeight="true" x14ac:dyDescent="0.15">
      <c r="F173" s="166"/>
      <c r="G173"/>
      <c r="H173"/>
      <c r="I173"/>
      <c r="J173"/>
      <c r="K173"/>
      <c r="L173"/>
      <c r="M173"/>
      <c r="N173"/>
      <c r="O173"/>
      <c r="P173"/>
      <c r="Q173"/>
      <c r="R173" s="101"/>
    </row>
    <row r="174" s="74" customFormat="true" ht="15" customHeight="true" x14ac:dyDescent="0.15">
      <c r="F174" s="166"/>
      <c r="G174"/>
      <c r="H174"/>
      <c r="I174"/>
      <c r="J174"/>
      <c r="K174"/>
      <c r="L174"/>
      <c r="M174"/>
      <c r="N174"/>
      <c r="O174"/>
      <c r="P174"/>
      <c r="Q174"/>
      <c r="R174" s="101"/>
    </row>
    <row r="175" s="74" customFormat="true" ht="15" customHeight="true" x14ac:dyDescent="0.15">
      <c r="F175" s="166"/>
      <c r="G175"/>
      <c r="H175"/>
      <c r="I175"/>
      <c r="J175"/>
      <c r="K175"/>
      <c r="L175"/>
      <c r="M175"/>
      <c r="N175"/>
      <c r="O175"/>
      <c r="P175"/>
      <c r="Q175"/>
      <c r="R175" s="101"/>
    </row>
    <row r="176" s="74" customFormat="true" ht="15" customHeight="true" x14ac:dyDescent="0.15">
      <c r="F176" s="166"/>
      <c r="G176"/>
      <c r="H176"/>
      <c r="I176"/>
      <c r="J176"/>
      <c r="K176"/>
      <c r="L176"/>
      <c r="M176"/>
      <c r="N176"/>
      <c r="O176"/>
      <c r="P176"/>
      <c r="Q176"/>
      <c r="R176" s="101"/>
    </row>
    <row r="177" s="74" customFormat="true" ht="15" customHeight="true" x14ac:dyDescent="0.15">
      <c r="F177" s="166"/>
      <c r="G177"/>
      <c r="H177"/>
      <c r="I177"/>
      <c r="J177"/>
      <c r="K177"/>
      <c r="L177"/>
      <c r="M177"/>
      <c r="N177"/>
      <c r="O177"/>
      <c r="P177"/>
      <c r="Q177"/>
      <c r="R177" s="101"/>
    </row>
    <row r="178" s="74" customFormat="true" ht="15" customHeight="true" x14ac:dyDescent="0.15">
      <c r="F178" s="166"/>
      <c r="G178"/>
      <c r="H178"/>
      <c r="I178"/>
      <c r="J178"/>
      <c r="K178"/>
      <c r="L178"/>
      <c r="M178"/>
      <c r="N178"/>
      <c r="O178"/>
      <c r="P178"/>
      <c r="Q178"/>
      <c r="R178" s="101"/>
    </row>
    <row r="179" s="74" customFormat="true" ht="15" customHeight="true" x14ac:dyDescent="0.15">
      <c r="F179" s="166"/>
      <c r="G179"/>
      <c r="H179"/>
      <c r="I179"/>
      <c r="J179"/>
      <c r="K179"/>
      <c r="L179"/>
      <c r="M179"/>
      <c r="N179"/>
      <c r="O179"/>
      <c r="P179"/>
      <c r="Q179"/>
      <c r="R179" s="101"/>
    </row>
    <row r="180" s="74" customFormat="true" ht="15" customHeight="true" x14ac:dyDescent="0.15">
      <c r="F180" s="166"/>
      <c r="G180"/>
      <c r="H180"/>
      <c r="I180"/>
      <c r="J180"/>
      <c r="K180"/>
      <c r="L180"/>
      <c r="M180"/>
      <c r="N180"/>
      <c r="O180"/>
      <c r="P180"/>
      <c r="Q180"/>
      <c r="R180" s="101"/>
    </row>
    <row r="181" s="74" customFormat="true" ht="15" customHeight="true" x14ac:dyDescent="0.15">
      <c r="F181" s="166"/>
      <c r="G181"/>
      <c r="H181"/>
      <c r="I181"/>
      <c r="J181"/>
      <c r="K181"/>
      <c r="L181"/>
      <c r="M181"/>
      <c r="N181"/>
      <c r="O181"/>
      <c r="P181"/>
      <c r="Q181"/>
      <c r="R181" s="101"/>
    </row>
    <row r="182" s="74" customFormat="true" ht="15" customHeight="true" x14ac:dyDescent="0.15">
      <c r="F182" s="166"/>
      <c r="G182"/>
      <c r="H182"/>
      <c r="I182"/>
      <c r="J182"/>
      <c r="K182"/>
      <c r="L182"/>
      <c r="M182"/>
      <c r="N182"/>
      <c r="O182"/>
      <c r="P182"/>
      <c r="Q182"/>
      <c r="R182" s="101"/>
    </row>
    <row r="183" s="74" customFormat="true" ht="15" customHeight="true" x14ac:dyDescent="0.15">
      <c r="F183" s="166"/>
      <c r="G183"/>
      <c r="H183"/>
      <c r="I183"/>
      <c r="J183"/>
      <c r="K183"/>
      <c r="L183"/>
      <c r="M183"/>
      <c r="N183"/>
      <c r="O183"/>
      <c r="P183"/>
      <c r="Q183"/>
      <c r="R183" s="101"/>
    </row>
    <row r="184" s="74" customFormat="true" ht="15" customHeight="true" x14ac:dyDescent="0.15">
      <c r="F184" s="166"/>
      <c r="G184"/>
      <c r="H184"/>
      <c r="I184"/>
      <c r="J184"/>
      <c r="K184"/>
      <c r="L184"/>
      <c r="M184"/>
      <c r="N184"/>
      <c r="O184"/>
      <c r="P184"/>
      <c r="Q184"/>
      <c r="R184" s="101"/>
    </row>
    <row r="185" s="74" customFormat="true" ht="15" customHeight="true" x14ac:dyDescent="0.15">
      <c r="F185" s="166"/>
      <c r="G185"/>
      <c r="H185"/>
      <c r="I185"/>
      <c r="J185"/>
      <c r="K185"/>
      <c r="L185"/>
      <c r="M185"/>
      <c r="N185"/>
      <c r="O185"/>
      <c r="P185"/>
      <c r="Q185"/>
      <c r="R185" s="101"/>
    </row>
    <row r="186" s="74" customFormat="true" ht="15" customHeight="true" x14ac:dyDescent="0.15">
      <c r="F186" s="166"/>
      <c r="G186"/>
      <c r="H186"/>
      <c r="I186"/>
      <c r="J186"/>
      <c r="K186"/>
      <c r="L186"/>
      <c r="M186"/>
      <c r="N186"/>
      <c r="O186"/>
      <c r="P186"/>
      <c r="Q186"/>
      <c r="R186" s="101"/>
    </row>
    <row r="187" s="74" customFormat="true" ht="15" customHeight="true" x14ac:dyDescent="0.15">
      <c r="F187" s="166"/>
      <c r="G187"/>
      <c r="H187"/>
      <c r="I187"/>
      <c r="J187"/>
      <c r="K187"/>
      <c r="L187"/>
      <c r="M187"/>
      <c r="N187"/>
      <c r="O187"/>
      <c r="P187"/>
      <c r="Q187"/>
      <c r="R187" s="101"/>
    </row>
    <row r="188" s="74" customFormat="true" ht="15" customHeight="true" x14ac:dyDescent="0.15">
      <c r="F188" s="166"/>
      <c r="G188"/>
      <c r="H188"/>
      <c r="I188"/>
      <c r="J188"/>
      <c r="K188"/>
      <c r="L188"/>
      <c r="M188"/>
      <c r="N188"/>
      <c r="O188"/>
      <c r="P188"/>
      <c r="Q188"/>
      <c r="R188" s="101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Z192"/>
  <sheetViews>
    <sheetView tabSelected="true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0" sqref="F10"/>
    </sheetView>
  </sheetViews>
  <sheetFormatPr baseColWidth="10" defaultColWidth="8.83203125" defaultRowHeight="13" x14ac:dyDescent="0.15"/>
  <cols>
    <col min="1" max="1" width="40" bestFit="true" customWidth="true"/>
    <col min="2" max="5" width="7.83203125" style="101" customWidth="true"/>
    <col min="78" max="78" width="22.1640625" bestFit="true" customWidth="true"/>
  </cols>
  <sheetData>
    <row r="1" x14ac:dyDescent="0.15">
      <c r="A1" s="4" t="s">
        <v>156</v>
      </c>
      <c r="B1" s="65" t="s">
        <v>157</v>
      </c>
      <c r="C1" s="65" t="s">
        <v>17</v>
      </c>
      <c r="D1" s="65" t="s">
        <v>158</v>
      </c>
      <c r="E1" s="65" t="s">
        <v>159</v>
      </c>
      <c r="F1" t="s">
        <v>38</v>
      </c>
      <c r="G1" t="s">
        <v>40</v>
      </c>
      <c r="H1" t="s">
        <v>41</v>
      </c>
      <c r="I1" t="s">
        <v>167</v>
      </c>
      <c r="J1" t="s">
        <v>168</v>
      </c>
      <c r="K1" t="s">
        <v>169</v>
      </c>
      <c r="L1" t="s">
        <v>170</v>
      </c>
      <c r="M1" t="s">
        <v>171</v>
      </c>
      <c r="N1" t="s">
        <v>172</v>
      </c>
      <c r="O1" t="s">
        <v>173</v>
      </c>
      <c r="P1" t="s">
        <v>174</v>
      </c>
      <c r="Q1" t="s">
        <v>175</v>
      </c>
      <c r="R1" t="s">
        <v>176</v>
      </c>
      <c r="S1" t="s">
        <v>177</v>
      </c>
      <c r="T1" t="s">
        <v>178</v>
      </c>
      <c r="U1" t="s">
        <v>179</v>
      </c>
      <c r="V1" t="s">
        <v>180</v>
      </c>
      <c r="W1" t="s">
        <v>181</v>
      </c>
      <c r="X1" t="s">
        <v>182</v>
      </c>
      <c r="Y1" t="s">
        <v>183</v>
      </c>
      <c r="Z1" t="s">
        <v>184</v>
      </c>
      <c r="AA1" t="s">
        <v>185</v>
      </c>
      <c r="AB1" t="s">
        <v>186</v>
      </c>
      <c r="AC1" t="s">
        <v>187</v>
      </c>
      <c r="AD1" t="s">
        <v>188</v>
      </c>
      <c r="AE1" t="s">
        <v>189</v>
      </c>
      <c r="AF1" t="s">
        <v>190</v>
      </c>
      <c r="AG1" t="s">
        <v>191</v>
      </c>
      <c r="AH1" t="s">
        <v>192</v>
      </c>
      <c r="AI1" t="s">
        <v>193</v>
      </c>
      <c r="AJ1" t="s">
        <v>194</v>
      </c>
      <c r="AK1" t="s">
        <v>195</v>
      </c>
      <c r="AL1" t="s">
        <v>196</v>
      </c>
      <c r="AM1" t="s">
        <v>197</v>
      </c>
      <c r="AN1" t="s">
        <v>198</v>
      </c>
      <c r="AO1" t="s">
        <v>199</v>
      </c>
      <c r="AP1" t="s">
        <v>200</v>
      </c>
      <c r="AQ1" t="s">
        <v>201</v>
      </c>
      <c r="AR1" t="s">
        <v>202</v>
      </c>
      <c r="AS1" t="s">
        <v>203</v>
      </c>
      <c r="AT1" t="s">
        <v>204</v>
      </c>
      <c r="AU1" t="s">
        <v>205</v>
      </c>
      <c r="AV1" t="s">
        <v>206</v>
      </c>
      <c r="AW1" t="s">
        <v>207</v>
      </c>
      <c r="AX1" t="s">
        <v>208</v>
      </c>
      <c r="AY1" t="s">
        <v>209</v>
      </c>
      <c r="AZ1" t="s">
        <v>210</v>
      </c>
      <c r="BA1" t="s">
        <v>211</v>
      </c>
      <c r="BB1" t="s">
        <v>212</v>
      </c>
      <c r="BC1" t="s">
        <v>213</v>
      </c>
      <c r="BD1" t="s">
        <v>214</v>
      </c>
      <c r="BE1" t="s">
        <v>215</v>
      </c>
      <c r="BF1" t="s">
        <v>216</v>
      </c>
      <c r="BG1" t="s">
        <v>217</v>
      </c>
      <c r="BH1" t="s">
        <v>218</v>
      </c>
      <c r="BI1" t="s">
        <v>219</v>
      </c>
      <c r="BJ1" t="s">
        <v>220</v>
      </c>
      <c r="BK1" t="s">
        <v>221</v>
      </c>
      <c r="BL1" t="s">
        <v>71</v>
      </c>
      <c r="BM1" t="s">
        <v>222</v>
      </c>
      <c r="BN1" t="s">
        <v>72</v>
      </c>
      <c r="BO1" t="s">
        <v>223</v>
      </c>
      <c r="BP1" t="s">
        <v>224</v>
      </c>
      <c r="BQ1" t="s">
        <v>225</v>
      </c>
      <c r="BR1" t="s">
        <v>226</v>
      </c>
      <c r="BS1" t="s">
        <v>227</v>
      </c>
      <c r="BT1" t="s">
        <v>228</v>
      </c>
      <c r="BU1" t="s">
        <v>229</v>
      </c>
      <c r="BV1" t="s">
        <v>230</v>
      </c>
      <c r="BW1" t="s">
        <v>231</v>
      </c>
      <c r="BX1" t="s">
        <v>232</v>
      </c>
      <c r="BY1" t="s">
        <v>233</v>
      </c>
      <c r="BZ1" t="s">
        <v>234</v>
      </c>
    </row>
    <row r="2" x14ac:dyDescent="0.15">
      <c r="A2" s="166" t="s">
        <v>38</v>
      </c>
      <c r="B2" s="101">
        <v>0</v>
      </c>
      <c r="C2"/>
      <c r="D2"/>
      <c r="E2"/>
    </row>
    <row r="3" x14ac:dyDescent="0.15">
      <c r="A3" s="166" t="s">
        <v>40</v>
      </c>
      <c r="B3" s="101">
        <v>0</v>
      </c>
      <c r="C3"/>
      <c r="D3"/>
      <c r="E3"/>
    </row>
    <row r="4" x14ac:dyDescent="0.15">
      <c r="A4" s="166" t="s">
        <v>41</v>
      </c>
      <c r="B4" s="101">
        <v>0</v>
      </c>
      <c r="C4"/>
      <c r="D4"/>
      <c r="E4"/>
    </row>
    <row r="5" x14ac:dyDescent="0.15">
      <c r="A5" s="166" t="s">
        <v>167</v>
      </c>
      <c r="B5" s="101">
        <v>0</v>
      </c>
      <c r="C5"/>
      <c r="D5"/>
      <c r="E5"/>
    </row>
    <row r="6" x14ac:dyDescent="0.15">
      <c r="A6" s="166" t="s">
        <v>168</v>
      </c>
      <c r="B6" s="101">
        <v>0</v>
      </c>
      <c r="C6"/>
      <c r="D6"/>
      <c r="E6"/>
    </row>
    <row r="7" x14ac:dyDescent="0.15">
      <c r="A7" s="166" t="s">
        <v>169</v>
      </c>
      <c r="B7" s="101">
        <v>0</v>
      </c>
      <c r="C7"/>
      <c r="D7"/>
      <c r="E7"/>
    </row>
    <row r="8" x14ac:dyDescent="0.15">
      <c r="A8" s="166" t="s">
        <v>170</v>
      </c>
      <c r="B8" s="101">
        <v>0</v>
      </c>
      <c r="C8"/>
      <c r="D8"/>
      <c r="E8"/>
    </row>
    <row r="9" x14ac:dyDescent="0.15">
      <c r="A9" s="166" t="s">
        <v>171</v>
      </c>
      <c r="B9" s="101">
        <v>0</v>
      </c>
      <c r="C9"/>
      <c r="D9"/>
      <c r="E9"/>
    </row>
    <row r="10" x14ac:dyDescent="0.15">
      <c r="A10" s="166" t="s">
        <v>172</v>
      </c>
      <c r="B10" s="101">
        <v>0</v>
      </c>
      <c r="C10"/>
      <c r="D10"/>
      <c r="E10"/>
    </row>
    <row r="11" x14ac:dyDescent="0.15">
      <c r="A11" s="166" t="s">
        <v>173</v>
      </c>
      <c r="B11" s="101">
        <v>0</v>
      </c>
      <c r="C11"/>
      <c r="D11"/>
      <c r="E11"/>
    </row>
    <row r="12" x14ac:dyDescent="0.15">
      <c r="A12" s="166" t="s">
        <v>174</v>
      </c>
      <c r="B12" s="101">
        <v>0</v>
      </c>
      <c r="C12"/>
      <c r="D12"/>
      <c r="E12"/>
    </row>
    <row r="13" x14ac:dyDescent="0.15">
      <c r="A13" s="166" t="s">
        <v>175</v>
      </c>
      <c r="B13" s="101">
        <v>0</v>
      </c>
      <c r="C13"/>
      <c r="D13"/>
      <c r="E13"/>
    </row>
    <row r="14" x14ac:dyDescent="0.15">
      <c r="A14" s="166" t="s">
        <v>176</v>
      </c>
      <c r="B14" s="101">
        <v>0</v>
      </c>
      <c r="C14"/>
      <c r="D14"/>
      <c r="E14"/>
    </row>
    <row r="15" x14ac:dyDescent="0.15">
      <c r="A15" s="166" t="s">
        <v>177</v>
      </c>
      <c r="B15" s="101">
        <v>0</v>
      </c>
      <c r="C15"/>
      <c r="D15"/>
      <c r="E15"/>
    </row>
    <row r="16" x14ac:dyDescent="0.15">
      <c r="A16" s="166" t="s">
        <v>178</v>
      </c>
      <c r="B16" s="101">
        <v>0</v>
      </c>
      <c r="C16"/>
      <c r="D16"/>
      <c r="E16"/>
    </row>
    <row r="17" x14ac:dyDescent="0.15">
      <c r="A17" s="166" t="s">
        <v>179</v>
      </c>
      <c r="B17" s="101">
        <v>0</v>
      </c>
      <c r="C17"/>
      <c r="D17"/>
      <c r="E17"/>
    </row>
    <row r="18" x14ac:dyDescent="0.15">
      <c r="A18" s="166" t="s">
        <v>180</v>
      </c>
      <c r="B18" s="101">
        <v>0</v>
      </c>
      <c r="C18"/>
      <c r="D18"/>
      <c r="E18"/>
    </row>
    <row r="19" x14ac:dyDescent="0.15">
      <c r="A19" s="166" t="s">
        <v>181</v>
      </c>
      <c r="B19" s="101">
        <v>0</v>
      </c>
      <c r="C19"/>
      <c r="D19"/>
      <c r="E19"/>
    </row>
    <row r="20" x14ac:dyDescent="0.15">
      <c r="A20" s="166" t="s">
        <v>182</v>
      </c>
      <c r="B20" s="101">
        <v>0</v>
      </c>
      <c r="C20"/>
      <c r="D20"/>
      <c r="E20"/>
    </row>
    <row r="21" x14ac:dyDescent="0.15">
      <c r="A21" s="166" t="s">
        <v>183</v>
      </c>
      <c r="B21" s="101">
        <v>0</v>
      </c>
      <c r="C21"/>
      <c r="D21"/>
      <c r="E21"/>
    </row>
    <row r="22" x14ac:dyDescent="0.15">
      <c r="A22" s="166" t="s">
        <v>184</v>
      </c>
      <c r="B22" s="101">
        <v>0</v>
      </c>
      <c r="C22"/>
      <c r="D22"/>
      <c r="E22"/>
    </row>
    <row r="23" x14ac:dyDescent="0.15">
      <c r="A23" s="166" t="s">
        <v>185</v>
      </c>
      <c r="B23" s="101">
        <v>0</v>
      </c>
      <c r="C23"/>
      <c r="D23"/>
      <c r="E23"/>
    </row>
    <row r="24" x14ac:dyDescent="0.15">
      <c r="A24" s="166" t="s">
        <v>186</v>
      </c>
      <c r="B24" s="101">
        <v>0</v>
      </c>
      <c r="C24"/>
      <c r="D24"/>
      <c r="E24"/>
    </row>
    <row r="25" x14ac:dyDescent="0.15">
      <c r="A25" s="166" t="s">
        <v>187</v>
      </c>
      <c r="B25" s="101">
        <v>0</v>
      </c>
      <c r="C25"/>
      <c r="D25"/>
      <c r="E25"/>
    </row>
    <row r="26" x14ac:dyDescent="0.15">
      <c r="A26" s="166" t="s">
        <v>188</v>
      </c>
      <c r="B26" s="101">
        <v>0</v>
      </c>
      <c r="C26"/>
      <c r="D26"/>
      <c r="E26"/>
    </row>
    <row r="27" x14ac:dyDescent="0.15">
      <c r="A27" s="166" t="s">
        <v>189</v>
      </c>
      <c r="B27" s="101">
        <v>0</v>
      </c>
      <c r="C27"/>
      <c r="D27"/>
      <c r="E27"/>
    </row>
    <row r="28" x14ac:dyDescent="0.15">
      <c r="A28" s="166" t="s">
        <v>190</v>
      </c>
      <c r="B28" s="101">
        <v>0</v>
      </c>
      <c r="C28"/>
      <c r="D28"/>
      <c r="E28"/>
    </row>
    <row r="29" x14ac:dyDescent="0.15">
      <c r="A29" s="166" t="s">
        <v>191</v>
      </c>
      <c r="B29" s="101">
        <v>0</v>
      </c>
      <c r="C29"/>
      <c r="D29"/>
      <c r="E29"/>
    </row>
    <row r="30" x14ac:dyDescent="0.15">
      <c r="A30" s="166" t="s">
        <v>192</v>
      </c>
      <c r="B30" s="101">
        <v>0</v>
      </c>
      <c r="C30"/>
      <c r="D30"/>
      <c r="E30"/>
    </row>
    <row r="31" x14ac:dyDescent="0.15">
      <c r="A31" s="166" t="s">
        <v>193</v>
      </c>
      <c r="B31" s="101">
        <v>0</v>
      </c>
      <c r="C31"/>
      <c r="D31"/>
      <c r="E31"/>
    </row>
    <row r="32" x14ac:dyDescent="0.15">
      <c r="A32" s="166" t="s">
        <v>194</v>
      </c>
      <c r="B32" s="101">
        <v>0</v>
      </c>
      <c r="C32"/>
      <c r="D32"/>
      <c r="E32"/>
    </row>
    <row r="33" x14ac:dyDescent="0.15">
      <c r="A33" s="166" t="s">
        <v>195</v>
      </c>
      <c r="B33" s="101">
        <v>0</v>
      </c>
      <c r="C33"/>
      <c r="D33"/>
      <c r="E33"/>
    </row>
    <row r="34" x14ac:dyDescent="0.15">
      <c r="A34" s="166" t="s">
        <v>196</v>
      </c>
      <c r="B34" s="101">
        <v>0</v>
      </c>
      <c r="C34"/>
      <c r="D34"/>
      <c r="E34"/>
    </row>
    <row r="35" x14ac:dyDescent="0.15">
      <c r="A35" s="166" t="s">
        <v>197</v>
      </c>
      <c r="B35" s="101">
        <v>0</v>
      </c>
      <c r="C35"/>
      <c r="D35"/>
      <c r="E35"/>
    </row>
    <row r="36" x14ac:dyDescent="0.15">
      <c r="A36" s="166" t="s">
        <v>198</v>
      </c>
      <c r="B36" s="101">
        <v>0</v>
      </c>
      <c r="C36"/>
      <c r="D36"/>
      <c r="E36"/>
    </row>
    <row r="37" x14ac:dyDescent="0.15">
      <c r="A37" s="166" t="s">
        <v>199</v>
      </c>
      <c r="B37" s="101">
        <v>0</v>
      </c>
      <c r="C37"/>
      <c r="D37"/>
      <c r="E37"/>
    </row>
    <row r="38" x14ac:dyDescent="0.15">
      <c r="A38" s="166" t="s">
        <v>200</v>
      </c>
      <c r="B38" s="101">
        <v>0</v>
      </c>
      <c r="C38"/>
      <c r="D38"/>
      <c r="E38"/>
    </row>
    <row r="39" x14ac:dyDescent="0.15">
      <c r="A39" s="166" t="s">
        <v>201</v>
      </c>
      <c r="B39" s="101">
        <v>0</v>
      </c>
      <c r="C39"/>
      <c r="D39"/>
      <c r="E39"/>
    </row>
    <row r="40" x14ac:dyDescent="0.15">
      <c r="A40" s="166" t="s">
        <v>202</v>
      </c>
      <c r="B40" s="101">
        <v>0</v>
      </c>
      <c r="C40"/>
      <c r="D40"/>
      <c r="E40"/>
    </row>
    <row r="41" x14ac:dyDescent="0.15">
      <c r="A41" s="166" t="s">
        <v>203</v>
      </c>
      <c r="B41" s="101">
        <v>0</v>
      </c>
      <c r="C41"/>
      <c r="D41"/>
      <c r="E41"/>
    </row>
    <row r="42" x14ac:dyDescent="0.15">
      <c r="A42" s="166" t="s">
        <v>204</v>
      </c>
      <c r="B42" s="101">
        <v>0</v>
      </c>
      <c r="C42"/>
      <c r="D42"/>
      <c r="E42"/>
    </row>
    <row r="43" x14ac:dyDescent="0.15">
      <c r="A43" s="166" t="s">
        <v>205</v>
      </c>
      <c r="B43" s="101">
        <v>0</v>
      </c>
      <c r="C43"/>
      <c r="D43"/>
      <c r="E43"/>
    </row>
    <row r="44" x14ac:dyDescent="0.15">
      <c r="A44" s="166" t="s">
        <v>206</v>
      </c>
      <c r="B44" s="101">
        <v>0</v>
      </c>
      <c r="C44"/>
      <c r="D44"/>
      <c r="E44"/>
    </row>
    <row r="45" x14ac:dyDescent="0.15">
      <c r="A45" s="166" t="s">
        <v>207</v>
      </c>
      <c r="B45" s="101">
        <v>0</v>
      </c>
      <c r="C45"/>
      <c r="D45"/>
      <c r="E45"/>
    </row>
    <row r="46" x14ac:dyDescent="0.15">
      <c r="A46" s="166" t="s">
        <v>208</v>
      </c>
      <c r="B46" s="101">
        <v>0</v>
      </c>
      <c r="C46"/>
      <c r="D46"/>
      <c r="E46"/>
    </row>
    <row r="47" x14ac:dyDescent="0.15">
      <c r="A47" s="166" t="s">
        <v>209</v>
      </c>
      <c r="B47" s="101">
        <v>0</v>
      </c>
      <c r="C47"/>
      <c r="D47"/>
      <c r="E47"/>
    </row>
    <row r="48" x14ac:dyDescent="0.15">
      <c r="A48" s="166" t="s">
        <v>210</v>
      </c>
      <c r="B48" s="101">
        <v>0</v>
      </c>
      <c r="C48"/>
      <c r="D48"/>
      <c r="E48"/>
    </row>
    <row r="49" x14ac:dyDescent="0.15">
      <c r="A49" s="166" t="s">
        <v>211</v>
      </c>
      <c r="B49" s="101">
        <v>0</v>
      </c>
      <c r="C49"/>
      <c r="D49"/>
      <c r="E49"/>
    </row>
    <row r="50" x14ac:dyDescent="0.15">
      <c r="A50" s="166" t="s">
        <v>212</v>
      </c>
      <c r="B50" s="101">
        <v>0</v>
      </c>
      <c r="C50"/>
      <c r="D50"/>
      <c r="E50"/>
    </row>
    <row r="51" x14ac:dyDescent="0.15">
      <c r="A51" s="166" t="s">
        <v>213</v>
      </c>
      <c r="B51" s="101">
        <v>0</v>
      </c>
      <c r="C51"/>
      <c r="D51"/>
      <c r="E51"/>
    </row>
    <row r="52" x14ac:dyDescent="0.15">
      <c r="A52" s="166" t="s">
        <v>214</v>
      </c>
      <c r="B52" s="101">
        <v>0</v>
      </c>
      <c r="C52"/>
      <c r="D52"/>
      <c r="E52"/>
    </row>
    <row r="53" x14ac:dyDescent="0.15">
      <c r="A53" s="166" t="s">
        <v>215</v>
      </c>
      <c r="B53" s="101">
        <v>0</v>
      </c>
      <c r="C53"/>
      <c r="D53"/>
      <c r="E53"/>
    </row>
    <row r="54" x14ac:dyDescent="0.15">
      <c r="A54" s="166" t="s">
        <v>216</v>
      </c>
      <c r="B54" s="101">
        <v>0</v>
      </c>
      <c r="C54"/>
      <c r="D54"/>
      <c r="E54"/>
    </row>
    <row r="55" x14ac:dyDescent="0.15">
      <c r="A55" s="166" t="s">
        <v>217</v>
      </c>
      <c r="B55" s="101">
        <v>0</v>
      </c>
      <c r="C55"/>
      <c r="D55"/>
      <c r="E55"/>
    </row>
    <row r="56" x14ac:dyDescent="0.15">
      <c r="A56" s="166" t="s">
        <v>218</v>
      </c>
      <c r="B56" s="101">
        <v>0</v>
      </c>
      <c r="C56"/>
      <c r="D56"/>
      <c r="E56"/>
    </row>
    <row r="57" x14ac:dyDescent="0.15">
      <c r="A57" s="166" t="s">
        <v>219</v>
      </c>
      <c r="B57" s="101">
        <v>0</v>
      </c>
      <c r="C57"/>
      <c r="D57"/>
      <c r="E57"/>
    </row>
    <row r="58" x14ac:dyDescent="0.15">
      <c r="A58" s="166" t="s">
        <v>220</v>
      </c>
      <c r="B58" s="101">
        <v>0</v>
      </c>
      <c r="C58"/>
      <c r="D58"/>
      <c r="E58"/>
    </row>
    <row r="59" x14ac:dyDescent="0.15">
      <c r="A59" s="166" t="s">
        <v>221</v>
      </c>
      <c r="B59" s="101">
        <v>0</v>
      </c>
      <c r="C59"/>
      <c r="D59"/>
      <c r="E59"/>
    </row>
    <row r="60" x14ac:dyDescent="0.15">
      <c r="A60" s="166" t="s">
        <v>71</v>
      </c>
      <c r="B60" s="101">
        <v>0</v>
      </c>
      <c r="C60"/>
      <c r="D60"/>
      <c r="E60"/>
    </row>
    <row r="61" x14ac:dyDescent="0.15">
      <c r="A61" s="166" t="s">
        <v>222</v>
      </c>
      <c r="B61" s="101">
        <v>0</v>
      </c>
      <c r="C61"/>
      <c r="D61"/>
      <c r="E61"/>
    </row>
    <row r="62" x14ac:dyDescent="0.15">
      <c r="A62" s="166" t="s">
        <v>72</v>
      </c>
      <c r="B62" s="101">
        <v>0</v>
      </c>
      <c r="C62"/>
      <c r="D62"/>
      <c r="E62"/>
    </row>
    <row r="63" x14ac:dyDescent="0.15">
      <c r="A63" s="166" t="s">
        <v>223</v>
      </c>
      <c r="B63" s="101">
        <v>0</v>
      </c>
      <c r="C63"/>
      <c r="D63"/>
      <c r="E63"/>
    </row>
    <row r="64" x14ac:dyDescent="0.15">
      <c r="A64" s="166" t="s">
        <v>224</v>
      </c>
      <c r="B64" s="101">
        <v>0</v>
      </c>
      <c r="C64"/>
      <c r="D64"/>
      <c r="E64"/>
    </row>
    <row r="65" x14ac:dyDescent="0.15">
      <c r="A65" s="166" t="s">
        <v>225</v>
      </c>
      <c r="B65" s="101">
        <v>0</v>
      </c>
      <c r="C65"/>
      <c r="D65"/>
      <c r="E65"/>
    </row>
    <row r="66" x14ac:dyDescent="0.15">
      <c r="A66" s="166" t="s">
        <v>226</v>
      </c>
      <c r="B66" s="101">
        <v>0</v>
      </c>
      <c r="C66"/>
      <c r="D66"/>
      <c r="E66"/>
    </row>
    <row r="67" x14ac:dyDescent="0.15">
      <c r="A67" s="166" t="s">
        <v>227</v>
      </c>
      <c r="B67" s="101">
        <v>0</v>
      </c>
      <c r="C67"/>
      <c r="D67"/>
      <c r="E67"/>
    </row>
    <row r="68" x14ac:dyDescent="0.15">
      <c r="A68" s="166" t="s">
        <v>228</v>
      </c>
      <c r="B68" s="101">
        <v>0</v>
      </c>
      <c r="C68"/>
      <c r="D68"/>
      <c r="E68"/>
    </row>
    <row r="69" x14ac:dyDescent="0.15">
      <c r="A69" s="166" t="s">
        <v>229</v>
      </c>
      <c r="B69" s="101">
        <v>0</v>
      </c>
      <c r="C69"/>
      <c r="D69"/>
      <c r="E69"/>
    </row>
    <row r="70" x14ac:dyDescent="0.15">
      <c r="A70" s="166" t="s">
        <v>230</v>
      </c>
      <c r="B70" s="101">
        <v>0</v>
      </c>
      <c r="C70"/>
      <c r="D70"/>
      <c r="E70"/>
    </row>
    <row r="71" x14ac:dyDescent="0.15">
      <c r="A71" s="166" t="s">
        <v>231</v>
      </c>
      <c r="B71" s="101">
        <v>0</v>
      </c>
      <c r="C71"/>
      <c r="D71"/>
      <c r="E71"/>
    </row>
    <row r="72" x14ac:dyDescent="0.15">
      <c r="A72" s="166" t="s">
        <v>232</v>
      </c>
      <c r="B72" s="101">
        <v>0</v>
      </c>
      <c r="C72"/>
      <c r="D72"/>
      <c r="E72"/>
    </row>
    <row r="73" x14ac:dyDescent="0.15">
      <c r="A73" s="166" t="s">
        <v>233</v>
      </c>
      <c r="B73" s="101">
        <v>0</v>
      </c>
      <c r="C73"/>
      <c r="D73"/>
      <c r="E73"/>
    </row>
    <row r="74" x14ac:dyDescent="0.15">
      <c r="A74" s="166" t="s">
        <v>234</v>
      </c>
      <c r="B74" s="101">
        <v>0</v>
      </c>
      <c r="C74"/>
      <c r="D74"/>
      <c r="E74"/>
    </row>
    <row r="75" ht="15" customHeight="true" x14ac:dyDescent="0.15"/>
    <row r="76" ht="15" customHeight="true" x14ac:dyDescent="0.15"/>
    <row r="77" x14ac:dyDescent="0.15">
      <c r="B77" s="57" t="s">
        <v>287</v>
      </c>
    </row>
    <row r="78" ht="15" customHeight="true" x14ac:dyDescent="0.15"/>
    <row r="79" ht="15" customHeight="true" x14ac:dyDescent="0.15"/>
    <row r="80" ht="15" customHeight="true" x14ac:dyDescent="0.15"/>
    <row r="81" ht="15" customHeight="true" x14ac:dyDescent="0.15"/>
    <row r="82" ht="15" customHeight="true" x14ac:dyDescent="0.15"/>
    <row r="83" ht="15" customHeight="true" x14ac:dyDescent="0.15"/>
    <row r="84" ht="15" customHeight="true" x14ac:dyDescent="0.15"/>
    <row r="85" ht="15" customHeight="true" x14ac:dyDescent="0.15"/>
    <row r="86" ht="15" customHeight="true" x14ac:dyDescent="0.15"/>
    <row r="87" ht="15" customHeight="true" x14ac:dyDescent="0.15"/>
    <row r="88" ht="15" customHeight="true" x14ac:dyDescent="0.15"/>
    <row r="89" ht="15" customHeight="true" x14ac:dyDescent="0.15"/>
    <row r="90" ht="15" customHeight="true" x14ac:dyDescent="0.15"/>
    <row r="91" ht="15" customHeight="true" x14ac:dyDescent="0.15"/>
    <row r="92" ht="15" customHeight="true" x14ac:dyDescent="0.15"/>
    <row r="93" ht="15" customHeight="true" x14ac:dyDescent="0.15"/>
    <row r="94" ht="15" customHeight="true" x14ac:dyDescent="0.15"/>
    <row r="95" ht="15" customHeight="true" x14ac:dyDescent="0.15"/>
    <row r="96" ht="15" customHeight="true" x14ac:dyDescent="0.15"/>
    <row r="97" ht="15" customHeight="true" x14ac:dyDescent="0.15"/>
    <row r="98" ht="15" customHeight="true" x14ac:dyDescent="0.15"/>
    <row r="99" ht="15" customHeight="true" x14ac:dyDescent="0.15"/>
    <row r="100" ht="15" customHeight="true" x14ac:dyDescent="0.15"/>
    <row r="101" ht="15" customHeight="true" x14ac:dyDescent="0.15"/>
    <row r="102" ht="15" customHeight="true" x14ac:dyDescent="0.15"/>
    <row r="103" ht="15" customHeight="true" x14ac:dyDescent="0.15"/>
    <row r="104" ht="15" customHeight="true" x14ac:dyDescent="0.15"/>
    <row r="105" ht="15" customHeight="true" x14ac:dyDescent="0.15"/>
    <row r="106" ht="15" customHeight="true" x14ac:dyDescent="0.15"/>
    <row r="107" ht="15" customHeight="true" x14ac:dyDescent="0.15"/>
    <row r="108" ht="15" customHeight="true" x14ac:dyDescent="0.15"/>
    <row r="109" ht="15" customHeight="true" x14ac:dyDescent="0.15"/>
    <row r="110" ht="15" customHeight="true" x14ac:dyDescent="0.15"/>
    <row r="111" ht="15" customHeight="true" x14ac:dyDescent="0.15"/>
    <row r="112" ht="15" customHeight="true" x14ac:dyDescent="0.15"/>
    <row r="113" ht="15" customHeight="true" x14ac:dyDescent="0.15"/>
    <row r="114" ht="15" customHeight="true" x14ac:dyDescent="0.15"/>
    <row r="115" ht="15" customHeight="true" x14ac:dyDescent="0.15"/>
    <row r="116" ht="15" customHeight="true" x14ac:dyDescent="0.15"/>
    <row r="117" ht="15" customHeight="true" x14ac:dyDescent="0.15"/>
    <row r="118" ht="15" customHeight="true" x14ac:dyDescent="0.15"/>
    <row r="119" ht="15" customHeight="true" x14ac:dyDescent="0.15"/>
    <row r="120" ht="15" customHeight="true" x14ac:dyDescent="0.15"/>
    <row r="121" ht="15" customHeight="true" x14ac:dyDescent="0.15"/>
    <row r="122" ht="15" customHeight="true" x14ac:dyDescent="0.15"/>
    <row r="123" ht="15" customHeight="true" x14ac:dyDescent="0.15"/>
    <row r="124" ht="15" customHeight="true" x14ac:dyDescent="0.15"/>
    <row r="125" ht="15" customHeight="true" x14ac:dyDescent="0.15"/>
    <row r="126" ht="15" customHeight="true" x14ac:dyDescent="0.15"/>
    <row r="127" ht="15" customHeight="true" x14ac:dyDescent="0.15"/>
    <row r="128" ht="15" customHeight="true" x14ac:dyDescent="0.15"/>
    <row r="129" ht="15" customHeight="true" x14ac:dyDescent="0.15"/>
    <row r="130" ht="15" customHeight="true" x14ac:dyDescent="0.15"/>
    <row r="131" ht="15" customHeight="true" x14ac:dyDescent="0.15"/>
    <row r="132" ht="15" customHeight="true" x14ac:dyDescent="0.15"/>
    <row r="133" ht="15" customHeight="true" x14ac:dyDescent="0.15"/>
    <row r="134" ht="15" customHeight="true" x14ac:dyDescent="0.15"/>
    <row r="135" ht="15" customHeight="true" x14ac:dyDescent="0.15"/>
    <row r="136" ht="15" customHeight="true" x14ac:dyDescent="0.15"/>
    <row r="137" ht="15" customHeight="true" x14ac:dyDescent="0.15"/>
    <row r="138" ht="15" customHeight="true" x14ac:dyDescent="0.15"/>
    <row r="139" ht="15" customHeight="true" x14ac:dyDescent="0.15"/>
    <row r="140" ht="15" customHeight="true" x14ac:dyDescent="0.15"/>
    <row r="141" ht="15" customHeight="true" x14ac:dyDescent="0.15"/>
    <row r="142" ht="15" customHeight="true" x14ac:dyDescent="0.15"/>
    <row r="143" ht="15" customHeight="true" x14ac:dyDescent="0.15"/>
    <row r="144" ht="15" customHeight="true" x14ac:dyDescent="0.15"/>
    <row r="145" ht="15" customHeight="true" x14ac:dyDescent="0.15"/>
    <row r="146" ht="15" customHeight="true" x14ac:dyDescent="0.15"/>
    <row r="147" ht="15" customHeight="true" x14ac:dyDescent="0.15"/>
    <row r="148" ht="15" customHeight="true" x14ac:dyDescent="0.15"/>
    <row r="149" ht="15" customHeight="true" x14ac:dyDescent="0.15"/>
    <row r="150" ht="15" customHeight="true" x14ac:dyDescent="0.15"/>
    <row r="151" ht="15" customHeight="true" x14ac:dyDescent="0.15"/>
    <row r="152" ht="15" customHeight="true" x14ac:dyDescent="0.15"/>
    <row r="153" ht="15" customHeight="true" x14ac:dyDescent="0.15"/>
    <row r="154" ht="15" customHeight="true" x14ac:dyDescent="0.15"/>
    <row r="155" ht="15" customHeight="true" x14ac:dyDescent="0.15"/>
    <row r="156" ht="15" customHeight="true" x14ac:dyDescent="0.15"/>
    <row r="157" ht="15" customHeight="true" x14ac:dyDescent="0.15"/>
    <row r="158" ht="15" customHeight="true" x14ac:dyDescent="0.15"/>
    <row r="159" ht="15" customHeight="true" x14ac:dyDescent="0.15"/>
    <row r="160" ht="15" customHeight="true" x14ac:dyDescent="0.15"/>
    <row r="161" ht="15" customHeight="true" x14ac:dyDescent="0.15"/>
    <row r="162" ht="15" customHeight="true" x14ac:dyDescent="0.15"/>
    <row r="163" ht="15" customHeight="true" x14ac:dyDescent="0.15"/>
    <row r="164" ht="15" customHeight="true" x14ac:dyDescent="0.15"/>
    <row r="165" ht="15" customHeight="true" x14ac:dyDescent="0.15"/>
    <row r="166" ht="15" customHeight="true" x14ac:dyDescent="0.15"/>
    <row r="167" ht="15" customHeight="true" x14ac:dyDescent="0.15"/>
    <row r="168" ht="15" customHeight="true" x14ac:dyDescent="0.15"/>
    <row r="169" ht="15" customHeight="true" x14ac:dyDescent="0.15"/>
    <row r="170" ht="15" customHeight="true" x14ac:dyDescent="0.15"/>
    <row r="171" ht="15" customHeight="true" x14ac:dyDescent="0.15"/>
    <row r="172" ht="15" customHeight="true" x14ac:dyDescent="0.15"/>
    <row r="173" ht="15" customHeight="true" x14ac:dyDescent="0.15"/>
    <row r="174" ht="15" customHeight="true" x14ac:dyDescent="0.15"/>
    <row r="175" ht="15" customHeight="true" x14ac:dyDescent="0.15"/>
    <row r="176" ht="15" customHeight="true" x14ac:dyDescent="0.15"/>
    <row r="177" ht="15" customHeight="true" x14ac:dyDescent="0.15"/>
    <row r="178" ht="15" customHeight="true" x14ac:dyDescent="0.15"/>
    <row r="179" ht="15" customHeight="true" x14ac:dyDescent="0.15"/>
    <row r="180" ht="15" customHeight="true" x14ac:dyDescent="0.15"/>
    <row r="181" ht="15" customHeight="true" x14ac:dyDescent="0.15"/>
    <row r="182" ht="15" customHeight="true" x14ac:dyDescent="0.15"/>
    <row r="183" ht="15" customHeight="true" x14ac:dyDescent="0.15"/>
    <row r="184" ht="15" customHeight="true" x14ac:dyDescent="0.15"/>
    <row r="185" ht="15" customHeight="true" x14ac:dyDescent="0.15"/>
    <row r="186" ht="15" customHeight="true" x14ac:dyDescent="0.15"/>
    <row r="187" ht="15" customHeight="true" x14ac:dyDescent="0.15"/>
    <row r="188" ht="15" customHeight="true" x14ac:dyDescent="0.15"/>
    <row r="192" ht="15" customHeight="true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2022-10-22T23:10:09Z</dcterms:modified>
</cp:coreProperties>
</file>