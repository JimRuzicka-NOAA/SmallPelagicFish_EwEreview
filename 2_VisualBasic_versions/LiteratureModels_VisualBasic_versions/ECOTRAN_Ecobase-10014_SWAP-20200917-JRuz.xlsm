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C692FCFE-6153-4E4F-AA07-609A40A6F014}" xr6:coauthVersionLast="45" xr6:coauthVersionMax="45" xr10:uidLastSave="{00000000-0000-0000-0000-000000000000}"/>
  <bookViews>
    <workbookView xWindow="780" yWindow="460" windowWidth="23780" windowHeight="14320" tabRatio="728" activeTab="1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Diets!$B$2:$R$21</definedName>
    <definedName name="matDiscards">Discards!$C$2:$D$20</definedName>
    <definedName name="matFishery">Fishing!$C$2:$D$20</definedName>
    <definedName name="matFishing">Fishing!#REF!</definedName>
    <definedName name="matMort">Mortalities!$A$1:$X$20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<sst xmlns="http://schemas.openxmlformats.org/spreadsheetml/2006/main" count="699" uniqueCount="205">
  <si>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</si>
  <si>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</si>
  <si>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</si>
  <si>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</si>
  <si>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</si>
  <si>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</si>
  <si>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</si>
  <si>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</si>
  <si>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</si>
  <si>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</si>
  <si>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</si>
  <si>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</si>
  <si>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</si>
  <si>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</si>
  <si>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</si>
  <si>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</si>
  <si>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</si>
  <si>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</si>
  <si>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</si>
  <si>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</si>
  <si>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</si>
  <si>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</si>
  <si>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</si>
  <si>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</si>
  <si>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</si>
  <si>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</si>
  <si>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</si>
  <si>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</si>
  <si>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</si>
  <si>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</si>
  <si>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</si>
  <si>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</si>
  <si>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</si>
  <si>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</si>
  <si>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</si>
  <si>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</si>
  <si>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</si>
  <si>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</si>
  <si>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</si>
  <si>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</si>
  <si>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</si>
  <si>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</si>
  <si>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</si>
  <si>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</si>
  <si>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</si>
  <si>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</si>
  <si>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</si>
  <si>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</si>
  <si>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</si>
  <si>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</si>
  <si>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</si>
  <si>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</si>
  <si>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</si>
  <si>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</si>
  <si>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</si>
  <si>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</si>
  <si>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</si>
  <si>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</si>
  <si>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</si>
  <si>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</si>
  <si>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</si>
  <si>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</si>
  <si>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</si>
  <si>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</si>
  <si>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</si>
  <si>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</si>
  <si>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</si>
  <si>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</si>
  <si>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</si>
  <si>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</si>
  <si>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</si>
  <si>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</si>
  <si>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</si>
  <si>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</si>
  <si>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</si>
  <si>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</si>
  <si>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</si>
  <si>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</si>
  <si>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</si>
  <si>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</si>
  <si>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</si>
  <si>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</si>
  <si>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</si>
  <si>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</si>
  <si>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</si>
  <si>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</si>
  <si>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</si>
  <si>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</si>
  <si>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</si>
  <si>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</si>
  <si>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</si>
  <si>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</si>
  <si>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</si>
  <si>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</si>
  <si>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</si>
  <si>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</si>
  <si>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</si>
  <si>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</si>
  <si>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</si>
  <si>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</si>
  <si>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</si>
  <si>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</si>
  <si>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</si>
  <si>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</si>
  <si>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</si>
  <si>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</si>
  <si>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</si>
  <si>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</si>
  <si>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</si>
  <si>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</si>
  <si>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</si>
  <si>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</si>
  <si>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</si>
  <si>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</si>
  <si>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</si>
  <si>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</si>
  <si>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</si>
  <si>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</si>
  <si>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</si>
  <si>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</si>
  <si>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</si>
  <si>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</si>
  <si>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</si>
  <si>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</si>
  <si>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</si>
  <si>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</si>
  <si>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</si>
  <si>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</si>
  <si>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</si>
  <si>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</si>
  <si>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</si>
  <si>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</si>
  <si>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</si>
  <si>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</si>
  <si>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</si>
  <si>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</si>
  <si>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</si>
  <si>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</si>
  <si>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</si>
  <si>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</si>
  <si>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</si>
  <si>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</si>
  <si>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</si>
  <si>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</si>
  <si>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</si>
  <si>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</si>
  <si>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</si>
  <si>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</si>
  <si>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</si>
  <si>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</si>
  <si>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</si>
  <si>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</si>
  <si>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</si>
  <si>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</si>
  <si>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</si>
  <si>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</si>
  <si>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</si>
  <si>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</si>
  <si>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</si>
  <si>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</si>
  <si>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</si>
  <si>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</si>
  <si>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</si>
  <si>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</si>
  <si>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</si>
  <si>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</si>
  <si>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</si>
  <si>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</si>
  <si>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</si>
  <si>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</si>
  <si>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</si>
  <si>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</si>
  <si>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</si>
  <si>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source notes</t>
  </si>
  <si>
    <t>import</t>
  </si>
  <si>
    <t>export</t>
  </si>
  <si>
    <t>1 - sum</t>
  </si>
  <si>
    <t>TOTAL</t>
  </si>
  <si>
    <t>phy_sma</t>
  </si>
  <si>
    <t>phy_lar</t>
  </si>
  <si>
    <t>zoo_mic</t>
  </si>
  <si>
    <t>zoo_mes</t>
  </si>
  <si>
    <t>zoo_mac</t>
  </si>
  <si>
    <t>zoo_sal</t>
  </si>
  <si>
    <t>zoo_eup</t>
  </si>
  <si>
    <t>inv_cep</t>
  </si>
  <si>
    <t>fis_pel</t>
  </si>
  <si>
    <t>fis_dem</t>
  </si>
  <si>
    <t>inv_ben</t>
  </si>
  <si>
    <t>bir_pen</t>
  </si>
  <si>
    <t>bir_sea</t>
  </si>
  <si>
    <t>pin_pla</t>
  </si>
  <si>
    <t>pin_car</t>
  </si>
  <si>
    <t>wha_bal</t>
  </si>
  <si>
    <t>wha_too</t>
  </si>
  <si>
    <t>det_pel</t>
  </si>
  <si>
    <t>det_ben</t>
  </si>
  <si>
    <t>fisheries gear type I</t>
  </si>
  <si>
    <t>fisheries gear type II</t>
  </si>
  <si>
    <t>&lt;&lt;--JR moved det_ben fate to export (9/14/2020)</t>
  </si>
  <si>
    <t>&lt;&lt;--JR gave fleet a tiny trace (9/14/2020)</t>
  </si>
  <si>
    <t>pel_NH4</t>
  </si>
  <si>
    <t>ben_NH4</t>
  </si>
  <si>
    <t>F fisheries gear type I</t>
  </si>
  <si>
    <t>F fisheries gear type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</si>
</sst>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sz val="10"/>
      <name val="Verdana"/>
      <family val="2"/>
    </font>
  </fonts>
  <fills count="8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2"/>
        <bgColor indexed="64"/>
      </patternFill>
    </fill>
    <fill>
      <patternFill patternType="solid">
        <fgColor rgb="FFC0C0C0"/>
        <bgColor rgb="FFA2BD90"/>
      </patternFill>
    </fill>
    <fill>
      <patternFill patternType="solid">
        <fgColor indexed="22"/>
        <bgColor indexed="31"/>
      </patternFill>
    </fill>
    <fill>
      <patternFill patternType="solid">
        <fgColor indexed="13"/>
        <bgColor indexed="34"/>
      </patternFill>
    </fill>
    <fill>
      <patternFill patternType="solid">
        <fgColor indexed="44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29"/>
        <bgColor indexed="45"/>
      </patternFill>
    </fill>
    <fill>
      <patternFill patternType="solid">
        <fgColor indexed="47"/>
        <bgColor indexed="22"/>
      </patternFill>
    </fill>
    <fill>
      <patternFill patternType="solid">
        <fgColor theme="0" tint="-0.34998626667074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/>
    <border/>
    <border/>
    <border/>
  </borders>
  <cellStyleXfs count="3654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</cellStyleXfs>
  <cellXfs count="220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19" borderId="2" xfId="0" applyFont="true" applyFill="true" applyBorder="true" applyAlignment="true">
      <alignment horizontal="center"/>
    </xf>
    <xf numFmtId="0" fontId="1" fillId="19" borderId="4" xfId="0" applyFont="true" applyFill="true" applyBorder="true" applyAlignment="true">
      <alignment horizontal="center"/>
    </xf>
    <xf numFmtId="0" fontId="1" fillId="19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19" borderId="5" xfId="0" applyFill="true" applyBorder="true"/>
    <xf numFmtId="0" fontId="0" fillId="19" borderId="7" xfId="0" applyFill="true" applyBorder="true"/>
    <xf numFmtId="0" fontId="0" fillId="19" borderId="8" xfId="0" applyFill="true" applyBorder="true"/>
    <xf numFmtId="0" fontId="0" fillId="19" borderId="9" xfId="0" applyFill="true" applyBorder="true"/>
    <xf numFmtId="0" fontId="0" fillId="19" borderId="11" xfId="0" applyFill="true" applyBorder="true"/>
    <xf numFmtId="0" fontId="8" fillId="0" borderId="0" xfId="0" applyFont="true"/>
    <xf numFmtId="0" fontId="0" fillId="27" borderId="0" xfId="0" applyFill="true"/>
    <xf numFmtId="0" fontId="0" fillId="0" borderId="0" xfId="0" applyFont="true"/>
    <xf numFmtId="2" fontId="0" fillId="0" borderId="0" xfId="0" applyNumberFormat="true" applyFont="true"/>
    <xf numFmtId="0" fontId="0" fillId="28" borderId="0" xfId="0" applyFill="true"/>
    <xf numFmtId="0" fontId="0" fillId="29" borderId="0" xfId="0" applyFill="true"/>
    <xf numFmtId="0" fontId="0" fillId="30" borderId="0" xfId="0" applyFill="true"/>
    <xf numFmtId="0" fontId="0" fillId="31" borderId="0" xfId="0" applyFill="true"/>
    <xf numFmtId="0" fontId="11" fillId="2" borderId="0" xfId="0" applyFont="true" applyFill="true"/>
    <xf numFmtId="0" fontId="12" fillId="0" borderId="0" xfId="0" applyFont="true"/>
    <xf numFmtId="0" fontId="14" fillId="0" borderId="0" xfId="0" applyFont="true"/>
    <xf numFmtId="0" fontId="13" fillId="0" borderId="0" xfId="0" applyFont="true"/>
    <xf numFmtId="0" fontId="9" fillId="19" borderId="6" xfId="0" applyFont="true" applyFill="true" applyBorder="true"/>
    <xf numFmtId="0" fontId="12" fillId="0" borderId="0" xfId="0" applyFont="true" applyFill="true"/>
    <xf numFmtId="0" fontId="15" fillId="0" borderId="0" xfId="0" applyFont="true" applyFill="true"/>
    <xf numFmtId="0" fontId="10" fillId="0" borderId="0" xfId="0" applyFont="true" applyFill="true" applyAlignment="true">
      <alignment horizontal="right"/>
    </xf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6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0" fillId="0" borderId="0" xfId="0" applyFont="true" applyFill="true" applyAlignment="true">
      <alignment horizontal="left"/>
    </xf>
    <xf numFmtId="0" fontId="12" fillId="0" borderId="0" xfId="0" applyFont="true" applyAlignment="true">
      <alignment horizontal="center"/>
    </xf>
    <xf numFmtId="0" fontId="11" fillId="0" borderId="0" xfId="0" applyFont="true" applyAlignment="true">
      <alignment horizontal="center"/>
    </xf>
    <xf numFmtId="0" fontId="12" fillId="0" borderId="0" xfId="0" applyFont="true" applyBorder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26" borderId="2" xfId="0" applyNumberFormat="true" applyFont="true" applyFill="true" applyBorder="true"/>
    <xf numFmtId="0" fontId="18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26" borderId="3" xfId="0" applyNumberFormat="true" applyFont="true" applyFill="true" applyBorder="true"/>
    <xf numFmtId="0" fontId="12" fillId="26" borderId="2" xfId="0" applyFont="true" applyFill="true" applyBorder="true"/>
    <xf numFmtId="0" fontId="12" fillId="26" borderId="3" xfId="0" applyFont="true" applyFill="true" applyBorder="true"/>
    <xf numFmtId="0" fontId="17" fillId="0" borderId="0" xfId="0" applyFont="true" applyAlignment="true">
      <alignment horizontal="left"/>
    </xf>
    <xf numFmtId="0" fontId="12" fillId="26" borderId="4" xfId="0" applyFont="true" applyFill="true" applyBorder="true"/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19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0" fillId="0" borderId="0" xfId="0" applyFont="true" applyAlignment="true">
      <alignment horizontal="center"/>
    </xf>
    <xf numFmtId="0" fontId="20" fillId="0" borderId="1" xfId="0" applyFont="true" applyBorder="true" applyAlignment="true">
      <alignment horizontal="center"/>
    </xf>
    <xf numFmtId="0" fontId="20" fillId="0" borderId="0" xfId="0" applyFont="true"/>
    <xf numFmtId="0" fontId="20" fillId="0" borderId="0" xfId="0" applyFont="true" applyFill="true" applyAlignment="true">
      <alignment horizontal="center"/>
    </xf>
    <xf numFmtId="0" fontId="20" fillId="0" borderId="1" xfId="0" applyFont="true" applyFill="true" applyBorder="true" applyAlignment="true">
      <alignment horizontal="center"/>
    </xf>
    <xf numFmtId="0" fontId="20" fillId="0" borderId="0" xfId="0" applyFont="true" applyFill="true"/>
    <xf numFmtId="0" fontId="21" fillId="0" borderId="0" xfId="0" applyFont="true" applyAlignment="true">
      <alignment horizontal="left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11" fontId="0" fillId="0" borderId="0" xfId="0" applyNumberFormat="true"/>
    <xf numFmtId="0" fontId="1" fillId="2" borderId="0" xfId="0" applyFont="true" applyFill="true" applyAlignment="true">
      <alignment wrapText="true"/>
    </xf>
    <xf numFmtId="0" fontId="0" fillId="0" borderId="0" xfId="0" applyAlignment="true">
      <alignment wrapText="true"/>
    </xf>
    <xf numFmtId="0" fontId="7" fillId="0" borderId="0" xfId="0" applyFont="true"/>
    <xf numFmtId="0" fontId="1" fillId="0" borderId="0" xfId="0" applyFont="true" applyAlignment="true">
      <alignment wrapText="true"/>
    </xf>
    <xf numFmtId="0" fontId="23" fillId="0" borderId="0" xfId="0" applyFont="true" applyAlignment="true">
      <alignment horizontal="center"/>
    </xf>
    <xf numFmtId="0" fontId="23" fillId="0" borderId="0" xfId="0" applyFont="true" applyFill="true" applyAlignment="true">
      <alignment horizontal="center"/>
    </xf>
    <xf numFmtId="0" fontId="23" fillId="24" borderId="0" xfId="0" applyFont="true" applyFill="true" applyAlignment="true">
      <alignment horizontal="center"/>
    </xf>
    <xf numFmtId="0" fontId="23" fillId="22" borderId="0" xfId="0" applyFont="true" applyFill="true" applyAlignment="true">
      <alignment horizontal="center"/>
    </xf>
    <xf numFmtId="0" fontId="23" fillId="23" borderId="0" xfId="0" applyFont="true" applyFill="true" applyAlignment="true">
      <alignment horizontal="center"/>
    </xf>
    <xf numFmtId="0" fontId="23" fillId="20" borderId="0" xfId="0" applyFont="true" applyFill="true" applyAlignment="true">
      <alignment horizontal="center"/>
    </xf>
    <xf numFmtId="0" fontId="23" fillId="21" borderId="0" xfId="0" applyFont="true" applyFill="true" applyAlignment="true">
      <alignment horizontal="center"/>
    </xf>
    <xf numFmtId="0" fontId="23" fillId="0" borderId="0" xfId="0" applyFont="true" applyFill="true" applyAlignment="true">
      <alignment horizontal="right"/>
    </xf>
    <xf numFmtId="0" fontId="0" fillId="19" borderId="2" xfId="0" applyFill="true" applyBorder="true" applyAlignment="true">
      <alignment horizontal="center"/>
    </xf>
    <xf numFmtId="0" fontId="0" fillId="19" borderId="4" xfId="0" applyFill="true" applyBorder="true" applyAlignment="true">
      <alignment horizontal="center"/>
    </xf>
    <xf numFmtId="0" fontId="0" fillId="19" borderId="3" xfId="0" applyFill="true" applyBorder="true"/>
    <xf numFmtId="0" fontId="0" fillId="0" borderId="0" xfId="0" applyAlignment="true">
      <alignment horizontal="center"/>
    </xf>
    <xf numFmtId="0" fontId="0" fillId="0" borderId="0" xfId="0" applyFill="true" applyAlignment="true">
      <alignment horizontal="center"/>
    </xf>
    <xf numFmtId="0" fontId="0" fillId="0" borderId="0" xfId="0" applyAlignment="true">
      <alignment horizontal="right"/>
    </xf>
    <xf numFmtId="0" fontId="0" fillId="32" borderId="0" xfId="0" applyFill="true"/>
    <xf numFmtId="0" fontId="0" fillId="0" borderId="0" xfId="0" applyAlignment="true">
      <alignment horizontal="center" wrapText="true"/>
    </xf>
    <xf numFmtId="0" fontId="0" fillId="3" borderId="0" xfId="0" applyFill="true" applyAlignment="true">
      <alignment horizontal="center"/>
    </xf>
    <xf numFmtId="0" fontId="0" fillId="33" borderId="0" xfId="0" applyFill="true"/>
    <xf numFmtId="0" fontId="1" fillId="2" borderId="0" xfId="0" applyFont="true" applyFill="true" applyBorder="true"/>
    <xf numFmtId="0" fontId="0" fillId="0" borderId="0" xfId="0" applyBorder="true" applyAlignment="true"/>
    <xf numFmtId="0" fontId="0" fillId="0" borderId="0" xfId="0" applyFill="true" applyBorder="true" applyAlignment="true"/>
    <xf numFmtId="0" fontId="0" fillId="36" borderId="0" xfId="0" applyFill="true"/>
    <xf numFmtId="0" fontId="0" fillId="0" borderId="0" xfId="0" applyFill="true" applyBorder="true"/>
    <xf numFmtId="0" fontId="0" fillId="0" borderId="0" xfId="0" applyBorder="true"/>
    <xf numFmtId="0" fontId="0" fillId="0" borderId="0" xfId="0" applyFont="true" applyAlignment="true"/>
    <xf numFmtId="164" fontId="0" fillId="25" borderId="0" xfId="0" applyNumberFormat="true" applyFont="true" applyFill="true" applyBorder="true" applyAlignment="true">
      <alignment horizontal="center"/>
    </xf>
    <xf numFmtId="0" fontId="0" fillId="0" borderId="0" xfId="0" applyFont="true" applyFill="true" applyBorder="true" applyAlignment="true">
      <alignment horizontal="center"/>
    </xf>
    <xf numFmtId="2" fontId="0" fillId="0" borderId="0" xfId="0" applyNumberFormat="true" applyFill="true" applyBorder="true" applyAlignment="true">
      <alignment horizontal="center"/>
    </xf>
    <xf numFmtId="165" fontId="0" fillId="0" borderId="0" xfId="0" applyNumberFormat="true" applyFont="true" applyFill="true" applyBorder="true" applyAlignment="true">
      <alignment horizontal="center"/>
    </xf>
    <xf numFmtId="164" fontId="0" fillId="0" borderId="0" xfId="0" applyNumberFormat="true" applyFont="true" applyFill="true" applyBorder="true" applyAlignment="true">
      <alignment horizontal="center"/>
    </xf>
    <xf numFmtId="165" fontId="0" fillId="25" borderId="0" xfId="0" applyNumberFormat="true" applyFont="true" applyFill="true" applyBorder="true" applyAlignment="true">
      <alignment horizontal="center"/>
    </xf>
    <xf numFmtId="0" fontId="0" fillId="37" borderId="0" xfId="0" applyFill="true"/>
    <xf numFmtId="0" fontId="0" fillId="35" borderId="0" xfId="0" applyFill="true" applyAlignment="true">
      <alignment horizontal="center"/>
    </xf>
    <xf numFmtId="2" fontId="0" fillId="0" borderId="0" xfId="0" applyNumberFormat="true" applyFill="true" applyAlignment="true">
      <alignment horizontal="center"/>
    </xf>
    <xf numFmtId="0" fontId="0" fillId="0" borderId="0" xfId="0" applyFont="true" applyFill="true" applyBorder="true" applyAlignment="true"/>
    <xf numFmtId="0" fontId="0" fillId="38" borderId="0" xfId="0" applyFill="true"/>
    <xf numFmtId="0" fontId="0" fillId="0" borderId="0" xfId="0" applyFont="true" applyFill="true"/>
    <xf numFmtId="0" fontId="0" fillId="0" borderId="0" xfId="0" applyNumberFormat="true" applyAlignment="true">
      <alignment horizontal="center"/>
    </xf>
    <xf numFmtId="0" fontId="0" fillId="0" borderId="0" xfId="0" applyNumberFormat="true" applyFill="true" applyAlignment="true">
      <alignment horizontal="center"/>
    </xf>
    <xf numFmtId="0" fontId="0" fillId="38" borderId="0" xfId="0" applyNumberFormat="true" applyFill="true" applyAlignment="true">
      <alignment horizontal="center"/>
    </xf>
    <xf numFmtId="0" fontId="0" fillId="39" borderId="0" xfId="0" applyNumberFormat="true" applyFill="true" applyAlignment="true">
      <alignment horizontal="center"/>
    </xf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4" borderId="0" xfId="0" applyFill="true" applyBorder="true"/>
    <xf numFmtId="1" fontId="0" fillId="0" borderId="0" xfId="0" applyNumberFormat="true" applyBorder="true"/>
    <xf numFmtId="1" fontId="0" fillId="44" borderId="0" xfId="0" applyNumberFormat="true" applyFill="true" applyBorder="true"/>
    <xf numFmtId="0" fontId="0" fillId="34" borderId="5" xfId="0" applyFill="true" applyBorder="true"/>
    <xf numFmtId="0" fontId="0" fillId="34" borderId="6" xfId="0" applyFill="true" applyBorder="true"/>
    <xf numFmtId="0" fontId="0" fillId="34" borderId="9" xfId="0" applyFill="true" applyBorder="true"/>
    <xf numFmtId="0" fontId="0" fillId="34" borderId="11" xfId="0" applyFill="true" applyBorder="true"/>
    <xf numFmtId="0" fontId="0" fillId="25" borderId="5" xfId="0" applyFill="true" applyBorder="true"/>
    <xf numFmtId="0" fontId="0" fillId="25" borderId="6" xfId="0" applyFill="true" applyBorder="true"/>
    <xf numFmtId="0" fontId="0" fillId="25" borderId="9" xfId="0" applyFill="true" applyBorder="true"/>
    <xf numFmtId="0" fontId="0" fillId="25" borderId="11" xfId="0" applyFill="true" applyBorder="true"/>
    <xf numFmtId="0" fontId="0" fillId="45" borderId="0" xfId="0" applyFill="true"/>
    <xf numFmtId="0" fontId="0" fillId="46" borderId="0" xfId="0" applyFill="true"/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50" borderId="0" xfId="0" applyFill="true"/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49" fontId="0" fillId="0" borderId="24" xfId="0" applyNumberFormat="true"/>
    <xf numFmtId="22" fontId="0" fillId="0" borderId="25" xfId="0" applyNumberFormat="true"/>
    <xf numFmtId="49" fontId="0" fillId="0" borderId="26" xfId="0" applyNumberFormat="true"/>
    <xf numFmtId="22" fontId="0" fillId="0" borderId="27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true"/>
  </cols>
  <sheetData>
    <row r="2" x14ac:dyDescent="0.15">
      <c r="B2" t="s">
        <v>146</v>
      </c>
    </row>
    <row r="3" x14ac:dyDescent="0.15">
      <c r="B3" t="s">
        <v>147</v>
      </c>
    </row>
    <row r="4" x14ac:dyDescent="0.15">
      <c r="B4" s="49" t="s">
        <v>166</v>
      </c>
    </row>
    <row r="6" ht="14" thickBot="true" x14ac:dyDescent="0.2">
      <c r="B6" s="36" t="s">
        <v>142</v>
      </c>
    </row>
    <row r="7" x14ac:dyDescent="0.15">
      <c r="B7" s="49" t="s">
        <v>144</v>
      </c>
    </row>
    <row r="8" x14ac:dyDescent="0.15">
      <c r="B8" s="49" t="s">
        <v>143</v>
      </c>
    </row>
    <row r="9" x14ac:dyDescent="0.15">
      <c r="B9" s="49" t="s">
        <v>145</v>
      </c>
    </row>
    <row r="10" x14ac:dyDescent="0.15">
      <c r="B10" s="49" t="s">
        <v>148</v>
      </c>
    </row>
    <row r="11" x14ac:dyDescent="0.15">
      <c r="B11" s="49" t="s">
        <v>152</v>
      </c>
    </row>
    <row r="12" x14ac:dyDescent="0.15">
      <c r="B12" s="49" t="s">
        <v>154</v>
      </c>
    </row>
    <row r="13" x14ac:dyDescent="0.15">
      <c r="B13" s="49" t="s">
        <v>167</v>
      </c>
    </row>
    <row r="15" ht="14" thickBot="true" x14ac:dyDescent="0.2"/>
    <row r="16" ht="14" thickBot="true" x14ac:dyDescent="0.2">
      <c r="B16" s="37" t="s">
        <v>138</v>
      </c>
      <c r="C16" s="38"/>
      <c r="D16" s="20">
        <v>41373</v>
      </c>
    </row>
    <row r="17" x14ac:dyDescent="0.15">
      <c r="B17" s="39" t="s">
        <v>58</v>
      </c>
      <c r="C17" s="23">
        <v>0</v>
      </c>
    </row>
    <row r="18" x14ac:dyDescent="0.15">
      <c r="B18" s="39" t="s">
        <v>59</v>
      </c>
      <c r="C18" s="23">
        <v>1</v>
      </c>
    </row>
    <row r="19" x14ac:dyDescent="0.15">
      <c r="B19" s="39" t="s">
        <v>60</v>
      </c>
      <c r="C19" s="23">
        <v>2</v>
      </c>
    </row>
    <row r="20" ht="14" thickBot="true" x14ac:dyDescent="0.2">
      <c r="B20" s="40" t="s">
        <v>44</v>
      </c>
      <c r="C20" s="24">
        <v>3</v>
      </c>
    </row>
    <row r="21" x14ac:dyDescent="0.15">
      <c r="B21" s="41" t="s">
        <v>141</v>
      </c>
    </row>
    <row r="22" ht="14" thickBot="true" x14ac:dyDescent="0.2"/>
    <row r="23" ht="14" thickBot="true" x14ac:dyDescent="0.2">
      <c r="B23" s="37" t="s">
        <v>66</v>
      </c>
      <c r="C23" s="38"/>
      <c r="D23" s="20" t="s">
        <v>149</v>
      </c>
    </row>
    <row r="24" x14ac:dyDescent="0.15">
      <c r="B24" s="42" t="s">
        <v>38</v>
      </c>
      <c r="C24" s="21">
        <v>1</v>
      </c>
    </row>
    <row r="25" x14ac:dyDescent="0.15">
      <c r="B25" s="39" t="s">
        <v>40</v>
      </c>
      <c r="C25" s="23">
        <v>1.1000000000000001</v>
      </c>
    </row>
    <row r="26" x14ac:dyDescent="0.15">
      <c r="B26" s="39" t="s">
        <v>41</v>
      </c>
      <c r="C26" s="23">
        <v>1.2</v>
      </c>
    </row>
    <row r="27" x14ac:dyDescent="0.15">
      <c r="B27" s="39"/>
      <c r="C27" s="23"/>
    </row>
    <row r="28" x14ac:dyDescent="0.15">
      <c r="B28" s="39" t="s">
        <v>42</v>
      </c>
      <c r="C28" s="23">
        <v>2.1</v>
      </c>
    </row>
    <row r="29" x14ac:dyDescent="0.15">
      <c r="B29" s="39" t="s">
        <v>43</v>
      </c>
      <c r="C29" s="23">
        <v>2.2000000000000002</v>
      </c>
    </row>
    <row r="30" x14ac:dyDescent="0.15">
      <c r="B30" s="39" t="s">
        <v>68</v>
      </c>
      <c r="C30" s="23">
        <v>2.2999999999999998</v>
      </c>
    </row>
    <row r="31" x14ac:dyDescent="0.15">
      <c r="B31" s="39"/>
      <c r="C31" s="23"/>
    </row>
    <row r="32" x14ac:dyDescent="0.15">
      <c r="B32" s="39" t="s">
        <v>63</v>
      </c>
      <c r="C32" s="23">
        <v>3.11</v>
      </c>
    </row>
    <row r="33" x14ac:dyDescent="0.15">
      <c r="B33" s="39" t="s">
        <v>62</v>
      </c>
      <c r="C33" s="23">
        <v>3.12</v>
      </c>
    </row>
    <row r="34" x14ac:dyDescent="0.15">
      <c r="B34" s="39" t="s">
        <v>69</v>
      </c>
      <c r="C34" s="23">
        <v>3.13</v>
      </c>
    </row>
    <row r="35" x14ac:dyDescent="0.15">
      <c r="B35" s="39"/>
      <c r="C35" s="23"/>
    </row>
    <row r="36" x14ac:dyDescent="0.15">
      <c r="B36" s="39" t="s">
        <v>67</v>
      </c>
      <c r="C36" s="23">
        <v>3.21</v>
      </c>
    </row>
    <row r="37" x14ac:dyDescent="0.15">
      <c r="B37" s="39" t="s">
        <v>64</v>
      </c>
      <c r="C37" s="23">
        <v>3.22</v>
      </c>
    </row>
    <row r="38" x14ac:dyDescent="0.15">
      <c r="B38" s="39" t="s">
        <v>70</v>
      </c>
      <c r="C38" s="23">
        <v>3.23</v>
      </c>
    </row>
    <row r="39" x14ac:dyDescent="0.15">
      <c r="B39" s="39"/>
      <c r="C39" s="23"/>
    </row>
    <row r="40" x14ac:dyDescent="0.15">
      <c r="B40" s="39" t="s">
        <v>65</v>
      </c>
      <c r="C40" s="23">
        <v>8</v>
      </c>
    </row>
    <row r="41" x14ac:dyDescent="0.15">
      <c r="B41" s="39"/>
      <c r="C41" s="23"/>
    </row>
    <row r="42" x14ac:dyDescent="0.15">
      <c r="B42" s="39" t="s">
        <v>72</v>
      </c>
      <c r="C42" s="23">
        <v>4.0999999999999996</v>
      </c>
    </row>
    <row r="43" x14ac:dyDescent="0.15">
      <c r="B43" s="39" t="s">
        <v>71</v>
      </c>
      <c r="C43" s="23">
        <v>4.2</v>
      </c>
    </row>
    <row r="44" x14ac:dyDescent="0.15">
      <c r="B44" s="39" t="s">
        <v>73</v>
      </c>
      <c r="C44" s="23">
        <v>4.3</v>
      </c>
    </row>
    <row r="45" x14ac:dyDescent="0.15">
      <c r="B45" s="22"/>
      <c r="C45" s="23"/>
    </row>
    <row r="46" x14ac:dyDescent="0.15">
      <c r="B46" s="39" t="s">
        <v>139</v>
      </c>
      <c r="C46" s="23">
        <v>6.1</v>
      </c>
    </row>
    <row r="47" x14ac:dyDescent="0.15">
      <c r="B47" s="39" t="s">
        <v>45</v>
      </c>
      <c r="C47" s="23">
        <v>6.2</v>
      </c>
    </row>
    <row r="48" x14ac:dyDescent="0.15">
      <c r="B48" s="39"/>
      <c r="C48" s="23"/>
    </row>
    <row r="49" x14ac:dyDescent="0.15">
      <c r="B49" s="39" t="s">
        <v>44</v>
      </c>
      <c r="C49" s="23">
        <v>5</v>
      </c>
    </row>
    <row r="50" x14ac:dyDescent="0.15">
      <c r="B50" s="39"/>
      <c r="C50" s="23"/>
    </row>
    <row r="51" ht="14" thickBot="true" x14ac:dyDescent="0.2">
      <c r="B51" s="40" t="s">
        <v>74</v>
      </c>
      <c r="C51" s="24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29"/>
  <sheetViews>
    <sheetView tabSelected="true" topLeftCell="F1" workbookViewId="0">
      <selection activeCell="Q8" sqref="Q8"/>
    </sheetView>
  </sheetViews>
  <sheetFormatPr baseColWidth="10" defaultColWidth="8.83203125" defaultRowHeight="15" customHeight="true" x14ac:dyDescent="0.2"/>
  <cols>
    <col min="1" max="1" width="22.5" style="58" customWidth="true"/>
    <col min="2" max="2" width="7.6640625" style="58" customWidth="true"/>
    <col min="3" max="3" width="8.83203125" style="58"/>
    <col min="4" max="4" width="14.33203125" style="58" customWidth="true"/>
    <col min="5" max="5" width="41.83203125" style="58" bestFit="true" customWidth="true"/>
    <col min="6" max="6" width="9.5" style="58" bestFit="true" customWidth="true"/>
    <col min="7" max="7" width="8.1640625" style="58" bestFit="true" customWidth="true"/>
    <col min="8" max="9" width="8.83203125" style="58"/>
    <col min="10" max="10" width="9.1640625" style="58" bestFit="true" customWidth="true"/>
    <col min="11" max="25" width="8.83203125" style="58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8.83203125" customWidth="true"/>
    <col min="39" max="39" width="8.83203125" customWidth="true"/>
    <col min="50" max="16384" width="8.83203125" style="58"/>
  </cols>
  <sheetData>
    <row r="1" s="66" customFormat="true" ht="15" customHeight="true" x14ac:dyDescent="0.2">
      <c r="A1" s="65" t="s">
        <v>18</v>
      </c>
      <c r="C1" s="67" t="s">
        <v>8</v>
      </c>
      <c r="D1" s="65" t="s">
        <v>23</v>
      </c>
      <c r="E1" s="65" t="s">
        <v>0</v>
      </c>
      <c r="F1" s="65" t="s">
        <v>7</v>
      </c>
      <c r="G1" s="68" t="s">
        <v>13</v>
      </c>
      <c r="H1" s="65" t="s">
        <v>1</v>
      </c>
      <c r="I1" s="65" t="s">
        <v>2</v>
      </c>
      <c r="J1" s="65" t="s">
        <v>14</v>
      </c>
      <c r="K1" s="65" t="s">
        <v>3</v>
      </c>
      <c r="L1" s="65" t="s">
        <v>4</v>
      </c>
      <c r="M1" s="65" t="s">
        <v>5</v>
      </c>
      <c r="N1" s="65" t="s">
        <v>6</v>
      </c>
      <c r="O1" s="58"/>
      <c r="P1" s="63" t="s">
        <v>173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ht="15" customHeight="true" x14ac:dyDescent="0.2">
      <c r="C2" s="144">
        <v>1</v>
      </c>
      <c r="D2" s="51"/>
      <c r="E2" t="s">
        <v>178</v>
      </c>
      <c r="F2">
        <v>1</v>
      </c>
      <c r="G2" s="145"/>
      <c r="H2" s="146">
        <v>75</v>
      </c>
      <c r="I2" s="146">
        <v>0</v>
      </c>
      <c r="J2" s="141">
        <v>0.999</v>
      </c>
      <c r="K2" s="146"/>
      <c r="L2" s="147"/>
      <c r="M2">
        <v>0</v>
      </c>
      <c r="N2">
        <v>0</v>
      </c>
      <c r="O2"/>
      <c r="P2"/>
    </row>
    <row r="3" ht="15" customHeight="true" x14ac:dyDescent="0.2">
      <c r="A3" s="69" t="s">
        <v>9</v>
      </c>
      <c r="B3" s="57">
        <v>17</v>
      </c>
      <c r="C3" s="144">
        <v>2</v>
      </c>
      <c r="D3" s="51"/>
      <c r="E3" t="s">
        <v>179</v>
      </c>
      <c r="F3">
        <v>1</v>
      </c>
      <c r="G3" s="145"/>
      <c r="H3" s="146">
        <v>75</v>
      </c>
      <c r="I3" s="146">
        <v>0</v>
      </c>
      <c r="J3" s="141">
        <v>0.999</v>
      </c>
      <c r="K3" s="146"/>
      <c r="L3" s="147"/>
      <c r="M3">
        <v>0</v>
      </c>
      <c r="N3">
        <v>0</v>
      </c>
      <c r="O3"/>
      <c r="P3"/>
    </row>
    <row r="4" ht="15" customHeight="true" x14ac:dyDescent="0.2">
      <c r="A4" s="69" t="s">
        <v>10</v>
      </c>
      <c r="B4" s="57">
        <v>2</v>
      </c>
      <c r="C4" s="144">
        <v>3</v>
      </c>
      <c r="D4" s="51"/>
      <c r="E4" t="s">
        <v>180</v>
      </c>
      <c r="F4">
        <v>0</v>
      </c>
      <c r="G4" s="148">
        <v>0.56599999999999995</v>
      </c>
      <c r="H4" s="146">
        <v>55</v>
      </c>
      <c r="I4" s="146">
        <v>275</v>
      </c>
      <c r="J4"/>
      <c r="K4" s="146">
        <v>0.2</v>
      </c>
      <c r="L4" s="147"/>
      <c r="M4" s="3">
        <v>0.19999999999999996</v>
      </c>
      <c r="N4">
        <v>0</v>
      </c>
      <c r="O4"/>
      <c r="P4"/>
      <c r="V4" s="69" t="s">
        <v>29</v>
      </c>
    </row>
    <row r="5" ht="15" customHeight="true" thickBot="true" x14ac:dyDescent="0.25">
      <c r="A5" s="69" t="s">
        <v>11</v>
      </c>
      <c r="B5" s="57">
        <v>2</v>
      </c>
      <c r="C5" s="144">
        <v>4</v>
      </c>
      <c r="D5" s="51"/>
      <c r="E5" t="s">
        <v>181</v>
      </c>
      <c r="F5">
        <v>0</v>
      </c>
      <c r="G5" s="148">
        <v>2.97</v>
      </c>
      <c r="H5" s="146">
        <v>4.8099999999999996</v>
      </c>
      <c r="I5" s="149">
        <v>19.63</v>
      </c>
      <c r="J5"/>
      <c r="K5" s="146">
        <v>0.245</v>
      </c>
      <c r="L5" s="147"/>
      <c r="M5">
        <v>0.30000000000000004</v>
      </c>
      <c r="N5">
        <v>0</v>
      </c>
      <c r="O5"/>
      <c r="P5"/>
      <c r="Q5" s="62"/>
      <c r="R5" s="62"/>
    </row>
    <row r="6" ht="15" customHeight="true" thickBot="true" x14ac:dyDescent="0.25">
      <c r="B6" s="69"/>
      <c r="C6" s="144">
        <v>5</v>
      </c>
      <c r="D6" s="51"/>
      <c r="E6" t="s">
        <v>182</v>
      </c>
      <c r="F6">
        <v>0</v>
      </c>
      <c r="G6" s="148">
        <v>1.0920000000000001</v>
      </c>
      <c r="H6" s="146">
        <v>2.3616999999999999</v>
      </c>
      <c r="I6" s="149">
        <v>8.3408999999999995</v>
      </c>
      <c r="J6"/>
      <c r="K6" s="146">
        <v>0.28389999999999999</v>
      </c>
      <c r="L6" s="147"/>
      <c r="M6">
        <v>0.18889999999999996</v>
      </c>
      <c r="N6">
        <v>0</v>
      </c>
      <c r="O6"/>
      <c r="P6"/>
      <c r="Q6" s="62"/>
      <c r="R6" s="62"/>
      <c r="W6" s="70" t="s">
        <v>31</v>
      </c>
      <c r="X6" s="71">
        <f>MAX(MainOutputs!G:G)</f>
        <v>0.99900007247924805</v>
      </c>
    </row>
    <row r="7" ht="15" customHeight="true" x14ac:dyDescent="0.2">
      <c r="A7" s="72" t="s">
        <v>27</v>
      </c>
      <c r="B7" s="58">
        <f ca="true">COUNTIF(OFFSET(cornerDiets,1,1,NumLiving+NumDead+1,NumLiving+NumDead),"&gt;0")+NumLiving+NumDead+1</f>
        <v>79</v>
      </c>
      <c r="C7" s="144">
        <v>6</v>
      </c>
      <c r="D7" s="51"/>
      <c r="E7" t="s">
        <v>183</v>
      </c>
      <c r="F7">
        <v>0</v>
      </c>
      <c r="G7" s="148">
        <v>8.9999999999999993E-3</v>
      </c>
      <c r="H7" s="146">
        <v>3</v>
      </c>
      <c r="I7" s="149">
        <v>12.24</v>
      </c>
      <c r="J7"/>
      <c r="K7" s="146">
        <v>0.24510000000000001</v>
      </c>
      <c r="L7" s="147"/>
      <c r="M7">
        <v>0.30000000000000004</v>
      </c>
      <c r="N7">
        <v>0</v>
      </c>
      <c r="O7"/>
      <c r="P7"/>
      <c r="Q7" s="62"/>
      <c r="R7" s="62"/>
    </row>
    <row r="8" ht="15" customHeight="true" x14ac:dyDescent="0.2">
      <c r="A8" s="72" t="s">
        <v>28</v>
      </c>
      <c r="B8" s="58">
        <f ca="true">COUNTIF(OFFSET(cornerFishing,1,2,NumLiving+NumDead,NumGears),"&gt;0")+NumDead*COUNTIF(OFFSET(cornerDiscards,1,2,NumLiving+NumDead,NumGears),"&gt;0")+NumLiving+NumDead+1</f>
        <v>26</v>
      </c>
      <c r="C8" s="144">
        <v>7</v>
      </c>
      <c r="D8" s="51"/>
      <c r="E8" t="s">
        <v>184</v>
      </c>
      <c r="F8">
        <v>0</v>
      </c>
      <c r="G8" s="150"/>
      <c r="H8" s="146">
        <v>1.0952999999999999</v>
      </c>
      <c r="I8" s="149">
        <v>4.4516</v>
      </c>
      <c r="J8" s="141">
        <v>0.999</v>
      </c>
      <c r="K8" s="146">
        <v>0.2455</v>
      </c>
      <c r="L8" s="147"/>
      <c r="M8">
        <v>0.29890000000000005</v>
      </c>
      <c r="N8">
        <v>0</v>
      </c>
      <c r="O8"/>
      <c r="P8"/>
      <c r="Q8" s="62"/>
      <c r="R8" s="62"/>
    </row>
    <row r="9" ht="15" customHeight="true" x14ac:dyDescent="0.2">
      <c r="B9" s="69"/>
      <c r="C9" s="144">
        <v>8</v>
      </c>
      <c r="D9" s="51"/>
      <c r="E9" t="s">
        <v>185</v>
      </c>
      <c r="F9">
        <v>0</v>
      </c>
      <c r="G9" s="150"/>
      <c r="H9" s="146">
        <v>3.2</v>
      </c>
      <c r="I9" s="149">
        <v>32</v>
      </c>
      <c r="J9" s="141">
        <v>0.999</v>
      </c>
      <c r="K9" s="146">
        <v>0.1</v>
      </c>
      <c r="L9" s="147"/>
      <c r="M9">
        <v>0.19999999999999996</v>
      </c>
      <c r="N9">
        <v>0</v>
      </c>
      <c r="O9"/>
      <c r="P9"/>
      <c r="Q9" s="62"/>
      <c r="R9" s="62"/>
    </row>
    <row r="10" ht="15" customHeight="true" x14ac:dyDescent="0.2">
      <c r="B10" s="69"/>
      <c r="C10" s="144">
        <v>9</v>
      </c>
      <c r="D10" s="51"/>
      <c r="E10" t="s">
        <v>186</v>
      </c>
      <c r="F10">
        <v>0</v>
      </c>
      <c r="G10" s="150"/>
      <c r="H10" s="146">
        <v>0.59009999999999996</v>
      </c>
      <c r="I10" s="149">
        <v>5.9012000000000002</v>
      </c>
      <c r="J10" s="141">
        <v>0.999</v>
      </c>
      <c r="K10" s="146">
        <v>0.1</v>
      </c>
      <c r="L10" s="147"/>
      <c r="M10">
        <v>0.19999999999999996</v>
      </c>
      <c r="N10">
        <v>0</v>
      </c>
      <c r="O10"/>
      <c r="P10"/>
    </row>
    <row r="11" ht="15" customHeight="true" x14ac:dyDescent="0.2">
      <c r="C11" s="144">
        <v>10</v>
      </c>
      <c r="D11" s="51"/>
      <c r="E11" t="s">
        <v>187</v>
      </c>
      <c r="F11">
        <v>0</v>
      </c>
      <c r="G11" s="150"/>
      <c r="H11" s="146">
        <v>0.2</v>
      </c>
      <c r="I11" s="149">
        <v>2</v>
      </c>
      <c r="J11" s="141">
        <v>0.999</v>
      </c>
      <c r="K11" s="146">
        <v>0.1</v>
      </c>
      <c r="L11" s="147"/>
      <c r="M11">
        <v>0.19999999999999996</v>
      </c>
      <c r="N11">
        <v>0</v>
      </c>
      <c r="O11"/>
      <c r="P11"/>
    </row>
    <row r="12" ht="15" customHeight="true" x14ac:dyDescent="0.2">
      <c r="C12" s="144">
        <v>11</v>
      </c>
      <c r="D12" s="51"/>
      <c r="E12" t="s">
        <v>188</v>
      </c>
      <c r="F12">
        <v>0</v>
      </c>
      <c r="G12" s="148">
        <v>2</v>
      </c>
      <c r="H12" s="146">
        <v>0.44</v>
      </c>
      <c r="I12" s="149">
        <v>2.19</v>
      </c>
      <c r="J12"/>
      <c r="K12" s="146">
        <v>0.2009</v>
      </c>
      <c r="L12" s="147"/>
      <c r="M12">
        <v>0.42000000000000004</v>
      </c>
      <c r="N12">
        <v>0</v>
      </c>
      <c r="O12"/>
      <c r="P12"/>
    </row>
    <row r="13" ht="15" customHeight="true" x14ac:dyDescent="0.2">
      <c r="C13" s="144">
        <v>12</v>
      </c>
      <c r="D13" s="51"/>
      <c r="E13" t="s">
        <v>189</v>
      </c>
      <c r="F13">
        <v>0</v>
      </c>
      <c r="G13" s="148">
        <v>2.0999999999999999E-3</v>
      </c>
      <c r="H13" s="146">
        <v>0.15</v>
      </c>
      <c r="I13" s="146">
        <v>8.82</v>
      </c>
      <c r="J13"/>
      <c r="K13" s="146">
        <v>1.7000000000000001E-2</v>
      </c>
      <c r="L13" s="147"/>
      <c r="M13">
        <v>0.17000000000000004</v>
      </c>
      <c r="N13">
        <v>0</v>
      </c>
      <c r="O13"/>
      <c r="P13"/>
    </row>
    <row r="14" ht="15" customHeight="true" x14ac:dyDescent="0.2">
      <c r="C14" s="144">
        <v>13</v>
      </c>
      <c r="D14" s="51"/>
      <c r="E14" t="s">
        <v>190</v>
      </c>
      <c r="F14">
        <v>0</v>
      </c>
      <c r="G14" s="148">
        <v>2.0000000000000001E-4</v>
      </c>
      <c r="H14" s="146">
        <v>0.06</v>
      </c>
      <c r="I14" s="149">
        <v>3.33</v>
      </c>
      <c r="J14"/>
      <c r="K14" s="146">
        <v>1.7999999999999999E-2</v>
      </c>
      <c r="L14" s="147"/>
      <c r="M14">
        <v>9.9999999999999978E-2</v>
      </c>
      <c r="N14">
        <v>0</v>
      </c>
      <c r="O14"/>
      <c r="P14"/>
    </row>
    <row r="15" ht="15" customHeight="true" x14ac:dyDescent="0.2">
      <c r="C15" s="144">
        <v>14</v>
      </c>
      <c r="D15" s="51"/>
      <c r="E15" t="s">
        <v>191</v>
      </c>
      <c r="F15">
        <v>0</v>
      </c>
      <c r="G15" s="148">
        <v>2.4E-2</v>
      </c>
      <c r="H15" s="146">
        <v>0.06</v>
      </c>
      <c r="I15" s="146">
        <v>3</v>
      </c>
      <c r="J15"/>
      <c r="K15" s="146">
        <v>0.02</v>
      </c>
      <c r="L15" s="147"/>
      <c r="M15">
        <v>0.15000000000000002</v>
      </c>
      <c r="N15">
        <v>0</v>
      </c>
      <c r="O15"/>
      <c r="P15"/>
    </row>
    <row r="16" ht="15" customHeight="true" x14ac:dyDescent="0.2">
      <c r="C16" s="144">
        <v>15</v>
      </c>
      <c r="D16" s="51"/>
      <c r="E16" t="s">
        <v>192</v>
      </c>
      <c r="F16">
        <v>0</v>
      </c>
      <c r="G16" s="148">
        <v>3.0000000000000001E-3</v>
      </c>
      <c r="H16" s="146">
        <v>0.05</v>
      </c>
      <c r="I16" s="146">
        <v>2.87</v>
      </c>
      <c r="J16"/>
      <c r="K16" s="146">
        <v>1.7399999999999999E-2</v>
      </c>
      <c r="L16" s="147"/>
      <c r="M16">
        <v>0.13</v>
      </c>
      <c r="N16">
        <v>0</v>
      </c>
      <c r="O16"/>
      <c r="P16"/>
    </row>
    <row r="17" ht="15" customHeight="true" x14ac:dyDescent="0.2">
      <c r="C17" s="144">
        <v>16</v>
      </c>
      <c r="D17" s="51"/>
      <c r="E17" t="s">
        <v>193</v>
      </c>
      <c r="F17">
        <v>0</v>
      </c>
      <c r="G17" s="148">
        <v>1.24E-2</v>
      </c>
      <c r="H17" s="146">
        <v>4.7300000000000002E-2</v>
      </c>
      <c r="I17" s="146">
        <v>2.5419</v>
      </c>
      <c r="J17"/>
      <c r="K17" s="146">
        <v>1.8599999999999998E-2</v>
      </c>
      <c r="L17" s="147"/>
      <c r="M17">
        <v>6.9999999999999951E-2</v>
      </c>
      <c r="N17">
        <v>0</v>
      </c>
      <c r="O17"/>
      <c r="P17"/>
      <c r="V17" s="69" t="s">
        <v>30</v>
      </c>
    </row>
    <row r="18" ht="15" customHeight="true" x14ac:dyDescent="0.2">
      <c r="C18" s="144">
        <v>17</v>
      </c>
      <c r="D18" s="51"/>
      <c r="E18" s="151" t="s">
        <v>194</v>
      </c>
      <c r="F18" s="3">
        <v>0</v>
      </c>
      <c r="G18" s="152">
        <v>9.9999999999999995E-8</v>
      </c>
      <c r="H18" s="132">
        <v>3.9699999999999999E-2</v>
      </c>
      <c r="I18" s="132">
        <v>5.3</v>
      </c>
      <c r="J18" s="3"/>
      <c r="K18" s="132">
        <v>7.4999999999999997E-3</v>
      </c>
      <c r="L18" s="153"/>
      <c r="M18" s="3">
        <v>0.2</v>
      </c>
      <c r="N18" s="3">
        <v>0</v>
      </c>
      <c r="O18"/>
      <c r="P18"/>
      <c r="V18" s="69"/>
    </row>
    <row r="19" ht="15" customHeight="true" x14ac:dyDescent="0.2">
      <c r="C19" s="144">
        <v>18</v>
      </c>
      <c r="D19" s="51"/>
      <c r="E19" t="s">
        <v>195</v>
      </c>
      <c r="F19">
        <v>2</v>
      </c>
      <c r="G19" s="149">
        <v>2.2999999999999998</v>
      </c>
      <c r="H19" s="146">
        <v>1</v>
      </c>
      <c r="I19" s="146">
        <v>0</v>
      </c>
      <c r="J19"/>
      <c r="K19" s="146"/>
      <c r="L19" s="147"/>
      <c r="M19">
        <v>0</v>
      </c>
      <c r="N19">
        <v>0</v>
      </c>
      <c r="O19"/>
      <c r="P19"/>
    </row>
    <row r="20" ht="15" customHeight="true" thickBot="true" x14ac:dyDescent="0.25">
      <c r="C20" s="144">
        <v>19</v>
      </c>
      <c r="D20" s="51"/>
      <c r="E20" t="s">
        <v>196</v>
      </c>
      <c r="F20">
        <v>2</v>
      </c>
      <c r="G20" s="149">
        <v>4.7</v>
      </c>
      <c r="H20" s="146">
        <v>1</v>
      </c>
      <c r="I20" s="149">
        <v>0</v>
      </c>
      <c r="J20"/>
      <c r="K20" s="146"/>
      <c r="L20" s="147"/>
      <c r="M20">
        <v>0</v>
      </c>
      <c r="N20">
        <v>0</v>
      </c>
      <c r="O20"/>
      <c r="P20"/>
    </row>
    <row r="21" ht="15" customHeight="true" thickBot="true" x14ac:dyDescent="0.25">
      <c r="A21" s="73" t="s">
        <v>138</v>
      </c>
      <c r="B21" s="74"/>
      <c r="C21" s="144">
        <v>20</v>
      </c>
      <c r="D21"/>
      <c r="E21" t="s">
        <v>197</v>
      </c>
      <c r="F21">
        <v>3</v>
      </c>
      <c r="G21"/>
      <c r="H21"/>
      <c r="I21"/>
      <c r="J21"/>
      <c r="K21"/>
      <c r="L21"/>
      <c r="M21"/>
      <c r="N21">
        <v>0</v>
      </c>
      <c r="O21"/>
      <c r="P21"/>
    </row>
    <row r="22" ht="15" customHeight="true" x14ac:dyDescent="0.2">
      <c r="A22" s="75" t="s">
        <v>58</v>
      </c>
      <c r="B22" s="76">
        <v>0</v>
      </c>
      <c r="C22" s="154">
        <v>21</v>
      </c>
      <c r="D22"/>
      <c r="E22" t="s">
        <v>198</v>
      </c>
      <c r="F22">
        <v>3</v>
      </c>
      <c r="G22"/>
      <c r="H22"/>
      <c r="I22"/>
      <c r="J22"/>
      <c r="K22"/>
      <c r="L22"/>
      <c r="M22"/>
      <c r="N22"/>
      <c r="O22"/>
      <c r="P22"/>
    </row>
    <row r="23" ht="15" customHeight="true" x14ac:dyDescent="0.2">
      <c r="A23" s="75" t="s">
        <v>59</v>
      </c>
      <c r="B23" s="76">
        <v>1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ht="15" customHeight="true" x14ac:dyDescent="0.2">
      <c r="A24" s="75" t="s">
        <v>60</v>
      </c>
      <c r="B24" s="76">
        <v>2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ht="15" customHeight="true" thickBot="true" x14ac:dyDescent="0.25">
      <c r="A25" s="77" t="s">
        <v>44</v>
      </c>
      <c r="B25" s="78">
        <v>3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ht="15" customHeight="true" x14ac:dyDescent="0.2">
      <c r="A26" s="79" t="s">
        <v>141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ht="15" customHeight="true" x14ac:dyDescent="0.2"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ht="15" customHeight="true" x14ac:dyDescent="0.2"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ht="15" customHeight="true" x14ac:dyDescent="0.2"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ht="15" customHeight="true" x14ac:dyDescent="0.2"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ht="15" customHeight="true" x14ac:dyDescent="0.2"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ht="15" customHeight="true" x14ac:dyDescent="0.2"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ht="15" customHeight="true" x14ac:dyDescent="0.2"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ht="15" customHeight="true" x14ac:dyDescent="0.2"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ht="15" customHeight="true" x14ac:dyDescent="0.2"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ht="15" customHeight="true" x14ac:dyDescent="0.2"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ht="15" customHeight="true" x14ac:dyDescent="0.2"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ht="15" customHeight="true" x14ac:dyDescent="0.2"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ht="15" customHeight="true" x14ac:dyDescent="0.2"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ht="15" customHeight="true" x14ac:dyDescent="0.2"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customFormat="true" ht="15" customHeight="true" x14ac:dyDescent="0.15"/>
    <row r="42" customFormat="true" ht="15" customHeight="true" x14ac:dyDescent="0.15"/>
    <row r="43" customFormat="true" ht="15" customHeight="true" x14ac:dyDescent="0.15"/>
    <row r="44" customFormat="true" ht="15" customHeight="true" x14ac:dyDescent="0.15"/>
    <row r="45" customFormat="true" ht="15" customHeight="true" x14ac:dyDescent="0.15"/>
    <row r="46" customFormat="true" ht="15" customHeight="true" x14ac:dyDescent="0.15"/>
    <row r="47" customFormat="true" ht="15" customHeight="true" x14ac:dyDescent="0.15"/>
    <row r="48" customFormat="true" ht="15" customHeight="true" x14ac:dyDescent="0.15"/>
    <row r="49" customFormat="true" ht="15" customHeight="true" x14ac:dyDescent="0.15"/>
    <row r="50" customFormat="true" ht="15" customHeight="true" x14ac:dyDescent="0.15"/>
    <row r="51" customFormat="true" ht="15" customHeight="true" x14ac:dyDescent="0.15"/>
    <row r="52" customFormat="true" ht="15" customHeight="true" x14ac:dyDescent="0.15"/>
    <row r="53" customFormat="true" ht="15" customHeight="true" x14ac:dyDescent="0.15"/>
    <row r="54" customFormat="true" ht="15" customHeight="true" x14ac:dyDescent="0.15"/>
    <row r="55" customFormat="true" ht="15" customHeight="true" x14ac:dyDescent="0.15"/>
    <row r="56" customFormat="true" ht="15" customHeight="true" x14ac:dyDescent="0.15"/>
    <row r="57" customFormat="true" ht="15" customHeight="true" x14ac:dyDescent="0.15"/>
    <row r="58" customFormat="true" ht="15" customHeight="true" x14ac:dyDescent="0.15"/>
    <row r="59" customFormat="true" ht="15" customHeight="true" x14ac:dyDescent="0.15"/>
    <row r="60" customFormat="true" ht="15" customHeight="true" x14ac:dyDescent="0.15"/>
    <row r="61" customFormat="true" ht="15" customHeight="true" x14ac:dyDescent="0.15"/>
    <row r="62" customFormat="true" ht="15" customHeight="true" x14ac:dyDescent="0.15"/>
    <row r="63" customFormat="true" ht="15" customHeight="true" x14ac:dyDescent="0.15"/>
    <row r="64" customFormat="true" ht="15" customHeight="true" x14ac:dyDescent="0.15"/>
    <row r="65" customFormat="true" ht="15" customHeight="true" x14ac:dyDescent="0.15"/>
    <row r="66" customFormat="true" ht="15" customHeight="true" x14ac:dyDescent="0.15"/>
    <row r="67" customFormat="true" ht="15" customHeight="true" x14ac:dyDescent="0.15"/>
    <row r="68" customFormat="true" ht="15" customHeight="true" x14ac:dyDescent="0.15"/>
    <row r="69" customFormat="true" ht="15" customHeight="true" x14ac:dyDescent="0.15"/>
    <row r="70" customFormat="true" ht="15" customHeight="true" x14ac:dyDescent="0.15"/>
    <row r="71" customFormat="true" ht="15" customHeight="true" x14ac:dyDescent="0.15"/>
    <row r="72" customFormat="true" ht="15" customHeight="true" x14ac:dyDescent="0.15"/>
    <row r="73" customFormat="true" ht="15" customHeight="true" x14ac:dyDescent="0.15"/>
    <row r="74" customFormat="true" ht="15" customHeight="true" x14ac:dyDescent="0.15"/>
    <row r="75" customFormat="true" ht="15" customHeight="true" x14ac:dyDescent="0.15"/>
    <row r="76" customFormat="true" ht="15" customHeight="true" x14ac:dyDescent="0.15"/>
    <row r="77" customFormat="true" ht="15" customHeight="true" x14ac:dyDescent="0.15"/>
    <row r="78" customFormat="true" ht="15" customHeight="true" x14ac:dyDescent="0.15"/>
    <row r="79" customFormat="true" ht="15" customHeight="true" x14ac:dyDescent="0.15"/>
    <row r="80" customFormat="true" ht="15" customHeight="true" x14ac:dyDescent="0.15"/>
    <row r="81" customFormat="true" ht="15" customHeight="true" x14ac:dyDescent="0.15"/>
    <row r="82" customFormat="true" ht="15" customHeight="true" x14ac:dyDescent="0.15"/>
    <row r="83" customFormat="true" ht="15" customHeight="true" x14ac:dyDescent="0.15"/>
    <row r="84" customFormat="true" ht="15" customHeight="true" x14ac:dyDescent="0.15"/>
    <row r="85" customFormat="true" ht="15" customHeight="true" x14ac:dyDescent="0.15"/>
    <row r="86" customFormat="true" ht="15" customHeight="true" x14ac:dyDescent="0.15"/>
    <row r="87" customFormat="true" ht="15" customHeight="true" x14ac:dyDescent="0.15"/>
    <row r="88" customFormat="true" ht="15" customHeight="true" x14ac:dyDescent="0.15"/>
    <row r="89" customFormat="true" ht="15" customHeight="true" x14ac:dyDescent="0.15"/>
    <row r="90" customFormat="true" ht="15" customHeight="true" x14ac:dyDescent="0.15"/>
    <row r="91" customFormat="true" ht="15" customHeight="true" x14ac:dyDescent="0.15"/>
    <row r="92" customFormat="true" ht="15" customHeight="true" x14ac:dyDescent="0.15"/>
    <row r="93" customFormat="true" ht="15" customHeight="true" x14ac:dyDescent="0.15"/>
    <row r="94" customFormat="true" ht="15" customHeight="true" x14ac:dyDescent="0.15"/>
    <row r="95" customFormat="true" ht="15" customHeight="true" x14ac:dyDescent="0.15"/>
    <row r="96" customFormat="true" ht="15" customHeight="true" x14ac:dyDescent="0.15"/>
    <row r="97" customFormat="true" ht="15" customHeight="true" x14ac:dyDescent="0.15"/>
    <row r="98" customFormat="true" ht="15" customHeight="true" x14ac:dyDescent="0.15"/>
    <row r="99" customFormat="true" ht="15" customHeight="true" x14ac:dyDescent="0.15"/>
    <row r="100" customFormat="true" ht="15" customHeight="true" x14ac:dyDescent="0.15"/>
    <row r="101" customFormat="true" ht="15" customHeight="true" x14ac:dyDescent="0.15"/>
    <row r="102" customFormat="true" ht="15" customHeight="true" x14ac:dyDescent="0.15"/>
    <row r="103" customFormat="true" ht="15" customHeight="true" x14ac:dyDescent="0.15"/>
    <row r="104" customFormat="true" ht="15" customHeight="true" x14ac:dyDescent="0.15"/>
    <row r="105" customFormat="true" ht="15" customHeight="true" x14ac:dyDescent="0.15"/>
    <row r="106" customFormat="true" ht="15" customHeight="true" x14ac:dyDescent="0.15"/>
    <row r="107" customFormat="true" ht="15" customHeight="true" x14ac:dyDescent="0.15"/>
    <row r="108" customFormat="true" ht="15" customHeight="true" x14ac:dyDescent="0.15"/>
    <row r="109" customFormat="true" ht="15" customHeight="true" x14ac:dyDescent="0.15"/>
    <row r="110" customFormat="true" ht="15" customHeight="true" x14ac:dyDescent="0.15"/>
    <row r="111" customFormat="true" ht="15" customHeight="true" x14ac:dyDescent="0.15"/>
    <row r="112" customFormat="true" ht="15" customHeight="true" x14ac:dyDescent="0.15"/>
    <row r="113" customFormat="true" ht="15" customHeight="true" x14ac:dyDescent="0.15"/>
    <row r="114" customFormat="true" ht="15" customHeight="true" x14ac:dyDescent="0.15"/>
    <row r="115" customFormat="true" ht="15" customHeight="true" x14ac:dyDescent="0.15"/>
    <row r="116" customFormat="true" ht="15" customHeight="true" x14ac:dyDescent="0.15"/>
    <row r="117" customFormat="true" ht="15" customHeight="true" x14ac:dyDescent="0.15"/>
    <row r="118" customFormat="true" ht="15" customHeight="true" x14ac:dyDescent="0.15"/>
    <row r="119" customFormat="true" ht="15" customHeight="true" x14ac:dyDescent="0.15"/>
    <row r="120" customFormat="true" ht="15" customHeight="true" x14ac:dyDescent="0.15"/>
    <row r="121" customFormat="true" ht="15" customHeight="true" x14ac:dyDescent="0.15"/>
    <row r="122" customFormat="true" ht="15" customHeight="true" x14ac:dyDescent="0.15"/>
    <row r="123" customFormat="true" ht="15" customHeight="true" x14ac:dyDescent="0.15"/>
    <row r="124" customFormat="true" ht="15" customHeight="true" x14ac:dyDescent="0.15"/>
    <row r="125" customFormat="true" ht="15" customHeight="true" x14ac:dyDescent="0.15"/>
    <row r="126" customFormat="true" ht="15" customHeight="true" x14ac:dyDescent="0.15"/>
    <row r="127" customFormat="true" ht="15" customHeight="true" x14ac:dyDescent="0.15"/>
    <row r="128" customFormat="true" ht="15" customHeight="true" x14ac:dyDescent="0.15"/>
    <row r="129" customFormat="true" ht="15" customHeight="true" x14ac:dyDescent="0.15"/>
    <row r="130" customFormat="true" ht="15" customHeight="true" x14ac:dyDescent="0.15"/>
    <row r="131" customFormat="true" ht="15" customHeight="true" x14ac:dyDescent="0.15"/>
    <row r="132" customFormat="true" ht="15" customHeight="true" x14ac:dyDescent="0.15"/>
    <row r="133" customFormat="true" ht="15" customHeight="true" x14ac:dyDescent="0.15"/>
    <row r="134" customFormat="true" ht="15" customHeight="true" x14ac:dyDescent="0.15"/>
    <row r="135" customFormat="true" ht="15" customHeight="true" x14ac:dyDescent="0.15"/>
    <row r="136" customFormat="true" ht="15" customHeight="true" x14ac:dyDescent="0.15"/>
    <row r="137" customFormat="true" ht="15" customHeight="true" x14ac:dyDescent="0.15"/>
    <row r="138" customFormat="true" ht="15" customHeight="true" x14ac:dyDescent="0.15"/>
    <row r="139" customFormat="true" ht="15" customHeight="true" x14ac:dyDescent="0.15"/>
    <row r="140" customFormat="true" ht="15" customHeight="true" x14ac:dyDescent="0.15"/>
    <row r="141" customFormat="true" ht="15" customHeight="true" x14ac:dyDescent="0.15"/>
    <row r="142" customFormat="true" ht="15" customHeight="true" x14ac:dyDescent="0.15"/>
    <row r="143" customFormat="true" ht="15" customHeight="true" x14ac:dyDescent="0.15"/>
    <row r="144" customFormat="true" ht="15" customHeight="true" x14ac:dyDescent="0.15"/>
    <row r="145" customFormat="true" ht="15" customHeight="true" x14ac:dyDescent="0.15"/>
    <row r="146" customFormat="true" ht="15" customHeight="true" x14ac:dyDescent="0.15"/>
    <row r="147" customFormat="true" ht="15" customHeight="true" x14ac:dyDescent="0.15"/>
    <row r="148" customFormat="true" ht="15" customHeight="true" x14ac:dyDescent="0.15"/>
    <row r="149" customFormat="true" ht="15" customHeight="true" x14ac:dyDescent="0.15"/>
    <row r="150" customFormat="true" ht="15" customHeight="true" x14ac:dyDescent="0.15"/>
    <row r="151" customFormat="true" ht="15" customHeight="true" x14ac:dyDescent="0.15"/>
    <row r="152" customFormat="true" ht="15" customHeight="true" x14ac:dyDescent="0.15"/>
    <row r="153" customFormat="true" ht="15" customHeight="true" x14ac:dyDescent="0.15"/>
    <row r="154" customFormat="true" ht="15" customHeight="true" x14ac:dyDescent="0.15"/>
    <row r="155" customFormat="true" ht="15" customHeight="true" x14ac:dyDescent="0.15"/>
    <row r="156" customFormat="true" ht="15" customHeight="true" x14ac:dyDescent="0.15"/>
    <row r="157" customFormat="true" ht="15" customHeight="true" x14ac:dyDescent="0.15"/>
    <row r="158" customFormat="true" ht="15" customHeight="true" x14ac:dyDescent="0.15"/>
    <row r="159" customFormat="true" ht="15" customHeight="true" x14ac:dyDescent="0.15"/>
    <row r="160" customFormat="true" ht="15" customHeight="true" x14ac:dyDescent="0.15"/>
    <row r="161" customFormat="true" ht="15" customHeight="true" x14ac:dyDescent="0.15"/>
    <row r="162" customFormat="true" ht="15" customHeight="true" x14ac:dyDescent="0.15"/>
    <row r="163" customFormat="true" ht="15" customHeight="true" x14ac:dyDescent="0.15"/>
    <row r="164" customFormat="true" ht="15" customHeight="true" x14ac:dyDescent="0.15"/>
    <row r="165" customFormat="true" ht="15" customHeight="true" x14ac:dyDescent="0.15"/>
    <row r="166" customFormat="true" ht="15" customHeight="true" x14ac:dyDescent="0.15"/>
    <row r="167" customFormat="true" ht="15" customHeight="true" x14ac:dyDescent="0.15"/>
    <row r="168" customFormat="true" ht="15" customHeight="true" x14ac:dyDescent="0.15"/>
    <row r="169" customFormat="true" ht="15" customHeight="true" x14ac:dyDescent="0.15"/>
    <row r="170" customFormat="true" ht="15" customHeight="true" x14ac:dyDescent="0.15"/>
    <row r="171" customFormat="true" ht="15" customHeight="true" x14ac:dyDescent="0.15"/>
    <row r="172" customFormat="true" ht="15" customHeight="true" x14ac:dyDescent="0.15"/>
    <row r="173" customFormat="true" ht="15" customHeight="true" x14ac:dyDescent="0.15"/>
    <row r="174" customFormat="true" ht="15" customHeight="true" x14ac:dyDescent="0.15"/>
    <row r="175" customFormat="true" ht="15" customHeight="true" x14ac:dyDescent="0.15"/>
    <row r="176" customFormat="true" ht="15" customHeight="true" x14ac:dyDescent="0.15"/>
    <row r="177" customFormat="true" ht="15" customHeight="true" x14ac:dyDescent="0.15"/>
    <row r="178" customFormat="true" ht="15" customHeight="true" x14ac:dyDescent="0.15"/>
    <row r="179" customFormat="true" ht="15" customHeight="true" x14ac:dyDescent="0.15"/>
    <row r="180" customFormat="true" ht="15" customHeight="true" x14ac:dyDescent="0.15"/>
    <row r="181" customFormat="true" ht="15" customHeight="true" x14ac:dyDescent="0.15"/>
    <row r="182" customFormat="true" ht="15" customHeight="true" x14ac:dyDescent="0.15"/>
    <row r="183" customFormat="true" ht="15" customHeight="true" x14ac:dyDescent="0.15"/>
    <row r="184" customFormat="true" ht="15" customHeight="true" x14ac:dyDescent="0.15"/>
    <row r="185" customFormat="true" ht="15" customHeight="true" x14ac:dyDescent="0.15"/>
    <row r="186" customFormat="true" ht="15" customHeight="true" x14ac:dyDescent="0.15"/>
    <row r="187" customFormat="true" ht="15" customHeight="true" x14ac:dyDescent="0.15"/>
    <row r="188" customFormat="true" ht="15" customHeight="true" x14ac:dyDescent="0.15"/>
    <row r="189" customFormat="true" ht="15" customHeight="true" x14ac:dyDescent="0.15"/>
    <row r="190" customFormat="true" ht="15" customHeight="true" x14ac:dyDescent="0.15"/>
    <row r="191" customFormat="true" ht="15" customHeight="true" x14ac:dyDescent="0.15"/>
    <row r="192" customFormat="true" ht="15" customHeight="true" x14ac:dyDescent="0.15"/>
    <row r="193" customFormat="true" ht="15" customHeight="true" x14ac:dyDescent="0.15"/>
    <row r="194" customFormat="true" ht="15" customHeight="true" x14ac:dyDescent="0.15"/>
    <row r="195" customFormat="true" ht="15" customHeight="true" x14ac:dyDescent="0.15"/>
    <row r="196" customFormat="true" ht="15" customHeight="true" x14ac:dyDescent="0.15"/>
    <row r="197" customFormat="true" ht="15" customHeight="true" x14ac:dyDescent="0.15"/>
    <row r="198" customFormat="true" ht="15" customHeight="true" x14ac:dyDescent="0.15"/>
    <row r="199" customFormat="true" ht="15" customHeight="true" x14ac:dyDescent="0.15"/>
    <row r="200" customFormat="true" ht="15" customHeight="true" x14ac:dyDescent="0.15"/>
    <row r="201" customFormat="true" ht="15" customHeight="true" x14ac:dyDescent="0.15"/>
    <row r="202" customFormat="true" ht="15" customHeight="true" x14ac:dyDescent="0.15"/>
    <row r="203" customFormat="true" ht="15" customHeight="true" x14ac:dyDescent="0.15"/>
    <row r="204" customFormat="true" ht="15" customHeight="true" x14ac:dyDescent="0.15"/>
    <row r="205" customFormat="true" ht="15" customHeight="true" x14ac:dyDescent="0.15"/>
    <row r="206" customFormat="true" ht="15" customHeight="true" x14ac:dyDescent="0.15"/>
    <row r="207" ht="15" customHeight="true" x14ac:dyDescent="0.2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ht="15" customHeight="true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ht="15" customHeight="true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ht="15" customHeight="true" x14ac:dyDescent="0.2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ht="15" customHeight="true" x14ac:dyDescent="0.2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ht="15" customHeight="true" x14ac:dyDescent="0.2"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ht="15" customHeight="true" x14ac:dyDescent="0.2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ht="15" customHeight="true" x14ac:dyDescent="0.2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ht="15" customHeight="true" x14ac:dyDescent="0.2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ht="15" customHeight="true" x14ac:dyDescent="0.2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ht="15" customHeight="true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ht="15" customHeight="true" x14ac:dyDescent="0.2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ht="15" customHeight="true" x14ac:dyDescent="0.2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ht="15" customHeight="true" x14ac:dyDescent="0.2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ht="15" customHeight="true" x14ac:dyDescent="0.2"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ht="15" customHeight="true" x14ac:dyDescent="0.2"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ht="15" customHeight="true" x14ac:dyDescent="0.2"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ht="15" customHeight="true" x14ac:dyDescent="0.2"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ht="15" customHeight="true" x14ac:dyDescent="0.2"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ht="15" customHeight="true" x14ac:dyDescent="0.2"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ht="15" customHeight="true" x14ac:dyDescent="0.2"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ht="15" customHeight="true" x14ac:dyDescent="0.2"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ht="15" customHeight="true" x14ac:dyDescent="0.2"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Y38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7" sqref="A27"/>
    </sheetView>
  </sheetViews>
  <sheetFormatPr baseColWidth="10" defaultColWidth="8.83203125" defaultRowHeight="13" x14ac:dyDescent="0.15"/>
  <cols>
    <col min="1" max="1" width="40.1640625" bestFit="true" customWidth="true"/>
    <col min="22" max="30" width="8.83203125" style="3"/>
  </cols>
  <sheetData>
    <row r="1" x14ac:dyDescent="0.15">
      <c r="A1" s="2" t="s">
        <v>19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191</v>
      </c>
      <c r="P1" t="s">
        <v>192</v>
      </c>
      <c r="Q1" t="s">
        <v>193</v>
      </c>
      <c r="R1" s="155" t="s">
        <v>194</v>
      </c>
      <c r="S1" t="s">
        <v>195</v>
      </c>
      <c r="T1" t="s">
        <v>196</v>
      </c>
      <c r="W1" s="156"/>
      <c r="X1" s="156"/>
      <c r="Y1" s="156"/>
    </row>
    <row r="2" x14ac:dyDescent="0.15">
      <c r="A2" t="s">
        <v>178</v>
      </c>
      <c r="B2" s="157">
        <v>0</v>
      </c>
      <c r="C2" s="157">
        <v>0</v>
      </c>
      <c r="D2" s="158">
        <v>0.6</v>
      </c>
      <c r="E2" s="158">
        <v>0.23</v>
      </c>
      <c r="F2" s="158">
        <v>0.1</v>
      </c>
      <c r="G2" s="158">
        <v>0.4</v>
      </c>
      <c r="H2" s="158">
        <v>0</v>
      </c>
      <c r="I2" s="158">
        <v>0</v>
      </c>
      <c r="J2" s="158">
        <v>0</v>
      </c>
      <c r="K2" s="158">
        <v>0</v>
      </c>
      <c r="L2" s="158">
        <v>0</v>
      </c>
      <c r="M2" s="158">
        <v>0</v>
      </c>
      <c r="N2" s="158">
        <v>0</v>
      </c>
      <c r="O2" s="158">
        <v>0</v>
      </c>
      <c r="P2" s="158">
        <v>0</v>
      </c>
      <c r="Q2" s="158">
        <v>0</v>
      </c>
      <c r="R2" s="159">
        <v>0</v>
      </c>
      <c r="S2" s="157">
        <v>0</v>
      </c>
      <c r="T2" s="157">
        <v>0</v>
      </c>
    </row>
    <row r="3" x14ac:dyDescent="0.15">
      <c r="A3" t="s">
        <v>179</v>
      </c>
      <c r="B3" s="157">
        <v>0</v>
      </c>
      <c r="C3" s="157">
        <v>0</v>
      </c>
      <c r="D3" s="158">
        <v>0.25</v>
      </c>
      <c r="E3" s="158">
        <v>0.65</v>
      </c>
      <c r="F3" s="158">
        <v>0.2</v>
      </c>
      <c r="G3" s="158">
        <v>0.2</v>
      </c>
      <c r="H3" s="158">
        <v>0.53</v>
      </c>
      <c r="I3" s="158">
        <v>0</v>
      </c>
      <c r="J3" s="158">
        <v>0</v>
      </c>
      <c r="K3" s="158">
        <v>0</v>
      </c>
      <c r="L3" s="158">
        <v>0</v>
      </c>
      <c r="M3" s="158">
        <v>0</v>
      </c>
      <c r="N3" s="158">
        <v>0</v>
      </c>
      <c r="O3" s="158">
        <v>0</v>
      </c>
      <c r="P3" s="158">
        <v>0</v>
      </c>
      <c r="Q3" s="158">
        <v>0</v>
      </c>
      <c r="R3" s="159">
        <v>0</v>
      </c>
      <c r="S3" s="157">
        <v>0</v>
      </c>
      <c r="T3" s="157">
        <v>0</v>
      </c>
    </row>
    <row r="4" x14ac:dyDescent="0.15">
      <c r="A4" t="s">
        <v>180</v>
      </c>
      <c r="B4" s="157">
        <v>0</v>
      </c>
      <c r="C4" s="157">
        <v>0</v>
      </c>
      <c r="D4" s="158">
        <v>0</v>
      </c>
      <c r="E4" s="158">
        <v>0.05</v>
      </c>
      <c r="F4" s="158">
        <v>0.05</v>
      </c>
      <c r="G4" s="158">
        <v>0.3</v>
      </c>
      <c r="H4" s="158">
        <v>0.05</v>
      </c>
      <c r="I4" s="158">
        <v>0</v>
      </c>
      <c r="J4" s="158">
        <v>0</v>
      </c>
      <c r="K4" s="158">
        <v>0</v>
      </c>
      <c r="L4" s="158">
        <v>0</v>
      </c>
      <c r="M4" s="158">
        <v>0</v>
      </c>
      <c r="N4" s="158">
        <v>0</v>
      </c>
      <c r="O4" s="158">
        <v>0</v>
      </c>
      <c r="P4" s="158">
        <v>0</v>
      </c>
      <c r="Q4" s="158">
        <v>0</v>
      </c>
      <c r="R4" s="159">
        <v>0</v>
      </c>
      <c r="S4" s="157">
        <v>0</v>
      </c>
      <c r="T4" s="157">
        <v>0</v>
      </c>
    </row>
    <row r="5" x14ac:dyDescent="0.15">
      <c r="A5" t="s">
        <v>181</v>
      </c>
      <c r="B5" s="157">
        <v>0</v>
      </c>
      <c r="C5" s="157">
        <v>0</v>
      </c>
      <c r="D5" s="158">
        <v>0</v>
      </c>
      <c r="E5" s="158">
        <v>0</v>
      </c>
      <c r="F5" s="158">
        <v>0.52</v>
      </c>
      <c r="G5" s="158">
        <v>0.05</v>
      </c>
      <c r="H5" s="158">
        <v>0.25</v>
      </c>
      <c r="I5" s="158">
        <v>0</v>
      </c>
      <c r="J5" s="158">
        <v>0.308409420536714</v>
      </c>
      <c r="K5" s="158">
        <v>0.05</v>
      </c>
      <c r="L5" s="158">
        <v>0</v>
      </c>
      <c r="M5" s="158">
        <v>0</v>
      </c>
      <c r="N5" s="158">
        <v>0.02</v>
      </c>
      <c r="O5" s="158">
        <v>0</v>
      </c>
      <c r="P5" s="158">
        <v>0</v>
      </c>
      <c r="Q5" s="158">
        <v>1.3709677419354801E-2</v>
      </c>
      <c r="R5" s="159">
        <v>0</v>
      </c>
      <c r="S5" s="157">
        <v>0</v>
      </c>
      <c r="T5" s="157">
        <v>0</v>
      </c>
    </row>
    <row r="6" x14ac:dyDescent="0.15">
      <c r="A6" t="s">
        <v>182</v>
      </c>
      <c r="B6" s="157">
        <v>0</v>
      </c>
      <c r="C6" s="157">
        <v>0</v>
      </c>
      <c r="D6" s="158">
        <v>0</v>
      </c>
      <c r="E6" s="158">
        <v>0</v>
      </c>
      <c r="F6" s="158">
        <v>0.01</v>
      </c>
      <c r="G6" s="158">
        <v>0.05</v>
      </c>
      <c r="H6" s="160">
        <v>0</v>
      </c>
      <c r="I6" s="158">
        <v>0.09</v>
      </c>
      <c r="J6" s="158">
        <v>0.18748272033028501</v>
      </c>
      <c r="K6" s="158">
        <v>0.05</v>
      </c>
      <c r="L6" s="158">
        <v>0</v>
      </c>
      <c r="M6" s="158">
        <v>0</v>
      </c>
      <c r="N6" s="158">
        <v>0</v>
      </c>
      <c r="O6" s="158">
        <v>0</v>
      </c>
      <c r="P6" s="158">
        <v>0</v>
      </c>
      <c r="Q6" s="158">
        <v>0</v>
      </c>
      <c r="R6" s="159">
        <v>0</v>
      </c>
      <c r="S6" s="157">
        <v>0</v>
      </c>
      <c r="T6" s="157">
        <v>0</v>
      </c>
    </row>
    <row r="7" x14ac:dyDescent="0.15">
      <c r="A7" t="s">
        <v>183</v>
      </c>
      <c r="B7" s="157">
        <v>0</v>
      </c>
      <c r="C7" s="157">
        <v>0</v>
      </c>
      <c r="D7" s="158">
        <v>0</v>
      </c>
      <c r="E7" s="158">
        <v>0</v>
      </c>
      <c r="F7" s="158">
        <v>0</v>
      </c>
      <c r="G7" s="158">
        <v>0</v>
      </c>
      <c r="H7" s="158">
        <v>0</v>
      </c>
      <c r="I7" s="158">
        <v>0</v>
      </c>
      <c r="J7" s="158">
        <v>0</v>
      </c>
      <c r="K7" s="158">
        <v>0</v>
      </c>
      <c r="L7" s="158">
        <v>0</v>
      </c>
      <c r="M7" s="158">
        <v>0</v>
      </c>
      <c r="N7" s="158">
        <v>0</v>
      </c>
      <c r="O7" s="158">
        <v>0</v>
      </c>
      <c r="P7" s="158">
        <v>0</v>
      </c>
      <c r="Q7" s="158">
        <v>0</v>
      </c>
      <c r="R7" s="159">
        <v>0</v>
      </c>
      <c r="S7" s="157">
        <v>0</v>
      </c>
      <c r="T7" s="157">
        <v>0</v>
      </c>
    </row>
    <row r="8" x14ac:dyDescent="0.15">
      <c r="A8" t="s">
        <v>184</v>
      </c>
      <c r="B8" s="157">
        <v>0</v>
      </c>
      <c r="C8" s="157">
        <v>0</v>
      </c>
      <c r="D8" s="158">
        <v>0</v>
      </c>
      <c r="E8" s="158">
        <v>0</v>
      </c>
      <c r="F8" s="158">
        <v>0.03</v>
      </c>
      <c r="G8" s="158">
        <v>0</v>
      </c>
      <c r="H8" s="158">
        <v>0</v>
      </c>
      <c r="I8" s="158">
        <v>0.41</v>
      </c>
      <c r="J8" s="158">
        <v>0.50410785913300105</v>
      </c>
      <c r="K8" s="158">
        <v>0.17</v>
      </c>
      <c r="L8" s="158">
        <v>0</v>
      </c>
      <c r="M8" s="158">
        <v>0.59</v>
      </c>
      <c r="N8" s="158">
        <v>0.1</v>
      </c>
      <c r="O8" s="158">
        <v>0.95</v>
      </c>
      <c r="P8" s="158">
        <v>0</v>
      </c>
      <c r="Q8" s="158">
        <v>0.91774193548387095</v>
      </c>
      <c r="R8" s="159">
        <v>0</v>
      </c>
      <c r="S8" s="157">
        <v>0</v>
      </c>
      <c r="T8" s="157">
        <v>0</v>
      </c>
    </row>
    <row r="9" x14ac:dyDescent="0.15">
      <c r="A9" t="s">
        <v>185</v>
      </c>
      <c r="B9" s="157">
        <v>0</v>
      </c>
      <c r="C9" s="157">
        <v>0</v>
      </c>
      <c r="D9" s="158">
        <v>0</v>
      </c>
      <c r="E9" s="158">
        <v>0</v>
      </c>
      <c r="F9" s="158">
        <v>0</v>
      </c>
      <c r="G9" s="158">
        <v>0</v>
      </c>
      <c r="H9" s="158">
        <v>0</v>
      </c>
      <c r="I9" s="158">
        <v>0</v>
      </c>
      <c r="J9" s="158">
        <v>0</v>
      </c>
      <c r="K9" s="158">
        <v>0.08</v>
      </c>
      <c r="L9" s="158">
        <v>0</v>
      </c>
      <c r="M9" s="158">
        <v>0.3</v>
      </c>
      <c r="N9" s="158">
        <v>0.3</v>
      </c>
      <c r="O9" s="158">
        <v>0.02</v>
      </c>
      <c r="P9" s="158">
        <v>0.5</v>
      </c>
      <c r="Q9" s="158">
        <v>1.3709677419354801E-2</v>
      </c>
      <c r="R9" s="159">
        <v>6.8000000000000005E-2</v>
      </c>
      <c r="S9" s="157">
        <v>0</v>
      </c>
      <c r="T9" s="157">
        <v>0</v>
      </c>
    </row>
    <row r="10" x14ac:dyDescent="0.15">
      <c r="A10" t="s">
        <v>186</v>
      </c>
      <c r="B10" s="157">
        <v>0</v>
      </c>
      <c r="C10" s="157">
        <v>0</v>
      </c>
      <c r="D10" s="158">
        <v>0</v>
      </c>
      <c r="E10" s="158">
        <v>0</v>
      </c>
      <c r="F10" s="158">
        <v>0</v>
      </c>
      <c r="G10" s="158">
        <v>0</v>
      </c>
      <c r="H10" s="158">
        <v>0</v>
      </c>
      <c r="I10" s="158">
        <v>0.5</v>
      </c>
      <c r="J10" s="158">
        <v>0</v>
      </c>
      <c r="K10" s="158">
        <v>0.25</v>
      </c>
      <c r="L10" s="158">
        <v>0</v>
      </c>
      <c r="M10" s="158">
        <v>0.11</v>
      </c>
      <c r="N10" s="158">
        <v>0.52</v>
      </c>
      <c r="O10" s="158">
        <v>0.03</v>
      </c>
      <c r="P10" s="158">
        <v>0.34</v>
      </c>
      <c r="Q10" s="158">
        <v>5.4838709677419398E-2</v>
      </c>
      <c r="R10" s="159">
        <v>0.372</v>
      </c>
      <c r="S10" s="157">
        <v>0</v>
      </c>
      <c r="T10" s="157">
        <v>0</v>
      </c>
    </row>
    <row r="11" x14ac:dyDescent="0.15">
      <c r="A11" t="s">
        <v>187</v>
      </c>
      <c r="B11" s="157">
        <v>0</v>
      </c>
      <c r="C11" s="157">
        <v>0</v>
      </c>
      <c r="D11" s="158">
        <v>0</v>
      </c>
      <c r="E11" s="158">
        <v>0</v>
      </c>
      <c r="F11" s="158">
        <v>0</v>
      </c>
      <c r="G11" s="158">
        <v>0</v>
      </c>
      <c r="H11" s="158">
        <v>0</v>
      </c>
      <c r="I11" s="158">
        <v>0</v>
      </c>
      <c r="J11" s="158">
        <v>0</v>
      </c>
      <c r="K11" s="158">
        <v>0</v>
      </c>
      <c r="L11" s="158">
        <v>0</v>
      </c>
      <c r="M11" s="158">
        <v>0</v>
      </c>
      <c r="N11" s="158">
        <v>0.06</v>
      </c>
      <c r="O11" s="158">
        <v>0</v>
      </c>
      <c r="P11" s="158">
        <v>0.16</v>
      </c>
      <c r="Q11" s="158">
        <v>0</v>
      </c>
      <c r="R11" s="159">
        <v>0.50600000000000001</v>
      </c>
      <c r="S11" s="157">
        <v>0</v>
      </c>
      <c r="T11" s="157">
        <v>0</v>
      </c>
    </row>
    <row r="12" x14ac:dyDescent="0.15">
      <c r="A12" t="s">
        <v>188</v>
      </c>
      <c r="B12" s="157">
        <v>0</v>
      </c>
      <c r="C12" s="157">
        <v>0</v>
      </c>
      <c r="D12" s="158">
        <v>0</v>
      </c>
      <c r="E12" s="158">
        <v>0</v>
      </c>
      <c r="F12" s="158">
        <v>0</v>
      </c>
      <c r="G12" s="158">
        <v>0</v>
      </c>
      <c r="H12" s="158">
        <v>0</v>
      </c>
      <c r="I12" s="158">
        <v>0</v>
      </c>
      <c r="J12" s="158">
        <v>0</v>
      </c>
      <c r="K12" s="158">
        <v>0.4</v>
      </c>
      <c r="L12" s="158">
        <v>0</v>
      </c>
      <c r="M12" s="158">
        <v>0</v>
      </c>
      <c r="N12" s="158">
        <v>0</v>
      </c>
      <c r="O12" s="158">
        <v>0</v>
      </c>
      <c r="P12" s="158">
        <v>0</v>
      </c>
      <c r="Q12" s="158">
        <v>0</v>
      </c>
      <c r="R12" s="159">
        <v>0</v>
      </c>
      <c r="S12" s="157">
        <v>0</v>
      </c>
      <c r="T12" s="157">
        <v>0</v>
      </c>
    </row>
    <row r="13" x14ac:dyDescent="0.15">
      <c r="A13" t="s">
        <v>189</v>
      </c>
      <c r="B13" s="157">
        <v>0</v>
      </c>
      <c r="C13" s="157">
        <v>0</v>
      </c>
      <c r="D13" s="158">
        <v>0</v>
      </c>
      <c r="E13" s="158">
        <v>0</v>
      </c>
      <c r="F13" s="158">
        <v>0</v>
      </c>
      <c r="G13" s="158">
        <v>0</v>
      </c>
      <c r="H13" s="158">
        <v>0</v>
      </c>
      <c r="I13" s="158">
        <v>0</v>
      </c>
      <c r="J13" s="158">
        <v>0</v>
      </c>
      <c r="K13" s="158">
        <v>0</v>
      </c>
      <c r="L13" s="158">
        <v>0</v>
      </c>
      <c r="M13" s="158">
        <v>0</v>
      </c>
      <c r="N13" s="158">
        <v>0</v>
      </c>
      <c r="O13" s="158">
        <v>0</v>
      </c>
      <c r="P13" s="158">
        <v>0</v>
      </c>
      <c r="Q13" s="158">
        <v>0</v>
      </c>
      <c r="R13" s="159">
        <v>1.4E-2</v>
      </c>
      <c r="S13" s="157">
        <v>0</v>
      </c>
      <c r="T13" s="157">
        <v>0</v>
      </c>
    </row>
    <row r="14" x14ac:dyDescent="0.15">
      <c r="A14" t="s">
        <v>190</v>
      </c>
      <c r="B14" s="157">
        <v>0</v>
      </c>
      <c r="C14" s="157">
        <v>0</v>
      </c>
      <c r="D14" s="158">
        <v>0</v>
      </c>
      <c r="E14" s="158">
        <v>0</v>
      </c>
      <c r="F14" s="158">
        <v>0</v>
      </c>
      <c r="G14" s="158">
        <v>0</v>
      </c>
      <c r="H14" s="158">
        <v>0</v>
      </c>
      <c r="I14" s="158">
        <v>0</v>
      </c>
      <c r="J14" s="158">
        <v>0</v>
      </c>
      <c r="K14" s="158">
        <v>0</v>
      </c>
      <c r="L14" s="158">
        <v>0</v>
      </c>
      <c r="M14" s="158">
        <v>0</v>
      </c>
      <c r="N14" s="158">
        <v>0</v>
      </c>
      <c r="O14" s="158">
        <v>0</v>
      </c>
      <c r="P14" s="158">
        <v>0</v>
      </c>
      <c r="Q14" s="158">
        <v>0</v>
      </c>
      <c r="R14" s="159">
        <v>0</v>
      </c>
      <c r="S14" s="157">
        <v>0</v>
      </c>
      <c r="T14" s="157">
        <v>0</v>
      </c>
    </row>
    <row r="15" x14ac:dyDescent="0.15">
      <c r="A15" t="s">
        <v>191</v>
      </c>
      <c r="B15" s="157">
        <v>0</v>
      </c>
      <c r="C15" s="157">
        <v>0</v>
      </c>
      <c r="D15" s="158">
        <v>0</v>
      </c>
      <c r="E15" s="158">
        <v>0</v>
      </c>
      <c r="F15" s="158">
        <v>0</v>
      </c>
      <c r="G15" s="158">
        <v>0</v>
      </c>
      <c r="H15" s="158">
        <v>0</v>
      </c>
      <c r="I15" s="158">
        <v>0</v>
      </c>
      <c r="J15" s="158">
        <v>0</v>
      </c>
      <c r="K15" s="158">
        <v>0</v>
      </c>
      <c r="L15" s="158">
        <v>0</v>
      </c>
      <c r="M15" s="158">
        <v>0</v>
      </c>
      <c r="N15" s="158">
        <v>0</v>
      </c>
      <c r="O15" s="158">
        <v>0</v>
      </c>
      <c r="P15" s="158">
        <v>0</v>
      </c>
      <c r="Q15" s="158">
        <v>0</v>
      </c>
      <c r="R15" s="159">
        <v>0.04</v>
      </c>
      <c r="S15" s="157">
        <v>0</v>
      </c>
      <c r="T15" s="157">
        <v>0</v>
      </c>
    </row>
    <row r="16" x14ac:dyDescent="0.15">
      <c r="A16" t="s">
        <v>192</v>
      </c>
      <c r="B16" s="157">
        <v>0</v>
      </c>
      <c r="C16" s="157">
        <v>0</v>
      </c>
      <c r="D16" s="158">
        <v>0</v>
      </c>
      <c r="E16" s="158">
        <v>0</v>
      </c>
      <c r="F16" s="158">
        <v>0</v>
      </c>
      <c r="G16" s="158">
        <v>0</v>
      </c>
      <c r="H16" s="158">
        <v>0</v>
      </c>
      <c r="I16" s="158">
        <v>0</v>
      </c>
      <c r="J16" s="158">
        <v>0</v>
      </c>
      <c r="K16" s="158">
        <v>0</v>
      </c>
      <c r="L16" s="158">
        <v>0</v>
      </c>
      <c r="M16" s="158">
        <v>0</v>
      </c>
      <c r="N16" s="158">
        <v>0</v>
      </c>
      <c r="O16" s="158">
        <v>0</v>
      </c>
      <c r="P16" s="158">
        <v>0</v>
      </c>
      <c r="Q16" s="158">
        <v>0</v>
      </c>
      <c r="R16" s="159">
        <v>0</v>
      </c>
      <c r="S16" s="157">
        <v>0</v>
      </c>
      <c r="T16" s="157">
        <v>0</v>
      </c>
    </row>
    <row r="17" x14ac:dyDescent="0.15">
      <c r="A17" t="s">
        <v>193</v>
      </c>
      <c r="B17" s="157">
        <v>0</v>
      </c>
      <c r="C17" s="157">
        <v>0</v>
      </c>
      <c r="D17" s="158">
        <v>0</v>
      </c>
      <c r="E17" s="158">
        <v>0</v>
      </c>
      <c r="F17" s="158">
        <v>0</v>
      </c>
      <c r="G17" s="158">
        <v>0</v>
      </c>
      <c r="H17" s="158">
        <v>0</v>
      </c>
      <c r="I17" s="158">
        <v>0</v>
      </c>
      <c r="J17" s="158">
        <v>0</v>
      </c>
      <c r="K17" s="158">
        <v>0</v>
      </c>
      <c r="L17" s="158">
        <v>0</v>
      </c>
      <c r="M17" s="158">
        <v>0</v>
      </c>
      <c r="N17" s="158">
        <v>0</v>
      </c>
      <c r="O17" s="158">
        <v>0</v>
      </c>
      <c r="P17" s="158">
        <v>0</v>
      </c>
      <c r="Q17" s="158">
        <v>0</v>
      </c>
      <c r="R17" s="159">
        <v>0</v>
      </c>
      <c r="S17" s="157">
        <v>0</v>
      </c>
      <c r="T17" s="157">
        <v>0</v>
      </c>
    </row>
    <row r="18" x14ac:dyDescent="0.15">
      <c r="A18" s="155" t="s">
        <v>194</v>
      </c>
      <c r="B18" s="159">
        <v>0</v>
      </c>
      <c r="C18" s="159">
        <v>0</v>
      </c>
      <c r="D18" s="159">
        <v>0</v>
      </c>
      <c r="E18" s="159">
        <v>0</v>
      </c>
      <c r="F18" s="159">
        <v>0</v>
      </c>
      <c r="G18" s="159">
        <v>0</v>
      </c>
      <c r="H18" s="159">
        <v>0</v>
      </c>
      <c r="I18" s="159">
        <v>0</v>
      </c>
      <c r="J18" s="159">
        <v>0</v>
      </c>
      <c r="K18" s="159">
        <v>0</v>
      </c>
      <c r="L18" s="159">
        <v>0</v>
      </c>
      <c r="M18" s="159">
        <v>0</v>
      </c>
      <c r="N18" s="159">
        <v>0</v>
      </c>
      <c r="O18" s="159">
        <v>0</v>
      </c>
      <c r="P18" s="159">
        <v>0</v>
      </c>
      <c r="Q18" s="159">
        <v>0</v>
      </c>
      <c r="R18" s="159">
        <v>0</v>
      </c>
      <c r="S18" s="159">
        <v>0</v>
      </c>
      <c r="T18" s="159">
        <v>0</v>
      </c>
    </row>
    <row r="19" x14ac:dyDescent="0.15">
      <c r="A19" t="s">
        <v>195</v>
      </c>
      <c r="B19" s="157">
        <v>0</v>
      </c>
      <c r="C19" s="157">
        <v>0</v>
      </c>
      <c r="D19" s="157">
        <v>0.15</v>
      </c>
      <c r="E19" s="157">
        <v>7.0000000000000007E-2</v>
      </c>
      <c r="F19" s="157">
        <v>0</v>
      </c>
      <c r="G19" s="157">
        <v>0</v>
      </c>
      <c r="H19" s="157">
        <v>0</v>
      </c>
      <c r="I19" s="157">
        <v>0</v>
      </c>
      <c r="J19" s="157">
        <v>0</v>
      </c>
      <c r="K19" s="157">
        <v>0</v>
      </c>
      <c r="L19" s="157">
        <v>0</v>
      </c>
      <c r="M19" s="157">
        <v>0</v>
      </c>
      <c r="N19" s="157">
        <v>0</v>
      </c>
      <c r="O19" s="157">
        <v>0</v>
      </c>
      <c r="P19" s="157">
        <v>0</v>
      </c>
      <c r="Q19" s="157">
        <v>0</v>
      </c>
      <c r="R19" s="157">
        <v>0</v>
      </c>
      <c r="S19" s="157">
        <v>0</v>
      </c>
      <c r="T19" s="157">
        <v>0</v>
      </c>
    </row>
    <row r="20" x14ac:dyDescent="0.15">
      <c r="A20" t="s">
        <v>196</v>
      </c>
      <c r="B20" s="157">
        <v>0</v>
      </c>
      <c r="C20" s="157">
        <v>0</v>
      </c>
      <c r="D20" s="157">
        <v>0</v>
      </c>
      <c r="E20" s="157">
        <v>0</v>
      </c>
      <c r="F20" s="157">
        <v>0.09</v>
      </c>
      <c r="G20" s="157">
        <v>0</v>
      </c>
      <c r="H20" s="157">
        <v>0.17</v>
      </c>
      <c r="I20" s="157">
        <v>0</v>
      </c>
      <c r="J20" s="157">
        <v>0</v>
      </c>
      <c r="K20" s="157">
        <v>0</v>
      </c>
      <c r="L20" s="157">
        <v>1</v>
      </c>
      <c r="M20" s="157">
        <v>0</v>
      </c>
      <c r="N20" s="157">
        <v>0</v>
      </c>
      <c r="O20" s="157">
        <v>0</v>
      </c>
      <c r="P20" s="157">
        <v>0</v>
      </c>
      <c r="Q20" s="157">
        <v>0</v>
      </c>
      <c r="R20" s="157">
        <v>0</v>
      </c>
      <c r="S20" s="157">
        <v>0</v>
      </c>
      <c r="T20" s="157">
        <v>0</v>
      </c>
    </row>
    <row r="21" x14ac:dyDescent="0.15">
      <c r="A21" t="s">
        <v>174</v>
      </c>
      <c r="B21" s="157">
        <v>0</v>
      </c>
      <c r="C21" s="157">
        <v>0</v>
      </c>
      <c r="D21" s="157">
        <v>0</v>
      </c>
      <c r="E21" s="157">
        <v>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57">
        <v>0</v>
      </c>
      <c r="L21" s="157">
        <v>0</v>
      </c>
      <c r="M21" s="157">
        <v>0</v>
      </c>
      <c r="N21" s="157">
        <v>0</v>
      </c>
      <c r="O21" s="157">
        <v>0</v>
      </c>
      <c r="P21" s="157">
        <v>0</v>
      </c>
      <c r="Q21" s="157">
        <v>0</v>
      </c>
      <c r="R21" s="157">
        <v>0</v>
      </c>
      <c r="S21" s="157">
        <v>0</v>
      </c>
      <c r="T21" s="157">
        <v>0</v>
      </c>
    </row>
    <row r="23" x14ac:dyDescent="0.15">
      <c r="A23" s="51"/>
    </row>
    <row r="24" x14ac:dyDescent="0.15">
      <c r="A24" s="51"/>
    </row>
    <row r="25" x14ac:dyDescent="0.15">
      <c r="A25" s="51"/>
    </row>
    <row r="30" x14ac:dyDescent="0.15"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R30" s="115"/>
      <c r="S30" s="115"/>
    </row>
    <row r="35" x14ac:dyDescent="0.15">
      <c r="A35" t="s">
        <v>61</v>
      </c>
      <c r="B35">
        <f>SUM(B2:B30)</f>
        <v>0</v>
      </c>
      <c r="C35">
        <f t="shared" ref="C35:T35" si="0">SUM(C2:C30)</f>
        <v>0</v>
      </c>
      <c r="D35">
        <f t="shared" si="0"/>
        <v>1</v>
      </c>
      <c r="E35">
        <f t="shared" si="0"/>
        <v>1</v>
      </c>
      <c r="F35">
        <f t="shared" si="0"/>
        <v>1.0000000000000002</v>
      </c>
      <c r="G35">
        <f t="shared" si="0"/>
        <v>1.0000000000000002</v>
      </c>
      <c r="H35">
        <f t="shared" si="0"/>
        <v>1</v>
      </c>
      <c r="I35">
        <f t="shared" si="0"/>
        <v>1</v>
      </c>
      <c r="J35">
        <f t="shared" si="0"/>
        <v>1</v>
      </c>
      <c r="K35">
        <f t="shared" si="0"/>
        <v>1</v>
      </c>
      <c r="L35">
        <f t="shared" si="0"/>
        <v>1</v>
      </c>
      <c r="M35">
        <f t="shared" si="0"/>
        <v>0.99999999999999989</v>
      </c>
      <c r="N35">
        <f t="shared" si="0"/>
        <v>1</v>
      </c>
      <c r="O35">
        <f t="shared" si="0"/>
        <v>1</v>
      </c>
      <c r="P35">
        <f t="shared" si="0"/>
        <v>1</v>
      </c>
      <c r="Q35">
        <f t="shared" si="0"/>
        <v>1</v>
      </c>
      <c r="R35">
        <f t="shared" si="0"/>
        <v>1</v>
      </c>
      <c r="S35">
        <f t="shared" si="0"/>
        <v>0</v>
      </c>
      <c r="T35">
        <f t="shared" si="0"/>
        <v>0</v>
      </c>
    </row>
    <row r="36" x14ac:dyDescent="0.15">
      <c r="A36" t="s">
        <v>176</v>
      </c>
      <c r="B36">
        <f>1-B35</f>
        <v>1</v>
      </c>
      <c r="C36">
        <f t="shared" ref="C36:T36" si="1">1-C35</f>
        <v>1</v>
      </c>
      <c r="D36">
        <f t="shared" si="1"/>
        <v>0</v>
      </c>
      <c r="E36">
        <f t="shared" si="1"/>
        <v>0</v>
      </c>
      <c r="F36">
        <f t="shared" si="1"/>
        <v>0</v>
      </c>
      <c r="G36">
        <f t="shared" si="1"/>
        <v>0</v>
      </c>
      <c r="H36">
        <f t="shared" si="1"/>
        <v>0</v>
      </c>
      <c r="I36">
        <f t="shared" si="1"/>
        <v>0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0</v>
      </c>
      <c r="N36">
        <f t="shared" si="1"/>
        <v>0</v>
      </c>
      <c r="O36">
        <f t="shared" si="1"/>
        <v>0</v>
      </c>
      <c r="P36">
        <f t="shared" si="1"/>
        <v>0</v>
      </c>
      <c r="Q36">
        <f t="shared" si="1"/>
        <v>0</v>
      </c>
      <c r="R36">
        <f t="shared" si="1"/>
        <v>0</v>
      </c>
      <c r="S36">
        <f t="shared" si="1"/>
        <v>1</v>
      </c>
      <c r="T36">
        <f t="shared" si="1"/>
        <v>1</v>
      </c>
    </row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  <row r="188" ht="15" customHeight="true" x14ac:dyDescent="0.15"/>
    <row r="189" ht="15" customHeight="true" x14ac:dyDescent="0.15"/>
    <row r="190" ht="15" customHeight="true" x14ac:dyDescent="0.15"/>
    <row r="191" ht="15" customHeight="true" x14ac:dyDescent="0.15"/>
    <row r="192" ht="15" customHeight="true" x14ac:dyDescent="0.15"/>
    <row r="193" ht="15" customHeight="true" x14ac:dyDescent="0.15"/>
    <row r="194" ht="15" customHeight="true" x14ac:dyDescent="0.15"/>
    <row r="195" ht="15" customHeight="true" x14ac:dyDescent="0.15"/>
    <row r="196" ht="15" customHeight="true" x14ac:dyDescent="0.15"/>
    <row r="197" ht="15" customHeight="true" x14ac:dyDescent="0.15"/>
    <row r="198" ht="15" customHeight="true" x14ac:dyDescent="0.15"/>
    <row r="199" ht="15" customHeight="true" x14ac:dyDescent="0.15"/>
    <row r="200" ht="15" customHeight="true" x14ac:dyDescent="0.15"/>
    <row r="201" ht="15" customHeight="true" x14ac:dyDescent="0.15"/>
    <row r="202" ht="15" customHeight="true" x14ac:dyDescent="0.15"/>
    <row r="203" ht="15" customHeight="true" x14ac:dyDescent="0.15"/>
    <row r="204" ht="15" customHeight="true" x14ac:dyDescent="0.15"/>
    <row r="205" ht="15" customHeight="true" x14ac:dyDescent="0.15"/>
    <row r="206" ht="15" customHeight="true" x14ac:dyDescent="0.15"/>
    <row r="207" ht="15" customHeight="true" x14ac:dyDescent="0.15"/>
    <row r="208" ht="15" customHeight="true" x14ac:dyDescent="0.15"/>
    <row r="209" ht="15" customHeight="true" x14ac:dyDescent="0.15"/>
    <row r="210" ht="15" customHeight="true" x14ac:dyDescent="0.15"/>
    <row r="211" ht="15" customHeight="true" x14ac:dyDescent="0.15"/>
    <row r="212" ht="15" customHeight="true" x14ac:dyDescent="0.15"/>
    <row r="213" ht="15" customHeight="true" x14ac:dyDescent="0.15"/>
    <row r="214" ht="15" customHeight="true" x14ac:dyDescent="0.15"/>
    <row r="215" ht="15" customHeight="true" x14ac:dyDescent="0.15"/>
    <row r="216" ht="15" customHeight="true" x14ac:dyDescent="0.15"/>
    <row r="217" ht="15" customHeight="true" x14ac:dyDescent="0.15"/>
    <row r="218" ht="15" customHeight="true" x14ac:dyDescent="0.15"/>
    <row r="219" ht="15" customHeight="true" x14ac:dyDescent="0.15"/>
    <row r="220" ht="15" customHeight="true" x14ac:dyDescent="0.15"/>
    <row r="221" ht="15" customHeight="true" x14ac:dyDescent="0.15"/>
    <row r="222" ht="15" customHeight="true" x14ac:dyDescent="0.15"/>
    <row r="223" ht="15" customHeight="true" x14ac:dyDescent="0.15"/>
    <row r="224" ht="15" customHeight="true" x14ac:dyDescent="0.15"/>
    <row r="225" ht="15" customHeight="true" x14ac:dyDescent="0.15"/>
    <row r="226" ht="15" customHeight="true" x14ac:dyDescent="0.15"/>
    <row r="227" ht="15" customHeight="true" x14ac:dyDescent="0.15"/>
    <row r="228" ht="15" customHeight="true" x14ac:dyDescent="0.15"/>
    <row r="229" ht="15" customHeight="true" x14ac:dyDescent="0.15"/>
    <row r="230" ht="15" customHeight="true" x14ac:dyDescent="0.15"/>
    <row r="231" ht="15" customHeight="true" x14ac:dyDescent="0.15"/>
    <row r="232" ht="15" customHeight="true" x14ac:dyDescent="0.15"/>
    <row r="233" ht="15" customHeight="true" x14ac:dyDescent="0.15"/>
    <row r="234" ht="15" customHeight="true" x14ac:dyDescent="0.15"/>
    <row r="235" ht="15" customHeight="true" x14ac:dyDescent="0.15"/>
    <row r="236" ht="15" customHeight="true" x14ac:dyDescent="0.15"/>
    <row r="237" ht="15" customHeight="true" x14ac:dyDescent="0.15"/>
    <row r="238" ht="15" customHeight="true" x14ac:dyDescent="0.15"/>
    <row r="239" ht="15" customHeight="true" x14ac:dyDescent="0.15"/>
    <row r="240" ht="15" customHeight="true" x14ac:dyDescent="0.15"/>
    <row r="241" ht="15" customHeight="true" x14ac:dyDescent="0.15"/>
    <row r="242" ht="15" customHeight="true" x14ac:dyDescent="0.15"/>
    <row r="243" ht="15" customHeight="true" x14ac:dyDescent="0.15"/>
    <row r="244" ht="15" customHeight="true" x14ac:dyDescent="0.15"/>
    <row r="245" ht="15" customHeight="true" x14ac:dyDescent="0.15"/>
    <row r="246" ht="15" customHeight="true" x14ac:dyDescent="0.15"/>
    <row r="247" ht="15" customHeight="true" x14ac:dyDescent="0.15"/>
    <row r="248" ht="15" customHeight="true" x14ac:dyDescent="0.15"/>
    <row r="249" ht="15" customHeight="true" x14ac:dyDescent="0.15"/>
    <row r="250" ht="15" customHeight="true" x14ac:dyDescent="0.15"/>
    <row r="251" ht="15" customHeight="true" x14ac:dyDescent="0.15"/>
    <row r="252" ht="15" customHeight="true" x14ac:dyDescent="0.15"/>
    <row r="253" ht="15" customHeight="true" x14ac:dyDescent="0.15"/>
    <row r="254" ht="15" customHeight="true" x14ac:dyDescent="0.15"/>
    <row r="255" ht="15" customHeight="true" x14ac:dyDescent="0.15"/>
    <row r="256" ht="15" customHeight="true" x14ac:dyDescent="0.15"/>
    <row r="257" ht="15" customHeight="true" x14ac:dyDescent="0.15"/>
    <row r="258" ht="15" customHeight="true" x14ac:dyDescent="0.15"/>
    <row r="259" ht="15" customHeight="true" x14ac:dyDescent="0.15"/>
    <row r="260" ht="15" customHeight="true" x14ac:dyDescent="0.15"/>
    <row r="261" ht="15" customHeight="true" x14ac:dyDescent="0.15"/>
    <row r="262" ht="15" customHeight="true" x14ac:dyDescent="0.15"/>
    <row r="263" ht="15" customHeight="true" x14ac:dyDescent="0.15"/>
    <row r="264" ht="15" customHeight="true" x14ac:dyDescent="0.15"/>
    <row r="265" ht="15" customHeight="true" x14ac:dyDescent="0.15"/>
    <row r="266" ht="15" customHeight="true" x14ac:dyDescent="0.15"/>
    <row r="267" ht="15" customHeight="true" x14ac:dyDescent="0.15"/>
    <row r="268" ht="15" customHeight="true" x14ac:dyDescent="0.15"/>
    <row r="269" ht="15" customHeight="true" x14ac:dyDescent="0.15"/>
    <row r="270" ht="15" customHeight="true" x14ac:dyDescent="0.15"/>
    <row r="271" ht="15" customHeight="true" x14ac:dyDescent="0.15"/>
    <row r="272" ht="15" customHeight="true" x14ac:dyDescent="0.15"/>
    <row r="273" ht="15" customHeight="true" x14ac:dyDescent="0.15"/>
    <row r="274" ht="15" customHeight="true" x14ac:dyDescent="0.15"/>
    <row r="275" ht="15" customHeight="true" x14ac:dyDescent="0.15"/>
    <row r="276" ht="15" customHeight="true" x14ac:dyDescent="0.15"/>
    <row r="277" ht="15" customHeight="true" x14ac:dyDescent="0.15"/>
    <row r="278" ht="15" customHeight="true" x14ac:dyDescent="0.15"/>
    <row r="279" ht="15" customHeight="true" x14ac:dyDescent="0.15"/>
    <row r="280" ht="15" customHeight="true" x14ac:dyDescent="0.15"/>
    <row r="281" ht="15" customHeight="true" x14ac:dyDescent="0.15"/>
    <row r="282" ht="15" customHeight="true" x14ac:dyDescent="0.15"/>
    <row r="283" ht="15" customHeight="true" x14ac:dyDescent="0.15"/>
    <row r="284" ht="15" customHeight="true" x14ac:dyDescent="0.15"/>
    <row r="285" ht="15" customHeight="true" x14ac:dyDescent="0.15"/>
    <row r="286" ht="15" customHeight="true" x14ac:dyDescent="0.15"/>
    <row r="287" ht="15" customHeight="true" x14ac:dyDescent="0.15"/>
    <row r="288" ht="15" customHeight="true" x14ac:dyDescent="0.15"/>
    <row r="289" ht="15" customHeight="true" x14ac:dyDescent="0.15"/>
    <row r="290" ht="15" customHeight="true" x14ac:dyDescent="0.15"/>
    <row r="291" ht="15" customHeight="true" x14ac:dyDescent="0.15"/>
    <row r="292" ht="15" customHeight="true" x14ac:dyDescent="0.15"/>
    <row r="293" ht="15" customHeight="true" x14ac:dyDescent="0.15"/>
    <row r="294" ht="15" customHeight="true" x14ac:dyDescent="0.15"/>
    <row r="295" ht="15" customHeight="true" x14ac:dyDescent="0.15"/>
    <row r="296" ht="15" customHeight="true" x14ac:dyDescent="0.15"/>
    <row r="297" ht="15" customHeight="true" x14ac:dyDescent="0.15"/>
    <row r="298" ht="15" customHeight="true" x14ac:dyDescent="0.15"/>
    <row r="299" ht="15" customHeight="true" x14ac:dyDescent="0.15"/>
    <row r="300" ht="15" customHeight="true" x14ac:dyDescent="0.15"/>
    <row r="301" ht="15" customHeight="true" x14ac:dyDescent="0.15"/>
    <row r="302" ht="15" customHeight="true" x14ac:dyDescent="0.15"/>
    <row r="303" ht="15" customHeight="true" x14ac:dyDescent="0.15"/>
    <row r="304" ht="15" customHeight="true" x14ac:dyDescent="0.15"/>
    <row r="305" ht="15" customHeight="true" x14ac:dyDescent="0.15"/>
    <row r="306" ht="15" customHeight="true" x14ac:dyDescent="0.15"/>
    <row r="307" ht="15" customHeight="true" x14ac:dyDescent="0.15"/>
    <row r="308" ht="15" customHeight="true" x14ac:dyDescent="0.15"/>
    <row r="309" ht="15" customHeight="true" x14ac:dyDescent="0.15"/>
    <row r="310" ht="15" customHeight="true" x14ac:dyDescent="0.15"/>
    <row r="311" ht="15" customHeight="true" x14ac:dyDescent="0.15"/>
    <row r="312" ht="15" customHeight="true" x14ac:dyDescent="0.15"/>
    <row r="313" ht="15" customHeight="true" x14ac:dyDescent="0.15"/>
    <row r="314" ht="15" customHeight="true" x14ac:dyDescent="0.15"/>
    <row r="315" ht="15" customHeight="true" x14ac:dyDescent="0.15"/>
    <row r="316" ht="15" customHeight="true" x14ac:dyDescent="0.15"/>
    <row r="317" ht="15" customHeight="true" x14ac:dyDescent="0.15"/>
    <row r="318" ht="15" customHeight="true" x14ac:dyDescent="0.15"/>
    <row r="319" ht="15" customHeight="true" x14ac:dyDescent="0.15"/>
    <row r="320" ht="15" customHeight="true" x14ac:dyDescent="0.15"/>
    <row r="321" ht="15" customHeight="true" x14ac:dyDescent="0.15"/>
    <row r="322" ht="15" customHeight="true" x14ac:dyDescent="0.15"/>
    <row r="323" ht="15" customHeight="true" x14ac:dyDescent="0.15"/>
    <row r="324" ht="15" customHeight="true" x14ac:dyDescent="0.15"/>
    <row r="325" ht="15" customHeight="true" x14ac:dyDescent="0.15"/>
    <row r="326" ht="15" customHeight="true" x14ac:dyDescent="0.15"/>
    <row r="327" ht="15" customHeight="true" x14ac:dyDescent="0.15"/>
    <row r="328" ht="15" customHeight="true" x14ac:dyDescent="0.15"/>
    <row r="329" ht="15" customHeight="true" x14ac:dyDescent="0.15"/>
    <row r="330" ht="15" customHeight="true" x14ac:dyDescent="0.15"/>
    <row r="331" ht="15" customHeight="true" x14ac:dyDescent="0.15"/>
    <row r="332" ht="15" customHeight="true" x14ac:dyDescent="0.15"/>
    <row r="333" ht="15" customHeight="true" x14ac:dyDescent="0.15"/>
    <row r="334" ht="15" customHeight="true" x14ac:dyDescent="0.15"/>
    <row r="335" ht="15" customHeight="true" x14ac:dyDescent="0.15"/>
    <row r="336" ht="15" customHeight="true" x14ac:dyDescent="0.15"/>
    <row r="337" ht="15" customHeight="true" x14ac:dyDescent="0.15"/>
    <row r="338" ht="15" customHeight="true" x14ac:dyDescent="0.15"/>
    <row r="339" ht="15" customHeight="true" x14ac:dyDescent="0.15"/>
    <row r="340" ht="15" customHeight="true" x14ac:dyDescent="0.15"/>
    <row r="341" ht="15" customHeight="true" x14ac:dyDescent="0.15"/>
    <row r="342" ht="15" customHeight="true" x14ac:dyDescent="0.15"/>
    <row r="343" ht="15" customHeight="true" x14ac:dyDescent="0.15"/>
    <row r="344" ht="15" customHeight="true" x14ac:dyDescent="0.15"/>
    <row r="345" ht="15" customHeight="true" x14ac:dyDescent="0.15"/>
    <row r="346" ht="15" customHeight="true" x14ac:dyDescent="0.15"/>
    <row r="347" ht="15" customHeight="true" x14ac:dyDescent="0.15"/>
    <row r="348" ht="15" customHeight="true" x14ac:dyDescent="0.15"/>
    <row r="349" ht="15" customHeight="true" x14ac:dyDescent="0.15"/>
    <row r="350" ht="15" customHeight="true" x14ac:dyDescent="0.15"/>
    <row r="351" ht="15" customHeight="true" x14ac:dyDescent="0.15"/>
    <row r="352" ht="15" customHeight="true" x14ac:dyDescent="0.15"/>
    <row r="353" ht="15" customHeight="true" x14ac:dyDescent="0.15"/>
    <row r="354" ht="15" customHeight="true" x14ac:dyDescent="0.15"/>
    <row r="355" ht="15" customHeight="true" x14ac:dyDescent="0.15"/>
    <row r="356" ht="15" customHeight="true" x14ac:dyDescent="0.15"/>
    <row r="357" ht="15" customHeight="true" x14ac:dyDescent="0.15"/>
    <row r="358" ht="15" customHeight="true" x14ac:dyDescent="0.15"/>
    <row r="359" ht="15" customHeight="true" x14ac:dyDescent="0.15"/>
    <row r="360" ht="15" customHeight="true" x14ac:dyDescent="0.15"/>
    <row r="361" ht="15" customHeight="true" x14ac:dyDescent="0.15"/>
    <row r="362" ht="15" customHeight="true" x14ac:dyDescent="0.15"/>
    <row r="363" ht="15" customHeight="true" x14ac:dyDescent="0.15"/>
    <row r="364" ht="15" customHeight="true" x14ac:dyDescent="0.15"/>
    <row r="365" ht="15" customHeight="true" x14ac:dyDescent="0.15"/>
    <row r="366" ht="15" customHeight="true" x14ac:dyDescent="0.15"/>
    <row r="367" ht="15" customHeight="true" x14ac:dyDescent="0.15"/>
    <row r="368" ht="15" customHeight="true" x14ac:dyDescent="0.15"/>
    <row r="369" ht="15" customHeight="true" x14ac:dyDescent="0.15"/>
    <row r="370" ht="15" customHeight="true" x14ac:dyDescent="0.15"/>
    <row r="371" ht="15" customHeight="true" x14ac:dyDescent="0.15"/>
    <row r="372" ht="15" customHeight="true" x14ac:dyDescent="0.15"/>
    <row r="373" ht="15" customHeight="true" x14ac:dyDescent="0.15"/>
    <row r="374" ht="15" customHeight="true" x14ac:dyDescent="0.15"/>
    <row r="375" ht="15" customHeight="true" x14ac:dyDescent="0.15"/>
    <row r="376" ht="15" customHeight="true" x14ac:dyDescent="0.15"/>
    <row r="377" ht="15" customHeight="true" x14ac:dyDescent="0.15"/>
    <row r="378" ht="15" customHeight="true" x14ac:dyDescent="0.15"/>
    <row r="379" ht="15" customHeight="true" x14ac:dyDescent="0.15"/>
    <row r="380" ht="15" customHeight="true" x14ac:dyDescent="0.15"/>
    <row r="381" ht="15" customHeight="true" x14ac:dyDescent="0.15"/>
    <row r="382" ht="15" customHeight="true" x14ac:dyDescent="0.15"/>
    <row r="383" ht="15" customHeight="true" x14ac:dyDescent="0.15"/>
    <row r="384" ht="15" customHeight="true" x14ac:dyDescent="0.15"/>
    <row r="385" ht="15" customHeight="true" x14ac:dyDescent="0.15"/>
    <row r="386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M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baseColWidth="10" defaultColWidth="8.83203125" defaultRowHeight="13" x14ac:dyDescent="0.15"/>
  <cols>
    <col min="1" max="1" width="12.83203125" customWidth="true"/>
    <col min="2" max="2" width="21.6640625" customWidth="true"/>
    <col min="3" max="3" width="13.33203125" style="132" bestFit="true" customWidth="true"/>
    <col min="4" max="4" width="14.33203125" style="132" bestFit="true" customWidth="true"/>
    <col min="5" max="6" width="8.83203125" style="131"/>
  </cols>
  <sheetData>
    <row r="1" ht="14" x14ac:dyDescent="0.15">
      <c r="A1" s="116" t="s">
        <v>20</v>
      </c>
      <c r="B1" s="1" t="s">
        <v>0</v>
      </c>
      <c r="C1" t="s">
        <v>195</v>
      </c>
      <c r="D1" t="s">
        <v>196</v>
      </c>
      <c r="E1" s="131" t="s">
        <v>175</v>
      </c>
      <c r="F1" s="135" t="s">
        <v>61</v>
      </c>
    </row>
    <row r="2" x14ac:dyDescent="0.15">
      <c r="A2">
        <v>1</v>
      </c>
      <c r="B2" t="s">
        <v>178</v>
      </c>
      <c r="C2" s="3">
        <v>1</v>
      </c>
      <c r="D2" s="3">
        <v>0</v>
      </c>
      <c r="E2" s="131">
        <v>0</v>
      </c>
      <c r="F2" s="136">
        <f t="shared" ref="F2:F22" si="0">SUM(C2:E2)</f>
        <v>1</v>
      </c>
    </row>
    <row r="3" x14ac:dyDescent="0.15">
      <c r="A3">
        <v>2</v>
      </c>
      <c r="B3" t="s">
        <v>179</v>
      </c>
      <c r="C3" s="3">
        <v>0</v>
      </c>
      <c r="D3" s="3">
        <v>1</v>
      </c>
      <c r="E3" s="131">
        <v>0</v>
      </c>
      <c r="F3" s="136">
        <f t="shared" si="0"/>
        <v>1</v>
      </c>
      <c r="J3" s="3"/>
      <c r="K3" s="3"/>
      <c r="L3" s="3"/>
      <c r="M3" s="3"/>
    </row>
    <row r="4" x14ac:dyDescent="0.15">
      <c r="A4">
        <v>3</v>
      </c>
      <c r="B4" t="s">
        <v>180</v>
      </c>
      <c r="C4" s="3">
        <v>1</v>
      </c>
      <c r="D4" s="3">
        <v>0</v>
      </c>
      <c r="E4" s="131">
        <v>0</v>
      </c>
      <c r="F4" s="136">
        <f t="shared" si="0"/>
        <v>1</v>
      </c>
      <c r="J4" s="3"/>
      <c r="K4" s="3"/>
      <c r="L4" s="3"/>
      <c r="M4" s="3"/>
    </row>
    <row r="5" x14ac:dyDescent="0.15">
      <c r="A5">
        <v>4</v>
      </c>
      <c r="B5" t="s">
        <v>181</v>
      </c>
      <c r="C5" s="3">
        <v>0.5</v>
      </c>
      <c r="D5" s="3">
        <v>0.5</v>
      </c>
      <c r="E5" s="131">
        <v>0</v>
      </c>
      <c r="F5" s="136">
        <f t="shared" si="0"/>
        <v>1</v>
      </c>
      <c r="J5" s="3"/>
      <c r="K5" s="3"/>
      <c r="L5" s="3"/>
      <c r="M5" s="3"/>
    </row>
    <row r="6" x14ac:dyDescent="0.15">
      <c r="A6">
        <v>5</v>
      </c>
      <c r="B6" t="s">
        <v>182</v>
      </c>
      <c r="C6" s="3">
        <v>0.5</v>
      </c>
      <c r="D6" s="3">
        <v>0.5</v>
      </c>
      <c r="E6" s="131">
        <v>0</v>
      </c>
      <c r="F6" s="136">
        <f t="shared" si="0"/>
        <v>1</v>
      </c>
      <c r="J6" s="3"/>
      <c r="K6" s="3"/>
      <c r="L6" s="3"/>
      <c r="M6" s="3"/>
    </row>
    <row r="7" x14ac:dyDescent="0.15">
      <c r="A7">
        <v>6</v>
      </c>
      <c r="B7" t="s">
        <v>183</v>
      </c>
      <c r="C7" s="3">
        <v>0</v>
      </c>
      <c r="D7" s="3">
        <v>1</v>
      </c>
      <c r="E7" s="131">
        <v>0</v>
      </c>
      <c r="F7" s="136">
        <f t="shared" si="0"/>
        <v>1</v>
      </c>
      <c r="J7" s="3"/>
      <c r="K7" s="3"/>
      <c r="L7" s="3"/>
      <c r="M7" s="3"/>
    </row>
    <row r="8" x14ac:dyDescent="0.15">
      <c r="A8">
        <v>7</v>
      </c>
      <c r="B8" t="s">
        <v>184</v>
      </c>
      <c r="C8" s="3">
        <v>0.5</v>
      </c>
      <c r="D8" s="3">
        <v>0.5</v>
      </c>
      <c r="E8" s="131">
        <v>0</v>
      </c>
      <c r="F8" s="136">
        <f t="shared" si="0"/>
        <v>1</v>
      </c>
      <c r="J8" s="3"/>
      <c r="K8" s="3"/>
      <c r="L8" s="3"/>
      <c r="M8" s="3"/>
    </row>
    <row r="9" x14ac:dyDescent="0.15">
      <c r="A9">
        <v>8</v>
      </c>
      <c r="B9" t="s">
        <v>185</v>
      </c>
      <c r="C9" s="3">
        <v>0</v>
      </c>
      <c r="D9" s="3">
        <v>1</v>
      </c>
      <c r="E9" s="131">
        <v>0</v>
      </c>
      <c r="F9" s="136">
        <f t="shared" si="0"/>
        <v>1</v>
      </c>
      <c r="J9" s="3"/>
      <c r="K9" s="3"/>
      <c r="L9" s="3"/>
      <c r="M9" s="3"/>
    </row>
    <row r="10" ht="15" customHeight="true" x14ac:dyDescent="0.15">
      <c r="A10">
        <v>9</v>
      </c>
      <c r="B10" t="s">
        <v>186</v>
      </c>
      <c r="C10" s="3">
        <v>0</v>
      </c>
      <c r="D10" s="3">
        <v>1</v>
      </c>
      <c r="E10" s="131">
        <v>0</v>
      </c>
      <c r="F10" s="136">
        <f t="shared" si="0"/>
        <v>1</v>
      </c>
      <c r="J10" s="3"/>
      <c r="K10" s="3"/>
      <c r="L10" s="3"/>
      <c r="M10" s="3"/>
    </row>
    <row r="11" ht="15" customHeight="true" x14ac:dyDescent="0.15">
      <c r="A11">
        <v>10</v>
      </c>
      <c r="B11" t="s">
        <v>187</v>
      </c>
      <c r="C11" s="3">
        <v>0</v>
      </c>
      <c r="D11" s="3">
        <v>1</v>
      </c>
      <c r="E11" s="131">
        <v>0</v>
      </c>
      <c r="F11" s="136">
        <f t="shared" si="0"/>
        <v>1</v>
      </c>
      <c r="J11" s="3"/>
      <c r="K11" s="3"/>
      <c r="L11" s="3"/>
      <c r="M11" s="3"/>
    </row>
    <row r="12" x14ac:dyDescent="0.15">
      <c r="A12">
        <v>11</v>
      </c>
      <c r="B12" t="s">
        <v>188</v>
      </c>
      <c r="C12" s="3">
        <v>0</v>
      </c>
      <c r="D12" s="3">
        <v>1</v>
      </c>
      <c r="E12" s="131">
        <v>0</v>
      </c>
      <c r="F12" s="136">
        <f t="shared" si="0"/>
        <v>1</v>
      </c>
      <c r="J12" s="3"/>
      <c r="K12" s="3"/>
      <c r="L12" s="3"/>
      <c r="M12" s="3"/>
    </row>
    <row r="13" x14ac:dyDescent="0.15">
      <c r="A13">
        <v>12</v>
      </c>
      <c r="B13" t="s">
        <v>189</v>
      </c>
      <c r="C13" s="3">
        <v>0</v>
      </c>
      <c r="D13" s="3">
        <v>1</v>
      </c>
      <c r="E13" s="131">
        <v>0</v>
      </c>
      <c r="F13" s="136">
        <f t="shared" si="0"/>
        <v>1</v>
      </c>
      <c r="J13" s="3"/>
      <c r="K13" s="3"/>
      <c r="L13" s="3"/>
      <c r="M13" s="3"/>
    </row>
    <row r="14" x14ac:dyDescent="0.15">
      <c r="A14">
        <v>13</v>
      </c>
      <c r="B14" t="s">
        <v>190</v>
      </c>
      <c r="C14" s="3">
        <v>0</v>
      </c>
      <c r="D14" s="3">
        <v>1</v>
      </c>
      <c r="E14" s="131">
        <v>0</v>
      </c>
      <c r="F14" s="136">
        <f t="shared" si="0"/>
        <v>1</v>
      </c>
      <c r="J14" s="3"/>
      <c r="K14" s="3"/>
      <c r="L14" s="3"/>
      <c r="M14" s="3"/>
    </row>
    <row r="15" x14ac:dyDescent="0.15">
      <c r="A15">
        <v>14</v>
      </c>
      <c r="B15" t="s">
        <v>191</v>
      </c>
      <c r="C15" s="3">
        <v>0</v>
      </c>
      <c r="D15" s="3">
        <v>1</v>
      </c>
      <c r="E15" s="131">
        <v>0</v>
      </c>
      <c r="F15" s="136">
        <f t="shared" si="0"/>
        <v>1</v>
      </c>
      <c r="J15" s="3"/>
      <c r="K15" s="3"/>
      <c r="L15" s="3"/>
      <c r="M15" s="3"/>
    </row>
    <row r="16" x14ac:dyDescent="0.15">
      <c r="A16">
        <v>15</v>
      </c>
      <c r="B16" t="s">
        <v>192</v>
      </c>
      <c r="C16" s="3">
        <v>0</v>
      </c>
      <c r="D16" s="3">
        <v>1</v>
      </c>
      <c r="E16" s="131">
        <v>0</v>
      </c>
      <c r="F16" s="136">
        <f t="shared" si="0"/>
        <v>1</v>
      </c>
      <c r="J16" s="3"/>
      <c r="K16" s="3"/>
      <c r="L16" s="3"/>
      <c r="M16" s="3"/>
    </row>
    <row r="17" ht="15" customHeight="true" x14ac:dyDescent="0.15">
      <c r="A17">
        <v>16</v>
      </c>
      <c r="B17" t="s">
        <v>193</v>
      </c>
      <c r="C17" s="3">
        <v>0</v>
      </c>
      <c r="D17" s="3">
        <v>1</v>
      </c>
      <c r="E17" s="131">
        <v>0</v>
      </c>
      <c r="F17" s="136">
        <f t="shared" si="0"/>
        <v>1</v>
      </c>
      <c r="J17" s="3"/>
      <c r="K17" s="3"/>
      <c r="L17" s="3"/>
      <c r="M17" s="3"/>
    </row>
    <row r="18" ht="15" customHeight="true" x14ac:dyDescent="0.15">
      <c r="A18">
        <v>17</v>
      </c>
      <c r="B18" s="151" t="s">
        <v>194</v>
      </c>
      <c r="C18" s="3">
        <v>0</v>
      </c>
      <c r="D18" s="3">
        <v>1</v>
      </c>
      <c r="E18" s="131">
        <v>0</v>
      </c>
      <c r="F18" s="136">
        <f t="shared" si="0"/>
        <v>1</v>
      </c>
      <c r="J18" s="3"/>
      <c r="K18" s="3"/>
      <c r="L18" s="3"/>
      <c r="M18" s="3"/>
    </row>
    <row r="19" ht="15" customHeight="true" x14ac:dyDescent="0.15">
      <c r="A19">
        <v>18</v>
      </c>
      <c r="B19" t="s">
        <v>195</v>
      </c>
      <c r="C19" s="3">
        <v>0</v>
      </c>
      <c r="D19" s="3">
        <v>1</v>
      </c>
      <c r="E19" s="131">
        <v>0</v>
      </c>
      <c r="F19" s="136">
        <f t="shared" si="0"/>
        <v>1</v>
      </c>
      <c r="J19" s="3"/>
      <c r="K19" s="3"/>
      <c r="L19" s="3"/>
      <c r="M19" s="3"/>
    </row>
    <row r="20" ht="15" customHeight="true" x14ac:dyDescent="0.15">
      <c r="A20">
        <v>19</v>
      </c>
      <c r="B20" t="s">
        <v>196</v>
      </c>
      <c r="C20" s="3">
        <v>0</v>
      </c>
      <c r="D20" s="3">
        <v>0</v>
      </c>
      <c r="E20" s="131">
        <v>1</v>
      </c>
      <c r="F20" s="136">
        <f t="shared" si="0"/>
        <v>1</v>
      </c>
      <c r="H20" s="118" t="s">
        <v>199</v>
      </c>
      <c r="J20" s="3"/>
      <c r="K20" s="3"/>
      <c r="L20" s="3"/>
      <c r="M20" s="3"/>
    </row>
    <row r="21" ht="15" customHeight="true" x14ac:dyDescent="0.15">
      <c r="A21">
        <v>20</v>
      </c>
      <c r="B21" t="s">
        <v>197</v>
      </c>
      <c r="C21" s="3">
        <v>0</v>
      </c>
      <c r="D21" s="131">
        <v>1</v>
      </c>
      <c r="E21" s="131">
        <v>0</v>
      </c>
      <c r="F21" s="131">
        <f t="shared" si="0"/>
        <v>1</v>
      </c>
      <c r="J21" s="3"/>
      <c r="K21" s="3"/>
      <c r="L21" s="3"/>
      <c r="M21" s="3"/>
    </row>
    <row r="22" ht="15" customHeight="true" x14ac:dyDescent="0.15">
      <c r="A22">
        <v>21</v>
      </c>
      <c r="B22" t="s">
        <v>198</v>
      </c>
      <c r="C22" s="3">
        <v>0</v>
      </c>
      <c r="D22" s="131">
        <v>1</v>
      </c>
      <c r="E22" s="131">
        <v>0</v>
      </c>
      <c r="F22" s="131">
        <f t="shared" si="0"/>
        <v>1</v>
      </c>
    </row>
    <row r="23" ht="15" customHeight="true" x14ac:dyDescent="0.15">
      <c r="B23" s="51"/>
      <c r="C23" s="131"/>
      <c r="D23" s="131"/>
    </row>
    <row r="24" ht="15" customHeight="true" x14ac:dyDescent="0.15">
      <c r="B24" s="51"/>
      <c r="C24" s="131"/>
      <c r="D24" s="131"/>
    </row>
    <row r="25" ht="15" customHeight="true" x14ac:dyDescent="0.15">
      <c r="B25" s="51"/>
      <c r="C25" s="131"/>
      <c r="D25" s="131"/>
    </row>
    <row r="26" ht="15" customHeight="true" x14ac:dyDescent="0.15">
      <c r="C26" s="131"/>
      <c r="D26" s="131"/>
    </row>
    <row r="27" ht="15" customHeight="true" x14ac:dyDescent="0.15">
      <c r="C27" s="131"/>
      <c r="D27" s="131"/>
    </row>
    <row r="28" ht="15" customHeight="true" x14ac:dyDescent="0.15">
      <c r="C28" s="131"/>
    </row>
    <row r="29" ht="15" customHeight="true" x14ac:dyDescent="0.15">
      <c r="C29" s="131"/>
    </row>
    <row r="30" ht="15" customHeight="true" x14ac:dyDescent="0.15"/>
    <row r="31" ht="15" customHeight="true" x14ac:dyDescent="0.15">
      <c r="E31" s="132"/>
      <c r="F31" s="132"/>
    </row>
    <row r="32" ht="15" customHeight="true" x14ac:dyDescent="0.15"/>
    <row r="33" ht="15" customHeight="true" x14ac:dyDescent="0.15"/>
    <row r="34" ht="15" customHeight="true" x14ac:dyDescent="0.15"/>
    <row r="35" ht="15" customHeight="true" x14ac:dyDescent="0.15"/>
    <row r="36" ht="15" customHeight="true" x14ac:dyDescent="0.15">
      <c r="C36" s="131"/>
      <c r="D36" s="131"/>
      <c r="E36"/>
      <c r="F36"/>
    </row>
    <row r="37" ht="15" customHeight="true" x14ac:dyDescent="0.15">
      <c r="C37" s="131"/>
      <c r="D37" s="131"/>
      <c r="E37"/>
      <c r="F37"/>
    </row>
    <row r="38" ht="15" customHeight="true" x14ac:dyDescent="0.15">
      <c r="C38" s="131"/>
      <c r="D38" s="131"/>
      <c r="E38"/>
      <c r="F38"/>
    </row>
    <row r="39" ht="15" customHeight="true" x14ac:dyDescent="0.15">
      <c r="C39" s="131"/>
      <c r="D39" s="131"/>
      <c r="E39"/>
      <c r="F39"/>
    </row>
    <row r="40" ht="15" customHeight="true" x14ac:dyDescent="0.15">
      <c r="C40" s="131"/>
      <c r="D40" s="131"/>
      <c r="E40"/>
      <c r="F40"/>
    </row>
    <row r="41" ht="15" customHeight="true" x14ac:dyDescent="0.15">
      <c r="C41" s="131"/>
      <c r="D41" s="131"/>
      <c r="E41"/>
      <c r="F41"/>
    </row>
    <row r="42" ht="15" customHeight="true" x14ac:dyDescent="0.15">
      <c r="C42" s="131"/>
      <c r="D42" s="131"/>
      <c r="E42"/>
      <c r="F42"/>
    </row>
    <row r="43" ht="15" customHeight="true" x14ac:dyDescent="0.15">
      <c r="C43" s="131"/>
      <c r="D43" s="131"/>
      <c r="E43"/>
      <c r="F43"/>
    </row>
    <row r="44" ht="15" customHeight="true" x14ac:dyDescent="0.15">
      <c r="E44"/>
      <c r="F44"/>
    </row>
    <row r="45" ht="15" customHeight="true" x14ac:dyDescent="0.15">
      <c r="E45"/>
      <c r="F45"/>
    </row>
    <row r="46" ht="15" customHeight="true" x14ac:dyDescent="0.15">
      <c r="C46" s="131"/>
      <c r="D46" s="131"/>
      <c r="E46"/>
      <c r="F46"/>
    </row>
    <row r="47" ht="15" customHeight="true" x14ac:dyDescent="0.15">
      <c r="E47"/>
      <c r="F47"/>
    </row>
    <row r="48" ht="15" customHeight="true" x14ac:dyDescent="0.15">
      <c r="E48"/>
      <c r="F48"/>
    </row>
    <row r="49" ht="15" customHeight="true" x14ac:dyDescent="0.15">
      <c r="E49"/>
      <c r="F49"/>
    </row>
    <row r="50" ht="15" customHeight="true" x14ac:dyDescent="0.15">
      <c r="E50"/>
      <c r="F50"/>
    </row>
    <row r="51" ht="15" customHeight="true" x14ac:dyDescent="0.15">
      <c r="E51"/>
      <c r="F51"/>
    </row>
    <row r="52" ht="15" customHeight="true" x14ac:dyDescent="0.15">
      <c r="C52"/>
      <c r="D52"/>
      <c r="E52"/>
      <c r="F52"/>
    </row>
    <row r="53" ht="15" customHeight="true" x14ac:dyDescent="0.15">
      <c r="C53"/>
      <c r="D53"/>
      <c r="E53"/>
      <c r="F53"/>
    </row>
    <row r="54" ht="15" customHeight="true" x14ac:dyDescent="0.15">
      <c r="C54"/>
      <c r="D54"/>
      <c r="E54"/>
      <c r="F54"/>
    </row>
    <row r="55" ht="15" customHeight="true" x14ac:dyDescent="0.15">
      <c r="C55"/>
      <c r="D55"/>
      <c r="E55"/>
      <c r="F55"/>
    </row>
    <row r="56" ht="15" customHeight="true" x14ac:dyDescent="0.15">
      <c r="C56"/>
      <c r="D56"/>
      <c r="E56"/>
      <c r="F56"/>
    </row>
    <row r="57" ht="15" customHeight="true" x14ac:dyDescent="0.15">
      <c r="C57"/>
      <c r="D57"/>
      <c r="E57"/>
      <c r="F57"/>
    </row>
    <row r="58" ht="15" customHeight="true" x14ac:dyDescent="0.15">
      <c r="C58"/>
      <c r="D58"/>
      <c r="E58"/>
      <c r="F58"/>
    </row>
    <row r="59" ht="15" customHeight="true" x14ac:dyDescent="0.15">
      <c r="C59"/>
      <c r="D59"/>
      <c r="E59"/>
      <c r="F59"/>
    </row>
    <row r="60" ht="15" customHeight="true" x14ac:dyDescent="0.15">
      <c r="C60"/>
      <c r="D60"/>
      <c r="E60"/>
      <c r="F60"/>
    </row>
    <row r="61" ht="15" customHeight="true" x14ac:dyDescent="0.15">
      <c r="C61"/>
      <c r="D61"/>
      <c r="E61"/>
      <c r="F61"/>
    </row>
    <row r="62" ht="15" customHeight="true" x14ac:dyDescent="0.15">
      <c r="C62"/>
      <c r="D62"/>
      <c r="E62"/>
      <c r="F62"/>
    </row>
    <row r="63" ht="15" customHeight="true" x14ac:dyDescent="0.15">
      <c r="C63"/>
      <c r="D63"/>
      <c r="E63"/>
      <c r="F63"/>
    </row>
    <row r="64" ht="15" customHeight="true" x14ac:dyDescent="0.15">
      <c r="C64"/>
      <c r="D64"/>
      <c r="E64"/>
      <c r="F64"/>
    </row>
    <row r="65" ht="15" customHeight="true" x14ac:dyDescent="0.15">
      <c r="C65"/>
      <c r="D65"/>
      <c r="E65"/>
      <c r="F65"/>
    </row>
    <row r="66" ht="15" customHeight="true" x14ac:dyDescent="0.15">
      <c r="C66"/>
      <c r="D66"/>
      <c r="E66"/>
      <c r="F66"/>
    </row>
    <row r="67" ht="15" customHeight="true" x14ac:dyDescent="0.15">
      <c r="C67"/>
      <c r="D67"/>
      <c r="E67"/>
      <c r="F67"/>
    </row>
    <row r="68" ht="15" customHeight="true" x14ac:dyDescent="0.15">
      <c r="C68"/>
      <c r="D68"/>
      <c r="E68"/>
      <c r="F68"/>
    </row>
    <row r="69" ht="15" customHeight="true" x14ac:dyDescent="0.15">
      <c r="C69"/>
      <c r="D69"/>
      <c r="E69"/>
      <c r="F69"/>
    </row>
    <row r="70" ht="15" customHeight="true" x14ac:dyDescent="0.15">
      <c r="C70"/>
      <c r="D70"/>
      <c r="E70"/>
      <c r="F70"/>
    </row>
    <row r="71" ht="15" customHeight="true" x14ac:dyDescent="0.15">
      <c r="C71"/>
      <c r="D71"/>
      <c r="E71"/>
      <c r="F71"/>
    </row>
    <row r="72" ht="15" customHeight="true" x14ac:dyDescent="0.15">
      <c r="C72"/>
      <c r="D72"/>
      <c r="E72"/>
      <c r="F72"/>
    </row>
    <row r="73" ht="15" customHeight="true" x14ac:dyDescent="0.15">
      <c r="C73"/>
      <c r="D73"/>
      <c r="E73"/>
      <c r="F73"/>
    </row>
    <row r="74" ht="15" customHeight="true" x14ac:dyDescent="0.15">
      <c r="C74"/>
      <c r="D74"/>
      <c r="E74"/>
      <c r="F74"/>
    </row>
    <row r="75" ht="15" customHeight="true" x14ac:dyDescent="0.15">
      <c r="C75"/>
      <c r="D75"/>
      <c r="E75"/>
      <c r="F75"/>
    </row>
    <row r="76" ht="15" customHeight="true" x14ac:dyDescent="0.15">
      <c r="C76"/>
      <c r="D76"/>
      <c r="E76"/>
      <c r="F76"/>
    </row>
    <row r="77" ht="15" customHeight="true" x14ac:dyDescent="0.15">
      <c r="C77"/>
      <c r="D77"/>
      <c r="E77"/>
      <c r="F77"/>
    </row>
    <row r="78" ht="15" customHeight="true" x14ac:dyDescent="0.15">
      <c r="C78"/>
      <c r="D78"/>
      <c r="E78"/>
      <c r="F78"/>
    </row>
    <row r="79" ht="15" customHeight="true" x14ac:dyDescent="0.15">
      <c r="C79"/>
      <c r="D79"/>
      <c r="E79"/>
      <c r="F79"/>
    </row>
    <row r="80" ht="15" customHeight="true" x14ac:dyDescent="0.15">
      <c r="C80"/>
      <c r="D80"/>
      <c r="E80"/>
      <c r="F80"/>
    </row>
    <row r="81" ht="15" customHeight="true" x14ac:dyDescent="0.15">
      <c r="C81"/>
      <c r="D81"/>
      <c r="E81"/>
      <c r="F81"/>
    </row>
    <row r="82" ht="15" customHeight="true" x14ac:dyDescent="0.15">
      <c r="C82"/>
      <c r="D82"/>
      <c r="E82"/>
      <c r="F82"/>
    </row>
    <row r="83" ht="15" customHeight="true" x14ac:dyDescent="0.15">
      <c r="C83"/>
      <c r="D83"/>
      <c r="E83"/>
      <c r="F83"/>
    </row>
    <row r="84" ht="15" customHeight="true" x14ac:dyDescent="0.15">
      <c r="C84"/>
      <c r="D84"/>
      <c r="E84"/>
      <c r="F84"/>
    </row>
    <row r="85" ht="15" customHeight="true" x14ac:dyDescent="0.15">
      <c r="C85"/>
      <c r="D85"/>
      <c r="E85"/>
      <c r="F85"/>
    </row>
    <row r="86" ht="15" customHeight="true" x14ac:dyDescent="0.15">
      <c r="C86"/>
      <c r="D86"/>
      <c r="E86"/>
      <c r="F86"/>
    </row>
    <row r="87" ht="15" customHeight="true" x14ac:dyDescent="0.15">
      <c r="C87"/>
      <c r="D87"/>
      <c r="E87"/>
      <c r="F87"/>
    </row>
    <row r="88" ht="15" customHeight="true" x14ac:dyDescent="0.15">
      <c r="C88"/>
      <c r="D88"/>
      <c r="E88"/>
      <c r="F88"/>
    </row>
    <row r="89" ht="15" customHeight="true" x14ac:dyDescent="0.15">
      <c r="C89"/>
      <c r="D89"/>
      <c r="E89"/>
      <c r="F89"/>
    </row>
    <row r="90" ht="15" customHeight="true" x14ac:dyDescent="0.15">
      <c r="C90"/>
      <c r="D90"/>
      <c r="E90"/>
      <c r="F90"/>
    </row>
    <row r="91" ht="15" customHeight="true" x14ac:dyDescent="0.15">
      <c r="C91"/>
      <c r="D91"/>
      <c r="E91"/>
      <c r="F91"/>
    </row>
    <row r="92" ht="15" customHeight="true" x14ac:dyDescent="0.15">
      <c r="C92"/>
      <c r="D92"/>
      <c r="E92"/>
      <c r="F92"/>
    </row>
    <row r="93" ht="15" customHeight="true" x14ac:dyDescent="0.15">
      <c r="C93"/>
      <c r="D93"/>
      <c r="E93"/>
      <c r="F93"/>
    </row>
    <row r="94" ht="15" customHeight="true" x14ac:dyDescent="0.15">
      <c r="C94"/>
      <c r="D94"/>
      <c r="E94"/>
      <c r="F94"/>
    </row>
    <row r="95" ht="15" customHeight="true" x14ac:dyDescent="0.15">
      <c r="C95"/>
      <c r="D95"/>
      <c r="E95"/>
      <c r="F95"/>
    </row>
    <row r="96" ht="15" customHeight="true" x14ac:dyDescent="0.15">
      <c r="C96"/>
      <c r="D96"/>
      <c r="E96"/>
      <c r="F96"/>
    </row>
    <row r="97" ht="15" customHeight="true" x14ac:dyDescent="0.15">
      <c r="C97"/>
      <c r="D97"/>
      <c r="E97"/>
      <c r="F97"/>
    </row>
    <row r="98" ht="15" customHeight="true" x14ac:dyDescent="0.15">
      <c r="C98"/>
      <c r="D98"/>
      <c r="E98"/>
      <c r="F98"/>
    </row>
    <row r="99" ht="15" customHeight="true" x14ac:dyDescent="0.15">
      <c r="C99"/>
      <c r="D99"/>
      <c r="E99"/>
      <c r="F99"/>
    </row>
    <row r="100" ht="15" customHeight="true" x14ac:dyDescent="0.15">
      <c r="C100"/>
      <c r="D100"/>
      <c r="E100"/>
      <c r="F100"/>
    </row>
    <row r="101" ht="15" customHeight="true" x14ac:dyDescent="0.15">
      <c r="C101"/>
      <c r="D101"/>
      <c r="E101"/>
      <c r="F101"/>
    </row>
    <row r="102" ht="15" customHeight="true" x14ac:dyDescent="0.15">
      <c r="C102"/>
      <c r="D102"/>
      <c r="E102"/>
      <c r="F102"/>
    </row>
    <row r="103" ht="15" customHeight="true" x14ac:dyDescent="0.15">
      <c r="C103"/>
      <c r="D103"/>
      <c r="E103"/>
      <c r="F103"/>
    </row>
    <row r="104" ht="15" customHeight="true" x14ac:dyDescent="0.15">
      <c r="C104"/>
      <c r="D104"/>
      <c r="E104"/>
      <c r="F104"/>
    </row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>
      <c r="C116"/>
      <c r="D116"/>
      <c r="E116"/>
      <c r="F116"/>
    </row>
    <row r="117" ht="15" customHeight="true" x14ac:dyDescent="0.15">
      <c r="C117"/>
      <c r="D117"/>
      <c r="E117"/>
      <c r="F117"/>
    </row>
    <row r="118" ht="15" customHeight="true" x14ac:dyDescent="0.15">
      <c r="C118"/>
      <c r="D118"/>
      <c r="E118"/>
      <c r="F118"/>
    </row>
    <row r="119" ht="15" customHeight="true" x14ac:dyDescent="0.15">
      <c r="C119"/>
      <c r="D119"/>
      <c r="E119"/>
      <c r="F119"/>
    </row>
    <row r="120" ht="15" customHeight="true" x14ac:dyDescent="0.15">
      <c r="C120"/>
      <c r="D120"/>
      <c r="E120"/>
      <c r="F120"/>
    </row>
    <row r="121" ht="15" customHeight="true" x14ac:dyDescent="0.15">
      <c r="C121"/>
      <c r="D121"/>
      <c r="E121"/>
      <c r="F121"/>
    </row>
    <row r="122" ht="15" customHeight="true" x14ac:dyDescent="0.15">
      <c r="C122"/>
      <c r="D122"/>
      <c r="E122"/>
      <c r="F122"/>
    </row>
    <row r="123" ht="15" customHeight="true" x14ac:dyDescent="0.15">
      <c r="C123"/>
      <c r="D123"/>
      <c r="E123"/>
      <c r="F123"/>
    </row>
    <row r="124" ht="15" customHeight="true" x14ac:dyDescent="0.15">
      <c r="C124"/>
      <c r="D124"/>
      <c r="E124"/>
      <c r="F124"/>
    </row>
    <row r="125" ht="15" customHeight="true" x14ac:dyDescent="0.15">
      <c r="C125"/>
      <c r="D125"/>
      <c r="E125"/>
      <c r="F125"/>
    </row>
    <row r="126" ht="15" customHeight="true" x14ac:dyDescent="0.15">
      <c r="C126"/>
      <c r="D126"/>
      <c r="E126"/>
      <c r="F126"/>
    </row>
    <row r="127" ht="15" customHeight="true" x14ac:dyDescent="0.15">
      <c r="C127"/>
      <c r="D127"/>
      <c r="E127"/>
      <c r="F127"/>
    </row>
    <row r="128" ht="15" customHeight="true" x14ac:dyDescent="0.15">
      <c r="C128"/>
      <c r="D128"/>
      <c r="E128"/>
      <c r="F128"/>
    </row>
    <row r="129" ht="15" customHeight="true" x14ac:dyDescent="0.15">
      <c r="C129"/>
      <c r="D129"/>
      <c r="E129"/>
      <c r="F129"/>
    </row>
    <row r="130" ht="15" customHeight="true" x14ac:dyDescent="0.15">
      <c r="C130"/>
      <c r="D130"/>
      <c r="E130"/>
      <c r="F130"/>
    </row>
    <row r="131" ht="15" customHeight="true" x14ac:dyDescent="0.15">
      <c r="C131"/>
      <c r="D131"/>
      <c r="E131"/>
      <c r="F131"/>
    </row>
    <row r="132" ht="15" customHeight="true" x14ac:dyDescent="0.15">
      <c r="C132"/>
      <c r="D132"/>
      <c r="E132"/>
      <c r="F132"/>
    </row>
    <row r="133" ht="15" customHeight="true" x14ac:dyDescent="0.15">
      <c r="C133"/>
      <c r="D133"/>
      <c r="E133"/>
      <c r="F133"/>
    </row>
    <row r="134" ht="15" customHeight="true" x14ac:dyDescent="0.15">
      <c r="C134"/>
      <c r="D134"/>
      <c r="E134"/>
      <c r="F134"/>
    </row>
    <row r="135" ht="15" customHeight="true" x14ac:dyDescent="0.15">
      <c r="C135"/>
      <c r="D135"/>
      <c r="E135"/>
      <c r="F135"/>
    </row>
    <row r="136" ht="15" customHeight="true" x14ac:dyDescent="0.15">
      <c r="C136"/>
      <c r="D136"/>
      <c r="E136"/>
      <c r="F136"/>
    </row>
    <row r="137" ht="15" customHeight="true" x14ac:dyDescent="0.15">
      <c r="C137"/>
      <c r="D137"/>
      <c r="E137"/>
      <c r="F137"/>
    </row>
    <row r="138" ht="15" customHeight="true" x14ac:dyDescent="0.15">
      <c r="C138"/>
      <c r="D138"/>
      <c r="E138"/>
      <c r="F138"/>
    </row>
    <row r="139" ht="15" customHeight="true" x14ac:dyDescent="0.15">
      <c r="C139"/>
      <c r="D139"/>
      <c r="E139"/>
      <c r="F139"/>
    </row>
    <row r="140" ht="15" customHeight="true" x14ac:dyDescent="0.15">
      <c r="C140"/>
      <c r="D140"/>
      <c r="E140"/>
      <c r="F140"/>
    </row>
    <row r="141" ht="15" customHeight="true" x14ac:dyDescent="0.15">
      <c r="C141"/>
      <c r="D141"/>
      <c r="E141"/>
      <c r="F141"/>
    </row>
    <row r="142" ht="15" customHeight="true" x14ac:dyDescent="0.15">
      <c r="C142"/>
      <c r="D142"/>
      <c r="E142"/>
      <c r="F142"/>
    </row>
    <row r="143" ht="15" customHeight="true" x14ac:dyDescent="0.15">
      <c r="C143"/>
      <c r="D143"/>
      <c r="E143"/>
      <c r="F143"/>
    </row>
    <row r="144" ht="15" customHeight="true" x14ac:dyDescent="0.15">
      <c r="C144"/>
      <c r="D144"/>
      <c r="E144"/>
      <c r="F144"/>
    </row>
    <row r="145" ht="15" customHeight="true" x14ac:dyDescent="0.15">
      <c r="C145"/>
      <c r="D145"/>
      <c r="E145"/>
      <c r="F145"/>
    </row>
    <row r="146" ht="15" customHeight="true" x14ac:dyDescent="0.15">
      <c r="C146"/>
      <c r="D146"/>
      <c r="E146"/>
      <c r="F146"/>
    </row>
    <row r="147" ht="15" customHeight="true" x14ac:dyDescent="0.15">
      <c r="C147"/>
      <c r="D147"/>
      <c r="E147"/>
      <c r="F147"/>
    </row>
    <row r="148" ht="15" customHeight="true" x14ac:dyDescent="0.15">
      <c r="C148"/>
      <c r="D148"/>
      <c r="E148"/>
      <c r="F148"/>
    </row>
    <row r="149" ht="15" customHeight="true" x14ac:dyDescent="0.15">
      <c r="C149"/>
      <c r="D149"/>
      <c r="E149"/>
      <c r="F149"/>
    </row>
    <row r="150" ht="15" customHeight="true" x14ac:dyDescent="0.15">
      <c r="C150"/>
      <c r="D150"/>
      <c r="E150"/>
      <c r="F150"/>
    </row>
    <row r="151" ht="15" customHeight="true" x14ac:dyDescent="0.15">
      <c r="C151"/>
      <c r="D151"/>
      <c r="E151"/>
      <c r="F151"/>
    </row>
    <row r="152" ht="15" customHeight="true" x14ac:dyDescent="0.15">
      <c r="C152"/>
      <c r="D152"/>
      <c r="E152"/>
      <c r="F152"/>
    </row>
    <row r="153" ht="15" customHeight="true" x14ac:dyDescent="0.15">
      <c r="C153"/>
      <c r="D153"/>
      <c r="E153"/>
      <c r="F153"/>
    </row>
    <row r="154" ht="15" customHeight="true" x14ac:dyDescent="0.15">
      <c r="C154"/>
      <c r="D154"/>
      <c r="E154"/>
      <c r="F154"/>
    </row>
    <row r="155" ht="15" customHeight="true" x14ac:dyDescent="0.15">
      <c r="C155"/>
      <c r="D155"/>
      <c r="E155"/>
      <c r="F155"/>
    </row>
    <row r="156" ht="15" customHeight="true" x14ac:dyDescent="0.15">
      <c r="C156"/>
      <c r="D156"/>
      <c r="E156"/>
      <c r="F156"/>
    </row>
    <row r="157" ht="15" customHeight="true" x14ac:dyDescent="0.15">
      <c r="C157"/>
      <c r="D157"/>
      <c r="E157"/>
      <c r="F157"/>
    </row>
    <row r="158" ht="15" customHeight="true" x14ac:dyDescent="0.15">
      <c r="C158"/>
      <c r="D158"/>
      <c r="E158"/>
      <c r="F158"/>
    </row>
    <row r="159" ht="15" customHeight="true" x14ac:dyDescent="0.15">
      <c r="C159"/>
      <c r="D159"/>
      <c r="E159"/>
      <c r="F159"/>
    </row>
    <row r="160" ht="15" customHeight="true" x14ac:dyDescent="0.15">
      <c r="C160"/>
      <c r="D160"/>
      <c r="E160"/>
      <c r="F160"/>
    </row>
    <row r="161" ht="15" customHeight="true" x14ac:dyDescent="0.15">
      <c r="C161"/>
      <c r="D161"/>
      <c r="E161"/>
      <c r="F161"/>
    </row>
    <row r="162" ht="15" customHeight="true" x14ac:dyDescent="0.15">
      <c r="C162"/>
      <c r="D162"/>
      <c r="E162"/>
      <c r="F162"/>
    </row>
    <row r="163" ht="15" customHeight="true" x14ac:dyDescent="0.15">
      <c r="C163"/>
      <c r="D163"/>
      <c r="E163"/>
      <c r="F163"/>
    </row>
    <row r="164" ht="15" customHeight="true" x14ac:dyDescent="0.15">
      <c r="C164"/>
      <c r="D164"/>
      <c r="E164"/>
      <c r="F164"/>
    </row>
    <row r="165" ht="15" customHeight="true" x14ac:dyDescent="0.15">
      <c r="C165"/>
      <c r="D165"/>
      <c r="E165"/>
      <c r="F165"/>
    </row>
    <row r="166" ht="15" customHeight="true" x14ac:dyDescent="0.15">
      <c r="C166"/>
      <c r="D166"/>
      <c r="E166"/>
      <c r="F166"/>
    </row>
    <row r="167" ht="15" customHeight="true" x14ac:dyDescent="0.15">
      <c r="C167"/>
      <c r="D167"/>
      <c r="E167"/>
      <c r="F167"/>
    </row>
    <row r="168" ht="15" customHeight="true" x14ac:dyDescent="0.15">
      <c r="C168"/>
      <c r="D168"/>
      <c r="E168"/>
      <c r="F168"/>
    </row>
    <row r="169" ht="15" customHeight="true" x14ac:dyDescent="0.15">
      <c r="C169"/>
      <c r="D169"/>
      <c r="E169"/>
      <c r="F169"/>
    </row>
    <row r="170" ht="15" customHeight="true" x14ac:dyDescent="0.15">
      <c r="C170"/>
      <c r="D170"/>
      <c r="E170"/>
      <c r="F170"/>
    </row>
    <row r="171" ht="15" customHeight="true" x14ac:dyDescent="0.15">
      <c r="C171"/>
      <c r="D171"/>
      <c r="E171"/>
      <c r="F171"/>
    </row>
    <row r="172" ht="15" customHeight="true" x14ac:dyDescent="0.15">
      <c r="C172"/>
      <c r="D172"/>
      <c r="E172"/>
      <c r="F172"/>
    </row>
    <row r="173" ht="15" customHeight="true" x14ac:dyDescent="0.15">
      <c r="C173"/>
      <c r="D173"/>
      <c r="E173"/>
      <c r="F173"/>
    </row>
    <row r="174" ht="15" customHeight="true" x14ac:dyDescent="0.15">
      <c r="C174"/>
      <c r="D174"/>
      <c r="E174"/>
      <c r="F174"/>
    </row>
    <row r="175" ht="15" customHeight="true" x14ac:dyDescent="0.15">
      <c r="C175"/>
      <c r="D175"/>
      <c r="E175"/>
      <c r="F175"/>
    </row>
    <row r="176" ht="15" customHeight="true" x14ac:dyDescent="0.15">
      <c r="C176"/>
      <c r="D176"/>
      <c r="E176"/>
      <c r="F176"/>
    </row>
    <row r="177" ht="15" customHeight="true" x14ac:dyDescent="0.15">
      <c r="C177"/>
      <c r="D177"/>
      <c r="E177"/>
      <c r="F177"/>
    </row>
    <row r="178" ht="15" customHeight="true" x14ac:dyDescent="0.15">
      <c r="C178"/>
      <c r="D178"/>
      <c r="E178"/>
      <c r="F178"/>
    </row>
    <row r="179" ht="15" customHeight="true" x14ac:dyDescent="0.15">
      <c r="C179"/>
      <c r="D179"/>
      <c r="E179"/>
      <c r="F179"/>
    </row>
    <row r="180" ht="15" customHeight="true" x14ac:dyDescent="0.15">
      <c r="C180"/>
      <c r="D180"/>
      <c r="E180"/>
      <c r="F180"/>
    </row>
    <row r="181" ht="15" customHeight="true" x14ac:dyDescent="0.15">
      <c r="C181"/>
      <c r="D181"/>
      <c r="E181"/>
      <c r="F181"/>
    </row>
    <row r="182" ht="15" customHeight="true" x14ac:dyDescent="0.15">
      <c r="C182"/>
      <c r="D182"/>
      <c r="E182"/>
      <c r="F182"/>
    </row>
    <row r="183" ht="15" customHeight="true" x14ac:dyDescent="0.15">
      <c r="C183"/>
      <c r="D183"/>
      <c r="E183"/>
      <c r="F183"/>
    </row>
    <row r="184" ht="15" customHeight="true" x14ac:dyDescent="0.15">
      <c r="C184"/>
      <c r="D184"/>
      <c r="E184"/>
      <c r="F184"/>
    </row>
    <row r="185" ht="15" customHeight="true" x14ac:dyDescent="0.15">
      <c r="C185"/>
      <c r="D185"/>
      <c r="E185"/>
      <c r="F185"/>
    </row>
    <row r="186" ht="15" customHeight="true" x14ac:dyDescent="0.15"/>
    <row r="187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4" sqref="A24"/>
    </sheetView>
  </sheetViews>
  <sheetFormatPr baseColWidth="10" defaultColWidth="8.83203125" defaultRowHeight="13" x14ac:dyDescent="0.15"/>
  <cols>
    <col min="1" max="1" width="12.6640625" customWidth="true"/>
    <col min="2" max="2" width="22" bestFit="true" customWidth="true"/>
    <col min="3" max="3" width="16" bestFit="true" customWidth="true"/>
    <col min="4" max="4" width="16.33203125" bestFit="true" customWidth="true"/>
    <col min="5" max="5" width="12.1640625" bestFit="true" customWidth="true"/>
  </cols>
  <sheetData>
    <row r="1" s="117" customFormat="true" ht="28" x14ac:dyDescent="0.15">
      <c r="A1" s="116" t="s">
        <v>21</v>
      </c>
      <c r="B1" s="119" t="s">
        <v>0</v>
      </c>
      <c r="C1" t="s">
        <v>197</v>
      </c>
      <c r="D1" t="s">
        <v>198</v>
      </c>
      <c r="E1" s="117" t="s">
        <v>177</v>
      </c>
    </row>
    <row r="2" ht="15" customHeight="true" x14ac:dyDescent="0.15">
      <c r="A2">
        <v>1</v>
      </c>
      <c r="B2" t="s">
        <v>178</v>
      </c>
      <c r="C2">
        <v>0</v>
      </c>
      <c r="D2">
        <v>0</v>
      </c>
      <c r="E2" s="141">
        <f>SUM(C2:D2)</f>
        <v>0</v>
      </c>
    </row>
    <row r="3" ht="15" customHeight="true" x14ac:dyDescent="0.15">
      <c r="A3">
        <v>2</v>
      </c>
      <c r="B3" t="s">
        <v>179</v>
      </c>
      <c r="C3">
        <v>0</v>
      </c>
      <c r="D3">
        <v>0</v>
      </c>
      <c r="E3" s="141">
        <f t="shared" ref="E3:E20" si="0">SUM(C3:D3)</f>
        <v>0</v>
      </c>
    </row>
    <row r="4" ht="15" customHeight="true" x14ac:dyDescent="0.15">
      <c r="A4">
        <v>3</v>
      </c>
      <c r="B4" t="s">
        <v>180</v>
      </c>
      <c r="C4">
        <v>0</v>
      </c>
      <c r="D4">
        <v>0</v>
      </c>
      <c r="E4" s="141">
        <f t="shared" si="0"/>
        <v>0</v>
      </c>
    </row>
    <row r="5" ht="15" customHeight="true" x14ac:dyDescent="0.15">
      <c r="A5">
        <v>4</v>
      </c>
      <c r="B5" t="s">
        <v>181</v>
      </c>
      <c r="C5">
        <v>0</v>
      </c>
      <c r="D5">
        <v>0</v>
      </c>
      <c r="E5" s="141">
        <f t="shared" si="0"/>
        <v>0</v>
      </c>
    </row>
    <row r="6" ht="15" customHeight="true" x14ac:dyDescent="0.15">
      <c r="A6">
        <v>5</v>
      </c>
      <c r="B6" t="s">
        <v>182</v>
      </c>
      <c r="C6">
        <v>0</v>
      </c>
      <c r="D6">
        <v>0</v>
      </c>
      <c r="E6" s="141">
        <f t="shared" si="0"/>
        <v>0</v>
      </c>
    </row>
    <row r="7" ht="15" customHeight="true" x14ac:dyDescent="0.15">
      <c r="A7">
        <v>6</v>
      </c>
      <c r="B7" t="s">
        <v>183</v>
      </c>
      <c r="C7">
        <v>0</v>
      </c>
      <c r="D7">
        <v>0</v>
      </c>
      <c r="E7" s="141">
        <f t="shared" si="0"/>
        <v>0</v>
      </c>
    </row>
    <row r="8" ht="15" customHeight="true" x14ac:dyDescent="0.15">
      <c r="A8">
        <v>7</v>
      </c>
      <c r="B8" t="s">
        <v>184</v>
      </c>
      <c r="C8">
        <v>0</v>
      </c>
      <c r="D8">
        <v>0</v>
      </c>
      <c r="E8" s="141">
        <f t="shared" si="0"/>
        <v>0</v>
      </c>
    </row>
    <row r="9" ht="15" customHeight="true" x14ac:dyDescent="0.15">
      <c r="A9">
        <v>8</v>
      </c>
      <c r="B9" t="s">
        <v>185</v>
      </c>
      <c r="C9">
        <v>0</v>
      </c>
      <c r="D9">
        <v>0</v>
      </c>
      <c r="E9" s="141">
        <f t="shared" si="0"/>
        <v>0</v>
      </c>
    </row>
    <row r="10" ht="15" customHeight="true" x14ac:dyDescent="0.15">
      <c r="A10">
        <v>9</v>
      </c>
      <c r="B10" t="s">
        <v>186</v>
      </c>
      <c r="C10">
        <v>0</v>
      </c>
      <c r="D10">
        <v>9.9999999999999995E-7</v>
      </c>
      <c r="E10" s="141">
        <f t="shared" si="0"/>
        <v>9.9999999999999995E-7</v>
      </c>
      <c r="G10" s="118" t="s">
        <v>200</v>
      </c>
    </row>
    <row r="11" ht="15" customHeight="true" x14ac:dyDescent="0.15">
      <c r="A11">
        <v>10</v>
      </c>
      <c r="B11" t="s">
        <v>187</v>
      </c>
      <c r="C11">
        <v>9.9999999999999995E-7</v>
      </c>
      <c r="D11">
        <v>0</v>
      </c>
      <c r="E11" s="141">
        <f t="shared" si="0"/>
        <v>9.9999999999999995E-7</v>
      </c>
      <c r="G11" s="118" t="s">
        <v>200</v>
      </c>
    </row>
    <row r="12" ht="15" customHeight="true" x14ac:dyDescent="0.15">
      <c r="A12">
        <v>11</v>
      </c>
      <c r="B12" t="s">
        <v>188</v>
      </c>
      <c r="C12">
        <v>0</v>
      </c>
      <c r="D12">
        <v>0</v>
      </c>
      <c r="E12" s="141">
        <f t="shared" si="0"/>
        <v>0</v>
      </c>
    </row>
    <row r="13" ht="15" customHeight="true" x14ac:dyDescent="0.15">
      <c r="A13">
        <v>12</v>
      </c>
      <c r="B13" t="s">
        <v>189</v>
      </c>
      <c r="C13">
        <v>0</v>
      </c>
      <c r="D13">
        <v>0</v>
      </c>
      <c r="E13" s="141">
        <f t="shared" si="0"/>
        <v>0</v>
      </c>
    </row>
    <row r="14" ht="15" customHeight="true" x14ac:dyDescent="0.15">
      <c r="A14">
        <v>13</v>
      </c>
      <c r="B14" t="s">
        <v>190</v>
      </c>
      <c r="C14">
        <v>0</v>
      </c>
      <c r="D14">
        <v>0</v>
      </c>
      <c r="E14" s="141">
        <f t="shared" si="0"/>
        <v>0</v>
      </c>
    </row>
    <row r="15" ht="15" customHeight="true" x14ac:dyDescent="0.15">
      <c r="A15">
        <v>14</v>
      </c>
      <c r="B15" t="s">
        <v>191</v>
      </c>
      <c r="C15">
        <v>0</v>
      </c>
      <c r="D15">
        <v>0</v>
      </c>
      <c r="E15" s="141">
        <f t="shared" si="0"/>
        <v>0</v>
      </c>
    </row>
    <row r="16" ht="15" customHeight="true" x14ac:dyDescent="0.15">
      <c r="A16">
        <v>15</v>
      </c>
      <c r="B16" t="s">
        <v>192</v>
      </c>
      <c r="C16">
        <v>0</v>
      </c>
      <c r="D16">
        <v>0</v>
      </c>
      <c r="E16" s="141">
        <f t="shared" si="0"/>
        <v>0</v>
      </c>
    </row>
    <row r="17" ht="15" customHeight="true" x14ac:dyDescent="0.15">
      <c r="A17">
        <v>16</v>
      </c>
      <c r="B17" t="s">
        <v>193</v>
      </c>
      <c r="C17">
        <v>0</v>
      </c>
      <c r="D17">
        <v>0</v>
      </c>
      <c r="E17" s="141">
        <f t="shared" si="0"/>
        <v>0</v>
      </c>
    </row>
    <row r="18" ht="15" customHeight="true" x14ac:dyDescent="0.15">
      <c r="A18">
        <v>17</v>
      </c>
      <c r="B18" s="151" t="s">
        <v>194</v>
      </c>
      <c r="C18">
        <v>0</v>
      </c>
      <c r="D18">
        <v>0</v>
      </c>
      <c r="E18" s="141">
        <f t="shared" si="0"/>
        <v>0</v>
      </c>
    </row>
    <row r="19" ht="15" customHeight="true" x14ac:dyDescent="0.15">
      <c r="A19">
        <v>18</v>
      </c>
      <c r="B19" t="s">
        <v>195</v>
      </c>
      <c r="C19">
        <v>0</v>
      </c>
      <c r="D19">
        <v>0</v>
      </c>
      <c r="E19" s="141">
        <f t="shared" si="0"/>
        <v>0</v>
      </c>
    </row>
    <row r="20" ht="15" customHeight="true" x14ac:dyDescent="0.15">
      <c r="A20">
        <v>19</v>
      </c>
      <c r="B20" t="s">
        <v>196</v>
      </c>
      <c r="C20">
        <v>0</v>
      </c>
      <c r="D20">
        <v>0</v>
      </c>
      <c r="E20" s="141">
        <f t="shared" si="0"/>
        <v>0</v>
      </c>
    </row>
    <row r="21" ht="15" customHeight="true" x14ac:dyDescent="0.15">
      <c r="E21" s="131"/>
    </row>
    <row r="22" ht="15" customHeight="true" x14ac:dyDescent="0.15">
      <c r="E22" s="131"/>
    </row>
    <row r="23" ht="15" customHeight="true" x14ac:dyDescent="0.15">
      <c r="B23" s="51"/>
      <c r="E23" s="131"/>
    </row>
    <row r="24" ht="15" customHeight="true" x14ac:dyDescent="0.15">
      <c r="B24" s="51"/>
      <c r="E24" s="131"/>
    </row>
    <row r="25" ht="15" customHeight="true" x14ac:dyDescent="0.15">
      <c r="B25" s="51"/>
      <c r="E25" s="131"/>
    </row>
    <row r="26" ht="15" customHeight="true" x14ac:dyDescent="0.15">
      <c r="E26" s="131"/>
    </row>
    <row r="27" ht="15" customHeight="true" x14ac:dyDescent="0.15">
      <c r="E27" s="131"/>
    </row>
    <row r="28" ht="15" customHeight="true" x14ac:dyDescent="0.15">
      <c r="E28" s="131"/>
    </row>
    <row r="29" ht="15" customHeight="true" x14ac:dyDescent="0.15">
      <c r="E29" s="131"/>
    </row>
    <row r="30" ht="15" customHeight="true" x14ac:dyDescent="0.15">
      <c r="E30" s="131"/>
    </row>
    <row r="31" ht="15" customHeight="true" x14ac:dyDescent="0.15">
      <c r="E31" s="132"/>
    </row>
    <row r="32" ht="15" customHeight="true" x14ac:dyDescent="0.15"/>
    <row r="33" ht="15" customHeight="true" x14ac:dyDescent="0.15"/>
    <row r="34" ht="15" customHeight="true" x14ac:dyDescent="0.15"/>
    <row r="35" ht="15" customHeight="true" x14ac:dyDescent="0.15"/>
    <row r="36" ht="15" customHeight="true" x14ac:dyDescent="0.15"/>
    <row r="37" ht="15" customHeight="true" x14ac:dyDescent="0.15"/>
    <row r="38" ht="15" customHeight="true" x14ac:dyDescent="0.15"/>
    <row r="39" ht="15" customHeight="true" x14ac:dyDescent="0.15"/>
    <row r="40" ht="15" customHeight="true" x14ac:dyDescent="0.15"/>
    <row r="41" ht="15" customHeight="true" x14ac:dyDescent="0.15"/>
    <row r="42" ht="15" customHeight="true" x14ac:dyDescent="0.15"/>
    <row r="43" ht="15" customHeight="true" x14ac:dyDescent="0.15"/>
    <row r="44" ht="15" customHeight="true" x14ac:dyDescent="0.15"/>
    <row r="45" ht="15" customHeight="true" x14ac:dyDescent="0.15"/>
    <row r="46" ht="15" customHeight="true" x14ac:dyDescent="0.15"/>
    <row r="47" ht="15" customHeight="true" x14ac:dyDescent="0.15"/>
    <row r="48" ht="15" customHeight="true" x14ac:dyDescent="0.15"/>
    <row r="49" ht="15" customHeight="true" x14ac:dyDescent="0.15"/>
    <row r="82" ht="15" customHeight="true" x14ac:dyDescent="0.15"/>
    <row r="83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13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3" sqref="A23"/>
    </sheetView>
  </sheetViews>
  <sheetFormatPr baseColWidth="10" defaultColWidth="8.83203125" defaultRowHeight="13" x14ac:dyDescent="0.15"/>
  <cols>
    <col min="1" max="1" width="12.6640625" customWidth="true"/>
    <col min="2" max="2" width="22" bestFit="true" customWidth="true"/>
    <col min="3" max="3" width="16" bestFit="true" customWidth="true"/>
    <col min="4" max="4" width="16.33203125" bestFit="true" customWidth="true"/>
    <col min="5" max="5" width="12.1640625" bestFit="true" customWidth="true"/>
  </cols>
  <sheetData>
    <row r="1" s="117" customFormat="true" ht="28" x14ac:dyDescent="0.15">
      <c r="A1" s="116" t="s">
        <v>22</v>
      </c>
      <c r="B1" s="119" t="s">
        <v>0</v>
      </c>
      <c r="C1" t="s">
        <v>197</v>
      </c>
      <c r="D1" t="s">
        <v>198</v>
      </c>
      <c r="E1" s="117" t="s">
        <v>177</v>
      </c>
    </row>
    <row r="2" ht="15" customHeight="true" x14ac:dyDescent="0.15">
      <c r="A2">
        <v>1</v>
      </c>
      <c r="B2" t="s">
        <v>178</v>
      </c>
      <c r="C2">
        <v>0</v>
      </c>
      <c r="D2">
        <v>0</v>
      </c>
      <c r="E2" s="141">
        <f>SUM(C2:D2)</f>
        <v>0</v>
      </c>
    </row>
    <row r="3" ht="15" customHeight="true" x14ac:dyDescent="0.15">
      <c r="A3">
        <v>2</v>
      </c>
      <c r="B3" t="s">
        <v>179</v>
      </c>
      <c r="C3">
        <v>0</v>
      </c>
      <c r="D3">
        <v>0</v>
      </c>
      <c r="E3" s="141">
        <f t="shared" ref="E3:E20" si="0">SUM(C3:D3)</f>
        <v>0</v>
      </c>
    </row>
    <row r="4" ht="15" customHeight="true" x14ac:dyDescent="0.15">
      <c r="A4">
        <v>3</v>
      </c>
      <c r="B4" t="s">
        <v>180</v>
      </c>
      <c r="C4">
        <v>0</v>
      </c>
      <c r="D4">
        <v>0</v>
      </c>
      <c r="E4" s="141">
        <f t="shared" si="0"/>
        <v>0</v>
      </c>
    </row>
    <row r="5" ht="15" customHeight="true" x14ac:dyDescent="0.15">
      <c r="A5">
        <v>4</v>
      </c>
      <c r="B5" t="s">
        <v>181</v>
      </c>
      <c r="C5">
        <v>0</v>
      </c>
      <c r="D5">
        <v>0</v>
      </c>
      <c r="E5" s="141">
        <f t="shared" si="0"/>
        <v>0</v>
      </c>
    </row>
    <row r="6" ht="15" customHeight="true" x14ac:dyDescent="0.15">
      <c r="A6">
        <v>5</v>
      </c>
      <c r="B6" t="s">
        <v>182</v>
      </c>
      <c r="C6">
        <v>0</v>
      </c>
      <c r="D6">
        <v>0</v>
      </c>
      <c r="E6" s="141">
        <f t="shared" si="0"/>
        <v>0</v>
      </c>
    </row>
    <row r="7" ht="15" customHeight="true" x14ac:dyDescent="0.15">
      <c r="A7">
        <v>6</v>
      </c>
      <c r="B7" t="s">
        <v>183</v>
      </c>
      <c r="C7">
        <v>0</v>
      </c>
      <c r="D7">
        <v>0</v>
      </c>
      <c r="E7" s="141">
        <f t="shared" si="0"/>
        <v>0</v>
      </c>
    </row>
    <row r="8" ht="15" customHeight="true" x14ac:dyDescent="0.15">
      <c r="A8">
        <v>7</v>
      </c>
      <c r="B8" t="s">
        <v>184</v>
      </c>
      <c r="C8">
        <v>0</v>
      </c>
      <c r="D8">
        <v>0</v>
      </c>
      <c r="E8" s="141">
        <f t="shared" si="0"/>
        <v>0</v>
      </c>
    </row>
    <row r="9" ht="15" customHeight="true" x14ac:dyDescent="0.15">
      <c r="A9">
        <v>8</v>
      </c>
      <c r="B9" t="s">
        <v>185</v>
      </c>
      <c r="C9">
        <v>0</v>
      </c>
      <c r="D9">
        <v>0</v>
      </c>
      <c r="E9" s="141">
        <f t="shared" si="0"/>
        <v>0</v>
      </c>
    </row>
    <row r="10" ht="15" customHeight="true" x14ac:dyDescent="0.15">
      <c r="A10">
        <v>9</v>
      </c>
      <c r="B10" t="s">
        <v>186</v>
      </c>
      <c r="C10">
        <v>0</v>
      </c>
      <c r="D10">
        <v>9.9999999999999995E-8</v>
      </c>
      <c r="E10" s="141">
        <f t="shared" si="0"/>
        <v>9.9999999999999995E-8</v>
      </c>
      <c r="G10" s="118" t="s">
        <v>200</v>
      </c>
    </row>
    <row r="11" ht="15" customHeight="true" x14ac:dyDescent="0.15">
      <c r="A11">
        <v>10</v>
      </c>
      <c r="B11" t="s">
        <v>187</v>
      </c>
      <c r="C11">
        <v>9.9999999999999995E-8</v>
      </c>
      <c r="D11">
        <v>0</v>
      </c>
      <c r="E11" s="141">
        <f t="shared" si="0"/>
        <v>9.9999999999999995E-8</v>
      </c>
      <c r="G11" s="118" t="s">
        <v>200</v>
      </c>
    </row>
    <row r="12" ht="15" customHeight="true" x14ac:dyDescent="0.15">
      <c r="A12">
        <v>11</v>
      </c>
      <c r="B12" t="s">
        <v>188</v>
      </c>
      <c r="C12">
        <v>0</v>
      </c>
      <c r="D12">
        <v>0</v>
      </c>
      <c r="E12" s="141">
        <f t="shared" si="0"/>
        <v>0</v>
      </c>
    </row>
    <row r="13" ht="15" customHeight="true" x14ac:dyDescent="0.15">
      <c r="A13">
        <v>12</v>
      </c>
      <c r="B13" t="s">
        <v>189</v>
      </c>
      <c r="C13">
        <v>0</v>
      </c>
      <c r="D13">
        <v>0</v>
      </c>
      <c r="E13" s="141">
        <f t="shared" si="0"/>
        <v>0</v>
      </c>
    </row>
    <row r="14" ht="15" customHeight="true" x14ac:dyDescent="0.15">
      <c r="A14">
        <v>13</v>
      </c>
      <c r="B14" t="s">
        <v>190</v>
      </c>
      <c r="C14">
        <v>0</v>
      </c>
      <c r="D14">
        <v>0</v>
      </c>
      <c r="E14" s="141">
        <f t="shared" si="0"/>
        <v>0</v>
      </c>
    </row>
    <row r="15" ht="15" customHeight="true" x14ac:dyDescent="0.15">
      <c r="A15">
        <v>14</v>
      </c>
      <c r="B15" t="s">
        <v>191</v>
      </c>
      <c r="C15">
        <v>0</v>
      </c>
      <c r="D15">
        <v>0</v>
      </c>
      <c r="E15" s="141">
        <f t="shared" si="0"/>
        <v>0</v>
      </c>
    </row>
    <row r="16" ht="15" customHeight="true" x14ac:dyDescent="0.15">
      <c r="A16">
        <v>15</v>
      </c>
      <c r="B16" t="s">
        <v>192</v>
      </c>
      <c r="C16">
        <v>0</v>
      </c>
      <c r="D16">
        <v>0</v>
      </c>
      <c r="E16" s="141">
        <f t="shared" si="0"/>
        <v>0</v>
      </c>
    </row>
    <row r="17" ht="15" customHeight="true" x14ac:dyDescent="0.15">
      <c r="A17">
        <v>16</v>
      </c>
      <c r="B17" t="s">
        <v>193</v>
      </c>
      <c r="C17">
        <v>0</v>
      </c>
      <c r="D17">
        <v>0</v>
      </c>
      <c r="E17" s="141">
        <f t="shared" si="0"/>
        <v>0</v>
      </c>
    </row>
    <row r="18" ht="15" customHeight="true" x14ac:dyDescent="0.15">
      <c r="A18">
        <v>17</v>
      </c>
      <c r="B18" s="151" t="s">
        <v>194</v>
      </c>
      <c r="C18">
        <v>0</v>
      </c>
      <c r="D18">
        <v>0</v>
      </c>
      <c r="E18" s="141">
        <f t="shared" si="0"/>
        <v>0</v>
      </c>
    </row>
    <row r="19" ht="15" customHeight="true" x14ac:dyDescent="0.15">
      <c r="A19">
        <v>18</v>
      </c>
      <c r="B19" t="s">
        <v>195</v>
      </c>
      <c r="C19">
        <v>0</v>
      </c>
      <c r="D19">
        <v>0</v>
      </c>
      <c r="E19" s="141">
        <f t="shared" si="0"/>
        <v>0</v>
      </c>
    </row>
    <row r="20" ht="15" customHeight="true" x14ac:dyDescent="0.15">
      <c r="A20">
        <v>19</v>
      </c>
      <c r="B20" t="s">
        <v>196</v>
      </c>
      <c r="C20">
        <v>0</v>
      </c>
      <c r="D20">
        <v>0</v>
      </c>
      <c r="E20" s="141">
        <f t="shared" si="0"/>
        <v>0</v>
      </c>
    </row>
    <row r="21" ht="15" customHeight="true" x14ac:dyDescent="0.15"/>
    <row r="22" ht="15" customHeight="true" x14ac:dyDescent="0.15"/>
    <row r="23" ht="15" customHeight="true" x14ac:dyDescent="0.15">
      <c r="B23" s="51"/>
    </row>
    <row r="24" ht="15" customHeight="true" x14ac:dyDescent="0.15">
      <c r="B24" s="51"/>
    </row>
    <row r="25" ht="15" customHeight="true" x14ac:dyDescent="0.15">
      <c r="B25" s="51"/>
    </row>
    <row r="26" ht="15" customHeight="true" x14ac:dyDescent="0.15"/>
    <row r="27" ht="15" customHeight="true" x14ac:dyDescent="0.15"/>
    <row r="28" ht="15" customHeight="true" x14ac:dyDescent="0.15"/>
    <row r="29" ht="15" customHeight="true" x14ac:dyDescent="0.15"/>
    <row r="30" ht="15" customHeight="true" x14ac:dyDescent="0.15"/>
    <row r="31" ht="15" customHeight="true" x14ac:dyDescent="0.15"/>
    <row r="32" ht="15" customHeight="true" x14ac:dyDescent="0.15"/>
    <row r="33" ht="15" customHeight="true" x14ac:dyDescent="0.15"/>
    <row r="34" ht="15" customHeight="true" x14ac:dyDescent="0.15"/>
    <row r="35" ht="15" customHeight="true" x14ac:dyDescent="0.15"/>
    <row r="36" ht="15" customHeight="true" x14ac:dyDescent="0.15"/>
    <row r="37" ht="15" customHeight="true" x14ac:dyDescent="0.15"/>
    <row r="38" ht="15" customHeight="true" x14ac:dyDescent="0.15"/>
    <row r="39" ht="15" customHeight="true" x14ac:dyDescent="0.15"/>
    <row r="40" ht="15" customHeight="true" x14ac:dyDescent="0.15"/>
    <row r="41" ht="15" customHeight="true" x14ac:dyDescent="0.15"/>
    <row r="42" ht="15" customHeight="true" x14ac:dyDescent="0.15"/>
    <row r="43" ht="15" customHeight="true" x14ac:dyDescent="0.15"/>
    <row r="44" ht="15" customHeight="true" x14ac:dyDescent="0.15"/>
    <row r="45" ht="15" customHeight="true" x14ac:dyDescent="0.15"/>
    <row r="46" ht="15" customHeight="true" x14ac:dyDescent="0.15"/>
    <row r="47" ht="15" customHeight="true" x14ac:dyDescent="0.15"/>
    <row r="48" ht="15" customHeight="true" x14ac:dyDescent="0.15"/>
    <row r="49" ht="15" customHeight="true" x14ac:dyDescent="0.15"/>
    <row r="50" ht="15" customHeight="true" x14ac:dyDescent="0.15"/>
    <row r="51" ht="15" customHeight="true" x14ac:dyDescent="0.15"/>
    <row r="52" ht="15" customHeight="true" x14ac:dyDescent="0.15"/>
    <row r="53" ht="15" customHeight="true" x14ac:dyDescent="0.15"/>
    <row r="54" ht="15" customHeight="true" x14ac:dyDescent="0.15"/>
    <row r="55" ht="15" customHeight="true" x14ac:dyDescent="0.15"/>
    <row r="56" ht="15" customHeight="true" x14ac:dyDescent="0.15"/>
    <row r="57" ht="15" customHeight="true" x14ac:dyDescent="0.15"/>
    <row r="58" ht="15" customHeight="true" x14ac:dyDescent="0.15"/>
    <row r="59" ht="15" customHeight="true" x14ac:dyDescent="0.15"/>
    <row r="60" ht="15" customHeight="true" x14ac:dyDescent="0.15"/>
    <row r="61" ht="15" customHeight="true" x14ac:dyDescent="0.15"/>
    <row r="62" ht="15" customHeight="true" x14ac:dyDescent="0.15"/>
    <row r="63" ht="15" customHeight="true" x14ac:dyDescent="0.15"/>
    <row r="64" ht="15" customHeight="true" x14ac:dyDescent="0.15"/>
    <row r="65" ht="15" customHeight="true" x14ac:dyDescent="0.15"/>
    <row r="66" ht="15" customHeight="true" x14ac:dyDescent="0.15"/>
    <row r="67" ht="15" customHeight="true" x14ac:dyDescent="0.15"/>
    <row r="68" ht="15" customHeight="true" x14ac:dyDescent="0.15"/>
    <row r="69" ht="15" customHeight="true" x14ac:dyDescent="0.15"/>
    <row r="70" ht="15" customHeight="true" x14ac:dyDescent="0.15"/>
    <row r="71" ht="15" customHeight="true" x14ac:dyDescent="0.15"/>
    <row r="72" ht="15" customHeight="true" x14ac:dyDescent="0.15"/>
    <row r="73" ht="15" customHeight="true" x14ac:dyDescent="0.15"/>
    <row r="74" ht="15" customHeight="true" x14ac:dyDescent="0.15"/>
    <row r="75" ht="15" customHeight="true" x14ac:dyDescent="0.15"/>
    <row r="76" ht="15" customHeight="true" x14ac:dyDescent="0.15"/>
    <row r="77" ht="15" customHeight="true" x14ac:dyDescent="0.15"/>
    <row r="78" ht="15" customHeight="true" x14ac:dyDescent="0.15"/>
    <row r="79" ht="15" customHeight="true" x14ac:dyDescent="0.15"/>
    <row r="80" ht="15" customHeight="true" x14ac:dyDescent="0.15"/>
    <row r="81" ht="15" customHeight="true" x14ac:dyDescent="0.15"/>
    <row r="82" ht="15" customHeight="true" x14ac:dyDescent="0.15"/>
    <row r="83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A14" sqref="A14"/>
    </sheetView>
  </sheetViews>
  <sheetFormatPr baseColWidth="10" defaultRowHeight="13" x14ac:dyDescent="0.15"/>
  <cols>
    <col min="1" max="1" width="17.33203125" bestFit="true" customWidth="true"/>
    <col min="5" max="5" width="39.83203125" bestFit="true" customWidth="true"/>
    <col min="6" max="6" width="8.1640625" bestFit="true" customWidth="true"/>
    <col min="7" max="7" width="7.5" bestFit="true" customWidth="true"/>
    <col min="8" max="8" width="8.6640625" bestFit="true" customWidth="true"/>
    <col min="9" max="9" width="8.83203125" bestFit="true" customWidth="true"/>
    <col min="10" max="10" width="8.83203125" style="131" bestFit="true" customWidth="true"/>
    <col min="11" max="11" width="8.6640625" style="131" bestFit="true" customWidth="true"/>
    <col min="12" max="12" width="12.33203125" bestFit="true" customWidth="true"/>
    <col min="13" max="13" width="13.5" bestFit="true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bestFit="true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style="3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style="3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style="3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</cols>
  <sheetData>
    <row r="1" s="120" customFormat="true" ht="14" thickBot="true" x14ac:dyDescent="0.2">
      <c r="D1" s="121" t="s">
        <v>8</v>
      </c>
      <c r="E1" s="121" t="s">
        <v>0</v>
      </c>
      <c r="F1" s="122" t="s">
        <v>100</v>
      </c>
      <c r="G1" s="123" t="s">
        <v>85</v>
      </c>
      <c r="H1" s="123" t="s">
        <v>86</v>
      </c>
      <c r="I1" s="123" t="s">
        <v>87</v>
      </c>
      <c r="J1" s="123" t="s">
        <v>88</v>
      </c>
      <c r="K1" s="123" t="s">
        <v>89</v>
      </c>
      <c r="L1" s="124" t="s">
        <v>90</v>
      </c>
      <c r="M1" s="124" t="s">
        <v>94</v>
      </c>
      <c r="N1" s="124" t="s">
        <v>93</v>
      </c>
      <c r="O1" s="124" t="s">
        <v>91</v>
      </c>
      <c r="P1" s="124" t="s">
        <v>92</v>
      </c>
      <c r="Q1" s="125" t="s">
        <v>95</v>
      </c>
      <c r="R1" s="125" t="s">
        <v>96</v>
      </c>
      <c r="S1" s="125" t="s">
        <v>97</v>
      </c>
      <c r="T1" s="125" t="s">
        <v>98</v>
      </c>
      <c r="U1" s="125" t="s">
        <v>99</v>
      </c>
      <c r="V1" s="123" t="s">
        <v>101</v>
      </c>
      <c r="W1" s="123" t="s">
        <v>102</v>
      </c>
      <c r="X1" s="123" t="s">
        <v>103</v>
      </c>
      <c r="Y1" s="123" t="s">
        <v>135</v>
      </c>
      <c r="Z1" s="124" t="s">
        <v>104</v>
      </c>
      <c r="AA1" s="124" t="s">
        <v>105</v>
      </c>
      <c r="AB1" s="124" t="s">
        <v>106</v>
      </c>
      <c r="AC1" s="126" t="s">
        <v>136</v>
      </c>
      <c r="AD1" s="125" t="s">
        <v>107</v>
      </c>
      <c r="AE1" s="125" t="s">
        <v>108</v>
      </c>
      <c r="AF1" s="125" t="s">
        <v>109</v>
      </c>
      <c r="AG1" s="125" t="s">
        <v>137</v>
      </c>
      <c r="AH1" s="123" t="s">
        <v>110</v>
      </c>
      <c r="AI1" s="123" t="s">
        <v>112</v>
      </c>
      <c r="AJ1" s="123" t="s">
        <v>111</v>
      </c>
      <c r="AK1" s="124" t="s">
        <v>116</v>
      </c>
      <c r="AL1" s="124" t="s">
        <v>117</v>
      </c>
      <c r="AM1" s="124" t="s">
        <v>118</v>
      </c>
      <c r="AN1" s="125" t="s">
        <v>113</v>
      </c>
      <c r="AO1" s="125" t="s">
        <v>114</v>
      </c>
      <c r="AP1" s="125" t="s">
        <v>115</v>
      </c>
    </row>
    <row r="2" x14ac:dyDescent="0.15">
      <c r="A2" s="127" t="s">
        <v>75</v>
      </c>
      <c r="B2" s="128">
        <v>1</v>
      </c>
      <c r="D2">
        <v>1</v>
      </c>
      <c r="E2" t="s">
        <v>178</v>
      </c>
      <c r="F2">
        <v>0.995</v>
      </c>
      <c r="G2" s="161">
        <v>0.8</v>
      </c>
      <c r="H2" s="161">
        <v>0.8</v>
      </c>
      <c r="I2" s="161">
        <v>0</v>
      </c>
      <c r="J2" s="161">
        <v>0</v>
      </c>
      <c r="K2" s="142">
        <v>0</v>
      </c>
    </row>
    <row r="3" x14ac:dyDescent="0.15">
      <c r="A3" s="127" t="s">
        <v>76</v>
      </c>
      <c r="B3" s="129">
        <v>1</v>
      </c>
      <c r="D3">
        <v>2</v>
      </c>
      <c r="E3" t="s">
        <v>179</v>
      </c>
      <c r="F3">
        <v>0.995</v>
      </c>
      <c r="G3" s="161">
        <v>0.8</v>
      </c>
      <c r="H3" s="161">
        <v>0.8</v>
      </c>
      <c r="I3" s="161">
        <v>0</v>
      </c>
      <c r="J3" s="161">
        <v>0</v>
      </c>
      <c r="K3" s="142">
        <v>0</v>
      </c>
    </row>
    <row r="4" x14ac:dyDescent="0.15">
      <c r="A4" s="127" t="s">
        <v>77</v>
      </c>
      <c r="B4" s="129">
        <v>1</v>
      </c>
      <c r="D4">
        <v>3</v>
      </c>
      <c r="E4" t="s">
        <v>180</v>
      </c>
      <c r="F4">
        <v>0.995</v>
      </c>
      <c r="G4" s="161">
        <v>0.8</v>
      </c>
      <c r="H4" s="161">
        <v>0.8</v>
      </c>
      <c r="I4" s="161">
        <v>0.8</v>
      </c>
      <c r="J4" s="161">
        <v>0.8</v>
      </c>
      <c r="K4" s="142">
        <v>0.05</v>
      </c>
    </row>
    <row r="5" x14ac:dyDescent="0.15">
      <c r="A5" s="127" t="s">
        <v>78</v>
      </c>
      <c r="B5" s="129">
        <v>1</v>
      </c>
      <c r="D5">
        <v>4</v>
      </c>
      <c r="E5" t="s">
        <v>181</v>
      </c>
      <c r="F5">
        <v>0.995</v>
      </c>
      <c r="G5" s="161">
        <v>0.5</v>
      </c>
      <c r="H5" s="161">
        <v>0.8</v>
      </c>
      <c r="I5" s="161">
        <v>0.8</v>
      </c>
      <c r="J5" s="161">
        <v>0.8</v>
      </c>
      <c r="K5" s="142">
        <v>0.05</v>
      </c>
    </row>
    <row r="6" x14ac:dyDescent="0.15">
      <c r="A6" s="127" t="s">
        <v>79</v>
      </c>
      <c r="B6" s="129">
        <v>1</v>
      </c>
      <c r="D6">
        <v>5</v>
      </c>
      <c r="E6" t="s">
        <v>182</v>
      </c>
      <c r="F6">
        <v>0.995</v>
      </c>
      <c r="G6" s="161">
        <v>0.5</v>
      </c>
      <c r="H6" s="161">
        <v>0.8</v>
      </c>
      <c r="I6" s="161">
        <v>0.8</v>
      </c>
      <c r="J6" s="161">
        <v>0.8</v>
      </c>
      <c r="K6" s="142">
        <v>0.05</v>
      </c>
    </row>
    <row r="7" x14ac:dyDescent="0.15">
      <c r="A7" s="127" t="s">
        <v>80</v>
      </c>
      <c r="B7" s="129">
        <v>1</v>
      </c>
      <c r="D7">
        <v>6</v>
      </c>
      <c r="E7" t="s">
        <v>183</v>
      </c>
      <c r="F7">
        <v>0.995</v>
      </c>
      <c r="G7" s="161">
        <v>0.5</v>
      </c>
      <c r="H7" s="161">
        <v>0.7</v>
      </c>
      <c r="I7" s="161">
        <v>0.7</v>
      </c>
      <c r="J7" s="161">
        <v>0.7</v>
      </c>
      <c r="K7" s="142">
        <v>0.05</v>
      </c>
    </row>
    <row r="8" x14ac:dyDescent="0.15">
      <c r="A8" s="127" t="s">
        <v>81</v>
      </c>
      <c r="B8" s="129">
        <v>1</v>
      </c>
      <c r="D8">
        <v>7</v>
      </c>
      <c r="E8" t="s">
        <v>184</v>
      </c>
      <c r="F8">
        <v>0.995</v>
      </c>
      <c r="G8" s="162">
        <v>0.5</v>
      </c>
      <c r="H8" s="162">
        <v>0.8</v>
      </c>
      <c r="I8" s="162">
        <v>0.8</v>
      </c>
      <c r="J8" s="162">
        <v>0.8</v>
      </c>
      <c r="K8" s="142">
        <v>0.05</v>
      </c>
      <c r="M8" s="3"/>
      <c r="N8" s="3"/>
      <c r="O8" s="3"/>
      <c r="P8" s="3"/>
      <c r="Q8" s="3"/>
      <c r="R8" s="3"/>
    </row>
    <row r="9" x14ac:dyDescent="0.15">
      <c r="A9" s="127" t="s">
        <v>82</v>
      </c>
      <c r="B9" s="129">
        <v>0.1</v>
      </c>
      <c r="C9" s="118" t="s">
        <v>151</v>
      </c>
      <c r="D9">
        <v>8</v>
      </c>
      <c r="E9" t="s">
        <v>185</v>
      </c>
      <c r="F9">
        <v>0.995</v>
      </c>
      <c r="G9" s="162">
        <v>0.8</v>
      </c>
      <c r="H9" s="162">
        <v>0.8</v>
      </c>
      <c r="I9" s="162">
        <v>0.8</v>
      </c>
      <c r="J9" s="162">
        <v>0.8</v>
      </c>
      <c r="K9" s="142">
        <v>0.05</v>
      </c>
      <c r="M9" s="3"/>
      <c r="N9" s="3"/>
      <c r="O9" s="3"/>
      <c r="P9" s="3"/>
      <c r="Q9" s="3"/>
      <c r="R9" s="3"/>
    </row>
    <row r="10" ht="14" thickBot="true" x14ac:dyDescent="0.2">
      <c r="A10" s="127" t="s">
        <v>150</v>
      </c>
      <c r="B10" s="130">
        <f>1/3</f>
        <v>0.33333333333333331</v>
      </c>
      <c r="C10" s="118" t="s">
        <v>151</v>
      </c>
      <c r="D10">
        <v>9</v>
      </c>
      <c r="E10" t="s">
        <v>186</v>
      </c>
      <c r="F10">
        <v>0.995</v>
      </c>
      <c r="G10" s="162">
        <v>0.5</v>
      </c>
      <c r="H10" s="162">
        <v>0.7</v>
      </c>
      <c r="I10" s="162">
        <v>0.7</v>
      </c>
      <c r="J10" s="162">
        <v>0.7</v>
      </c>
      <c r="K10" s="142">
        <v>0.05</v>
      </c>
      <c r="M10" s="3"/>
      <c r="N10" s="3"/>
      <c r="O10" s="3"/>
      <c r="P10" s="3"/>
      <c r="Q10" s="3"/>
      <c r="R10" s="3"/>
    </row>
    <row r="11" x14ac:dyDescent="0.15">
      <c r="D11">
        <v>10</v>
      </c>
      <c r="E11" t="s">
        <v>187</v>
      </c>
      <c r="F11">
        <v>0.995</v>
      </c>
      <c r="G11" s="162">
        <v>0.8</v>
      </c>
      <c r="H11" s="162">
        <v>0.8</v>
      </c>
      <c r="I11" s="162">
        <v>0.8</v>
      </c>
      <c r="J11" s="162">
        <v>0.8</v>
      </c>
      <c r="K11" s="142">
        <v>0.05</v>
      </c>
      <c r="M11" s="3"/>
      <c r="N11" s="3"/>
      <c r="O11" s="3"/>
      <c r="P11" s="3"/>
      <c r="Q11" s="3"/>
      <c r="R11" s="3"/>
    </row>
    <row r="12" x14ac:dyDescent="0.15">
      <c r="D12">
        <v>11</v>
      </c>
      <c r="E12" t="s">
        <v>188</v>
      </c>
      <c r="F12">
        <v>0.995</v>
      </c>
      <c r="G12" s="162">
        <v>0.8</v>
      </c>
      <c r="H12" s="162">
        <v>0.8</v>
      </c>
      <c r="I12" s="162">
        <v>0.8</v>
      </c>
      <c r="J12" s="162">
        <v>0.8</v>
      </c>
      <c r="K12" s="142">
        <v>0.05</v>
      </c>
      <c r="M12" s="3"/>
      <c r="N12" s="3"/>
      <c r="O12" s="3"/>
      <c r="P12" s="3"/>
      <c r="Q12" s="3"/>
      <c r="R12" s="3"/>
    </row>
    <row r="13" x14ac:dyDescent="0.15">
      <c r="D13">
        <v>12</v>
      </c>
      <c r="E13" t="s">
        <v>189</v>
      </c>
      <c r="F13">
        <v>0.995</v>
      </c>
      <c r="G13" s="162">
        <v>0.5</v>
      </c>
      <c r="H13" s="162">
        <v>0.1</v>
      </c>
      <c r="I13" s="162">
        <v>0.1</v>
      </c>
      <c r="J13" s="162">
        <v>0.1</v>
      </c>
      <c r="K13" s="142">
        <v>0.05</v>
      </c>
      <c r="M13" s="3"/>
      <c r="N13" s="3"/>
      <c r="O13" s="3"/>
      <c r="P13" s="3"/>
      <c r="Q13" s="3"/>
      <c r="R13" s="3"/>
    </row>
    <row r="14" x14ac:dyDescent="0.15">
      <c r="D14">
        <v>13</v>
      </c>
      <c r="E14" t="s">
        <v>190</v>
      </c>
      <c r="F14">
        <v>0.995</v>
      </c>
      <c r="G14" s="162">
        <v>0.5</v>
      </c>
      <c r="H14" s="162">
        <v>0.1</v>
      </c>
      <c r="I14" s="162">
        <v>0.1</v>
      </c>
      <c r="J14" s="162">
        <v>0.1</v>
      </c>
      <c r="K14" s="142">
        <v>0.05</v>
      </c>
      <c r="M14" s="3"/>
      <c r="N14" s="3"/>
      <c r="O14" s="3"/>
      <c r="P14" s="3"/>
      <c r="Q14" s="3"/>
      <c r="R14" s="3"/>
    </row>
    <row r="15" x14ac:dyDescent="0.15">
      <c r="D15">
        <v>14</v>
      </c>
      <c r="E15" t="s">
        <v>191</v>
      </c>
      <c r="F15">
        <v>0.995</v>
      </c>
      <c r="G15" s="162">
        <v>0.5</v>
      </c>
      <c r="H15" s="162">
        <v>0.1</v>
      </c>
      <c r="I15" s="162">
        <v>0.1</v>
      </c>
      <c r="J15" s="162">
        <v>0.1</v>
      </c>
      <c r="K15" s="142">
        <v>0.05</v>
      </c>
      <c r="M15" s="3"/>
      <c r="N15" s="3"/>
      <c r="O15" s="3"/>
      <c r="P15" s="3"/>
      <c r="Q15" s="3"/>
      <c r="R15" s="3"/>
    </row>
    <row r="16" x14ac:dyDescent="0.15">
      <c r="D16">
        <v>15</v>
      </c>
      <c r="E16" t="s">
        <v>192</v>
      </c>
      <c r="F16">
        <v>0.995</v>
      </c>
      <c r="G16" s="162">
        <v>0.8</v>
      </c>
      <c r="H16" s="162">
        <v>0.1</v>
      </c>
      <c r="I16" s="162">
        <v>0.1</v>
      </c>
      <c r="J16" s="162">
        <v>0.1</v>
      </c>
      <c r="K16" s="142">
        <v>0.05</v>
      </c>
      <c r="M16" s="3"/>
      <c r="N16" s="3"/>
      <c r="O16" s="3"/>
      <c r="P16" s="3"/>
      <c r="Q16" s="3"/>
      <c r="R16" s="3"/>
    </row>
    <row r="17" ht="15" customHeight="true" x14ac:dyDescent="0.15">
      <c r="D17">
        <v>16</v>
      </c>
      <c r="E17" t="s">
        <v>193</v>
      </c>
      <c r="F17">
        <v>0.995</v>
      </c>
      <c r="G17" s="162">
        <v>0.5</v>
      </c>
      <c r="H17" s="162">
        <v>0.1</v>
      </c>
      <c r="I17" s="162">
        <v>0.1</v>
      </c>
      <c r="J17" s="162">
        <v>0.1</v>
      </c>
      <c r="K17" s="142">
        <v>0.05</v>
      </c>
      <c r="M17" s="3"/>
      <c r="N17" s="3"/>
      <c r="O17" s="3"/>
      <c r="P17" s="3"/>
      <c r="Q17" s="3"/>
      <c r="R17" s="3"/>
    </row>
    <row r="18" ht="15" customHeight="true" x14ac:dyDescent="0.15">
      <c r="D18">
        <v>17</v>
      </c>
      <c r="E18" s="151" t="s">
        <v>194</v>
      </c>
      <c r="F18">
        <v>0.995</v>
      </c>
      <c r="G18" s="163">
        <v>0</v>
      </c>
      <c r="H18" s="163">
        <v>0</v>
      </c>
      <c r="I18" s="163">
        <v>0</v>
      </c>
      <c r="J18" s="163">
        <v>0</v>
      </c>
      <c r="K18" s="142">
        <v>0.05</v>
      </c>
      <c r="M18" s="3"/>
      <c r="N18" s="3"/>
      <c r="O18" s="3"/>
      <c r="P18" s="3"/>
      <c r="Q18" s="3"/>
      <c r="R18" s="3"/>
    </row>
    <row r="19" ht="15" customHeight="true" x14ac:dyDescent="0.15">
      <c r="D19">
        <v>18</v>
      </c>
      <c r="E19" t="s">
        <v>195</v>
      </c>
      <c r="F19">
        <v>0.995</v>
      </c>
      <c r="G19" s="164">
        <v>0</v>
      </c>
      <c r="H19" s="164">
        <v>0</v>
      </c>
      <c r="I19" s="164">
        <v>0</v>
      </c>
      <c r="J19" s="164">
        <v>0</v>
      </c>
      <c r="K19" s="142">
        <v>0.05</v>
      </c>
      <c r="M19" s="3"/>
      <c r="N19" s="3"/>
      <c r="O19" s="3"/>
      <c r="P19" s="3"/>
      <c r="Q19" s="3"/>
      <c r="R19" s="3"/>
    </row>
    <row r="20" ht="15" customHeight="true" x14ac:dyDescent="0.15">
      <c r="D20">
        <v>19</v>
      </c>
      <c r="E20" t="s">
        <v>196</v>
      </c>
      <c r="F20">
        <v>0.995</v>
      </c>
      <c r="G20" s="164">
        <v>0</v>
      </c>
      <c r="H20" s="164">
        <v>0</v>
      </c>
      <c r="I20" s="164">
        <v>0</v>
      </c>
      <c r="J20" s="164">
        <v>0</v>
      </c>
      <c r="K20" s="142">
        <v>0.05</v>
      </c>
      <c r="M20" s="3"/>
      <c r="N20" s="3"/>
      <c r="O20" s="3"/>
      <c r="P20" s="3"/>
      <c r="Q20" s="3"/>
      <c r="R20" s="3"/>
    </row>
    <row r="21" ht="15" customHeight="true" x14ac:dyDescent="0.15">
      <c r="G21" s="142"/>
      <c r="H21" s="142"/>
      <c r="I21" s="142"/>
      <c r="J21" s="142"/>
      <c r="K21" s="142"/>
      <c r="M21" s="3"/>
      <c r="N21" s="3"/>
      <c r="O21" s="3"/>
      <c r="P21" s="3"/>
      <c r="Q21" s="3"/>
      <c r="R21" s="3"/>
    </row>
    <row r="22" ht="15" customHeight="true" x14ac:dyDescent="0.15">
      <c r="G22" s="142"/>
      <c r="H22" s="142"/>
      <c r="I22" s="142"/>
      <c r="J22" s="142"/>
      <c r="K22" s="142"/>
      <c r="M22" s="3"/>
      <c r="N22" s="3"/>
      <c r="O22" s="3"/>
      <c r="P22" s="3"/>
      <c r="Q22" s="3"/>
      <c r="R22" s="3"/>
    </row>
    <row r="23" ht="15" customHeight="true" x14ac:dyDescent="0.15">
      <c r="E23" s="51"/>
      <c r="G23" s="142"/>
      <c r="H23" s="142"/>
      <c r="I23" s="142"/>
      <c r="J23" s="142"/>
      <c r="K23" s="142"/>
      <c r="M23" s="3"/>
      <c r="N23" s="3"/>
      <c r="O23" s="3"/>
      <c r="P23" s="3"/>
      <c r="Q23" s="3"/>
      <c r="R23" s="3"/>
    </row>
    <row r="24" ht="15" customHeight="true" x14ac:dyDescent="0.15">
      <c r="E24" s="51"/>
      <c r="G24" s="142"/>
      <c r="H24" s="142"/>
      <c r="I24" s="142"/>
      <c r="J24" s="142"/>
      <c r="K24" s="142"/>
      <c r="M24" s="3"/>
      <c r="N24" s="3"/>
      <c r="O24" s="3"/>
      <c r="P24" s="3"/>
      <c r="Q24" s="3"/>
      <c r="R24" s="3"/>
    </row>
    <row r="25" ht="15" customHeight="true" x14ac:dyDescent="0.15">
      <c r="E25" s="51"/>
      <c r="G25" s="142"/>
      <c r="H25" s="142"/>
      <c r="I25" s="142"/>
      <c r="J25" s="142"/>
      <c r="K25" s="142"/>
      <c r="M25" s="3"/>
      <c r="N25" s="3"/>
      <c r="O25" s="3"/>
      <c r="P25" s="3"/>
      <c r="Q25" s="3"/>
      <c r="R25" s="3"/>
    </row>
    <row r="26" ht="15" customHeight="true" x14ac:dyDescent="0.15">
      <c r="G26" s="142"/>
      <c r="H26" s="143"/>
      <c r="I26" s="143"/>
      <c r="J26" s="142"/>
      <c r="K26" s="142"/>
      <c r="M26" s="3"/>
      <c r="N26" s="3"/>
      <c r="O26" s="3"/>
      <c r="P26" s="3"/>
      <c r="Q26" s="3"/>
      <c r="R26" s="3"/>
    </row>
    <row r="27" ht="15" customHeight="true" x14ac:dyDescent="0.15">
      <c r="G27" s="142"/>
      <c r="H27" s="143"/>
      <c r="I27" s="143"/>
      <c r="J27" s="142"/>
      <c r="K27" s="142"/>
      <c r="M27" s="3"/>
      <c r="N27" s="3"/>
      <c r="O27" s="3"/>
      <c r="P27" s="3"/>
      <c r="Q27" s="3"/>
      <c r="R27" s="3"/>
    </row>
    <row r="28" ht="15" customHeight="true" x14ac:dyDescent="0.15">
      <c r="G28" s="142"/>
      <c r="H28" s="143"/>
      <c r="I28" s="143"/>
      <c r="J28" s="142"/>
      <c r="K28" s="142"/>
    </row>
    <row r="29" ht="15" customHeight="true" x14ac:dyDescent="0.15">
      <c r="G29" s="142"/>
      <c r="H29" s="143"/>
      <c r="I29" s="143"/>
      <c r="J29" s="142"/>
      <c r="K29" s="142"/>
      <c r="Y29"/>
      <c r="AC29"/>
      <c r="AG29"/>
    </row>
    <row r="30" ht="15" customHeight="true" x14ac:dyDescent="0.15">
      <c r="J30"/>
      <c r="K30"/>
      <c r="Y30"/>
      <c r="AC30"/>
      <c r="AG30"/>
    </row>
    <row r="31" ht="15" customHeight="true" x14ac:dyDescent="0.15">
      <c r="J31"/>
      <c r="K31"/>
      <c r="Y31"/>
      <c r="AC31"/>
      <c r="AG31"/>
    </row>
    <row r="32" ht="15" customHeight="true" x14ac:dyDescent="0.15">
      <c r="J32"/>
      <c r="K32"/>
      <c r="Y32"/>
      <c r="AC32"/>
      <c r="AG32"/>
    </row>
    <row r="33" ht="15" customHeight="true" x14ac:dyDescent="0.15">
      <c r="J33"/>
      <c r="K33"/>
      <c r="Y33"/>
      <c r="AC33"/>
      <c r="AG33"/>
    </row>
    <row r="34" ht="15" customHeight="true" x14ac:dyDescent="0.15">
      <c r="J34"/>
      <c r="K34"/>
      <c r="Y34"/>
      <c r="AC34"/>
      <c r="AG34"/>
    </row>
    <row r="35" ht="15" customHeight="true" x14ac:dyDescent="0.15">
      <c r="J35"/>
      <c r="K35"/>
      <c r="Y35"/>
      <c r="AC35"/>
      <c r="AG35"/>
    </row>
    <row r="36" ht="15" customHeight="true" x14ac:dyDescent="0.15">
      <c r="J36"/>
      <c r="K36"/>
      <c r="Y36"/>
      <c r="AC36"/>
      <c r="AG36"/>
    </row>
    <row r="37" ht="15" customHeight="true" x14ac:dyDescent="0.15">
      <c r="J37"/>
      <c r="K37"/>
      <c r="Y37"/>
      <c r="AC37"/>
      <c r="AG37"/>
    </row>
    <row r="38" ht="15" customHeight="true" x14ac:dyDescent="0.15">
      <c r="J38"/>
      <c r="K38"/>
      <c r="Y38"/>
      <c r="AC38"/>
      <c r="AG38"/>
    </row>
    <row r="39" ht="15" customHeight="true" x14ac:dyDescent="0.15">
      <c r="J39"/>
      <c r="K39"/>
    </row>
    <row r="40" ht="15" customHeight="true" x14ac:dyDescent="0.15">
      <c r="J40"/>
      <c r="K40"/>
      <c r="Y40"/>
      <c r="AC40"/>
      <c r="AG40"/>
    </row>
    <row r="41" ht="15" customHeight="true" x14ac:dyDescent="0.15">
      <c r="J41"/>
      <c r="K41"/>
      <c r="Y41"/>
      <c r="AC41"/>
      <c r="AG41"/>
    </row>
    <row r="42" ht="15" customHeight="true" x14ac:dyDescent="0.15">
      <c r="J42"/>
      <c r="K42"/>
      <c r="Y42"/>
      <c r="AC42"/>
      <c r="AG42"/>
    </row>
    <row r="43" ht="15" customHeight="true" x14ac:dyDescent="0.15">
      <c r="J43"/>
      <c r="K43"/>
      <c r="Y43"/>
      <c r="AC43"/>
      <c r="AG43"/>
    </row>
    <row r="44" ht="15" customHeight="true" x14ac:dyDescent="0.15">
      <c r="J44"/>
      <c r="K44"/>
      <c r="Y44"/>
      <c r="AC44"/>
      <c r="AG44"/>
    </row>
    <row r="45" ht="15" customHeight="true" x14ac:dyDescent="0.15">
      <c r="J45"/>
      <c r="K45"/>
      <c r="Y45"/>
      <c r="AC45"/>
      <c r="AG45"/>
    </row>
    <row r="46" ht="15" customHeight="true" x14ac:dyDescent="0.15">
      <c r="J46"/>
      <c r="K46"/>
      <c r="Y46"/>
      <c r="AC46"/>
      <c r="AG46"/>
    </row>
    <row r="47" ht="15" customHeight="true" x14ac:dyDescent="0.15">
      <c r="J47"/>
      <c r="K47"/>
      <c r="Y47"/>
      <c r="AC47"/>
      <c r="AG47"/>
    </row>
    <row r="48" ht="15" customHeight="true" x14ac:dyDescent="0.15">
      <c r="J48"/>
      <c r="K48"/>
      <c r="Y48"/>
      <c r="AC48"/>
      <c r="AG48"/>
    </row>
    <row r="49" ht="15" customHeight="true" x14ac:dyDescent="0.15">
      <c r="Y49"/>
      <c r="AC49"/>
      <c r="AG49"/>
    </row>
    <row r="50" ht="15" customHeight="true" x14ac:dyDescent="0.15">
      <c r="Y50"/>
      <c r="AC50"/>
      <c r="AG50"/>
    </row>
    <row r="51" ht="15" customHeight="true" x14ac:dyDescent="0.15">
      <c r="J51"/>
      <c r="K51"/>
      <c r="Y51"/>
      <c r="AC51"/>
      <c r="AG51"/>
    </row>
    <row r="52" ht="15" customHeight="true" x14ac:dyDescent="0.15">
      <c r="J52"/>
      <c r="K52"/>
      <c r="Y52"/>
      <c r="AC52"/>
      <c r="AG52"/>
    </row>
    <row r="53" ht="15" customHeight="true" x14ac:dyDescent="0.15">
      <c r="J53"/>
      <c r="K53"/>
      <c r="Y53"/>
      <c r="AC53"/>
      <c r="AG53"/>
    </row>
    <row r="54" ht="15" customHeight="true" x14ac:dyDescent="0.15">
      <c r="J54"/>
      <c r="K54"/>
      <c r="Y54"/>
      <c r="AC54"/>
      <c r="AG54"/>
    </row>
    <row r="55" ht="15" customHeight="true" x14ac:dyDescent="0.15">
      <c r="J55"/>
      <c r="K55"/>
      <c r="Y55"/>
      <c r="AC55"/>
      <c r="AG55"/>
    </row>
    <row r="56" ht="15" customHeight="true" x14ac:dyDescent="0.15">
      <c r="J56"/>
      <c r="K56"/>
      <c r="Y56"/>
      <c r="AC56"/>
      <c r="AG56"/>
    </row>
    <row r="57" ht="15" customHeight="true" x14ac:dyDescent="0.15">
      <c r="J57"/>
      <c r="K57"/>
      <c r="Y57"/>
      <c r="AC57"/>
      <c r="AG57"/>
    </row>
    <row r="58" ht="15" customHeight="true" x14ac:dyDescent="0.15">
      <c r="J58"/>
      <c r="K58"/>
      <c r="Y58"/>
      <c r="AC58"/>
      <c r="AG58"/>
    </row>
    <row r="59" ht="15" customHeight="true" x14ac:dyDescent="0.15">
      <c r="J59"/>
      <c r="K59"/>
      <c r="Y59"/>
      <c r="AC59"/>
      <c r="AG59"/>
    </row>
    <row r="60" ht="15" customHeight="true" x14ac:dyDescent="0.15">
      <c r="J60"/>
      <c r="K60"/>
      <c r="Y60"/>
      <c r="AC60"/>
      <c r="AG60"/>
    </row>
    <row r="61" ht="15" customHeight="true" x14ac:dyDescent="0.15">
      <c r="J61"/>
      <c r="K61"/>
      <c r="Y61"/>
      <c r="AC61"/>
      <c r="AG61"/>
    </row>
    <row r="62" ht="15" customHeight="true" x14ac:dyDescent="0.15">
      <c r="J62"/>
      <c r="K62"/>
      <c r="Y62"/>
      <c r="AC62"/>
      <c r="AG62"/>
    </row>
    <row r="63" ht="15" customHeight="true" x14ac:dyDescent="0.15">
      <c r="J63"/>
      <c r="K63"/>
      <c r="Y63"/>
      <c r="AC63"/>
      <c r="AG63"/>
    </row>
    <row r="64" ht="15" customHeight="true" x14ac:dyDescent="0.15">
      <c r="J64"/>
      <c r="K64"/>
      <c r="Y64"/>
      <c r="AC64"/>
      <c r="AG64"/>
    </row>
    <row r="65" ht="15" customHeight="true" x14ac:dyDescent="0.15">
      <c r="J65"/>
      <c r="K65"/>
      <c r="Y65"/>
      <c r="AC65"/>
      <c r="AG65"/>
    </row>
    <row r="66" ht="15" customHeight="true" x14ac:dyDescent="0.15">
      <c r="J66"/>
      <c r="K66"/>
      <c r="Y66"/>
      <c r="AC66"/>
      <c r="AG66"/>
    </row>
    <row r="67" ht="15" customHeight="true" x14ac:dyDescent="0.15">
      <c r="J67"/>
      <c r="K67"/>
      <c r="Y67"/>
      <c r="AC67"/>
      <c r="AG67"/>
    </row>
    <row r="68" ht="15" customHeight="true" x14ac:dyDescent="0.15">
      <c r="J68"/>
      <c r="K68"/>
      <c r="Y68"/>
      <c r="AC68"/>
      <c r="AG68"/>
    </row>
    <row r="69" ht="15" customHeight="true" x14ac:dyDescent="0.15">
      <c r="J69"/>
      <c r="K69"/>
      <c r="Y69"/>
      <c r="AC69"/>
      <c r="AG69"/>
    </row>
    <row r="70" ht="15" customHeight="true" x14ac:dyDescent="0.15">
      <c r="J70"/>
      <c r="K70"/>
      <c r="Y70"/>
      <c r="AC70"/>
      <c r="AG70"/>
    </row>
    <row r="71" ht="15" customHeight="true" x14ac:dyDescent="0.15">
      <c r="J71"/>
      <c r="K71"/>
      <c r="Y71"/>
      <c r="AC71"/>
      <c r="AG71"/>
    </row>
    <row r="72" ht="15" customHeight="true" x14ac:dyDescent="0.15">
      <c r="J72"/>
      <c r="K72"/>
      <c r="Y72"/>
      <c r="AC72"/>
      <c r="AG72"/>
    </row>
    <row r="73" ht="15" customHeight="true" x14ac:dyDescent="0.15">
      <c r="J73"/>
      <c r="K73"/>
      <c r="Y73"/>
      <c r="AC73"/>
      <c r="AG73"/>
    </row>
    <row r="74" ht="15" customHeight="true" x14ac:dyDescent="0.15">
      <c r="J74"/>
      <c r="K74"/>
      <c r="Y74"/>
      <c r="AC74"/>
      <c r="AG74"/>
    </row>
    <row r="75" ht="15" customHeight="true" x14ac:dyDescent="0.15">
      <c r="J75"/>
      <c r="K75"/>
      <c r="Y75"/>
      <c r="AC75"/>
      <c r="AG75"/>
    </row>
    <row r="76" ht="15" customHeight="true" x14ac:dyDescent="0.15">
      <c r="J76"/>
      <c r="K76"/>
    </row>
    <row r="77" ht="15" customHeight="true" x14ac:dyDescent="0.15">
      <c r="J77"/>
      <c r="K77"/>
    </row>
    <row r="78" ht="15" customHeight="true" x14ac:dyDescent="0.15">
      <c r="J78"/>
      <c r="K78"/>
    </row>
    <row r="79" ht="15" customHeight="true" x14ac:dyDescent="0.15">
      <c r="J79"/>
      <c r="K79"/>
    </row>
    <row r="80" ht="15" customHeight="true" x14ac:dyDescent="0.15">
      <c r="J80"/>
      <c r="K80"/>
    </row>
    <row r="81" ht="15" customHeight="true" x14ac:dyDescent="0.15">
      <c r="J81"/>
      <c r="K81"/>
    </row>
    <row r="82" ht="15" customHeight="true" x14ac:dyDescent="0.15">
      <c r="J82"/>
      <c r="K82"/>
    </row>
    <row r="83" ht="15" customHeight="true" x14ac:dyDescent="0.15">
      <c r="J83"/>
      <c r="K83"/>
      <c r="Y83"/>
      <c r="AC83"/>
      <c r="AG83"/>
    </row>
    <row r="84" ht="15" customHeight="true" x14ac:dyDescent="0.15">
      <c r="J84"/>
      <c r="K84"/>
      <c r="Y84"/>
      <c r="AC84"/>
      <c r="AG84"/>
    </row>
    <row r="85" ht="15" customHeight="true" x14ac:dyDescent="0.15">
      <c r="J85"/>
      <c r="K85"/>
      <c r="Y85"/>
      <c r="AC85"/>
      <c r="AG85"/>
    </row>
    <row r="86" ht="15" customHeight="true" x14ac:dyDescent="0.15">
      <c r="J86"/>
      <c r="K86"/>
      <c r="Y86"/>
      <c r="AC86"/>
      <c r="AG86"/>
    </row>
    <row r="87" ht="15" customHeight="true" x14ac:dyDescent="0.15">
      <c r="J87"/>
      <c r="K87"/>
      <c r="Y87"/>
      <c r="AC87"/>
      <c r="AG87"/>
    </row>
    <row r="88" ht="15" customHeight="true" x14ac:dyDescent="0.15">
      <c r="J88"/>
      <c r="K88"/>
      <c r="Y88"/>
      <c r="AC88"/>
      <c r="AG88"/>
    </row>
    <row r="89" ht="15" customHeight="true" x14ac:dyDescent="0.15">
      <c r="J89"/>
      <c r="K89"/>
      <c r="Y89"/>
      <c r="AC89"/>
      <c r="AG89"/>
    </row>
    <row r="90" ht="15" customHeight="true" x14ac:dyDescent="0.15">
      <c r="J90"/>
      <c r="K90"/>
      <c r="Y90"/>
      <c r="AC90"/>
      <c r="AG90"/>
    </row>
    <row r="91" ht="15" customHeight="true" x14ac:dyDescent="0.15">
      <c r="J91"/>
      <c r="K91"/>
      <c r="Y91"/>
      <c r="AC91"/>
      <c r="AG91"/>
    </row>
    <row r="92" ht="15" customHeight="true" x14ac:dyDescent="0.15">
      <c r="J92"/>
      <c r="K92"/>
      <c r="Y92"/>
      <c r="AC92"/>
      <c r="AG92"/>
    </row>
    <row r="93" ht="15" customHeight="true" x14ac:dyDescent="0.15">
      <c r="J93"/>
      <c r="K93"/>
      <c r="Y93"/>
      <c r="AC93"/>
      <c r="AG93"/>
    </row>
    <row r="94" ht="15" customHeight="true" x14ac:dyDescent="0.15">
      <c r="J94"/>
      <c r="K94"/>
      <c r="Y94"/>
      <c r="AC94"/>
      <c r="AG94"/>
    </row>
    <row r="95" ht="15" customHeight="true" x14ac:dyDescent="0.15">
      <c r="J95"/>
      <c r="K95"/>
      <c r="Y95"/>
      <c r="AC95"/>
      <c r="AG95"/>
    </row>
    <row r="96" ht="15" customHeight="true" x14ac:dyDescent="0.15">
      <c r="J96"/>
      <c r="K96"/>
      <c r="Y96"/>
      <c r="AC96"/>
      <c r="AG96"/>
    </row>
    <row r="97" ht="15" customHeight="true" x14ac:dyDescent="0.15">
      <c r="J97"/>
      <c r="K97"/>
      <c r="Y97"/>
      <c r="AC97"/>
      <c r="AG97"/>
    </row>
    <row r="98" ht="15" customHeight="true" x14ac:dyDescent="0.15">
      <c r="J98"/>
      <c r="K98"/>
      <c r="Y98"/>
      <c r="AC98"/>
      <c r="AG98"/>
    </row>
    <row r="99" ht="15" customHeight="true" x14ac:dyDescent="0.15">
      <c r="J99"/>
      <c r="K99"/>
      <c r="Y99"/>
      <c r="AC99"/>
      <c r="AG99"/>
    </row>
    <row r="100" ht="15" customHeight="true" x14ac:dyDescent="0.15">
      <c r="J100"/>
      <c r="K100"/>
      <c r="Y100"/>
      <c r="AC100"/>
      <c r="AG100"/>
    </row>
    <row r="101" ht="15" customHeight="true" x14ac:dyDescent="0.15">
      <c r="J101"/>
      <c r="K101"/>
      <c r="Y101"/>
      <c r="AC101"/>
      <c r="AG101"/>
    </row>
    <row r="102" ht="15" customHeight="true" x14ac:dyDescent="0.15">
      <c r="J102"/>
      <c r="K102"/>
      <c r="Y102"/>
      <c r="AC102"/>
      <c r="AG102"/>
    </row>
    <row r="103" ht="15" customHeight="true" x14ac:dyDescent="0.15">
      <c r="J103"/>
      <c r="K103"/>
      <c r="Y103"/>
      <c r="AC103"/>
      <c r="AG103"/>
    </row>
    <row r="104" ht="15" customHeight="true" x14ac:dyDescent="0.15">
      <c r="J104"/>
      <c r="K104"/>
      <c r="Y104"/>
      <c r="AC104"/>
      <c r="AG104"/>
    </row>
    <row r="105" ht="15" customHeight="true" x14ac:dyDescent="0.15">
      <c r="J105"/>
      <c r="K105"/>
      <c r="Y105"/>
      <c r="AC105"/>
      <c r="AG105"/>
    </row>
    <row r="106" ht="15" customHeight="true" x14ac:dyDescent="0.15">
      <c r="J106"/>
      <c r="K106"/>
      <c r="Y106"/>
      <c r="AC106"/>
      <c r="AG106"/>
    </row>
    <row r="107" ht="15" customHeight="true" x14ac:dyDescent="0.15">
      <c r="J107"/>
      <c r="K107"/>
      <c r="Y107"/>
      <c r="AC107"/>
      <c r="AG107"/>
    </row>
    <row r="108" ht="15" customHeight="true" x14ac:dyDescent="0.15">
      <c r="J108"/>
      <c r="K108"/>
      <c r="Y108"/>
      <c r="AC108"/>
      <c r="AG108"/>
    </row>
    <row r="109" ht="15" customHeight="true" x14ac:dyDescent="0.15">
      <c r="J109"/>
      <c r="K109"/>
      <c r="Y109"/>
      <c r="AC109"/>
      <c r="AG109"/>
    </row>
    <row r="110" ht="15" customHeight="true" x14ac:dyDescent="0.15">
      <c r="J110"/>
      <c r="K110"/>
      <c r="Y110"/>
      <c r="AC110"/>
      <c r="AG110"/>
    </row>
    <row r="111" ht="15" customHeight="true" x14ac:dyDescent="0.15">
      <c r="J111"/>
      <c r="K111"/>
      <c r="Y111"/>
      <c r="AC111"/>
      <c r="AG111"/>
    </row>
    <row r="112" ht="15" customHeight="true" x14ac:dyDescent="0.15">
      <c r="J112"/>
      <c r="K112"/>
      <c r="Y112"/>
      <c r="AC112"/>
      <c r="AG112"/>
    </row>
    <row r="113" ht="15" customHeight="true" x14ac:dyDescent="0.15">
      <c r="J113"/>
      <c r="K113"/>
      <c r="Y113"/>
      <c r="AC113"/>
      <c r="AG113"/>
    </row>
    <row r="114" ht="15" customHeight="true" x14ac:dyDescent="0.15">
      <c r="J114"/>
      <c r="K114"/>
      <c r="Y114"/>
      <c r="AC114"/>
      <c r="AG114"/>
    </row>
    <row r="115" ht="15" customHeight="true" x14ac:dyDescent="0.15">
      <c r="J115"/>
      <c r="K115"/>
      <c r="Y115"/>
      <c r="AC115"/>
      <c r="AG115"/>
    </row>
    <row r="116" ht="15" customHeight="true" x14ac:dyDescent="0.15">
      <c r="J116"/>
      <c r="K116"/>
      <c r="Y116"/>
      <c r="AC116"/>
      <c r="AG116"/>
    </row>
    <row r="117" ht="15" customHeight="true" x14ac:dyDescent="0.15">
      <c r="J117"/>
      <c r="K117"/>
      <c r="Y117"/>
      <c r="AC117"/>
      <c r="AG117"/>
    </row>
    <row r="118" ht="15" customHeight="true" x14ac:dyDescent="0.15">
      <c r="J118"/>
      <c r="K118"/>
      <c r="Y118"/>
      <c r="AC118"/>
      <c r="AG118"/>
    </row>
    <row r="119" ht="15" customHeight="true" x14ac:dyDescent="0.15">
      <c r="J119"/>
      <c r="K119"/>
      <c r="Y119"/>
      <c r="AC119"/>
      <c r="AG119"/>
    </row>
    <row r="120" ht="15" customHeight="true" x14ac:dyDescent="0.15">
      <c r="J120"/>
      <c r="K120"/>
      <c r="Y120"/>
      <c r="AC120"/>
      <c r="AG120"/>
    </row>
    <row r="121" ht="15" customHeight="true" x14ac:dyDescent="0.15">
      <c r="J121"/>
      <c r="K121"/>
      <c r="Y121"/>
      <c r="AC121"/>
      <c r="AG121"/>
    </row>
    <row r="122" ht="15" customHeight="true" x14ac:dyDescent="0.15">
      <c r="J122"/>
      <c r="K122"/>
      <c r="Y122"/>
      <c r="AC122"/>
      <c r="AG122"/>
    </row>
    <row r="123" ht="15" customHeight="true" x14ac:dyDescent="0.15">
      <c r="J123"/>
      <c r="K123"/>
      <c r="Y123"/>
      <c r="AC123"/>
      <c r="AG123"/>
    </row>
    <row r="124" ht="15" customHeight="true" x14ac:dyDescent="0.15">
      <c r="J124"/>
      <c r="K124"/>
      <c r="Y124"/>
      <c r="AC124"/>
      <c r="AG124"/>
    </row>
    <row r="125" ht="15" customHeight="true" x14ac:dyDescent="0.15">
      <c r="J125"/>
      <c r="K125"/>
      <c r="Y125"/>
      <c r="AC125"/>
      <c r="AG125"/>
    </row>
    <row r="126" ht="15" customHeight="true" x14ac:dyDescent="0.15">
      <c r="J126"/>
      <c r="K126"/>
      <c r="Y126"/>
      <c r="AC126"/>
      <c r="AG126"/>
    </row>
    <row r="127" ht="15" customHeight="true" x14ac:dyDescent="0.15">
      <c r="J127"/>
      <c r="K127"/>
      <c r="Y127"/>
      <c r="AC127"/>
      <c r="AG127"/>
    </row>
    <row r="128" ht="15" customHeight="true" x14ac:dyDescent="0.15">
      <c r="J128"/>
      <c r="K128"/>
      <c r="Y128"/>
      <c r="AC128"/>
      <c r="AG128"/>
    </row>
    <row r="129" ht="15" customHeight="true" x14ac:dyDescent="0.15">
      <c r="J129"/>
      <c r="K129"/>
      <c r="Y129"/>
      <c r="AC129"/>
      <c r="AG129"/>
    </row>
    <row r="130" ht="15" customHeight="true" x14ac:dyDescent="0.15">
      <c r="J130"/>
      <c r="K130"/>
      <c r="Y130"/>
      <c r="AC130"/>
      <c r="AG130"/>
    </row>
    <row r="131" ht="15" customHeight="true" x14ac:dyDescent="0.15">
      <c r="J131"/>
      <c r="K131"/>
      <c r="Y131"/>
      <c r="AC131"/>
      <c r="AG131"/>
    </row>
    <row r="132" ht="15" customHeight="true" x14ac:dyDescent="0.15">
      <c r="J132"/>
      <c r="K132"/>
      <c r="Y132"/>
      <c r="AC132"/>
      <c r="AG132"/>
    </row>
    <row r="133" ht="15" customHeight="true" x14ac:dyDescent="0.15">
      <c r="J133"/>
      <c r="K133"/>
      <c r="Y133"/>
      <c r="AC133"/>
      <c r="AG133"/>
    </row>
    <row r="134" ht="15" customHeight="true" x14ac:dyDescent="0.15">
      <c r="J134"/>
      <c r="K134"/>
      <c r="Y134"/>
      <c r="AC134"/>
      <c r="AG134"/>
    </row>
    <row r="135" ht="15" customHeight="true" x14ac:dyDescent="0.15">
      <c r="J135"/>
      <c r="K135"/>
      <c r="Y135"/>
      <c r="AC135"/>
      <c r="AG135"/>
    </row>
    <row r="136" ht="15" customHeight="true" x14ac:dyDescent="0.15">
      <c r="J136"/>
      <c r="K136"/>
      <c r="Y136"/>
      <c r="AC136"/>
      <c r="AG136"/>
    </row>
    <row r="137" ht="15" customHeight="true" x14ac:dyDescent="0.15">
      <c r="J137"/>
      <c r="K137"/>
      <c r="Y137"/>
      <c r="AC137"/>
      <c r="AG137"/>
    </row>
    <row r="138" ht="15" customHeight="true" x14ac:dyDescent="0.15">
      <c r="J138"/>
      <c r="K138"/>
      <c r="Y138"/>
      <c r="AC138"/>
      <c r="AG138"/>
    </row>
    <row r="139" ht="15" customHeight="true" x14ac:dyDescent="0.15">
      <c r="J139"/>
      <c r="K139"/>
      <c r="Y139"/>
      <c r="AC139"/>
      <c r="AG139"/>
    </row>
    <row r="140" ht="15" customHeight="true" x14ac:dyDescent="0.15">
      <c r="J140"/>
      <c r="K140"/>
      <c r="Y140"/>
      <c r="AC140"/>
      <c r="AG140"/>
    </row>
    <row r="141" ht="15" customHeight="true" x14ac:dyDescent="0.15">
      <c r="J141"/>
      <c r="K141"/>
      <c r="Y141"/>
      <c r="AC141"/>
      <c r="AG141"/>
    </row>
    <row r="142" ht="15" customHeight="true" x14ac:dyDescent="0.15">
      <c r="J142"/>
      <c r="K142"/>
      <c r="Y142"/>
      <c r="AC142"/>
      <c r="AG142"/>
    </row>
    <row r="143" ht="15" customHeight="true" x14ac:dyDescent="0.15">
      <c r="J143"/>
      <c r="K143"/>
      <c r="Y143"/>
      <c r="AC143"/>
      <c r="AG143"/>
    </row>
    <row r="144" ht="15" customHeight="true" x14ac:dyDescent="0.15">
      <c r="J144"/>
      <c r="K144"/>
      <c r="Y144"/>
      <c r="AC144"/>
      <c r="AG144"/>
    </row>
    <row r="145" ht="15" customHeight="true" x14ac:dyDescent="0.15">
      <c r="J145"/>
      <c r="K145"/>
      <c r="Y145"/>
      <c r="AC145"/>
      <c r="AG145"/>
    </row>
    <row r="146" ht="15" customHeight="true" x14ac:dyDescent="0.15">
      <c r="J146"/>
      <c r="K146"/>
      <c r="Y146"/>
      <c r="AC146"/>
      <c r="AG146"/>
    </row>
    <row r="147" ht="15" customHeight="true" x14ac:dyDescent="0.15">
      <c r="J147"/>
      <c r="K147"/>
      <c r="Y147"/>
      <c r="AC147"/>
      <c r="AG147"/>
    </row>
    <row r="148" ht="15" customHeight="true" x14ac:dyDescent="0.15">
      <c r="J148"/>
      <c r="K148"/>
      <c r="Y148"/>
      <c r="AC148"/>
      <c r="AG148"/>
    </row>
    <row r="149" ht="15" customHeight="true" x14ac:dyDescent="0.15">
      <c r="J149"/>
      <c r="K149"/>
      <c r="Y149"/>
      <c r="AC149"/>
      <c r="AG149"/>
    </row>
    <row r="150" ht="15" customHeight="true" x14ac:dyDescent="0.15">
      <c r="J150"/>
      <c r="K150"/>
      <c r="Y150"/>
      <c r="AC150"/>
      <c r="AG150"/>
    </row>
    <row r="151" ht="15" customHeight="true" x14ac:dyDescent="0.15">
      <c r="J151"/>
      <c r="K151"/>
      <c r="Y151"/>
      <c r="AC151"/>
      <c r="AG151"/>
    </row>
    <row r="152" ht="15" customHeight="true" x14ac:dyDescent="0.15">
      <c r="J152"/>
      <c r="K152"/>
      <c r="Y152"/>
      <c r="AC152"/>
      <c r="AG152"/>
    </row>
    <row r="153" ht="15" customHeight="true" x14ac:dyDescent="0.15">
      <c r="J153"/>
      <c r="K153"/>
      <c r="Y153"/>
      <c r="AC153"/>
      <c r="AG153"/>
    </row>
    <row r="154" ht="15" customHeight="true" x14ac:dyDescent="0.15">
      <c r="J154"/>
      <c r="K154"/>
      <c r="Y154"/>
      <c r="AC154"/>
      <c r="AG154"/>
    </row>
    <row r="155" ht="15" customHeight="true" x14ac:dyDescent="0.15">
      <c r="J155"/>
      <c r="K155"/>
      <c r="Y155"/>
      <c r="AC155"/>
      <c r="AG155"/>
    </row>
    <row r="156" ht="15" customHeight="true" x14ac:dyDescent="0.15">
      <c r="J156"/>
      <c r="K156"/>
      <c r="Y156"/>
      <c r="AC156"/>
      <c r="AG156"/>
    </row>
    <row r="157" ht="15" customHeight="true" x14ac:dyDescent="0.15">
      <c r="J157"/>
      <c r="K157"/>
      <c r="Y157"/>
      <c r="AC157"/>
      <c r="AG157"/>
    </row>
    <row r="158" ht="15" customHeight="true" x14ac:dyDescent="0.15">
      <c r="J158"/>
      <c r="K158"/>
      <c r="Y158"/>
      <c r="AC158"/>
      <c r="AG158"/>
    </row>
    <row r="159" ht="15" customHeight="true" x14ac:dyDescent="0.15">
      <c r="J159"/>
      <c r="K159"/>
      <c r="Y159"/>
      <c r="AC159"/>
      <c r="AG159"/>
    </row>
    <row r="160" ht="15" customHeight="true" x14ac:dyDescent="0.15">
      <c r="J160"/>
      <c r="K160"/>
      <c r="Y160"/>
      <c r="AC160"/>
      <c r="AG160"/>
    </row>
    <row r="161" ht="15" customHeight="true" x14ac:dyDescent="0.15">
      <c r="J161"/>
      <c r="K161"/>
      <c r="Y161"/>
      <c r="AC161"/>
      <c r="AG161"/>
    </row>
    <row r="162" ht="15" customHeight="true" x14ac:dyDescent="0.15">
      <c r="J162"/>
      <c r="K162"/>
      <c r="Y162"/>
      <c r="AC162"/>
      <c r="AG162"/>
    </row>
    <row r="163" ht="15" customHeight="true" x14ac:dyDescent="0.15">
      <c r="J163"/>
      <c r="K163"/>
      <c r="Y163"/>
      <c r="AC163"/>
      <c r="AG163"/>
    </row>
    <row r="164" ht="15" customHeight="true" x14ac:dyDescent="0.15">
      <c r="J164"/>
      <c r="K164"/>
      <c r="Y164"/>
      <c r="AC164"/>
      <c r="AG164"/>
    </row>
    <row r="165" ht="15" customHeight="true" x14ac:dyDescent="0.15">
      <c r="J165"/>
      <c r="K165"/>
      <c r="Y165"/>
      <c r="AC165"/>
      <c r="AG165"/>
    </row>
    <row r="166" ht="15" customHeight="true" x14ac:dyDescent="0.15">
      <c r="J166"/>
      <c r="K166"/>
      <c r="Y166"/>
      <c r="AC166"/>
      <c r="AG166"/>
    </row>
    <row r="167" ht="15" customHeight="true" x14ac:dyDescent="0.15">
      <c r="J167"/>
      <c r="K167"/>
      <c r="Y167"/>
      <c r="AC167"/>
      <c r="AG167"/>
    </row>
    <row r="168" ht="15" customHeight="true" x14ac:dyDescent="0.15">
      <c r="J168"/>
      <c r="K168"/>
      <c r="Y168"/>
      <c r="AC168"/>
      <c r="AG168"/>
    </row>
    <row r="169" ht="15" customHeight="true" x14ac:dyDescent="0.15">
      <c r="J169"/>
      <c r="K169"/>
      <c r="Y169"/>
      <c r="AC169"/>
      <c r="AG169"/>
    </row>
    <row r="170" ht="15" customHeight="true" x14ac:dyDescent="0.15">
      <c r="J170"/>
      <c r="K170"/>
      <c r="Y170"/>
      <c r="AC170"/>
      <c r="AG170"/>
    </row>
    <row r="171" ht="15" customHeight="true" x14ac:dyDescent="0.15">
      <c r="J171"/>
      <c r="K171"/>
      <c r="Y171"/>
      <c r="AC171"/>
      <c r="AG171"/>
    </row>
    <row r="172" ht="15" customHeight="true" x14ac:dyDescent="0.15">
      <c r="J172"/>
      <c r="K172"/>
      <c r="Y172"/>
      <c r="AC172"/>
      <c r="AG172"/>
    </row>
    <row r="173" ht="15" customHeight="true" x14ac:dyDescent="0.15">
      <c r="J173"/>
      <c r="K173"/>
      <c r="Y173"/>
      <c r="AC173"/>
      <c r="AG173"/>
    </row>
    <row r="174" ht="15" customHeight="true" x14ac:dyDescent="0.15">
      <c r="J174"/>
      <c r="K174"/>
      <c r="Y174"/>
      <c r="AC174"/>
      <c r="AG174"/>
    </row>
    <row r="175" ht="15" customHeight="true" x14ac:dyDescent="0.15">
      <c r="J175"/>
      <c r="K175"/>
      <c r="Y175"/>
      <c r="AC175"/>
      <c r="AG175"/>
    </row>
    <row r="176" ht="15" customHeight="true" x14ac:dyDescent="0.15">
      <c r="J176"/>
      <c r="K176"/>
      <c r="Y176"/>
      <c r="AC176"/>
      <c r="AG176"/>
    </row>
    <row r="177" ht="15" customHeight="true" x14ac:dyDescent="0.15">
      <c r="J177"/>
      <c r="K177"/>
      <c r="Y177"/>
      <c r="AC177"/>
      <c r="AG177"/>
    </row>
    <row r="178" ht="15" customHeight="true" x14ac:dyDescent="0.15">
      <c r="J178"/>
      <c r="K178"/>
      <c r="Y178"/>
      <c r="AC178"/>
      <c r="AG178"/>
    </row>
    <row r="179" ht="15" customHeight="true" x14ac:dyDescent="0.15">
      <c r="J179"/>
      <c r="K179"/>
      <c r="Y179"/>
      <c r="AC179"/>
      <c r="AG179"/>
    </row>
    <row r="180" ht="15" customHeight="true" x14ac:dyDescent="0.15">
      <c r="J180"/>
      <c r="K180"/>
      <c r="Y180"/>
      <c r="AC180"/>
      <c r="AG180"/>
    </row>
    <row r="181" ht="15" customHeight="true" x14ac:dyDescent="0.15">
      <c r="J181"/>
      <c r="K181"/>
      <c r="Y181"/>
      <c r="AC181"/>
      <c r="AG181"/>
    </row>
    <row r="182" ht="15" customHeight="true" x14ac:dyDescent="0.15">
      <c r="J182"/>
      <c r="K182"/>
      <c r="Y182"/>
      <c r="AC182"/>
      <c r="AG182"/>
    </row>
    <row r="183" ht="15" customHeight="true" x14ac:dyDescent="0.15">
      <c r="J183"/>
      <c r="K183"/>
      <c r="Y183"/>
      <c r="AC183"/>
      <c r="AG183"/>
    </row>
    <row r="184" ht="15" customHeight="true" x14ac:dyDescent="0.15">
      <c r="J184"/>
      <c r="K184"/>
      <c r="Y184"/>
      <c r="AC184"/>
      <c r="AG184"/>
    </row>
    <row r="185" ht="15" customHeight="true" x14ac:dyDescent="0.15">
      <c r="J185"/>
      <c r="K185"/>
      <c r="Y185"/>
      <c r="AC185"/>
      <c r="AG185"/>
    </row>
    <row r="186" ht="15" customHeight="true" x14ac:dyDescent="0.15"/>
    <row r="187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C29"/>
  <sheetViews>
    <sheetView workbookViewId="0">
      <selection activeCell="A26" sqref="A26"/>
    </sheetView>
  </sheetViews>
  <sheetFormatPr baseColWidth="10" defaultRowHeight="13" x14ac:dyDescent="0.15"/>
  <cols>
    <col min="1" max="1" width="39.83203125" style="143" bestFit="true" customWidth="true"/>
    <col min="2" max="16384" width="10.83203125" style="143"/>
  </cols>
  <sheetData>
    <row r="1" x14ac:dyDescent="0.15">
      <c r="A1" s="138" t="s">
        <v>119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191</v>
      </c>
      <c r="P1" t="s">
        <v>192</v>
      </c>
      <c r="Q1" t="s">
        <v>193</v>
      </c>
      <c r="R1" t="s">
        <v>194</v>
      </c>
      <c r="S1" t="s">
        <v>195</v>
      </c>
      <c r="T1" t="s">
        <v>196</v>
      </c>
      <c r="W1" s="51"/>
      <c r="X1" s="51"/>
      <c r="Y1" s="51"/>
      <c r="Z1" s="165"/>
      <c r="AA1" s="165"/>
      <c r="AB1" s="166"/>
      <c r="AC1" s="166"/>
    </row>
    <row r="2" x14ac:dyDescent="0.15">
      <c r="A2" t="s">
        <v>178</v>
      </c>
      <c r="B2" s="161">
        <v>0</v>
      </c>
      <c r="C2" s="161">
        <v>0</v>
      </c>
      <c r="D2" s="161">
        <v>0.8</v>
      </c>
      <c r="E2" s="161">
        <v>0.8</v>
      </c>
      <c r="F2" s="161">
        <v>0.8</v>
      </c>
      <c r="G2" s="161">
        <v>0.8</v>
      </c>
      <c r="H2" s="162">
        <v>0.8</v>
      </c>
      <c r="I2" s="162">
        <v>0.8</v>
      </c>
      <c r="J2" s="162">
        <v>0.8</v>
      </c>
      <c r="K2" s="162">
        <v>0.8</v>
      </c>
      <c r="L2" s="162">
        <v>0.8</v>
      </c>
      <c r="M2" s="162">
        <v>0.3</v>
      </c>
      <c r="N2" s="162">
        <v>0.6</v>
      </c>
      <c r="O2" s="162">
        <v>0.1</v>
      </c>
      <c r="P2" s="162">
        <v>0.6</v>
      </c>
      <c r="Q2" s="162">
        <v>0.6</v>
      </c>
      <c r="R2" s="163">
        <v>0</v>
      </c>
      <c r="S2" s="164">
        <v>0</v>
      </c>
      <c r="T2" s="164">
        <v>0</v>
      </c>
      <c r="W2" s="142"/>
      <c r="X2" s="142"/>
      <c r="Y2" s="142"/>
      <c r="Z2" s="166"/>
      <c r="AA2" s="166"/>
      <c r="AB2" s="166"/>
      <c r="AC2" s="166"/>
    </row>
    <row r="3" x14ac:dyDescent="0.15">
      <c r="A3" t="s">
        <v>179</v>
      </c>
      <c r="B3" s="161">
        <v>0</v>
      </c>
      <c r="C3" s="161">
        <v>0</v>
      </c>
      <c r="D3" s="161">
        <v>0.8</v>
      </c>
      <c r="E3" s="161">
        <v>0.8</v>
      </c>
      <c r="F3" s="161">
        <v>0.8</v>
      </c>
      <c r="G3" s="161">
        <v>0.8</v>
      </c>
      <c r="H3" s="162">
        <v>0.8</v>
      </c>
      <c r="I3" s="162">
        <v>0.8</v>
      </c>
      <c r="J3" s="162">
        <v>0.8</v>
      </c>
      <c r="K3" s="162">
        <v>0.8</v>
      </c>
      <c r="L3" s="162">
        <v>0.8</v>
      </c>
      <c r="M3" s="162">
        <v>0.3</v>
      </c>
      <c r="N3" s="162">
        <v>0.6</v>
      </c>
      <c r="O3" s="162">
        <v>0.1</v>
      </c>
      <c r="P3" s="162">
        <v>0.6</v>
      </c>
      <c r="Q3" s="162">
        <v>0.6</v>
      </c>
      <c r="R3" s="163">
        <v>0</v>
      </c>
      <c r="S3" s="164">
        <v>0</v>
      </c>
      <c r="T3" s="164">
        <v>0</v>
      </c>
      <c r="W3" s="142"/>
      <c r="X3" s="142"/>
      <c r="Y3" s="142"/>
      <c r="Z3" s="166"/>
      <c r="AA3" s="166"/>
      <c r="AB3" s="166"/>
      <c r="AC3" s="166"/>
    </row>
    <row r="4" x14ac:dyDescent="0.15">
      <c r="A4" t="s">
        <v>180</v>
      </c>
      <c r="B4" s="161">
        <v>0</v>
      </c>
      <c r="C4" s="161">
        <v>0</v>
      </c>
      <c r="D4" s="161">
        <v>0.8</v>
      </c>
      <c r="E4" s="161">
        <v>0.8</v>
      </c>
      <c r="F4" s="161">
        <v>0.8</v>
      </c>
      <c r="G4" s="161">
        <v>0.8</v>
      </c>
      <c r="H4" s="162">
        <v>0.8</v>
      </c>
      <c r="I4" s="162">
        <v>0.8</v>
      </c>
      <c r="J4" s="162">
        <v>0.8</v>
      </c>
      <c r="K4" s="162">
        <v>0.8</v>
      </c>
      <c r="L4" s="162">
        <v>0.8</v>
      </c>
      <c r="M4" s="162">
        <v>0.3</v>
      </c>
      <c r="N4" s="162">
        <v>0.6</v>
      </c>
      <c r="O4" s="162">
        <v>0.1</v>
      </c>
      <c r="P4" s="162">
        <v>0.6</v>
      </c>
      <c r="Q4" s="162">
        <v>0.6</v>
      </c>
      <c r="R4" s="163">
        <v>0</v>
      </c>
      <c r="S4" s="164">
        <v>0</v>
      </c>
      <c r="T4" s="164">
        <v>0</v>
      </c>
      <c r="W4" s="142"/>
      <c r="X4" s="142"/>
      <c r="Y4" s="142"/>
      <c r="Z4" s="166"/>
      <c r="AA4" s="166"/>
      <c r="AB4" s="166"/>
      <c r="AC4" s="166"/>
    </row>
    <row r="5" x14ac:dyDescent="0.15">
      <c r="A5" t="s">
        <v>181</v>
      </c>
      <c r="B5" s="161">
        <v>0</v>
      </c>
      <c r="C5" s="161">
        <v>0</v>
      </c>
      <c r="D5" s="161">
        <v>0.8</v>
      </c>
      <c r="E5" s="161">
        <v>0.8</v>
      </c>
      <c r="F5" s="161">
        <v>0.8</v>
      </c>
      <c r="G5" s="161">
        <v>0.8</v>
      </c>
      <c r="H5" s="162">
        <v>0.8</v>
      </c>
      <c r="I5" s="162">
        <v>0.8</v>
      </c>
      <c r="J5" s="162">
        <v>0.8</v>
      </c>
      <c r="K5" s="162">
        <v>0.8</v>
      </c>
      <c r="L5" s="162">
        <v>0.8</v>
      </c>
      <c r="M5" s="162">
        <v>0.3</v>
      </c>
      <c r="N5" s="162">
        <v>0.6</v>
      </c>
      <c r="O5" s="162">
        <v>0.1</v>
      </c>
      <c r="P5" s="162">
        <v>0.6</v>
      </c>
      <c r="Q5" s="162">
        <v>0.6</v>
      </c>
      <c r="R5" s="163">
        <v>0</v>
      </c>
      <c r="S5" s="164">
        <v>0</v>
      </c>
      <c r="T5" s="164">
        <v>0</v>
      </c>
      <c r="W5" s="142"/>
      <c r="X5" s="142"/>
      <c r="Y5" s="142"/>
      <c r="Z5" s="166"/>
      <c r="AA5" s="166"/>
      <c r="AB5" s="166"/>
      <c r="AC5" s="166"/>
    </row>
    <row r="6" x14ac:dyDescent="0.15">
      <c r="A6" t="s">
        <v>182</v>
      </c>
      <c r="B6" s="161">
        <v>0</v>
      </c>
      <c r="C6" s="161">
        <v>0</v>
      </c>
      <c r="D6" s="161">
        <v>0.8</v>
      </c>
      <c r="E6" s="161">
        <v>0.8</v>
      </c>
      <c r="F6" s="161">
        <v>0.8</v>
      </c>
      <c r="G6" s="161">
        <v>0.8</v>
      </c>
      <c r="H6" s="162">
        <v>0.8</v>
      </c>
      <c r="I6" s="162">
        <v>0.8</v>
      </c>
      <c r="J6" s="162">
        <v>0.8</v>
      </c>
      <c r="K6" s="162">
        <v>0.8</v>
      </c>
      <c r="L6" s="162">
        <v>0.8</v>
      </c>
      <c r="M6" s="162">
        <v>0.3</v>
      </c>
      <c r="N6" s="162">
        <v>0.6</v>
      </c>
      <c r="O6" s="162">
        <v>0.1</v>
      </c>
      <c r="P6" s="162">
        <v>0.6</v>
      </c>
      <c r="Q6" s="162">
        <v>0.6</v>
      </c>
      <c r="R6" s="163">
        <v>0</v>
      </c>
      <c r="S6" s="164">
        <v>0</v>
      </c>
      <c r="T6" s="164">
        <v>0</v>
      </c>
      <c r="W6" s="142"/>
      <c r="X6" s="142"/>
      <c r="Y6" s="142"/>
      <c r="Z6" s="166"/>
      <c r="AA6" s="166"/>
      <c r="AB6" s="166"/>
      <c r="AC6" s="166"/>
    </row>
    <row r="7" x14ac:dyDescent="0.15">
      <c r="A7" t="s">
        <v>183</v>
      </c>
      <c r="B7" s="161">
        <v>0</v>
      </c>
      <c r="C7" s="161">
        <v>0</v>
      </c>
      <c r="D7" s="161">
        <v>0.8</v>
      </c>
      <c r="E7" s="161">
        <v>0.8</v>
      </c>
      <c r="F7" s="161">
        <v>0.8</v>
      </c>
      <c r="G7" s="161">
        <v>0.8</v>
      </c>
      <c r="H7" s="162">
        <v>0.8</v>
      </c>
      <c r="I7" s="162">
        <v>0.8</v>
      </c>
      <c r="J7" s="162">
        <v>0.8</v>
      </c>
      <c r="K7" s="162">
        <v>0.8</v>
      </c>
      <c r="L7" s="162">
        <v>0.8</v>
      </c>
      <c r="M7" s="162">
        <v>0.3</v>
      </c>
      <c r="N7" s="162">
        <v>0.6</v>
      </c>
      <c r="O7" s="162">
        <v>0.1</v>
      </c>
      <c r="P7" s="162">
        <v>0.6</v>
      </c>
      <c r="Q7" s="162">
        <v>0.6</v>
      </c>
      <c r="R7" s="163">
        <v>0</v>
      </c>
      <c r="S7" s="164">
        <v>0</v>
      </c>
      <c r="T7" s="164">
        <v>0</v>
      </c>
      <c r="W7" s="142"/>
      <c r="X7" s="142"/>
      <c r="Y7" s="142"/>
      <c r="Z7" s="166"/>
      <c r="AA7" s="166"/>
      <c r="AB7" s="166"/>
      <c r="AC7" s="166"/>
    </row>
    <row r="8" x14ac:dyDescent="0.15">
      <c r="A8" t="s">
        <v>184</v>
      </c>
      <c r="B8" s="161">
        <v>0</v>
      </c>
      <c r="C8" s="161">
        <v>0</v>
      </c>
      <c r="D8" s="161">
        <v>0.8</v>
      </c>
      <c r="E8" s="161">
        <v>0.8</v>
      </c>
      <c r="F8" s="161">
        <v>0.8</v>
      </c>
      <c r="G8" s="161">
        <v>0.8</v>
      </c>
      <c r="H8" s="162">
        <v>0.8</v>
      </c>
      <c r="I8" s="162">
        <v>0.8</v>
      </c>
      <c r="J8" s="162">
        <v>0.8</v>
      </c>
      <c r="K8" s="162">
        <v>0.8</v>
      </c>
      <c r="L8" s="162">
        <v>0.8</v>
      </c>
      <c r="M8" s="162">
        <v>0.3</v>
      </c>
      <c r="N8" s="162">
        <v>0.6</v>
      </c>
      <c r="O8" s="162">
        <v>0.1</v>
      </c>
      <c r="P8" s="162">
        <v>0.6</v>
      </c>
      <c r="Q8" s="162">
        <v>0.6</v>
      </c>
      <c r="R8" s="163">
        <v>0</v>
      </c>
      <c r="S8" s="164">
        <v>0</v>
      </c>
      <c r="T8" s="164">
        <v>0</v>
      </c>
      <c r="W8" s="142"/>
      <c r="X8" s="142"/>
      <c r="Y8" s="142"/>
      <c r="Z8" s="166"/>
      <c r="AA8" s="166"/>
      <c r="AB8" s="166"/>
      <c r="AC8" s="166"/>
    </row>
    <row r="9" x14ac:dyDescent="0.15">
      <c r="A9" t="s">
        <v>185</v>
      </c>
      <c r="B9" s="161">
        <v>0</v>
      </c>
      <c r="C9" s="161">
        <v>0</v>
      </c>
      <c r="D9" s="161">
        <v>0.8</v>
      </c>
      <c r="E9" s="161">
        <v>0.8</v>
      </c>
      <c r="F9" s="161">
        <v>0.8</v>
      </c>
      <c r="G9" s="161">
        <v>0.8</v>
      </c>
      <c r="H9" s="162">
        <v>0.8</v>
      </c>
      <c r="I9" s="162">
        <v>0.8</v>
      </c>
      <c r="J9" s="162">
        <v>0.8</v>
      </c>
      <c r="K9" s="162">
        <v>0.8</v>
      </c>
      <c r="L9" s="162">
        <v>0.8</v>
      </c>
      <c r="M9" s="162">
        <v>0.3</v>
      </c>
      <c r="N9" s="162">
        <v>0.6</v>
      </c>
      <c r="O9" s="162">
        <v>0.1</v>
      </c>
      <c r="P9" s="162">
        <v>0.6</v>
      </c>
      <c r="Q9" s="162">
        <v>0.6</v>
      </c>
      <c r="R9" s="163">
        <v>0</v>
      </c>
      <c r="S9" s="164">
        <v>0</v>
      </c>
      <c r="T9" s="164">
        <v>0</v>
      </c>
      <c r="W9" s="142"/>
      <c r="X9" s="142"/>
      <c r="Y9" s="142"/>
      <c r="Z9" s="166"/>
      <c r="AA9" s="166"/>
      <c r="AB9" s="166"/>
      <c r="AC9" s="166"/>
    </row>
    <row r="10" x14ac:dyDescent="0.15">
      <c r="A10" t="s">
        <v>186</v>
      </c>
      <c r="B10" s="161">
        <v>0</v>
      </c>
      <c r="C10" s="161">
        <v>0</v>
      </c>
      <c r="D10" s="161">
        <v>0.8</v>
      </c>
      <c r="E10" s="161">
        <v>0.8</v>
      </c>
      <c r="F10" s="161">
        <v>0.8</v>
      </c>
      <c r="G10" s="161">
        <v>0.8</v>
      </c>
      <c r="H10" s="162">
        <v>0.8</v>
      </c>
      <c r="I10" s="162">
        <v>0.8</v>
      </c>
      <c r="J10" s="162">
        <v>0.8</v>
      </c>
      <c r="K10" s="162">
        <v>0.8</v>
      </c>
      <c r="L10" s="162">
        <v>0.8</v>
      </c>
      <c r="M10" s="162">
        <v>0.3</v>
      </c>
      <c r="N10" s="162">
        <v>0.6</v>
      </c>
      <c r="O10" s="162">
        <v>0.1</v>
      </c>
      <c r="P10" s="162">
        <v>0.6</v>
      </c>
      <c r="Q10" s="162">
        <v>0.6</v>
      </c>
      <c r="R10" s="163">
        <v>0</v>
      </c>
      <c r="S10" s="164">
        <v>0</v>
      </c>
      <c r="T10" s="164">
        <v>0</v>
      </c>
      <c r="W10" s="142"/>
      <c r="X10" s="142"/>
      <c r="Y10" s="142"/>
      <c r="Z10" s="166"/>
      <c r="AA10" s="166"/>
      <c r="AB10" s="166"/>
      <c r="AC10" s="166"/>
    </row>
    <row r="11" x14ac:dyDescent="0.15">
      <c r="A11" t="s">
        <v>187</v>
      </c>
      <c r="B11" s="161">
        <v>0</v>
      </c>
      <c r="C11" s="161">
        <v>0</v>
      </c>
      <c r="D11" s="161">
        <v>0.8</v>
      </c>
      <c r="E11" s="161">
        <v>0.8</v>
      </c>
      <c r="F11" s="161">
        <v>0.8</v>
      </c>
      <c r="G11" s="161">
        <v>0.8</v>
      </c>
      <c r="H11" s="162">
        <v>0.8</v>
      </c>
      <c r="I11" s="162">
        <v>0.8</v>
      </c>
      <c r="J11" s="162">
        <v>0.8</v>
      </c>
      <c r="K11" s="162">
        <v>0.8</v>
      </c>
      <c r="L11" s="162">
        <v>0.8</v>
      </c>
      <c r="M11" s="162">
        <v>0.3</v>
      </c>
      <c r="N11" s="162">
        <v>0.6</v>
      </c>
      <c r="O11" s="162">
        <v>0.1</v>
      </c>
      <c r="P11" s="162">
        <v>0.6</v>
      </c>
      <c r="Q11" s="162">
        <v>0.6</v>
      </c>
      <c r="R11" s="163">
        <v>0</v>
      </c>
      <c r="S11" s="164">
        <v>0</v>
      </c>
      <c r="T11" s="164">
        <v>0</v>
      </c>
      <c r="W11" s="142"/>
      <c r="X11" s="142"/>
      <c r="Y11" s="142"/>
      <c r="Z11" s="166"/>
      <c r="AA11" s="166"/>
      <c r="AB11" s="166"/>
      <c r="AC11" s="166"/>
    </row>
    <row r="12" x14ac:dyDescent="0.15">
      <c r="A12" t="s">
        <v>188</v>
      </c>
      <c r="B12" s="161">
        <v>0</v>
      </c>
      <c r="C12" s="161">
        <v>0</v>
      </c>
      <c r="D12" s="161">
        <v>0.8</v>
      </c>
      <c r="E12" s="161">
        <v>0.8</v>
      </c>
      <c r="F12" s="161">
        <v>0.8</v>
      </c>
      <c r="G12" s="161">
        <v>0.8</v>
      </c>
      <c r="H12" s="162">
        <v>0.8</v>
      </c>
      <c r="I12" s="162">
        <v>0.8</v>
      </c>
      <c r="J12" s="162">
        <v>0.8</v>
      </c>
      <c r="K12" s="162">
        <v>0.8</v>
      </c>
      <c r="L12" s="162">
        <v>0.8</v>
      </c>
      <c r="M12" s="162">
        <v>0.3</v>
      </c>
      <c r="N12" s="162">
        <v>0.6</v>
      </c>
      <c r="O12" s="162">
        <v>0.1</v>
      </c>
      <c r="P12" s="162">
        <v>0.6</v>
      </c>
      <c r="Q12" s="162">
        <v>0.6</v>
      </c>
      <c r="R12" s="163">
        <v>0</v>
      </c>
      <c r="S12" s="164">
        <v>0</v>
      </c>
      <c r="T12" s="164">
        <v>0</v>
      </c>
      <c r="W12" s="142"/>
      <c r="X12" s="142"/>
      <c r="Y12" s="142"/>
      <c r="Z12" s="166"/>
      <c r="AA12" s="166"/>
      <c r="AB12" s="166"/>
      <c r="AC12" s="166"/>
    </row>
    <row r="13" x14ac:dyDescent="0.15">
      <c r="A13" t="s">
        <v>189</v>
      </c>
      <c r="B13" s="161">
        <v>0</v>
      </c>
      <c r="C13" s="161">
        <v>0</v>
      </c>
      <c r="D13" s="161">
        <v>0.8</v>
      </c>
      <c r="E13" s="161">
        <v>0.8</v>
      </c>
      <c r="F13" s="161">
        <v>0.8</v>
      </c>
      <c r="G13" s="161">
        <v>0.8</v>
      </c>
      <c r="H13" s="162">
        <v>0.8</v>
      </c>
      <c r="I13" s="162">
        <v>0.8</v>
      </c>
      <c r="J13" s="162">
        <v>0.8</v>
      </c>
      <c r="K13" s="162">
        <v>0.8</v>
      </c>
      <c r="L13" s="162">
        <v>0.8</v>
      </c>
      <c r="M13" s="162">
        <v>0.3</v>
      </c>
      <c r="N13" s="162">
        <v>0.6</v>
      </c>
      <c r="O13" s="162">
        <v>0.1</v>
      </c>
      <c r="P13" s="162">
        <v>0.6</v>
      </c>
      <c r="Q13" s="162">
        <v>0.6</v>
      </c>
      <c r="R13" s="163">
        <v>0</v>
      </c>
      <c r="S13" s="164">
        <v>0</v>
      </c>
      <c r="T13" s="164">
        <v>0</v>
      </c>
      <c r="W13" s="142"/>
      <c r="X13" s="142"/>
      <c r="Y13" s="142"/>
      <c r="Z13" s="166"/>
      <c r="AA13" s="166"/>
      <c r="AB13" s="166"/>
      <c r="AC13" s="166"/>
    </row>
    <row r="14" x14ac:dyDescent="0.15">
      <c r="A14" t="s">
        <v>190</v>
      </c>
      <c r="B14" s="161">
        <v>0</v>
      </c>
      <c r="C14" s="161">
        <v>0</v>
      </c>
      <c r="D14" s="161">
        <v>0.8</v>
      </c>
      <c r="E14" s="161">
        <v>0.8</v>
      </c>
      <c r="F14" s="161">
        <v>0.8</v>
      </c>
      <c r="G14" s="161">
        <v>0.8</v>
      </c>
      <c r="H14" s="162">
        <v>0.8</v>
      </c>
      <c r="I14" s="162">
        <v>0.8</v>
      </c>
      <c r="J14" s="162">
        <v>0.8</v>
      </c>
      <c r="K14" s="162">
        <v>0.8</v>
      </c>
      <c r="L14" s="162">
        <v>0.8</v>
      </c>
      <c r="M14" s="162">
        <v>0.3</v>
      </c>
      <c r="N14" s="162">
        <v>0.6</v>
      </c>
      <c r="O14" s="162">
        <v>0.1</v>
      </c>
      <c r="P14" s="162">
        <v>0.6</v>
      </c>
      <c r="Q14" s="162">
        <v>0.6</v>
      </c>
      <c r="R14" s="163">
        <v>0</v>
      </c>
      <c r="S14" s="164">
        <v>0</v>
      </c>
      <c r="T14" s="164">
        <v>0</v>
      </c>
      <c r="W14" s="142"/>
      <c r="X14" s="142"/>
      <c r="Y14" s="142"/>
      <c r="Z14" s="166"/>
      <c r="AA14" s="166"/>
      <c r="AB14" s="166"/>
      <c r="AC14" s="166"/>
    </row>
    <row r="15" x14ac:dyDescent="0.15">
      <c r="A15" t="s">
        <v>191</v>
      </c>
      <c r="B15" s="161">
        <v>0</v>
      </c>
      <c r="C15" s="161">
        <v>0</v>
      </c>
      <c r="D15" s="161">
        <v>0.8</v>
      </c>
      <c r="E15" s="161">
        <v>0.8</v>
      </c>
      <c r="F15" s="161">
        <v>0.8</v>
      </c>
      <c r="G15" s="161">
        <v>0.8</v>
      </c>
      <c r="H15" s="162">
        <v>0.8</v>
      </c>
      <c r="I15" s="162">
        <v>0.8</v>
      </c>
      <c r="J15" s="162">
        <v>0.8</v>
      </c>
      <c r="K15" s="162">
        <v>0.8</v>
      </c>
      <c r="L15" s="162">
        <v>0.8</v>
      </c>
      <c r="M15" s="162">
        <v>0.3</v>
      </c>
      <c r="N15" s="162">
        <v>0.6</v>
      </c>
      <c r="O15" s="162">
        <v>0.1</v>
      </c>
      <c r="P15" s="162">
        <v>0.6</v>
      </c>
      <c r="Q15" s="162">
        <v>0.6</v>
      </c>
      <c r="R15" s="163">
        <v>0</v>
      </c>
      <c r="S15" s="164">
        <v>0</v>
      </c>
      <c r="T15" s="164">
        <v>0</v>
      </c>
      <c r="W15" s="142"/>
      <c r="X15" s="142"/>
      <c r="Y15" s="142"/>
      <c r="Z15" s="166"/>
      <c r="AA15" s="166"/>
      <c r="AB15" s="166"/>
      <c r="AC15" s="166"/>
    </row>
    <row r="16" x14ac:dyDescent="0.15">
      <c r="A16" t="s">
        <v>192</v>
      </c>
      <c r="B16" s="161">
        <v>0</v>
      </c>
      <c r="C16" s="161">
        <v>0</v>
      </c>
      <c r="D16" s="161">
        <v>0.8</v>
      </c>
      <c r="E16" s="161">
        <v>0.8</v>
      </c>
      <c r="F16" s="161">
        <v>0.8</v>
      </c>
      <c r="G16" s="161">
        <v>0.8</v>
      </c>
      <c r="H16" s="162">
        <v>0.8</v>
      </c>
      <c r="I16" s="162">
        <v>0.8</v>
      </c>
      <c r="J16" s="162">
        <v>0.8</v>
      </c>
      <c r="K16" s="162">
        <v>0.8</v>
      </c>
      <c r="L16" s="162">
        <v>0.8</v>
      </c>
      <c r="M16" s="162">
        <v>0.3</v>
      </c>
      <c r="N16" s="162">
        <v>0.6</v>
      </c>
      <c r="O16" s="162">
        <v>0.1</v>
      </c>
      <c r="P16" s="162">
        <v>0.6</v>
      </c>
      <c r="Q16" s="162">
        <v>0.6</v>
      </c>
      <c r="R16" s="163">
        <v>0</v>
      </c>
      <c r="S16" s="164">
        <v>0</v>
      </c>
      <c r="T16" s="164">
        <v>0</v>
      </c>
      <c r="W16" s="142"/>
      <c r="X16" s="142"/>
      <c r="Y16" s="142"/>
      <c r="Z16" s="166"/>
      <c r="AA16" s="166"/>
      <c r="AB16" s="166"/>
      <c r="AC16" s="166"/>
    </row>
    <row r="17" x14ac:dyDescent="0.15">
      <c r="A17" t="s">
        <v>193</v>
      </c>
      <c r="B17" s="161">
        <v>0</v>
      </c>
      <c r="C17" s="161">
        <v>0</v>
      </c>
      <c r="D17" s="161">
        <v>0.8</v>
      </c>
      <c r="E17" s="161">
        <v>0.8</v>
      </c>
      <c r="F17" s="161">
        <v>0.8</v>
      </c>
      <c r="G17" s="161">
        <v>0.8</v>
      </c>
      <c r="H17" s="162">
        <v>0.8</v>
      </c>
      <c r="I17" s="162">
        <v>0.8</v>
      </c>
      <c r="J17" s="162">
        <v>0.8</v>
      </c>
      <c r="K17" s="162">
        <v>0.8</v>
      </c>
      <c r="L17" s="162">
        <v>0.8</v>
      </c>
      <c r="M17" s="162">
        <v>0.3</v>
      </c>
      <c r="N17" s="162">
        <v>0.6</v>
      </c>
      <c r="O17" s="162">
        <v>0.1</v>
      </c>
      <c r="P17" s="162">
        <v>0.6</v>
      </c>
      <c r="Q17" s="162">
        <v>0.6</v>
      </c>
      <c r="R17" s="163">
        <v>0</v>
      </c>
      <c r="S17" s="164">
        <v>0</v>
      </c>
      <c r="T17" s="164">
        <v>0</v>
      </c>
      <c r="W17" s="142"/>
      <c r="X17" s="142"/>
      <c r="Y17" s="142"/>
      <c r="Z17" s="166"/>
      <c r="AA17" s="166"/>
      <c r="AB17" s="166"/>
      <c r="AC17" s="166"/>
    </row>
    <row r="18" x14ac:dyDescent="0.15">
      <c r="A18" s="151" t="s">
        <v>194</v>
      </c>
      <c r="B18" s="161">
        <v>0</v>
      </c>
      <c r="C18" s="161">
        <v>0</v>
      </c>
      <c r="D18" s="161">
        <v>0.8</v>
      </c>
      <c r="E18" s="161">
        <v>0.8</v>
      </c>
      <c r="F18" s="161">
        <v>0.8</v>
      </c>
      <c r="G18" s="161">
        <v>0.8</v>
      </c>
      <c r="H18" s="162">
        <v>0.8</v>
      </c>
      <c r="I18" s="162">
        <v>0.8</v>
      </c>
      <c r="J18" s="162">
        <v>0.8</v>
      </c>
      <c r="K18" s="162">
        <v>0.8</v>
      </c>
      <c r="L18" s="162">
        <v>0.8</v>
      </c>
      <c r="M18" s="162">
        <v>0.3</v>
      </c>
      <c r="N18" s="162">
        <v>0.6</v>
      </c>
      <c r="O18" s="162">
        <v>0.1</v>
      </c>
      <c r="P18" s="162">
        <v>0.6</v>
      </c>
      <c r="Q18" s="162">
        <v>0.6</v>
      </c>
      <c r="R18" s="163">
        <v>0</v>
      </c>
      <c r="S18" s="164">
        <v>0</v>
      </c>
      <c r="T18" s="164">
        <v>0</v>
      </c>
      <c r="W18" s="142"/>
      <c r="X18" s="142"/>
      <c r="Y18" s="142"/>
      <c r="Z18" s="166"/>
      <c r="AA18" s="166"/>
      <c r="AB18" s="166"/>
      <c r="AC18" s="166"/>
    </row>
    <row r="19" x14ac:dyDescent="0.15">
      <c r="A19" t="s">
        <v>195</v>
      </c>
      <c r="B19" s="161">
        <v>0</v>
      </c>
      <c r="C19" s="161">
        <v>0</v>
      </c>
      <c r="D19" s="161">
        <v>0.8</v>
      </c>
      <c r="E19" s="161">
        <v>0.8</v>
      </c>
      <c r="F19" s="161">
        <v>0.8</v>
      </c>
      <c r="G19" s="161">
        <v>0.8</v>
      </c>
      <c r="H19" s="162">
        <v>0.8</v>
      </c>
      <c r="I19" s="162">
        <v>0.8</v>
      </c>
      <c r="J19" s="162">
        <v>0.8</v>
      </c>
      <c r="K19" s="162">
        <v>0.8</v>
      </c>
      <c r="L19" s="162">
        <v>0.8</v>
      </c>
      <c r="M19" s="162">
        <v>0.3</v>
      </c>
      <c r="N19" s="162">
        <v>0.6</v>
      </c>
      <c r="O19" s="162">
        <v>0.1</v>
      </c>
      <c r="P19" s="162">
        <v>0.6</v>
      </c>
      <c r="Q19" s="162">
        <v>0.6</v>
      </c>
      <c r="R19" s="163">
        <v>0</v>
      </c>
      <c r="S19" s="164">
        <v>0</v>
      </c>
      <c r="T19" s="164">
        <v>0</v>
      </c>
      <c r="W19" s="142"/>
      <c r="X19" s="142"/>
      <c r="Y19" s="142"/>
      <c r="Z19" s="166"/>
      <c r="AA19" s="166"/>
      <c r="AB19" s="166"/>
      <c r="AC19" s="166"/>
    </row>
    <row r="20" x14ac:dyDescent="0.15">
      <c r="A20" t="s">
        <v>196</v>
      </c>
      <c r="B20" s="161">
        <v>0</v>
      </c>
      <c r="C20" s="161">
        <v>0</v>
      </c>
      <c r="D20" s="161">
        <v>0.8</v>
      </c>
      <c r="E20" s="161">
        <v>0.8</v>
      </c>
      <c r="F20" s="161">
        <v>0.8</v>
      </c>
      <c r="G20" s="161">
        <v>0.8</v>
      </c>
      <c r="H20" s="162">
        <v>0.8</v>
      </c>
      <c r="I20" s="162">
        <v>0.8</v>
      </c>
      <c r="J20" s="162">
        <v>0.8</v>
      </c>
      <c r="K20" s="162">
        <v>0.8</v>
      </c>
      <c r="L20" s="162">
        <v>0.8</v>
      </c>
      <c r="M20" s="162">
        <v>0.3</v>
      </c>
      <c r="N20" s="162">
        <v>0.6</v>
      </c>
      <c r="O20" s="162">
        <v>0.1</v>
      </c>
      <c r="P20" s="162">
        <v>0.6</v>
      </c>
      <c r="Q20" s="162">
        <v>0.6</v>
      </c>
      <c r="R20" s="163">
        <v>0</v>
      </c>
      <c r="S20" s="164">
        <v>0</v>
      </c>
      <c r="T20" s="164">
        <v>0</v>
      </c>
      <c r="W20" s="142"/>
      <c r="X20" s="142"/>
      <c r="Y20" s="142"/>
      <c r="Z20" s="166"/>
      <c r="AA20" s="166"/>
      <c r="AB20" s="166"/>
      <c r="AC20" s="166"/>
    </row>
    <row r="21" x14ac:dyDescent="0.15">
      <c r="A21" s="143" t="s">
        <v>174</v>
      </c>
      <c r="B21" s="143">
        <v>0</v>
      </c>
      <c r="C21" s="143">
        <v>0</v>
      </c>
      <c r="D21" s="143">
        <v>0</v>
      </c>
      <c r="E21" s="143">
        <v>0</v>
      </c>
      <c r="F21" s="143">
        <v>0</v>
      </c>
      <c r="G21" s="143">
        <v>0</v>
      </c>
      <c r="H21" s="143">
        <v>0</v>
      </c>
      <c r="I21" s="143">
        <v>0</v>
      </c>
      <c r="J21" s="143">
        <v>0</v>
      </c>
      <c r="K21" s="143">
        <v>0</v>
      </c>
      <c r="L21" s="143">
        <v>0</v>
      </c>
      <c r="M21" s="143">
        <v>0</v>
      </c>
      <c r="N21" s="143">
        <v>0</v>
      </c>
      <c r="O21" s="143">
        <v>0</v>
      </c>
      <c r="P21" s="143">
        <v>0</v>
      </c>
      <c r="Q21" s="143">
        <v>0</v>
      </c>
      <c r="R21" s="143">
        <v>0</v>
      </c>
      <c r="S21" s="143">
        <v>0</v>
      </c>
      <c r="T21" s="143">
        <v>0</v>
      </c>
      <c r="W21" s="142"/>
      <c r="X21" s="142"/>
      <c r="Y21" s="142"/>
      <c r="Z21" s="166"/>
      <c r="AA21" s="166"/>
      <c r="AB21" s="166"/>
      <c r="AC21" s="166"/>
    </row>
    <row r="22" x14ac:dyDescent="0.15">
      <c r="W22" s="142"/>
      <c r="X22" s="142"/>
      <c r="Y22" s="142"/>
      <c r="Z22" s="166"/>
      <c r="AA22" s="166"/>
      <c r="AB22" s="166"/>
      <c r="AC22" s="166"/>
    </row>
    <row r="23" x14ac:dyDescent="0.15">
      <c r="A23" s="51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66"/>
      <c r="AA23" s="166"/>
      <c r="AB23" s="166"/>
      <c r="AC23" s="166"/>
    </row>
    <row r="24" x14ac:dyDescent="0.15">
      <c r="A24" s="51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66"/>
      <c r="AA24" s="166"/>
      <c r="AB24" s="166"/>
      <c r="AC24" s="166"/>
    </row>
    <row r="25" x14ac:dyDescent="0.15">
      <c r="A25" s="51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66"/>
      <c r="AA25" s="166"/>
      <c r="AB25" s="166"/>
      <c r="AC25" s="166"/>
    </row>
    <row r="26" x14ac:dyDescent="0.15">
      <c r="A26"/>
      <c r="W26" s="142"/>
      <c r="X26" s="142"/>
      <c r="Y26" s="142"/>
      <c r="Z26" s="166"/>
      <c r="AA26" s="166"/>
      <c r="AB26" s="166"/>
      <c r="AC26" s="166"/>
    </row>
    <row r="27" x14ac:dyDescent="0.15">
      <c r="A27"/>
      <c r="W27" s="142"/>
      <c r="X27" s="142"/>
      <c r="Y27" s="142"/>
      <c r="Z27" s="166"/>
      <c r="AA27" s="166"/>
      <c r="AB27" s="166"/>
      <c r="AC27" s="166"/>
    </row>
    <row r="28" x14ac:dyDescent="0.15">
      <c r="W28" s="142"/>
      <c r="X28" s="142"/>
      <c r="Y28" s="142"/>
      <c r="Z28" s="166"/>
      <c r="AA28" s="166"/>
      <c r="AB28" s="166"/>
      <c r="AC28" s="166"/>
    </row>
    <row r="29" x14ac:dyDescent="0.15">
      <c r="W29" s="142"/>
      <c r="X29" s="142"/>
      <c r="Y29" s="142"/>
      <c r="Z29" s="166"/>
      <c r="AA29" s="166"/>
      <c r="AB29" s="166"/>
      <c r="AC29" s="16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C131"/>
  <sheetViews>
    <sheetView workbookViewId="0">
      <selection activeCell="A26" sqref="A26"/>
    </sheetView>
  </sheetViews>
  <sheetFormatPr baseColWidth="10" defaultRowHeight="14" customHeight="true" x14ac:dyDescent="0.15"/>
  <cols>
    <col min="1" max="1" width="39.83203125" style="143" bestFit="true" customWidth="true"/>
    <col min="2" max="16384" width="10.83203125" style="143"/>
  </cols>
  <sheetData>
    <row r="1" ht="13" x14ac:dyDescent="0.15">
      <c r="A1" s="138" t="s">
        <v>140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191</v>
      </c>
      <c r="P1" t="s">
        <v>192</v>
      </c>
      <c r="Q1" t="s">
        <v>193</v>
      </c>
      <c r="R1" t="s">
        <v>194</v>
      </c>
      <c r="S1" s="165" t="s">
        <v>195</v>
      </c>
      <c r="T1" s="165" t="s">
        <v>196</v>
      </c>
      <c r="W1" s="51"/>
      <c r="X1" s="51"/>
      <c r="Y1" s="51"/>
      <c r="Z1" s="165"/>
      <c r="AA1" s="165"/>
      <c r="AB1" s="166"/>
      <c r="AC1" s="166"/>
    </row>
    <row r="2" ht="13" x14ac:dyDescent="0.15">
      <c r="A2" t="s">
        <v>178</v>
      </c>
      <c r="B2" s="167">
        <v>1</v>
      </c>
      <c r="C2" s="167">
        <v>1</v>
      </c>
      <c r="D2" s="167">
        <v>1</v>
      </c>
      <c r="E2" s="167">
        <v>1</v>
      </c>
      <c r="F2" s="167">
        <v>1</v>
      </c>
      <c r="G2" s="167">
        <v>1</v>
      </c>
      <c r="H2" s="167">
        <v>1</v>
      </c>
      <c r="I2" s="167">
        <v>1</v>
      </c>
      <c r="J2" s="167">
        <v>1</v>
      </c>
      <c r="K2" s="167">
        <v>1</v>
      </c>
      <c r="L2" s="167">
        <v>1</v>
      </c>
      <c r="M2" s="167">
        <v>1</v>
      </c>
      <c r="N2" s="167">
        <v>1</v>
      </c>
      <c r="O2" s="167">
        <v>1</v>
      </c>
      <c r="P2" s="167">
        <v>1</v>
      </c>
      <c r="Q2" s="167">
        <v>1</v>
      </c>
      <c r="R2" s="167">
        <v>1</v>
      </c>
      <c r="S2" s="168">
        <v>1</v>
      </c>
      <c r="T2" s="168">
        <v>1</v>
      </c>
      <c r="U2" s="167"/>
      <c r="V2" s="167"/>
      <c r="W2" s="142"/>
      <c r="X2" s="142"/>
      <c r="Y2" s="142"/>
      <c r="Z2" s="168"/>
      <c r="AA2" s="168"/>
      <c r="AB2" s="168"/>
      <c r="AC2" s="168"/>
    </row>
    <row r="3" ht="13" x14ac:dyDescent="0.15">
      <c r="A3" t="s">
        <v>179</v>
      </c>
      <c r="B3" s="167">
        <v>1</v>
      </c>
      <c r="C3" s="167">
        <v>1</v>
      </c>
      <c r="D3" s="167">
        <v>1</v>
      </c>
      <c r="E3" s="167">
        <v>1</v>
      </c>
      <c r="F3" s="167">
        <v>1</v>
      </c>
      <c r="G3" s="167">
        <v>1</v>
      </c>
      <c r="H3" s="167">
        <v>1</v>
      </c>
      <c r="I3" s="167">
        <v>1</v>
      </c>
      <c r="J3" s="167">
        <v>1</v>
      </c>
      <c r="K3" s="167">
        <v>1</v>
      </c>
      <c r="L3" s="167">
        <v>1</v>
      </c>
      <c r="M3" s="167">
        <v>1</v>
      </c>
      <c r="N3" s="167">
        <v>1</v>
      </c>
      <c r="O3" s="167">
        <v>1</v>
      </c>
      <c r="P3" s="167">
        <v>1</v>
      </c>
      <c r="Q3" s="167">
        <v>1</v>
      </c>
      <c r="R3" s="167">
        <v>1</v>
      </c>
      <c r="S3" s="168">
        <v>1</v>
      </c>
      <c r="T3" s="168">
        <v>1</v>
      </c>
      <c r="U3" s="167"/>
      <c r="V3" s="167"/>
      <c r="W3" s="142"/>
      <c r="X3" s="142"/>
      <c r="Y3" s="142"/>
      <c r="Z3" s="168"/>
      <c r="AA3" s="168"/>
      <c r="AB3" s="168"/>
      <c r="AC3" s="168"/>
    </row>
    <row r="4" ht="13" x14ac:dyDescent="0.15">
      <c r="A4" t="s">
        <v>180</v>
      </c>
      <c r="B4" s="167">
        <v>1</v>
      </c>
      <c r="C4" s="167">
        <v>1</v>
      </c>
      <c r="D4" s="167">
        <v>1</v>
      </c>
      <c r="E4" s="167">
        <v>1</v>
      </c>
      <c r="F4" s="167">
        <v>1</v>
      </c>
      <c r="G4" s="167">
        <v>1</v>
      </c>
      <c r="H4" s="167">
        <v>1</v>
      </c>
      <c r="I4" s="167">
        <v>1</v>
      </c>
      <c r="J4" s="167">
        <v>1</v>
      </c>
      <c r="K4" s="167">
        <v>1</v>
      </c>
      <c r="L4" s="167">
        <v>1</v>
      </c>
      <c r="M4" s="167">
        <v>1</v>
      </c>
      <c r="N4" s="167">
        <v>1</v>
      </c>
      <c r="O4" s="167">
        <v>1</v>
      </c>
      <c r="P4" s="167">
        <v>1</v>
      </c>
      <c r="Q4" s="167">
        <v>1</v>
      </c>
      <c r="R4" s="167">
        <v>1</v>
      </c>
      <c r="S4" s="168">
        <v>1</v>
      </c>
      <c r="T4" s="168">
        <v>1</v>
      </c>
      <c r="U4" s="167"/>
      <c r="V4" s="167"/>
      <c r="W4" s="142"/>
      <c r="X4" s="142"/>
      <c r="Y4" s="142"/>
      <c r="Z4" s="168"/>
      <c r="AA4" s="168"/>
      <c r="AB4" s="168"/>
      <c r="AC4" s="168"/>
    </row>
    <row r="5" ht="13" x14ac:dyDescent="0.15">
      <c r="A5" t="s">
        <v>181</v>
      </c>
      <c r="B5" s="167">
        <v>1</v>
      </c>
      <c r="C5" s="167">
        <v>1</v>
      </c>
      <c r="D5" s="167">
        <v>1</v>
      </c>
      <c r="E5" s="167">
        <v>1</v>
      </c>
      <c r="F5" s="167">
        <v>1</v>
      </c>
      <c r="G5" s="167">
        <v>1</v>
      </c>
      <c r="H5" s="167">
        <v>1</v>
      </c>
      <c r="I5" s="167">
        <v>1</v>
      </c>
      <c r="J5" s="167">
        <v>1</v>
      </c>
      <c r="K5" s="167">
        <v>1</v>
      </c>
      <c r="L5" s="167">
        <v>1</v>
      </c>
      <c r="M5" s="167">
        <v>1</v>
      </c>
      <c r="N5" s="167">
        <v>1</v>
      </c>
      <c r="O5" s="167">
        <v>1</v>
      </c>
      <c r="P5" s="167">
        <v>1</v>
      </c>
      <c r="Q5" s="167">
        <v>1</v>
      </c>
      <c r="R5" s="167">
        <v>1</v>
      </c>
      <c r="S5" s="168">
        <v>1</v>
      </c>
      <c r="T5" s="168">
        <v>1</v>
      </c>
      <c r="U5" s="167"/>
      <c r="V5" s="167"/>
      <c r="W5" s="142"/>
      <c r="X5" s="142"/>
      <c r="Y5" s="142"/>
      <c r="Z5" s="168"/>
      <c r="AA5" s="168"/>
      <c r="AB5" s="168"/>
      <c r="AC5" s="168"/>
    </row>
    <row r="6" ht="13" x14ac:dyDescent="0.15">
      <c r="A6" t="s">
        <v>182</v>
      </c>
      <c r="B6" s="167">
        <v>1</v>
      </c>
      <c r="C6" s="167">
        <v>1</v>
      </c>
      <c r="D6" s="167">
        <v>1</v>
      </c>
      <c r="E6" s="167">
        <v>1</v>
      </c>
      <c r="F6" s="167">
        <v>1</v>
      </c>
      <c r="G6" s="167">
        <v>1</v>
      </c>
      <c r="H6" s="167">
        <v>1</v>
      </c>
      <c r="I6" s="167">
        <v>1</v>
      </c>
      <c r="J6" s="167">
        <v>1</v>
      </c>
      <c r="K6" s="167">
        <v>1</v>
      </c>
      <c r="L6" s="167">
        <v>1</v>
      </c>
      <c r="M6" s="167">
        <v>1</v>
      </c>
      <c r="N6" s="167">
        <v>1</v>
      </c>
      <c r="O6" s="167">
        <v>1</v>
      </c>
      <c r="P6" s="167">
        <v>1</v>
      </c>
      <c r="Q6" s="167">
        <v>1</v>
      </c>
      <c r="R6" s="167">
        <v>1</v>
      </c>
      <c r="S6" s="168">
        <v>1</v>
      </c>
      <c r="T6" s="168">
        <v>1</v>
      </c>
      <c r="U6" s="167"/>
      <c r="V6" s="167"/>
      <c r="W6" s="142"/>
      <c r="X6" s="142"/>
      <c r="Y6" s="142"/>
      <c r="Z6" s="168"/>
      <c r="AA6" s="168"/>
      <c r="AB6" s="168"/>
      <c r="AC6" s="168"/>
    </row>
    <row r="7" ht="13" x14ac:dyDescent="0.15">
      <c r="A7" t="s">
        <v>183</v>
      </c>
      <c r="B7" s="167">
        <v>1</v>
      </c>
      <c r="C7" s="167">
        <v>1</v>
      </c>
      <c r="D7" s="167">
        <v>1</v>
      </c>
      <c r="E7" s="167">
        <v>1</v>
      </c>
      <c r="F7" s="167">
        <v>1</v>
      </c>
      <c r="G7" s="167">
        <v>1</v>
      </c>
      <c r="H7" s="167">
        <v>1</v>
      </c>
      <c r="I7" s="167">
        <v>1</v>
      </c>
      <c r="J7" s="167">
        <v>1</v>
      </c>
      <c r="K7" s="167">
        <v>1</v>
      </c>
      <c r="L7" s="167">
        <v>1</v>
      </c>
      <c r="M7" s="167">
        <v>1</v>
      </c>
      <c r="N7" s="167">
        <v>1</v>
      </c>
      <c r="O7" s="167">
        <v>1</v>
      </c>
      <c r="P7" s="167">
        <v>1</v>
      </c>
      <c r="Q7" s="167">
        <v>1</v>
      </c>
      <c r="R7" s="167">
        <v>1</v>
      </c>
      <c r="S7" s="168">
        <v>1</v>
      </c>
      <c r="T7" s="168">
        <v>1</v>
      </c>
      <c r="U7" s="167"/>
      <c r="V7" s="167"/>
      <c r="W7" s="142"/>
      <c r="X7" s="142"/>
      <c r="Y7" s="142"/>
      <c r="Z7" s="168"/>
      <c r="AA7" s="168"/>
      <c r="AB7" s="168"/>
      <c r="AC7" s="168"/>
    </row>
    <row r="8" ht="13" x14ac:dyDescent="0.15">
      <c r="A8" t="s">
        <v>184</v>
      </c>
      <c r="B8" s="167">
        <v>1</v>
      </c>
      <c r="C8" s="167">
        <v>1</v>
      </c>
      <c r="D8" s="167">
        <v>1</v>
      </c>
      <c r="E8" s="167">
        <v>1</v>
      </c>
      <c r="F8" s="167">
        <v>1</v>
      </c>
      <c r="G8" s="167">
        <v>1</v>
      </c>
      <c r="H8" s="167">
        <v>1</v>
      </c>
      <c r="I8" s="167">
        <v>1</v>
      </c>
      <c r="J8" s="167">
        <v>1</v>
      </c>
      <c r="K8" s="167">
        <v>1</v>
      </c>
      <c r="L8" s="167">
        <v>1</v>
      </c>
      <c r="M8" s="167">
        <v>1</v>
      </c>
      <c r="N8" s="167">
        <v>1</v>
      </c>
      <c r="O8" s="167">
        <v>1</v>
      </c>
      <c r="P8" s="167">
        <v>1</v>
      </c>
      <c r="Q8" s="167">
        <v>1</v>
      </c>
      <c r="R8" s="167">
        <v>1</v>
      </c>
      <c r="S8" s="168">
        <v>1</v>
      </c>
      <c r="T8" s="168">
        <v>1</v>
      </c>
      <c r="U8" s="167"/>
      <c r="V8" s="167"/>
      <c r="W8" s="142"/>
      <c r="X8" s="142"/>
      <c r="Y8" s="142"/>
      <c r="Z8" s="168"/>
      <c r="AA8" s="168"/>
      <c r="AB8" s="168"/>
      <c r="AC8" s="168"/>
    </row>
    <row r="9" ht="13" x14ac:dyDescent="0.15">
      <c r="A9" t="s">
        <v>185</v>
      </c>
      <c r="B9" s="167">
        <v>1</v>
      </c>
      <c r="C9" s="167">
        <v>1</v>
      </c>
      <c r="D9" s="167">
        <v>1</v>
      </c>
      <c r="E9" s="167">
        <v>1</v>
      </c>
      <c r="F9" s="167">
        <v>1</v>
      </c>
      <c r="G9" s="167">
        <v>1</v>
      </c>
      <c r="H9" s="167">
        <v>1</v>
      </c>
      <c r="I9" s="167">
        <v>1</v>
      </c>
      <c r="J9" s="167">
        <v>1</v>
      </c>
      <c r="K9" s="167">
        <v>1</v>
      </c>
      <c r="L9" s="167">
        <v>1</v>
      </c>
      <c r="M9" s="167">
        <v>1</v>
      </c>
      <c r="N9" s="167">
        <v>1</v>
      </c>
      <c r="O9" s="167">
        <v>1</v>
      </c>
      <c r="P9" s="167">
        <v>1</v>
      </c>
      <c r="Q9" s="167">
        <v>1</v>
      </c>
      <c r="R9" s="167">
        <v>1</v>
      </c>
      <c r="S9" s="168">
        <v>1</v>
      </c>
      <c r="T9" s="168">
        <v>1</v>
      </c>
      <c r="U9" s="167"/>
      <c r="V9" s="167"/>
      <c r="W9" s="142"/>
      <c r="X9" s="142"/>
      <c r="Y9" s="142"/>
      <c r="Z9" s="168"/>
      <c r="AA9" s="168"/>
      <c r="AB9" s="168"/>
      <c r="AC9" s="168"/>
    </row>
    <row r="10" ht="13" x14ac:dyDescent="0.15">
      <c r="A10" t="s">
        <v>186</v>
      </c>
      <c r="B10" s="167">
        <v>1</v>
      </c>
      <c r="C10" s="167">
        <v>1</v>
      </c>
      <c r="D10" s="167">
        <v>1</v>
      </c>
      <c r="E10" s="167">
        <v>1</v>
      </c>
      <c r="F10" s="167">
        <v>1</v>
      </c>
      <c r="G10" s="167">
        <v>1</v>
      </c>
      <c r="H10" s="167">
        <v>1</v>
      </c>
      <c r="I10" s="167">
        <v>1</v>
      </c>
      <c r="J10" s="167">
        <v>1</v>
      </c>
      <c r="K10" s="167">
        <v>1</v>
      </c>
      <c r="L10" s="167">
        <v>1</v>
      </c>
      <c r="M10" s="167">
        <v>1</v>
      </c>
      <c r="N10" s="167">
        <v>1</v>
      </c>
      <c r="O10" s="167">
        <v>1</v>
      </c>
      <c r="P10" s="167">
        <v>1</v>
      </c>
      <c r="Q10" s="167">
        <v>1</v>
      </c>
      <c r="R10" s="167">
        <v>1</v>
      </c>
      <c r="S10" s="168">
        <v>1</v>
      </c>
      <c r="T10" s="168">
        <v>1</v>
      </c>
      <c r="U10" s="167"/>
      <c r="V10" s="167"/>
      <c r="W10" s="142"/>
      <c r="X10" s="142"/>
      <c r="Y10" s="142"/>
      <c r="Z10" s="168"/>
      <c r="AA10" s="168"/>
      <c r="AB10" s="168"/>
      <c r="AC10" s="168"/>
    </row>
    <row r="11" ht="13" x14ac:dyDescent="0.15">
      <c r="A11" t="s">
        <v>187</v>
      </c>
      <c r="B11" s="167">
        <v>1</v>
      </c>
      <c r="C11" s="167">
        <v>1</v>
      </c>
      <c r="D11" s="167">
        <v>1</v>
      </c>
      <c r="E11" s="167">
        <v>1</v>
      </c>
      <c r="F11" s="167">
        <v>1</v>
      </c>
      <c r="G11" s="167">
        <v>1</v>
      </c>
      <c r="H11" s="167">
        <v>1</v>
      </c>
      <c r="I11" s="167">
        <v>1</v>
      </c>
      <c r="J11" s="167">
        <v>1</v>
      </c>
      <c r="K11" s="167">
        <v>1</v>
      </c>
      <c r="L11" s="167">
        <v>1</v>
      </c>
      <c r="M11" s="167">
        <v>1</v>
      </c>
      <c r="N11" s="167">
        <v>1</v>
      </c>
      <c r="O11" s="167">
        <v>1</v>
      </c>
      <c r="P11" s="167">
        <v>1</v>
      </c>
      <c r="Q11" s="167">
        <v>1</v>
      </c>
      <c r="R11" s="167">
        <v>1</v>
      </c>
      <c r="S11" s="168">
        <v>1</v>
      </c>
      <c r="T11" s="168">
        <v>1</v>
      </c>
      <c r="U11" s="167"/>
      <c r="V11" s="167"/>
      <c r="W11" s="142"/>
      <c r="X11" s="142"/>
      <c r="Y11" s="142"/>
      <c r="Z11" s="168"/>
      <c r="AA11" s="168"/>
      <c r="AB11" s="168"/>
      <c r="AC11" s="168"/>
    </row>
    <row r="12" ht="13" x14ac:dyDescent="0.15">
      <c r="A12" t="s">
        <v>188</v>
      </c>
      <c r="B12" s="167">
        <v>1</v>
      </c>
      <c r="C12" s="167">
        <v>1</v>
      </c>
      <c r="D12" s="167">
        <v>1</v>
      </c>
      <c r="E12" s="167">
        <v>1</v>
      </c>
      <c r="F12" s="167">
        <v>1</v>
      </c>
      <c r="G12" s="167">
        <v>1</v>
      </c>
      <c r="H12" s="167">
        <v>1</v>
      </c>
      <c r="I12" s="167">
        <v>1</v>
      </c>
      <c r="J12" s="167">
        <v>1</v>
      </c>
      <c r="K12" s="167">
        <v>1</v>
      </c>
      <c r="L12" s="167">
        <v>1</v>
      </c>
      <c r="M12" s="167">
        <v>1</v>
      </c>
      <c r="N12" s="167">
        <v>1</v>
      </c>
      <c r="O12" s="167">
        <v>1</v>
      </c>
      <c r="P12" s="167">
        <v>1</v>
      </c>
      <c r="Q12" s="167">
        <v>1</v>
      </c>
      <c r="R12" s="167">
        <v>1</v>
      </c>
      <c r="S12" s="168">
        <v>1</v>
      </c>
      <c r="T12" s="168">
        <v>1</v>
      </c>
      <c r="U12" s="167"/>
      <c r="V12" s="167"/>
      <c r="W12" s="142"/>
      <c r="X12" s="142"/>
      <c r="Y12" s="142"/>
      <c r="Z12" s="168"/>
      <c r="AA12" s="168"/>
      <c r="AB12" s="168"/>
      <c r="AC12" s="168"/>
    </row>
    <row r="13" ht="13" x14ac:dyDescent="0.15">
      <c r="A13" t="s">
        <v>189</v>
      </c>
      <c r="B13" s="167">
        <v>1</v>
      </c>
      <c r="C13" s="167">
        <v>1</v>
      </c>
      <c r="D13" s="167">
        <v>1</v>
      </c>
      <c r="E13" s="167">
        <v>1</v>
      </c>
      <c r="F13" s="167">
        <v>1</v>
      </c>
      <c r="G13" s="167">
        <v>1</v>
      </c>
      <c r="H13" s="167">
        <v>1</v>
      </c>
      <c r="I13" s="167">
        <v>1</v>
      </c>
      <c r="J13" s="167">
        <v>1</v>
      </c>
      <c r="K13" s="167">
        <v>1</v>
      </c>
      <c r="L13" s="167">
        <v>1</v>
      </c>
      <c r="M13" s="167">
        <v>1</v>
      </c>
      <c r="N13" s="167">
        <v>1</v>
      </c>
      <c r="O13" s="167">
        <v>1</v>
      </c>
      <c r="P13" s="167">
        <v>1</v>
      </c>
      <c r="Q13" s="167">
        <v>1</v>
      </c>
      <c r="R13" s="167">
        <v>1</v>
      </c>
      <c r="S13" s="168">
        <v>1</v>
      </c>
      <c r="T13" s="168">
        <v>1</v>
      </c>
      <c r="U13" s="167"/>
      <c r="V13" s="167"/>
      <c r="W13" s="142"/>
      <c r="X13" s="142"/>
      <c r="Y13" s="142"/>
      <c r="Z13" s="168"/>
      <c r="AA13" s="168"/>
      <c r="AB13" s="168"/>
      <c r="AC13" s="168"/>
    </row>
    <row r="14" ht="13" x14ac:dyDescent="0.15">
      <c r="A14" t="s">
        <v>190</v>
      </c>
      <c r="B14" s="167">
        <v>1</v>
      </c>
      <c r="C14" s="167">
        <v>1</v>
      </c>
      <c r="D14" s="167">
        <v>1</v>
      </c>
      <c r="E14" s="167">
        <v>1</v>
      </c>
      <c r="F14" s="167">
        <v>1</v>
      </c>
      <c r="G14" s="167">
        <v>1</v>
      </c>
      <c r="H14" s="167">
        <v>1</v>
      </c>
      <c r="I14" s="167">
        <v>1</v>
      </c>
      <c r="J14" s="167">
        <v>1</v>
      </c>
      <c r="K14" s="167">
        <v>1</v>
      </c>
      <c r="L14" s="167">
        <v>1</v>
      </c>
      <c r="M14" s="167">
        <v>1</v>
      </c>
      <c r="N14" s="167">
        <v>1</v>
      </c>
      <c r="O14" s="167">
        <v>1</v>
      </c>
      <c r="P14" s="167">
        <v>1</v>
      </c>
      <c r="Q14" s="167">
        <v>1</v>
      </c>
      <c r="R14" s="167">
        <v>1</v>
      </c>
      <c r="S14" s="168">
        <v>1</v>
      </c>
      <c r="T14" s="168">
        <v>1</v>
      </c>
      <c r="U14" s="167"/>
      <c r="V14" s="167"/>
      <c r="W14" s="142"/>
      <c r="X14" s="142"/>
      <c r="Y14" s="142"/>
      <c r="Z14" s="168"/>
      <c r="AA14" s="168"/>
      <c r="AB14" s="168"/>
      <c r="AC14" s="168"/>
    </row>
    <row r="15" ht="13" x14ac:dyDescent="0.15">
      <c r="A15" t="s">
        <v>191</v>
      </c>
      <c r="B15" s="167">
        <v>1</v>
      </c>
      <c r="C15" s="167">
        <v>1</v>
      </c>
      <c r="D15" s="167">
        <v>1</v>
      </c>
      <c r="E15" s="167">
        <v>1</v>
      </c>
      <c r="F15" s="167">
        <v>1</v>
      </c>
      <c r="G15" s="167">
        <v>1</v>
      </c>
      <c r="H15" s="167">
        <v>1</v>
      </c>
      <c r="I15" s="167">
        <v>1</v>
      </c>
      <c r="J15" s="167">
        <v>1</v>
      </c>
      <c r="K15" s="167">
        <v>1</v>
      </c>
      <c r="L15" s="167">
        <v>1</v>
      </c>
      <c r="M15" s="167">
        <v>1</v>
      </c>
      <c r="N15" s="167">
        <v>1</v>
      </c>
      <c r="O15" s="167">
        <v>1</v>
      </c>
      <c r="P15" s="167">
        <v>1</v>
      </c>
      <c r="Q15" s="167">
        <v>1</v>
      </c>
      <c r="R15" s="167">
        <v>1</v>
      </c>
      <c r="S15" s="168">
        <v>1</v>
      </c>
      <c r="T15" s="168">
        <v>1</v>
      </c>
      <c r="U15" s="167"/>
      <c r="V15" s="167"/>
      <c r="W15" s="142"/>
      <c r="X15" s="142"/>
      <c r="Y15" s="142"/>
      <c r="Z15" s="168"/>
      <c r="AA15" s="168"/>
      <c r="AB15" s="168"/>
      <c r="AC15" s="168"/>
    </row>
    <row r="16" ht="13" x14ac:dyDescent="0.15">
      <c r="A16" t="s">
        <v>192</v>
      </c>
      <c r="B16" s="167">
        <v>1</v>
      </c>
      <c r="C16" s="167">
        <v>1</v>
      </c>
      <c r="D16" s="167">
        <v>1</v>
      </c>
      <c r="E16" s="167">
        <v>1</v>
      </c>
      <c r="F16" s="167">
        <v>1</v>
      </c>
      <c r="G16" s="167">
        <v>1</v>
      </c>
      <c r="H16" s="167">
        <v>1</v>
      </c>
      <c r="I16" s="167">
        <v>1</v>
      </c>
      <c r="J16" s="167">
        <v>1</v>
      </c>
      <c r="K16" s="167">
        <v>1</v>
      </c>
      <c r="L16" s="167">
        <v>1</v>
      </c>
      <c r="M16" s="167">
        <v>1</v>
      </c>
      <c r="N16" s="167">
        <v>1</v>
      </c>
      <c r="O16" s="167">
        <v>1</v>
      </c>
      <c r="P16" s="167">
        <v>1</v>
      </c>
      <c r="Q16" s="167">
        <v>1</v>
      </c>
      <c r="R16" s="167">
        <v>1</v>
      </c>
      <c r="S16" s="168">
        <v>1</v>
      </c>
      <c r="T16" s="168">
        <v>1</v>
      </c>
      <c r="U16" s="167"/>
      <c r="V16" s="167"/>
      <c r="W16" s="142"/>
      <c r="X16" s="142"/>
      <c r="Y16" s="142"/>
      <c r="Z16" s="168"/>
      <c r="AA16" s="168"/>
      <c r="AB16" s="168"/>
      <c r="AC16" s="168"/>
    </row>
    <row r="17" ht="13" x14ac:dyDescent="0.15">
      <c r="A17" t="s">
        <v>193</v>
      </c>
      <c r="B17" s="167">
        <v>1</v>
      </c>
      <c r="C17" s="167">
        <v>1</v>
      </c>
      <c r="D17" s="167">
        <v>1</v>
      </c>
      <c r="E17" s="167">
        <v>1</v>
      </c>
      <c r="F17" s="167">
        <v>1</v>
      </c>
      <c r="G17" s="167">
        <v>1</v>
      </c>
      <c r="H17" s="167">
        <v>1</v>
      </c>
      <c r="I17" s="167">
        <v>1</v>
      </c>
      <c r="J17" s="167">
        <v>1</v>
      </c>
      <c r="K17" s="167">
        <v>1</v>
      </c>
      <c r="L17" s="167">
        <v>1</v>
      </c>
      <c r="M17" s="167">
        <v>1</v>
      </c>
      <c r="N17" s="167">
        <v>1</v>
      </c>
      <c r="O17" s="167">
        <v>1</v>
      </c>
      <c r="P17" s="167">
        <v>1</v>
      </c>
      <c r="Q17" s="167">
        <v>1</v>
      </c>
      <c r="R17" s="167">
        <v>1</v>
      </c>
      <c r="S17" s="168">
        <v>1</v>
      </c>
      <c r="T17" s="168">
        <v>1</v>
      </c>
      <c r="U17" s="167"/>
      <c r="V17" s="167"/>
      <c r="W17" s="142"/>
      <c r="X17" s="142"/>
      <c r="Y17" s="142"/>
      <c r="Z17" s="168"/>
      <c r="AA17" s="168"/>
      <c r="AB17" s="168"/>
      <c r="AC17" s="168"/>
    </row>
    <row r="18" ht="13" x14ac:dyDescent="0.15">
      <c r="A18" s="151" t="s">
        <v>194</v>
      </c>
      <c r="B18" s="167">
        <v>1</v>
      </c>
      <c r="C18" s="167">
        <v>1</v>
      </c>
      <c r="D18" s="167">
        <v>1</v>
      </c>
      <c r="E18" s="167">
        <v>1</v>
      </c>
      <c r="F18" s="167">
        <v>1</v>
      </c>
      <c r="G18" s="167">
        <v>1</v>
      </c>
      <c r="H18" s="167">
        <v>1</v>
      </c>
      <c r="I18" s="167">
        <v>1</v>
      </c>
      <c r="J18" s="167">
        <v>1</v>
      </c>
      <c r="K18" s="167">
        <v>1</v>
      </c>
      <c r="L18" s="167">
        <v>1</v>
      </c>
      <c r="M18" s="167">
        <v>1</v>
      </c>
      <c r="N18" s="167">
        <v>1</v>
      </c>
      <c r="O18" s="167">
        <v>1</v>
      </c>
      <c r="P18" s="167">
        <v>1</v>
      </c>
      <c r="Q18" s="167">
        <v>1</v>
      </c>
      <c r="R18" s="167">
        <v>1</v>
      </c>
      <c r="S18" s="168">
        <v>1</v>
      </c>
      <c r="T18" s="168">
        <v>1</v>
      </c>
      <c r="U18" s="167"/>
      <c r="V18" s="167"/>
      <c r="W18" s="142"/>
      <c r="X18" s="142"/>
      <c r="Y18" s="142"/>
      <c r="Z18" s="168"/>
      <c r="AA18" s="168"/>
      <c r="AB18" s="168"/>
      <c r="AC18" s="168"/>
    </row>
    <row r="19" ht="13" x14ac:dyDescent="0.15">
      <c r="A19" t="s">
        <v>195</v>
      </c>
      <c r="B19" s="167">
        <v>1</v>
      </c>
      <c r="C19" s="167">
        <v>1</v>
      </c>
      <c r="D19" s="167">
        <v>1</v>
      </c>
      <c r="E19" s="167">
        <v>1</v>
      </c>
      <c r="F19" s="167">
        <v>1</v>
      </c>
      <c r="G19" s="167">
        <v>1</v>
      </c>
      <c r="H19" s="167">
        <v>1</v>
      </c>
      <c r="I19" s="167">
        <v>1</v>
      </c>
      <c r="J19" s="167">
        <v>1</v>
      </c>
      <c r="K19" s="167">
        <v>1</v>
      </c>
      <c r="L19" s="167">
        <v>1</v>
      </c>
      <c r="M19" s="167">
        <v>1</v>
      </c>
      <c r="N19" s="167">
        <v>1</v>
      </c>
      <c r="O19" s="167">
        <v>1</v>
      </c>
      <c r="P19" s="167">
        <v>1</v>
      </c>
      <c r="Q19" s="167">
        <v>1</v>
      </c>
      <c r="R19" s="167">
        <v>1</v>
      </c>
      <c r="S19" s="168">
        <v>1</v>
      </c>
      <c r="T19" s="168">
        <v>1</v>
      </c>
      <c r="U19" s="167"/>
      <c r="V19" s="167"/>
      <c r="W19" s="142"/>
      <c r="X19" s="142"/>
      <c r="Y19" s="142"/>
      <c r="Z19" s="168"/>
      <c r="AA19" s="168"/>
      <c r="AB19" s="168"/>
      <c r="AC19" s="168"/>
    </row>
    <row r="20" ht="13" x14ac:dyDescent="0.15">
      <c r="A20" t="s">
        <v>196</v>
      </c>
      <c r="B20" s="167">
        <v>1</v>
      </c>
      <c r="C20" s="167">
        <v>1</v>
      </c>
      <c r="D20" s="167">
        <v>1</v>
      </c>
      <c r="E20" s="167">
        <v>1</v>
      </c>
      <c r="F20" s="167">
        <v>1</v>
      </c>
      <c r="G20" s="167">
        <v>1</v>
      </c>
      <c r="H20" s="167">
        <v>1</v>
      </c>
      <c r="I20" s="167">
        <v>1</v>
      </c>
      <c r="J20" s="167">
        <v>1</v>
      </c>
      <c r="K20" s="167">
        <v>1</v>
      </c>
      <c r="L20" s="167">
        <v>1</v>
      </c>
      <c r="M20" s="167">
        <v>1</v>
      </c>
      <c r="N20" s="167">
        <v>1</v>
      </c>
      <c r="O20" s="167">
        <v>1</v>
      </c>
      <c r="P20" s="167">
        <v>1</v>
      </c>
      <c r="Q20" s="167">
        <v>1</v>
      </c>
      <c r="R20" s="167">
        <v>1</v>
      </c>
      <c r="S20" s="168">
        <v>1</v>
      </c>
      <c r="T20" s="168">
        <v>1</v>
      </c>
      <c r="U20" s="167"/>
      <c r="V20" s="167"/>
      <c r="W20" s="142"/>
      <c r="X20" s="142"/>
      <c r="Y20" s="142"/>
      <c r="Z20" s="168"/>
      <c r="AA20" s="168"/>
      <c r="AB20" s="168"/>
      <c r="AC20" s="168"/>
    </row>
    <row r="21" ht="13" x14ac:dyDescent="0.15">
      <c r="A21" s="143" t="s">
        <v>174</v>
      </c>
      <c r="B21" s="167">
        <v>1</v>
      </c>
      <c r="C21" s="167">
        <v>1</v>
      </c>
      <c r="D21" s="167">
        <v>1</v>
      </c>
      <c r="E21" s="167">
        <v>1</v>
      </c>
      <c r="F21" s="167">
        <v>1</v>
      </c>
      <c r="G21" s="167">
        <v>1</v>
      </c>
      <c r="H21" s="167">
        <v>1</v>
      </c>
      <c r="I21" s="167">
        <v>1</v>
      </c>
      <c r="J21" s="167">
        <v>1</v>
      </c>
      <c r="K21" s="167">
        <v>1</v>
      </c>
      <c r="L21" s="167">
        <v>1</v>
      </c>
      <c r="M21" s="167">
        <v>1</v>
      </c>
      <c r="N21" s="167">
        <v>1</v>
      </c>
      <c r="O21" s="167">
        <v>1</v>
      </c>
      <c r="P21" s="167">
        <v>1</v>
      </c>
      <c r="Q21" s="167">
        <v>1</v>
      </c>
      <c r="R21" s="167">
        <v>1</v>
      </c>
      <c r="S21" s="168">
        <v>1</v>
      </c>
      <c r="T21" s="168">
        <v>1</v>
      </c>
      <c r="U21" s="167"/>
      <c r="V21" s="167"/>
      <c r="W21" s="142"/>
      <c r="X21" s="142"/>
      <c r="Y21" s="142"/>
      <c r="Z21" s="168"/>
      <c r="AA21" s="168"/>
      <c r="AB21" s="168"/>
      <c r="AC21" s="168"/>
    </row>
    <row r="22" ht="13" x14ac:dyDescent="0.15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8"/>
      <c r="T22" s="168"/>
      <c r="U22" s="167"/>
      <c r="V22" s="167"/>
      <c r="W22" s="142"/>
      <c r="X22" s="142"/>
      <c r="Y22" s="142"/>
      <c r="Z22" s="168"/>
      <c r="AA22" s="168"/>
      <c r="AB22" s="168"/>
      <c r="AC22" s="168"/>
    </row>
    <row r="23" ht="13" x14ac:dyDescent="0.15">
      <c r="A23" s="51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66"/>
      <c r="T23" s="166"/>
      <c r="U23" s="142"/>
      <c r="V23" s="142"/>
      <c r="W23" s="142"/>
      <c r="X23" s="142"/>
      <c r="Y23" s="142"/>
      <c r="Z23" s="166"/>
      <c r="AA23" s="166"/>
      <c r="AB23" s="166"/>
      <c r="AC23" s="166"/>
    </row>
    <row r="24" ht="13" x14ac:dyDescent="0.15">
      <c r="A24" s="51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66"/>
      <c r="T24" s="166"/>
      <c r="U24" s="142"/>
      <c r="V24" s="142"/>
      <c r="W24" s="142"/>
      <c r="X24" s="142"/>
      <c r="Y24" s="142"/>
      <c r="Z24" s="166"/>
      <c r="AA24" s="166"/>
      <c r="AB24" s="166"/>
      <c r="AC24" s="166"/>
    </row>
    <row r="25" ht="13" x14ac:dyDescent="0.15">
      <c r="A25" s="51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66"/>
      <c r="T25" s="166"/>
      <c r="U25" s="142"/>
      <c r="V25" s="142"/>
      <c r="W25" s="142"/>
      <c r="X25" s="142"/>
      <c r="Y25" s="142"/>
      <c r="Z25" s="166"/>
      <c r="AA25" s="166"/>
      <c r="AB25" s="166"/>
      <c r="AC25" s="166"/>
    </row>
    <row r="26" ht="13" x14ac:dyDescent="0.15">
      <c r="A26"/>
      <c r="B26" s="167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8"/>
      <c r="T26" s="168"/>
      <c r="U26" s="167"/>
      <c r="V26" s="167"/>
      <c r="W26" s="142"/>
      <c r="X26" s="142"/>
      <c r="Y26" s="142"/>
      <c r="Z26" s="168"/>
      <c r="AA26" s="168"/>
      <c r="AB26" s="168"/>
      <c r="AC26" s="168"/>
    </row>
    <row r="27" ht="13" x14ac:dyDescent="0.15">
      <c r="A27"/>
      <c r="B27" s="167"/>
      <c r="C27" s="167"/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8"/>
      <c r="T27" s="168"/>
      <c r="U27" s="167"/>
      <c r="V27" s="167"/>
      <c r="W27" s="142"/>
      <c r="X27" s="142"/>
      <c r="Y27" s="142"/>
      <c r="Z27" s="168"/>
      <c r="AA27" s="168"/>
      <c r="AB27" s="168"/>
      <c r="AC27" s="168"/>
    </row>
    <row r="28" ht="13" x14ac:dyDescent="0.15"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8"/>
      <c r="T28" s="168"/>
      <c r="U28" s="167"/>
      <c r="V28" s="167"/>
      <c r="W28" s="142"/>
      <c r="X28" s="142"/>
      <c r="Y28" s="142"/>
      <c r="Z28" s="168"/>
      <c r="AA28" s="168"/>
      <c r="AB28" s="168"/>
      <c r="AC28" s="168"/>
    </row>
    <row r="29" ht="13" x14ac:dyDescent="0.15"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5"/>
      <c r="T29" s="165"/>
      <c r="U29" s="167"/>
      <c r="V29" s="167"/>
      <c r="W29" s="142"/>
      <c r="X29" s="142"/>
      <c r="Y29" s="142"/>
      <c r="Z29" s="168"/>
      <c r="AA29" s="168"/>
      <c r="AB29" s="168"/>
      <c r="AC29" s="168"/>
    </row>
    <row r="30" ht="13" x14ac:dyDescent="0.1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67"/>
      <c r="R30" s="167"/>
      <c r="S30" s="168"/>
      <c r="T30" s="168"/>
      <c r="U30" s="167"/>
      <c r="V30" s="167"/>
      <c r="W30" s="142"/>
      <c r="X30" s="142"/>
      <c r="Y30" s="142"/>
      <c r="Z30" s="168"/>
      <c r="AA30" s="168"/>
      <c r="AB30" s="168"/>
      <c r="AC30" s="168"/>
    </row>
    <row r="31" ht="13" x14ac:dyDescent="0.15"/>
    <row r="32" ht="13" x14ac:dyDescent="0.15"/>
    <row r="33" ht="13" x14ac:dyDescent="0.15"/>
    <row r="34" ht="13" x14ac:dyDescent="0.15"/>
    <row r="35" ht="13" x14ac:dyDescent="0.15"/>
    <row r="36" ht="13" x14ac:dyDescent="0.15"/>
    <row r="37" ht="13" x14ac:dyDescent="0.15"/>
    <row r="38" ht="13" x14ac:dyDescent="0.15"/>
    <row r="39" ht="13" x14ac:dyDescent="0.15"/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  <row r="13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24" sqref="A24"/>
    </sheetView>
  </sheetViews>
  <sheetFormatPr baseColWidth="10" defaultRowHeight="14" customHeight="true" x14ac:dyDescent="0.15"/>
  <cols>
    <col min="1" max="1" width="12.6640625" customWidth="true"/>
    <col min="2" max="2" width="46.5" bestFit="true" customWidth="true"/>
    <col min="3" max="3" width="16" bestFit="true" customWidth="true"/>
    <col min="4" max="4" width="16.33203125" bestFit="true" customWidth="true"/>
  </cols>
  <sheetData>
    <row r="1" ht="28" x14ac:dyDescent="0.15">
      <c r="A1" s="116" t="s">
        <v>84</v>
      </c>
      <c r="B1" s="119" t="s">
        <v>0</v>
      </c>
      <c r="C1" t="s">
        <v>197</v>
      </c>
      <c r="D1" t="s">
        <v>198</v>
      </c>
    </row>
    <row r="2" ht="13" x14ac:dyDescent="0.15">
      <c r="A2" s="3">
        <v>1</v>
      </c>
      <c r="B2" t="s">
        <v>178</v>
      </c>
      <c r="C2" s="143">
        <v>0</v>
      </c>
      <c r="D2">
        <v>0</v>
      </c>
    </row>
    <row r="3" ht="13" x14ac:dyDescent="0.15">
      <c r="A3" s="3">
        <v>2</v>
      </c>
      <c r="B3" t="s">
        <v>179</v>
      </c>
      <c r="C3" s="143">
        <v>0</v>
      </c>
      <c r="D3">
        <v>0</v>
      </c>
    </row>
    <row r="4" ht="13" x14ac:dyDescent="0.15">
      <c r="A4" s="3">
        <v>3</v>
      </c>
      <c r="B4" t="s">
        <v>180</v>
      </c>
      <c r="C4" s="143">
        <v>0</v>
      </c>
      <c r="D4">
        <v>0</v>
      </c>
    </row>
    <row r="5" ht="13" x14ac:dyDescent="0.15">
      <c r="A5" s="3">
        <v>4</v>
      </c>
      <c r="B5" t="s">
        <v>181</v>
      </c>
      <c r="C5" s="143">
        <v>0</v>
      </c>
      <c r="D5">
        <v>0</v>
      </c>
    </row>
    <row r="6" ht="13" x14ac:dyDescent="0.15">
      <c r="A6" s="3">
        <v>5</v>
      </c>
      <c r="B6" t="s">
        <v>182</v>
      </c>
      <c r="C6" s="143">
        <v>0</v>
      </c>
      <c r="D6">
        <v>0</v>
      </c>
    </row>
    <row r="7" ht="13" x14ac:dyDescent="0.15">
      <c r="A7" s="3">
        <v>6</v>
      </c>
      <c r="B7" t="s">
        <v>183</v>
      </c>
      <c r="C7" s="143">
        <v>0</v>
      </c>
      <c r="D7">
        <v>0</v>
      </c>
    </row>
    <row r="8" ht="13" x14ac:dyDescent="0.15">
      <c r="A8" s="3">
        <v>7</v>
      </c>
      <c r="B8" t="s">
        <v>184</v>
      </c>
      <c r="C8" s="143">
        <v>0</v>
      </c>
      <c r="D8">
        <v>0</v>
      </c>
    </row>
    <row r="9" ht="13" x14ac:dyDescent="0.15">
      <c r="A9" s="3">
        <v>8</v>
      </c>
      <c r="B9" t="s">
        <v>185</v>
      </c>
      <c r="C9" s="143">
        <v>0</v>
      </c>
      <c r="D9">
        <v>0</v>
      </c>
    </row>
    <row r="10" ht="13" x14ac:dyDescent="0.15">
      <c r="A10" s="3">
        <v>9</v>
      </c>
      <c r="B10" t="s">
        <v>186</v>
      </c>
      <c r="C10" s="143">
        <v>0</v>
      </c>
      <c r="D10">
        <v>0</v>
      </c>
    </row>
    <row r="11" ht="13" x14ac:dyDescent="0.15">
      <c r="A11" s="3">
        <v>10</v>
      </c>
      <c r="B11" t="s">
        <v>187</v>
      </c>
      <c r="C11" s="143">
        <v>0</v>
      </c>
      <c r="D11">
        <v>0</v>
      </c>
    </row>
    <row r="12" ht="13" x14ac:dyDescent="0.15">
      <c r="A12" s="3">
        <v>11</v>
      </c>
      <c r="B12" t="s">
        <v>188</v>
      </c>
      <c r="C12" s="143">
        <v>0</v>
      </c>
      <c r="D12">
        <v>0</v>
      </c>
    </row>
    <row r="13" ht="13" x14ac:dyDescent="0.15">
      <c r="A13" s="3">
        <v>12</v>
      </c>
      <c r="B13" t="s">
        <v>189</v>
      </c>
      <c r="C13" s="143">
        <v>0</v>
      </c>
      <c r="D13">
        <v>0</v>
      </c>
    </row>
    <row r="14" ht="13" x14ac:dyDescent="0.15">
      <c r="A14" s="3">
        <v>13</v>
      </c>
      <c r="B14" t="s">
        <v>190</v>
      </c>
      <c r="C14" s="143">
        <v>0</v>
      </c>
      <c r="D14">
        <v>0</v>
      </c>
    </row>
    <row r="15" ht="13" x14ac:dyDescent="0.15">
      <c r="A15" s="3">
        <v>14</v>
      </c>
      <c r="B15" t="s">
        <v>191</v>
      </c>
      <c r="C15" s="143">
        <v>0</v>
      </c>
      <c r="D15">
        <v>0</v>
      </c>
    </row>
    <row r="16" ht="13" x14ac:dyDescent="0.15">
      <c r="A16" s="3">
        <v>15</v>
      </c>
      <c r="B16" t="s">
        <v>192</v>
      </c>
      <c r="C16" s="143">
        <v>0</v>
      </c>
      <c r="D16">
        <v>0</v>
      </c>
    </row>
    <row r="17" ht="13" x14ac:dyDescent="0.15">
      <c r="A17" s="3">
        <v>16</v>
      </c>
      <c r="B17" t="s">
        <v>193</v>
      </c>
      <c r="C17" s="143">
        <v>0</v>
      </c>
      <c r="D17">
        <v>0</v>
      </c>
    </row>
    <row r="18" ht="13" x14ac:dyDescent="0.15">
      <c r="A18" s="3">
        <v>17</v>
      </c>
      <c r="B18" s="151" t="s">
        <v>194</v>
      </c>
      <c r="C18" s="143">
        <v>0</v>
      </c>
      <c r="D18">
        <v>0</v>
      </c>
    </row>
    <row r="19" ht="13" x14ac:dyDescent="0.15">
      <c r="A19" s="3">
        <v>18</v>
      </c>
      <c r="B19" t="s">
        <v>195</v>
      </c>
      <c r="C19" s="143">
        <v>0</v>
      </c>
      <c r="D19">
        <v>0</v>
      </c>
    </row>
    <row r="20" ht="13" x14ac:dyDescent="0.15">
      <c r="A20" s="3">
        <v>19</v>
      </c>
      <c r="B20" t="s">
        <v>196</v>
      </c>
      <c r="C20" s="143">
        <v>0</v>
      </c>
      <c r="D20">
        <v>0</v>
      </c>
    </row>
    <row r="21" ht="13" x14ac:dyDescent="0.15">
      <c r="A21" s="3"/>
      <c r="C21" s="143"/>
    </row>
    <row r="22" ht="13" x14ac:dyDescent="0.15">
      <c r="A22" s="3"/>
      <c r="C22" s="143"/>
    </row>
    <row r="23" ht="13" x14ac:dyDescent="0.15">
      <c r="A23" s="3"/>
      <c r="B23" s="51"/>
      <c r="C23" s="142"/>
    </row>
    <row r="24" ht="13" x14ac:dyDescent="0.15">
      <c r="A24" s="3"/>
      <c r="B24" s="51"/>
      <c r="C24" s="142"/>
    </row>
    <row r="25" ht="13" x14ac:dyDescent="0.15">
      <c r="A25" s="3"/>
      <c r="B25" s="51"/>
      <c r="C25" s="142"/>
    </row>
    <row r="26" ht="13" x14ac:dyDescent="0.15">
      <c r="A26" s="3"/>
      <c r="C26" s="143"/>
    </row>
    <row r="27" ht="13" x14ac:dyDescent="0.15">
      <c r="A27" s="3"/>
      <c r="C27" s="143"/>
    </row>
    <row r="28" ht="13" x14ac:dyDescent="0.15">
      <c r="A28" s="3"/>
      <c r="C28" s="143"/>
    </row>
    <row r="29" ht="13" x14ac:dyDescent="0.15">
      <c r="A29" s="3"/>
      <c r="C29" s="143"/>
    </row>
    <row r="30" ht="13" x14ac:dyDescent="0.15"/>
    <row r="31" ht="13" x14ac:dyDescent="0.15"/>
    <row r="32" ht="13" x14ac:dyDescent="0.15"/>
    <row r="33" ht="13" x14ac:dyDescent="0.15"/>
    <row r="34" ht="13" x14ac:dyDescent="0.15"/>
    <row r="35" ht="13" x14ac:dyDescent="0.15"/>
    <row r="36" ht="13" x14ac:dyDescent="0.15"/>
    <row r="37" ht="13" x14ac:dyDescent="0.15"/>
    <row r="38" ht="13" x14ac:dyDescent="0.15"/>
    <row r="39" ht="13" x14ac:dyDescent="0.15"/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130"/>
  <sheetViews>
    <sheetView workbookViewId="0">
      <selection activeCell="A23" sqref="A23"/>
    </sheetView>
  </sheetViews>
  <sheetFormatPr baseColWidth="10" defaultRowHeight="14" customHeight="true" x14ac:dyDescent="0.15"/>
  <cols>
    <col min="1" max="1" width="12.6640625" customWidth="true"/>
    <col min="2" max="2" width="46.5" bestFit="true" customWidth="true"/>
    <col min="3" max="3" width="16" bestFit="true" customWidth="true"/>
    <col min="4" max="4" width="16.33203125" bestFit="true" customWidth="true"/>
  </cols>
  <sheetData>
    <row r="1" ht="28" x14ac:dyDescent="0.15">
      <c r="A1" s="116" t="s">
        <v>83</v>
      </c>
      <c r="B1" s="119" t="s">
        <v>0</v>
      </c>
      <c r="C1" t="s">
        <v>197</v>
      </c>
      <c r="D1" t="s">
        <v>198</v>
      </c>
    </row>
    <row r="2" ht="13" x14ac:dyDescent="0.15">
      <c r="A2" s="3">
        <v>1</v>
      </c>
      <c r="B2" t="s">
        <v>178</v>
      </c>
      <c r="C2" s="143">
        <v>0</v>
      </c>
      <c r="D2">
        <v>0</v>
      </c>
    </row>
    <row r="3" ht="13" x14ac:dyDescent="0.15">
      <c r="A3" s="3">
        <v>2</v>
      </c>
      <c r="B3" t="s">
        <v>179</v>
      </c>
      <c r="C3" s="143">
        <v>0</v>
      </c>
      <c r="D3">
        <v>0</v>
      </c>
    </row>
    <row r="4" ht="13" x14ac:dyDescent="0.15">
      <c r="A4" s="3">
        <v>3</v>
      </c>
      <c r="B4" t="s">
        <v>180</v>
      </c>
      <c r="C4" s="143">
        <v>0</v>
      </c>
      <c r="D4">
        <v>0</v>
      </c>
    </row>
    <row r="5" ht="13" x14ac:dyDescent="0.15">
      <c r="A5" s="3">
        <v>4</v>
      </c>
      <c r="B5" t="s">
        <v>181</v>
      </c>
      <c r="C5" s="143">
        <v>0</v>
      </c>
      <c r="D5">
        <v>0</v>
      </c>
    </row>
    <row r="6" ht="13" x14ac:dyDescent="0.15">
      <c r="A6" s="3">
        <v>5</v>
      </c>
      <c r="B6" t="s">
        <v>182</v>
      </c>
      <c r="C6" s="143">
        <v>0</v>
      </c>
      <c r="D6">
        <v>0</v>
      </c>
    </row>
    <row r="7" ht="13" x14ac:dyDescent="0.15">
      <c r="A7" s="3">
        <v>6</v>
      </c>
      <c r="B7" t="s">
        <v>183</v>
      </c>
      <c r="C7" s="143">
        <v>0</v>
      </c>
      <c r="D7">
        <v>0</v>
      </c>
    </row>
    <row r="8" ht="13" x14ac:dyDescent="0.15">
      <c r="A8" s="3">
        <v>7</v>
      </c>
      <c r="B8" t="s">
        <v>184</v>
      </c>
      <c r="C8" s="143">
        <v>0</v>
      </c>
      <c r="D8">
        <v>0</v>
      </c>
    </row>
    <row r="9" ht="13" x14ac:dyDescent="0.15">
      <c r="A9" s="3">
        <v>8</v>
      </c>
      <c r="B9" t="s">
        <v>185</v>
      </c>
      <c r="C9" s="143">
        <v>0</v>
      </c>
      <c r="D9">
        <v>0</v>
      </c>
    </row>
    <row r="10" ht="13" x14ac:dyDescent="0.15">
      <c r="A10" s="3">
        <v>9</v>
      </c>
      <c r="B10" t="s">
        <v>186</v>
      </c>
      <c r="C10" s="143">
        <v>0</v>
      </c>
      <c r="D10">
        <v>0</v>
      </c>
    </row>
    <row r="11" ht="13" x14ac:dyDescent="0.15">
      <c r="A11" s="3">
        <v>10</v>
      </c>
      <c r="B11" t="s">
        <v>187</v>
      </c>
      <c r="C11" s="143">
        <v>0</v>
      </c>
      <c r="D11">
        <v>0</v>
      </c>
    </row>
    <row r="12" ht="13" x14ac:dyDescent="0.15">
      <c r="A12" s="3">
        <v>11</v>
      </c>
      <c r="B12" t="s">
        <v>188</v>
      </c>
      <c r="C12" s="143">
        <v>0</v>
      </c>
      <c r="D12">
        <v>0</v>
      </c>
    </row>
    <row r="13" ht="13" x14ac:dyDescent="0.15">
      <c r="A13" s="3">
        <v>12</v>
      </c>
      <c r="B13" t="s">
        <v>189</v>
      </c>
      <c r="C13" s="143">
        <v>0</v>
      </c>
      <c r="D13">
        <v>0</v>
      </c>
    </row>
    <row r="14" ht="13" x14ac:dyDescent="0.15">
      <c r="A14" s="3">
        <v>13</v>
      </c>
      <c r="B14" t="s">
        <v>190</v>
      </c>
      <c r="C14" s="143">
        <v>0</v>
      </c>
      <c r="D14">
        <v>0</v>
      </c>
    </row>
    <row r="15" ht="13" x14ac:dyDescent="0.15">
      <c r="A15" s="3">
        <v>14</v>
      </c>
      <c r="B15" t="s">
        <v>191</v>
      </c>
      <c r="C15" s="143">
        <v>0</v>
      </c>
      <c r="D15">
        <v>0</v>
      </c>
    </row>
    <row r="16" ht="13" x14ac:dyDescent="0.15">
      <c r="A16" s="3">
        <v>15</v>
      </c>
      <c r="B16" t="s">
        <v>192</v>
      </c>
      <c r="C16" s="143">
        <v>0</v>
      </c>
      <c r="D16">
        <v>0</v>
      </c>
    </row>
    <row r="17" ht="13" x14ac:dyDescent="0.15">
      <c r="A17" s="3">
        <v>16</v>
      </c>
      <c r="B17" t="s">
        <v>193</v>
      </c>
      <c r="C17" s="143">
        <v>0</v>
      </c>
      <c r="D17">
        <v>0</v>
      </c>
    </row>
    <row r="18" ht="13" x14ac:dyDescent="0.15">
      <c r="A18" s="3">
        <v>17</v>
      </c>
      <c r="B18" s="151" t="s">
        <v>194</v>
      </c>
      <c r="C18" s="143">
        <v>0</v>
      </c>
      <c r="D18">
        <v>0</v>
      </c>
    </row>
    <row r="19" ht="13" x14ac:dyDescent="0.15">
      <c r="A19" s="3">
        <v>18</v>
      </c>
      <c r="B19" t="s">
        <v>195</v>
      </c>
      <c r="C19" s="143">
        <v>0</v>
      </c>
      <c r="D19">
        <v>0</v>
      </c>
    </row>
    <row r="20" ht="13" x14ac:dyDescent="0.15">
      <c r="A20" s="3">
        <v>19</v>
      </c>
      <c r="B20" t="s">
        <v>196</v>
      </c>
      <c r="C20" s="143">
        <v>0</v>
      </c>
      <c r="D20">
        <v>0</v>
      </c>
    </row>
    <row r="21" ht="13" x14ac:dyDescent="0.15">
      <c r="A21" s="3"/>
      <c r="C21" s="143"/>
    </row>
    <row r="22" ht="13" x14ac:dyDescent="0.15">
      <c r="A22" s="3"/>
      <c r="C22" s="143"/>
    </row>
    <row r="23" ht="13" x14ac:dyDescent="0.15">
      <c r="A23" s="3"/>
      <c r="B23" s="51"/>
      <c r="C23" s="142"/>
    </row>
    <row r="24" ht="13" x14ac:dyDescent="0.15">
      <c r="A24" s="3"/>
      <c r="B24" s="51"/>
      <c r="C24" s="142"/>
    </row>
    <row r="25" ht="13" x14ac:dyDescent="0.15">
      <c r="A25" s="3"/>
      <c r="B25" s="51"/>
      <c r="C25" s="142"/>
    </row>
    <row r="26" ht="13" x14ac:dyDescent="0.15">
      <c r="A26" s="3"/>
      <c r="C26" s="143"/>
    </row>
    <row r="27" ht="13" x14ac:dyDescent="0.15">
      <c r="A27" s="3"/>
      <c r="C27" s="143"/>
    </row>
    <row r="28" ht="13" x14ac:dyDescent="0.15">
      <c r="A28" s="3"/>
      <c r="C28" s="143"/>
    </row>
    <row r="29" ht="13" x14ac:dyDescent="0.15">
      <c r="A29" s="3"/>
      <c r="C29" s="143"/>
    </row>
    <row r="30" ht="13" x14ac:dyDescent="0.15"/>
    <row r="31" ht="13" x14ac:dyDescent="0.15"/>
    <row r="32" ht="13" x14ac:dyDescent="0.15"/>
    <row r="33" ht="13" x14ac:dyDescent="0.15"/>
    <row r="34" ht="13" x14ac:dyDescent="0.15"/>
    <row r="35" ht="13" x14ac:dyDescent="0.15"/>
    <row r="36" ht="13" x14ac:dyDescent="0.15"/>
    <row r="37" ht="13" x14ac:dyDescent="0.15"/>
    <row r="38" ht="13" x14ac:dyDescent="0.15"/>
    <row r="39" ht="13" x14ac:dyDescent="0.15"/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9" sqref="L9"/>
    </sheetView>
  </sheetViews>
  <sheetFormatPr baseColWidth="10" defaultColWidth="8.83203125" defaultRowHeight="15" customHeight="true" x14ac:dyDescent="0.15"/>
  <cols>
    <col min="1" max="1" width="8.83203125" style="51"/>
    <col min="2" max="2" width="41.83203125" style="51" bestFit="true" customWidth="true"/>
    <col min="3" max="3" width="9.33203125" style="51" bestFit="true" customWidth="true"/>
    <col min="4" max="4" width="13" style="51" bestFit="true" customWidth="true"/>
    <col min="5" max="6" width="9.33203125" style="51" bestFit="true" customWidth="true"/>
    <col min="7" max="7" width="9.33203125" style="52" bestFit="true" customWidth="true"/>
    <col min="8" max="8" width="9.33203125" style="51" bestFit="true" customWidth="true"/>
    <col min="9" max="9" width="11" style="51" customWidth="true"/>
    <col min="10" max="10" width="8.83203125" style="51"/>
    <col min="15" max="16384" width="8.83203125" style="51"/>
  </cols>
  <sheetData>
    <row r="1" ht="15" customHeight="true" x14ac:dyDescent="0.15">
      <c r="A1" s="2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5" t="s">
        <v>14</v>
      </c>
      <c r="H1" s="1" t="s">
        <v>26</v>
      </c>
      <c r="I1" s="1" t="s">
        <v>24</v>
      </c>
    </row>
    <row r="2" ht="15" customHeight="true" x14ac:dyDescent="0.15">
      <c r="A2" s="195">
        <v>1</v>
      </c>
      <c r="B2" s="195" t="s">
        <v>178</v>
      </c>
      <c r="C2" s="5">
        <v>1</v>
      </c>
      <c r="D2" s="4">
        <v>1.4381600618362427</v>
      </c>
      <c r="E2" s="6">
        <v>75</v>
      </c>
      <c r="F2" s="7"/>
      <c r="G2" s="6">
        <v>0.99900007247924805</v>
      </c>
      <c r="H2" s="7"/>
      <c r="I2">
        <v>0</v>
      </c>
      <c r="J2"/>
    </row>
    <row r="3" ht="15" customHeight="true" x14ac:dyDescent="0.15">
      <c r="A3" s="196">
        <v>2</v>
      </c>
      <c r="B3" s="196" t="s">
        <v>179</v>
      </c>
      <c r="C3" s="5">
        <v>1</v>
      </c>
      <c r="D3" s="4">
        <v>1.0736874341964722</v>
      </c>
      <c r="E3" s="6">
        <v>75</v>
      </c>
      <c r="F3" s="7"/>
      <c r="G3" s="6">
        <v>0.99900007247924805</v>
      </c>
      <c r="H3" s="7"/>
      <c r="I3">
        <v>0</v>
      </c>
      <c r="J3"/>
    </row>
    <row r="4" ht="15" customHeight="true" x14ac:dyDescent="0.15">
      <c r="A4" s="197">
        <v>3</v>
      </c>
      <c r="B4" s="197" t="s">
        <v>180</v>
      </c>
      <c r="C4" s="5">
        <v>2</v>
      </c>
      <c r="D4" s="6">
        <v>0.56599998474121094</v>
      </c>
      <c r="E4" s="6">
        <v>55</v>
      </c>
      <c r="F4" s="6">
        <v>275</v>
      </c>
      <c r="G4" s="4">
        <v>0.11476949602365494</v>
      </c>
      <c r="H4" s="6">
        <v>0.20000000298023224</v>
      </c>
      <c r="I4">
        <v>0</v>
      </c>
      <c r="J4"/>
    </row>
    <row r="5" ht="15" customHeight="true" x14ac:dyDescent="0.15">
      <c r="A5" s="198">
        <v>4</v>
      </c>
      <c r="B5" s="198" t="s">
        <v>181</v>
      </c>
      <c r="C5" s="5">
        <v>2.0499999523162842</v>
      </c>
      <c r="D5" s="6">
        <v>2.9700000286102295</v>
      </c>
      <c r="E5" s="6">
        <v>4.809999942779541</v>
      </c>
      <c r="F5" s="6">
        <v>19.629999160766602</v>
      </c>
      <c r="G5" s="4">
        <v>0.40814051032066345</v>
      </c>
      <c r="H5" s="6">
        <v>0.24503311514854431</v>
      </c>
      <c r="I5">
        <v>0</v>
      </c>
      <c r="J5"/>
    </row>
    <row r="6" ht="15" customHeight="true" x14ac:dyDescent="0.15">
      <c r="A6" s="199">
        <v>5</v>
      </c>
      <c r="B6" s="199" t="s">
        <v>182</v>
      </c>
      <c r="C6" s="5">
        <v>2.6518938541412354</v>
      </c>
      <c r="D6" s="6">
        <v>1.0920000076293945</v>
      </c>
      <c r="E6" s="6">
        <v>2.3617000579833984</v>
      </c>
      <c r="F6" s="6">
        <v>8.3409004211425781</v>
      </c>
      <c r="G6" s="4">
        <v>9.9177151918411255E-2</v>
      </c>
      <c r="H6" s="6">
        <v>0.28314688801765442</v>
      </c>
      <c r="I6">
        <v>0</v>
      </c>
      <c r="J6"/>
    </row>
    <row r="7" ht="15" customHeight="true" x14ac:dyDescent="0.15">
      <c r="A7" s="200">
        <v>6</v>
      </c>
      <c r="B7" s="200" t="s">
        <v>183</v>
      </c>
      <c r="C7" s="5">
        <v>2.4350948333740234</v>
      </c>
      <c r="D7" s="6">
        <v>8.999999612569809E-3</v>
      </c>
      <c r="E7" s="6">
        <v>3</v>
      </c>
      <c r="F7" s="6">
        <v>12.239999771118164</v>
      </c>
      <c r="G7" s="4">
        <v>0</v>
      </c>
      <c r="H7" s="6">
        <v>0.24509803950786591</v>
      </c>
      <c r="I7">
        <v>0</v>
      </c>
      <c r="J7"/>
    </row>
    <row r="8" ht="15" customHeight="true" x14ac:dyDescent="0.15">
      <c r="A8" s="201">
        <v>7</v>
      </c>
      <c r="B8" s="201" t="s">
        <v>184</v>
      </c>
      <c r="C8" s="5">
        <v>2.3125</v>
      </c>
      <c r="D8" s="4">
        <v>0.76043778657913208</v>
      </c>
      <c r="E8" s="6">
        <v>1.0952999591827393</v>
      </c>
      <c r="F8" s="6">
        <v>4.4516000747680664</v>
      </c>
      <c r="G8" s="6">
        <v>0.99900001287460327</v>
      </c>
      <c r="H8" s="6">
        <v>0.24604634940624237</v>
      </c>
      <c r="I8">
        <v>0</v>
      </c>
      <c r="J8"/>
    </row>
    <row r="9" ht="15" customHeight="true" x14ac:dyDescent="0.15">
      <c r="A9" s="202">
        <v>8</v>
      </c>
      <c r="B9" s="202" t="s">
        <v>185</v>
      </c>
      <c r="C9" s="5">
        <v>3.8343818187713623</v>
      </c>
      <c r="D9" s="4">
        <v>4.0884125046432018E-3</v>
      </c>
      <c r="E9" s="6">
        <v>3.2000000476837158</v>
      </c>
      <c r="F9" s="6">
        <v>32</v>
      </c>
      <c r="G9" s="6">
        <v>0.99900001287460327</v>
      </c>
      <c r="H9" s="6">
        <v>0.10000000149011612</v>
      </c>
      <c r="I9">
        <v>0</v>
      </c>
      <c r="J9"/>
    </row>
    <row r="10" ht="15" customHeight="true" x14ac:dyDescent="0.15">
      <c r="A10" s="203">
        <v>9</v>
      </c>
      <c r="B10" s="203" t="s">
        <v>186</v>
      </c>
      <c r="C10" s="5">
        <v>3.2951726913452148</v>
      </c>
      <c r="D10" s="4">
        <v>0.13259555399417877</v>
      </c>
      <c r="E10" s="6">
        <v>0.5900999903678894</v>
      </c>
      <c r="F10" s="6">
        <v>5.9011998176574707</v>
      </c>
      <c r="G10" s="6">
        <v>0.99900001287460327</v>
      </c>
      <c r="H10" s="6">
        <v>9.9996611475944519E-2</v>
      </c>
      <c r="I10">
        <v>1.0999999631167157E-6</v>
      </c>
      <c r="J10"/>
    </row>
    <row r="11" ht="15" customHeight="true" x14ac:dyDescent="0.15">
      <c r="A11" s="204">
        <v>10</v>
      </c>
      <c r="B11" s="204" t="s">
        <v>187</v>
      </c>
      <c r="C11" s="5">
        <v>3.5587632656097412</v>
      </c>
      <c r="D11" s="4">
        <v>7.1017425507307053E-3</v>
      </c>
      <c r="E11" s="6">
        <v>0.20000000298023224</v>
      </c>
      <c r="F11" s="6">
        <v>2</v>
      </c>
      <c r="G11" s="6">
        <v>0.9989999532699585</v>
      </c>
      <c r="H11" s="6">
        <v>0.10000000149011612</v>
      </c>
      <c r="I11">
        <v>1.0999999631167157E-6</v>
      </c>
      <c r="J11"/>
    </row>
    <row r="12" ht="15" customHeight="true" x14ac:dyDescent="0.15">
      <c r="A12" s="205">
        <v>11</v>
      </c>
      <c r="B12" s="205" t="s">
        <v>188</v>
      </c>
      <c r="C12" s="5">
        <v>2</v>
      </c>
      <c r="D12" s="6">
        <v>2</v>
      </c>
      <c r="E12" s="6">
        <v>0.43999999761581421</v>
      </c>
      <c r="F12" s="6">
        <v>2.190000057220459</v>
      </c>
      <c r="G12" s="4">
        <v>6.4561297185719013E-3</v>
      </c>
      <c r="H12" s="6">
        <v>0.20091323554515839</v>
      </c>
      <c r="I12">
        <v>0</v>
      </c>
      <c r="J12"/>
    </row>
    <row r="13" ht="15" customHeight="true" x14ac:dyDescent="0.15">
      <c r="A13" s="206">
        <v>12</v>
      </c>
      <c r="B13" s="206" t="s">
        <v>189</v>
      </c>
      <c r="C13" s="5">
        <v>3.8771584033966064</v>
      </c>
      <c r="D13" s="6">
        <v>2.099999925121665E-3</v>
      </c>
      <c r="E13" s="6">
        <v>0.15000000596046448</v>
      </c>
      <c r="F13" s="6">
        <v>8.8199996948242188</v>
      </c>
      <c r="G13" s="4">
        <v>2.355555807298515E-5</v>
      </c>
      <c r="H13" s="6">
        <v>1.7006803303956985E-2</v>
      </c>
      <c r="I13">
        <v>0</v>
      </c>
      <c r="J13"/>
    </row>
    <row r="14" ht="15" customHeight="true" x14ac:dyDescent="0.15">
      <c r="A14" s="207">
        <v>13</v>
      </c>
      <c r="B14" s="207" t="s">
        <v>190</v>
      </c>
      <c r="C14" s="5">
        <v>4.3495802879333496</v>
      </c>
      <c r="D14" s="6">
        <v>1.9999999494757503E-4</v>
      </c>
      <c r="E14" s="6">
        <v>5.9999998658895493E-2</v>
      </c>
      <c r="F14" s="6">
        <v>3.3299999237060547</v>
      </c>
      <c r="G14" s="4">
        <v>0</v>
      </c>
      <c r="H14" s="6">
        <v>1.8018018454313278E-2</v>
      </c>
      <c r="I14">
        <v>0</v>
      </c>
      <c r="J14"/>
    </row>
    <row r="15" ht="15" customHeight="true" x14ac:dyDescent="0.15">
      <c r="A15" s="208">
        <v>14</v>
      </c>
      <c r="B15" s="208" t="s">
        <v>191</v>
      </c>
      <c r="C15" s="5">
        <v>3.3724179267883301</v>
      </c>
      <c r="D15" s="6">
        <v>2.4000000208616257E-2</v>
      </c>
      <c r="E15" s="6">
        <v>5.9999998658895493E-2</v>
      </c>
      <c r="F15" s="6">
        <v>3</v>
      </c>
      <c r="G15" s="4">
        <v>1.4722222658747341E-5</v>
      </c>
      <c r="H15" s="6">
        <v>1.9999999552965164E-2</v>
      </c>
      <c r="I15">
        <v>0</v>
      </c>
      <c r="J15"/>
    </row>
    <row r="16" ht="15" customHeight="true" x14ac:dyDescent="0.15">
      <c r="A16" s="209">
        <v>15</v>
      </c>
      <c r="B16" s="209" t="s">
        <v>192</v>
      </c>
      <c r="C16" s="5">
        <v>4.6069521903991699</v>
      </c>
      <c r="D16" s="6">
        <v>3.0000000260770321E-3</v>
      </c>
      <c r="E16" s="6">
        <v>5.000000074505806E-2</v>
      </c>
      <c r="F16" s="6">
        <v>2.869999885559082</v>
      </c>
      <c r="G16" s="4">
        <v>0</v>
      </c>
      <c r="H16" s="6">
        <v>1.7421603202819824E-2</v>
      </c>
      <c r="I16">
        <v>0</v>
      </c>
      <c r="J16"/>
    </row>
    <row r="17" ht="15" customHeight="true" x14ac:dyDescent="0.15">
      <c r="A17" s="210">
        <v>16</v>
      </c>
      <c r="B17" s="210" t="s">
        <v>193</v>
      </c>
      <c r="C17" s="5">
        <v>3.3836545944213867</v>
      </c>
      <c r="D17" s="6">
        <v>1.2400000356137753E-2</v>
      </c>
      <c r="E17" s="6">
        <v>4.7299999743700027E-2</v>
      </c>
      <c r="F17" s="6">
        <v>2.5418999195098877</v>
      </c>
      <c r="G17" s="4">
        <v>0</v>
      </c>
      <c r="H17" s="6">
        <v>1.8608128651976585E-2</v>
      </c>
      <c r="I17">
        <v>0</v>
      </c>
      <c r="J17"/>
    </row>
    <row r="18" ht="15" customHeight="true" x14ac:dyDescent="0.15">
      <c r="A18" s="211">
        <v>17</v>
      </c>
      <c r="B18" s="211" t="s">
        <v>194</v>
      </c>
      <c r="C18" s="5">
        <v>4.4764533042907715</v>
      </c>
      <c r="D18" s="6">
        <v>1.0000000116860974E-7</v>
      </c>
      <c r="E18" s="6">
        <v>3.970000147819519E-2</v>
      </c>
      <c r="F18" s="6">
        <v>5.3000001907348633</v>
      </c>
      <c r="G18" s="4">
        <v>0</v>
      </c>
      <c r="H18" s="6">
        <v>7.4905660003423691E-3</v>
      </c>
      <c r="I18">
        <v>0</v>
      </c>
      <c r="J18"/>
    </row>
    <row r="19" ht="15" customHeight="true" x14ac:dyDescent="0.15">
      <c r="A19" s="212">
        <v>18</v>
      </c>
      <c r="B19" s="212" t="s">
        <v>195</v>
      </c>
      <c r="C19" s="5">
        <v>1</v>
      </c>
      <c r="D19" s="6">
        <v>2.2999999523162842</v>
      </c>
      <c r="E19" s="6">
        <v>1</v>
      </c>
      <c r="F19" s="7"/>
      <c r="G19" s="4">
        <v>0.36917966604232788</v>
      </c>
      <c r="H19" s="7"/>
      <c r="I19">
        <v>0</v>
      </c>
      <c r="J19"/>
    </row>
    <row r="20" ht="15" customHeight="true" x14ac:dyDescent="0.15">
      <c r="A20" s="213">
        <v>19</v>
      </c>
      <c r="B20" s="213" t="s">
        <v>196</v>
      </c>
      <c r="C20" s="5">
        <v>1</v>
      </c>
      <c r="D20" s="6">
        <v>4.6999998092651367</v>
      </c>
      <c r="E20" s="6">
        <v>1</v>
      </c>
      <c r="F20" s="7"/>
      <c r="G20" s="4">
        <v>8.8267959654331207E-2</v>
      </c>
      <c r="H20" s="7"/>
      <c r="I20">
        <v>0</v>
      </c>
      <c r="J20"/>
    </row>
    <row r="21" ht="15" customHeight="true" x14ac:dyDescent="0.15">
      <c r="A21" s="214">
        <v>20</v>
      </c>
      <c r="B21" s="214" t="s">
        <v>197</v>
      </c>
      <c r="C21" s="5">
        <v>4.5587635040283203</v>
      </c>
      <c r="D21" s="7"/>
      <c r="E21" s="7"/>
      <c r="F21" s="7"/>
      <c r="G21" s="7"/>
      <c r="H21" s="7"/>
      <c r="I21">
        <v>1.0999999631167157E-6</v>
      </c>
      <c r="J21"/>
    </row>
    <row r="22" ht="15" customHeight="true" x14ac:dyDescent="0.15">
      <c r="A22" s="215">
        <v>21</v>
      </c>
      <c r="B22" s="215" t="s">
        <v>198</v>
      </c>
      <c r="C22" s="5">
        <v>4.2951726913452148</v>
      </c>
      <c r="D22" s="7"/>
      <c r="E22" s="7"/>
      <c r="F22" s="7"/>
      <c r="G22" s="7"/>
      <c r="H22" s="7"/>
      <c r="I22">
        <v>1.0999999631167157E-6</v>
      </c>
      <c r="J22"/>
    </row>
    <row r="23" ht="15" customHeight="true" x14ac:dyDescent="0.15">
      <c r="A23"/>
      <c r="B23"/>
      <c r="C23"/>
      <c r="D23"/>
      <c r="E23"/>
      <c r="F23"/>
      <c r="G23"/>
      <c r="H23"/>
      <c r="I23"/>
      <c r="J23"/>
    </row>
    <row r="24" ht="15" customHeight="true" x14ac:dyDescent="0.15">
      <c r="A24"/>
      <c r="B24"/>
      <c r="C24"/>
      <c r="D24"/>
      <c r="E24"/>
      <c r="F24"/>
      <c r="G24"/>
      <c r="H24"/>
      <c r="I24"/>
      <c r="J24"/>
    </row>
    <row r="25" ht="15" customHeight="true" x14ac:dyDescent="0.15">
      <c r="A25"/>
      <c r="B25"/>
      <c r="C25"/>
      <c r="D25"/>
      <c r="E25"/>
      <c r="F25"/>
      <c r="G25"/>
      <c r="H25"/>
      <c r="I25"/>
      <c r="J25"/>
    </row>
    <row r="26" ht="15" customHeight="true" x14ac:dyDescent="0.15">
      <c r="A26"/>
      <c r="B26"/>
      <c r="C26"/>
      <c r="D26"/>
      <c r="E26"/>
      <c r="F26"/>
      <c r="G26"/>
      <c r="H26"/>
      <c r="I26"/>
      <c r="J26"/>
    </row>
    <row r="27" ht="15" customHeight="true" x14ac:dyDescent="0.15">
      <c r="A27"/>
      <c r="B27"/>
      <c r="C27"/>
      <c r="D27"/>
      <c r="E27"/>
      <c r="F27"/>
      <c r="G27"/>
      <c r="H27"/>
      <c r="I27"/>
      <c r="J27"/>
    </row>
    <row r="28" ht="15" customHeight="true" x14ac:dyDescent="0.15">
      <c r="A28"/>
      <c r="B28"/>
      <c r="C28"/>
      <c r="D28"/>
      <c r="E28"/>
      <c r="F28"/>
      <c r="G28"/>
      <c r="H28"/>
      <c r="I28"/>
      <c r="J28"/>
    </row>
    <row r="29" ht="15" customHeight="true" x14ac:dyDescent="0.15">
      <c r="A29"/>
      <c r="B29"/>
      <c r="C29"/>
      <c r="D29"/>
      <c r="E29"/>
      <c r="F29"/>
      <c r="G29"/>
      <c r="H29"/>
      <c r="I29"/>
      <c r="J29"/>
    </row>
    <row r="30" ht="15" customHeight="true" x14ac:dyDescent="0.15">
      <c r="A30"/>
      <c r="B30"/>
      <c r="C30"/>
      <c r="D30"/>
      <c r="E30"/>
      <c r="F30"/>
      <c r="G30"/>
      <c r="H30"/>
      <c r="I30"/>
      <c r="J30"/>
    </row>
    <row r="31" ht="15" customHeight="true" x14ac:dyDescent="0.15">
      <c r="A31"/>
      <c r="B31"/>
      <c r="C31"/>
      <c r="D31"/>
      <c r="E31"/>
      <c r="F31"/>
      <c r="G31"/>
      <c r="H31"/>
      <c r="I31"/>
      <c r="J31"/>
    </row>
    <row r="32" ht="15" customHeight="true" x14ac:dyDescent="0.15">
      <c r="A32"/>
      <c r="B32"/>
      <c r="C32"/>
      <c r="D32"/>
      <c r="E32"/>
      <c r="F32"/>
      <c r="G32"/>
      <c r="H32"/>
      <c r="I32"/>
      <c r="J32"/>
    </row>
    <row r="33" ht="15" customHeight="true" x14ac:dyDescent="0.15">
      <c r="A33"/>
      <c r="B33"/>
      <c r="C33"/>
      <c r="D33"/>
      <c r="E33"/>
      <c r="F33"/>
      <c r="G33"/>
      <c r="H33"/>
      <c r="I33"/>
      <c r="J33"/>
    </row>
    <row r="34" ht="15" customHeight="true" x14ac:dyDescent="0.15">
      <c r="A34"/>
      <c r="B34"/>
      <c r="C34"/>
      <c r="D34"/>
      <c r="E34"/>
      <c r="F34"/>
      <c r="G34"/>
      <c r="H34"/>
      <c r="I34"/>
      <c r="J34"/>
    </row>
    <row r="35" ht="15" customHeight="true" x14ac:dyDescent="0.15">
      <c r="A35"/>
      <c r="B35"/>
      <c r="C35"/>
      <c r="D35"/>
      <c r="E35"/>
      <c r="F35"/>
      <c r="G35"/>
      <c r="H35"/>
      <c r="I35"/>
      <c r="J35"/>
    </row>
    <row r="36" ht="15" customHeight="true" x14ac:dyDescent="0.15">
      <c r="A36"/>
      <c r="B36"/>
      <c r="C36"/>
      <c r="D36"/>
      <c r="E36"/>
      <c r="F36"/>
      <c r="G36"/>
      <c r="H36"/>
      <c r="I36"/>
      <c r="J36"/>
    </row>
    <row r="37" ht="15" customHeight="true" x14ac:dyDescent="0.15">
      <c r="A37"/>
      <c r="B37"/>
      <c r="C37"/>
      <c r="D37"/>
      <c r="E37"/>
      <c r="F37"/>
      <c r="G37"/>
      <c r="H37"/>
      <c r="I37"/>
      <c r="J37"/>
    </row>
    <row r="38" ht="15" customHeight="true" x14ac:dyDescent="0.15">
      <c r="A38"/>
      <c r="B38"/>
      <c r="C38"/>
      <c r="D38"/>
      <c r="E38"/>
      <c r="F38"/>
      <c r="G38"/>
      <c r="H38"/>
      <c r="I38"/>
      <c r="J38"/>
    </row>
    <row r="39" ht="15" customHeight="true" x14ac:dyDescent="0.15">
      <c r="A39"/>
      <c r="B39"/>
      <c r="C39"/>
      <c r="D39"/>
      <c r="E39"/>
      <c r="F39"/>
      <c r="G39"/>
      <c r="H39"/>
      <c r="I39"/>
      <c r="J39"/>
    </row>
    <row r="40" ht="15" customHeight="true" x14ac:dyDescent="0.15">
      <c r="A40"/>
      <c r="B40"/>
      <c r="C40"/>
      <c r="D40"/>
      <c r="E40"/>
      <c r="F40"/>
      <c r="G40"/>
      <c r="H40"/>
      <c r="I40"/>
      <c r="J40"/>
    </row>
    <row r="41" ht="15" customHeight="true" x14ac:dyDescent="0.15">
      <c r="A41"/>
      <c r="B41"/>
      <c r="C41"/>
      <c r="D41"/>
      <c r="E41"/>
      <c r="F41"/>
      <c r="G41"/>
      <c r="H41"/>
      <c r="I41"/>
      <c r="J41"/>
    </row>
    <row r="42" ht="15" customHeight="true" x14ac:dyDescent="0.15">
      <c r="A42"/>
      <c r="B42"/>
      <c r="C42"/>
      <c r="D42"/>
      <c r="E42"/>
      <c r="F42"/>
      <c r="G42"/>
      <c r="H42"/>
      <c r="I42"/>
      <c r="J42"/>
    </row>
    <row r="43" ht="15" customHeight="true" x14ac:dyDescent="0.15">
      <c r="A43"/>
      <c r="B43"/>
      <c r="C43"/>
      <c r="D43"/>
      <c r="E43"/>
      <c r="F43"/>
      <c r="G43"/>
      <c r="H43"/>
      <c r="I43"/>
      <c r="J43"/>
    </row>
    <row r="44" ht="15" customHeight="true" x14ac:dyDescent="0.15">
      <c r="A44"/>
      <c r="B44"/>
      <c r="C44"/>
      <c r="D44"/>
      <c r="E44"/>
      <c r="F44"/>
      <c r="G44"/>
      <c r="H44"/>
      <c r="I44"/>
      <c r="J44"/>
    </row>
    <row r="45" ht="15" customHeight="true" x14ac:dyDescent="0.15">
      <c r="A45"/>
      <c r="B45"/>
      <c r="C45"/>
      <c r="D45"/>
      <c r="E45"/>
      <c r="F45"/>
      <c r="G45"/>
      <c r="H45"/>
      <c r="I45"/>
      <c r="J45"/>
    </row>
    <row r="46" ht="15" customHeight="true" x14ac:dyDescent="0.15">
      <c r="A46"/>
      <c r="B46"/>
      <c r="C46"/>
      <c r="D46"/>
      <c r="E46"/>
      <c r="F46"/>
      <c r="G46"/>
      <c r="H46"/>
      <c r="I46"/>
      <c r="J46"/>
    </row>
    <row r="47" ht="15" customHeight="true" x14ac:dyDescent="0.15">
      <c r="A47"/>
      <c r="B47"/>
      <c r="C47"/>
      <c r="D47"/>
      <c r="E47"/>
      <c r="F47"/>
      <c r="G47"/>
      <c r="H47"/>
      <c r="I47"/>
      <c r="J47"/>
    </row>
    <row r="48" ht="15" customHeight="true" x14ac:dyDescent="0.15">
      <c r="A48"/>
      <c r="B48"/>
      <c r="C48"/>
      <c r="D48"/>
      <c r="E48"/>
      <c r="F48"/>
      <c r="G48"/>
      <c r="H48"/>
      <c r="I48"/>
      <c r="J48"/>
    </row>
    <row r="49" ht="15" customHeight="true" x14ac:dyDescent="0.15">
      <c r="A49"/>
      <c r="B49"/>
      <c r="C49"/>
      <c r="D49"/>
      <c r="E49"/>
      <c r="F49"/>
      <c r="G49"/>
      <c r="H49"/>
      <c r="I49"/>
      <c r="J49"/>
    </row>
    <row r="50" ht="15" customHeight="true" x14ac:dyDescent="0.15">
      <c r="A50"/>
      <c r="B50"/>
      <c r="C50"/>
      <c r="D50"/>
      <c r="E50"/>
      <c r="F50"/>
      <c r="G50"/>
      <c r="H50"/>
      <c r="I50"/>
      <c r="J50"/>
    </row>
    <row r="51" ht="15" customHeight="true" x14ac:dyDescent="0.15">
      <c r="A51"/>
      <c r="B51"/>
      <c r="C51"/>
      <c r="D51"/>
      <c r="E51"/>
      <c r="F51"/>
      <c r="G51"/>
      <c r="H51"/>
      <c r="I51"/>
      <c r="J51"/>
    </row>
    <row r="52" ht="15" customHeight="true" x14ac:dyDescent="0.15">
      <c r="A52"/>
      <c r="B52"/>
      <c r="C52"/>
      <c r="D52"/>
      <c r="E52"/>
      <c r="F52"/>
      <c r="G52"/>
      <c r="H52"/>
      <c r="I52"/>
      <c r="J52"/>
    </row>
    <row r="53" ht="15" customHeight="true" x14ac:dyDescent="0.15">
      <c r="A53"/>
      <c r="B53"/>
      <c r="C53"/>
      <c r="D53"/>
      <c r="E53"/>
      <c r="F53"/>
      <c r="G53"/>
      <c r="H53"/>
      <c r="I53"/>
      <c r="J53"/>
    </row>
    <row r="54" ht="15" customHeight="true" x14ac:dyDescent="0.15">
      <c r="A54"/>
      <c r="B54"/>
      <c r="C54"/>
      <c r="D54"/>
      <c r="E54"/>
      <c r="F54"/>
      <c r="G54"/>
      <c r="H54"/>
      <c r="I54"/>
      <c r="J54"/>
    </row>
    <row r="55" ht="15" customHeight="true" x14ac:dyDescent="0.15">
      <c r="A55"/>
      <c r="B55"/>
      <c r="C55"/>
      <c r="D55"/>
      <c r="E55"/>
      <c r="F55"/>
      <c r="G55"/>
      <c r="H55"/>
      <c r="I55"/>
      <c r="J55"/>
    </row>
    <row r="56" ht="15" customHeight="true" x14ac:dyDescent="0.15">
      <c r="A56"/>
      <c r="B56"/>
      <c r="C56"/>
      <c r="D56"/>
      <c r="E56"/>
      <c r="F56"/>
      <c r="G56"/>
      <c r="H56"/>
      <c r="I56"/>
      <c r="J56"/>
    </row>
    <row r="57" ht="15" customHeight="true" x14ac:dyDescent="0.15">
      <c r="A57"/>
      <c r="B57"/>
      <c r="C57"/>
      <c r="D57"/>
      <c r="E57"/>
      <c r="F57"/>
      <c r="G57"/>
      <c r="H57"/>
      <c r="I57"/>
      <c r="J57"/>
    </row>
    <row r="58" ht="15" customHeight="true" x14ac:dyDescent="0.15">
      <c r="A58"/>
      <c r="B58"/>
      <c r="C58"/>
      <c r="D58"/>
      <c r="E58"/>
      <c r="F58"/>
      <c r="G58"/>
      <c r="H58"/>
      <c r="I58"/>
      <c r="J58"/>
    </row>
    <row r="59" ht="15" customHeight="true" x14ac:dyDescent="0.15">
      <c r="A59"/>
      <c r="B59"/>
      <c r="C59"/>
      <c r="D59"/>
      <c r="E59"/>
      <c r="F59"/>
      <c r="G59"/>
      <c r="H59"/>
      <c r="I59"/>
      <c r="J59"/>
    </row>
    <row r="60" ht="15" customHeight="true" x14ac:dyDescent="0.15">
      <c r="A60"/>
      <c r="B60"/>
      <c r="C60"/>
      <c r="D60"/>
      <c r="E60"/>
      <c r="F60"/>
      <c r="G60"/>
      <c r="H60"/>
      <c r="I60"/>
      <c r="J60"/>
    </row>
    <row r="61" ht="15" customHeight="true" x14ac:dyDescent="0.15">
      <c r="A61"/>
      <c r="B61"/>
      <c r="C61"/>
      <c r="D61"/>
      <c r="E61"/>
      <c r="F61"/>
      <c r="G61"/>
      <c r="H61"/>
      <c r="I61"/>
      <c r="J61"/>
    </row>
    <row r="62" ht="15" customHeight="true" x14ac:dyDescent="0.15">
      <c r="A62"/>
      <c r="B62"/>
      <c r="C62"/>
      <c r="D62"/>
      <c r="E62"/>
      <c r="F62"/>
      <c r="G62"/>
      <c r="H62"/>
      <c r="I62"/>
      <c r="J62"/>
    </row>
    <row r="63" ht="15" customHeight="true" x14ac:dyDescent="0.15">
      <c r="A63"/>
      <c r="B63"/>
      <c r="C63"/>
      <c r="D63"/>
      <c r="E63"/>
      <c r="F63"/>
      <c r="G63"/>
      <c r="H63"/>
      <c r="I63"/>
      <c r="J63"/>
    </row>
    <row r="64" ht="15" customHeight="true" x14ac:dyDescent="0.15">
      <c r="A64"/>
      <c r="B64"/>
      <c r="C64"/>
      <c r="D64"/>
      <c r="E64"/>
      <c r="F64"/>
      <c r="G64"/>
      <c r="H64"/>
      <c r="I64"/>
      <c r="J64"/>
    </row>
    <row r="65" ht="15" customHeight="true" x14ac:dyDescent="0.15">
      <c r="A65"/>
      <c r="B65"/>
      <c r="C65"/>
      <c r="D65"/>
      <c r="E65"/>
      <c r="F65"/>
      <c r="G65"/>
      <c r="H65"/>
      <c r="I65"/>
      <c r="J65"/>
    </row>
    <row r="66" ht="15" customHeight="true" x14ac:dyDescent="0.15">
      <c r="A66"/>
      <c r="B66"/>
      <c r="C66"/>
      <c r="D66"/>
      <c r="E66"/>
      <c r="F66"/>
      <c r="G66"/>
      <c r="H66"/>
      <c r="I66"/>
      <c r="J66"/>
    </row>
    <row r="67" ht="15" customHeight="true" x14ac:dyDescent="0.15">
      <c r="A67"/>
      <c r="B67"/>
      <c r="C67"/>
      <c r="D67"/>
      <c r="E67"/>
      <c r="F67"/>
      <c r="G67"/>
      <c r="H67"/>
      <c r="I67"/>
      <c r="J67"/>
    </row>
    <row r="68" ht="15" customHeight="true" x14ac:dyDescent="0.15">
      <c r="A68"/>
      <c r="B68"/>
      <c r="C68"/>
      <c r="D68"/>
      <c r="E68"/>
      <c r="F68"/>
      <c r="G68"/>
      <c r="H68"/>
      <c r="I68"/>
      <c r="J68"/>
    </row>
    <row r="69" ht="15" customHeight="true" x14ac:dyDescent="0.15">
      <c r="A69"/>
      <c r="B69"/>
      <c r="C69"/>
      <c r="D69"/>
      <c r="E69"/>
      <c r="F69"/>
      <c r="G69"/>
      <c r="H69"/>
      <c r="I69"/>
      <c r="J69"/>
    </row>
    <row r="70" ht="15" customHeight="true" x14ac:dyDescent="0.15">
      <c r="A70"/>
      <c r="B70"/>
      <c r="C70"/>
      <c r="D70"/>
      <c r="E70"/>
      <c r="F70"/>
      <c r="G70"/>
      <c r="H70"/>
      <c r="I70"/>
      <c r="J70"/>
    </row>
    <row r="71" ht="15" customHeight="true" x14ac:dyDescent="0.15">
      <c r="A71"/>
      <c r="B71"/>
      <c r="C71"/>
      <c r="D71"/>
      <c r="E71"/>
      <c r="F71"/>
      <c r="G71"/>
      <c r="H71"/>
      <c r="I71"/>
      <c r="J71"/>
    </row>
    <row r="72" ht="15" customHeight="true" x14ac:dyDescent="0.15">
      <c r="A72"/>
      <c r="B72"/>
      <c r="C72"/>
      <c r="D72"/>
      <c r="E72"/>
      <c r="F72"/>
      <c r="G72"/>
      <c r="H72"/>
      <c r="I72"/>
      <c r="J72"/>
    </row>
    <row r="73" ht="15" customHeight="true" x14ac:dyDescent="0.15">
      <c r="A73"/>
      <c r="B73"/>
      <c r="C73"/>
      <c r="D73"/>
      <c r="E73"/>
      <c r="F73"/>
      <c r="G73"/>
      <c r="H73"/>
      <c r="I73"/>
      <c r="J73"/>
    </row>
    <row r="74" ht="15" customHeight="true" x14ac:dyDescent="0.15">
      <c r="A74"/>
      <c r="B74"/>
      <c r="C74"/>
      <c r="D74"/>
      <c r="E74"/>
      <c r="F74"/>
      <c r="G74"/>
      <c r="H74"/>
      <c r="I74"/>
      <c r="J74"/>
    </row>
    <row r="75" ht="15" customHeight="true" x14ac:dyDescent="0.15">
      <c r="A75"/>
      <c r="B75"/>
      <c r="C75"/>
      <c r="D75"/>
      <c r="E75"/>
      <c r="F75"/>
      <c r="G75"/>
      <c r="H75"/>
      <c r="I75"/>
      <c r="J75"/>
    </row>
    <row r="76" ht="15" customHeight="true" x14ac:dyDescent="0.15">
      <c r="A76"/>
      <c r="B76"/>
      <c r="C76"/>
      <c r="D76"/>
      <c r="E76"/>
      <c r="F76"/>
      <c r="G76"/>
      <c r="H76"/>
      <c r="I76"/>
      <c r="J76"/>
    </row>
    <row r="77" ht="15" customHeight="true" x14ac:dyDescent="0.15">
      <c r="A77"/>
      <c r="B77"/>
      <c r="C77"/>
      <c r="D77"/>
      <c r="E77"/>
      <c r="F77"/>
      <c r="G77"/>
      <c r="H77"/>
      <c r="I77"/>
      <c r="J77"/>
    </row>
    <row r="78" ht="15" customHeight="true" x14ac:dyDescent="0.15">
      <c r="A78"/>
      <c r="B78"/>
      <c r="C78"/>
      <c r="D78"/>
      <c r="E78"/>
      <c r="F78"/>
      <c r="G78"/>
      <c r="H78"/>
      <c r="I78"/>
      <c r="J78"/>
    </row>
    <row r="79" ht="15" customHeight="true" x14ac:dyDescent="0.15">
      <c r="A79"/>
      <c r="B79"/>
      <c r="C79"/>
      <c r="D79"/>
      <c r="E79"/>
      <c r="F79"/>
      <c r="G79"/>
      <c r="H79"/>
      <c r="I79"/>
      <c r="J79"/>
    </row>
    <row r="80" ht="15" customHeight="true" x14ac:dyDescent="0.15">
      <c r="A80"/>
      <c r="B80"/>
      <c r="C80"/>
      <c r="D80"/>
      <c r="E80"/>
      <c r="F80"/>
      <c r="G80"/>
      <c r="H80"/>
      <c r="I80"/>
      <c r="J80"/>
    </row>
    <row r="81" ht="15" customHeight="true" x14ac:dyDescent="0.15">
      <c r="A81"/>
      <c r="B81"/>
      <c r="C81"/>
      <c r="D81"/>
      <c r="E81"/>
      <c r="F81"/>
      <c r="G81"/>
      <c r="H81"/>
      <c r="I81"/>
      <c r="J81"/>
    </row>
    <row r="82" ht="15" customHeight="true" x14ac:dyDescent="0.15">
      <c r="A82"/>
      <c r="B82"/>
      <c r="C82"/>
      <c r="D82"/>
      <c r="E82"/>
      <c r="F82"/>
      <c r="G82"/>
      <c r="H82"/>
      <c r="I82"/>
      <c r="J82"/>
    </row>
    <row r="83" ht="15" customHeight="true" x14ac:dyDescent="0.15">
      <c r="A83"/>
      <c r="B83"/>
      <c r="C83"/>
      <c r="D83"/>
      <c r="E83"/>
      <c r="F83"/>
      <c r="G83"/>
      <c r="H83"/>
      <c r="I83"/>
      <c r="J83"/>
    </row>
    <row r="84" ht="15" customHeight="true" x14ac:dyDescent="0.15">
      <c r="A84"/>
      <c r="B84"/>
      <c r="C84"/>
      <c r="D84"/>
      <c r="E84"/>
      <c r="F84"/>
      <c r="G84"/>
      <c r="H84"/>
      <c r="I84"/>
      <c r="J84"/>
    </row>
    <row r="85" ht="15" customHeight="true" x14ac:dyDescent="0.15">
      <c r="A85"/>
      <c r="B85"/>
      <c r="C85"/>
      <c r="D85"/>
      <c r="E85"/>
      <c r="F85"/>
      <c r="G85"/>
      <c r="H85"/>
      <c r="I85"/>
      <c r="J85"/>
    </row>
    <row r="86" ht="15" customHeight="true" x14ac:dyDescent="0.15">
      <c r="A86"/>
      <c r="B86"/>
      <c r="C86"/>
      <c r="D86"/>
      <c r="E86"/>
      <c r="F86"/>
      <c r="G86"/>
      <c r="H86"/>
      <c r="I86"/>
      <c r="J86"/>
    </row>
    <row r="87" ht="15" customHeight="true" x14ac:dyDescent="0.15">
      <c r="A87"/>
      <c r="B87"/>
      <c r="C87"/>
      <c r="D87"/>
      <c r="E87"/>
      <c r="F87"/>
      <c r="G87"/>
      <c r="H87"/>
      <c r="I87"/>
      <c r="J87"/>
    </row>
    <row r="88" ht="15" customHeight="true" x14ac:dyDescent="0.15">
      <c r="A88"/>
      <c r="B88"/>
      <c r="C88"/>
      <c r="D88"/>
      <c r="E88"/>
      <c r="F88"/>
      <c r="G88"/>
      <c r="H88"/>
      <c r="I88"/>
      <c r="J88"/>
    </row>
    <row r="89" ht="15" customHeight="true" x14ac:dyDescent="0.15">
      <c r="A89"/>
      <c r="B89"/>
      <c r="C89"/>
      <c r="D89"/>
      <c r="E89"/>
      <c r="F89"/>
      <c r="G89"/>
      <c r="H89"/>
      <c r="I89"/>
      <c r="J89"/>
    </row>
    <row r="90" ht="15" customHeight="true" x14ac:dyDescent="0.15">
      <c r="A90"/>
      <c r="B90"/>
      <c r="C90"/>
      <c r="D90"/>
      <c r="E90"/>
      <c r="F90"/>
      <c r="G90"/>
      <c r="H90"/>
      <c r="I90"/>
      <c r="J90"/>
    </row>
    <row r="91" ht="15" customHeight="true" x14ac:dyDescent="0.15">
      <c r="A91"/>
      <c r="B91"/>
      <c r="C91"/>
      <c r="D91"/>
      <c r="E91"/>
      <c r="F91"/>
      <c r="G91"/>
      <c r="H91"/>
      <c r="I91"/>
      <c r="J91"/>
    </row>
    <row r="92" ht="15" customHeight="true" x14ac:dyDescent="0.15">
      <c r="A92"/>
      <c r="B92"/>
      <c r="C92"/>
      <c r="D92"/>
      <c r="E92"/>
      <c r="F92"/>
      <c r="G92"/>
      <c r="H92"/>
      <c r="I92"/>
      <c r="J92"/>
    </row>
    <row r="93" ht="15" customHeight="true" x14ac:dyDescent="0.15">
      <c r="A93"/>
      <c r="B93"/>
      <c r="C93"/>
      <c r="D93"/>
      <c r="E93"/>
      <c r="F93"/>
      <c r="G93"/>
      <c r="H93"/>
      <c r="I93"/>
      <c r="J93"/>
    </row>
    <row r="94" ht="15" customHeight="true" x14ac:dyDescent="0.15">
      <c r="A94"/>
      <c r="B94"/>
      <c r="C94"/>
      <c r="D94"/>
      <c r="E94"/>
      <c r="F94"/>
      <c r="G94"/>
      <c r="H94"/>
      <c r="I94"/>
      <c r="J94"/>
    </row>
    <row r="95" ht="15" customHeight="true" x14ac:dyDescent="0.15">
      <c r="A95"/>
      <c r="B95"/>
      <c r="C95"/>
      <c r="D95"/>
      <c r="E95"/>
      <c r="F95"/>
      <c r="G95"/>
      <c r="H95"/>
      <c r="I95"/>
      <c r="J95"/>
    </row>
    <row r="96" ht="15" customHeight="true" x14ac:dyDescent="0.15">
      <c r="A96"/>
      <c r="B96"/>
      <c r="C96"/>
      <c r="D96"/>
      <c r="E96"/>
      <c r="F96"/>
      <c r="G96"/>
      <c r="H96"/>
      <c r="I96"/>
      <c r="J96"/>
    </row>
    <row r="97" ht="15" customHeight="true" x14ac:dyDescent="0.15">
      <c r="A97"/>
      <c r="B97"/>
      <c r="C97"/>
      <c r="D97"/>
      <c r="E97"/>
      <c r="F97"/>
      <c r="G97"/>
      <c r="H97"/>
      <c r="I97"/>
      <c r="J97"/>
    </row>
    <row r="98" ht="15" customHeight="true" x14ac:dyDescent="0.15">
      <c r="A98"/>
      <c r="B98"/>
      <c r="C98"/>
      <c r="D98"/>
      <c r="E98"/>
      <c r="F98"/>
      <c r="G98"/>
      <c r="H98"/>
      <c r="I98"/>
      <c r="J98"/>
    </row>
    <row r="99" ht="15" customHeight="true" x14ac:dyDescent="0.15">
      <c r="A99"/>
      <c r="B99"/>
      <c r="C99"/>
      <c r="D99"/>
      <c r="E99"/>
      <c r="F99"/>
      <c r="G99"/>
      <c r="H99"/>
      <c r="I99"/>
      <c r="J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40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 x14ac:dyDescent="0.15"/>
  <cols>
    <col min="1" max="1" width="40.33203125" style="51" bestFit="true" customWidth="true"/>
    <col min="2" max="4" width="9.5" style="51" bestFit="true" customWidth="true"/>
    <col min="5" max="7" width="9" style="51" bestFit="true" customWidth="true"/>
    <col min="8" max="16" width="12.6640625" style="51" bestFit="true" customWidth="true"/>
    <col min="17" max="17" width="12.33203125" style="51" bestFit="true" customWidth="true"/>
    <col min="18" max="18" width="8.83203125" style="51"/>
    <col min="19" max="21" width="9.33203125" style="51" bestFit="true" customWidth="true"/>
    <col min="22" max="23" width="8.83203125" style="51"/>
    <col min="24" max="24" width="9.33203125" style="51" bestFit="true" customWidth="true"/>
    <col min="25" max="27" width="8.83203125" style="51"/>
    <col min="28" max="58" width="9" style="51" bestFit="true" customWidth="true"/>
    <col min="59" max="59" width="12.33203125" style="51" bestFit="true" customWidth="true"/>
    <col min="60" max="60" width="9" style="51" bestFit="true" customWidth="true"/>
    <col min="61" max="61" width="11.33203125" style="51" bestFit="true" customWidth="true"/>
    <col min="62" max="77" width="9" style="51" bestFit="true" customWidth="true"/>
    <col min="78" max="78" width="12.33203125" style="51" bestFit="true" customWidth="true"/>
    <col min="79" max="79" width="9" style="51" bestFit="true" customWidth="true"/>
    <col min="80" max="80" width="12.33203125" style="51" bestFit="true" customWidth="true"/>
    <col min="81" max="107" width="9" style="51" bestFit="true" customWidth="true"/>
    <col min="108" max="108" width="11.33203125" style="51" bestFit="true" customWidth="true"/>
    <col min="109" max="124" width="9" style="51" bestFit="true" customWidth="true"/>
    <col min="125" max="125" width="10.33203125" style="51" bestFit="true" customWidth="true"/>
    <col min="126" max="129" width="9.33203125" style="51" bestFit="true" customWidth="true"/>
    <col min="130" max="130" width="9" style="51" bestFit="true" customWidth="true"/>
    <col min="131" max="134" width="9.33203125" style="51" bestFit="true" customWidth="true"/>
    <col min="135" max="165" width="9" style="51" bestFit="true" customWidth="true"/>
    <col min="166" max="166" width="12.33203125" style="51" bestFit="true" customWidth="true"/>
    <col min="167" max="170" width="9" style="51" bestFit="true" customWidth="true"/>
    <col min="171" max="176" width="8.83203125" style="51"/>
    <col min="177" max="177" width="13.83203125" style="51" bestFit="true" customWidth="true"/>
    <col min="178" max="16384" width="8.83203125" style="51"/>
  </cols>
  <sheetData>
    <row r="1" ht="15" customHeight="true" x14ac:dyDescent="0.15">
      <c r="A1" t="s">
        <v>15</v>
      </c>
      <c r="B1" t="s">
        <v>1</v>
      </c>
      <c r="C1" t="s">
        <v>16</v>
      </c>
      <c r="D1" t="s">
        <v>203</v>
      </c>
      <c r="E1" t="s">
        <v>204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 x14ac:dyDescent="0.15">
      <c r="A2" t="s">
        <v>178</v>
      </c>
      <c r="B2">
        <v>75</v>
      </c>
      <c r="C2">
        <v>7.4994564056396484E-2</v>
      </c>
      <c r="D2"/>
      <c r="E2"/>
      <c r="F2"/>
      <c r="G2"/>
      <c r="H2" s="194">
        <v>64.937141418457031</v>
      </c>
      <c r="I2" s="191">
        <v>9.3238945007324219</v>
      </c>
      <c r="J2" s="15">
        <v>0.63332748413085938</v>
      </c>
      <c r="K2" s="8">
        <v>3.0639145523309708E-2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 x14ac:dyDescent="0.15">
      <c r="A3" t="s">
        <v>179</v>
      </c>
      <c r="B3">
        <v>75</v>
      </c>
      <c r="C3">
        <v>7.4994564056396484E-2</v>
      </c>
      <c r="D3"/>
      <c r="E3"/>
      <c r="F3"/>
      <c r="G3"/>
      <c r="H3" s="193">
        <v>36.241924285888672</v>
      </c>
      <c r="I3" s="192">
        <v>35.294921875</v>
      </c>
      <c r="J3" s="53">
        <v>1.6966321468353271</v>
      </c>
      <c r="K3" s="8">
        <v>2.0519936457276344E-2</v>
      </c>
      <c r="L3" s="180">
        <v>1.6710052490234375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 x14ac:dyDescent="0.15">
      <c r="A4" t="s">
        <v>180</v>
      </c>
      <c r="B4">
        <v>55</v>
      </c>
      <c r="C4">
        <v>48.687679290771484</v>
      </c>
      <c r="D4"/>
      <c r="E4"/>
      <c r="F4"/>
      <c r="G4"/>
      <c r="H4"/>
      <c r="I4" s="189">
        <v>5.1502742767333984</v>
      </c>
      <c r="J4" s="13">
        <v>0.80461692810058594</v>
      </c>
      <c r="K4" s="11">
        <v>5.8388695120811462E-2</v>
      </c>
      <c r="L4" s="16">
        <v>0.29904285073280334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 x14ac:dyDescent="0.15">
      <c r="A5" t="s">
        <v>181</v>
      </c>
      <c r="B5">
        <v>4.809999942779541</v>
      </c>
      <c r="C5">
        <v>2.8468441963195801</v>
      </c>
      <c r="D5"/>
      <c r="E5"/>
      <c r="F5"/>
      <c r="G5"/>
      <c r="H5"/>
      <c r="I5"/>
      <c r="J5" s="190">
        <v>1.5947126150131226</v>
      </c>
      <c r="K5" s="8">
        <v>1.8545453203842044E-3</v>
      </c>
      <c r="L5" s="188">
        <v>0.28494653105735779</v>
      </c>
      <c r="M5"/>
      <c r="N5" s="14">
        <v>8.1253193318843842E-2</v>
      </c>
      <c r="O5" s="8">
        <v>2.3911590687930584E-4</v>
      </c>
      <c r="P5"/>
      <c r="Q5"/>
      <c r="R5" s="8">
        <v>4.4848479774373118E-6</v>
      </c>
      <c r="S5"/>
      <c r="T5"/>
      <c r="U5" s="8">
        <v>1.454959565307945E-4</v>
      </c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 x14ac:dyDescent="0.15">
      <c r="A6" t="s">
        <v>182</v>
      </c>
      <c r="B6">
        <v>2.3617000579833984</v>
      </c>
      <c r="C6">
        <v>2.1274733543395996</v>
      </c>
      <c r="D6"/>
      <c r="E6"/>
      <c r="F6"/>
      <c r="G6"/>
      <c r="H6"/>
      <c r="I6"/>
      <c r="J6" s="19">
        <v>8.3409003913402557E-2</v>
      </c>
      <c r="K6" s="11">
        <v>5.0439555197954178E-3</v>
      </c>
      <c r="L6"/>
      <c r="M6" s="9">
        <v>1.0782626457512379E-2</v>
      </c>
      <c r="N6" s="184">
        <v>0.13434077799320221</v>
      </c>
      <c r="O6" s="8">
        <v>6.5034272847697139E-4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 x14ac:dyDescent="0.15">
      <c r="A7" t="s">
        <v>183</v>
      </c>
      <c r="B7">
        <v>3</v>
      </c>
      <c r="C7">
        <v>3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 x14ac:dyDescent="0.15">
      <c r="A8" t="s">
        <v>184</v>
      </c>
      <c r="B8">
        <v>1.0952999591827393</v>
      </c>
      <c r="C8">
        <v>1.0952858719974756E-3</v>
      </c>
      <c r="D8"/>
      <c r="E8"/>
      <c r="F8"/>
      <c r="G8"/>
      <c r="H8"/>
      <c r="I8"/>
      <c r="J8" s="185">
        <v>0.35932973027229309</v>
      </c>
      <c r="K8"/>
      <c r="L8"/>
      <c r="M8" s="50">
        <v>7.0538274943828583E-2</v>
      </c>
      <c r="N8" s="186">
        <v>0.5187152624130249</v>
      </c>
      <c r="O8" s="11">
        <v>3.17526631988585E-3</v>
      </c>
      <c r="P8"/>
      <c r="Q8" s="13">
        <v>1.437064167112112E-2</v>
      </c>
      <c r="R8" s="8">
        <v>8.758112380746752E-5</v>
      </c>
      <c r="S8" s="56">
        <v>8.9948192238807678E-2</v>
      </c>
      <c r="T8"/>
      <c r="U8" s="19">
        <v>3.8039699196815491E-2</v>
      </c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 x14ac:dyDescent="0.15">
      <c r="A9" t="s">
        <v>185</v>
      </c>
      <c r="B9">
        <v>3.2000000476837158</v>
      </c>
      <c r="C9">
        <v>3.1999589409679174E-3</v>
      </c>
      <c r="D9"/>
      <c r="E9"/>
      <c r="F9"/>
      <c r="G9"/>
      <c r="H9"/>
      <c r="I9"/>
      <c r="J9"/>
      <c r="K9"/>
      <c r="L9"/>
      <c r="M9"/>
      <c r="N9"/>
      <c r="O9" s="177">
        <v>0.27792662382125854</v>
      </c>
      <c r="P9"/>
      <c r="Q9" s="182">
        <v>1.3591094017028809</v>
      </c>
      <c r="R9" s="12">
        <v>4.8869822174310684E-2</v>
      </c>
      <c r="S9" s="179">
        <v>0.3522149920463562</v>
      </c>
      <c r="T9" s="181">
        <v>1.0529758930206299</v>
      </c>
      <c r="U9" s="55">
        <v>0.10569456964731216</v>
      </c>
      <c r="V9" s="8">
        <v>8.8151582531281747E-6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 x14ac:dyDescent="0.15">
      <c r="A10" t="s">
        <v>186</v>
      </c>
      <c r="B10">
        <v>0.5900999903678894</v>
      </c>
      <c r="C10">
        <v>5.9009238611906767E-4</v>
      </c>
      <c r="D10"/>
      <c r="E10" s="8">
        <v>8.2959040810237639E-6</v>
      </c>
      <c r="F10"/>
      <c r="G10"/>
      <c r="H10"/>
      <c r="I10"/>
      <c r="J10"/>
      <c r="K10"/>
      <c r="L10"/>
      <c r="M10" s="183">
        <v>0.49333932995796204</v>
      </c>
      <c r="N10"/>
      <c r="O10" s="54">
        <v>2.6779716834425926E-2</v>
      </c>
      <c r="P10"/>
      <c r="Q10" s="18">
        <v>1.536567322909832E-2</v>
      </c>
      <c r="R10" s="9">
        <v>2.6118522509932518E-3</v>
      </c>
      <c r="S10" s="17">
        <v>1.6290139406919479E-2</v>
      </c>
      <c r="T10" s="10">
        <v>2.2077662870287895E-2</v>
      </c>
      <c r="U10" s="180">
        <v>1.3035821728408337E-2</v>
      </c>
      <c r="V10" s="8">
        <v>1.4869278857077006E-6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 x14ac:dyDescent="0.15">
      <c r="A11" t="s">
        <v>187</v>
      </c>
      <c r="B11">
        <v>0.20000000298023224</v>
      </c>
      <c r="C11">
        <v>2.0000935182906687E-4</v>
      </c>
      <c r="D11" s="8">
        <v>1.5489156066905707E-4</v>
      </c>
      <c r="E11"/>
      <c r="F11"/>
      <c r="G11"/>
      <c r="H11"/>
      <c r="I11"/>
      <c r="J11"/>
      <c r="K11"/>
      <c r="L11"/>
      <c r="M11"/>
      <c r="N11"/>
      <c r="O11"/>
      <c r="P11"/>
      <c r="Q11"/>
      <c r="R11" s="17">
        <v>5.626787431538105E-3</v>
      </c>
      <c r="S11"/>
      <c r="T11" s="178">
        <v>0.19398054480552673</v>
      </c>
      <c r="U11"/>
      <c r="V11" s="8">
        <v>3.7762561987619847E-5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 x14ac:dyDescent="0.15">
      <c r="A12" t="s">
        <v>188</v>
      </c>
      <c r="B12">
        <v>0.43999999761581421</v>
      </c>
      <c r="C12">
        <v>0.43715929985046387</v>
      </c>
      <c r="D12"/>
      <c r="E12"/>
      <c r="F12"/>
      <c r="G12"/>
      <c r="H12"/>
      <c r="I12"/>
      <c r="J12"/>
      <c r="K12"/>
      <c r="L12"/>
      <c r="M12"/>
      <c r="N12"/>
      <c r="O12" s="16">
        <v>2.8406970668584108E-3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 x14ac:dyDescent="0.15">
      <c r="A13" t="s">
        <v>189</v>
      </c>
      <c r="B13">
        <v>0.15000000596046448</v>
      </c>
      <c r="C13">
        <v>0.14999647438526154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8">
        <v>3.5333337109477725E-6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 x14ac:dyDescent="0.15">
      <c r="A14" t="s">
        <v>190</v>
      </c>
      <c r="B14">
        <v>5.9999998658895493E-2</v>
      </c>
      <c r="C14">
        <v>5.9999998658895493E-2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 x14ac:dyDescent="0.15">
      <c r="A15" t="s">
        <v>191</v>
      </c>
      <c r="B15">
        <v>5.9999998658895493E-2</v>
      </c>
      <c r="C15">
        <v>5.9999115765094757E-2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8">
        <v>8.833333140501054E-7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 x14ac:dyDescent="0.15">
      <c r="A16" t="s">
        <v>192</v>
      </c>
      <c r="B16">
        <v>5.000000074505806E-2</v>
      </c>
      <c r="C16">
        <v>5.000000074505806E-2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 x14ac:dyDescent="0.15">
      <c r="A17" t="s">
        <v>193</v>
      </c>
      <c r="B17">
        <v>4.7299999743700027E-2</v>
      </c>
      <c r="C17">
        <v>4.7299999743700027E-2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 x14ac:dyDescent="0.15">
      <c r="A18" t="s">
        <v>194</v>
      </c>
      <c r="B18">
        <v>3.970000147819519E-2</v>
      </c>
      <c r="C18">
        <v>3.970000147819519E-2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 x14ac:dyDescent="0.15">
      <c r="A19" t="s">
        <v>195</v>
      </c>
      <c r="B19"/>
      <c r="C19">
        <v>0.36917966604232788</v>
      </c>
      <c r="D19"/>
      <c r="E19"/>
      <c r="F19"/>
      <c r="G19"/>
      <c r="H19" s="137">
        <v>23.347499847412109</v>
      </c>
      <c r="I19" s="137">
        <v>4.0810770988464355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 x14ac:dyDescent="0.15">
      <c r="A20" t="s">
        <v>196</v>
      </c>
      <c r="B20"/>
      <c r="C20">
        <v>8.8267959654331207E-2</v>
      </c>
      <c r="D20"/>
      <c r="E20"/>
      <c r="F20"/>
      <c r="G20"/>
      <c r="H20"/>
      <c r="I20"/>
      <c r="J20" s="134">
        <v>0.81974375247955322</v>
      </c>
      <c r="K20"/>
      <c r="L20" s="187">
        <v>0.57547801733016968</v>
      </c>
      <c r="M20"/>
      <c r="N20"/>
      <c r="O20"/>
      <c r="P20" s="137">
        <v>4.380000114440918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30" sqref="D30"/>
    </sheetView>
  </sheetViews>
  <sheetFormatPr baseColWidth="10" defaultRowHeight="16" x14ac:dyDescent="0.2"/>
  <cols>
    <col min="1" max="1" width="33.6640625" bestFit="true" customWidth="true"/>
    <col min="2" max="2" width="5.85546875" customWidth="true"/>
    <col min="3" max="3" width="9" style="3" customWidth="true"/>
    <col min="4" max="4" width="31" style="60" bestFit="true" customWidth="true"/>
    <col min="5" max="5" width="13.83203125" style="60" bestFit="true" customWidth="true"/>
    <col min="6" max="6" width="6.42578125" style="60" bestFit="true" customWidth="true"/>
    <col min="7" max="7" width="15.33203125" style="60" bestFit="true" customWidth="true"/>
    <col min="8" max="8" width="31" style="60" bestFit="true" customWidth="true"/>
    <col min="9" max="9" width="10.83203125" style="60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7" thickBot="true" x14ac:dyDescent="0.25">
      <c r="C1" s="43"/>
      <c r="D1" s="59" t="s">
        <v>32</v>
      </c>
      <c r="E1" s="59" t="s">
        <v>33</v>
      </c>
      <c r="F1" s="59" t="s">
        <v>34</v>
      </c>
      <c r="G1" s="59" t="s">
        <v>35</v>
      </c>
      <c r="H1" s="59" t="s">
        <v>36</v>
      </c>
      <c r="I1" s="59"/>
      <c r="J1" s="1" t="s">
        <v>131</v>
      </c>
      <c r="K1" s="1" t="s">
        <v>132</v>
      </c>
      <c r="L1" s="49" t="s">
        <v>168</v>
      </c>
    </row>
    <row r="2" ht="13" x14ac:dyDescent="0.15">
      <c r="A2" s="1" t="s">
        <v>37</v>
      </c>
      <c r="B2" s="29">
        <v>3</v>
      </c>
      <c r="C2" s="27"/>
      <c r="D2" t="s">
        <v>38</v>
      </c>
      <c r="E2">
        <v>1</v>
      </c>
      <c r="F2">
        <v>1</v>
      </c>
      <c r="G2">
        <v>1</v>
      </c>
      <c r="H2" t="s">
        <v>38</v>
      </c>
      <c r="I2"/>
      <c r="J2" s="44"/>
      <c r="K2" s="61"/>
      <c r="L2" s="49" t="s">
        <v>169</v>
      </c>
    </row>
    <row r="3" ht="14" thickBot="true" x14ac:dyDescent="0.2">
      <c r="A3" s="1" t="s">
        <v>39</v>
      </c>
      <c r="B3" s="30">
        <v>0</v>
      </c>
      <c r="C3" s="27"/>
      <c r="D3" t="s">
        <v>201</v>
      </c>
      <c r="E3">
        <v>2</v>
      </c>
      <c r="F3">
        <v>1.1000000000000001</v>
      </c>
      <c r="G3">
        <v>2</v>
      </c>
      <c r="H3" t="s">
        <v>40</v>
      </c>
      <c r="I3"/>
      <c r="J3" s="45"/>
      <c r="K3" s="46"/>
    </row>
    <row r="4" ht="13" x14ac:dyDescent="0.15">
      <c r="D4" t="s">
        <v>202</v>
      </c>
      <c r="E4">
        <v>3</v>
      </c>
      <c r="F4">
        <v>1.2</v>
      </c>
      <c r="G4">
        <v>3</v>
      </c>
      <c r="H4" t="s">
        <v>41</v>
      </c>
      <c r="I4"/>
      <c r="J4" s="45"/>
      <c r="K4" s="46"/>
    </row>
    <row r="5" x14ac:dyDescent="0.2">
      <c r="D5" t="s">
        <v>178</v>
      </c>
      <c r="E5">
        <f>E4+1</f>
        <v>4</v>
      </c>
      <c r="F5" s="60">
        <v>2.1099999999999999</v>
      </c>
      <c r="G5">
        <f>G4+1</f>
        <v>4</v>
      </c>
      <c r="H5" s="3" t="s">
        <v>178</v>
      </c>
      <c r="I5"/>
      <c r="J5" s="45"/>
      <c r="K5" s="46"/>
    </row>
    <row r="6" ht="17" thickBot="true" x14ac:dyDescent="0.25">
      <c r="A6" s="31" t="s">
        <v>122</v>
      </c>
      <c r="D6" t="s">
        <v>179</v>
      </c>
      <c r="E6">
        <f t="shared" ref="E6:E25" si="0">E5+1</f>
        <v>5</v>
      </c>
      <c r="F6" s="60">
        <v>2.1200000000000001</v>
      </c>
      <c r="G6">
        <f t="shared" ref="G6:G25" si="1">G5+1</f>
        <v>5</v>
      </c>
      <c r="H6" s="3" t="s">
        <v>179</v>
      </c>
      <c r="I6"/>
      <c r="J6" s="45"/>
      <c r="K6" s="46"/>
    </row>
    <row r="7" x14ac:dyDescent="0.2">
      <c r="A7" s="26" t="s">
        <v>127</v>
      </c>
      <c r="B7" s="33">
        <v>1</v>
      </c>
      <c r="C7" s="28"/>
      <c r="D7" t="s">
        <v>180</v>
      </c>
      <c r="E7">
        <f t="shared" si="0"/>
        <v>6</v>
      </c>
      <c r="F7" s="60">
        <v>3.1110000000000002</v>
      </c>
      <c r="G7">
        <f t="shared" si="1"/>
        <v>6</v>
      </c>
      <c r="H7" s="3" t="s">
        <v>180</v>
      </c>
      <c r="I7"/>
      <c r="J7" s="45"/>
      <c r="K7" s="46"/>
    </row>
    <row r="8" x14ac:dyDescent="0.2">
      <c r="A8" s="26" t="s">
        <v>38</v>
      </c>
      <c r="B8" s="34">
        <v>1</v>
      </c>
      <c r="C8" s="28"/>
      <c r="D8" t="s">
        <v>181</v>
      </c>
      <c r="E8">
        <f t="shared" si="0"/>
        <v>7</v>
      </c>
      <c r="F8" s="60">
        <v>3.1099999999999999</v>
      </c>
      <c r="G8">
        <f t="shared" si="1"/>
        <v>7</v>
      </c>
      <c r="H8" s="3" t="s">
        <v>181</v>
      </c>
      <c r="I8"/>
      <c r="J8" s="45"/>
      <c r="K8" s="46"/>
    </row>
    <row r="9" x14ac:dyDescent="0.2">
      <c r="A9" s="26" t="s">
        <v>40</v>
      </c>
      <c r="B9" s="34">
        <v>1.1000000000000001</v>
      </c>
      <c r="C9" s="28"/>
      <c r="D9" t="s">
        <v>182</v>
      </c>
      <c r="E9">
        <f t="shared" si="0"/>
        <v>8</v>
      </c>
      <c r="F9" s="60">
        <v>3.1099999999999999</v>
      </c>
      <c r="G9">
        <f t="shared" si="1"/>
        <v>8</v>
      </c>
      <c r="H9" s="3" t="s">
        <v>182</v>
      </c>
      <c r="I9"/>
      <c r="J9" s="45"/>
      <c r="K9" s="46"/>
    </row>
    <row r="10" x14ac:dyDescent="0.2">
      <c r="A10" s="26" t="s">
        <v>41</v>
      </c>
      <c r="B10" s="34">
        <v>1.2</v>
      </c>
      <c r="C10" s="28"/>
      <c r="D10" t="s">
        <v>183</v>
      </c>
      <c r="E10">
        <f t="shared" si="0"/>
        <v>9</v>
      </c>
      <c r="F10" s="60">
        <v>3.1099999999999999</v>
      </c>
      <c r="G10">
        <f t="shared" si="1"/>
        <v>9</v>
      </c>
      <c r="H10" s="3" t="s">
        <v>183</v>
      </c>
      <c r="I10"/>
      <c r="J10" s="45"/>
      <c r="K10" s="46"/>
    </row>
    <row r="11" ht="12" customHeight="true" x14ac:dyDescent="0.2">
      <c r="A11" s="32" t="s">
        <v>128</v>
      </c>
      <c r="B11" s="34">
        <v>2</v>
      </c>
      <c r="C11" s="28"/>
      <c r="D11" t="s">
        <v>184</v>
      </c>
      <c r="E11">
        <f t="shared" si="0"/>
        <v>10</v>
      </c>
      <c r="F11" s="60">
        <v>3.1200000000000001</v>
      </c>
      <c r="G11">
        <f t="shared" si="1"/>
        <v>10</v>
      </c>
      <c r="H11" s="3" t="s">
        <v>184</v>
      </c>
      <c r="I11"/>
      <c r="J11" s="45"/>
      <c r="K11" s="46"/>
    </row>
    <row r="12" x14ac:dyDescent="0.2">
      <c r="A12" s="26" t="s">
        <v>42</v>
      </c>
      <c r="B12" s="34">
        <v>2.1200000000000001</v>
      </c>
      <c r="C12" s="28"/>
      <c r="D12" t="s">
        <v>185</v>
      </c>
      <c r="E12">
        <f t="shared" si="0"/>
        <v>11</v>
      </c>
      <c r="F12" s="60">
        <v>3</v>
      </c>
      <c r="G12">
        <f t="shared" si="1"/>
        <v>11</v>
      </c>
      <c r="H12" s="3" t="s">
        <v>185</v>
      </c>
      <c r="I12"/>
      <c r="J12" s="45"/>
      <c r="K12" s="46"/>
    </row>
    <row r="13" x14ac:dyDescent="0.2">
      <c r="A13" s="26" t="s">
        <v>43</v>
      </c>
      <c r="B13" s="34">
        <v>2.1099999999999999</v>
      </c>
      <c r="C13" s="28"/>
      <c r="D13" t="s">
        <v>186</v>
      </c>
      <c r="E13">
        <f t="shared" si="0"/>
        <v>12</v>
      </c>
      <c r="F13" s="60">
        <v>3.1400000000000001</v>
      </c>
      <c r="G13">
        <f t="shared" si="1"/>
        <v>12</v>
      </c>
      <c r="H13" s="3" t="s">
        <v>186</v>
      </c>
      <c r="I13"/>
      <c r="J13" s="45"/>
      <c r="K13" s="46"/>
    </row>
    <row r="14" x14ac:dyDescent="0.2">
      <c r="A14" s="26" t="s">
        <v>68</v>
      </c>
      <c r="B14" s="34">
        <v>2.2200000000000002</v>
      </c>
      <c r="C14" s="28"/>
      <c r="D14" t="s">
        <v>187</v>
      </c>
      <c r="E14">
        <f t="shared" si="0"/>
        <v>13</v>
      </c>
      <c r="F14" s="60">
        <v>3.2400000000000002</v>
      </c>
      <c r="G14">
        <f t="shared" si="1"/>
        <v>13</v>
      </c>
      <c r="H14" s="3" t="s">
        <v>187</v>
      </c>
      <c r="I14"/>
      <c r="J14" s="45"/>
      <c r="K14" s="46"/>
    </row>
    <row r="15" x14ac:dyDescent="0.2">
      <c r="A15" s="32" t="s">
        <v>129</v>
      </c>
      <c r="B15" s="34">
        <v>3</v>
      </c>
      <c r="C15" s="28"/>
      <c r="D15" t="s">
        <v>188</v>
      </c>
      <c r="E15">
        <f t="shared" si="0"/>
        <v>14</v>
      </c>
      <c r="F15" s="60">
        <v>3.21</v>
      </c>
      <c r="G15">
        <f t="shared" si="1"/>
        <v>14</v>
      </c>
      <c r="H15" s="3" t="s">
        <v>188</v>
      </c>
      <c r="I15"/>
      <c r="J15" s="45"/>
      <c r="K15" s="46"/>
    </row>
    <row r="16" x14ac:dyDescent="0.2">
      <c r="A16" s="26" t="s">
        <v>63</v>
      </c>
      <c r="B16" s="34">
        <v>3.1099999999999999</v>
      </c>
      <c r="C16" s="28"/>
      <c r="D16" t="s">
        <v>189</v>
      </c>
      <c r="E16">
        <f t="shared" si="0"/>
        <v>15</v>
      </c>
      <c r="F16" s="60">
        <v>3.2599999999999998</v>
      </c>
      <c r="G16">
        <f t="shared" si="1"/>
        <v>15</v>
      </c>
      <c r="H16" s="3" t="s">
        <v>189</v>
      </c>
      <c r="I16"/>
      <c r="J16" s="45"/>
      <c r="K16" s="46"/>
    </row>
    <row r="17" x14ac:dyDescent="0.2">
      <c r="A17" s="26" t="s">
        <v>62</v>
      </c>
      <c r="B17" s="34">
        <v>3.1400000000000001</v>
      </c>
      <c r="C17" s="28"/>
      <c r="D17" t="s">
        <v>190</v>
      </c>
      <c r="E17">
        <f t="shared" si="0"/>
        <v>16</v>
      </c>
      <c r="F17" s="60">
        <v>3.2599999999999998</v>
      </c>
      <c r="G17">
        <f t="shared" si="1"/>
        <v>16</v>
      </c>
      <c r="H17" s="3" t="s">
        <v>190</v>
      </c>
      <c r="I17"/>
      <c r="J17" s="45"/>
      <c r="K17" s="46"/>
    </row>
    <row r="18" x14ac:dyDescent="0.2">
      <c r="A18" s="26" t="s">
        <v>69</v>
      </c>
      <c r="B18" s="34">
        <v>3.1600000000000001</v>
      </c>
      <c r="C18" s="28"/>
      <c r="D18" t="s">
        <v>191</v>
      </c>
      <c r="E18">
        <f t="shared" si="0"/>
        <v>17</v>
      </c>
      <c r="F18" s="60">
        <v>3.2599999999999998</v>
      </c>
      <c r="G18">
        <f t="shared" si="1"/>
        <v>17</v>
      </c>
      <c r="H18" s="3" t="s">
        <v>191</v>
      </c>
      <c r="I18"/>
      <c r="J18" s="45"/>
      <c r="K18" s="46"/>
    </row>
    <row r="19" x14ac:dyDescent="0.2">
      <c r="A19" s="26" t="s">
        <v>67</v>
      </c>
      <c r="B19" s="34">
        <v>3.21</v>
      </c>
      <c r="C19" s="28"/>
      <c r="D19" t="s">
        <v>192</v>
      </c>
      <c r="E19">
        <f t="shared" si="0"/>
        <v>18</v>
      </c>
      <c r="F19" s="60">
        <v>3.2599999999999998</v>
      </c>
      <c r="G19">
        <f t="shared" si="1"/>
        <v>18</v>
      </c>
      <c r="H19" s="3" t="s">
        <v>192</v>
      </c>
      <c r="I19"/>
      <c r="J19" s="45"/>
      <c r="K19" s="46"/>
    </row>
    <row r="20" x14ac:dyDescent="0.2">
      <c r="A20" s="26" t="s">
        <v>64</v>
      </c>
      <c r="B20" s="34">
        <v>3.2400000000000002</v>
      </c>
      <c r="C20" s="28"/>
      <c r="D20" t="s">
        <v>193</v>
      </c>
      <c r="E20">
        <f t="shared" si="0"/>
        <v>19</v>
      </c>
      <c r="F20" s="60">
        <v>3.1600000000000001</v>
      </c>
      <c r="G20">
        <f t="shared" si="1"/>
        <v>19</v>
      </c>
      <c r="H20" s="3" t="s">
        <v>193</v>
      </c>
      <c r="I20"/>
      <c r="J20" s="45"/>
      <c r="K20" s="46"/>
    </row>
    <row r="21" ht="17" thickBot="true" x14ac:dyDescent="0.25">
      <c r="A21" s="26" t="s">
        <v>70</v>
      </c>
      <c r="B21" s="34">
        <v>3.2599999999999998</v>
      </c>
      <c r="C21" s="28"/>
      <c r="D21" s="3" t="s">
        <v>194</v>
      </c>
      <c r="E21">
        <f t="shared" si="0"/>
        <v>20</v>
      </c>
      <c r="F21" s="60">
        <v>3.1600000000000001</v>
      </c>
      <c r="G21">
        <f t="shared" si="1"/>
        <v>20</v>
      </c>
      <c r="H21" s="3" t="s">
        <v>194</v>
      </c>
      <c r="I21"/>
      <c r="J21" s="47"/>
      <c r="K21" s="48"/>
      <c r="L21" s="49" t="s">
        <v>153</v>
      </c>
    </row>
    <row r="22" x14ac:dyDescent="0.2">
      <c r="A22" s="26" t="s">
        <v>65</v>
      </c>
      <c r="B22" s="34">
        <v>8</v>
      </c>
      <c r="C22" s="28"/>
      <c r="D22" t="s">
        <v>195</v>
      </c>
      <c r="E22">
        <f t="shared" si="0"/>
        <v>21</v>
      </c>
      <c r="F22" s="60">
        <v>4.0999999999999996</v>
      </c>
      <c r="G22">
        <f t="shared" si="1"/>
        <v>21</v>
      </c>
      <c r="H22" s="3" t="s">
        <v>195</v>
      </c>
      <c r="I22"/>
    </row>
    <row r="23" x14ac:dyDescent="0.2">
      <c r="A23" s="26" t="s">
        <v>130</v>
      </c>
      <c r="B23" s="34">
        <v>4</v>
      </c>
      <c r="C23" s="28"/>
      <c r="D23" t="s">
        <v>196</v>
      </c>
      <c r="E23">
        <f t="shared" si="0"/>
        <v>22</v>
      </c>
      <c r="F23" s="60">
        <v>4.2999999999999998</v>
      </c>
      <c r="G23">
        <f t="shared" si="1"/>
        <v>22</v>
      </c>
      <c r="H23" s="3" t="s">
        <v>196</v>
      </c>
      <c r="I23"/>
    </row>
    <row r="24" x14ac:dyDescent="0.2">
      <c r="A24" s="26" t="s">
        <v>123</v>
      </c>
      <c r="B24" s="34">
        <v>4.0999999999999996</v>
      </c>
      <c r="C24" s="28"/>
      <c r="D24" t="s">
        <v>197</v>
      </c>
      <c r="E24">
        <f t="shared" si="0"/>
        <v>23</v>
      </c>
      <c r="F24" s="60">
        <v>5</v>
      </c>
      <c r="G24">
        <f t="shared" si="1"/>
        <v>23</v>
      </c>
      <c r="H24" t="s">
        <v>197</v>
      </c>
      <c r="I24"/>
    </row>
    <row r="25" x14ac:dyDescent="0.2">
      <c r="A25" s="26" t="s">
        <v>71</v>
      </c>
      <c r="B25" s="34">
        <v>4.2000000000000002</v>
      </c>
      <c r="C25" s="28"/>
      <c r="D25" t="s">
        <v>198</v>
      </c>
      <c r="E25">
        <f t="shared" si="0"/>
        <v>24</v>
      </c>
      <c r="F25" s="60">
        <v>5</v>
      </c>
      <c r="G25">
        <f t="shared" si="1"/>
        <v>24</v>
      </c>
      <c r="H25" t="s">
        <v>198</v>
      </c>
      <c r="I25"/>
    </row>
    <row r="26" ht="13" x14ac:dyDescent="0.15">
      <c r="A26" s="26" t="s">
        <v>124</v>
      </c>
      <c r="B26" s="34">
        <v>4.2999999999999998</v>
      </c>
      <c r="C26" s="28"/>
      <c r="D26" t="s">
        <v>139</v>
      </c>
      <c r="E26">
        <v>25</v>
      </c>
      <c r="F26">
        <v>6.1</v>
      </c>
      <c r="G26">
        <v>25</v>
      </c>
      <c r="H26" t="s">
        <v>139</v>
      </c>
      <c r="I26"/>
    </row>
    <row r="27" ht="13" x14ac:dyDescent="0.15">
      <c r="A27" s="26" t="s">
        <v>126</v>
      </c>
      <c r="B27" s="34">
        <v>6.0999999999999996</v>
      </c>
      <c r="D27" t="s">
        <v>45</v>
      </c>
      <c r="E27">
        <v>26</v>
      </c>
      <c r="F27">
        <v>6.2</v>
      </c>
      <c r="G27">
        <v>26</v>
      </c>
      <c r="H27" t="s">
        <v>45</v>
      </c>
      <c r="I27"/>
    </row>
    <row r="28" ht="13" x14ac:dyDescent="0.15">
      <c r="A28" s="26" t="s">
        <v>125</v>
      </c>
      <c r="B28" s="34">
        <v>6.2000000000000002</v>
      </c>
      <c r="D28" s="51"/>
      <c r="E28"/>
      <c r="F28"/>
      <c r="G28"/>
      <c r="H28" s="51"/>
      <c r="I28"/>
    </row>
    <row r="29" ht="13" x14ac:dyDescent="0.15">
      <c r="A29" s="26" t="s">
        <v>44</v>
      </c>
      <c r="B29" s="34">
        <v>5</v>
      </c>
      <c r="D29"/>
      <c r="E29"/>
      <c r="F29"/>
      <c r="G29"/>
      <c r="H29"/>
      <c r="I29"/>
    </row>
    <row r="30" ht="13" x14ac:dyDescent="0.15">
      <c r="A30" s="26" t="s">
        <v>74</v>
      </c>
      <c r="B30" s="34">
        <v>7</v>
      </c>
      <c r="D30"/>
      <c r="E30"/>
      <c r="F30"/>
      <c r="G30"/>
      <c r="H30"/>
      <c r="I30"/>
    </row>
    <row r="31" ht="16" customHeight="true" x14ac:dyDescent="0.15">
      <c r="A31" s="26" t="s">
        <v>171</v>
      </c>
      <c r="B31" s="34">
        <v>3.1110000000000002</v>
      </c>
      <c r="D31"/>
      <c r="E31"/>
      <c r="F31"/>
      <c r="G31"/>
      <c r="H31"/>
      <c r="I31"/>
    </row>
    <row r="32" ht="12" customHeight="true" thickBot="true" x14ac:dyDescent="0.2">
      <c r="A32" s="32" t="s">
        <v>172</v>
      </c>
      <c r="B32" s="35">
        <v>9</v>
      </c>
      <c r="D32"/>
      <c r="E32"/>
      <c r="F32"/>
      <c r="G32"/>
      <c r="H32"/>
      <c r="I32"/>
    </row>
    <row r="33" customFormat="true" ht="12" customHeight="true" x14ac:dyDescent="0.15"/>
    <row r="34" customFormat="true" ht="12" customHeight="true" x14ac:dyDescent="0.15"/>
    <row r="35" customFormat="true" ht="16" customHeight="true" x14ac:dyDescent="0.15"/>
    <row r="36" customFormat="true" ht="16" customHeight="true" x14ac:dyDescent="0.15"/>
    <row r="37" customFormat="true" ht="12" customHeight="true" x14ac:dyDescent="0.15"/>
    <row r="38" customFormat="true" ht="13" x14ac:dyDescent="0.15"/>
    <row r="39" customFormat="true" ht="13" x14ac:dyDescent="0.15"/>
    <row r="40" customFormat="true" ht="13" x14ac:dyDescent="0.15"/>
    <row r="41" customFormat="true" ht="13" x14ac:dyDescent="0.15"/>
    <row r="42" customFormat="true" ht="13" x14ac:dyDescent="0.15"/>
    <row r="43" customFormat="true" ht="13" x14ac:dyDescent="0.15"/>
    <row r="44" customFormat="true" ht="13" x14ac:dyDescent="0.15"/>
    <row r="45" customFormat="true" ht="13" x14ac:dyDescent="0.15"/>
    <row r="46" customFormat="true" ht="13" x14ac:dyDescent="0.15"/>
    <row r="47" customFormat="true" ht="16" customHeight="true" x14ac:dyDescent="0.15"/>
    <row r="48" customFormat="true" ht="16" customHeight="true" x14ac:dyDescent="0.15"/>
    <row r="49" ht="16" customHeight="true" x14ac:dyDescent="0.15">
      <c r="C49"/>
      <c r="D49"/>
      <c r="E49"/>
      <c r="F49"/>
      <c r="G49"/>
      <c r="H49"/>
      <c r="I49"/>
    </row>
    <row r="50" ht="12" customHeight="true" x14ac:dyDescent="0.15">
      <c r="C50"/>
      <c r="D50"/>
      <c r="E50"/>
      <c r="F50"/>
      <c r="G50"/>
      <c r="H50"/>
      <c r="I50"/>
    </row>
    <row r="51" ht="16" customHeight="true" x14ac:dyDescent="0.15">
      <c r="C51"/>
      <c r="D51"/>
      <c r="E51"/>
      <c r="F51"/>
      <c r="G51"/>
      <c r="H51"/>
      <c r="I51"/>
    </row>
    <row r="52" ht="12" customHeight="true" x14ac:dyDescent="0.15">
      <c r="C52"/>
      <c r="D52"/>
      <c r="E52"/>
      <c r="F52"/>
      <c r="G52"/>
      <c r="H52"/>
      <c r="I52"/>
    </row>
    <row r="53" ht="16" customHeight="true" x14ac:dyDescent="0.15">
      <c r="C53"/>
      <c r="D53"/>
      <c r="E53"/>
      <c r="F53"/>
      <c r="G53"/>
      <c r="H53"/>
      <c r="I53"/>
    </row>
    <row r="54" ht="12" customHeight="true" x14ac:dyDescent="0.15">
      <c r="C54"/>
      <c r="D54"/>
      <c r="E54"/>
      <c r="F54"/>
      <c r="G54"/>
      <c r="H54"/>
      <c r="I54"/>
    </row>
    <row r="55" ht="12" customHeight="true" x14ac:dyDescent="0.15">
      <c r="C55"/>
      <c r="D55"/>
      <c r="E55"/>
      <c r="F55"/>
      <c r="G55"/>
      <c r="H55"/>
      <c r="I55"/>
    </row>
    <row r="56" ht="16" customHeight="true" x14ac:dyDescent="0.15">
      <c r="C56"/>
      <c r="D56"/>
      <c r="E56"/>
      <c r="F56"/>
      <c r="G56"/>
      <c r="H56"/>
      <c r="I56"/>
    </row>
    <row r="57" ht="16" customHeight="true" x14ac:dyDescent="0.15">
      <c r="C57"/>
      <c r="D57"/>
      <c r="E57"/>
      <c r="F57"/>
      <c r="G57"/>
      <c r="H57"/>
      <c r="I57"/>
    </row>
    <row r="58" ht="13" x14ac:dyDescent="0.15">
      <c r="C58"/>
      <c r="D58"/>
      <c r="E58"/>
      <c r="F58"/>
      <c r="G58"/>
      <c r="H58"/>
      <c r="I58"/>
    </row>
    <row r="59" ht="13" x14ac:dyDescent="0.15">
      <c r="C59"/>
      <c r="D59"/>
      <c r="E59"/>
      <c r="F59"/>
      <c r="G59"/>
      <c r="H59"/>
      <c r="I59"/>
    </row>
    <row r="60" ht="13" x14ac:dyDescent="0.15">
      <c r="C60"/>
      <c r="D60"/>
      <c r="E60"/>
      <c r="F60"/>
      <c r="G60"/>
      <c r="H60"/>
      <c r="I60"/>
    </row>
    <row r="61" ht="13" x14ac:dyDescent="0.15">
      <c r="C61"/>
      <c r="D61"/>
      <c r="E61"/>
      <c r="F61"/>
      <c r="G61"/>
      <c r="H61"/>
      <c r="I61"/>
    </row>
    <row r="62" ht="13" x14ac:dyDescent="0.15">
      <c r="C62"/>
      <c r="D62"/>
      <c r="E62"/>
      <c r="F62"/>
      <c r="G62"/>
      <c r="H62"/>
      <c r="I62"/>
    </row>
    <row r="63" ht="13" x14ac:dyDescent="0.15">
      <c r="C63"/>
      <c r="D63"/>
      <c r="E63"/>
      <c r="F63"/>
      <c r="G63"/>
      <c r="H63"/>
      <c r="I63"/>
    </row>
    <row r="64" ht="13" x14ac:dyDescent="0.15">
      <c r="C64"/>
      <c r="D64"/>
      <c r="E64"/>
      <c r="F64"/>
      <c r="G64"/>
      <c r="H64"/>
      <c r="I64"/>
    </row>
    <row r="65" ht="13" x14ac:dyDescent="0.15">
      <c r="C65"/>
      <c r="D65"/>
      <c r="E65"/>
      <c r="F65"/>
      <c r="G65"/>
      <c r="H65"/>
      <c r="I65"/>
    </row>
    <row r="66" ht="13" x14ac:dyDescent="0.15">
      <c r="C66"/>
      <c r="D66"/>
      <c r="E66"/>
      <c r="F66"/>
      <c r="G66"/>
      <c r="H66"/>
      <c r="I66"/>
    </row>
    <row r="67" ht="13" x14ac:dyDescent="0.15">
      <c r="C67"/>
      <c r="D67"/>
      <c r="E67"/>
      <c r="F67"/>
      <c r="G67"/>
      <c r="H67"/>
      <c r="I67"/>
    </row>
    <row r="68" ht="13" x14ac:dyDescent="0.15">
      <c r="C68"/>
      <c r="D68"/>
      <c r="E68"/>
      <c r="F68"/>
      <c r="G68"/>
      <c r="H68"/>
      <c r="I68"/>
    </row>
    <row r="69" ht="13" x14ac:dyDescent="0.15">
      <c r="C69"/>
      <c r="D69"/>
      <c r="E69"/>
      <c r="F69"/>
      <c r="G69"/>
      <c r="H69"/>
      <c r="I69"/>
    </row>
    <row r="70" ht="13" x14ac:dyDescent="0.15">
      <c r="C70"/>
      <c r="D70"/>
      <c r="E70"/>
      <c r="F70"/>
      <c r="G70"/>
      <c r="H70"/>
      <c r="I70"/>
    </row>
    <row r="71" ht="13" x14ac:dyDescent="0.15">
      <c r="C71"/>
      <c r="D71"/>
      <c r="E71"/>
      <c r="F71"/>
      <c r="G71"/>
      <c r="H71"/>
      <c r="I71"/>
    </row>
    <row r="72" ht="13" x14ac:dyDescent="0.15">
      <c r="C72"/>
      <c r="D72"/>
      <c r="E72"/>
      <c r="F72"/>
      <c r="G72"/>
      <c r="H72"/>
      <c r="I72"/>
    </row>
    <row r="73" ht="13" x14ac:dyDescent="0.15">
      <c r="C73"/>
      <c r="D73"/>
      <c r="E73"/>
      <c r="F73"/>
      <c r="G73"/>
      <c r="H73"/>
      <c r="I73"/>
    </row>
    <row r="74" ht="13" x14ac:dyDescent="0.15">
      <c r="C74"/>
      <c r="D74"/>
      <c r="E74"/>
      <c r="F74"/>
      <c r="G74"/>
      <c r="H74"/>
      <c r="I74"/>
    </row>
    <row r="75" ht="13" x14ac:dyDescent="0.15">
      <c r="C75"/>
      <c r="D75"/>
      <c r="E75"/>
      <c r="F75"/>
      <c r="G75"/>
      <c r="H75"/>
      <c r="I75"/>
    </row>
    <row r="76" ht="13" x14ac:dyDescent="0.15">
      <c r="C76"/>
      <c r="D76"/>
      <c r="E76"/>
      <c r="F76"/>
      <c r="G76"/>
      <c r="H76"/>
      <c r="I76"/>
    </row>
    <row r="77" ht="13" x14ac:dyDescent="0.15">
      <c r="C77"/>
      <c r="D77"/>
      <c r="E77"/>
      <c r="F77"/>
      <c r="G77"/>
      <c r="H77"/>
      <c r="I77"/>
    </row>
    <row r="78" ht="13" x14ac:dyDescent="0.15">
      <c r="C78"/>
      <c r="D78"/>
      <c r="E78"/>
      <c r="F78"/>
      <c r="G78"/>
      <c r="H78"/>
      <c r="I78"/>
    </row>
    <row r="79" ht="13" x14ac:dyDescent="0.15">
      <c r="C79"/>
      <c r="D79"/>
      <c r="E79"/>
      <c r="F79"/>
      <c r="G79"/>
      <c r="H79"/>
      <c r="I79"/>
    </row>
    <row r="80" ht="13" x14ac:dyDescent="0.15">
      <c r="C80"/>
      <c r="D80"/>
      <c r="E80"/>
      <c r="F80"/>
      <c r="G80"/>
      <c r="H80"/>
      <c r="I80"/>
    </row>
    <row r="81" customFormat="true" ht="13" x14ac:dyDescent="0.15"/>
    <row r="82" customFormat="true" ht="13" x14ac:dyDescent="0.15"/>
    <row r="83" customFormat="true" ht="13" x14ac:dyDescent="0.15"/>
    <row r="84" customFormat="true" ht="13" x14ac:dyDescent="0.15"/>
    <row r="85" customFormat="true" ht="13" x14ac:dyDescent="0.15"/>
    <row r="86" customFormat="true" ht="13" x14ac:dyDescent="0.15"/>
    <row r="87" customFormat="true" ht="13" x14ac:dyDescent="0.15"/>
    <row r="88" customFormat="true" ht="13" x14ac:dyDescent="0.15"/>
    <row r="89" customFormat="true" ht="13" x14ac:dyDescent="0.15"/>
    <row r="90" customFormat="true" ht="13" x14ac:dyDescent="0.15"/>
    <row r="91" customFormat="true" ht="13" x14ac:dyDescent="0.15"/>
    <row r="92" customFormat="true" ht="13" x14ac:dyDescent="0.15"/>
    <row r="93" customFormat="true" ht="13" x14ac:dyDescent="0.15"/>
    <row r="94" customFormat="true" ht="13" x14ac:dyDescent="0.15"/>
    <row r="95" customFormat="true" ht="13" x14ac:dyDescent="0.15"/>
    <row r="96" customFormat="true" ht="13" x14ac:dyDescent="0.15"/>
    <row r="97" customFormat="true" ht="13" x14ac:dyDescent="0.15"/>
    <row r="98" customFormat="true" ht="13" x14ac:dyDescent="0.15"/>
    <row r="99" customFormat="true" ht="13" x14ac:dyDescent="0.15"/>
    <row r="100" customFormat="true" ht="13" x14ac:dyDescent="0.15"/>
    <row r="101" customFormat="true" ht="13" x14ac:dyDescent="0.15"/>
    <row r="102" customFormat="true" ht="13" x14ac:dyDescent="0.15"/>
    <row r="103" customFormat="true" ht="13" x14ac:dyDescent="0.15"/>
    <row r="104" customFormat="true" ht="13" x14ac:dyDescent="0.15"/>
    <row r="105" customFormat="true" ht="13" x14ac:dyDescent="0.15"/>
    <row r="106" customFormat="true" ht="13" x14ac:dyDescent="0.15"/>
    <row r="107" customFormat="true" ht="13" x14ac:dyDescent="0.15"/>
    <row r="108" customFormat="true" ht="13" x14ac:dyDescent="0.15"/>
    <row r="109" customFormat="true" ht="13" x14ac:dyDescent="0.15"/>
    <row r="110" customFormat="true" ht="13" x14ac:dyDescent="0.15"/>
    <row r="111" customFormat="true" ht="13" x14ac:dyDescent="0.15"/>
    <row r="112" customFormat="true" ht="13" x14ac:dyDescent="0.15"/>
    <row r="113" customFormat="true" ht="13" x14ac:dyDescent="0.15"/>
    <row r="114" customFormat="true" ht="13" x14ac:dyDescent="0.15"/>
    <row r="115" customFormat="true" ht="13" x14ac:dyDescent="0.15"/>
    <row r="116" customFormat="true" ht="13" x14ac:dyDescent="0.15"/>
    <row r="117" customFormat="true" ht="13" x14ac:dyDescent="0.15"/>
    <row r="118" customFormat="true" ht="13" x14ac:dyDescent="0.15"/>
    <row r="119" customFormat="true" ht="13" x14ac:dyDescent="0.15"/>
    <row r="120" customFormat="true" ht="13" x14ac:dyDescent="0.15"/>
    <row r="121" customFormat="true" ht="13" x14ac:dyDescent="0.15"/>
    <row r="122" customFormat="true" ht="13" x14ac:dyDescent="0.15"/>
    <row r="123" customFormat="true" ht="13" x14ac:dyDescent="0.15"/>
    <row r="124" customFormat="true" ht="13" x14ac:dyDescent="0.15"/>
    <row r="125" customFormat="true" ht="13" x14ac:dyDescent="0.15"/>
    <row r="126" customFormat="true" ht="13" x14ac:dyDescent="0.15"/>
    <row r="127" customFormat="true" ht="13" x14ac:dyDescent="0.15"/>
    <row r="128" customFormat="true" ht="13" x14ac:dyDescent="0.15"/>
    <row r="129" customFormat="true" ht="13" x14ac:dyDescent="0.15"/>
    <row r="130" customFormat="true" ht="13" x14ac:dyDescent="0.15"/>
    <row r="131" customFormat="true" ht="13" x14ac:dyDescent="0.15"/>
    <row r="132" customFormat="true" ht="13" x14ac:dyDescent="0.15"/>
    <row r="133" customFormat="true" ht="13" x14ac:dyDescent="0.15"/>
    <row r="134" customFormat="true" ht="13" x14ac:dyDescent="0.15"/>
    <row r="135" customFormat="true" ht="13" x14ac:dyDescent="0.15"/>
    <row r="136" customFormat="true" ht="13" x14ac:dyDescent="0.15"/>
    <row r="137" customFormat="true" ht="13" x14ac:dyDescent="0.15"/>
    <row r="138" customFormat="true" ht="13" x14ac:dyDescent="0.15"/>
    <row r="139" customFormat="true" ht="13" x14ac:dyDescent="0.15"/>
    <row r="140" customFormat="true" ht="13" x14ac:dyDescent="0.15"/>
    <row r="141" customFormat="true" ht="13" x14ac:dyDescent="0.15"/>
    <row r="142" customFormat="true" ht="13" x14ac:dyDescent="0.15"/>
    <row r="143" customFormat="true" ht="13" x14ac:dyDescent="0.15"/>
    <row r="144" customFormat="true" ht="13" x14ac:dyDescent="0.15"/>
    <row r="145" ht="13" x14ac:dyDescent="0.15">
      <c r="C145"/>
      <c r="D145"/>
      <c r="E145"/>
      <c r="F145"/>
      <c r="G145"/>
      <c r="H145"/>
      <c r="I145"/>
    </row>
    <row r="146" ht="13" x14ac:dyDescent="0.15">
      <c r="C146"/>
      <c r="D146"/>
      <c r="E146"/>
      <c r="F146"/>
      <c r="G146"/>
      <c r="H146"/>
      <c r="I146"/>
    </row>
    <row r="147" ht="13" x14ac:dyDescent="0.15">
      <c r="C147"/>
      <c r="D147"/>
      <c r="E147"/>
      <c r="F147"/>
      <c r="G147"/>
      <c r="H147"/>
      <c r="I147"/>
    </row>
    <row r="148" ht="13" x14ac:dyDescent="0.15">
      <c r="C148"/>
      <c r="D148"/>
      <c r="E148"/>
      <c r="F148"/>
      <c r="G148"/>
      <c r="H148"/>
      <c r="I148"/>
    </row>
    <row r="149" ht="13" x14ac:dyDescent="0.15">
      <c r="C149"/>
      <c r="D149"/>
      <c r="E149"/>
      <c r="F149"/>
      <c r="G149"/>
      <c r="H149"/>
      <c r="I149"/>
    </row>
    <row r="150" ht="13" x14ac:dyDescent="0.15">
      <c r="C150"/>
      <c r="D150"/>
      <c r="E150"/>
      <c r="F150"/>
      <c r="G150"/>
      <c r="H150"/>
      <c r="I150"/>
    </row>
    <row r="151" ht="13" x14ac:dyDescent="0.15">
      <c r="C151"/>
      <c r="D151"/>
      <c r="E151"/>
      <c r="F151"/>
      <c r="G151"/>
      <c r="H151"/>
      <c r="I151"/>
    </row>
    <row r="152" ht="13" x14ac:dyDescent="0.15">
      <c r="C152"/>
      <c r="D152"/>
      <c r="E152"/>
      <c r="F152"/>
      <c r="G152"/>
      <c r="H152"/>
      <c r="I152"/>
    </row>
    <row r="153" ht="13" x14ac:dyDescent="0.15">
      <c r="C153"/>
      <c r="D153"/>
      <c r="E153"/>
      <c r="F153"/>
      <c r="G153"/>
      <c r="H153"/>
      <c r="I153"/>
    </row>
    <row r="154" ht="13" x14ac:dyDescent="0.15">
      <c r="C154"/>
      <c r="D154"/>
      <c r="E154"/>
      <c r="F154"/>
      <c r="G154"/>
      <c r="H154"/>
      <c r="I154"/>
    </row>
    <row r="155" ht="13" x14ac:dyDescent="0.15">
      <c r="C155"/>
      <c r="D155"/>
      <c r="E155"/>
      <c r="F155"/>
      <c r="G155"/>
      <c r="H155"/>
      <c r="I155"/>
    </row>
    <row r="156" ht="13" x14ac:dyDescent="0.15">
      <c r="C156"/>
      <c r="D156"/>
      <c r="E156"/>
      <c r="F156"/>
      <c r="G156"/>
      <c r="H156"/>
      <c r="I156"/>
    </row>
    <row r="157" ht="13" x14ac:dyDescent="0.15">
      <c r="C157"/>
      <c r="D157"/>
      <c r="E157"/>
      <c r="F157"/>
      <c r="G157"/>
      <c r="H157"/>
      <c r="I157"/>
    </row>
    <row r="158" ht="13" x14ac:dyDescent="0.15">
      <c r="C158"/>
      <c r="D158"/>
      <c r="E158"/>
      <c r="F158"/>
      <c r="G158"/>
      <c r="H158"/>
      <c r="I158"/>
    </row>
    <row r="159" ht="13" x14ac:dyDescent="0.15">
      <c r="C159"/>
      <c r="D159"/>
      <c r="E159"/>
      <c r="F159"/>
      <c r="G159"/>
      <c r="H159"/>
      <c r="I159"/>
    </row>
    <row r="160" ht="13" x14ac:dyDescent="0.15">
      <c r="C160"/>
      <c r="D160"/>
      <c r="E160"/>
      <c r="F160"/>
      <c r="G160"/>
      <c r="H160"/>
      <c r="I160"/>
    </row>
    <row r="161" ht="13" x14ac:dyDescent="0.15">
      <c r="C161"/>
      <c r="D161"/>
      <c r="E161"/>
      <c r="F161"/>
      <c r="G161"/>
      <c r="H161"/>
      <c r="I161"/>
    </row>
    <row r="162" ht="13" x14ac:dyDescent="0.15">
      <c r="C162"/>
      <c r="D162"/>
      <c r="E162"/>
      <c r="F162"/>
      <c r="G162"/>
      <c r="H162"/>
      <c r="I162"/>
    </row>
    <row r="163" ht="13" x14ac:dyDescent="0.15">
      <c r="C163"/>
      <c r="D163"/>
      <c r="E163"/>
      <c r="F163"/>
      <c r="G163"/>
      <c r="H163"/>
      <c r="I163"/>
    </row>
    <row r="164" ht="13" x14ac:dyDescent="0.15">
      <c r="C164"/>
      <c r="D164"/>
      <c r="E164"/>
      <c r="F164"/>
      <c r="G164"/>
      <c r="H164"/>
      <c r="I164"/>
    </row>
    <row r="165" ht="13" x14ac:dyDescent="0.15">
      <c r="C165"/>
      <c r="D165"/>
      <c r="E165"/>
      <c r="F165"/>
      <c r="G165"/>
      <c r="H165"/>
      <c r="I165"/>
    </row>
    <row r="166" ht="13" x14ac:dyDescent="0.15">
      <c r="C166"/>
      <c r="D166"/>
      <c r="E166"/>
      <c r="F166"/>
      <c r="G166"/>
      <c r="H166"/>
      <c r="I166"/>
    </row>
    <row r="167" ht="13" x14ac:dyDescent="0.15">
      <c r="C167"/>
      <c r="D167"/>
      <c r="E167"/>
      <c r="F167"/>
      <c r="G167"/>
      <c r="H167"/>
      <c r="I167"/>
    </row>
    <row r="168" ht="13" x14ac:dyDescent="0.15">
      <c r="C168"/>
      <c r="D168"/>
      <c r="E168"/>
      <c r="F168"/>
      <c r="G168"/>
      <c r="H168"/>
      <c r="I168"/>
    </row>
    <row r="169" ht="13" x14ac:dyDescent="0.15">
      <c r="C169"/>
      <c r="D169"/>
      <c r="E169"/>
      <c r="F169"/>
      <c r="G169"/>
      <c r="H169"/>
      <c r="I169"/>
    </row>
    <row r="170" ht="13" x14ac:dyDescent="0.15">
      <c r="C170"/>
      <c r="D170"/>
      <c r="E170"/>
      <c r="F170"/>
      <c r="G170"/>
      <c r="H170"/>
      <c r="I170"/>
    </row>
    <row r="171" ht="13" x14ac:dyDescent="0.15">
      <c r="C171"/>
      <c r="D171"/>
      <c r="E171"/>
      <c r="F171"/>
      <c r="G171"/>
      <c r="H171"/>
      <c r="I171"/>
    </row>
    <row r="172" x14ac:dyDescent="0.2">
      <c r="C172"/>
    </row>
    <row r="173" x14ac:dyDescent="0.2">
      <c r="C173"/>
    </row>
    <row r="174" x14ac:dyDescent="0.2">
      <c r="C174"/>
    </row>
    <row r="175" x14ac:dyDescent="0.2">
      <c r="C175"/>
    </row>
    <row r="176" x14ac:dyDescent="0.2">
      <c r="C176"/>
    </row>
    <row r="177" customFormat="true" x14ac:dyDescent="0.2">
      <c r="D177" s="60"/>
      <c r="E177" s="60"/>
      <c r="F177" s="60"/>
      <c r="G177" s="60"/>
      <c r="H177" s="60"/>
      <c r="I177" s="60"/>
    </row>
    <row r="178" customFormat="true" x14ac:dyDescent="0.2">
      <c r="D178" s="60"/>
      <c r="E178" s="60"/>
      <c r="F178" s="60"/>
      <c r="G178" s="60"/>
      <c r="H178" s="60"/>
      <c r="I178" s="60"/>
    </row>
    <row r="179" customFormat="true" x14ac:dyDescent="0.2">
      <c r="D179" s="60"/>
      <c r="E179" s="60"/>
      <c r="F179" s="60"/>
      <c r="G179" s="60"/>
      <c r="H179" s="60"/>
      <c r="I179" s="60"/>
    </row>
    <row r="180" customFormat="true" x14ac:dyDescent="0.2">
      <c r="D180" s="60"/>
      <c r="E180" s="60"/>
      <c r="F180" s="60"/>
      <c r="G180" s="60"/>
      <c r="H180" s="60"/>
      <c r="I180" s="60"/>
    </row>
    <row r="181" customFormat="true" x14ac:dyDescent="0.2">
      <c r="D181" s="60"/>
      <c r="E181" s="60"/>
      <c r="F181" s="60"/>
      <c r="G181" s="60"/>
      <c r="H181" s="60"/>
      <c r="I181" s="60"/>
    </row>
    <row r="182" customFormat="true" x14ac:dyDescent="0.2">
      <c r="D182" s="60"/>
      <c r="E182" s="60"/>
      <c r="F182" s="60"/>
      <c r="G182" s="60"/>
      <c r="H182" s="60"/>
      <c r="I182" s="60"/>
    </row>
    <row r="183" customFormat="true" x14ac:dyDescent="0.2">
      <c r="D183" s="60"/>
      <c r="E183" s="60"/>
      <c r="F183" s="60"/>
      <c r="G183" s="60"/>
      <c r="H183" s="60"/>
      <c r="I183" s="60"/>
    </row>
    <row r="184" customFormat="true" x14ac:dyDescent="0.2">
      <c r="D184" s="60"/>
      <c r="E184" s="60"/>
      <c r="F184" s="60"/>
      <c r="G184" s="60"/>
      <c r="H184" s="60"/>
      <c r="I184" s="60"/>
    </row>
    <row r="185" customFormat="true" x14ac:dyDescent="0.2">
      <c r="D185" s="60"/>
      <c r="E185" s="60"/>
      <c r="F185" s="60"/>
      <c r="G185" s="60"/>
      <c r="H185" s="60"/>
      <c r="I185" s="60"/>
    </row>
    <row r="186" customFormat="true" x14ac:dyDescent="0.2">
      <c r="D186" s="60"/>
      <c r="E186" s="60"/>
      <c r="F186" s="60"/>
      <c r="G186" s="60"/>
      <c r="H186" s="60"/>
      <c r="I186" s="60"/>
    </row>
    <row r="187" customFormat="true" x14ac:dyDescent="0.2">
      <c r="D187" s="60"/>
      <c r="E187" s="60"/>
      <c r="F187" s="60"/>
      <c r="G187" s="60"/>
      <c r="H187" s="60"/>
      <c r="I187" s="6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zoomScale="115" workbookViewId="0">
      <pane ySplit="2" topLeftCell="A3" activePane="bottomLeft" state="frozen"/>
      <selection pane="bottomLeft" activeCell="B4" sqref="B4"/>
    </sheetView>
  </sheetViews>
  <sheetFormatPr baseColWidth="10" defaultColWidth="11.5" defaultRowHeight="15" customHeight="true" x14ac:dyDescent="0.2"/>
  <cols>
    <col min="1" max="1" width="26.1640625" style="84" bestFit="true" customWidth="true"/>
    <col min="2" max="5" width="16.1640625" style="58" customWidth="true"/>
    <col min="6" max="6" width="45.6640625" style="58" bestFit="true" customWidth="true"/>
    <col min="7" max="9" width="11.5" style="58"/>
    <col min="10" max="10" width="12.1640625" style="58" bestFit="true" customWidth="true"/>
    <col min="11" max="11" width="11.5" style="114"/>
    <col min="12" max="12" width="11.5" style="108"/>
    <col min="13" max="13" width="11.5" style="114"/>
    <col min="14" max="14" width="11.5" style="108"/>
    <col min="15" max="15" width="11.5" style="114"/>
    <col min="16" max="16" width="11.5" style="111"/>
    <col min="17" max="17" width="14.83203125" style="58" customWidth="true"/>
    <col min="18" max="18" width="22.1640625" style="81" customWidth="true"/>
    <col min="19" max="16384" width="11.5" style="58"/>
  </cols>
  <sheetData>
    <row r="1" ht="15" customHeight="true" thickBot="true" x14ac:dyDescent="0.25">
      <c r="F1" s="69"/>
      <c r="G1" s="82" t="s">
        <v>46</v>
      </c>
      <c r="H1" s="82" t="s">
        <v>47</v>
      </c>
      <c r="I1" s="82" t="s">
        <v>121</v>
      </c>
      <c r="J1" s="82" t="s">
        <v>133</v>
      </c>
      <c r="K1" s="112" t="s">
        <v>48</v>
      </c>
      <c r="L1" s="106"/>
      <c r="M1" s="112" t="s">
        <v>120</v>
      </c>
      <c r="N1" s="106"/>
      <c r="O1" s="112" t="s">
        <v>49</v>
      </c>
      <c r="P1" s="109"/>
      <c r="Q1" s="85" t="s">
        <v>50</v>
      </c>
      <c r="R1" s="82" t="s">
        <v>155</v>
      </c>
    </row>
    <row r="2" ht="15" customHeight="true" x14ac:dyDescent="0.2">
      <c r="A2" s="85" t="s">
        <v>51</v>
      </c>
      <c r="B2" s="86">
        <v>0.5</v>
      </c>
      <c r="C2" s="84" t="s">
        <v>52</v>
      </c>
      <c r="D2" s="87"/>
      <c r="F2" s="69"/>
      <c r="G2" s="88"/>
      <c r="H2" s="88"/>
      <c r="I2" s="88" t="s">
        <v>134</v>
      </c>
      <c r="J2" s="88" t="s">
        <v>134</v>
      </c>
      <c r="K2" s="113" t="s">
        <v>52</v>
      </c>
      <c r="L2" s="107" t="s">
        <v>53</v>
      </c>
      <c r="M2" s="113" t="s">
        <v>52</v>
      </c>
      <c r="N2" s="107" t="s">
        <v>53</v>
      </c>
      <c r="O2" s="113" t="s">
        <v>52</v>
      </c>
      <c r="P2" s="110" t="s">
        <v>53</v>
      </c>
      <c r="Q2" s="88"/>
      <c r="R2" s="89" t="s">
        <v>156</v>
      </c>
    </row>
    <row r="3" ht="15" customHeight="true" thickBot="true" x14ac:dyDescent="0.25">
      <c r="A3" s="85" t="s">
        <v>54</v>
      </c>
      <c r="B3" s="90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28">
        <v>0</v>
      </c>
      <c r="S3"/>
    </row>
    <row r="4" ht="15" customHeight="true" thickBot="true" x14ac:dyDescent="0.25">
      <c r="F4" t="s">
        <v>201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32">
        <v>0</v>
      </c>
      <c r="S4"/>
    </row>
    <row r="5" ht="15" customHeight="true" x14ac:dyDescent="0.2">
      <c r="A5" s="85" t="s">
        <v>55</v>
      </c>
      <c r="B5" s="91">
        <v>0.5</v>
      </c>
      <c r="C5" s="84" t="s">
        <v>52</v>
      </c>
      <c r="D5" s="87"/>
      <c r="F5" t="s">
        <v>202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32">
        <v>0</v>
      </c>
      <c r="S5"/>
    </row>
    <row r="6" ht="15" customHeight="true" thickBot="true" x14ac:dyDescent="0.25">
      <c r="A6" s="85"/>
      <c r="B6" s="92">
        <v>0.5</v>
      </c>
      <c r="C6" s="84" t="s">
        <v>53</v>
      </c>
      <c r="D6" s="87"/>
      <c r="F6" s="3" t="s">
        <v>178</v>
      </c>
      <c r="G6">
        <v>0</v>
      </c>
      <c r="H6">
        <v>0</v>
      </c>
      <c r="I6">
        <v>0</v>
      </c>
      <c r="J6">
        <v>0</v>
      </c>
      <c r="K6" s="143">
        <v>0</v>
      </c>
      <c r="L6" s="143">
        <v>0</v>
      </c>
      <c r="M6" s="143">
        <v>1</v>
      </c>
      <c r="N6" s="143">
        <v>0</v>
      </c>
      <c r="O6" s="143">
        <v>1</v>
      </c>
      <c r="P6" s="143">
        <v>0</v>
      </c>
      <c r="Q6" s="139">
        <v>0</v>
      </c>
      <c r="R6" s="132">
        <v>0</v>
      </c>
      <c r="S6"/>
    </row>
    <row r="7" ht="15" customHeight="true" thickBot="true" x14ac:dyDescent="0.25">
      <c r="F7" s="3" t="s">
        <v>179</v>
      </c>
      <c r="G7">
        <v>0</v>
      </c>
      <c r="H7">
        <v>0</v>
      </c>
      <c r="I7">
        <v>0</v>
      </c>
      <c r="J7">
        <v>0</v>
      </c>
      <c r="K7" s="143">
        <v>0</v>
      </c>
      <c r="L7" s="143">
        <v>0</v>
      </c>
      <c r="M7" s="143">
        <v>1</v>
      </c>
      <c r="N7" s="143">
        <v>0</v>
      </c>
      <c r="O7" s="143">
        <v>1</v>
      </c>
      <c r="P7" s="143">
        <v>0</v>
      </c>
      <c r="Q7" s="139">
        <v>0</v>
      </c>
      <c r="R7" s="132">
        <v>0</v>
      </c>
      <c r="S7"/>
    </row>
    <row r="8" ht="15" customHeight="true" x14ac:dyDescent="0.2">
      <c r="A8" s="85" t="s">
        <v>56</v>
      </c>
      <c r="B8" s="91">
        <f>E32</f>
        <v>0.57255070783863848</v>
      </c>
      <c r="C8" s="80" t="str">
        <f>A32</f>
        <v>phy_sma</v>
      </c>
      <c r="D8" s="87" t="s">
        <v>162</v>
      </c>
      <c r="F8" s="3" t="s">
        <v>180</v>
      </c>
      <c r="G8">
        <v>0</v>
      </c>
      <c r="H8">
        <v>0</v>
      </c>
      <c r="I8">
        <v>0</v>
      </c>
      <c r="J8">
        <v>0</v>
      </c>
      <c r="K8" s="143">
        <v>1</v>
      </c>
      <c r="L8" s="143">
        <v>0</v>
      </c>
      <c r="M8" s="143">
        <v>1</v>
      </c>
      <c r="N8" s="143">
        <v>0</v>
      </c>
      <c r="O8" s="143">
        <v>1</v>
      </c>
      <c r="P8" s="143">
        <v>0</v>
      </c>
      <c r="Q8" s="139">
        <v>0</v>
      </c>
      <c r="R8" s="132">
        <v>0</v>
      </c>
      <c r="S8"/>
    </row>
    <row r="9" ht="15" customHeight="true" x14ac:dyDescent="0.2">
      <c r="A9" s="93" t="s">
        <v>170</v>
      </c>
      <c r="B9" s="94">
        <f>E33</f>
        <v>0.42744929216136146</v>
      </c>
      <c r="C9" s="80" t="str">
        <f t="shared" ref="C9" si="0">A33</f>
        <v>phy_lar</v>
      </c>
      <c r="D9" s="87" t="s">
        <v>162</v>
      </c>
      <c r="F9" s="3" t="s">
        <v>181</v>
      </c>
      <c r="G9">
        <v>0</v>
      </c>
      <c r="H9">
        <v>0</v>
      </c>
      <c r="I9">
        <v>0</v>
      </c>
      <c r="J9">
        <v>0</v>
      </c>
      <c r="K9" s="143">
        <v>0</v>
      </c>
      <c r="L9" s="143">
        <v>1</v>
      </c>
      <c r="M9" s="143">
        <v>0</v>
      </c>
      <c r="N9" s="143">
        <v>1</v>
      </c>
      <c r="O9" s="143">
        <v>0.5</v>
      </c>
      <c r="P9" s="143">
        <v>0.5</v>
      </c>
      <c r="Q9" s="139">
        <v>0</v>
      </c>
      <c r="R9" s="132">
        <v>0.25</v>
      </c>
      <c r="S9"/>
    </row>
    <row r="10" ht="15" customHeight="true" x14ac:dyDescent="0.2">
      <c r="B10" s="94"/>
      <c r="C10"/>
      <c r="D10" s="87" t="s">
        <v>162</v>
      </c>
      <c r="F10" s="3" t="s">
        <v>182</v>
      </c>
      <c r="G10">
        <v>0</v>
      </c>
      <c r="H10">
        <v>0</v>
      </c>
      <c r="I10">
        <v>0</v>
      </c>
      <c r="J10">
        <v>0</v>
      </c>
      <c r="K10" s="142">
        <v>0</v>
      </c>
      <c r="L10" s="142">
        <v>1</v>
      </c>
      <c r="M10" s="142">
        <v>0</v>
      </c>
      <c r="N10" s="142">
        <v>1</v>
      </c>
      <c r="O10" s="143">
        <v>0.5</v>
      </c>
      <c r="P10" s="143">
        <v>0.5</v>
      </c>
      <c r="Q10" s="139">
        <v>0</v>
      </c>
      <c r="R10" s="132">
        <v>0.75</v>
      </c>
      <c r="S10"/>
    </row>
    <row r="11" ht="15" customHeight="true" x14ac:dyDescent="0.2">
      <c r="A11" s="85"/>
      <c r="B11" s="94"/>
      <c r="C11"/>
      <c r="D11" s="87" t="s">
        <v>162</v>
      </c>
      <c r="F11" s="3" t="s">
        <v>183</v>
      </c>
      <c r="G11">
        <v>0</v>
      </c>
      <c r="H11">
        <v>0</v>
      </c>
      <c r="I11">
        <v>0</v>
      </c>
      <c r="J11">
        <v>0</v>
      </c>
      <c r="K11" s="143">
        <v>0.5</v>
      </c>
      <c r="L11" s="143">
        <v>0.5</v>
      </c>
      <c r="M11" s="143">
        <v>0.5</v>
      </c>
      <c r="N11" s="143">
        <v>0.5</v>
      </c>
      <c r="O11" s="143">
        <v>0.5</v>
      </c>
      <c r="P11" s="143">
        <v>0.5</v>
      </c>
      <c r="Q11" s="139">
        <v>0</v>
      </c>
      <c r="R11" s="132">
        <v>0</v>
      </c>
      <c r="S11"/>
    </row>
    <row r="12" ht="15" customHeight="true" x14ac:dyDescent="0.2">
      <c r="B12" s="94"/>
      <c r="C12"/>
      <c r="D12" s="87" t="s">
        <v>162</v>
      </c>
      <c r="F12" s="3" t="s">
        <v>184</v>
      </c>
      <c r="G12">
        <v>0</v>
      </c>
      <c r="H12">
        <v>0</v>
      </c>
      <c r="I12">
        <v>0</v>
      </c>
      <c r="J12">
        <v>0</v>
      </c>
      <c r="K12" s="143">
        <v>0</v>
      </c>
      <c r="L12" s="143">
        <v>1</v>
      </c>
      <c r="M12" s="143">
        <v>0</v>
      </c>
      <c r="N12" s="143">
        <v>1</v>
      </c>
      <c r="O12" s="143">
        <v>0.5</v>
      </c>
      <c r="P12" s="143">
        <v>0.5</v>
      </c>
      <c r="Q12" s="139">
        <v>0</v>
      </c>
      <c r="R12" s="132">
        <v>0</v>
      </c>
      <c r="S12"/>
    </row>
    <row r="13" ht="15" customHeight="true" x14ac:dyDescent="0.2">
      <c r="B13" s="94"/>
      <c r="C13"/>
      <c r="D13" s="87" t="s">
        <v>162</v>
      </c>
      <c r="F13" s="3" t="s">
        <v>185</v>
      </c>
      <c r="G13">
        <v>0</v>
      </c>
      <c r="H13">
        <v>0</v>
      </c>
      <c r="I13">
        <v>0</v>
      </c>
      <c r="J13">
        <v>0</v>
      </c>
      <c r="K13" s="143">
        <v>0</v>
      </c>
      <c r="L13" s="143">
        <v>1</v>
      </c>
      <c r="M13" s="143">
        <v>0</v>
      </c>
      <c r="N13" s="143">
        <v>1</v>
      </c>
      <c r="O13" s="143">
        <v>1</v>
      </c>
      <c r="P13" s="143">
        <v>0.5</v>
      </c>
      <c r="Q13" s="139">
        <v>0</v>
      </c>
      <c r="R13" s="132">
        <v>1</v>
      </c>
      <c r="S13"/>
    </row>
    <row r="14" ht="15" customHeight="true" x14ac:dyDescent="0.2">
      <c r="B14" s="94"/>
      <c r="C14"/>
      <c r="D14" s="87" t="s">
        <v>162</v>
      </c>
      <c r="F14" s="3" t="s">
        <v>186</v>
      </c>
      <c r="G14">
        <v>0</v>
      </c>
      <c r="H14">
        <v>0</v>
      </c>
      <c r="I14">
        <v>0</v>
      </c>
      <c r="J14">
        <v>0</v>
      </c>
      <c r="K14" s="143">
        <v>0</v>
      </c>
      <c r="L14" s="143">
        <v>1</v>
      </c>
      <c r="M14" s="143">
        <v>0</v>
      </c>
      <c r="N14" s="143">
        <v>1</v>
      </c>
      <c r="O14" s="143">
        <v>1</v>
      </c>
      <c r="P14" s="143">
        <v>0</v>
      </c>
      <c r="Q14" s="139">
        <v>0</v>
      </c>
      <c r="R14" s="132">
        <v>1</v>
      </c>
      <c r="S14"/>
    </row>
    <row r="15" ht="15" customHeight="true" x14ac:dyDescent="0.2">
      <c r="B15" s="94"/>
      <c r="C15"/>
      <c r="D15" s="87" t="s">
        <v>162</v>
      </c>
      <c r="F15" s="3" t="s">
        <v>187</v>
      </c>
      <c r="G15">
        <v>0</v>
      </c>
      <c r="H15">
        <v>0</v>
      </c>
      <c r="I15">
        <v>0</v>
      </c>
      <c r="J15">
        <v>0</v>
      </c>
      <c r="K15" s="143">
        <v>0</v>
      </c>
      <c r="L15" s="143">
        <v>1</v>
      </c>
      <c r="M15" s="143">
        <v>0</v>
      </c>
      <c r="N15" s="143">
        <v>1</v>
      </c>
      <c r="O15" s="143">
        <v>0.5</v>
      </c>
      <c r="P15" s="143">
        <v>0.5</v>
      </c>
      <c r="Q15" s="139">
        <v>0</v>
      </c>
      <c r="R15" s="132">
        <v>1</v>
      </c>
      <c r="S15"/>
    </row>
    <row r="16" ht="15" customHeight="true" x14ac:dyDescent="0.2">
      <c r="B16" s="94"/>
      <c r="C16"/>
      <c r="D16" s="87" t="s">
        <v>162</v>
      </c>
      <c r="F16" s="3" t="s">
        <v>188</v>
      </c>
      <c r="G16">
        <v>0</v>
      </c>
      <c r="H16">
        <v>0</v>
      </c>
      <c r="I16">
        <v>0</v>
      </c>
      <c r="J16">
        <v>0</v>
      </c>
      <c r="K16" s="143">
        <v>0</v>
      </c>
      <c r="L16" s="143">
        <v>1</v>
      </c>
      <c r="M16" s="143">
        <v>0</v>
      </c>
      <c r="N16" s="143">
        <v>1</v>
      </c>
      <c r="O16" s="143">
        <v>0</v>
      </c>
      <c r="P16" s="143">
        <v>1</v>
      </c>
      <c r="Q16" s="139">
        <v>0</v>
      </c>
      <c r="R16" s="132">
        <v>1</v>
      </c>
      <c r="S16"/>
    </row>
    <row r="17" ht="15" customHeight="true" thickBot="true" x14ac:dyDescent="0.25">
      <c r="B17" s="92"/>
      <c r="C17"/>
      <c r="D17" s="87" t="s">
        <v>162</v>
      </c>
      <c r="F17" s="3" t="s">
        <v>189</v>
      </c>
      <c r="G17">
        <v>0</v>
      </c>
      <c r="H17">
        <v>0</v>
      </c>
      <c r="I17">
        <v>0</v>
      </c>
      <c r="J17">
        <v>0</v>
      </c>
      <c r="K17" s="143">
        <v>0</v>
      </c>
      <c r="L17" s="143">
        <v>1</v>
      </c>
      <c r="M17" s="143">
        <v>0</v>
      </c>
      <c r="N17" s="143">
        <v>1</v>
      </c>
      <c r="O17" s="143">
        <v>1</v>
      </c>
      <c r="P17" s="143">
        <v>0</v>
      </c>
      <c r="Q17" s="139">
        <v>0</v>
      </c>
      <c r="R17" s="132">
        <v>1</v>
      </c>
      <c r="S17"/>
    </row>
    <row r="18" ht="15" customHeight="true" thickBot="true" x14ac:dyDescent="0.25">
      <c r="B18" s="83"/>
      <c r="F18" s="3" t="s">
        <v>190</v>
      </c>
      <c r="G18">
        <v>0</v>
      </c>
      <c r="H18">
        <v>0</v>
      </c>
      <c r="I18">
        <v>0</v>
      </c>
      <c r="J18">
        <v>0</v>
      </c>
      <c r="K18" s="143">
        <v>0</v>
      </c>
      <c r="L18" s="143">
        <v>1</v>
      </c>
      <c r="M18" s="143">
        <v>0</v>
      </c>
      <c r="N18" s="143">
        <v>1</v>
      </c>
      <c r="O18" s="143">
        <v>1</v>
      </c>
      <c r="P18" s="143">
        <v>0</v>
      </c>
      <c r="Q18" s="139">
        <v>0</v>
      </c>
      <c r="R18" s="132">
        <v>1</v>
      </c>
      <c r="S18"/>
    </row>
    <row r="19" ht="15" customHeight="true" x14ac:dyDescent="0.2">
      <c r="A19" s="85" t="s">
        <v>57</v>
      </c>
      <c r="B19" s="91">
        <f>E32</f>
        <v>0.57255070783863848</v>
      </c>
      <c r="C19" s="80" t="str">
        <f>A32</f>
        <v>phy_sma</v>
      </c>
      <c r="D19" s="87" t="s">
        <v>162</v>
      </c>
      <c r="F19" s="3" t="s">
        <v>191</v>
      </c>
      <c r="G19">
        <v>0</v>
      </c>
      <c r="H19">
        <v>0</v>
      </c>
      <c r="I19">
        <v>0</v>
      </c>
      <c r="J19">
        <v>0</v>
      </c>
      <c r="K19" s="143">
        <v>0</v>
      </c>
      <c r="L19" s="143">
        <v>1</v>
      </c>
      <c r="M19" s="143">
        <v>0</v>
      </c>
      <c r="N19" s="143">
        <v>1</v>
      </c>
      <c r="O19" s="143">
        <v>1</v>
      </c>
      <c r="P19" s="143">
        <v>0</v>
      </c>
      <c r="Q19" s="139">
        <v>0</v>
      </c>
      <c r="R19" s="132">
        <v>1</v>
      </c>
      <c r="S19"/>
    </row>
    <row r="20" ht="15" customHeight="true" x14ac:dyDescent="0.2">
      <c r="A20" s="93" t="s">
        <v>170</v>
      </c>
      <c r="B20" s="94">
        <f>E33</f>
        <v>0.42744929216136146</v>
      </c>
      <c r="C20" s="80" t="str">
        <f t="shared" ref="C20" si="1">A33</f>
        <v>phy_lar</v>
      </c>
      <c r="D20" s="87" t="s">
        <v>162</v>
      </c>
      <c r="F20" s="3" t="s">
        <v>192</v>
      </c>
      <c r="G20">
        <v>0</v>
      </c>
      <c r="H20">
        <v>0</v>
      </c>
      <c r="I20">
        <v>0</v>
      </c>
      <c r="J20">
        <v>0</v>
      </c>
      <c r="K20" s="143">
        <v>0</v>
      </c>
      <c r="L20" s="143">
        <v>1</v>
      </c>
      <c r="M20" s="143">
        <v>0</v>
      </c>
      <c r="N20" s="143">
        <v>1</v>
      </c>
      <c r="O20" s="143">
        <v>1</v>
      </c>
      <c r="P20" s="143">
        <v>0</v>
      </c>
      <c r="Q20" s="139">
        <v>0</v>
      </c>
      <c r="R20" s="132">
        <v>1</v>
      </c>
      <c r="S20"/>
    </row>
    <row r="21" ht="15" customHeight="true" x14ac:dyDescent="0.2">
      <c r="B21" s="94"/>
      <c r="C21"/>
      <c r="D21" s="87" t="s">
        <v>162</v>
      </c>
      <c r="F21" s="3" t="s">
        <v>193</v>
      </c>
      <c r="G21">
        <v>0</v>
      </c>
      <c r="H21">
        <v>0</v>
      </c>
      <c r="I21">
        <v>0</v>
      </c>
      <c r="J21">
        <v>0</v>
      </c>
      <c r="K21" s="143">
        <v>1</v>
      </c>
      <c r="L21" s="142">
        <v>0</v>
      </c>
      <c r="M21" s="143">
        <v>0</v>
      </c>
      <c r="N21" s="143">
        <v>1</v>
      </c>
      <c r="O21" s="143">
        <v>1</v>
      </c>
      <c r="P21" s="143">
        <v>0</v>
      </c>
      <c r="Q21" s="139">
        <v>0</v>
      </c>
      <c r="R21" s="132">
        <v>1</v>
      </c>
      <c r="S21"/>
    </row>
    <row r="22" ht="15" customHeight="true" thickBot="true" x14ac:dyDescent="0.25">
      <c r="A22" s="58"/>
      <c r="B22" s="94"/>
      <c r="C22"/>
      <c r="D22" s="87" t="s">
        <v>162</v>
      </c>
      <c r="F22" s="3" t="s">
        <v>194</v>
      </c>
      <c r="G22">
        <v>0</v>
      </c>
      <c r="H22">
        <v>0</v>
      </c>
      <c r="I22">
        <v>0</v>
      </c>
      <c r="J22">
        <v>0</v>
      </c>
      <c r="K22" s="143">
        <v>1</v>
      </c>
      <c r="L22" s="142">
        <v>0</v>
      </c>
      <c r="M22" s="143">
        <v>0</v>
      </c>
      <c r="N22" s="143">
        <v>1</v>
      </c>
      <c r="O22" s="143">
        <v>1</v>
      </c>
      <c r="P22" s="143">
        <v>0</v>
      </c>
      <c r="Q22" s="139">
        <v>0</v>
      </c>
      <c r="R22" s="132">
        <v>1</v>
      </c>
      <c r="S22"/>
    </row>
    <row r="23" ht="15" customHeight="true" x14ac:dyDescent="0.2">
      <c r="A23" s="58"/>
      <c r="B23" s="94"/>
      <c r="C23"/>
      <c r="D23" s="87" t="s">
        <v>162</v>
      </c>
      <c r="F23" s="3" t="s">
        <v>195</v>
      </c>
      <c r="G23">
        <v>0</v>
      </c>
      <c r="H23">
        <v>0</v>
      </c>
      <c r="I23">
        <v>0</v>
      </c>
      <c r="J23">
        <v>0</v>
      </c>
      <c r="K23" s="143">
        <v>0</v>
      </c>
      <c r="L23" s="143">
        <v>0</v>
      </c>
      <c r="M23" s="143">
        <v>0</v>
      </c>
      <c r="N23" s="143">
        <v>1</v>
      </c>
      <c r="O23" s="169">
        <v>1</v>
      </c>
      <c r="P23" s="170">
        <v>0</v>
      </c>
      <c r="Q23" s="140">
        <v>0</v>
      </c>
      <c r="R23" s="132">
        <v>0</v>
      </c>
      <c r="S23"/>
    </row>
    <row r="24" ht="15" customHeight="true" thickBot="true" x14ac:dyDescent="0.25">
      <c r="A24" s="58"/>
      <c r="B24" s="94"/>
      <c r="C24"/>
      <c r="D24" s="87" t="s">
        <v>162</v>
      </c>
      <c r="F24" s="3" t="s">
        <v>196</v>
      </c>
      <c r="G24">
        <v>0</v>
      </c>
      <c r="H24">
        <v>0</v>
      </c>
      <c r="I24">
        <v>0</v>
      </c>
      <c r="J24">
        <v>0</v>
      </c>
      <c r="K24" s="143">
        <v>0</v>
      </c>
      <c r="L24" s="143">
        <v>0</v>
      </c>
      <c r="M24" s="143">
        <v>0</v>
      </c>
      <c r="N24" s="143">
        <v>1</v>
      </c>
      <c r="O24" s="171">
        <v>0</v>
      </c>
      <c r="P24" s="172">
        <v>1</v>
      </c>
      <c r="Q24" s="140">
        <v>0</v>
      </c>
      <c r="R24" s="132">
        <v>1</v>
      </c>
      <c r="S24"/>
    </row>
    <row r="25" ht="15" customHeight="true" x14ac:dyDescent="0.2">
      <c r="A25" s="58"/>
      <c r="B25" s="94"/>
      <c r="C25"/>
      <c r="D25" s="87" t="s">
        <v>162</v>
      </c>
      <c r="F25" t="s">
        <v>197</v>
      </c>
      <c r="G25">
        <v>0</v>
      </c>
      <c r="H25">
        <v>0</v>
      </c>
      <c r="I25">
        <v>0</v>
      </c>
      <c r="J25">
        <v>0</v>
      </c>
      <c r="K25" s="173">
        <v>0</v>
      </c>
      <c r="L25" s="174">
        <v>1</v>
      </c>
      <c r="M25">
        <v>0</v>
      </c>
      <c r="N25">
        <v>0</v>
      </c>
      <c r="O25">
        <v>0</v>
      </c>
      <c r="P25">
        <v>0</v>
      </c>
      <c r="Q25" s="140">
        <v>0</v>
      </c>
      <c r="R25" s="132">
        <v>1</v>
      </c>
      <c r="S25"/>
    </row>
    <row r="26" ht="15" customHeight="true" thickBot="true" x14ac:dyDescent="0.25">
      <c r="B26" s="94"/>
      <c r="C26"/>
      <c r="D26" s="87" t="s">
        <v>162</v>
      </c>
      <c r="F26" t="s">
        <v>198</v>
      </c>
      <c r="G26">
        <v>0</v>
      </c>
      <c r="H26">
        <v>0</v>
      </c>
      <c r="I26">
        <v>0</v>
      </c>
      <c r="J26">
        <v>0</v>
      </c>
      <c r="K26" s="175">
        <v>0</v>
      </c>
      <c r="L26" s="176">
        <v>1</v>
      </c>
      <c r="M26">
        <v>0</v>
      </c>
      <c r="N26">
        <v>0</v>
      </c>
      <c r="O26">
        <v>0</v>
      </c>
      <c r="P26">
        <v>0</v>
      </c>
      <c r="Q26" s="140">
        <v>0</v>
      </c>
      <c r="R26" s="132">
        <v>1</v>
      </c>
      <c r="S26"/>
    </row>
    <row r="27" ht="15" customHeight="true" x14ac:dyDescent="0.2">
      <c r="B27" s="94"/>
      <c r="C27"/>
      <c r="D27" s="87" t="s">
        <v>162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ht="15" customHeight="true" thickBot="true" x14ac:dyDescent="0.25">
      <c r="B28" s="92"/>
      <c r="C28"/>
      <c r="D28" s="87" t="s">
        <v>162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ht="15" customHeight="true" x14ac:dyDescent="0.2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ht="15" customHeight="true" x14ac:dyDescent="0.2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ht="15" customHeight="true" x14ac:dyDescent="0.2">
      <c r="A31" s="95"/>
      <c r="B31" s="96" t="s">
        <v>17</v>
      </c>
      <c r="C31" s="96" t="s">
        <v>1</v>
      </c>
      <c r="D31" s="96" t="s">
        <v>163</v>
      </c>
      <c r="E31" s="97" t="s">
        <v>165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ht="15" customHeight="true" x14ac:dyDescent="0.2">
      <c r="A32" s="83" t="str">
        <f>MainOutputs!B2</f>
        <v>phy_sma</v>
      </c>
      <c r="B32" s="83">
        <f>MainOutputs!D2</f>
        <v>1.4381600618362427</v>
      </c>
      <c r="C32" s="83">
        <f>MainOutputs!E2</f>
        <v>75</v>
      </c>
      <c r="D32" s="83">
        <f>B32*C32</f>
        <v>107.8620046377182</v>
      </c>
      <c r="E32" s="98">
        <f>D32/D$42</f>
        <v>0.57255070783863848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ht="15" customHeight="true" x14ac:dyDescent="0.2">
      <c r="A33" s="83" t="str">
        <f>MainOutputs!B3</f>
        <v>phy_lar</v>
      </c>
      <c r="B33" s="83">
        <f>MainOutputs!D3</f>
        <v>1.0736874341964722</v>
      </c>
      <c r="C33" s="83">
        <f>MainOutputs!E3</f>
        <v>75</v>
      </c>
      <c r="D33" s="83">
        <f t="shared" ref="D33" si="2">B33*C33</f>
        <v>80.526557564735413</v>
      </c>
      <c r="E33" s="98">
        <f t="shared" ref="E33" si="3">D33/D$42</f>
        <v>0.42744929216136146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ht="15" customHeight="true" x14ac:dyDescent="0.2">
      <c r="A34" s="64"/>
      <c r="B34" s="83"/>
      <c r="C34" s="83"/>
      <c r="D34" s="83"/>
      <c r="E34" s="98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ht="15" customHeight="true" x14ac:dyDescent="0.2">
      <c r="A35" s="64"/>
      <c r="B35" s="83"/>
      <c r="C35" s="83"/>
      <c r="D35" s="83"/>
      <c r="E35" s="9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ht="15" customHeight="true" x14ac:dyDescent="0.2">
      <c r="A36" s="99"/>
      <c r="B36" s="83"/>
      <c r="C36" s="83"/>
      <c r="D36" s="83"/>
      <c r="E36" s="9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ht="15" customHeight="true" x14ac:dyDescent="0.2">
      <c r="A37" s="99"/>
      <c r="B37" s="83"/>
      <c r="C37" s="83"/>
      <c r="D37" s="83"/>
      <c r="E37" s="9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ht="15" customHeight="true" x14ac:dyDescent="0.2">
      <c r="A38" s="100"/>
      <c r="B38" s="83"/>
      <c r="C38" s="83"/>
      <c r="D38" s="83"/>
      <c r="E38" s="9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ht="15" customHeight="true" x14ac:dyDescent="0.2">
      <c r="A39" s="100"/>
      <c r="B39" s="83"/>
      <c r="C39" s="83"/>
      <c r="D39" s="83"/>
      <c r="E39" s="9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ht="15" customHeight="true" x14ac:dyDescent="0.2">
      <c r="A40" s="100"/>
      <c r="B40" s="83"/>
      <c r="C40" s="83"/>
      <c r="D40" s="83"/>
      <c r="E40" s="9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ht="15" customHeight="true" thickBot="true" x14ac:dyDescent="0.25">
      <c r="A41" s="100"/>
      <c r="B41" s="83"/>
      <c r="C41" s="83"/>
      <c r="D41" s="101"/>
      <c r="E41" s="10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ht="15" customHeight="true" x14ac:dyDescent="0.2">
      <c r="A42" s="103"/>
      <c r="B42" s="104"/>
      <c r="C42" s="104" t="s">
        <v>164</v>
      </c>
      <c r="D42" s="104">
        <f>SUM(D32:D41)</f>
        <v>188.38856220245361</v>
      </c>
      <c r="E42" s="10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ht="15" customHeight="true" x14ac:dyDescent="0.2">
      <c r="A43" s="5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ht="15" customHeight="true" x14ac:dyDescent="0.2">
      <c r="A44" s="58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ht="15" customHeight="true" x14ac:dyDescent="0.2">
      <c r="A45" s="58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ht="15" customHeight="true" x14ac:dyDescent="0.2">
      <c r="A46" s="58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ht="15" customHeight="true" x14ac:dyDescent="0.2">
      <c r="A47" s="58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ht="15" customHeight="true" x14ac:dyDescent="0.2">
      <c r="A48" s="5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ht="15" customHeight="true" x14ac:dyDescent="0.2">
      <c r="A49" s="58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ht="15" customHeight="true" x14ac:dyDescent="0.2">
      <c r="A50" s="58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ht="15" customHeight="true" x14ac:dyDescent="0.2"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ht="15" customHeight="true" x14ac:dyDescent="0.2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ht="15" customHeight="true" x14ac:dyDescent="0.2">
      <c r="A53" s="58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ht="15" customHeight="true" x14ac:dyDescent="0.2">
      <c r="A54" s="58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ht="15" customHeight="true" x14ac:dyDescent="0.2">
      <c r="A55" s="58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ht="15" customHeight="true" x14ac:dyDescent="0.2">
      <c r="A56" s="58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ht="15" customHeight="true" x14ac:dyDescent="0.2">
      <c r="A57" s="58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ht="15" customHeight="true" x14ac:dyDescent="0.2">
      <c r="A58" s="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ht="15" customHeight="true" x14ac:dyDescent="0.2">
      <c r="A59" s="58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ht="15" customHeight="true" x14ac:dyDescent="0.2">
      <c r="A60" s="58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ht="15" customHeight="true" x14ac:dyDescent="0.2">
      <c r="A61" s="58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ht="15" customHeight="true" x14ac:dyDescent="0.2">
      <c r="A62" s="58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ht="15" customHeight="true" x14ac:dyDescent="0.2">
      <c r="A63" s="58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ht="15" customHeight="true" x14ac:dyDescent="0.2">
      <c r="A64" s="58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ht="15" customHeight="true" x14ac:dyDescent="0.2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ht="15" customHeight="true" x14ac:dyDescent="0.2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ht="15" customHeight="true" x14ac:dyDescent="0.2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ht="15" customHeight="true" x14ac:dyDescent="0.2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ht="15" customHeight="true" x14ac:dyDescent="0.2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ht="15" customHeight="true" x14ac:dyDescent="0.2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ht="15" customHeight="true" x14ac:dyDescent="0.2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ht="15" customHeight="true" x14ac:dyDescent="0.2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ht="15" customHeight="true" x14ac:dyDescent="0.2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ht="15" customHeight="true" x14ac:dyDescent="0.2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ht="15" customHeight="true" x14ac:dyDescent="0.2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ht="15" customHeight="true" x14ac:dyDescent="0.2">
      <c r="A76" s="58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ht="15" customHeight="true" x14ac:dyDescent="0.2">
      <c r="A77" s="58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ht="15" customHeight="true" x14ac:dyDescent="0.2">
      <c r="A78" s="5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ht="15" customHeight="true" x14ac:dyDescent="0.2">
      <c r="A79" s="58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ht="15" customHeight="true" x14ac:dyDescent="0.2">
      <c r="A80" s="58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ht="15" customHeight="true" x14ac:dyDescent="0.2">
      <c r="A81" s="58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ht="15" customHeight="true" x14ac:dyDescent="0.2">
      <c r="A82" s="58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ht="15" customHeight="true" x14ac:dyDescent="0.2">
      <c r="A83" s="58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ht="15" customHeight="true" x14ac:dyDescent="0.2">
      <c r="A84" s="58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ht="15" customHeight="true" x14ac:dyDescent="0.2">
      <c r="A85" s="58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ht="15" customHeight="true" x14ac:dyDescent="0.2">
      <c r="A86" s="58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ht="15" customHeight="true" x14ac:dyDescent="0.2">
      <c r="A87" s="58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ht="15" customHeight="true" x14ac:dyDescent="0.2">
      <c r="A88" s="5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ht="15" customHeight="true" x14ac:dyDescent="0.2">
      <c r="A89" s="58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ht="15" customHeight="true" x14ac:dyDescent="0.2">
      <c r="A90" s="58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ht="15" customHeight="true" x14ac:dyDescent="0.2">
      <c r="A91" s="58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ht="15" customHeight="true" x14ac:dyDescent="0.2">
      <c r="A92" s="58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ht="15" customHeight="true" x14ac:dyDescent="0.2">
      <c r="A93" s="58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ht="15" customHeight="true" x14ac:dyDescent="0.2">
      <c r="A94" s="58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ht="15" customHeight="true" x14ac:dyDescent="0.2">
      <c r="A95" s="58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ht="15" customHeight="true" x14ac:dyDescent="0.2">
      <c r="A96" s="58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ht="15" customHeight="true" x14ac:dyDescent="0.2">
      <c r="A97" s="58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ht="15" customHeight="true" x14ac:dyDescent="0.2">
      <c r="A98" s="5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ht="15" customHeight="true" x14ac:dyDescent="0.2">
      <c r="A99" s="58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ht="15" customHeight="true" x14ac:dyDescent="0.2">
      <c r="A100" s="58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ht="15" customHeight="true" x14ac:dyDescent="0.2">
      <c r="A101" s="58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ht="15" customHeight="true" x14ac:dyDescent="0.2">
      <c r="A102" s="58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ht="15" customHeight="true" x14ac:dyDescent="0.2">
      <c r="A103" s="58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ht="15" customHeight="true" x14ac:dyDescent="0.2">
      <c r="A104" s="58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ht="15" customHeight="true" x14ac:dyDescent="0.2">
      <c r="A105" s="58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ht="15" customHeight="true" x14ac:dyDescent="0.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ht="15" customHeight="true" x14ac:dyDescent="0.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ht="15" customHeight="true" x14ac:dyDescent="0.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ht="15" customHeight="true" x14ac:dyDescent="0.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ht="15" customHeight="true" x14ac:dyDescent="0.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ht="15" customHeight="true" x14ac:dyDescent="0.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ht="15" customHeight="true" x14ac:dyDescent="0.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="58" customFormat="true" ht="15" customHeight="true" x14ac:dyDescent="0.2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="58" customFormat="true" ht="15" customHeight="true" x14ac:dyDescent="0.2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="58" customFormat="true" ht="15" customHeight="true" x14ac:dyDescent="0.2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="58" customFormat="true" ht="15" customHeight="true" x14ac:dyDescent="0.2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="58" customFormat="true" ht="15" customHeight="true" x14ac:dyDescent="0.2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="58" customFormat="true" ht="15" customHeight="true" x14ac:dyDescent="0.2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="58" customFormat="true" ht="15" customHeight="true" x14ac:dyDescent="0.2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="58" customFormat="true" ht="15" customHeight="true" x14ac:dyDescent="0.2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="58" customFormat="true" ht="15" customHeight="true" x14ac:dyDescent="0.2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="58" customFormat="true" ht="15" customHeight="true" x14ac:dyDescent="0.2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="58" customFormat="true" ht="15" customHeight="true" x14ac:dyDescent="0.2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="58" customFormat="true" ht="15" customHeight="true" x14ac:dyDescent="0.2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="58" customFormat="true" ht="15" customHeight="true" x14ac:dyDescent="0.2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="58" customFormat="true" ht="15" customHeight="true" x14ac:dyDescent="0.2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="58" customFormat="true" ht="15" customHeight="true" x14ac:dyDescent="0.2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="58" customFormat="true" ht="15" customHeight="true" x14ac:dyDescent="0.2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="58" customFormat="true" ht="15" customHeight="true" x14ac:dyDescent="0.2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="58" customFormat="true" ht="15" customHeight="true" x14ac:dyDescent="0.2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="58" customFormat="true" ht="15" customHeight="true" x14ac:dyDescent="0.2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="58" customFormat="true" ht="15" customHeight="true" x14ac:dyDescent="0.2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="58" customFormat="true" ht="15" customHeight="true" x14ac:dyDescent="0.2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="58" customFormat="true" ht="15" customHeight="true" x14ac:dyDescent="0.2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="58" customFormat="true" ht="15" customHeight="true" x14ac:dyDescent="0.2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="58" customFormat="true" ht="15" customHeight="true" x14ac:dyDescent="0.2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="58" customFormat="true" ht="15" customHeight="true" x14ac:dyDescent="0.2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="58" customFormat="true" ht="15" customHeight="true" x14ac:dyDescent="0.2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="58" customFormat="true" ht="15" customHeight="true" x14ac:dyDescent="0.2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="58" customFormat="true" ht="15" customHeight="true" x14ac:dyDescent="0.2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="58" customFormat="true" ht="15" customHeight="true" x14ac:dyDescent="0.2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="58" customFormat="true" ht="15" customHeight="true" x14ac:dyDescent="0.2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="58" customFormat="true" ht="15" customHeight="true" x14ac:dyDescent="0.2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="58" customFormat="true" ht="15" customHeight="true" x14ac:dyDescent="0.2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="58" customFormat="true" ht="15" customHeight="true" x14ac:dyDescent="0.2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="58" customFormat="true" ht="15" customHeight="true" x14ac:dyDescent="0.2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="58" customFormat="true" ht="15" customHeight="true" x14ac:dyDescent="0.2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="58" customFormat="true" ht="15" customHeight="true" x14ac:dyDescent="0.2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="58" customFormat="true" ht="15" customHeight="true" x14ac:dyDescent="0.2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="58" customFormat="true" ht="15" customHeight="true" x14ac:dyDescent="0.2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="58" customFormat="true" ht="15" customHeight="true" x14ac:dyDescent="0.2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="58" customFormat="true" ht="15" customHeight="true" x14ac:dyDescent="0.2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="58" customFormat="true" ht="15" customHeight="true" x14ac:dyDescent="0.2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="58" customFormat="true" ht="15" customHeight="true" x14ac:dyDescent="0.2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="58" customFormat="true" ht="15" customHeight="true" x14ac:dyDescent="0.2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="58" customFormat="true" ht="15" customHeight="true" x14ac:dyDescent="0.2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="58" customFormat="true" ht="15" customHeight="true" x14ac:dyDescent="0.2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="58" customFormat="true" ht="15" customHeight="true" x14ac:dyDescent="0.2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="58" customFormat="true" ht="15" customHeight="true" x14ac:dyDescent="0.2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="58" customFormat="true" ht="15" customHeight="true" x14ac:dyDescent="0.2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="58" customFormat="true" ht="15" customHeight="true" x14ac:dyDescent="0.2">
      <c r="F161" s="133"/>
      <c r="G161"/>
      <c r="H161"/>
      <c r="I161"/>
      <c r="J161"/>
      <c r="K161"/>
      <c r="L161"/>
      <c r="M161"/>
      <c r="N161"/>
      <c r="O161"/>
      <c r="P161"/>
      <c r="Q161"/>
      <c r="R161" s="131"/>
      <c r="S161"/>
    </row>
    <row r="162" s="58" customFormat="true" ht="15" customHeight="true" x14ac:dyDescent="0.2">
      <c r="F162" s="133"/>
      <c r="G162"/>
      <c r="H162"/>
      <c r="I162"/>
      <c r="J162"/>
      <c r="K162"/>
      <c r="L162"/>
      <c r="M162"/>
      <c r="N162"/>
      <c r="O162"/>
      <c r="P162"/>
      <c r="Q162"/>
      <c r="R162" s="131"/>
      <c r="S162"/>
    </row>
    <row r="163" s="58" customFormat="true" ht="15" customHeight="true" x14ac:dyDescent="0.2">
      <c r="F163" s="133"/>
      <c r="G163"/>
      <c r="H163"/>
      <c r="I163"/>
      <c r="J163"/>
      <c r="K163"/>
      <c r="L163"/>
      <c r="M163"/>
      <c r="N163"/>
      <c r="O163"/>
      <c r="P163"/>
      <c r="Q163"/>
      <c r="R163" s="131"/>
      <c r="S163"/>
    </row>
    <row r="164" s="58" customFormat="true" ht="15" customHeight="true" x14ac:dyDescent="0.2">
      <c r="F164" s="133"/>
      <c r="G164"/>
      <c r="H164"/>
      <c r="I164"/>
      <c r="J164"/>
      <c r="K164"/>
      <c r="L164"/>
      <c r="M164"/>
      <c r="N164"/>
      <c r="O164"/>
      <c r="P164"/>
      <c r="Q164"/>
      <c r="R164" s="131"/>
      <c r="S164"/>
    </row>
    <row r="165" s="58" customFormat="true" ht="15" customHeight="true" x14ac:dyDescent="0.2">
      <c r="F165" s="133"/>
      <c r="G165"/>
      <c r="H165"/>
      <c r="I165"/>
      <c r="J165"/>
      <c r="K165"/>
      <c r="L165"/>
      <c r="M165"/>
      <c r="N165"/>
      <c r="O165"/>
      <c r="P165"/>
      <c r="Q165"/>
      <c r="R165" s="131"/>
      <c r="S165"/>
    </row>
    <row r="166" s="58" customFormat="true" ht="15" customHeight="true" x14ac:dyDescent="0.2">
      <c r="F166" s="133"/>
      <c r="G166"/>
      <c r="H166"/>
      <c r="I166"/>
      <c r="J166"/>
      <c r="K166"/>
      <c r="L166"/>
      <c r="M166"/>
      <c r="N166"/>
      <c r="O166"/>
      <c r="P166"/>
      <c r="Q166"/>
      <c r="R166" s="131"/>
      <c r="S166"/>
    </row>
    <row r="167" s="58" customFormat="true" ht="15" customHeight="true" x14ac:dyDescent="0.2">
      <c r="F167" s="133"/>
      <c r="G167"/>
      <c r="H167"/>
      <c r="I167"/>
      <c r="J167"/>
      <c r="K167"/>
      <c r="L167"/>
      <c r="M167"/>
      <c r="N167"/>
      <c r="O167"/>
      <c r="P167"/>
      <c r="Q167"/>
      <c r="R167" s="131"/>
      <c r="S167"/>
    </row>
    <row r="168" s="58" customFormat="true" ht="15" customHeight="true" x14ac:dyDescent="0.2">
      <c r="F168" s="133"/>
      <c r="G168"/>
      <c r="H168"/>
      <c r="I168"/>
      <c r="J168"/>
      <c r="K168"/>
      <c r="L168"/>
      <c r="M168"/>
      <c r="N168"/>
      <c r="O168"/>
      <c r="P168"/>
      <c r="Q168"/>
      <c r="R168" s="131"/>
      <c r="S168"/>
    </row>
    <row r="169" s="58" customFormat="true" ht="15" customHeight="true" x14ac:dyDescent="0.2">
      <c r="F169" s="133"/>
      <c r="G169"/>
      <c r="H169"/>
      <c r="I169"/>
      <c r="J169"/>
      <c r="K169"/>
      <c r="L169"/>
      <c r="M169"/>
      <c r="N169"/>
      <c r="O169"/>
      <c r="P169"/>
      <c r="Q169"/>
      <c r="R169" s="131"/>
      <c r="S169"/>
    </row>
    <row r="170" s="58" customFormat="true" ht="15" customHeight="true" x14ac:dyDescent="0.2">
      <c r="F170" s="133"/>
      <c r="G170"/>
      <c r="H170"/>
      <c r="I170"/>
      <c r="J170"/>
      <c r="K170"/>
      <c r="L170"/>
      <c r="M170"/>
      <c r="N170"/>
      <c r="O170"/>
      <c r="P170"/>
      <c r="Q170"/>
      <c r="R170" s="131"/>
      <c r="S170"/>
    </row>
    <row r="171" s="58" customFormat="true" ht="15" customHeight="true" x14ac:dyDescent="0.2">
      <c r="F171" s="133"/>
      <c r="G171"/>
      <c r="H171"/>
      <c r="I171"/>
      <c r="J171"/>
      <c r="K171"/>
      <c r="L171"/>
      <c r="M171"/>
      <c r="N171"/>
      <c r="O171"/>
      <c r="P171"/>
      <c r="Q171"/>
      <c r="R171" s="131"/>
      <c r="S171"/>
    </row>
    <row r="172" s="58" customFormat="true" ht="15" customHeight="true" x14ac:dyDescent="0.2">
      <c r="F172" s="133"/>
      <c r="G172"/>
      <c r="H172"/>
      <c r="I172"/>
      <c r="J172"/>
      <c r="K172"/>
      <c r="L172"/>
      <c r="M172"/>
      <c r="N172"/>
      <c r="O172"/>
      <c r="P172"/>
      <c r="Q172"/>
      <c r="R172" s="131"/>
      <c r="S172"/>
    </row>
    <row r="173" s="58" customFormat="true" ht="15" customHeight="true" x14ac:dyDescent="0.2">
      <c r="K173" s="114"/>
      <c r="L173" s="108"/>
      <c r="M173" s="114"/>
      <c r="N173" s="108"/>
      <c r="O173" s="114"/>
      <c r="P173" s="108"/>
    </row>
    <row r="174" s="58" customFormat="true" ht="15" customHeight="true" x14ac:dyDescent="0.2">
      <c r="K174" s="114"/>
      <c r="L174" s="108"/>
      <c r="M174" s="114"/>
      <c r="N174" s="108"/>
      <c r="O174" s="114"/>
      <c r="P174" s="108"/>
    </row>
    <row r="175" s="58" customFormat="true" ht="15" customHeight="true" x14ac:dyDescent="0.2">
      <c r="K175" s="114"/>
      <c r="L175" s="108"/>
      <c r="M175" s="114"/>
      <c r="N175" s="108"/>
      <c r="O175" s="114"/>
      <c r="P175" s="108"/>
    </row>
    <row r="176" s="58" customFormat="true" ht="15" customHeight="true" x14ac:dyDescent="0.2">
      <c r="K176" s="114"/>
      <c r="L176" s="108"/>
      <c r="M176" s="114"/>
      <c r="N176" s="108"/>
      <c r="O176" s="114"/>
      <c r="P176" s="108"/>
    </row>
    <row r="177" s="58" customFormat="true" ht="15" customHeight="true" x14ac:dyDescent="0.2">
      <c r="K177" s="114"/>
      <c r="L177" s="108"/>
      <c r="M177" s="114"/>
      <c r="N177" s="108"/>
      <c r="O177" s="114"/>
      <c r="P177" s="108"/>
    </row>
    <row r="178" s="58" customFormat="true" ht="15" customHeight="true" x14ac:dyDescent="0.2">
      <c r="K178" s="114"/>
      <c r="L178" s="108"/>
      <c r="M178" s="114"/>
      <c r="N178" s="108"/>
      <c r="O178" s="114"/>
      <c r="P178" s="108"/>
    </row>
    <row r="179" s="58" customFormat="true" ht="15" customHeight="true" x14ac:dyDescent="0.2">
      <c r="K179" s="114"/>
      <c r="L179" s="108"/>
      <c r="M179" s="114"/>
      <c r="N179" s="108"/>
      <c r="O179" s="114"/>
      <c r="P179" s="108"/>
    </row>
    <row r="180" s="58" customFormat="true" ht="15" customHeight="true" x14ac:dyDescent="0.2">
      <c r="K180" s="114"/>
      <c r="L180" s="108"/>
      <c r="M180" s="114"/>
      <c r="N180" s="108"/>
      <c r="O180" s="114"/>
      <c r="P180" s="108"/>
    </row>
    <row r="181" s="58" customFormat="true" ht="15" customHeight="true" x14ac:dyDescent="0.2">
      <c r="K181" s="114"/>
      <c r="L181" s="108"/>
      <c r="M181" s="114"/>
      <c r="N181" s="108"/>
      <c r="O181" s="114"/>
      <c r="P181" s="108"/>
    </row>
    <row r="182" s="58" customFormat="true" ht="15" customHeight="true" x14ac:dyDescent="0.2">
      <c r="K182" s="114"/>
      <c r="L182" s="108"/>
      <c r="M182" s="114"/>
      <c r="N182" s="108"/>
      <c r="O182" s="114"/>
      <c r="P182" s="108"/>
    </row>
    <row r="183" s="58" customFormat="true" ht="15" customHeight="true" x14ac:dyDescent="0.2">
      <c r="K183" s="114"/>
      <c r="L183" s="108"/>
      <c r="M183" s="114"/>
      <c r="N183" s="108"/>
      <c r="O183" s="114"/>
      <c r="P183" s="108"/>
    </row>
    <row r="184" s="58" customFormat="true" ht="15" customHeight="true" x14ac:dyDescent="0.2">
      <c r="K184" s="114"/>
      <c r="L184" s="108"/>
      <c r="M184" s="114"/>
      <c r="N184" s="108"/>
      <c r="O184" s="114"/>
      <c r="P184" s="108"/>
    </row>
    <row r="185" s="58" customFormat="true" ht="15" customHeight="true" x14ac:dyDescent="0.2">
      <c r="K185" s="114"/>
      <c r="L185" s="108"/>
      <c r="M185" s="114"/>
      <c r="N185" s="108"/>
      <c r="O185" s="114"/>
      <c r="P185" s="108"/>
    </row>
    <row r="186" s="58" customFormat="true" ht="15" customHeight="true" x14ac:dyDescent="0.2">
      <c r="K186" s="114"/>
      <c r="L186" s="108"/>
      <c r="M186" s="114"/>
      <c r="N186" s="108"/>
      <c r="O186" s="114"/>
      <c r="P186" s="108"/>
    </row>
    <row r="187" s="58" customFormat="true" ht="15" customHeight="true" x14ac:dyDescent="0.2">
      <c r="K187" s="114"/>
      <c r="L187" s="108"/>
      <c r="M187" s="114"/>
      <c r="N187" s="108"/>
      <c r="O187" s="114"/>
      <c r="P187" s="108"/>
    </row>
    <row r="188" s="58" customFormat="true" ht="15" customHeight="true" x14ac:dyDescent="0.2">
      <c r="K188" s="114"/>
      <c r="L188" s="108"/>
      <c r="M188" s="114"/>
      <c r="N188" s="108"/>
      <c r="O188" s="114"/>
      <c r="P188" s="10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C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baseColWidth="10" defaultColWidth="8.83203125" defaultRowHeight="13" x14ac:dyDescent="0.15"/>
  <cols>
    <col min="1" max="1" width="40" bestFit="true" customWidth="true"/>
    <col min="2" max="5" width="7.83203125" style="132" customWidth="true"/>
    <col min="6" max="29" width="8.83203125" style="3"/>
    <col min="72" max="72" width="22.1640625" bestFit="true" customWidth="true"/>
  </cols>
  <sheetData>
    <row r="1" x14ac:dyDescent="0.15">
      <c r="A1" s="2" t="s">
        <v>157</v>
      </c>
      <c r="B1" s="27" t="s">
        <v>158</v>
      </c>
      <c r="C1" s="27" t="s">
        <v>17</v>
      </c>
      <c r="D1" s="27" t="s">
        <v>159</v>
      </c>
      <c r="E1" s="27" t="s">
        <v>160</v>
      </c>
      <c r="F1" t="s">
        <v>38</v>
      </c>
      <c r="G1" t="s">
        <v>201</v>
      </c>
      <c r="H1" t="s">
        <v>202</v>
      </c>
      <c r="I1" s="3" t="s">
        <v>178</v>
      </c>
      <c r="J1" s="3" t="s">
        <v>179</v>
      </c>
      <c r="K1" s="3" t="s">
        <v>180</v>
      </c>
      <c r="L1" s="3" t="s">
        <v>181</v>
      </c>
      <c r="M1" s="3" t="s">
        <v>182</v>
      </c>
      <c r="N1" s="3" t="s">
        <v>183</v>
      </c>
      <c r="O1" s="3" t="s">
        <v>184</v>
      </c>
      <c r="P1" s="3" t="s">
        <v>185</v>
      </c>
      <c r="Q1" s="3" t="s">
        <v>186</v>
      </c>
      <c r="R1" s="3" t="s">
        <v>187</v>
      </c>
      <c r="S1" s="3" t="s">
        <v>188</v>
      </c>
      <c r="T1" s="3" t="s">
        <v>189</v>
      </c>
      <c r="U1" s="3" t="s">
        <v>190</v>
      </c>
      <c r="V1" s="3" t="s">
        <v>191</v>
      </c>
      <c r="W1" s="3" t="s">
        <v>192</v>
      </c>
      <c r="X1" s="3" t="s">
        <v>193</v>
      </c>
      <c r="Y1" s="3" t="s">
        <v>194</v>
      </c>
      <c r="Z1" s="3" t="s">
        <v>195</v>
      </c>
      <c r="AA1" s="3" t="s">
        <v>196</v>
      </c>
      <c r="AB1" t="s">
        <v>197</v>
      </c>
      <c r="AC1" t="s">
        <v>198</v>
      </c>
    </row>
    <row r="2" x14ac:dyDescent="0.15">
      <c r="A2" t="s">
        <v>38</v>
      </c>
      <c r="B2" s="13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x14ac:dyDescent="0.15">
      <c r="A3" t="s">
        <v>201</v>
      </c>
      <c r="B3" s="13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x14ac:dyDescent="0.15">
      <c r="A4" t="s">
        <v>202</v>
      </c>
      <c r="B4" s="13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x14ac:dyDescent="0.15">
      <c r="A5" s="3" t="s">
        <v>178</v>
      </c>
      <c r="B5" s="13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x14ac:dyDescent="0.15">
      <c r="A6" s="3" t="s">
        <v>179</v>
      </c>
      <c r="B6" s="13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x14ac:dyDescent="0.15">
      <c r="A7" s="3" t="s">
        <v>180</v>
      </c>
      <c r="B7" s="13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x14ac:dyDescent="0.15">
      <c r="A8" s="3" t="s">
        <v>181</v>
      </c>
      <c r="B8" s="13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</row>
    <row r="9" x14ac:dyDescent="0.15">
      <c r="A9" s="3" t="s">
        <v>182</v>
      </c>
      <c r="B9" s="13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</row>
    <row r="10" x14ac:dyDescent="0.15">
      <c r="A10" s="3" t="s">
        <v>183</v>
      </c>
      <c r="B10" s="13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x14ac:dyDescent="0.15">
      <c r="A11" s="3" t="s">
        <v>184</v>
      </c>
      <c r="B11" s="13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x14ac:dyDescent="0.15">
      <c r="A12" s="3" t="s">
        <v>185</v>
      </c>
      <c r="B12" s="13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x14ac:dyDescent="0.15">
      <c r="A13" s="3" t="s">
        <v>186</v>
      </c>
      <c r="B13" s="13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</row>
    <row r="14" x14ac:dyDescent="0.15">
      <c r="A14" s="3" t="s">
        <v>187</v>
      </c>
      <c r="B14" s="13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x14ac:dyDescent="0.15">
      <c r="A15" s="3" t="s">
        <v>188</v>
      </c>
      <c r="B15" s="13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x14ac:dyDescent="0.15">
      <c r="A16" s="3" t="s">
        <v>189</v>
      </c>
      <c r="B16" s="13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ht="15" customHeight="true" x14ac:dyDescent="0.15">
      <c r="A17" s="3" t="s">
        <v>190</v>
      </c>
      <c r="B17" s="13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ht="15" customHeight="true" x14ac:dyDescent="0.15">
      <c r="A18" s="3" t="s">
        <v>191</v>
      </c>
      <c r="B18" s="13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ht="15" customHeight="true" x14ac:dyDescent="0.15">
      <c r="A19" s="3" t="s">
        <v>192</v>
      </c>
      <c r="B19" s="13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ht="15" customHeight="true" x14ac:dyDescent="0.15">
      <c r="A20" s="3" t="s">
        <v>193</v>
      </c>
      <c r="B20" s="13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ht="15" customHeight="true" x14ac:dyDescent="0.15">
      <c r="A21" s="3" t="s">
        <v>194</v>
      </c>
      <c r="B21" s="13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ht="15" customHeight="true" x14ac:dyDescent="0.15">
      <c r="A22" s="3" t="s">
        <v>195</v>
      </c>
      <c r="B22" s="13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ht="15" customHeight="true" x14ac:dyDescent="0.15">
      <c r="A23" s="3" t="s">
        <v>196</v>
      </c>
      <c r="B23" s="13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ht="15" customHeight="true" x14ac:dyDescent="0.15">
      <c r="A24" t="s">
        <v>197</v>
      </c>
      <c r="B24" s="13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ht="15" customHeight="true" x14ac:dyDescent="0.15">
      <c r="A25" t="s">
        <v>198</v>
      </c>
      <c r="B25" s="13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ht="15" customHeight="true" x14ac:dyDescent="0.15">
      <c r="A26" s="51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ht="15" customHeight="true" x14ac:dyDescent="0.15">
      <c r="A27" s="51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ht="15" customHeight="true" x14ac:dyDescent="0.15">
      <c r="A28" s="51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ht="15" customHeight="true" x14ac:dyDescent="0.15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ht="15" customHeight="true" x14ac:dyDescent="0.1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ht="15" customHeight="true" x14ac:dyDescent="0.15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ht="15" customHeight="true" x14ac:dyDescent="0.15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ht="15" customHeight="true" x14ac:dyDescent="0.15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ht="15" customHeight="true" x14ac:dyDescent="0.15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ht="15" customHeight="true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ht="15" customHeight="true" x14ac:dyDescent="0.15"/>
    <row r="37" ht="15" customHeight="true" x14ac:dyDescent="0.15"/>
    <row r="38" ht="15" customHeight="true" x14ac:dyDescent="0.15">
      <c r="B38" s="49" t="s">
        <v>161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ht="15" customHeight="true" x14ac:dyDescent="0.15"/>
    <row r="40" ht="15" customHeight="true" x14ac:dyDescent="0.15"/>
    <row r="41" ht="15" customHeight="true" x14ac:dyDescent="0.15"/>
    <row r="42" ht="15" customHeight="true" x14ac:dyDescent="0.15"/>
    <row r="43" ht="15" customHeight="true" x14ac:dyDescent="0.15"/>
    <row r="44" ht="15" customHeight="true" x14ac:dyDescent="0.15"/>
    <row r="45" ht="15" customHeight="true" x14ac:dyDescent="0.15"/>
    <row r="46" ht="15" customHeight="true" x14ac:dyDescent="0.15"/>
    <row r="47" ht="15" customHeight="true" x14ac:dyDescent="0.15"/>
    <row r="48" ht="15" customHeight="true" x14ac:dyDescent="0.15"/>
    <row r="49" ht="15" customHeight="true" x14ac:dyDescent="0.15"/>
    <row r="50" ht="15" customHeight="true" x14ac:dyDescent="0.15"/>
    <row r="51" ht="15" customHeight="true" x14ac:dyDescent="0.15"/>
    <row r="52" ht="15" customHeight="true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ht="15" customHeight="true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ht="15" customHeight="true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ht="15" customHeight="true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ht="15" customHeight="true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ht="15" customHeight="true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ht="15" customHeight="true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ht="15" customHeight="true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ht="15" customHeight="true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ht="15" customHeight="true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ht="15" customHeight="true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ht="15" customHeight="true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ht="15" customHeight="true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ht="15" customHeight="true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ht="15" customHeight="true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ht="15" customHeight="true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ht="15" customHeight="true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ht="15" customHeight="true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ht="15" customHeight="true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ht="15" customHeight="true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ht="15" customHeight="true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ht="15" customHeight="true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ht="15" customHeight="true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ht="15" customHeight="true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ht="15" customHeight="true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ht="15" customHeight="true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ht="15" customHeight="true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ht="15" customHeight="true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ht="15" customHeight="true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ht="15" customHeight="true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ht="15" customHeight="true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ht="15" customHeight="true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ht="15" customHeight="true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ht="15" customHeight="true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ht="15" customHeight="true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ht="15" customHeight="true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ht="15" customHeight="true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ht="15" customHeight="true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ht="15" customHeight="true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ht="15" customHeight="true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ht="15" customHeight="true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ht="15" customHeight="true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ht="15" customHeight="true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ht="15" customHeight="true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ht="15" customHeight="true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ht="15" customHeight="true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ht="15" customHeight="true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ht="15" customHeight="true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ht="15" customHeight="true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ht="15" customHeight="true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ht="15" customHeight="true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ht="15" customHeight="true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ht="15" customHeight="true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ht="15" customHeight="true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ht="15" customHeight="true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ht="15" customHeight="true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ht="15" customHeight="true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ht="15" customHeight="true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ht="15" customHeight="true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ht="15" customHeight="true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ht="15" customHeight="true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ht="15" customHeight="true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ht="15" customHeight="true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ht="15" customHeight="true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ht="15" customHeight="true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ht="15" customHeight="true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ht="15" customHeight="true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ht="15" customHeight="true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ht="15" customHeight="true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ht="15" customHeight="true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ht="15" customHeight="true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ht="15" customHeight="true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ht="15" customHeight="true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ht="15" customHeight="true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ht="15" customHeight="true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ht="15" customHeight="true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ht="15" customHeight="true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ht="15" customHeight="true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ht="15" customHeight="true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ht="15" customHeight="true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ht="15" customHeight="true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ht="15" customHeight="true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ht="15" customHeight="true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ht="15" customHeight="true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ht="15" customHeight="true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ht="15" customHeight="true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ht="15" customHeight="true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ht="15" customHeight="true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ht="15" customHeight="true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ht="15" customHeight="true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ht="15" customHeight="true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ht="15" customHeight="true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ht="15" customHeight="true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ht="15" customHeight="true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ht="15" customHeight="true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ht="15" customHeight="true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ht="15" customHeight="true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ht="15" customHeight="true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ht="15" customHeight="true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ht="15" customHeight="true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ht="15" customHeight="true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ht="15" customHeight="true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ht="15" customHeight="true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ht="15" customHeight="true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ht="15" customHeight="true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ht="15" customHeight="true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ht="15" customHeight="true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ht="15" customHeight="true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ht="15" customHeight="true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ht="15" customHeight="true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ht="15" customHeight="true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ht="15" customHeight="true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ht="15" customHeight="true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ht="15" customHeight="true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ht="15" customHeight="true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ht="15" customHeight="true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ht="15" customHeight="true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ht="15" customHeight="true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ht="15" customHeight="true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ht="15" customHeight="true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ht="15" customHeight="true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ht="15" customHeight="true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ht="15" customHeight="true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ht="15" customHeight="true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ht="15" customHeight="true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ht="15" customHeight="true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ht="15" customHeight="true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ht="15" customHeight="true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ht="15" customHeight="true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ht="15" customHeight="true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ht="15" customHeight="true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ht="15" customHeight="true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ht="15" customHeight="true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ht="15" customHeight="true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ht="15" customHeight="true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ht="15" customHeight="true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ht="15" customHeight="true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92" ht="15" customHeight="true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2022-10-22T23:34:39Z</dcterms:modified>
</cp:coreProperties>
</file>